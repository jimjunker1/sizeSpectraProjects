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235" yWindow="225" windowWidth="14280" windowHeight="808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I125" i="1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I422" s="1"/>
  <c r="J36"/>
  <c r="E463" s="1"/>
  <c r="K36"/>
  <c r="L36"/>
  <c r="E467" s="1"/>
  <c r="M36"/>
  <c r="M372" s="1"/>
  <c r="N36"/>
  <c r="E471" s="1"/>
  <c r="O36"/>
  <c r="P36"/>
  <c r="P372" s="1"/>
  <c r="Q36"/>
  <c r="R36"/>
  <c r="E479" s="1"/>
  <c r="S36"/>
  <c r="E481" s="1"/>
  <c r="T36"/>
  <c r="U36"/>
  <c r="E485" s="1"/>
  <c r="V36"/>
  <c r="W36"/>
  <c r="E489" s="1"/>
  <c r="X36"/>
  <c r="Y36"/>
  <c r="Y372" s="1"/>
  <c r="Y422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N372"/>
  <c r="N373" s="1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78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0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4"/>
  <c r="CX184"/>
  <c r="CZ184"/>
  <c r="DF184"/>
  <c r="DL184"/>
  <c r="DT184"/>
  <c r="EA184"/>
  <c r="EI184"/>
  <c r="DD184"/>
  <c r="BA184"/>
  <c r="CM184"/>
  <c r="CL184"/>
  <c r="CK184"/>
  <c r="AY184"/>
  <c r="B181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79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6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2"/>
  <c r="CX179"/>
  <c r="CZ179"/>
  <c r="DP179"/>
  <c r="DR179"/>
  <c r="EF179"/>
  <c r="EH179"/>
  <c r="DD179"/>
  <c r="DC179" s="1"/>
  <c r="BA179"/>
  <c r="CM179"/>
  <c r="CL179"/>
  <c r="CK179"/>
  <c r="AY179"/>
  <c r="B183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7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2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4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7"/>
  <c r="CZ174"/>
  <c r="DG174"/>
  <c r="DI174"/>
  <c r="ES174" s="1"/>
  <c r="DK174"/>
  <c r="DM174"/>
  <c r="EW174" s="1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6"/>
  <c r="CZ173"/>
  <c r="DF173"/>
  <c r="DG173"/>
  <c r="DH173"/>
  <c r="DI173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0"/>
  <c r="CZ172"/>
  <c r="DD172"/>
  <c r="DE172" s="1"/>
  <c r="DC172"/>
  <c r="BA172"/>
  <c r="CM172" s="1"/>
  <c r="CL172"/>
  <c r="CK172"/>
  <c r="AY172"/>
  <c r="B171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69"/>
  <c r="CX170"/>
  <c r="CZ170"/>
  <c r="DF170"/>
  <c r="DG170"/>
  <c r="DH170"/>
  <c r="DI170"/>
  <c r="DJ170"/>
  <c r="DK170"/>
  <c r="DL170"/>
  <c r="DM170"/>
  <c r="EW170" s="1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68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3"/>
  <c r="CX168"/>
  <c r="CZ168"/>
  <c r="DZ168" s="1"/>
  <c r="DJ168"/>
  <c r="DP168"/>
  <c r="EF168"/>
  <c r="DD168"/>
  <c r="DC168" s="1"/>
  <c r="DE168"/>
  <c r="CL168"/>
  <c r="CK168"/>
  <c r="AY168"/>
  <c r="B175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58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62"/>
  <c r="CZ165"/>
  <c r="DF165"/>
  <c r="DG165"/>
  <c r="DH165"/>
  <c r="DI165"/>
  <c r="DJ165"/>
  <c r="DK165"/>
  <c r="DL165"/>
  <c r="DM165"/>
  <c r="EW165" s="1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FQ165" s="1"/>
  <c r="EH165"/>
  <c r="EI165"/>
  <c r="EJ165"/>
  <c r="DD165"/>
  <c r="DE165"/>
  <c r="DC165"/>
  <c r="BA165"/>
  <c r="CM165"/>
  <c r="CL165"/>
  <c r="CK165"/>
  <c r="AY165"/>
  <c r="B161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0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6"/>
  <c r="CZ162"/>
  <c r="DF162"/>
  <c r="DG162"/>
  <c r="DH162"/>
  <c r="DI162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3"/>
  <c r="CX161"/>
  <c r="CZ161"/>
  <c r="DP161"/>
  <c r="DV161"/>
  <c r="DD161"/>
  <c r="BA161"/>
  <c r="CM161"/>
  <c r="CL161"/>
  <c r="CK161"/>
  <c r="AY161"/>
  <c r="B159"/>
  <c r="CW160"/>
  <c r="CX160"/>
  <c r="CZ160"/>
  <c r="EB160"/>
  <c r="ED160"/>
  <c r="DD160"/>
  <c r="DC160" s="1"/>
  <c r="DE160"/>
  <c r="BA160"/>
  <c r="CM160"/>
  <c r="CL160"/>
  <c r="CK160"/>
  <c r="AY160"/>
  <c r="B167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5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4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7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6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48"/>
  <c r="CZ153"/>
  <c r="DG153"/>
  <c r="DI153"/>
  <c r="ES153" s="1"/>
  <c r="DK153"/>
  <c r="DM153"/>
  <c r="EW153" s="1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49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2"/>
  <c r="CZ151"/>
  <c r="DK151" s="1"/>
  <c r="DG151"/>
  <c r="DO151"/>
  <c r="DW151"/>
  <c r="EE151"/>
  <c r="DD151"/>
  <c r="DE151"/>
  <c r="DC151"/>
  <c r="BA151"/>
  <c r="CM151" s="1"/>
  <c r="CL151"/>
  <c r="CK151"/>
  <c r="AY151"/>
  <c r="B151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4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5"/>
  <c r="CZ148"/>
  <c r="DF148"/>
  <c r="DJ148"/>
  <c r="DN148"/>
  <c r="DR148"/>
  <c r="DV148"/>
  <c r="DZ148"/>
  <c r="ED148"/>
  <c r="EH148"/>
  <c r="DD148"/>
  <c r="CL148"/>
  <c r="CK148"/>
  <c r="AY148"/>
  <c r="B150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38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7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FI145" s="1"/>
  <c r="DZ145"/>
  <c r="EA145"/>
  <c r="EB145"/>
  <c r="EC145"/>
  <c r="FM145" s="1"/>
  <c r="ED145"/>
  <c r="EE145"/>
  <c r="EF145"/>
  <c r="EG145"/>
  <c r="EH145"/>
  <c r="EI145"/>
  <c r="EJ145"/>
  <c r="DD145"/>
  <c r="DE145"/>
  <c r="DC145"/>
  <c r="BA145"/>
  <c r="CM145"/>
  <c r="CL145"/>
  <c r="CK145"/>
  <c r="AY145"/>
  <c r="B143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0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6"/>
  <c r="CX142"/>
  <c r="CZ142"/>
  <c r="DI142"/>
  <c r="DM142"/>
  <c r="EW142" s="1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1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39"/>
  <c r="CW140"/>
  <c r="CX140"/>
  <c r="CZ140"/>
  <c r="DO140"/>
  <c r="DQ140"/>
  <c r="DS140"/>
  <c r="DU140"/>
  <c r="DW140"/>
  <c r="DY140"/>
  <c r="FI140" s="1"/>
  <c r="EA140"/>
  <c r="EC140"/>
  <c r="EE140"/>
  <c r="EG140"/>
  <c r="EI140"/>
  <c r="DD140"/>
  <c r="DE140"/>
  <c r="DC140"/>
  <c r="BA140"/>
  <c r="CM140"/>
  <c r="CL140"/>
  <c r="CK140"/>
  <c r="AY140"/>
  <c r="B144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2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5"/>
  <c r="CZ137"/>
  <c r="DF137"/>
  <c r="DG137"/>
  <c r="DH137"/>
  <c r="DI137"/>
  <c r="ES137" s="1"/>
  <c r="DJ137"/>
  <c r="DK137"/>
  <c r="DL137"/>
  <c r="DM137"/>
  <c r="EW137" s="1"/>
  <c r="DN137"/>
  <c r="DO137"/>
  <c r="DP137"/>
  <c r="DQ137"/>
  <c r="DR137"/>
  <c r="DS137"/>
  <c r="DT137"/>
  <c r="DU137"/>
  <c r="DV137"/>
  <c r="DW137"/>
  <c r="DX137"/>
  <c r="DY137"/>
  <c r="FI137" s="1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0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5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1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6"/>
  <c r="CZ133"/>
  <c r="DG133" s="1"/>
  <c r="DD133"/>
  <c r="DE133"/>
  <c r="DC133"/>
  <c r="BA133"/>
  <c r="CM133" s="1"/>
  <c r="CL133"/>
  <c r="CK133"/>
  <c r="AY133"/>
  <c r="B133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7"/>
  <c r="CZ131"/>
  <c r="DF131"/>
  <c r="DG131"/>
  <c r="DH131"/>
  <c r="DI131"/>
  <c r="ES131" s="1"/>
  <c r="DJ131"/>
  <c r="DK131"/>
  <c r="DL131"/>
  <c r="DM131"/>
  <c r="EW131" s="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4"/>
  <c r="CX130"/>
  <c r="DG130" s="1"/>
  <c r="CZ130"/>
  <c r="DI130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28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2"/>
  <c r="CW128"/>
  <c r="CX128"/>
  <c r="CZ128"/>
  <c r="DH128"/>
  <c r="DL128"/>
  <c r="DP128"/>
  <c r="DT128"/>
  <c r="DX128"/>
  <c r="EB128"/>
  <c r="EF128"/>
  <c r="EJ128"/>
  <c r="DD128"/>
  <c r="CL128"/>
  <c r="CK128"/>
  <c r="AY128"/>
  <c r="B129"/>
  <c r="CX127"/>
  <c r="CZ127"/>
  <c r="DD127"/>
  <c r="DE127"/>
  <c r="DC127"/>
  <c r="BA127"/>
  <c r="CM127" s="1"/>
  <c r="CL127"/>
  <c r="CK127"/>
  <c r="AY127"/>
  <c r="B119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0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6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1"/>
  <c r="CX123"/>
  <c r="CZ123"/>
  <c r="DD123"/>
  <c r="DE123"/>
  <c r="DC123"/>
  <c r="BA123"/>
  <c r="CM123" s="1"/>
  <c r="CL123"/>
  <c r="CK123"/>
  <c r="AY123"/>
  <c r="B124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3"/>
  <c r="CW121"/>
  <c r="CX121"/>
  <c r="CZ121"/>
  <c r="DD121"/>
  <c r="BA121"/>
  <c r="CM121"/>
  <c r="CL121"/>
  <c r="CK121"/>
  <c r="AY121"/>
  <c r="B125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7"/>
  <c r="CW119"/>
  <c r="CX119"/>
  <c r="DG119" s="1"/>
  <c r="CZ119"/>
  <c r="DI119"/>
  <c r="DM119"/>
  <c r="EW119" s="1"/>
  <c r="DO119"/>
  <c r="DQ119"/>
  <c r="DS119"/>
  <c r="DU119"/>
  <c r="DW119"/>
  <c r="DY119"/>
  <c r="EA119"/>
  <c r="EC119"/>
  <c r="FM119" s="1"/>
  <c r="EE119"/>
  <c r="EG119"/>
  <c r="EI119"/>
  <c r="DD119"/>
  <c r="DE119"/>
  <c r="DC119"/>
  <c r="BA119"/>
  <c r="CM119"/>
  <c r="CL119"/>
  <c r="CK119"/>
  <c r="AY119"/>
  <c r="B122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18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7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3"/>
  <c r="CZ115"/>
  <c r="DI115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08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09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5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6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4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0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1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2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3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7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5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99"/>
  <c r="CZ103"/>
  <c r="DI103"/>
  <c r="DM103"/>
  <c r="DQ103"/>
  <c r="FA103" s="1"/>
  <c r="DU103"/>
  <c r="DY103"/>
  <c r="EC103"/>
  <c r="EG103"/>
  <c r="DD103"/>
  <c r="DE103"/>
  <c r="DC103"/>
  <c r="BA103"/>
  <c r="CM103" s="1"/>
  <c r="CL103"/>
  <c r="CK103"/>
  <c r="AY103"/>
  <c r="B102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6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0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4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98"/>
  <c r="CZ98"/>
  <c r="DI98"/>
  <c r="DM98"/>
  <c r="DQ98"/>
  <c r="DU98"/>
  <c r="DY98"/>
  <c r="EC98"/>
  <c r="EG98"/>
  <c r="DD98"/>
  <c r="DE98" s="1"/>
  <c r="DC98"/>
  <c r="CL98"/>
  <c r="CK98"/>
  <c r="AY98"/>
  <c r="B101"/>
  <c r="CZ97"/>
  <c r="DG97" s="1"/>
  <c r="DD97"/>
  <c r="DE97" s="1"/>
  <c r="DC97"/>
  <c r="BA97"/>
  <c r="CM97" s="1"/>
  <c r="CL97"/>
  <c r="CK97"/>
  <c r="AY97"/>
  <c r="B93"/>
  <c r="CZ96"/>
  <c r="DF96"/>
  <c r="DG96"/>
  <c r="DH96"/>
  <c r="DI96"/>
  <c r="DJ96"/>
  <c r="DK96"/>
  <c r="DL96"/>
  <c r="DM96"/>
  <c r="EW96" s="1"/>
  <c r="DN96"/>
  <c r="DO96"/>
  <c r="DP96"/>
  <c r="DQ96"/>
  <c r="DR96"/>
  <c r="DS96"/>
  <c r="DT96"/>
  <c r="DU96"/>
  <c r="FE96" s="1"/>
  <c r="DV96"/>
  <c r="DW96"/>
  <c r="DX96"/>
  <c r="DY96"/>
  <c r="FI96" s="1"/>
  <c r="DZ96"/>
  <c r="EA96"/>
  <c r="EB96"/>
  <c r="EC96"/>
  <c r="FM96" s="1"/>
  <c r="ED96"/>
  <c r="EE96"/>
  <c r="EF96"/>
  <c r="EG96"/>
  <c r="EH96"/>
  <c r="EI96"/>
  <c r="EJ96"/>
  <c r="DD96"/>
  <c r="DC96" s="1"/>
  <c r="BA96"/>
  <c r="CM96"/>
  <c r="CL96"/>
  <c r="CK96"/>
  <c r="AY96"/>
  <c r="B91"/>
  <c r="CZ95"/>
  <c r="DD95"/>
  <c r="DE95" s="1"/>
  <c r="DC95"/>
  <c r="BA95"/>
  <c r="CM95" s="1"/>
  <c r="CL95"/>
  <c r="CK95"/>
  <c r="AY95"/>
  <c r="B95"/>
  <c r="CZ94"/>
  <c r="DF94"/>
  <c r="DG94"/>
  <c r="DH94"/>
  <c r="DI94"/>
  <c r="DJ94"/>
  <c r="DK94"/>
  <c r="DL94"/>
  <c r="DM94"/>
  <c r="EW94" s="1"/>
  <c r="DN94"/>
  <c r="DO94"/>
  <c r="DP94"/>
  <c r="DQ94"/>
  <c r="DR94"/>
  <c r="DS94"/>
  <c r="DT94"/>
  <c r="DU94"/>
  <c r="FE94" s="1"/>
  <c r="DV94"/>
  <c r="DW94"/>
  <c r="DX94"/>
  <c r="DY94"/>
  <c r="FI94" s="1"/>
  <c r="DZ94"/>
  <c r="EA94"/>
  <c r="EB94"/>
  <c r="EC94"/>
  <c r="FM94" s="1"/>
  <c r="ED94"/>
  <c r="EE94"/>
  <c r="EF94"/>
  <c r="EG94"/>
  <c r="EH94"/>
  <c r="EI94"/>
  <c r="EJ94"/>
  <c r="DD94"/>
  <c r="DC94" s="1"/>
  <c r="BA94"/>
  <c r="CM94"/>
  <c r="CL94"/>
  <c r="CK94"/>
  <c r="AY94"/>
  <c r="B96"/>
  <c r="CZ93"/>
  <c r="DD93"/>
  <c r="DE93" s="1"/>
  <c r="DC93"/>
  <c r="BA93"/>
  <c r="CM93" s="1"/>
  <c r="CL93"/>
  <c r="CK93"/>
  <c r="AY93"/>
  <c r="B92"/>
  <c r="CZ92"/>
  <c r="DF92"/>
  <c r="DG92"/>
  <c r="DH92"/>
  <c r="DI92"/>
  <c r="DJ92"/>
  <c r="DK92"/>
  <c r="DL92"/>
  <c r="DM92"/>
  <c r="EW92" s="1"/>
  <c r="DN92"/>
  <c r="DO92"/>
  <c r="DP92"/>
  <c r="DQ92"/>
  <c r="DR92"/>
  <c r="DS92"/>
  <c r="DT92"/>
  <c r="DU92"/>
  <c r="FE92" s="1"/>
  <c r="DV92"/>
  <c r="DW92"/>
  <c r="DX92"/>
  <c r="DY92"/>
  <c r="FI92" s="1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4"/>
  <c r="CZ91"/>
  <c r="DG91" s="1"/>
  <c r="DD91"/>
  <c r="DE91" s="1"/>
  <c r="DC91"/>
  <c r="BA91"/>
  <c r="CM91" s="1"/>
  <c r="CL91"/>
  <c r="CK91"/>
  <c r="AY91"/>
  <c r="B90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89"/>
  <c r="CX89"/>
  <c r="CZ89"/>
  <c r="DN89" s="1"/>
  <c r="DO89"/>
  <c r="DQ89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7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8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T94" l="1"/>
  <c r="FH94"/>
  <c r="FD94"/>
  <c r="EZ94"/>
  <c r="EV94"/>
  <c r="FT142"/>
  <c r="EZ142"/>
  <c r="EZ143"/>
  <c r="FH147"/>
  <c r="EZ150"/>
  <c r="H516"/>
  <c r="FR102"/>
  <c r="FB102"/>
  <c r="FR104"/>
  <c r="FR110"/>
  <c r="FB110"/>
  <c r="ET110"/>
  <c r="FR112"/>
  <c r="FJ112"/>
  <c r="FB112"/>
  <c r="FT104"/>
  <c r="ER106"/>
  <c r="ER108"/>
  <c r="FD112"/>
  <c r="FH114"/>
  <c r="ER114"/>
  <c r="FH116"/>
  <c r="FH124"/>
  <c r="FD124"/>
  <c r="FD135"/>
  <c r="FT137"/>
  <c r="EZ149"/>
  <c r="FT174"/>
  <c r="FL174"/>
  <c r="FH174"/>
  <c r="EZ187"/>
  <c r="FJ146"/>
  <c r="FL99"/>
  <c r="FH101"/>
  <c r="EZ101"/>
  <c r="FS105"/>
  <c r="FH136"/>
  <c r="FT173"/>
  <c r="FP173"/>
  <c r="FH173"/>
  <c r="FD173"/>
  <c r="FH178"/>
  <c r="EZ183"/>
  <c r="FT96"/>
  <c r="ER96"/>
  <c r="FH154"/>
  <c r="FT156"/>
  <c r="FH156"/>
  <c r="EZ156"/>
  <c r="FT165"/>
  <c r="AK372"/>
  <c r="AK377" s="1"/>
  <c r="FN131"/>
  <c r="FB136"/>
  <c r="FO89"/>
  <c r="EY89"/>
  <c r="FR90"/>
  <c r="FF90"/>
  <c r="FB90"/>
  <c r="FR145"/>
  <c r="FN145"/>
  <c r="FF145"/>
  <c r="FB145"/>
  <c r="FR122"/>
  <c r="FR131"/>
  <c r="FR136"/>
  <c r="ET136"/>
  <c r="EQ162"/>
  <c r="FN157"/>
  <c r="ET96"/>
  <c r="ET108"/>
  <c r="FR147"/>
  <c r="FB147"/>
  <c r="FR150"/>
  <c r="FB150"/>
  <c r="FR154"/>
  <c r="FR156"/>
  <c r="FR157"/>
  <c r="FJ157"/>
  <c r="FB157"/>
  <c r="FR165"/>
  <c r="FR173"/>
  <c r="FM176"/>
  <c r="EW176"/>
  <c r="FR179"/>
  <c r="FM186"/>
  <c r="FI186"/>
  <c r="FM89"/>
  <c r="FM90"/>
  <c r="FI90"/>
  <c r="EW90"/>
  <c r="EQ91"/>
  <c r="EW103"/>
  <c r="EW111"/>
  <c r="EW120"/>
  <c r="FI139"/>
  <c r="EW141"/>
  <c r="FM143"/>
  <c r="FI143"/>
  <c r="ES145"/>
  <c r="EW158"/>
  <c r="EQ169"/>
  <c r="EW182"/>
  <c r="FO90"/>
  <c r="FK90"/>
  <c r="EY109"/>
  <c r="FO117"/>
  <c r="FO120"/>
  <c r="FS143"/>
  <c r="FT92"/>
  <c r="FL92"/>
  <c r="FH92"/>
  <c r="FD92"/>
  <c r="EZ92"/>
  <c r="EV92"/>
  <c r="FS94"/>
  <c r="FO94"/>
  <c r="FC94"/>
  <c r="FS96"/>
  <c r="FO96"/>
  <c r="EY96"/>
  <c r="EU96"/>
  <c r="FT99"/>
  <c r="FS100"/>
  <c r="FC100"/>
  <c r="FS101"/>
  <c r="FO101"/>
  <c r="FK101"/>
  <c r="FH102"/>
  <c r="EZ102"/>
  <c r="EZ104"/>
  <c r="FD106"/>
  <c r="FH110"/>
  <c r="EZ110"/>
  <c r="FL114"/>
  <c r="FL116"/>
  <c r="FH125"/>
  <c r="EZ126"/>
  <c r="EZ132"/>
  <c r="EZ135"/>
  <c r="FD138"/>
  <c r="FT145"/>
  <c r="FL147"/>
  <c r="FL150"/>
  <c r="EY151"/>
  <c r="FT154"/>
  <c r="EY155"/>
  <c r="FO156"/>
  <c r="FK156"/>
  <c r="FD157"/>
  <c r="EV157"/>
  <c r="FK164"/>
  <c r="FS165"/>
  <c r="FP165"/>
  <c r="FH165"/>
  <c r="FD165"/>
  <c r="EZ165"/>
  <c r="ER165"/>
  <c r="FP166"/>
  <c r="FP171"/>
  <c r="FH171"/>
  <c r="EZ171"/>
  <c r="ER171"/>
  <c r="FO173"/>
  <c r="FH175"/>
  <c r="FK184"/>
  <c r="FK185"/>
  <c r="AF372"/>
  <c r="AF382" s="1"/>
  <c r="FS90"/>
  <c r="FC90"/>
  <c r="FO109"/>
  <c r="FO119"/>
  <c r="FK140"/>
  <c r="FO143"/>
  <c r="FO144"/>
  <c r="FH90"/>
  <c r="FD90"/>
  <c r="EZ90"/>
  <c r="FH99"/>
  <c r="EZ99"/>
  <c r="FK105"/>
  <c r="FS109"/>
  <c r="FC109"/>
  <c r="FK113"/>
  <c r="FS117"/>
  <c r="EV120"/>
  <c r="FD122"/>
  <c r="EV122"/>
  <c r="FO131"/>
  <c r="FK131"/>
  <c r="FK141"/>
  <c r="FS144"/>
  <c r="FO145"/>
  <c r="FK145"/>
  <c r="FT149"/>
  <c r="FH152"/>
  <c r="FO159"/>
  <c r="EY159"/>
  <c r="FH163"/>
  <c r="FO164"/>
  <c r="FD164"/>
  <c r="FO165"/>
  <c r="FD175"/>
  <c r="FS181"/>
  <c r="FC181"/>
  <c r="FH182"/>
  <c r="EV182"/>
  <c r="FT183"/>
  <c r="FD183"/>
  <c r="FD184"/>
  <c r="FF114"/>
  <c r="FF116"/>
  <c r="EU117"/>
  <c r="EU118"/>
  <c r="FR120"/>
  <c r="FS124"/>
  <c r="FO124"/>
  <c r="FK124"/>
  <c r="FR125"/>
  <c r="FR126"/>
  <c r="FR132"/>
  <c r="FB132"/>
  <c r="FF134"/>
  <c r="FR135"/>
  <c r="FB135"/>
  <c r="FS137"/>
  <c r="FO137"/>
  <c r="FK139"/>
  <c r="FF139"/>
  <c r="EU139"/>
  <c r="FO141"/>
  <c r="FS142"/>
  <c r="FO142"/>
  <c r="FK142"/>
  <c r="FC142"/>
  <c r="FR143"/>
  <c r="FF143"/>
  <c r="FK144"/>
  <c r="FR149"/>
  <c r="FO151"/>
  <c r="FF152"/>
  <c r="FO153"/>
  <c r="FB154"/>
  <c r="FO155"/>
  <c r="EU155"/>
  <c r="FR159"/>
  <c r="ER159"/>
  <c r="ER162"/>
  <c r="FS163"/>
  <c r="FO163"/>
  <c r="FK163"/>
  <c r="FG163"/>
  <c r="FO169"/>
  <c r="ER170"/>
  <c r="FN180"/>
  <c r="FS182"/>
  <c r="FO182"/>
  <c r="FK182"/>
  <c r="FR183"/>
  <c r="FO185"/>
  <c r="AB372"/>
  <c r="AB376" s="1"/>
  <c r="M379"/>
  <c r="M422"/>
  <c r="N382"/>
  <c r="N422"/>
  <c r="P374"/>
  <c r="P422"/>
  <c r="AK381"/>
  <c r="H382"/>
  <c r="H422"/>
  <c r="FR92"/>
  <c r="FF92"/>
  <c r="FB92"/>
  <c r="FR99"/>
  <c r="FF99"/>
  <c r="EU100"/>
  <c r="FF104"/>
  <c r="EX104"/>
  <c r="EU105"/>
  <c r="FR106"/>
  <c r="FB106"/>
  <c r="FR114"/>
  <c r="FR116"/>
  <c r="FF125"/>
  <c r="FF126"/>
  <c r="FF137"/>
  <c r="FB137"/>
  <c r="FF149"/>
  <c r="FR152"/>
  <c r="FB152"/>
  <c r="EU153"/>
  <c r="FR162"/>
  <c r="FF164"/>
  <c r="EU164"/>
  <c r="FR170"/>
  <c r="FF170"/>
  <c r="FB170"/>
  <c r="EX170"/>
  <c r="FR174"/>
  <c r="FR175"/>
  <c r="FF180"/>
  <c r="EU185"/>
  <c r="FR186"/>
  <c r="FF186"/>
  <c r="FB186"/>
  <c r="AI372"/>
  <c r="AI379" s="1"/>
  <c r="FS89"/>
  <c r="FC89"/>
  <c r="EV90"/>
  <c r="FS92"/>
  <c r="FO92"/>
  <c r="FC92"/>
  <c r="FR94"/>
  <c r="FF94"/>
  <c r="FB94"/>
  <c r="FR96"/>
  <c r="FF96"/>
  <c r="FB96"/>
  <c r="EX96"/>
  <c r="FS99"/>
  <c r="FO100"/>
  <c r="EY100"/>
  <c r="FR101"/>
  <c r="FF101"/>
  <c r="FC101"/>
  <c r="FO105"/>
  <c r="EY105"/>
  <c r="EV106"/>
  <c r="EY107"/>
  <c r="FO113"/>
  <c r="FK119"/>
  <c r="FN122"/>
  <c r="FF122"/>
  <c r="FR124"/>
  <c r="ER126"/>
  <c r="FR129"/>
  <c r="FB129"/>
  <c r="ER129"/>
  <c r="FR134"/>
  <c r="FB134"/>
  <c r="FR137"/>
  <c r="EU137"/>
  <c r="FO139"/>
  <c r="FO140"/>
  <c r="FR142"/>
  <c r="FB142"/>
  <c r="EV143"/>
  <c r="FG144"/>
  <c r="FR146"/>
  <c r="FF150"/>
  <c r="FF161"/>
  <c r="FO162"/>
  <c r="EU162"/>
  <c r="FR163"/>
  <c r="FN163"/>
  <c r="FK167"/>
  <c r="FK169"/>
  <c r="EU169"/>
  <c r="FS170"/>
  <c r="FO170"/>
  <c r="FK170"/>
  <c r="EY170"/>
  <c r="EU170"/>
  <c r="FR171"/>
  <c r="FB171"/>
  <c r="EV173"/>
  <c r="FO174"/>
  <c r="FC174"/>
  <c r="FB179"/>
  <c r="FR180"/>
  <c r="FB180"/>
  <c r="EU180"/>
  <c r="FO181"/>
  <c r="EY181"/>
  <c r="FR182"/>
  <c r="FS184"/>
  <c r="FO186"/>
  <c r="FK186"/>
  <c r="FR187"/>
  <c r="M375"/>
  <c r="S372"/>
  <c r="S422" s="1"/>
  <c r="EX136"/>
  <c r="EV135"/>
  <c r="EX88"/>
  <c r="EW98"/>
  <c r="FQ174"/>
  <c r="FE180"/>
  <c r="ET146"/>
  <c r="FA98"/>
  <c r="ES158"/>
  <c r="EZ88"/>
  <c r="FJ101"/>
  <c r="FP186"/>
  <c r="FM92"/>
  <c r="EQ96"/>
  <c r="EQ102"/>
  <c r="EQ106"/>
  <c r="EQ113"/>
  <c r="FM131"/>
  <c r="EQ136"/>
  <c r="FP139"/>
  <c r="EQ139"/>
  <c r="FM142"/>
  <c r="ET147"/>
  <c r="FI156"/>
  <c r="FI163"/>
  <c r="FM165"/>
  <c r="ET167"/>
  <c r="EQ170"/>
  <c r="FM173"/>
  <c r="FI181"/>
  <c r="FQ89"/>
  <c r="FI89"/>
  <c r="EU90"/>
  <c r="EU92"/>
  <c r="EU94"/>
  <c r="FB99"/>
  <c r="ET99"/>
  <c r="FE101"/>
  <c r="FA101"/>
  <c r="FI103"/>
  <c r="FT106"/>
  <c r="FI107"/>
  <c r="EU109"/>
  <c r="FI111"/>
  <c r="FF112"/>
  <c r="EU113"/>
  <c r="FB114"/>
  <c r="FQ115"/>
  <c r="FB116"/>
  <c r="FI119"/>
  <c r="FA119"/>
  <c r="FT120"/>
  <c r="FM120"/>
  <c r="FI120"/>
  <c r="FB120"/>
  <c r="EU120"/>
  <c r="FB122"/>
  <c r="FE124"/>
  <c r="FB124"/>
  <c r="FP125"/>
  <c r="FB125"/>
  <c r="FB126"/>
  <c r="FF129"/>
  <c r="FM130"/>
  <c r="FF131"/>
  <c r="FB131"/>
  <c r="FT132"/>
  <c r="FT135"/>
  <c r="FM140"/>
  <c r="FF142"/>
  <c r="FB143"/>
  <c r="EU144"/>
  <c r="FT146"/>
  <c r="FF146"/>
  <c r="ET149"/>
  <c r="FT152"/>
  <c r="EX152"/>
  <c r="FF156"/>
  <c r="FB156"/>
  <c r="FT159"/>
  <c r="FM159"/>
  <c r="FI159"/>
  <c r="FB159"/>
  <c r="FM162"/>
  <c r="FI162"/>
  <c r="FM163"/>
  <c r="FF163"/>
  <c r="FB163"/>
  <c r="EU163"/>
  <c r="FF165"/>
  <c r="FB165"/>
  <c r="FF166"/>
  <c r="EU167"/>
  <c r="FF173"/>
  <c r="FB173"/>
  <c r="FM174"/>
  <c r="FI174"/>
  <c r="FE174"/>
  <c r="FB174"/>
  <c r="EU174"/>
  <c r="FP178"/>
  <c r="FI180"/>
  <c r="FM182"/>
  <c r="FI182"/>
  <c r="FM185"/>
  <c r="N374"/>
  <c r="W372"/>
  <c r="W422" s="1"/>
  <c r="L372"/>
  <c r="L422" s="1"/>
  <c r="ET102"/>
  <c r="FE103"/>
  <c r="FE107"/>
  <c r="EQ112"/>
  <c r="FM115"/>
  <c r="FI130"/>
  <c r="FI131"/>
  <c r="FM137"/>
  <c r="FI141"/>
  <c r="FI142"/>
  <c r="EQ143"/>
  <c r="EQ144"/>
  <c r="FM153"/>
  <c r="FM156"/>
  <c r="EQ164"/>
  <c r="FI165"/>
  <c r="ET171"/>
  <c r="FI173"/>
  <c r="FM180"/>
  <c r="AD372"/>
  <c r="AD422" s="1"/>
  <c r="FP94"/>
  <c r="FP96"/>
  <c r="FM101"/>
  <c r="FI101"/>
  <c r="FB101"/>
  <c r="EQ101"/>
  <c r="FF102"/>
  <c r="FM103"/>
  <c r="FB104"/>
  <c r="FF106"/>
  <c r="FM107"/>
  <c r="FT110"/>
  <c r="FF110"/>
  <c r="FM111"/>
  <c r="EQ117"/>
  <c r="EQ118"/>
  <c r="FF120"/>
  <c r="FT122"/>
  <c r="FM124"/>
  <c r="FI124"/>
  <c r="FF124"/>
  <c r="EQ125"/>
  <c r="FT126"/>
  <c r="EQ130"/>
  <c r="EU131"/>
  <c r="FF132"/>
  <c r="FF135"/>
  <c r="FF136"/>
  <c r="FM141"/>
  <c r="FT143"/>
  <c r="FB146"/>
  <c r="FF147"/>
  <c r="FB149"/>
  <c r="EU151"/>
  <c r="FI153"/>
  <c r="FA153"/>
  <c r="FF154"/>
  <c r="EX154"/>
  <c r="ET156"/>
  <c r="FF157"/>
  <c r="FF159"/>
  <c r="EQ159"/>
  <c r="FF162"/>
  <c r="FB162"/>
  <c r="EX162"/>
  <c r="ET162"/>
  <c r="FJ163"/>
  <c r="FT164"/>
  <c r="FI164"/>
  <c r="EU165"/>
  <c r="EU166"/>
  <c r="FM170"/>
  <c r="FI170"/>
  <c r="FF171"/>
  <c r="EU173"/>
  <c r="FF174"/>
  <c r="FB175"/>
  <c r="EU176"/>
  <c r="FF177"/>
  <c r="FJ180"/>
  <c r="FA180"/>
  <c r="ET180"/>
  <c r="FM181"/>
  <c r="FF182"/>
  <c r="FB182"/>
  <c r="EU182"/>
  <c r="FB183"/>
  <c r="FF187"/>
  <c r="N377"/>
  <c r="N380"/>
  <c r="Z372"/>
  <c r="Z374" s="1"/>
  <c r="Y377"/>
  <c r="Y375"/>
  <c r="FA89"/>
  <c r="FP90"/>
  <c r="FP92"/>
  <c r="FA92"/>
  <c r="ES100"/>
  <c r="FP101"/>
  <c r="EX101"/>
  <c r="ES107"/>
  <c r="ES109"/>
  <c r="FP110"/>
  <c r="FJ120"/>
  <c r="EP122"/>
  <c r="EV125"/>
  <c r="FD126"/>
  <c r="FD131"/>
  <c r="FD132"/>
  <c r="FA137"/>
  <c r="ES141"/>
  <c r="FD142"/>
  <c r="FA145"/>
  <c r="FD152"/>
  <c r="EX158"/>
  <c r="FA163"/>
  <c r="EV164"/>
  <c r="FA166"/>
  <c r="ES173"/>
  <c r="FA186"/>
  <c r="FK89"/>
  <c r="FT90"/>
  <c r="FQ90"/>
  <c r="EX90"/>
  <c r="ET90"/>
  <c r="FJ92"/>
  <c r="EX92"/>
  <c r="ET92"/>
  <c r="EX94"/>
  <c r="ET94"/>
  <c r="FN96"/>
  <c r="FJ96"/>
  <c r="EV96"/>
  <c r="FP99"/>
  <c r="EV99"/>
  <c r="EQ99"/>
  <c r="EQ100"/>
  <c r="FT101"/>
  <c r="EY101"/>
  <c r="ES101"/>
  <c r="FJ102"/>
  <c r="FD102"/>
  <c r="EV102"/>
  <c r="ES103"/>
  <c r="FP104"/>
  <c r="FH104"/>
  <c r="ET104"/>
  <c r="ES105"/>
  <c r="FP108"/>
  <c r="EV108"/>
  <c r="EQ108"/>
  <c r="EQ109"/>
  <c r="FJ110"/>
  <c r="FD110"/>
  <c r="EQ110"/>
  <c r="FE111"/>
  <c r="FT112"/>
  <c r="EY113"/>
  <c r="FT114"/>
  <c r="FD114"/>
  <c r="EV114"/>
  <c r="EQ114"/>
  <c r="FT116"/>
  <c r="FD116"/>
  <c r="EX116"/>
  <c r="FK117"/>
  <c r="FK120"/>
  <c r="FH120"/>
  <c r="FE120"/>
  <c r="ET120"/>
  <c r="FH122"/>
  <c r="FP124"/>
  <c r="EY124"/>
  <c r="EX126"/>
  <c r="EX129"/>
  <c r="FH131"/>
  <c r="EX131"/>
  <c r="EQ131"/>
  <c r="FN132"/>
  <c r="EX132"/>
  <c r="EP132"/>
  <c r="FN134"/>
  <c r="EX134"/>
  <c r="FH135"/>
  <c r="FD136"/>
  <c r="FK137"/>
  <c r="FH137"/>
  <c r="EQ137"/>
  <c r="FT138"/>
  <c r="EQ138"/>
  <c r="FH139"/>
  <c r="EX139"/>
  <c r="ES139"/>
  <c r="ET139"/>
  <c r="EY140"/>
  <c r="FH142"/>
  <c r="EX142"/>
  <c r="EY144"/>
  <c r="FH145"/>
  <c r="EX145"/>
  <c r="FH146"/>
  <c r="FD146"/>
  <c r="FT147"/>
  <c r="FD147"/>
  <c r="EV147"/>
  <c r="ET148"/>
  <c r="FP149"/>
  <c r="FH149"/>
  <c r="FH150"/>
  <c r="FD150"/>
  <c r="ET152"/>
  <c r="FK153"/>
  <c r="FJ154"/>
  <c r="ET154"/>
  <c r="EX156"/>
  <c r="EQ156"/>
  <c r="FK159"/>
  <c r="FD159"/>
  <c r="FA159"/>
  <c r="ET159"/>
  <c r="FK162"/>
  <c r="EY162"/>
  <c r="FP163"/>
  <c r="EX163"/>
  <c r="ET163"/>
  <c r="FA164"/>
  <c r="EX164"/>
  <c r="FJ165"/>
  <c r="ET165"/>
  <c r="FP167"/>
  <c r="EY169"/>
  <c r="FT170"/>
  <c r="FP170"/>
  <c r="FH170"/>
  <c r="FD170"/>
  <c r="EV170"/>
  <c r="FT171"/>
  <c r="FD171"/>
  <c r="EX173"/>
  <c r="FT175"/>
  <c r="FK176"/>
  <c r="FK180"/>
  <c r="FH180"/>
  <c r="FT182"/>
  <c r="FP183"/>
  <c r="EY185"/>
  <c r="FH186"/>
  <c r="EX186"/>
  <c r="H378"/>
  <c r="N381"/>
  <c r="O372"/>
  <c r="O373" s="1"/>
  <c r="J372"/>
  <c r="J381" s="1"/>
  <c r="E493"/>
  <c r="H494" s="1"/>
  <c r="E475"/>
  <c r="E465"/>
  <c r="H466" s="1"/>
  <c r="FA90"/>
  <c r="ES90"/>
  <c r="ES92"/>
  <c r="FA94"/>
  <c r="ES94"/>
  <c r="FP102"/>
  <c r="EX106"/>
  <c r="FA115"/>
  <c r="ES119"/>
  <c r="FD120"/>
  <c r="ES120"/>
  <c r="EX122"/>
  <c r="FD125"/>
  <c r="FA131"/>
  <c r="EP131"/>
  <c r="FP136"/>
  <c r="FD137"/>
  <c r="FP138"/>
  <c r="FA142"/>
  <c r="FD145"/>
  <c r="EX146"/>
  <c r="FP156"/>
  <c r="FD156"/>
  <c r="FD163"/>
  <c r="ES163"/>
  <c r="FA165"/>
  <c r="ES165"/>
  <c r="FJ171"/>
  <c r="FP177"/>
  <c r="FP182"/>
  <c r="FD182"/>
  <c r="ES182"/>
  <c r="FJ183"/>
  <c r="FD186"/>
  <c r="H379"/>
  <c r="U372"/>
  <c r="U373" s="1"/>
  <c r="E469"/>
  <c r="H468" s="1"/>
  <c r="EV88"/>
  <c r="EX89"/>
  <c r="FJ90"/>
  <c r="FG90"/>
  <c r="EY90"/>
  <c r="EQ90"/>
  <c r="FK92"/>
  <c r="FG92"/>
  <c r="EY92"/>
  <c r="EQ92"/>
  <c r="FK94"/>
  <c r="EY94"/>
  <c r="EQ94"/>
  <c r="FK96"/>
  <c r="FH96"/>
  <c r="FD96"/>
  <c r="FA96"/>
  <c r="ES96"/>
  <c r="EQ97"/>
  <c r="FD99"/>
  <c r="EX99"/>
  <c r="FK100"/>
  <c r="FD101"/>
  <c r="FT102"/>
  <c r="EX102"/>
  <c r="FJ104"/>
  <c r="FD104"/>
  <c r="EV104"/>
  <c r="EQ104"/>
  <c r="EQ105"/>
  <c r="FP106"/>
  <c r="FH106"/>
  <c r="ET106"/>
  <c r="FQ107"/>
  <c r="FA107"/>
  <c r="EQ107"/>
  <c r="FD108"/>
  <c r="FK109"/>
  <c r="EX110"/>
  <c r="ES111"/>
  <c r="FP112"/>
  <c r="FH112"/>
  <c r="ET112"/>
  <c r="ES113"/>
  <c r="ES115"/>
  <c r="EY117"/>
  <c r="EY119"/>
  <c r="EQ119"/>
  <c r="EY120"/>
  <c r="EQ120"/>
  <c r="FT124"/>
  <c r="FJ124"/>
  <c r="ES124"/>
  <c r="FT125"/>
  <c r="FP126"/>
  <c r="FH126"/>
  <c r="ES130"/>
  <c r="FT131"/>
  <c r="EY131"/>
  <c r="EV131"/>
  <c r="FP132"/>
  <c r="FH132"/>
  <c r="EQ133"/>
  <c r="FP135"/>
  <c r="FT136"/>
  <c r="EY137"/>
  <c r="FT139"/>
  <c r="FD139"/>
  <c r="EY139"/>
  <c r="FA140"/>
  <c r="EY141"/>
  <c r="FP142"/>
  <c r="EY142"/>
  <c r="ES142"/>
  <c r="FK143"/>
  <c r="FH143"/>
  <c r="FD143"/>
  <c r="EY145"/>
  <c r="EQ146"/>
  <c r="FJ149"/>
  <c r="FD149"/>
  <c r="FT150"/>
  <c r="FP150"/>
  <c r="EV150"/>
  <c r="EQ150"/>
  <c r="EQ151"/>
  <c r="EQ152"/>
  <c r="EY153"/>
  <c r="EQ153"/>
  <c r="FD154"/>
  <c r="EQ154"/>
  <c r="FJ156"/>
  <c r="EY156"/>
  <c r="ES156"/>
  <c r="FT157"/>
  <c r="FH157"/>
  <c r="EV158"/>
  <c r="FH159"/>
  <c r="FT162"/>
  <c r="FH162"/>
  <c r="FD162"/>
  <c r="ES162"/>
  <c r="FT163"/>
  <c r="FQ163"/>
  <c r="EY163"/>
  <c r="EQ163"/>
  <c r="FH164"/>
  <c r="EY164"/>
  <c r="ES164"/>
  <c r="ET164"/>
  <c r="FK165"/>
  <c r="EY165"/>
  <c r="EQ165"/>
  <c r="FK166"/>
  <c r="ES169"/>
  <c r="FA170"/>
  <c r="ES170"/>
  <c r="FK173"/>
  <c r="EY173"/>
  <c r="EQ173"/>
  <c r="FK174"/>
  <c r="FD174"/>
  <c r="EY174"/>
  <c r="EQ174"/>
  <c r="ET175"/>
  <c r="FH177"/>
  <c r="EX177"/>
  <c r="FK181"/>
  <c r="EY182"/>
  <c r="EQ182"/>
  <c r="EV184"/>
  <c r="FT186"/>
  <c r="EY186"/>
  <c r="H375"/>
  <c r="H380"/>
  <c r="FJ108"/>
  <c r="FK118"/>
  <c r="FM138"/>
  <c r="FS178"/>
  <c r="EY178"/>
  <c r="FR108"/>
  <c r="FF108"/>
  <c r="FO118"/>
  <c r="EY118"/>
  <c r="FP128"/>
  <c r="EZ128"/>
  <c r="EW138"/>
  <c r="ES138"/>
  <c r="FR148"/>
  <c r="FB148"/>
  <c r="ET168"/>
  <c r="FT178"/>
  <c r="FM178"/>
  <c r="FI178"/>
  <c r="FC178"/>
  <c r="EU178"/>
  <c r="FF158"/>
  <c r="FF178"/>
  <c r="EX108"/>
  <c r="EV128"/>
  <c r="FI138"/>
  <c r="FI158"/>
  <c r="FB178"/>
  <c r="FD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EK137"/>
  <c r="FT158"/>
  <c r="FN158"/>
  <c r="FD158"/>
  <c r="EZ178"/>
  <c r="FR88"/>
  <c r="FJ88"/>
  <c r="FB88"/>
  <c r="ET88"/>
  <c r="FM98"/>
  <c r="FS138"/>
  <c r="FF138"/>
  <c r="FM158"/>
  <c r="EY158"/>
  <c r="FJ168"/>
  <c r="FT88"/>
  <c r="FF88"/>
  <c r="FP88"/>
  <c r="FH88"/>
  <c r="ER88"/>
  <c r="FI98"/>
  <c r="ES98"/>
  <c r="FH128"/>
  <c r="FE138"/>
  <c r="EY138"/>
  <c r="EU138"/>
  <c r="FJ148"/>
  <c r="FO158"/>
  <c r="FH158"/>
  <c r="FE158"/>
  <c r="FB158"/>
  <c r="FR178"/>
  <c r="FO178"/>
  <c r="FK178"/>
  <c r="ES178"/>
  <c r="FT108"/>
  <c r="FH108"/>
  <c r="FR138"/>
  <c r="EF217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Y431" s="1"/>
  <c r="I28"/>
  <c r="I44" s="1"/>
  <c r="I430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Y425" s="1"/>
  <c r="U23"/>
  <c r="U39" s="1"/>
  <c r="M23"/>
  <c r="M39" s="1"/>
  <c r="I23"/>
  <c r="I39" s="1"/>
  <c r="I425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I431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Y430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Y429" s="1"/>
  <c r="U27"/>
  <c r="U43" s="1"/>
  <c r="Q27"/>
  <c r="Q43" s="1"/>
  <c r="M27"/>
  <c r="M43" s="1"/>
  <c r="I27"/>
  <c r="I43" s="1"/>
  <c r="I429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Y428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Y427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Y426" s="1"/>
  <c r="U24"/>
  <c r="U40" s="1"/>
  <c r="Q24"/>
  <c r="Q40" s="1"/>
  <c r="M24"/>
  <c r="M40" s="1"/>
  <c r="I24"/>
  <c r="I40" s="1"/>
  <c r="I426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I424" s="1"/>
  <c r="Q23"/>
  <c r="Q39" s="1"/>
  <c r="D72"/>
  <c r="D535" s="1"/>
  <c r="Y22"/>
  <c r="Y38" s="1"/>
  <c r="Y424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G21"/>
  <c r="AG37" s="1"/>
  <c r="AC30"/>
  <c r="AC46" s="1"/>
  <c r="Y30"/>
  <c r="Y46" s="1"/>
  <c r="Y432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Y423" s="1"/>
  <c r="L21"/>
  <c r="L37" s="1"/>
  <c r="AE30"/>
  <c r="AE46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432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X372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AA372"/>
  <c r="FJ182"/>
  <c r="FJ158"/>
  <c r="FJ150"/>
  <c r="FJ143"/>
  <c r="FJ142"/>
  <c r="FJ114"/>
  <c r="FJ159"/>
  <c r="FJ145"/>
  <c r="FJ137"/>
  <c r="FJ131"/>
  <c r="E487"/>
  <c r="H488" s="1"/>
  <c r="FE156"/>
  <c r="FC164"/>
  <c r="T372"/>
  <c r="T380" s="1"/>
  <c r="FC169"/>
  <c r="FC156"/>
  <c r="FC153"/>
  <c r="EZ186"/>
  <c r="EZ177"/>
  <c r="EZ170"/>
  <c r="EZ152"/>
  <c r="EZ145"/>
  <c r="EZ131"/>
  <c r="EZ116"/>
  <c r="E477"/>
  <c r="H478" s="1"/>
  <c r="Q372"/>
  <c r="Q374" s="1"/>
  <c r="EZ182"/>
  <c r="EZ154"/>
  <c r="EZ146"/>
  <c r="EZ137"/>
  <c r="EZ120"/>
  <c r="AK374"/>
  <c r="R372"/>
  <c r="FA174"/>
  <c r="FA181"/>
  <c r="FA162"/>
  <c r="FA156"/>
  <c r="EX157"/>
  <c r="EX150"/>
  <c r="EX143"/>
  <c r="EX120"/>
  <c r="E473"/>
  <c r="H472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V372"/>
  <c r="V381" s="1"/>
  <c r="G372"/>
  <c r="G422" s="1"/>
  <c r="H514"/>
  <c r="E497"/>
  <c r="H498" s="1"/>
  <c r="E483"/>
  <c r="H484" s="1"/>
  <c r="M378"/>
  <c r="M377"/>
  <c r="AJ372"/>
  <c r="AJ379" s="1"/>
  <c r="FS164"/>
  <c r="FS162"/>
  <c r="FS139"/>
  <c r="FS180"/>
  <c r="FS169"/>
  <c r="FS156"/>
  <c r="FS153"/>
  <c r="AG372"/>
  <c r="AG377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AH372"/>
  <c r="AC372"/>
  <c r="AC42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ES125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6"/>
  <c r="Y382"/>
  <c r="Y380"/>
  <c r="Y376"/>
  <c r="Y378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J28"/>
  <c r="CM128"/>
  <c r="Q379"/>
  <c r="H480"/>
  <c r="AH23"/>
  <c r="AH39" s="1"/>
  <c r="AH30"/>
  <c r="AH46" s="1"/>
  <c r="AD23"/>
  <c r="AD39" s="1"/>
  <c r="AD30"/>
  <c r="AD46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AI378" l="1"/>
  <c r="S376"/>
  <c r="AF381"/>
  <c r="AI373"/>
  <c r="AF380"/>
  <c r="AI375"/>
  <c r="AK422"/>
  <c r="AK432" s="1"/>
  <c r="AK450" s="1"/>
  <c r="AK373"/>
  <c r="AK382"/>
  <c r="AK379"/>
  <c r="AK375"/>
  <c r="AK378"/>
  <c r="H492"/>
  <c r="AK380"/>
  <c r="AI382"/>
  <c r="AF378"/>
  <c r="S426"/>
  <c r="S444" s="1"/>
  <c r="AD428"/>
  <c r="AD446" s="1"/>
  <c r="AD432"/>
  <c r="AD450" s="1"/>
  <c r="J375"/>
  <c r="AB375"/>
  <c r="W426"/>
  <c r="W444" s="1"/>
  <c r="Z375"/>
  <c r="AC374"/>
  <c r="AB381"/>
  <c r="L382"/>
  <c r="Z381"/>
  <c r="W425"/>
  <c r="W443" s="1"/>
  <c r="W430"/>
  <c r="W448" s="1"/>
  <c r="W431"/>
  <c r="W449" s="1"/>
  <c r="H476"/>
  <c r="AD374"/>
  <c r="U382"/>
  <c r="N426"/>
  <c r="N444" s="1"/>
  <c r="N425"/>
  <c r="N443" s="1"/>
  <c r="AB377"/>
  <c r="H490"/>
  <c r="AK426"/>
  <c r="AK444" s="1"/>
  <c r="N428"/>
  <c r="N446" s="1"/>
  <c r="N432"/>
  <c r="N450" s="1"/>
  <c r="AB373"/>
  <c r="U381"/>
  <c r="AB378"/>
  <c r="N424"/>
  <c r="N442" s="1"/>
  <c r="H496"/>
  <c r="AK428"/>
  <c r="AK446" s="1"/>
  <c r="AC382"/>
  <c r="N430"/>
  <c r="N448" s="1"/>
  <c r="AB379"/>
  <c r="AB374"/>
  <c r="N427"/>
  <c r="N445" s="1"/>
  <c r="N431"/>
  <c r="N449" s="1"/>
  <c r="Z373"/>
  <c r="T377"/>
  <c r="AB382"/>
  <c r="N429"/>
  <c r="N447" s="1"/>
  <c r="N423"/>
  <c r="N441" s="1"/>
  <c r="AK430"/>
  <c r="AK448" s="1"/>
  <c r="W377"/>
  <c r="M424"/>
  <c r="M442" s="1"/>
  <c r="S425"/>
  <c r="S443" s="1"/>
  <c r="AC427"/>
  <c r="AC445" s="1"/>
  <c r="L429"/>
  <c r="L447" s="1"/>
  <c r="AC431"/>
  <c r="AC449" s="1"/>
  <c r="L428"/>
  <c r="L446" s="1"/>
  <c r="AC425"/>
  <c r="AC443" s="1"/>
  <c r="L425"/>
  <c r="L443" s="1"/>
  <c r="AF374"/>
  <c r="AC376"/>
  <c r="AF373"/>
  <c r="AD375"/>
  <c r="AI374"/>
  <c r="L380"/>
  <c r="U380"/>
  <c r="S380"/>
  <c r="J380"/>
  <c r="S379"/>
  <c r="AC423"/>
  <c r="AC441" s="1"/>
  <c r="L423"/>
  <c r="L441" s="1"/>
  <c r="AD431"/>
  <c r="AD449" s="1"/>
  <c r="H429"/>
  <c r="H447" s="1"/>
  <c r="M429"/>
  <c r="M447" s="1"/>
  <c r="AC429"/>
  <c r="AC447" s="1"/>
  <c r="P429"/>
  <c r="P447" s="1"/>
  <c r="S430"/>
  <c r="S448" s="1"/>
  <c r="P424"/>
  <c r="P442" s="1"/>
  <c r="AD427"/>
  <c r="AD445" s="1"/>
  <c r="H424"/>
  <c r="H442" s="1"/>
  <c r="AI377"/>
  <c r="AF422"/>
  <c r="AF427" s="1"/>
  <c r="AF445" s="1"/>
  <c r="AF379"/>
  <c r="AC380"/>
  <c r="AF377"/>
  <c r="AF432"/>
  <c r="AF450" s="1"/>
  <c r="AD379"/>
  <c r="L374"/>
  <c r="AF376"/>
  <c r="AD429"/>
  <c r="AD447" s="1"/>
  <c r="L432"/>
  <c r="L450" s="1"/>
  <c r="H425"/>
  <c r="H443" s="1"/>
  <c r="S428"/>
  <c r="S446" s="1"/>
  <c r="AC430"/>
  <c r="AC448" s="1"/>
  <c r="S431"/>
  <c r="S449" s="1"/>
  <c r="L426"/>
  <c r="L444" s="1"/>
  <c r="H426"/>
  <c r="H444" s="1"/>
  <c r="AD424"/>
  <c r="AD442" s="1"/>
  <c r="AD426"/>
  <c r="AD444" s="1"/>
  <c r="AD425"/>
  <c r="AD443" s="1"/>
  <c r="AC381"/>
  <c r="AF375"/>
  <c r="AC378"/>
  <c r="S374"/>
  <c r="AD377"/>
  <c r="AI376"/>
  <c r="L373"/>
  <c r="S373"/>
  <c r="AA374"/>
  <c r="AA422"/>
  <c r="AA423" s="1"/>
  <c r="AA441" s="1"/>
  <c r="Z376"/>
  <c r="Z422"/>
  <c r="Z428" s="1"/>
  <c r="Z446" s="1"/>
  <c r="K378"/>
  <c r="K422"/>
  <c r="K429" s="1"/>
  <c r="K447" s="1"/>
  <c r="AE374"/>
  <c r="AE422"/>
  <c r="AE428" s="1"/>
  <c r="AE446" s="1"/>
  <c r="X373"/>
  <c r="X422"/>
  <c r="X426" s="1"/>
  <c r="X444" s="1"/>
  <c r="AH375"/>
  <c r="AH422"/>
  <c r="AH430" s="1"/>
  <c r="AH448" s="1"/>
  <c r="R379"/>
  <c r="R422"/>
  <c r="R430" s="1"/>
  <c r="R448" s="1"/>
  <c r="Q382"/>
  <c r="Q422"/>
  <c r="Q428" s="1"/>
  <c r="Q446" s="1"/>
  <c r="T381"/>
  <c r="T422"/>
  <c r="T424" s="1"/>
  <c r="T442" s="1"/>
  <c r="O381"/>
  <c r="O422"/>
  <c r="O424" s="1"/>
  <c r="O442" s="1"/>
  <c r="AI381"/>
  <c r="AI422"/>
  <c r="AI426" s="1"/>
  <c r="AI444" s="1"/>
  <c r="AI380"/>
  <c r="G428"/>
  <c r="G446" s="1"/>
  <c r="G382"/>
  <c r="H470"/>
  <c r="W376"/>
  <c r="Z380"/>
  <c r="W432"/>
  <c r="W450" s="1"/>
  <c r="W427"/>
  <c r="W445" s="1"/>
  <c r="G427"/>
  <c r="W378"/>
  <c r="AE382"/>
  <c r="AD430"/>
  <c r="AD448" s="1"/>
  <c r="P432"/>
  <c r="P450" s="1"/>
  <c r="S382"/>
  <c r="AD373"/>
  <c r="AD378"/>
  <c r="L379"/>
  <c r="L381"/>
  <c r="AA377"/>
  <c r="W373"/>
  <c r="S381"/>
  <c r="Z382"/>
  <c r="S377"/>
  <c r="W424"/>
  <c r="W442" s="1"/>
  <c r="H423"/>
  <c r="H441" s="1"/>
  <c r="W423"/>
  <c r="W441" s="1"/>
  <c r="S432"/>
  <c r="S450" s="1"/>
  <c r="AD423"/>
  <c r="AD441" s="1"/>
  <c r="M423"/>
  <c r="M441" s="1"/>
  <c r="AC432"/>
  <c r="AC450" s="1"/>
  <c r="AC424"/>
  <c r="AC442" s="1"/>
  <c r="H427"/>
  <c r="H445" s="1"/>
  <c r="S427"/>
  <c r="S445" s="1"/>
  <c r="AC428"/>
  <c r="AC446" s="1"/>
  <c r="P428"/>
  <c r="P446" s="1"/>
  <c r="S429"/>
  <c r="S447" s="1"/>
  <c r="H430"/>
  <c r="H448" s="1"/>
  <c r="M430"/>
  <c r="M448" s="1"/>
  <c r="P431"/>
  <c r="P449" s="1"/>
  <c r="H431"/>
  <c r="H449" s="1"/>
  <c r="L424"/>
  <c r="L442" s="1"/>
  <c r="P430"/>
  <c r="P448" s="1"/>
  <c r="AG378"/>
  <c r="AG422"/>
  <c r="AG426" s="1"/>
  <c r="AG444" s="1"/>
  <c r="AJ377"/>
  <c r="AJ422"/>
  <c r="AJ431" s="1"/>
  <c r="AJ449" s="1"/>
  <c r="V376"/>
  <c r="V422"/>
  <c r="V425" s="1"/>
  <c r="V443" s="1"/>
  <c r="U375"/>
  <c r="U422"/>
  <c r="U423" s="1"/>
  <c r="U441" s="1"/>
  <c r="J382"/>
  <c r="J422"/>
  <c r="J423" s="1"/>
  <c r="J441" s="1"/>
  <c r="AB380"/>
  <c r="AB422"/>
  <c r="AB428" s="1"/>
  <c r="AB446" s="1"/>
  <c r="G432"/>
  <c r="G450" s="1"/>
  <c r="G430"/>
  <c r="G448" s="1"/>
  <c r="W382"/>
  <c r="G425"/>
  <c r="G443" s="1"/>
  <c r="G429"/>
  <c r="G447" s="1"/>
  <c r="W429"/>
  <c r="W447" s="1"/>
  <c r="G431"/>
  <c r="G449" s="1"/>
  <c r="W374"/>
  <c r="Z379"/>
  <c r="S378"/>
  <c r="X374"/>
  <c r="AD376"/>
  <c r="L375"/>
  <c r="L377"/>
  <c r="AA375"/>
  <c r="AJ373"/>
  <c r="Z378"/>
  <c r="S375"/>
  <c r="S424"/>
  <c r="S442" s="1"/>
  <c r="S423"/>
  <c r="S441" s="1"/>
  <c r="M432"/>
  <c r="M450" s="1"/>
  <c r="H432"/>
  <c r="H450" s="1"/>
  <c r="P425"/>
  <c r="P443" s="1"/>
  <c r="M426"/>
  <c r="M444" s="1"/>
  <c r="AC426"/>
  <c r="AC444" s="1"/>
  <c r="M427"/>
  <c r="M445" s="1"/>
  <c r="H428"/>
  <c r="H446" s="1"/>
  <c r="W428"/>
  <c r="W446" s="1"/>
  <c r="M428"/>
  <c r="M446" s="1"/>
  <c r="L431"/>
  <c r="L449" s="1"/>
  <c r="M431"/>
  <c r="M449" s="1"/>
  <c r="P427"/>
  <c r="P445" s="1"/>
  <c r="M425"/>
  <c r="M443" s="1"/>
  <c r="L427"/>
  <c r="L445" s="1"/>
  <c r="P426"/>
  <c r="P444" s="1"/>
  <c r="L430"/>
  <c r="L448" s="1"/>
  <c r="Z377"/>
  <c r="DZ218"/>
  <c r="EE217"/>
  <c r="DV219"/>
  <c r="DN212"/>
  <c r="FA88"/>
  <c r="DQ212"/>
  <c r="ES168"/>
  <c r="DI220"/>
  <c r="EU88"/>
  <c r="DK212"/>
  <c r="EU98"/>
  <c r="DK213"/>
  <c r="ER118"/>
  <c r="DH215"/>
  <c r="EY88"/>
  <c r="DO212"/>
  <c r="EX98"/>
  <c r="DN213"/>
  <c r="DZ220"/>
  <c r="DG217"/>
  <c r="DH218"/>
  <c r="DR219"/>
  <c r="DO217"/>
  <c r="DV212"/>
  <c r="EI217"/>
  <c r="DI219"/>
  <c r="DL212"/>
  <c r="EZ98"/>
  <c r="DP213"/>
  <c r="EQ128"/>
  <c r="DG216"/>
  <c r="EY98"/>
  <c r="DO213"/>
  <c r="EQ148"/>
  <c r="DG218"/>
  <c r="EW88"/>
  <c r="DM212"/>
  <c r="EV98"/>
  <c r="DL213"/>
  <c r="DY213"/>
  <c r="DH216"/>
  <c r="ED214"/>
  <c r="DG215"/>
  <c r="DP212"/>
  <c r="DQ213"/>
  <c r="DF216"/>
  <c r="EJ216"/>
  <c r="DT212"/>
  <c r="DH217"/>
  <c r="DM213"/>
  <c r="G423"/>
  <c r="G441" s="1"/>
  <c r="W379"/>
  <c r="W381"/>
  <c r="W375"/>
  <c r="W380"/>
  <c r="V374"/>
  <c r="G459"/>
  <c r="O382"/>
  <c r="AH379"/>
  <c r="U377"/>
  <c r="U376"/>
  <c r="AA379"/>
  <c r="J374"/>
  <c r="AD382"/>
  <c r="AD380"/>
  <c r="AD381"/>
  <c r="L376"/>
  <c r="L378"/>
  <c r="J379"/>
  <c r="AA376"/>
  <c r="AA382"/>
  <c r="FU162"/>
  <c r="H500"/>
  <c r="O379"/>
  <c r="O376"/>
  <c r="I442"/>
  <c r="Y448"/>
  <c r="Y443"/>
  <c r="Y447"/>
  <c r="M61"/>
  <c r="I441"/>
  <c r="Y450"/>
  <c r="U61"/>
  <c r="Y446"/>
  <c r="U378"/>
  <c r="U379"/>
  <c r="U374"/>
  <c r="J378"/>
  <c r="J377"/>
  <c r="J376"/>
  <c r="J373"/>
  <c r="AG375"/>
  <c r="AJ374"/>
  <c r="FU131"/>
  <c r="H460"/>
  <c r="O378"/>
  <c r="AE378"/>
  <c r="T378"/>
  <c r="AG373"/>
  <c r="AG382"/>
  <c r="AJ380"/>
  <c r="AJ381"/>
  <c r="FU92"/>
  <c r="O375"/>
  <c r="H510"/>
  <c r="H474"/>
  <c r="O380"/>
  <c r="W61"/>
  <c r="AI61"/>
  <c r="Y445"/>
  <c r="I446"/>
  <c r="I448"/>
  <c r="S61"/>
  <c r="I447"/>
  <c r="I61"/>
  <c r="I450"/>
  <c r="Y441"/>
  <c r="AK61"/>
  <c r="Y442"/>
  <c r="I444"/>
  <c r="Y444"/>
  <c r="I445"/>
  <c r="I449"/>
  <c r="I443"/>
  <c r="Y449"/>
  <c r="AJ382"/>
  <c r="O374"/>
  <c r="Q376"/>
  <c r="X381"/>
  <c r="AG380"/>
  <c r="AJ378"/>
  <c r="H464"/>
  <c r="O377"/>
  <c r="H482"/>
  <c r="DF212"/>
  <c r="DJ217"/>
  <c r="DJ212"/>
  <c r="DF219"/>
  <c r="DF217"/>
  <c r="DF221"/>
  <c r="DF214"/>
  <c r="DL216"/>
  <c r="DJ219"/>
  <c r="FD168"/>
  <c r="DT220"/>
  <c r="EY168"/>
  <c r="DO220"/>
  <c r="EX128"/>
  <c r="DN216"/>
  <c r="FA118"/>
  <c r="DQ215"/>
  <c r="EQ98"/>
  <c r="DG213"/>
  <c r="FS148"/>
  <c r="EI218"/>
  <c r="FC148"/>
  <c r="DS218"/>
  <c r="FI88"/>
  <c r="DY212"/>
  <c r="EW128"/>
  <c r="DM216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M219"/>
  <c r="DJ221"/>
  <c r="EE221"/>
  <c r="EC219"/>
  <c r="DG221"/>
  <c r="DT221"/>
  <c r="EA219"/>
  <c r="EI215"/>
  <c r="DY219"/>
  <c r="DZ219"/>
  <c r="EK156"/>
  <c r="DH221"/>
  <c r="DX221"/>
  <c r="EB219"/>
  <c r="EB217"/>
  <c r="DT214"/>
  <c r="ED212"/>
  <c r="DS219"/>
  <c r="EB216"/>
  <c r="EG221"/>
  <c r="DW219"/>
  <c r="EH217"/>
  <c r="EJ214"/>
  <c r="DL217"/>
  <c r="EJ219"/>
  <c r="DZ217"/>
  <c r="DP214"/>
  <c r="DV221"/>
  <c r="DK221"/>
  <c r="DY221"/>
  <c r="EJ221"/>
  <c r="DR218"/>
  <c r="DI217"/>
  <c r="DP216"/>
  <c r="DO215"/>
  <c r="DV214"/>
  <c r="DO221"/>
  <c r="EC217"/>
  <c r="DZ214"/>
  <c r="FA108"/>
  <c r="DQ214"/>
  <c r="FH168"/>
  <c r="DX220"/>
  <c r="FO168"/>
  <c r="EE220"/>
  <c r="FQ118"/>
  <c r="EG215"/>
  <c r="FT148"/>
  <c r="EJ218"/>
  <c r="FE108"/>
  <c r="DU214"/>
  <c r="FR168"/>
  <c r="EH220"/>
  <c r="FN168"/>
  <c r="ED220"/>
  <c r="FT168"/>
  <c r="EJ220"/>
  <c r="FS168"/>
  <c r="EI220"/>
  <c r="FK168"/>
  <c r="EA220"/>
  <c r="FC168"/>
  <c r="DS220"/>
  <c r="FP118"/>
  <c r="EF215"/>
  <c r="FH118"/>
  <c r="DX215"/>
  <c r="EZ118"/>
  <c r="DP215"/>
  <c r="FF128"/>
  <c r="DV216"/>
  <c r="FI118"/>
  <c r="DY215"/>
  <c r="FO98"/>
  <c r="EE213"/>
  <c r="FL148"/>
  <c r="EB218"/>
  <c r="FO148"/>
  <c r="EE218"/>
  <c r="FG148"/>
  <c r="DW218"/>
  <c r="EY148"/>
  <c r="DO218"/>
  <c r="FM88"/>
  <c r="EC212"/>
  <c r="FE88"/>
  <c r="DU212"/>
  <c r="FQ128"/>
  <c r="EG216"/>
  <c r="FI128"/>
  <c r="DY216"/>
  <c r="FA128"/>
  <c r="DQ216"/>
  <c r="ES128"/>
  <c r="DI216"/>
  <c r="FT98"/>
  <c r="EJ213"/>
  <c r="FL98"/>
  <c r="EB213"/>
  <c r="FD98"/>
  <c r="DT213"/>
  <c r="DI221"/>
  <c r="DX216"/>
  <c r="DX212"/>
  <c r="DZ212"/>
  <c r="DP220"/>
  <c r="DG219"/>
  <c r="DN217"/>
  <c r="DQ217"/>
  <c r="ED217"/>
  <c r="EB214"/>
  <c r="EK171"/>
  <c r="DF215"/>
  <c r="FU137"/>
  <c r="FU170"/>
  <c r="FU173"/>
  <c r="DU221"/>
  <c r="DH219"/>
  <c r="DW215"/>
  <c r="DL220"/>
  <c r="DS217"/>
  <c r="EA221"/>
  <c r="EH221"/>
  <c r="DU219"/>
  <c r="EE219"/>
  <c r="DK217"/>
  <c r="DU217"/>
  <c r="DI213"/>
  <c r="DH212"/>
  <c r="EF212"/>
  <c r="EJ212"/>
  <c r="DO219"/>
  <c r="DV217"/>
  <c r="EC213"/>
  <c r="DR212"/>
  <c r="EH212"/>
  <c r="ED221"/>
  <c r="DX217"/>
  <c r="DX214"/>
  <c r="EI219"/>
  <c r="DL221"/>
  <c r="DZ221"/>
  <c r="DK219"/>
  <c r="DV218"/>
  <c r="EA217"/>
  <c r="DT216"/>
  <c r="DI215"/>
  <c r="DR214"/>
  <c r="DU213"/>
  <c r="DR221"/>
  <c r="DY217"/>
  <c r="DN214"/>
  <c r="DT219"/>
  <c r="EG219"/>
  <c r="DW217"/>
  <c r="EJ217"/>
  <c r="EB212"/>
  <c r="DP217"/>
  <c r="FI108"/>
  <c r="DY214"/>
  <c r="FQ108"/>
  <c r="EG214"/>
  <c r="FG168"/>
  <c r="DW220"/>
  <c r="EQ168"/>
  <c r="DG220"/>
  <c r="FT118"/>
  <c r="EJ215"/>
  <c r="FL118"/>
  <c r="EB215"/>
  <c r="FD118"/>
  <c r="DT215"/>
  <c r="FN128"/>
  <c r="ED216"/>
  <c r="FG98"/>
  <c r="DW213"/>
  <c r="FD148"/>
  <c r="DT218"/>
  <c r="FK148"/>
  <c r="EA218"/>
  <c r="FQ88"/>
  <c r="EG212"/>
  <c r="ES88"/>
  <c r="DI212"/>
  <c r="FM128"/>
  <c r="EC216"/>
  <c r="FE128"/>
  <c r="DU216"/>
  <c r="FP98"/>
  <c r="EF213"/>
  <c r="FH98"/>
  <c r="DX213"/>
  <c r="ER98"/>
  <c r="DH213"/>
  <c r="FM108"/>
  <c r="EC214"/>
  <c r="EW178"/>
  <c r="FU178" s="1"/>
  <c r="DM22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N221"/>
  <c r="EF220"/>
  <c r="EF219"/>
  <c r="DX219"/>
  <c r="FU125"/>
  <c r="FU106"/>
  <c r="FU102"/>
  <c r="DF220"/>
  <c r="DF218"/>
  <c r="DF213"/>
  <c r="FU147"/>
  <c r="FU129"/>
  <c r="FU158"/>
  <c r="DG214"/>
  <c r="DL219"/>
  <c r="DQ221"/>
  <c r="DN219"/>
  <c r="EF214"/>
  <c r="EF221"/>
  <c r="ED218"/>
  <c r="DW221"/>
  <c r="DQ219"/>
  <c r="EH219"/>
  <c r="DR217"/>
  <c r="DS215"/>
  <c r="EB221"/>
  <c r="DP221"/>
  <c r="DP219"/>
  <c r="ED219"/>
  <c r="DT217"/>
  <c r="EG217"/>
  <c r="EG213"/>
  <c r="DN218"/>
  <c r="DS221"/>
  <c r="EC221"/>
  <c r="DJ220"/>
  <c r="EH218"/>
  <c r="DM217"/>
  <c r="EF216"/>
  <c r="EE215"/>
  <c r="EH214"/>
  <c r="EI221"/>
  <c r="EA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G491"/>
  <c r="F475"/>
  <c r="G475"/>
  <c r="F459"/>
  <c r="I542"/>
  <c r="I550"/>
  <c r="J39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G465"/>
  <c r="F465"/>
  <c r="I466" s="1"/>
  <c r="J466" s="1"/>
  <c r="G38"/>
  <c r="G424" s="1"/>
  <c r="D22"/>
  <c r="C373"/>
  <c r="D531"/>
  <c r="N61"/>
  <c r="V61"/>
  <c r="AD61"/>
  <c r="I536"/>
  <c r="J44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AF425" l="1"/>
  <c r="AF443" s="1"/>
  <c r="I492"/>
  <c r="J492" s="1"/>
  <c r="K494" s="1"/>
  <c r="AF428"/>
  <c r="AF446" s="1"/>
  <c r="AK429"/>
  <c r="AK447" s="1"/>
  <c r="AK423"/>
  <c r="AK441" s="1"/>
  <c r="AK424"/>
  <c r="AK442" s="1"/>
  <c r="AK425"/>
  <c r="AK443" s="1"/>
  <c r="AK431"/>
  <c r="AK449" s="1"/>
  <c r="AK427"/>
  <c r="AK445" s="1"/>
  <c r="T423"/>
  <c r="T441" s="1"/>
  <c r="I476"/>
  <c r="J476" s="1"/>
  <c r="K478" s="1"/>
  <c r="AA424"/>
  <c r="AA442" s="1"/>
  <c r="K430"/>
  <c r="K448" s="1"/>
  <c r="U431"/>
  <c r="U449" s="1"/>
  <c r="R423"/>
  <c r="R441" s="1"/>
  <c r="AA429"/>
  <c r="AA447" s="1"/>
  <c r="X424"/>
  <c r="X442" s="1"/>
  <c r="R431"/>
  <c r="R449" s="1"/>
  <c r="X429"/>
  <c r="X447" s="1"/>
  <c r="T426"/>
  <c r="T444" s="1"/>
  <c r="AB431"/>
  <c r="AB449" s="1"/>
  <c r="AA426"/>
  <c r="AA444" s="1"/>
  <c r="X427"/>
  <c r="X445" s="1"/>
  <c r="AI425"/>
  <c r="AI443" s="1"/>
  <c r="X425"/>
  <c r="X443" s="1"/>
  <c r="AA425"/>
  <c r="AA443" s="1"/>
  <c r="AA432"/>
  <c r="AA450" s="1"/>
  <c r="R427"/>
  <c r="R445" s="1"/>
  <c r="AJ432"/>
  <c r="AJ450" s="1"/>
  <c r="X430"/>
  <c r="X448" s="1"/>
  <c r="U430"/>
  <c r="U448" s="1"/>
  <c r="X428"/>
  <c r="X446" s="1"/>
  <c r="AI430"/>
  <c r="AI448" s="1"/>
  <c r="R425"/>
  <c r="R443" s="1"/>
  <c r="R429"/>
  <c r="R447" s="1"/>
  <c r="I490"/>
  <c r="J490" s="1"/>
  <c r="K490" s="1"/>
  <c r="AF426"/>
  <c r="AF444" s="1"/>
  <c r="K426"/>
  <c r="K444" s="1"/>
  <c r="AI428"/>
  <c r="AI446" s="1"/>
  <c r="R428"/>
  <c r="R446" s="1"/>
  <c r="K423"/>
  <c r="K441" s="1"/>
  <c r="AF430"/>
  <c r="AF448" s="1"/>
  <c r="AF431"/>
  <c r="AF449" s="1"/>
  <c r="I496"/>
  <c r="J496" s="1"/>
  <c r="K498" s="1"/>
  <c r="X431"/>
  <c r="X449" s="1"/>
  <c r="AG428"/>
  <c r="AG446" s="1"/>
  <c r="AG432"/>
  <c r="AG450" s="1"/>
  <c r="R432"/>
  <c r="R450" s="1"/>
  <c r="AA428"/>
  <c r="AA446" s="1"/>
  <c r="T432"/>
  <c r="T450" s="1"/>
  <c r="T431"/>
  <c r="T449" s="1"/>
  <c r="Z431"/>
  <c r="Z449" s="1"/>
  <c r="AH426"/>
  <c r="AH444" s="1"/>
  <c r="AE426"/>
  <c r="AE444" s="1"/>
  <c r="J425"/>
  <c r="J432"/>
  <c r="V428"/>
  <c r="V446" s="1"/>
  <c r="AE430"/>
  <c r="AE448" s="1"/>
  <c r="Q426"/>
  <c r="Q444" s="1"/>
  <c r="AE429"/>
  <c r="AE447" s="1"/>
  <c r="Q423"/>
  <c r="Q441" s="1"/>
  <c r="AG425"/>
  <c r="AG443" s="1"/>
  <c r="AE431"/>
  <c r="AE449" s="1"/>
  <c r="Q430"/>
  <c r="Q448" s="1"/>
  <c r="Z427"/>
  <c r="Z445" s="1"/>
  <c r="AH425"/>
  <c r="AH443" s="1"/>
  <c r="AF424"/>
  <c r="AF442" s="1"/>
  <c r="AF429"/>
  <c r="AF447" s="1"/>
  <c r="V429"/>
  <c r="V447" s="1"/>
  <c r="V430"/>
  <c r="V448" s="1"/>
  <c r="J430"/>
  <c r="J429"/>
  <c r="AG427"/>
  <c r="AG445" s="1"/>
  <c r="AH432"/>
  <c r="AH450" s="1"/>
  <c r="O431"/>
  <c r="O449" s="1"/>
  <c r="O427"/>
  <c r="O445" s="1"/>
  <c r="Z423"/>
  <c r="Z441" s="1"/>
  <c r="O428"/>
  <c r="O446" s="1"/>
  <c r="V427"/>
  <c r="V445" s="1"/>
  <c r="Q424"/>
  <c r="Q442" s="1"/>
  <c r="Z424"/>
  <c r="Z442" s="1"/>
  <c r="AE424"/>
  <c r="AE442" s="1"/>
  <c r="I474"/>
  <c r="J474" s="1"/>
  <c r="K474" s="1"/>
  <c r="I470"/>
  <c r="J470" s="1"/>
  <c r="K472" s="1"/>
  <c r="J431"/>
  <c r="J449" s="1"/>
  <c r="O429"/>
  <c r="O447" s="1"/>
  <c r="O432"/>
  <c r="O450" s="1"/>
  <c r="AH427"/>
  <c r="AH445" s="1"/>
  <c r="Z429"/>
  <c r="Z447" s="1"/>
  <c r="Z430"/>
  <c r="Z448" s="1"/>
  <c r="Z432"/>
  <c r="Z450" s="1"/>
  <c r="O425"/>
  <c r="O443" s="1"/>
  <c r="AG424"/>
  <c r="AG442" s="1"/>
  <c r="Z426"/>
  <c r="Z444" s="1"/>
  <c r="AE423"/>
  <c r="AE441" s="1"/>
  <c r="AE425"/>
  <c r="AE443" s="1"/>
  <c r="AH431"/>
  <c r="AH449" s="1"/>
  <c r="Z425"/>
  <c r="Z443" s="1"/>
  <c r="O426"/>
  <c r="O444" s="1"/>
  <c r="V432"/>
  <c r="V450" s="1"/>
  <c r="Q429"/>
  <c r="Q447" s="1"/>
  <c r="O423"/>
  <c r="O441" s="1"/>
  <c r="AF423"/>
  <c r="AF441" s="1"/>
  <c r="AH424"/>
  <c r="AH442" s="1"/>
  <c r="AH423"/>
  <c r="AH441" s="1"/>
  <c r="AH428"/>
  <c r="AH446" s="1"/>
  <c r="Q425"/>
  <c r="Q443" s="1"/>
  <c r="I510"/>
  <c r="J510" s="1"/>
  <c r="K510" s="1"/>
  <c r="J428"/>
  <c r="AG431"/>
  <c r="AG449" s="1"/>
  <c r="AG430"/>
  <c r="AG448" s="1"/>
  <c r="AE427"/>
  <c r="AE445" s="1"/>
  <c r="Q432"/>
  <c r="Q450" s="1"/>
  <c r="J424"/>
  <c r="J442" s="1"/>
  <c r="AG429"/>
  <c r="AG447" s="1"/>
  <c r="V423"/>
  <c r="V441" s="1"/>
  <c r="U425"/>
  <c r="U443" s="1"/>
  <c r="Q431"/>
  <c r="Q449" s="1"/>
  <c r="O430"/>
  <c r="O448" s="1"/>
  <c r="Q427"/>
  <c r="Q445" s="1"/>
  <c r="AE432"/>
  <c r="AE450" s="1"/>
  <c r="AH429"/>
  <c r="AH447" s="1"/>
  <c r="V424"/>
  <c r="V442" s="1"/>
  <c r="AG423"/>
  <c r="AG441" s="1"/>
  <c r="J426"/>
  <c r="J444" s="1"/>
  <c r="AJ429"/>
  <c r="AJ447" s="1"/>
  <c r="AB427"/>
  <c r="AB445" s="1"/>
  <c r="U428"/>
  <c r="U446" s="1"/>
  <c r="AB430"/>
  <c r="AB448" s="1"/>
  <c r="AB423"/>
  <c r="AB441" s="1"/>
  <c r="I482"/>
  <c r="J482" s="1"/>
  <c r="K482" s="1"/>
  <c r="T425"/>
  <c r="T443" s="1"/>
  <c r="AA431"/>
  <c r="AA449" s="1"/>
  <c r="AA430"/>
  <c r="AA448" s="1"/>
  <c r="AI429"/>
  <c r="AI447" s="1"/>
  <c r="K427"/>
  <c r="K445" s="1"/>
  <c r="K432"/>
  <c r="K450" s="1"/>
  <c r="R426"/>
  <c r="R444" s="1"/>
  <c r="R424"/>
  <c r="R442" s="1"/>
  <c r="AJ426"/>
  <c r="AJ444" s="1"/>
  <c r="U426"/>
  <c r="U444" s="1"/>
  <c r="X432"/>
  <c r="X450" s="1"/>
  <c r="AA427"/>
  <c r="AA445" s="1"/>
  <c r="AJ427"/>
  <c r="AJ445" s="1"/>
  <c r="AB424"/>
  <c r="AB442" s="1"/>
  <c r="K431"/>
  <c r="K449" s="1"/>
  <c r="J427"/>
  <c r="J445" s="1"/>
  <c r="T430"/>
  <c r="T448" s="1"/>
  <c r="AJ428"/>
  <c r="AJ446" s="1"/>
  <c r="X423"/>
  <c r="X441" s="1"/>
  <c r="AB425"/>
  <c r="AB443" s="1"/>
  <c r="AB429"/>
  <c r="AB447" s="1"/>
  <c r="AJ424"/>
  <c r="AJ442" s="1"/>
  <c r="AB426"/>
  <c r="AB444" s="1"/>
  <c r="U427"/>
  <c r="U445" s="1"/>
  <c r="T428"/>
  <c r="T446" s="1"/>
  <c r="U429"/>
  <c r="U447" s="1"/>
  <c r="U432"/>
  <c r="U450" s="1"/>
  <c r="AI423"/>
  <c r="AI441" s="1"/>
  <c r="AI424"/>
  <c r="AI442" s="1"/>
  <c r="AB432"/>
  <c r="AB450" s="1"/>
  <c r="AJ425"/>
  <c r="AJ443" s="1"/>
  <c r="T427"/>
  <c r="T445" s="1"/>
  <c r="AI432"/>
  <c r="AI450" s="1"/>
  <c r="AJ430"/>
  <c r="AJ448" s="1"/>
  <c r="T429"/>
  <c r="T447" s="1"/>
  <c r="AJ423"/>
  <c r="AJ441" s="1"/>
  <c r="K425"/>
  <c r="K443" s="1"/>
  <c r="AI431"/>
  <c r="AI449" s="1"/>
  <c r="K428"/>
  <c r="K446" s="1"/>
  <c r="AI427"/>
  <c r="AI445" s="1"/>
  <c r="V431"/>
  <c r="V449" s="1"/>
  <c r="V426"/>
  <c r="V444" s="1"/>
  <c r="U424"/>
  <c r="U442" s="1"/>
  <c r="K424"/>
  <c r="K442" s="1"/>
  <c r="Y11"/>
  <c r="I500"/>
  <c r="J500" s="1"/>
  <c r="K502" s="1"/>
  <c r="I464"/>
  <c r="J464" s="1"/>
  <c r="K464" s="1"/>
  <c r="FU128"/>
  <c r="AD8" s="1"/>
  <c r="I504"/>
  <c r="J504" s="1"/>
  <c r="K506" s="1"/>
  <c r="FU108"/>
  <c r="FU88"/>
  <c r="I460"/>
  <c r="J460" s="1"/>
  <c r="K462" s="1"/>
  <c r="DG232"/>
  <c r="DG229"/>
  <c r="AD9"/>
  <c r="DG226"/>
  <c r="FU154"/>
  <c r="FU148"/>
  <c r="DG230"/>
  <c r="DG234"/>
  <c r="Z9"/>
  <c r="FU153"/>
  <c r="AD13"/>
  <c r="X11"/>
  <c r="FU98"/>
  <c r="AD5" s="1"/>
  <c r="FU168"/>
  <c r="FU116"/>
  <c r="DG233"/>
  <c r="FU118"/>
  <c r="DG228"/>
  <c r="FU91"/>
  <c r="DG225"/>
  <c r="FU123"/>
  <c r="FU155"/>
  <c r="DG231"/>
  <c r="DG227"/>
  <c r="I546"/>
  <c r="D43"/>
  <c r="E43" s="1"/>
  <c r="E41"/>
  <c r="D377"/>
  <c r="E377" s="1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K514"/>
  <c r="D375"/>
  <c r="E375" s="1"/>
  <c r="D32"/>
  <c r="AN15" s="1"/>
  <c r="D45"/>
  <c r="E45" s="1"/>
  <c r="FU175"/>
  <c r="AD11"/>
  <c r="AC11"/>
  <c r="G445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Y9"/>
  <c r="K480"/>
  <c r="K468"/>
  <c r="K492" l="1"/>
  <c r="AE8"/>
  <c r="AF8" s="1"/>
  <c r="K496"/>
  <c r="AA13"/>
  <c r="K470"/>
  <c r="K476"/>
  <c r="K512"/>
  <c r="K484"/>
  <c r="C449"/>
  <c r="C445"/>
  <c r="C429"/>
  <c r="C427"/>
  <c r="AC8"/>
  <c r="AF9"/>
  <c r="AA11"/>
  <c r="AC4"/>
  <c r="F393"/>
  <c r="F379" s="1"/>
  <c r="E57" s="1"/>
  <c r="V57" s="1"/>
  <c r="F395"/>
  <c r="F381" s="1"/>
  <c r="E59" s="1"/>
  <c r="T59" s="1"/>
  <c r="F390"/>
  <c r="F376" s="1"/>
  <c r="E54" s="1"/>
  <c r="AG54" s="1"/>
  <c r="C431"/>
  <c r="J447"/>
  <c r="C447" s="1"/>
  <c r="K500"/>
  <c r="K466"/>
  <c r="AF13"/>
  <c r="K504"/>
  <c r="AE5"/>
  <c r="AF5" s="1"/>
  <c r="F394"/>
  <c r="F380" s="1"/>
  <c r="E58" s="1"/>
  <c r="U58" s="1"/>
  <c r="AC5"/>
  <c r="AD6"/>
  <c r="DH229"/>
  <c r="AE7"/>
  <c r="AE6"/>
  <c r="AA9"/>
  <c r="DH232"/>
  <c r="DH233"/>
  <c r="AC6"/>
  <c r="DH230"/>
  <c r="AC12"/>
  <c r="DH234"/>
  <c r="DH226"/>
  <c r="AE10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AA4"/>
  <c r="J57" l="1"/>
  <c r="T57"/>
  <c r="AE57"/>
  <c r="Z57"/>
  <c r="AI57"/>
  <c r="M57"/>
  <c r="AF57"/>
  <c r="AC57"/>
  <c r="H57"/>
  <c r="AB57"/>
  <c r="Q57"/>
  <c r="N57"/>
  <c r="P57"/>
  <c r="AJ57"/>
  <c r="U57"/>
  <c r="AH57"/>
  <c r="R57"/>
  <c r="G57"/>
  <c r="K57"/>
  <c r="AG57"/>
  <c r="AD57"/>
  <c r="W57"/>
  <c r="S57"/>
  <c r="AK57"/>
  <c r="X57"/>
  <c r="AA57"/>
  <c r="O57"/>
  <c r="L57"/>
  <c r="Y57"/>
  <c r="I57"/>
  <c r="H59"/>
  <c r="J59"/>
  <c r="AC59"/>
  <c r="AG59"/>
  <c r="G59"/>
  <c r="X59"/>
  <c r="M59"/>
  <c r="W59"/>
  <c r="AD54"/>
  <c r="P54"/>
  <c r="H54"/>
  <c r="V54"/>
  <c r="U59"/>
  <c r="I59"/>
  <c r="AA59"/>
  <c r="L59"/>
  <c r="AK59"/>
  <c r="V59"/>
  <c r="Q59"/>
  <c r="Z59"/>
  <c r="AE59"/>
  <c r="O59"/>
  <c r="AF59"/>
  <c r="P59"/>
  <c r="K54"/>
  <c r="N54"/>
  <c r="N59"/>
  <c r="R59"/>
  <c r="K59"/>
  <c r="AB59"/>
  <c r="AD59"/>
  <c r="Y59"/>
  <c r="AH59"/>
  <c r="AI59"/>
  <c r="S59"/>
  <c r="AJ59"/>
  <c r="L54"/>
  <c r="U54"/>
  <c r="S54"/>
  <c r="T54"/>
  <c r="Z54"/>
  <c r="M54"/>
  <c r="AB54"/>
  <c r="J54"/>
  <c r="X54"/>
  <c r="AI54"/>
  <c r="AJ54"/>
  <c r="AA54"/>
  <c r="W54"/>
  <c r="AF54"/>
  <c r="AC54"/>
  <c r="AH54"/>
  <c r="Y54"/>
  <c r="R54"/>
  <c r="O54"/>
  <c r="I54"/>
  <c r="G54"/>
  <c r="AK54"/>
  <c r="AE54"/>
  <c r="Q54"/>
  <c r="AI58"/>
  <c r="L58"/>
  <c r="Q58"/>
  <c r="AC58"/>
  <c r="K58"/>
  <c r="AA58"/>
  <c r="X58"/>
  <c r="S58"/>
  <c r="AF6"/>
  <c r="AD58"/>
  <c r="AE58"/>
  <c r="Y58"/>
  <c r="M58"/>
  <c r="Z58"/>
  <c r="AK58"/>
  <c r="R58"/>
  <c r="AG58"/>
  <c r="J58"/>
  <c r="AB58"/>
  <c r="AH58"/>
  <c r="N58"/>
  <c r="I58"/>
  <c r="AJ58"/>
  <c r="AF58"/>
  <c r="T58"/>
  <c r="O58"/>
  <c r="P58"/>
  <c r="G58"/>
  <c r="V58"/>
  <c r="W58"/>
  <c r="H58"/>
  <c r="AF10"/>
  <c r="AF7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7" l="1"/>
  <c r="D59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<sst xmlns="http://schemas.openxmlformats.org/spreadsheetml/2006/main" count="1029" uniqueCount="150">
  <si>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</si>
  <si>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</si>
  <si>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</si>
  <si>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</si>
  <si>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</si>
  <si>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</si>
  <si>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</si>
  <si>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</si>
  <si>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</si>
  <si>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</si>
  <si>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</si>
  <si>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</si>
  <si>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</si>
  <si>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</si>
  <si>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</si>
  <si>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</si>
  <si>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</si>
  <si>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</si>
  <si>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</si>
  <si>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</si>
  <si>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</si>
  <si>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</si>
  <si>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</si>
  <si>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</si>
  <si>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</si>
  <si>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</si>
  <si>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</si>
  <si>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</si>
  <si>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</si>
  <si>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</si>
  <si>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</si>
  <si>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</si>
  <si>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</si>
  <si>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</si>
  <si>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</si>
  <si>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</si>
  <si>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</si>
  <si>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</si>
  <si>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</si>
  <si>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</si>
  <si>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</si>
  <si>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</si>
  <si>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</si>
  <si>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</si>
  <si>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</si>
  <si>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</si>
  <si>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</si>
  <si>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</si>
  <si>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</si>
  <si>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</si>
  <si>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</si>
  <si>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</si>
  <si>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</si>
  <si>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</si>
  <si>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</si>
  <si>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</si>
  <si>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</si>
  <si>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</si>
  <si>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</si>
  <si>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</si>
  <si>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</si>
  <si>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</si>
  <si>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</si>
  <si>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</si>
  <si>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</si>
  <si>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</si>
  <si>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</si>
  <si>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</si>
  <si>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</si>
  <si>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</si>
  <si>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</si>
  <si>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</si>
  <si>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</si>
  <si>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</si>
  <si>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</si>
  <si>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</si>
  <si>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</si>
  <si>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</si>
  <si>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</si>
  <si>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</si>
  <si>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</si>
  <si>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</si>
  <si>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</si>
  <si>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</si>
  <si>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</si>
  <si>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</si>
  <si>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</si>
  <si>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</si>
  <si>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</si>
  <si>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</si>
  <si>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</si>
  <si>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</si>
  <si>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</si>
  <si>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</si>
  <si>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</si>
  <si>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</si>
  <si>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</si>
  <si>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</si>
  <si>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</si>
  <si>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</si>
  <si>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</si>
  <si>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</si>
  <si>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</si>
  <si>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</si>
  <si>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</si>
  <si>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</si>
  <si>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</si>
  <si>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</si>
  <si>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</si>
  <si>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</si>
  <si>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</si>
  <si>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</si>
  <si>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</si>
  <si>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</si>
  <si>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</si>
  <si>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</si>
  <si>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</si>
  <si>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</si>
  <si>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</si>
  <si>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</si>
  <si>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</si>
  <si>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</si>
  <si>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</si>
  <si>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</si>
  <si>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</si>
  <si>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</si>
  <si>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</si>
  <si>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</si>
  <si>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</si>
  <si>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</si>
  <si>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</si>
  <si>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</si>
  <si>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</si>
  <si>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</si>
  <si>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</si>
  <si>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</si>
  <si>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</si>
  <si>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</si>
  <si>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</si>
  <si>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</si>
  <si>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</si>
  <si>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</si>
  <si>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</si>
  <si>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</si>
  <si>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</si>
  <si>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</si>
  <si>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</si>
  <si>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</si>
  <si>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</si>
  <si>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Hydracarina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</si>
</sst>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17" borderId="0" xfId="0" applyFont="1" applyFill="1" applyBorder="1"/>
    <xf numFmtId="0" fontId="3" fillId="20" borderId="0" xfId="0" applyFont="1" applyFill="1" applyBorder="1"/>
    <xf numFmtId="0" fontId="9" fillId="20" borderId="0" xfId="0" applyFont="1" applyFill="1" applyBorder="1" applyAlignment="1">
      <alignment horizontal="right"/>
    </xf>
    <xf numFmtId="167" fontId="3" fillId="0" borderId="0" xfId="0" applyNumberFormat="1" applyFont="1" applyBorder="1"/>
    <xf numFmtId="0" fontId="4" fillId="23" borderId="0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C1338"/>
  <sheetViews>
    <sheetView tabSelected="1" topLeftCell="A73" zoomScale="85" zoomScaleNormal="85" workbookViewId="0">
      <selection activeCell="AO17" sqref="AO17:AO10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customWidth="1"/>
    <col min="165" max="176" width="8.85546875" style="8"/>
    <col min="177" max="177" width="15.140625" style="8" customWidth="1"/>
    <col min="178" max="16384" width="8.85546875" style="8"/>
  </cols>
  <sheetData>
    <row r="1" spans="1:211" s="7" customFormat="1">
      <c r="A1" s="218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11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6"/>
      <c r="FY2" s="206"/>
      <c r="FZ2" s="206"/>
      <c r="GA2" s="206"/>
      <c r="GB2" s="206"/>
      <c r="GC2" s="221" t="s">
        <v>143</v>
      </c>
      <c r="GD2" s="221"/>
      <c r="GE2" s="221"/>
      <c r="GF2" s="221"/>
      <c r="GG2" s="221"/>
      <c r="GH2" s="221"/>
      <c r="GI2" s="221"/>
      <c r="GJ2" s="206"/>
      <c r="GK2" s="206"/>
      <c r="GL2" s="206"/>
      <c r="GM2" s="206"/>
      <c r="GN2" s="206"/>
    </row>
    <row r="3" spans="1:211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6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6"/>
    </row>
    <row r="4" spans="1:211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58.627314894370656</v>
      </c>
      <c r="N4" s="130">
        <v>6.9909387221534587</v>
      </c>
      <c r="O4" s="130">
        <v>3.5531557446605584</v>
      </c>
      <c r="P4" s="130">
        <v>50.927903422872802</v>
      </c>
      <c r="Q4" s="130">
        <v>7.3251483037837453</v>
      </c>
      <c r="R4" s="130">
        <v>45.890291695369598</v>
      </c>
      <c r="S4" s="131">
        <v>5.8505270626634003</v>
      </c>
      <c r="T4" s="131">
        <v>2.9603268568639152</v>
      </c>
      <c r="U4" s="5"/>
      <c r="V4" s="4"/>
      <c r="W4" s="127">
        <f t="shared" ref="W4:W13" si="0">C4</f>
        <v>39646</v>
      </c>
      <c r="X4" s="132">
        <f>AVERAGE(EK88:EK97)</f>
        <v>75</v>
      </c>
      <c r="Y4" s="131">
        <f>COUNT(EK88:EK97)</f>
        <v>10</v>
      </c>
      <c r="Z4" s="130">
        <f>STDEV(EK88:EK97)</f>
        <v>48.062379091661889</v>
      </c>
      <c r="AA4" s="130">
        <f>Z4/SQRT(Y4)</f>
        <v>15.198658769610619</v>
      </c>
      <c r="AB4" s="131"/>
      <c r="AC4" s="130">
        <f>AVERAGE($FU88:$FU97)</f>
        <v>10.374732599573129</v>
      </c>
      <c r="AD4" s="132">
        <f>COUNT($FU88:$FU97)</f>
        <v>10</v>
      </c>
      <c r="AE4" s="130">
        <f>STDEV($FU88:$FU97)</f>
        <v>7.4234436633883574</v>
      </c>
      <c r="AF4" s="130">
        <f>AE4/SQRT(AD4)</f>
        <v>2.3474990058251515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145</v>
      </c>
      <c r="FK4" s="222"/>
      <c r="FL4" s="222"/>
      <c r="FM4" s="222"/>
      <c r="FN4" s="5"/>
      <c r="FO4" s="5"/>
      <c r="FX4" s="206"/>
      <c r="FY4" s="208" t="s">
        <v>144</v>
      </c>
      <c r="FZ4" s="209">
        <f>C4</f>
        <v>39646</v>
      </c>
      <c r="GA4" s="209">
        <f>C5</f>
        <v>39673</v>
      </c>
      <c r="GB4" s="209">
        <f>C6</f>
        <v>39714</v>
      </c>
      <c r="GC4" s="209">
        <f>C7</f>
        <v>39747</v>
      </c>
      <c r="GD4" s="209">
        <f>C8</f>
        <v>39775</v>
      </c>
      <c r="GE4" s="209">
        <f>C9</f>
        <v>39799</v>
      </c>
      <c r="GF4" s="209">
        <f>C10</f>
        <v>39847</v>
      </c>
      <c r="GG4" s="209">
        <f>C11</f>
        <v>39910</v>
      </c>
      <c r="GH4" s="209">
        <f>C12</f>
        <v>39949</v>
      </c>
      <c r="GI4" s="209">
        <f>C13</f>
        <v>39987</v>
      </c>
      <c r="GJ4" s="210"/>
      <c r="GK4" s="210" t="s">
        <v>24</v>
      </c>
      <c r="GL4" s="210"/>
      <c r="GM4" s="210"/>
      <c r="GN4" s="206"/>
    </row>
    <row r="5" spans="1:211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58.655619787377432</v>
      </c>
      <c r="N5" s="130">
        <f t="shared" si="1"/>
        <v>6.9899743851078258</v>
      </c>
      <c r="O5" s="130">
        <f t="shared" si="1"/>
        <v>32.826516643577285</v>
      </c>
      <c r="P5" s="130">
        <f t="shared" si="1"/>
        <v>50.958886319082154</v>
      </c>
      <c r="Q5" s="130">
        <f t="shared" si="1"/>
        <v>7.3175646482013796</v>
      </c>
      <c r="R5" s="130">
        <f t="shared" si="1"/>
        <v>45.660380225414386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115.82049486461251</v>
      </c>
      <c r="Y5" s="131">
        <f>COUNT(EK98:EK107)</f>
        <v>10</v>
      </c>
      <c r="Z5" s="130">
        <f>STDEV(EK98:EK107)</f>
        <v>179.88782184048188</v>
      </c>
      <c r="AA5" s="130">
        <f t="shared" ref="AA5:AA13" si="2">Z5/SQRT(Y5)</f>
        <v>56.88552403425053</v>
      </c>
      <c r="AB5" s="131"/>
      <c r="AC5" s="130">
        <f>AVERAGE($FU98:$FU107)</f>
        <v>12.022529787023242</v>
      </c>
      <c r="AD5" s="132">
        <f>COUNT($FU98:$FU107)</f>
        <v>10</v>
      </c>
      <c r="AE5" s="130">
        <f>STDEV($FU98:$FU107)</f>
        <v>17.741645746025398</v>
      </c>
      <c r="AF5" s="130">
        <f t="shared" ref="AF5:AF13" si="3">AE5/SQRT(AD5)</f>
        <v>5.6104009997277471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</row>
    <row r="6" spans="1:211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76.139850959815334</v>
      </c>
      <c r="N6" s="130">
        <f t="shared" si="4"/>
        <v>8.9643713731878805</v>
      </c>
      <c r="O6" s="130">
        <f t="shared" si="4"/>
        <v>101.13481034042114</v>
      </c>
      <c r="P6" s="130">
        <f t="shared" si="4"/>
        <v>68.15778781098274</v>
      </c>
      <c r="Q6" s="130">
        <f t="shared" si="4"/>
        <v>9.1403887881409851</v>
      </c>
      <c r="R6" s="130">
        <f t="shared" si="4"/>
        <v>58.411176407391743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58.816964285714292</v>
      </c>
      <c r="Y6" s="131">
        <f>COUNT(EK108:EK117)</f>
        <v>10</v>
      </c>
      <c r="Z6" s="130">
        <f>STDEV(EK108:EK117)</f>
        <v>101.07650250850283</v>
      </c>
      <c r="AA6" s="130">
        <f t="shared" si="2"/>
        <v>31.963196585059162</v>
      </c>
      <c r="AB6" s="131"/>
      <c r="AC6" s="130">
        <f>AVERAGE($FU108:$FU117)</f>
        <v>4.9147197206577129</v>
      </c>
      <c r="AD6" s="132">
        <f>COUNT($FU108:$FU117)</f>
        <v>10</v>
      </c>
      <c r="AE6" s="130">
        <f>STDEV($FU108:$FU117)</f>
        <v>8.6656550714741911</v>
      </c>
      <c r="AF6" s="130">
        <f t="shared" si="3"/>
        <v>2.7403207443247655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3" t="s">
        <v>146</v>
      </c>
      <c r="FJ6" s="223"/>
      <c r="FK6" s="224" t="s">
        <v>147</v>
      </c>
      <c r="FL6" s="224"/>
      <c r="FM6" s="224" t="s">
        <v>148</v>
      </c>
      <c r="FN6" s="224"/>
      <c r="FO6" s="5"/>
      <c r="FY6" s="211">
        <v>1</v>
      </c>
      <c r="FZ6">
        <v>11.572478266083202</v>
      </c>
      <c r="GA6">
        <v>10.213421030463847</v>
      </c>
      <c r="GB6">
        <v>7.0928650755722202</v>
      </c>
      <c r="GC6">
        <v>3.7040255689621029</v>
      </c>
      <c r="GD6">
        <v>1.440938664687154</v>
      </c>
      <c r="GE6">
        <v>1.6739536316112955</v>
      </c>
      <c r="GF6">
        <v>0.82906350435537324</v>
      </c>
      <c r="GG6">
        <v>1.277338661079775</v>
      </c>
      <c r="GH6">
        <v>4.5630848129166264</v>
      </c>
      <c r="GI6">
        <v>5.1552868333655866</v>
      </c>
      <c r="GJ6"/>
      <c r="GK6">
        <v>11.618901404397004</v>
      </c>
      <c r="GL6">
        <v>8.6539601256684122</v>
      </c>
      <c r="GM6">
        <v>11.82077814850015</v>
      </c>
      <c r="GN6">
        <v>11.14573138036387</v>
      </c>
      <c r="GO6">
        <v>5.5964245431375774</v>
      </c>
      <c r="GP6">
        <v>3.2047861295681059</v>
      </c>
      <c r="GQ6">
        <v>1.0136158389932035</v>
      </c>
      <c r="GR6">
        <v>1.796023246400611</v>
      </c>
      <c r="GS6">
        <v>4.8665499663205702</v>
      </c>
      <c r="GT6">
        <v>6.9832539802697005</v>
      </c>
      <c r="GU6"/>
      <c r="GV6"/>
      <c r="GW6"/>
      <c r="GX6"/>
      <c r="GY6"/>
      <c r="GZ6"/>
      <c r="HA6"/>
      <c r="HB6"/>
      <c r="HC6"/>
    </row>
    <row r="7" spans="1:211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42.664215638948917</v>
      </c>
      <c r="N7" s="130">
        <f t="shared" si="5"/>
        <v>5.1386369194557187</v>
      </c>
      <c r="O7" s="130">
        <f t="shared" si="5"/>
        <v>2.6026563283809061</v>
      </c>
      <c r="P7" s="130">
        <f t="shared" si="5"/>
        <v>36.015807597528742</v>
      </c>
      <c r="Q7" s="130">
        <f t="shared" si="5"/>
        <v>5.6114502038031473</v>
      </c>
      <c r="R7" s="130">
        <f t="shared" si="5"/>
        <v>34.234957252224341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114.02856434461251</v>
      </c>
      <c r="Y7" s="131">
        <f>COUNT(EK118:EK127)</f>
        <v>10</v>
      </c>
      <c r="Z7" s="130">
        <f>STDEV(EK118:EK127)</f>
        <v>99.300643994925963</v>
      </c>
      <c r="AA7" s="130">
        <f t="shared" si="2"/>
        <v>31.401620814548767</v>
      </c>
      <c r="AB7" s="131"/>
      <c r="AC7" s="130">
        <f>AVERAGE($FU118:$FU127)</f>
        <v>12.2752043756436</v>
      </c>
      <c r="AD7" s="132">
        <f>COUNT($FU118:$FU127)</f>
        <v>10</v>
      </c>
      <c r="AE7" s="130">
        <f>STDEV($FU118:$FU127)</f>
        <v>9.4603098722081658</v>
      </c>
      <c r="AF7" s="130">
        <f t="shared" si="3"/>
        <v>2.9916126567154255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2">
        <f t="shared" ref="FH7:FH16" si="6">C4</f>
        <v>39646</v>
      </c>
      <c r="FI7" s="225">
        <f>AVERAGE(FZ6:FZ1005)</f>
        <v>12.535137416775733</v>
      </c>
      <c r="FJ7" s="225"/>
      <c r="FK7" s="225">
        <f>PERCENTILE($FZ$6:$FZ$1005,0.975)</f>
        <v>19.450127602036645</v>
      </c>
      <c r="FL7" s="225"/>
      <c r="FM7" s="225">
        <f>PERCENTILE($FZ$6:$FZ$1005,0.025)</f>
        <v>6.6055046107470945</v>
      </c>
      <c r="FN7" s="225"/>
      <c r="FO7" s="5"/>
      <c r="FY7" s="211">
        <v>2</v>
      </c>
      <c r="FZ7">
        <v>10.2949939249014</v>
      </c>
      <c r="GA7">
        <v>9.0731876735106365</v>
      </c>
      <c r="GB7">
        <v>5.6096415540757096</v>
      </c>
      <c r="GC7">
        <v>2.4611503187459718</v>
      </c>
      <c r="GD7">
        <v>2.5835010357070698</v>
      </c>
      <c r="GE7">
        <v>4.1136942605335163</v>
      </c>
      <c r="GF7">
        <v>0.53719420963541664</v>
      </c>
      <c r="GG7">
        <v>0.84193093359375004</v>
      </c>
      <c r="GH7">
        <v>3.0613629106678841</v>
      </c>
      <c r="GI7">
        <v>4.9629995014957062</v>
      </c>
      <c r="GJ7"/>
      <c r="GK7">
        <v>10.35888696091655</v>
      </c>
      <c r="GL7">
        <v>7.6871189046482113</v>
      </c>
      <c r="GM7">
        <v>9.2894630879116331</v>
      </c>
      <c r="GN7">
        <v>7.3355635099807106</v>
      </c>
      <c r="GO7">
        <v>10.027213258172589</v>
      </c>
      <c r="GP7">
        <v>7.8756723355304068</v>
      </c>
      <c r="GQ7">
        <v>0.65827546296296291</v>
      </c>
      <c r="GR7">
        <v>1.1848958333333333</v>
      </c>
      <c r="GS7">
        <v>3.2650124559683</v>
      </c>
      <c r="GT7">
        <v>6.7197702451864076</v>
      </c>
      <c r="GU7"/>
      <c r="GV7"/>
      <c r="GW7"/>
      <c r="GX7"/>
      <c r="GY7"/>
      <c r="GZ7"/>
      <c r="HA7"/>
      <c r="HB7"/>
      <c r="HC7"/>
    </row>
    <row r="8" spans="1:211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36.496362433862437</v>
      </c>
      <c r="Y8" s="131">
        <f>COUNT(EK128:EK137)</f>
        <v>10</v>
      </c>
      <c r="Z8" s="130">
        <f>STDEV(EK128:EK137)</f>
        <v>34.416298842961787</v>
      </c>
      <c r="AA8" s="130">
        <f t="shared" si="2"/>
        <v>10.88338929767769</v>
      </c>
      <c r="AB8" s="131"/>
      <c r="AC8" s="130">
        <f>AVERAGE($FU128:$FU137)</f>
        <v>4.217516673772705</v>
      </c>
      <c r="AD8" s="132">
        <f>COUNT($FU128:$FU137)</f>
        <v>10</v>
      </c>
      <c r="AE8" s="130">
        <f>STDEV($FU128:$FU137)</f>
        <v>4.3445443336335678</v>
      </c>
      <c r="AF8" s="130">
        <f t="shared" si="3"/>
        <v>1.373865548986055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2">
        <f t="shared" si="6"/>
        <v>39673</v>
      </c>
      <c r="FI8" s="225">
        <f>AVERAGE(GA6:GA1005)</f>
        <v>11.310332747510135</v>
      </c>
      <c r="FJ8" s="225"/>
      <c r="FK8" s="225">
        <f>PERCENTILE($GA$6:$GA$1005,0.975)</f>
        <v>19.650492573493789</v>
      </c>
      <c r="FL8" s="225"/>
      <c r="FM8" s="225">
        <f>PERCENTILE($GA$6:$GA$1005,0.025)</f>
        <v>4.5180766605773304</v>
      </c>
      <c r="FN8" s="225"/>
      <c r="FO8" s="5"/>
      <c r="FY8" s="211">
        <v>3</v>
      </c>
      <c r="FZ8">
        <v>13.472567583742043</v>
      </c>
      <c r="GA8">
        <v>11.336942939192612</v>
      </c>
      <c r="GB8">
        <v>5.05581917538799</v>
      </c>
      <c r="GC8">
        <v>2.5211761760731628</v>
      </c>
      <c r="GD8">
        <v>2.1381281421654466</v>
      </c>
      <c r="GE8">
        <v>3.4576559164852454</v>
      </c>
      <c r="GF8">
        <v>1.20049492930329</v>
      </c>
      <c r="GG8">
        <v>0.9966950165485251</v>
      </c>
      <c r="GH8">
        <v>4.839811476243173</v>
      </c>
      <c r="GI8">
        <v>5.4475440086116498</v>
      </c>
      <c r="GJ8"/>
      <c r="GK8">
        <v>13.517656259050819</v>
      </c>
      <c r="GL8">
        <v>9.603509567822762</v>
      </c>
      <c r="GM8">
        <v>8.4518550741522827</v>
      </c>
      <c r="GN8">
        <v>7.6266743491244462</v>
      </c>
      <c r="GO8">
        <v>8.2893967666629518</v>
      </c>
      <c r="GP8">
        <v>6.6196861804975695</v>
      </c>
      <c r="GQ8">
        <v>1.4687663019561665</v>
      </c>
      <c r="GR8">
        <v>1.4010579686228333</v>
      </c>
      <c r="GS8">
        <v>5.1540298279718302</v>
      </c>
      <c r="GT8">
        <v>7.3763408459588105</v>
      </c>
      <c r="GU8"/>
      <c r="GV8"/>
      <c r="GW8"/>
      <c r="GX8"/>
      <c r="GY8"/>
      <c r="GZ8"/>
      <c r="HA8"/>
      <c r="HB8"/>
      <c r="HC8"/>
    </row>
    <row r="9" spans="1:211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68.132387733105929</v>
      </c>
      <c r="Y9" s="131">
        <f>COUNT(EK138:EK147)</f>
        <v>10</v>
      </c>
      <c r="Z9" s="130">
        <f>STDEV(EK138:EK147)</f>
        <v>95.753816574013356</v>
      </c>
      <c r="AA9" s="130">
        <f t="shared" si="2"/>
        <v>30.280015502786313</v>
      </c>
      <c r="AB9" s="131"/>
      <c r="AC9" s="130">
        <f>AVERAGE($FU138:$FU147)</f>
        <v>7.8829172607203564</v>
      </c>
      <c r="AD9" s="132">
        <f>COUNT($FU138:$FU147)</f>
        <v>10</v>
      </c>
      <c r="AE9" s="130">
        <f>STDEV($FU138:$FU147)</f>
        <v>11.078716577613349</v>
      </c>
      <c r="AF9" s="130">
        <f t="shared" si="3"/>
        <v>3.5033977936723777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2">
        <f t="shared" si="6"/>
        <v>39714</v>
      </c>
      <c r="FI9" s="225">
        <f>AVERAGE(GB6:GB1005)</f>
        <v>5.8050869429489067</v>
      </c>
      <c r="FJ9" s="225"/>
      <c r="FK9" s="225">
        <f>PERCENTILE($GB$6:$GB$1005,0.975)</f>
        <v>8.4148938996222871</v>
      </c>
      <c r="FL9" s="225"/>
      <c r="FM9" s="225">
        <f>PERCENTILE($GB$6:$GB$1005,0.025)</f>
        <v>3.5528454783763124</v>
      </c>
      <c r="FN9" s="225"/>
      <c r="FO9" s="5"/>
      <c r="FY9" s="211">
        <v>4</v>
      </c>
      <c r="FZ9">
        <v>11.824888367308596</v>
      </c>
      <c r="GA9">
        <v>9.2436190244034719</v>
      </c>
      <c r="GB9">
        <v>5.3654186220605924</v>
      </c>
      <c r="GC9">
        <v>3.7437952732540518</v>
      </c>
      <c r="GD9">
        <v>2.6902330610217029</v>
      </c>
      <c r="GE9">
        <v>3.6506458108823532</v>
      </c>
      <c r="GF9">
        <v>3.5531880230246053</v>
      </c>
      <c r="GG9">
        <v>3.7450014840368149</v>
      </c>
      <c r="GH9">
        <v>6.8370066908743441</v>
      </c>
      <c r="GI9">
        <v>6.3419872068599359</v>
      </c>
      <c r="GJ9"/>
      <c r="GK9">
        <v>11.858838625382022</v>
      </c>
      <c r="GL9">
        <v>7.8324050396920626</v>
      </c>
      <c r="GM9">
        <v>8.9631347604158673</v>
      </c>
      <c r="GN9">
        <v>11.299828985864178</v>
      </c>
      <c r="GO9">
        <v>10.471742933629589</v>
      </c>
      <c r="GP9">
        <v>6.9891655525846712</v>
      </c>
      <c r="GQ9">
        <v>4.3494312552810932</v>
      </c>
      <c r="GR9">
        <v>5.2672553293551676</v>
      </c>
      <c r="GS9">
        <v>7.2922158414798401</v>
      </c>
      <c r="GT9">
        <v>8.5870726832376842</v>
      </c>
      <c r="GU9"/>
      <c r="GV9"/>
      <c r="GW9"/>
      <c r="GX9"/>
      <c r="GY9"/>
      <c r="GZ9"/>
      <c r="HA9"/>
      <c r="HB9"/>
      <c r="HC9"/>
    </row>
    <row r="10" spans="1:211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1.0416666666666665</v>
      </c>
      <c r="Y10" s="131">
        <f>COUNT(EK148:EK157)</f>
        <v>10</v>
      </c>
      <c r="Z10" s="130">
        <f>STDEV(EK148:EK157)</f>
        <v>3.2940392293420615</v>
      </c>
      <c r="AA10" s="130">
        <f t="shared" si="2"/>
        <v>1.0416666666666665</v>
      </c>
      <c r="AB10" s="131"/>
      <c r="AC10" s="130">
        <f>AVERAGE($FU148:$FU157)</f>
        <v>0.12052083333333334</v>
      </c>
      <c r="AD10" s="132">
        <f>COUNT($FU148:$FU157)</f>
        <v>10</v>
      </c>
      <c r="AE10" s="130">
        <f>STDEV($FU148:$FU157)</f>
        <v>0.38112033883487656</v>
      </c>
      <c r="AF10" s="130">
        <f t="shared" si="3"/>
        <v>0.12052083333333333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2">
        <f t="shared" si="6"/>
        <v>39747</v>
      </c>
      <c r="FI10" s="225">
        <f>AVERAGE(GC6:GC1005)</f>
        <v>3.0878867519835276</v>
      </c>
      <c r="FJ10" s="225"/>
      <c r="FK10" s="225">
        <f>PERCENTILE($GC$6:$GC$1005,0.975)</f>
        <v>4.2570926674631284</v>
      </c>
      <c r="FL10" s="225"/>
      <c r="FM10" s="225">
        <f>PERCENTILE($GC$6:$GC$1005,0.025)</f>
        <v>1.9688074004433567</v>
      </c>
      <c r="FN10" s="225"/>
      <c r="FO10" s="5"/>
      <c r="FY10" s="211">
        <v>5</v>
      </c>
      <c r="FZ10">
        <v>5.4085025447301653</v>
      </c>
      <c r="GA10">
        <v>3.3877908368520719</v>
      </c>
      <c r="GB10">
        <v>4.4244642583720291</v>
      </c>
      <c r="GC10">
        <v>2.7807866378809245</v>
      </c>
      <c r="GD10">
        <v>1.9229048212799196</v>
      </c>
      <c r="GE10">
        <v>2.4277479538655462</v>
      </c>
      <c r="GF10">
        <v>2.4079473552838153</v>
      </c>
      <c r="GG10">
        <v>1.9999234154049563</v>
      </c>
      <c r="GH10">
        <v>5.7411942773736513</v>
      </c>
      <c r="GI10">
        <v>4.3318035117851208</v>
      </c>
      <c r="GJ10"/>
      <c r="GK10">
        <v>5.4399819199042678</v>
      </c>
      <c r="GL10">
        <v>2.8699332112550566</v>
      </c>
      <c r="GM10">
        <v>7.3280285551877657</v>
      </c>
      <c r="GN10">
        <v>8.2860209175847856</v>
      </c>
      <c r="GO10">
        <v>7.4636584208887786</v>
      </c>
      <c r="GP10">
        <v>4.6479262159409211</v>
      </c>
      <c r="GQ10">
        <v>2.9483732866582599</v>
      </c>
      <c r="GR10">
        <v>2.812956619991593</v>
      </c>
      <c r="GS10">
        <v>6.1193844270580318</v>
      </c>
      <c r="GT10">
        <v>5.8598853219394202</v>
      </c>
      <c r="GU10"/>
      <c r="GV10"/>
      <c r="GW10"/>
      <c r="GX10"/>
      <c r="GY10"/>
      <c r="GZ10"/>
      <c r="HA10"/>
      <c r="HB10"/>
      <c r="HC10"/>
    </row>
    <row r="11" spans="1:211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39.08262882447665</v>
      </c>
      <c r="Y11" s="131">
        <f>COUNT(EK158:EK167)</f>
        <v>10</v>
      </c>
      <c r="Z11" s="130">
        <f>STDEV(EK158:EK167)</f>
        <v>65.459999460255119</v>
      </c>
      <c r="AA11" s="130">
        <f t="shared" si="2"/>
        <v>20.700269392779891</v>
      </c>
      <c r="AB11" s="131"/>
      <c r="AC11" s="130">
        <f>AVERAGE($FU158:$FU167)</f>
        <v>3.8353324595109619</v>
      </c>
      <c r="AD11" s="132">
        <f>COUNT($FU158:$FU167)</f>
        <v>10</v>
      </c>
      <c r="AE11" s="130">
        <f>STDEV($FU158:$FU167)</f>
        <v>6.1909869870377312</v>
      </c>
      <c r="AF11" s="130">
        <f t="shared" si="3"/>
        <v>1.9577619843502561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2">
        <f t="shared" si="6"/>
        <v>39775</v>
      </c>
      <c r="FI11" s="225">
        <f>AVERAGE(GD5:GD1005)</f>
        <v>1.7489789708653156</v>
      </c>
      <c r="FJ11" s="225"/>
      <c r="FK11" s="225">
        <f>PERCENTILE($GD$6:$GD$1005,0.975)</f>
        <v>2.8353036280542878</v>
      </c>
      <c r="FL11" s="225"/>
      <c r="FM11" s="225">
        <f>PERCENTILE($GD$6:$GD$1005,0.025)</f>
        <v>0.84933142391117056</v>
      </c>
      <c r="FN11" s="225"/>
      <c r="FO11" s="5"/>
      <c r="FY11" s="211">
        <v>6</v>
      </c>
      <c r="FZ11">
        <v>12.430186541983986</v>
      </c>
      <c r="GA11">
        <v>11.774717106110565</v>
      </c>
      <c r="GB11">
        <v>5.1244618991902291</v>
      </c>
      <c r="GC11">
        <v>2.5714105915174845</v>
      </c>
      <c r="GD11">
        <v>1.2867729740092815</v>
      </c>
      <c r="GE11">
        <v>1.6311307276196991</v>
      </c>
      <c r="GF11">
        <v>2.912442786941424</v>
      </c>
      <c r="GG11">
        <v>2.9096039327509708</v>
      </c>
      <c r="GH11">
        <v>5.1056636966810789</v>
      </c>
      <c r="GI11">
        <v>5.1713979920421655</v>
      </c>
      <c r="GJ11"/>
      <c r="GK11">
        <v>12.470075037402493</v>
      </c>
      <c r="GL11">
        <v>9.9780668227545828</v>
      </c>
      <c r="GM11">
        <v>8.4876422462205294</v>
      </c>
      <c r="GN11">
        <v>7.6757368188580104</v>
      </c>
      <c r="GO11">
        <v>5.0089125150540141</v>
      </c>
      <c r="GP11">
        <v>3.122801631223314</v>
      </c>
      <c r="GQ11">
        <v>3.5665798083973907</v>
      </c>
      <c r="GR11">
        <v>4.093200178767761</v>
      </c>
      <c r="GS11">
        <v>5.4422967822872304</v>
      </c>
      <c r="GT11">
        <v>6.9951012778723314</v>
      </c>
      <c r="GU11"/>
      <c r="GV11"/>
      <c r="GW11"/>
      <c r="GX11"/>
      <c r="GY11"/>
      <c r="GZ11"/>
      <c r="HA11"/>
      <c r="HB11"/>
      <c r="HC11"/>
    </row>
    <row r="12" spans="1:211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8.1018518518518512</v>
      </c>
      <c r="Y12" s="131">
        <f>COUNT(EK168:EK177)</f>
        <v>10</v>
      </c>
      <c r="Z12" s="130">
        <f>STDEV(EK168:EK177)</f>
        <v>25.620305117104927</v>
      </c>
      <c r="AA12" s="130">
        <f t="shared" si="2"/>
        <v>8.1018518518518512</v>
      </c>
      <c r="AB12" s="131"/>
      <c r="AC12" s="130">
        <f>AVERAGE($FU168:$FU177)</f>
        <v>0.93738425925925939</v>
      </c>
      <c r="AD12" s="132">
        <f>COUNT($FU168:$FU177)</f>
        <v>10</v>
      </c>
      <c r="AE12" s="130">
        <f>STDEV($FU168:$FU177)</f>
        <v>2.9642693020490398</v>
      </c>
      <c r="AF12" s="130">
        <f t="shared" si="3"/>
        <v>0.93738425925925917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2">
        <f t="shared" si="6"/>
        <v>39799</v>
      </c>
      <c r="FI12" s="225">
        <f>AVERAGE(GE6:GE1005)</f>
        <v>2.3291303345977825</v>
      </c>
      <c r="FJ12" s="225"/>
      <c r="FK12" s="225">
        <f>PERCENTILE($GE$6:$GE$1005,0.975)</f>
        <v>4.3719866173759518</v>
      </c>
      <c r="FL12" s="225"/>
      <c r="FM12" s="225">
        <f>PERCENTILE($GE$6:$GE$1005,0.025)</f>
        <v>0.67292712749958483</v>
      </c>
      <c r="FN12" s="225"/>
      <c r="FO12" s="5"/>
      <c r="FY12" s="211">
        <v>7</v>
      </c>
      <c r="FZ12">
        <v>17.80007696667052</v>
      </c>
      <c r="GA12">
        <v>17.058684625103332</v>
      </c>
      <c r="GB12">
        <v>4.8496485396057167</v>
      </c>
      <c r="GC12">
        <v>3.0194410128706863</v>
      </c>
      <c r="GD12">
        <v>2.5751375291609357</v>
      </c>
      <c r="GE12">
        <v>3.9891493844537815</v>
      </c>
      <c r="GF12">
        <v>1.2160929162107463</v>
      </c>
      <c r="GG12">
        <v>1.0579112179928833</v>
      </c>
      <c r="GH12">
        <v>5.7643673485397553</v>
      </c>
      <c r="GI12">
        <v>6.4389049643760572</v>
      </c>
      <c r="GJ12"/>
      <c r="GK12">
        <v>17.847047851113068</v>
      </c>
      <c r="GL12">
        <v>14.454582987484596</v>
      </c>
      <c r="GM12">
        <v>8.1128640699370198</v>
      </c>
      <c r="GN12">
        <v>9.1199221759800277</v>
      </c>
      <c r="GO12">
        <v>9.9932972904147626</v>
      </c>
      <c r="GP12">
        <v>7.6372310287751466</v>
      </c>
      <c r="GQ12">
        <v>1.4855650113197405</v>
      </c>
      <c r="GR12">
        <v>1.4855650113197405</v>
      </c>
      <c r="GS12">
        <v>6.1472255740543362</v>
      </c>
      <c r="GT12">
        <v>8.7171999593677842</v>
      </c>
      <c r="GU12"/>
      <c r="GV12"/>
      <c r="GW12"/>
      <c r="GX12"/>
      <c r="GY12"/>
      <c r="GZ12"/>
      <c r="HA12"/>
      <c r="HB12"/>
      <c r="HC12"/>
    </row>
    <row r="13" spans="1:211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92.666893063855809</v>
      </c>
      <c r="Y13" s="131">
        <f>COUNT(EK178:EK187)</f>
        <v>10</v>
      </c>
      <c r="Z13" s="130">
        <f>STDEV(EK178:EK187)</f>
        <v>91.275599689734136</v>
      </c>
      <c r="AA13" s="130">
        <f t="shared" si="2"/>
        <v>28.863878981731808</v>
      </c>
      <c r="AB13" s="131"/>
      <c r="AC13" s="130">
        <f>AVERAGE($FU178:$FU187)</f>
        <v>8.6129619341810315</v>
      </c>
      <c r="AD13" s="132">
        <f>COUNT($FU178:$FU187)</f>
        <v>10</v>
      </c>
      <c r="AE13" s="130">
        <f>STDEV($FU178:$FU187)</f>
        <v>8.236696743763769</v>
      </c>
      <c r="AF13" s="130">
        <f t="shared" si="3"/>
        <v>2.6046722106385798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2">
        <f t="shared" si="6"/>
        <v>39847</v>
      </c>
      <c r="FI13" s="225">
        <f>AVERAGE(GF6:GF1005)</f>
        <v>1.8202580217307422</v>
      </c>
      <c r="FJ13" s="225"/>
      <c r="FK13" s="225">
        <f>PERCENTILE($GF$6:$GF$1005,0.975)</f>
        <v>3.5836924101529077</v>
      </c>
      <c r="FL13" s="225"/>
      <c r="FM13" s="225">
        <f>PERCENTILE($GF$6:$GF$1005,0.025)</f>
        <v>0.11050852312500001</v>
      </c>
      <c r="FN13" s="225"/>
      <c r="FO13" s="5"/>
      <c r="FY13" s="211">
        <v>8</v>
      </c>
      <c r="FZ13">
        <v>11.099260833895702</v>
      </c>
      <c r="GA13">
        <v>13.068871159294034</v>
      </c>
      <c r="GB13">
        <v>7.5560272209352988</v>
      </c>
      <c r="GC13">
        <v>3.1781376505435821</v>
      </c>
      <c r="GD13">
        <v>1.1929630841890106</v>
      </c>
      <c r="GE13">
        <v>1.4526555702941177</v>
      </c>
      <c r="GF13">
        <v>2.7637807933242744</v>
      </c>
      <c r="GG13">
        <v>2.7806381475543476</v>
      </c>
      <c r="GH13">
        <v>2.0271599260312385</v>
      </c>
      <c r="GI13">
        <v>5.0046997980492502</v>
      </c>
      <c r="GJ13"/>
      <c r="GK13">
        <v>11.14494307106367</v>
      </c>
      <c r="GL13">
        <v>11.071226948549036</v>
      </c>
      <c r="GM13">
        <v>12.547647909140375</v>
      </c>
      <c r="GN13">
        <v>9.5234800677800742</v>
      </c>
      <c r="GO13">
        <v>4.6349515342722976</v>
      </c>
      <c r="GP13">
        <v>2.7811107397504458</v>
      </c>
      <c r="GQ13">
        <v>3.3867250402576481</v>
      </c>
      <c r="GR13">
        <v>3.9133454106280183</v>
      </c>
      <c r="GS13">
        <v>2.15994268611434</v>
      </c>
      <c r="GT13">
        <v>6.774842048169667</v>
      </c>
      <c r="GU13"/>
      <c r="GV13"/>
      <c r="GW13"/>
      <c r="GX13"/>
      <c r="GY13"/>
      <c r="GZ13"/>
      <c r="HA13"/>
      <c r="HB13"/>
      <c r="HC13"/>
    </row>
    <row r="14" spans="1:211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2">
        <f t="shared" si="6"/>
        <v>39910</v>
      </c>
      <c r="FI14" s="225">
        <f>AVERAGE(GG6:GG1005)</f>
        <v>1.9139332864463658</v>
      </c>
      <c r="FJ14" s="225"/>
      <c r="FK14" s="225">
        <f>PERCENTILE($GG$6:$GG$1005,0.975)</f>
        <v>3.7128331385284539</v>
      </c>
      <c r="FL14" s="225"/>
      <c r="FM14" s="225">
        <f>PERCENTILE($GG$6:$GG$1005,0.025)</f>
        <v>0.46540071051432302</v>
      </c>
      <c r="FN14" s="225"/>
      <c r="FO14" s="5"/>
      <c r="FY14" s="211">
        <v>9</v>
      </c>
      <c r="FZ14">
        <v>11.236918104140988</v>
      </c>
      <c r="GA14">
        <v>14.752283180695846</v>
      </c>
      <c r="GB14">
        <v>7.5636089843333725</v>
      </c>
      <c r="GC14">
        <v>3.3167027380637406</v>
      </c>
      <c r="GD14">
        <v>1.7941300070917341</v>
      </c>
      <c r="GE14">
        <v>1.7002178852941177</v>
      </c>
      <c r="GF14">
        <v>1.7532871258461631</v>
      </c>
      <c r="GG14">
        <v>2.2740336776282999</v>
      </c>
      <c r="GH14">
        <v>6.0022420781440546</v>
      </c>
      <c r="GI14">
        <v>5.8145929897109436</v>
      </c>
      <c r="GJ14"/>
      <c r="GK14">
        <v>11.285692299146941</v>
      </c>
      <c r="GL14">
        <v>12.49799637602416</v>
      </c>
      <c r="GM14">
        <v>12.525515248767112</v>
      </c>
      <c r="GN14">
        <v>9.8941315306941977</v>
      </c>
      <c r="GO14">
        <v>6.9768265136062384</v>
      </c>
      <c r="GP14">
        <v>3.2550690730837792</v>
      </c>
      <c r="GQ14">
        <v>2.1438404742827033</v>
      </c>
      <c r="GR14">
        <v>3.1970812150234438</v>
      </c>
      <c r="GS14">
        <v>6.4027107421832801</v>
      </c>
      <c r="GT14">
        <v>7.8669170555972556</v>
      </c>
      <c r="GU14"/>
      <c r="GV14"/>
      <c r="GW14"/>
      <c r="GX14"/>
      <c r="GY14"/>
      <c r="GZ14"/>
      <c r="HA14"/>
      <c r="HB14"/>
      <c r="HC14"/>
    </row>
    <row r="15" spans="1:211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46.61797700279466</v>
      </c>
      <c r="AO15" s="163">
        <f>D48</f>
        <v>5.0299390609287755</v>
      </c>
      <c r="AP15" s="163">
        <f>D63</f>
        <v>3.5738997667546304</v>
      </c>
      <c r="AQ15" s="163">
        <f>C453</f>
        <v>35.063759638775366</v>
      </c>
      <c r="AR15" s="163">
        <f>G520</f>
        <v>5.4400754784554053</v>
      </c>
      <c r="AS15" s="163">
        <f>I523</f>
        <v>35.318065062189369</v>
      </c>
      <c r="AT15" s="122">
        <f>G556</f>
        <v>4.366543483971693</v>
      </c>
      <c r="AU15" s="122">
        <f>I556</f>
        <v>4.8091578919175468</v>
      </c>
      <c r="AV15" s="23"/>
      <c r="AW15" s="23"/>
      <c r="FG15" s="5"/>
      <c r="FH15" s="212">
        <f t="shared" si="6"/>
        <v>39949</v>
      </c>
      <c r="FI15" s="225">
        <f>AVERAGE(GH6:GH1005)</f>
        <v>5.0023619302505953</v>
      </c>
      <c r="FJ15" s="225"/>
      <c r="FK15" s="225">
        <f>PERCENTILE($GH$6:$GH$1005,0.975)</f>
        <v>7.9190898250426853</v>
      </c>
      <c r="FL15" s="225"/>
      <c r="FM15" s="225">
        <f>PERCENTILE($GH$6:$GH$1005,0.025)</f>
        <v>2.4615312725829308</v>
      </c>
      <c r="FN15" s="225"/>
      <c r="FO15" s="5"/>
      <c r="FY15" s="211">
        <v>10</v>
      </c>
      <c r="FZ15">
        <v>11.556273127075119</v>
      </c>
      <c r="GA15">
        <v>9.7042585684807978</v>
      </c>
      <c r="GB15">
        <v>5.1868901791234272</v>
      </c>
      <c r="GC15">
        <v>3.0052698307289725</v>
      </c>
      <c r="GD15">
        <v>1.1800503293363789</v>
      </c>
      <c r="GE15">
        <v>1.2495610916112958</v>
      </c>
      <c r="GF15">
        <v>2.4235453421912716</v>
      </c>
      <c r="GG15">
        <v>2.4353311428909818</v>
      </c>
      <c r="GH15">
        <v>4.6224590235826399</v>
      </c>
      <c r="GI15">
        <v>4.8311538118187762</v>
      </c>
      <c r="GJ15"/>
      <c r="GK15">
        <v>11.599113290591832</v>
      </c>
      <c r="GL15">
        <v>8.2223658551634955</v>
      </c>
      <c r="GM15">
        <v>8.6286783866147427</v>
      </c>
      <c r="GN15">
        <v>9.0051112012609877</v>
      </c>
      <c r="GO15">
        <v>4.5753962486157258</v>
      </c>
      <c r="GP15">
        <v>2.3922861295681064</v>
      </c>
      <c r="GQ15">
        <v>2.9651719960218337</v>
      </c>
      <c r="GR15">
        <v>3.4240840330588713</v>
      </c>
      <c r="GS15">
        <v>4.9278630300226354</v>
      </c>
      <c r="GT15">
        <v>6.5392445903733547</v>
      </c>
      <c r="GU15"/>
      <c r="GV15"/>
      <c r="GW15"/>
      <c r="GX15"/>
      <c r="GY15"/>
      <c r="GZ15"/>
      <c r="HA15"/>
      <c r="HB15"/>
      <c r="HC15"/>
    </row>
    <row r="16" spans="1:211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2">
        <f t="shared" si="6"/>
        <v>39987</v>
      </c>
      <c r="FI16" s="225">
        <f>AVERAGE(GI6:GI1005)</f>
        <v>5.4057799159730564</v>
      </c>
      <c r="FJ16" s="225"/>
      <c r="FK16" s="225">
        <f>PERCENTILE($GI$6:$GI$1005,0.975)</f>
        <v>6.749935767681853</v>
      </c>
      <c r="FL16" s="225"/>
      <c r="FM16" s="225">
        <f>PERCENTILE($GI$6:$GI$1005,0.025)</f>
        <v>4.1443684646158161</v>
      </c>
      <c r="FN16" s="225"/>
      <c r="FO16" s="5"/>
      <c r="FY16" s="211">
        <v>11</v>
      </c>
      <c r="FZ16">
        <v>9.6628329095887473</v>
      </c>
      <c r="GA16">
        <v>11.058531868522987</v>
      </c>
      <c r="GB16">
        <v>6.3578285237545202</v>
      </c>
      <c r="GC16">
        <v>2.5743224273584473</v>
      </c>
      <c r="GD16">
        <v>2.7268757587271355</v>
      </c>
      <c r="GE16">
        <v>4.6348399857709612</v>
      </c>
      <c r="GF16">
        <v>2.5566093489009645</v>
      </c>
      <c r="GG16">
        <v>3.2514637787265794</v>
      </c>
      <c r="GH16">
        <v>5.7733711109084833</v>
      </c>
      <c r="GI16">
        <v>5.9287645960780289</v>
      </c>
      <c r="GJ16"/>
      <c r="GK16">
        <v>9.698194029237051</v>
      </c>
      <c r="GL16">
        <v>9.3704013160445374</v>
      </c>
      <c r="GM16">
        <v>10.532505689390058</v>
      </c>
      <c r="GN16">
        <v>7.668875206678857</v>
      </c>
      <c r="GO16">
        <v>10.572885585259476</v>
      </c>
      <c r="GP16">
        <v>8.8734064185928094</v>
      </c>
      <c r="GQ16">
        <v>3.1282280547980017</v>
      </c>
      <c r="GR16">
        <v>4.5726724992424455</v>
      </c>
      <c r="GS16">
        <v>6.1549886570011223</v>
      </c>
      <c r="GT16">
        <v>8.0173604031371433</v>
      </c>
      <c r="GU16"/>
      <c r="GV16"/>
      <c r="GW16"/>
      <c r="GX16"/>
      <c r="GY16"/>
      <c r="GZ16"/>
      <c r="HA16"/>
      <c r="HB16"/>
      <c r="HC16"/>
    </row>
    <row r="17" spans="1:211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56.138288749843412</v>
      </c>
      <c r="AO17">
        <v>6.6700024763619199</v>
      </c>
      <c r="AP17">
        <v>3.8331038195916043</v>
      </c>
      <c r="AQ17">
        <v>47.522456049097187</v>
      </c>
      <c r="AR17">
        <v>6.9832539802697005</v>
      </c>
      <c r="AS17">
        <v>41.507417915341655</v>
      </c>
      <c r="AT17">
        <v>5.5108486865695276</v>
      </c>
      <c r="AU17">
        <v>6.7415509982389832</v>
      </c>
      <c r="AV17"/>
      <c r="AW17"/>
      <c r="FG17" s="5"/>
      <c r="FH17" s="213"/>
      <c r="FI17" s="13"/>
      <c r="FJ17" s="13"/>
      <c r="FK17" s="13"/>
      <c r="FL17" s="13"/>
      <c r="FM17" s="13"/>
      <c r="FN17" s="13"/>
      <c r="FO17" s="5"/>
      <c r="FY17" s="211">
        <v>12</v>
      </c>
      <c r="FZ17">
        <v>7.7943593519426706</v>
      </c>
      <c r="GA17">
        <v>2.9231334477413382</v>
      </c>
      <c r="GB17">
        <v>3.5531070227357855</v>
      </c>
      <c r="GC17">
        <v>2.8450750811049947</v>
      </c>
      <c r="GD17">
        <v>2.4137309205057829</v>
      </c>
      <c r="GE17">
        <v>3.1013477411911277</v>
      </c>
      <c r="GF17">
        <v>1.7602446225233985</v>
      </c>
      <c r="GG17">
        <v>1.532184007852873</v>
      </c>
      <c r="GH17">
        <v>3.9598293559617943</v>
      </c>
      <c r="GI17">
        <v>4.3532279141300769</v>
      </c>
      <c r="GJ17"/>
      <c r="GK17">
        <v>7.8479031904566785</v>
      </c>
      <c r="GL17">
        <v>2.476543925666812</v>
      </c>
      <c r="GM17">
        <v>5.8827794400228157</v>
      </c>
      <c r="GN17">
        <v>8.4676037549398924</v>
      </c>
      <c r="GO17">
        <v>9.3579884078648874</v>
      </c>
      <c r="GP17">
        <v>5.9375337740804568</v>
      </c>
      <c r="GQ17">
        <v>2.1546811570286302</v>
      </c>
      <c r="GR17">
        <v>2.1546811570286302</v>
      </c>
      <c r="GS17">
        <v>4.2218639824106372</v>
      </c>
      <c r="GT17">
        <v>5.893043235556731</v>
      </c>
      <c r="GU17"/>
      <c r="GV17"/>
      <c r="GW17"/>
      <c r="GX17"/>
      <c r="GY17"/>
      <c r="GZ17"/>
      <c r="HA17"/>
      <c r="HB17"/>
      <c r="HC17"/>
    </row>
    <row r="18" spans="1:211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52.739187289039478</v>
      </c>
      <c r="AO18">
        <v>6.4401872054611102</v>
      </c>
      <c r="AP18">
        <v>10.53620470617539</v>
      </c>
      <c r="AQ18">
        <v>43.53965632286706</v>
      </c>
      <c r="AR18">
        <v>6.7197702451864068</v>
      </c>
      <c r="AS18">
        <v>41.963467089075479</v>
      </c>
      <c r="AT18" t="e">
        <v>#DIV/0!</v>
      </c>
      <c r="AU18" t="e">
        <v>#DIV/0!</v>
      </c>
      <c r="AV18"/>
      <c r="AW18"/>
      <c r="FG18" s="5"/>
      <c r="FH18" s="213"/>
      <c r="FI18" s="13"/>
      <c r="FJ18" s="13"/>
      <c r="FK18" s="13"/>
      <c r="FL18" s="13"/>
      <c r="FM18" s="13"/>
      <c r="FN18" s="13"/>
      <c r="FO18" s="5"/>
      <c r="FY18" s="211">
        <v>13</v>
      </c>
      <c r="FZ18">
        <v>10.642588740229225</v>
      </c>
      <c r="GA18">
        <v>8.0476996450648315</v>
      </c>
      <c r="GB18">
        <v>5.9618394211599695</v>
      </c>
      <c r="GC18">
        <v>3.9373595276808402</v>
      </c>
      <c r="GD18">
        <v>2.9346852320154047</v>
      </c>
      <c r="GE18">
        <v>4.2545163011764711</v>
      </c>
      <c r="GF18">
        <v>0.67025821634510852</v>
      </c>
      <c r="GG18">
        <v>0.53548899130434779</v>
      </c>
      <c r="GH18">
        <v>3.0542577050160924</v>
      </c>
      <c r="GI18">
        <v>5.3305443581633858</v>
      </c>
      <c r="GJ18"/>
      <c r="GK18">
        <v>10.679289211547802</v>
      </c>
      <c r="GL18">
        <v>6.820278905253212</v>
      </c>
      <c r="GM18">
        <v>9.9471205189427323</v>
      </c>
      <c r="GN18">
        <v>11.841691976464496</v>
      </c>
      <c r="GO18">
        <v>11.388855905453489</v>
      </c>
      <c r="GP18">
        <v>8.145276292335117</v>
      </c>
      <c r="GQ18">
        <v>0.82133152173913027</v>
      </c>
      <c r="GR18">
        <v>0.75362318840579701</v>
      </c>
      <c r="GS18">
        <v>3.2551144557258711</v>
      </c>
      <c r="GT18">
        <v>7.2183423226818055</v>
      </c>
      <c r="GU18"/>
      <c r="GV18"/>
      <c r="GW18"/>
      <c r="GX18"/>
      <c r="GY18"/>
      <c r="GZ18"/>
      <c r="HA18"/>
      <c r="HB18"/>
      <c r="HC18"/>
    </row>
    <row r="19" spans="1:211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58.670190422133864</v>
      </c>
      <c r="AO19">
        <v>6.9508973141820478</v>
      </c>
      <c r="AP19">
        <v>64.35334745809358</v>
      </c>
      <c r="AQ19">
        <v>50.466835363753141</v>
      </c>
      <c r="AR19">
        <v>7.3763408459588105</v>
      </c>
      <c r="AS19">
        <v>43.806785190318948</v>
      </c>
      <c r="AT19" t="e">
        <v>#DIV/0!</v>
      </c>
      <c r="AU19" t="e">
        <v>#DIV/0!</v>
      </c>
      <c r="AV19"/>
      <c r="AW19"/>
      <c r="FG19" s="5"/>
      <c r="FH19" s="213"/>
      <c r="FI19" s="13"/>
      <c r="FJ19" s="13"/>
      <c r="FK19" s="13"/>
      <c r="FL19" s="13"/>
      <c r="FM19" s="13"/>
      <c r="FN19" s="13"/>
      <c r="FO19" s="5"/>
      <c r="FY19" s="211">
        <v>14</v>
      </c>
      <c r="FZ19">
        <v>15.107400813977007</v>
      </c>
      <c r="GA19">
        <v>17.757006147477494</v>
      </c>
      <c r="GB19">
        <v>7.4992736750207225</v>
      </c>
      <c r="GC19">
        <v>2.7467692768878162</v>
      </c>
      <c r="GD19">
        <v>1.2517006597316656</v>
      </c>
      <c r="GE19">
        <v>2.0565260605882356</v>
      </c>
      <c r="GF19">
        <v>0.61500395478260861</v>
      </c>
      <c r="GG19">
        <v>0.90968051734601452</v>
      </c>
      <c r="GH19">
        <v>4.6323635423402942</v>
      </c>
      <c r="GI19">
        <v>5.6393020981490949</v>
      </c>
      <c r="GJ19"/>
      <c r="GK19">
        <v>15.16233220799157</v>
      </c>
      <c r="GL19">
        <v>15.047053696618027</v>
      </c>
      <c r="GM19">
        <v>12.460690103896663</v>
      </c>
      <c r="GN19">
        <v>8.2356360113239067</v>
      </c>
      <c r="GO19">
        <v>4.8517170565935643</v>
      </c>
      <c r="GP19">
        <v>3.9372214795008915</v>
      </c>
      <c r="GQ19">
        <v>0.75362318840579701</v>
      </c>
      <c r="GR19">
        <v>1.2802435587761674</v>
      </c>
      <c r="GS19">
        <v>4.9382891096118122</v>
      </c>
      <c r="GT19">
        <v>7.6333303332998819</v>
      </c>
      <c r="GU19"/>
      <c r="GV19"/>
      <c r="GW19"/>
      <c r="GX19"/>
      <c r="GY19"/>
      <c r="GZ19"/>
      <c r="HA19"/>
      <c r="HB19"/>
      <c r="HC19"/>
    </row>
    <row r="20" spans="1:211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67.040654255736825</v>
      </c>
      <c r="AO20">
        <v>8.2911091006922177</v>
      </c>
      <c r="AP20">
        <v>5.9240906391000259</v>
      </c>
      <c r="AQ20">
        <v>56.995783563726462</v>
      </c>
      <c r="AR20">
        <v>8.587072683237686</v>
      </c>
      <c r="AS20">
        <v>53.694667104076082</v>
      </c>
      <c r="AT20">
        <v>6.8628362788068911</v>
      </c>
      <c r="AU20">
        <v>3.2369208209983835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10.241741097642773</v>
      </c>
      <c r="GA20">
        <v>11.81191701116296</v>
      </c>
      <c r="GB20">
        <v>6.2088802923750466</v>
      </c>
      <c r="GC20">
        <v>3.4276173390894855</v>
      </c>
      <c r="GD20">
        <v>2.3214913534135904</v>
      </c>
      <c r="GE20">
        <v>3.3252935278024238</v>
      </c>
      <c r="GF20">
        <v>0.61500395478260861</v>
      </c>
      <c r="GG20">
        <v>0.53548899130434779</v>
      </c>
      <c r="GH20">
        <v>4.111752290708897</v>
      </c>
      <c r="GI20">
        <v>5.1339812254147121</v>
      </c>
      <c r="GJ20"/>
      <c r="GK20">
        <v>10.270628171451676</v>
      </c>
      <c r="GL20">
        <v>10.008612283608883</v>
      </c>
      <c r="GM20">
        <v>10.322263395012907</v>
      </c>
      <c r="GN20">
        <v>10.262963938807719</v>
      </c>
      <c r="GO20">
        <v>9.0003489421949006</v>
      </c>
      <c r="GP20">
        <v>6.3662782369818975</v>
      </c>
      <c r="GQ20">
        <v>0.75362318840579701</v>
      </c>
      <c r="GR20">
        <v>0.75362318840579701</v>
      </c>
      <c r="GS20">
        <v>4.3836171863370303</v>
      </c>
      <c r="GT20">
        <v>6.9460961766804612</v>
      </c>
      <c r="GU20"/>
      <c r="GV20"/>
      <c r="GW20"/>
      <c r="GX20"/>
      <c r="GY20"/>
      <c r="GZ20"/>
      <c r="HA20"/>
      <c r="HB20"/>
      <c r="HC20"/>
    </row>
    <row r="21" spans="1:211" s="7" customFormat="1">
      <c r="A21" s="4"/>
      <c r="B21" s="36"/>
      <c r="C21" s="48" t="s">
        <v>38</v>
      </c>
      <c r="D21" s="49">
        <f t="shared" ref="D21:D26" si="7">SUM(G21:AK21)</f>
        <v>55.357142857142861</v>
      </c>
      <c r="E21" s="18">
        <f t="shared" ref="E21:E26" si="8">C5-C4</f>
        <v>27</v>
      </c>
      <c r="F21" s="50"/>
      <c r="G21" s="18">
        <f t="shared" ref="G21:AK21" si="9">AVERAGE(G70:G71)</f>
        <v>5.208333333333333</v>
      </c>
      <c r="H21" s="18">
        <f t="shared" si="9"/>
        <v>45.982142857142861</v>
      </c>
      <c r="I21" s="18">
        <f t="shared" si="9"/>
        <v>4.1666666666666661</v>
      </c>
      <c r="J21" s="18">
        <f t="shared" si="9"/>
        <v>0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46.763884695412614</v>
      </c>
      <c r="AO21">
        <v>5.3776148896408884</v>
      </c>
      <c r="AP21">
        <v>72.593985260963819</v>
      </c>
      <c r="AQ21">
        <v>34.833065612828207</v>
      </c>
      <c r="AR21">
        <v>5.8598853219394185</v>
      </c>
      <c r="AS21">
        <v>37.829701331188865</v>
      </c>
      <c r="AT21" t="e">
        <v>#DIV/0!</v>
      </c>
      <c r="AU21" t="e">
        <v>#DIV/0!</v>
      </c>
      <c r="AV21"/>
      <c r="AW21"/>
      <c r="FY21" s="211">
        <v>16</v>
      </c>
      <c r="FZ21">
        <v>12.478386955196944</v>
      </c>
      <c r="GA21">
        <v>10.916885168484921</v>
      </c>
      <c r="GB21">
        <v>5.6400431700900064</v>
      </c>
      <c r="GC21">
        <v>3.4841719939185625</v>
      </c>
      <c r="GD21">
        <v>2.5392136298986405</v>
      </c>
      <c r="GE21">
        <v>3.2529165054768421</v>
      </c>
      <c r="GF21">
        <v>1.7929434005012066</v>
      </c>
      <c r="GG21">
        <v>1.838625950142275</v>
      </c>
      <c r="GH21">
        <v>2.6935433713355375</v>
      </c>
      <c r="GI21">
        <v>5.439733637396543</v>
      </c>
      <c r="GJ21"/>
      <c r="GK21">
        <v>12.529299497788575</v>
      </c>
      <c r="GL21">
        <v>9.2491215286220054</v>
      </c>
      <c r="GM21">
        <v>9.3794220681746641</v>
      </c>
      <c r="GN21">
        <v>10.433631224099209</v>
      </c>
      <c r="GO21">
        <v>9.8445211459601278</v>
      </c>
      <c r="GP21">
        <v>6.2277123455090289</v>
      </c>
      <c r="GQ21">
        <v>2.194750098252463</v>
      </c>
      <c r="GR21">
        <v>2.5859538019561663</v>
      </c>
      <c r="GS21">
        <v>2.8702764927629083</v>
      </c>
      <c r="GT21">
        <v>7.3636538605877462</v>
      </c>
      <c r="GU21"/>
      <c r="GV21"/>
      <c r="GW21"/>
      <c r="GX21"/>
      <c r="GY21"/>
      <c r="GZ21"/>
      <c r="HA21"/>
      <c r="HB21"/>
      <c r="HC21"/>
    </row>
    <row r="22" spans="1:211" s="7" customFormat="1">
      <c r="B22" s="36"/>
      <c r="C22" s="48" t="s">
        <v>39</v>
      </c>
      <c r="D22" s="49">
        <f t="shared" si="7"/>
        <v>41.666666666666671</v>
      </c>
      <c r="E22" s="18">
        <f t="shared" si="8"/>
        <v>41</v>
      </c>
      <c r="F22" s="50"/>
      <c r="G22" s="18">
        <f t="shared" ref="G22:AK22" si="10">AVERAGE(G71:G72)</f>
        <v>11.235119047619047</v>
      </c>
      <c r="H22" s="18">
        <f t="shared" si="10"/>
        <v>30.43154761904762</v>
      </c>
      <c r="I22" s="18">
        <f t="shared" si="10"/>
        <v>0</v>
      </c>
      <c r="J22" s="18">
        <f t="shared" si="10"/>
        <v>0</v>
      </c>
      <c r="K22" s="18">
        <f t="shared" si="10"/>
        <v>0</v>
      </c>
      <c r="L22" s="18">
        <f t="shared" si="10"/>
        <v>0</v>
      </c>
      <c r="M22" s="18">
        <f t="shared" si="10"/>
        <v>0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56.318143744752298</v>
      </c>
      <c r="AO22">
        <v>6.6840413118837656</v>
      </c>
      <c r="AP22">
        <v>45.772319061111098</v>
      </c>
      <c r="AQ22">
        <v>50.917788248846882</v>
      </c>
      <c r="AR22">
        <v>6.9951012778723332</v>
      </c>
      <c r="AS22">
        <v>45.417564946581706</v>
      </c>
      <c r="AT22" t="e">
        <v>#DIV/0!</v>
      </c>
      <c r="AU22" t="e">
        <v>#DIV/0!</v>
      </c>
      <c r="AV22"/>
      <c r="AW22"/>
      <c r="FY22" s="211">
        <v>17</v>
      </c>
      <c r="FZ22">
        <v>6.7506167979524374</v>
      </c>
      <c r="GA22">
        <v>3.7549886104389705</v>
      </c>
      <c r="GB22">
        <v>3.3451878878632542</v>
      </c>
      <c r="GC22">
        <v>2.1503866083469556</v>
      </c>
      <c r="GD22">
        <v>1.923720452061104</v>
      </c>
      <c r="GE22">
        <v>2.8184193811911284</v>
      </c>
      <c r="GF22">
        <v>0.7185549812303732</v>
      </c>
      <c r="GG22">
        <v>1.277338661079775</v>
      </c>
      <c r="GH22">
        <v>3.7753371077188334</v>
      </c>
      <c r="GI22">
        <v>3.6501720810808069</v>
      </c>
      <c r="GJ22"/>
      <c r="GK22">
        <v>6.7812237353573241</v>
      </c>
      <c r="GL22">
        <v>3.1810471169872248</v>
      </c>
      <c r="GM22">
        <v>5.5389910252362711</v>
      </c>
      <c r="GN22">
        <v>6.409841166713214</v>
      </c>
      <c r="GO22">
        <v>7.4683090924118334</v>
      </c>
      <c r="GP22">
        <v>5.3958671074137916</v>
      </c>
      <c r="GQ22">
        <v>0.87819917232653688</v>
      </c>
      <c r="GR22">
        <v>1.796023246400611</v>
      </c>
      <c r="GS22">
        <v>4.0250333761194135</v>
      </c>
      <c r="GT22">
        <v>4.9383512802902736</v>
      </c>
      <c r="GU22"/>
      <c r="GV22"/>
      <c r="GW22"/>
      <c r="GX22"/>
      <c r="GY22"/>
      <c r="GZ22"/>
      <c r="HA22"/>
      <c r="HB22"/>
      <c r="HC22"/>
    </row>
    <row r="23" spans="1:211" s="7" customFormat="1">
      <c r="B23" s="36"/>
      <c r="C23" s="48" t="s">
        <v>40</v>
      </c>
      <c r="D23" s="49">
        <f t="shared" si="7"/>
        <v>64.840841746329545</v>
      </c>
      <c r="E23" s="18">
        <f t="shared" si="8"/>
        <v>33</v>
      </c>
      <c r="F23" s="50"/>
      <c r="G23" s="18">
        <f t="shared" ref="G23:AK23" si="11">AVERAGE(G72:G73)</f>
        <v>16.648065476190474</v>
      </c>
      <c r="H23" s="18">
        <f t="shared" si="11"/>
        <v>44.937567936805742</v>
      </c>
      <c r="I23" s="18">
        <f t="shared" si="11"/>
        <v>3.2552083333333335</v>
      </c>
      <c r="J23" s="18">
        <f t="shared" si="11"/>
        <v>0</v>
      </c>
      <c r="K23" s="18">
        <f t="shared" si="11"/>
        <v>0</v>
      </c>
      <c r="L23" s="18">
        <f t="shared" si="11"/>
        <v>0</v>
      </c>
      <c r="M23" s="18">
        <f t="shared" si="11"/>
        <v>0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69.441541461670127</v>
      </c>
      <c r="AO23">
        <v>8.5000500959766221</v>
      </c>
      <c r="AP23">
        <v>93.81823425405976</v>
      </c>
      <c r="AQ23">
        <v>63.769414504984418</v>
      </c>
      <c r="AR23">
        <v>8.7171999593677878</v>
      </c>
      <c r="AS23">
        <v>56.12938211769881</v>
      </c>
      <c r="AT23" t="e">
        <v>#DIV/0!</v>
      </c>
      <c r="AU23" t="e">
        <v>#DIV/0!</v>
      </c>
      <c r="AV23"/>
      <c r="AW23"/>
      <c r="FY23" s="211">
        <v>18</v>
      </c>
      <c r="FZ23">
        <v>9.4244182225436219</v>
      </c>
      <c r="GA23">
        <v>8.3029232588423554</v>
      </c>
      <c r="GB23">
        <v>5.2166119456847095</v>
      </c>
      <c r="GC23">
        <v>2.6591871813714452</v>
      </c>
      <c r="GD23">
        <v>2.0502551598986405</v>
      </c>
      <c r="GE23">
        <v>2.9245175161911283</v>
      </c>
      <c r="GF23">
        <v>1.2074524259805255</v>
      </c>
      <c r="GG23">
        <v>2.4999945030230979</v>
      </c>
      <c r="GH23">
        <v>7.5133915784276173</v>
      </c>
      <c r="GI23">
        <v>5.2556112346502806</v>
      </c>
      <c r="GJ23"/>
      <c r="GK23">
        <v>9.4667970424846288</v>
      </c>
      <c r="GL23">
        <v>7.0336062754434412</v>
      </c>
      <c r="GM23">
        <v>8.640580865300894</v>
      </c>
      <c r="GN23">
        <v>7.9189452390331176</v>
      </c>
      <c r="GO23">
        <v>7.9486878126267939</v>
      </c>
      <c r="GP23">
        <v>5.5989921074137916</v>
      </c>
      <c r="GQ23">
        <v>1.4796069847020934</v>
      </c>
      <c r="GR23">
        <v>3.5183801328502411</v>
      </c>
      <c r="GS23">
        <v>8.0138355776543708</v>
      </c>
      <c r="GT23">
        <v>7.1099016565537552</v>
      </c>
      <c r="GU23"/>
      <c r="GV23"/>
      <c r="GW23"/>
      <c r="GX23"/>
      <c r="GY23"/>
      <c r="GZ23"/>
      <c r="HA23"/>
      <c r="HB23"/>
      <c r="HC23"/>
    </row>
    <row r="24" spans="1:211" s="7" customFormat="1">
      <c r="A24" s="4"/>
      <c r="B24" s="36"/>
      <c r="C24" s="48" t="s">
        <v>41</v>
      </c>
      <c r="D24" s="49">
        <f t="shared" si="7"/>
        <v>53.903341746329559</v>
      </c>
      <c r="E24" s="18">
        <f t="shared" si="8"/>
        <v>28</v>
      </c>
      <c r="F24" s="50"/>
      <c r="G24" s="18">
        <f t="shared" ref="G24:AK24" si="12">AVERAGE(G73:G74)</f>
        <v>6.9754464285714288</v>
      </c>
      <c r="H24" s="18">
        <f t="shared" si="12"/>
        <v>43.672686984424793</v>
      </c>
      <c r="I24" s="18">
        <f t="shared" si="12"/>
        <v>3.2552083333333335</v>
      </c>
      <c r="J24" s="18">
        <f t="shared" si="12"/>
        <v>0</v>
      </c>
      <c r="K24" s="18">
        <f t="shared" si="12"/>
        <v>0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59.284143236502473</v>
      </c>
      <c r="AO24">
        <v>6.7938215455725581</v>
      </c>
      <c r="AP24">
        <v>43.991992211790546</v>
      </c>
      <c r="AQ24">
        <v>50.124194184110856</v>
      </c>
      <c r="AR24">
        <v>6.774842048169667</v>
      </c>
      <c r="AS24">
        <v>41.965832990288298</v>
      </c>
      <c r="AT24" t="e">
        <v>#DIV/0!</v>
      </c>
      <c r="AU24" t="e">
        <v>#DIV/0!</v>
      </c>
      <c r="AV24"/>
      <c r="AW24"/>
      <c r="FY24" s="211">
        <v>19</v>
      </c>
      <c r="FZ24">
        <v>5.2624014532958894</v>
      </c>
      <c r="GA24">
        <v>3.4195485596059938</v>
      </c>
      <c r="GB24">
        <v>5.7583463052748378</v>
      </c>
      <c r="GC24">
        <v>3.6218809534910665</v>
      </c>
      <c r="GD24">
        <v>2.1712533428993392</v>
      </c>
      <c r="GE24">
        <v>3.0938908821995317</v>
      </c>
      <c r="GF24">
        <v>1.2074524259805255</v>
      </c>
      <c r="GG24">
        <v>1.003228398856431</v>
      </c>
      <c r="GH24">
        <v>3.707437422118522</v>
      </c>
      <c r="GI24">
        <v>4.2459087628787753</v>
      </c>
      <c r="GJ24"/>
      <c r="GK24">
        <v>5.290289099978823</v>
      </c>
      <c r="GL24">
        <v>2.8960049283759361</v>
      </c>
      <c r="GM24">
        <v>9.609738571578001</v>
      </c>
      <c r="GN24">
        <v>10.900955139074672</v>
      </c>
      <c r="GO24">
        <v>8.4280656654956125</v>
      </c>
      <c r="GP24">
        <v>5.9232576090689983</v>
      </c>
      <c r="GQ24">
        <v>1.4796069847020934</v>
      </c>
      <c r="GR24">
        <v>1.4118986513687599</v>
      </c>
      <c r="GS24">
        <v>3.9527335649219144</v>
      </c>
      <c r="GT24">
        <v>5.7520867773352888</v>
      </c>
      <c r="GU24"/>
      <c r="GV24"/>
      <c r="GW24"/>
      <c r="GX24"/>
      <c r="GY24"/>
      <c r="GZ24"/>
      <c r="HA24"/>
      <c r="HB24"/>
      <c r="HC24"/>
    </row>
    <row r="25" spans="1:211" s="7" customFormat="1">
      <c r="A25" s="4"/>
      <c r="B25" s="36"/>
      <c r="C25" s="48" t="s">
        <v>42</v>
      </c>
      <c r="D25" s="49">
        <f t="shared" si="7"/>
        <v>43.813217676076775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43.813217676076775</v>
      </c>
      <c r="I25" s="18">
        <f t="shared" si="13"/>
        <v>0</v>
      </c>
      <c r="J25" s="18">
        <f t="shared" si="13"/>
        <v>0</v>
      </c>
      <c r="K25" s="18">
        <f t="shared" si="13"/>
        <v>0</v>
      </c>
      <c r="L25" s="18">
        <f t="shared" si="13"/>
        <v>0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65.797231455055069</v>
      </c>
      <c r="AO25">
        <v>7.6045780528409113</v>
      </c>
      <c r="AP25">
        <v>29.522881423551532</v>
      </c>
      <c r="AQ25">
        <v>56.208016770949264</v>
      </c>
      <c r="AR25">
        <v>7.8669170555972592</v>
      </c>
      <c r="AS25">
        <v>51.416510160143311</v>
      </c>
      <c r="AT25" t="e">
        <v>#DIV/0!</v>
      </c>
      <c r="AU25" t="e">
        <v>#DIV/0!</v>
      </c>
      <c r="AV25"/>
      <c r="AW25"/>
      <c r="FY25" s="211">
        <v>20</v>
      </c>
      <c r="FZ25">
        <v>13.541130631836088</v>
      </c>
      <c r="GA25">
        <v>11.236263050037529</v>
      </c>
      <c r="GB25">
        <v>4.1665045244614118</v>
      </c>
      <c r="GC25">
        <v>2.407120075735079</v>
      </c>
      <c r="GD25">
        <v>2.1724427769208017</v>
      </c>
      <c r="GE25">
        <v>3.1201551358823534</v>
      </c>
      <c r="GF25">
        <v>1.1521981644180253</v>
      </c>
      <c r="GG25">
        <v>1.7516114509397644</v>
      </c>
      <c r="GH25">
        <v>4.3049325051637295</v>
      </c>
      <c r="GI25">
        <v>5.1636801756780732</v>
      </c>
      <c r="GJ25"/>
      <c r="GK25">
        <v>13.586715894429316</v>
      </c>
      <c r="GL25">
        <v>9.519158600484527</v>
      </c>
      <c r="GM25">
        <v>6.898339581917436</v>
      </c>
      <c r="GN25">
        <v>7.1830709198556022</v>
      </c>
      <c r="GO25">
        <v>8.4429103649868011</v>
      </c>
      <c r="GP25">
        <v>5.9735405525846712</v>
      </c>
      <c r="GQ25">
        <v>1.4118986513687599</v>
      </c>
      <c r="GR25">
        <v>2.4651393921095006</v>
      </c>
      <c r="GS25">
        <v>4.5908031702469652</v>
      </c>
      <c r="GT25">
        <v>6.9861335325898555</v>
      </c>
      <c r="GU25"/>
      <c r="GV25"/>
      <c r="GW25"/>
      <c r="GX25"/>
      <c r="GY25"/>
      <c r="GZ25"/>
      <c r="HA25"/>
      <c r="HB25"/>
      <c r="HC25"/>
    </row>
    <row r="26" spans="1:211" s="7" customFormat="1">
      <c r="A26" s="4"/>
      <c r="B26" s="36"/>
      <c r="C26" s="48" t="s">
        <v>118</v>
      </c>
      <c r="D26" s="49">
        <f t="shared" si="7"/>
        <v>30.420360533219629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30.420360533219629</v>
      </c>
      <c r="I26" s="18">
        <f t="shared" si="14"/>
        <v>0</v>
      </c>
      <c r="J26" s="18">
        <f t="shared" si="14"/>
        <v>0</v>
      </c>
      <c r="K26" s="18">
        <f t="shared" si="14"/>
        <v>0</v>
      </c>
      <c r="L26" s="18">
        <f t="shared" si="14"/>
        <v>0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53.297644973546916</v>
      </c>
      <c r="AO26">
        <v>6.2279314761291582</v>
      </c>
      <c r="AP26">
        <v>4.1189149453553604</v>
      </c>
      <c r="AQ26">
        <v>46.194792446839671</v>
      </c>
      <c r="AR26">
        <v>6.5392445903733556</v>
      </c>
      <c r="AS26">
        <v>40.431896778408444</v>
      </c>
      <c r="AT26">
        <v>5.2063057851878591</v>
      </c>
      <c r="AU26">
        <v>3.0614802529396945</v>
      </c>
      <c r="AV26"/>
      <c r="AW26"/>
      <c r="FY26" s="211">
        <v>21</v>
      </c>
      <c r="FZ26">
        <v>12.159108457277153</v>
      </c>
      <c r="GA26">
        <v>14.406744770351992</v>
      </c>
      <c r="GB26">
        <v>6.2958384623923678</v>
      </c>
      <c r="GC26">
        <v>2.5589821868478642</v>
      </c>
      <c r="GD26">
        <v>1.5505057222408327</v>
      </c>
      <c r="GE26">
        <v>1.9578847845798322</v>
      </c>
      <c r="GF26">
        <v>0.60804645810537317</v>
      </c>
      <c r="GG26">
        <v>0.90314713503810828</v>
      </c>
      <c r="GH26">
        <v>5.3971732488137736</v>
      </c>
      <c r="GI26">
        <v>5.1959378993960899</v>
      </c>
      <c r="GJ26"/>
      <c r="GK26">
        <v>12.199724097879448</v>
      </c>
      <c r="GL26">
        <v>12.206113053074086</v>
      </c>
      <c r="GM26">
        <v>10.426441917655895</v>
      </c>
      <c r="GN26">
        <v>7.6172427151082287</v>
      </c>
      <c r="GO26">
        <v>6.011014778296782</v>
      </c>
      <c r="GP26">
        <v>3.7483726445123509</v>
      </c>
      <c r="GQ26">
        <v>0.74278250565987025</v>
      </c>
      <c r="GR26">
        <v>1.2694028760302405</v>
      </c>
      <c r="GS26">
        <v>5.7553336678495013</v>
      </c>
      <c r="GT26">
        <v>7.0270593934682992</v>
      </c>
      <c r="GU26"/>
      <c r="GV26"/>
      <c r="GW26"/>
      <c r="GX26"/>
      <c r="GY26"/>
      <c r="GZ26"/>
      <c r="HA26"/>
      <c r="HB26"/>
      <c r="HC26"/>
    </row>
    <row r="27" spans="1:211" s="7" customFormat="1">
      <c r="A27" s="4"/>
      <c r="B27" s="1"/>
      <c r="C27" s="48" t="s">
        <v>119</v>
      </c>
      <c r="D27" s="49">
        <f>SUM(G27:AK27)</f>
        <v>37.423258856682764</v>
      </c>
      <c r="E27" s="18">
        <f>C11-C10</f>
        <v>63</v>
      </c>
      <c r="F27" s="50"/>
      <c r="G27" s="18">
        <f t="shared" ref="G27:AK29" si="15">AVERAGE(G76:G77)</f>
        <v>13.020833333333334</v>
      </c>
      <c r="H27" s="18">
        <f t="shared" si="15"/>
        <v>24.402425523349432</v>
      </c>
      <c r="I27" s="18">
        <f t="shared" si="15"/>
        <v>0</v>
      </c>
      <c r="J27" s="18">
        <f t="shared" si="15"/>
        <v>0</v>
      </c>
      <c r="K27" s="18">
        <f t="shared" si="15"/>
        <v>0</v>
      </c>
      <c r="L27" s="18">
        <f t="shared" si="15"/>
        <v>0</v>
      </c>
      <c r="M27" s="18">
        <f t="shared" si="15"/>
        <v>0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66.05497235773872</v>
      </c>
      <c r="AO27">
        <v>7.8589517859381504</v>
      </c>
      <c r="AP27">
        <v>4.0793705841125609</v>
      </c>
      <c r="AQ27">
        <v>54.525440308336854</v>
      </c>
      <c r="AR27">
        <v>8.0173604031371433</v>
      </c>
      <c r="AS27">
        <v>52.073152434838249</v>
      </c>
      <c r="AT27">
        <v>6.5179270534217366</v>
      </c>
      <c r="AU27">
        <v>3.2723510038908179</v>
      </c>
      <c r="AV27"/>
      <c r="AW27"/>
      <c r="FY27" s="211">
        <v>22</v>
      </c>
      <c r="FZ27">
        <v>15.578620605587076</v>
      </c>
      <c r="GA27">
        <v>11.732048904392126</v>
      </c>
      <c r="GB27">
        <v>5.3389793432905286</v>
      </c>
      <c r="GC27">
        <v>3.1021166462161966</v>
      </c>
      <c r="GD27">
        <v>2.0606325831964352</v>
      </c>
      <c r="GE27">
        <v>2.4815607399452806</v>
      </c>
      <c r="GF27">
        <v>1.6115826289062498</v>
      </c>
      <c r="GG27">
        <v>1.40321822265625</v>
      </c>
      <c r="GH27">
        <v>3.8090017681659321</v>
      </c>
      <c r="GI27">
        <v>5.6964040415591146</v>
      </c>
      <c r="GJ27"/>
      <c r="GK27">
        <v>15.649742345698803</v>
      </c>
      <c r="GL27">
        <v>9.9409039502755476</v>
      </c>
      <c r="GM27">
        <v>8.8786025427741606</v>
      </c>
      <c r="GN27">
        <v>9.3177435835180464</v>
      </c>
      <c r="GO27">
        <v>8.0188787248582578</v>
      </c>
      <c r="GP27">
        <v>4.7509508560295153</v>
      </c>
      <c r="GQ27">
        <v>1.9748263888888886</v>
      </c>
      <c r="GR27">
        <v>1.9748263888888886</v>
      </c>
      <c r="GS27">
        <v>4.058301885232094</v>
      </c>
      <c r="GT27">
        <v>7.7160703774904409</v>
      </c>
      <c r="GU27"/>
      <c r="GV27"/>
      <c r="GW27"/>
      <c r="GX27"/>
      <c r="GY27"/>
      <c r="GZ27"/>
      <c r="HA27"/>
      <c r="HB27"/>
      <c r="HC27"/>
    </row>
    <row r="28" spans="1:211" s="7" customFormat="1">
      <c r="A28" s="51"/>
      <c r="B28" s="1"/>
      <c r="C28" s="48" t="s">
        <v>120</v>
      </c>
      <c r="D28" s="49">
        <f>SUM(G28:AK28)</f>
        <v>40.95335144927536</v>
      </c>
      <c r="E28" s="18">
        <f>C12-C11</f>
        <v>39</v>
      </c>
      <c r="F28" s="50"/>
      <c r="G28" s="18">
        <f t="shared" si="15"/>
        <v>13.020833333333334</v>
      </c>
      <c r="H28" s="18">
        <f t="shared" si="15"/>
        <v>27.932518115942024</v>
      </c>
      <c r="I28" s="18">
        <f t="shared" si="15"/>
        <v>0</v>
      </c>
      <c r="J28" s="18">
        <f t="shared" si="15"/>
        <v>0</v>
      </c>
      <c r="K28" s="18">
        <f t="shared" si="15"/>
        <v>0</v>
      </c>
      <c r="L28" s="18">
        <f t="shared" si="15"/>
        <v>0</v>
      </c>
      <c r="M28" s="18">
        <f t="shared" si="15"/>
        <v>0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45.652198931823946</v>
      </c>
      <c r="AO28">
        <v>5.4394622025056183</v>
      </c>
      <c r="AP28">
        <v>77.075533144631393</v>
      </c>
      <c r="AQ28">
        <v>34.236239465689849</v>
      </c>
      <c r="AR28">
        <v>5.8930432355567302</v>
      </c>
      <c r="AS28">
        <v>35.196173917783781</v>
      </c>
      <c r="AT28" t="e">
        <v>#DIV/0!</v>
      </c>
      <c r="AU28" t="e">
        <v>#DIV/0!</v>
      </c>
      <c r="AV28"/>
      <c r="AW28"/>
      <c r="FY28" s="211">
        <v>23</v>
      </c>
      <c r="FZ28">
        <v>11.606355341171993</v>
      </c>
      <c r="GA28">
        <v>8.6105221672179777</v>
      </c>
      <c r="GB28">
        <v>5.8308513935440596</v>
      </c>
      <c r="GC28">
        <v>3.3576378361394097</v>
      </c>
      <c r="GD28">
        <v>2.2041248701942204</v>
      </c>
      <c r="GE28">
        <v>3.2781779661911279</v>
      </c>
      <c r="GF28">
        <v>4.2803834944851999</v>
      </c>
      <c r="GG28">
        <v>3.5802568600863753</v>
      </c>
      <c r="GH28">
        <v>4.7301643639031097</v>
      </c>
      <c r="GI28">
        <v>5.9373669832400164</v>
      </c>
      <c r="GJ28"/>
      <c r="GK28">
        <v>11.65858438437307</v>
      </c>
      <c r="GL28">
        <v>7.2945234537975114</v>
      </c>
      <c r="GM28">
        <v>9.6904995038951416</v>
      </c>
      <c r="GN28">
        <v>10.056881118740026</v>
      </c>
      <c r="GO28">
        <v>8.5562621967226384</v>
      </c>
      <c r="GP28">
        <v>6.2760754407471238</v>
      </c>
      <c r="GQ28">
        <v>5.2335884542252771</v>
      </c>
      <c r="GR28">
        <v>5.0304634542252771</v>
      </c>
      <c r="GS28">
        <v>5.0421558042003758</v>
      </c>
      <c r="GT28">
        <v>8.0362180686833007</v>
      </c>
      <c r="GU28"/>
      <c r="GV28"/>
      <c r="GW28"/>
      <c r="GX28"/>
      <c r="GY28"/>
      <c r="GZ28"/>
      <c r="HA28"/>
      <c r="HB28"/>
      <c r="HC28"/>
    </row>
    <row r="29" spans="1:211" s="7" customFormat="1">
      <c r="A29" s="51"/>
      <c r="B29" s="1"/>
      <c r="C29" s="48" t="s">
        <v>121</v>
      </c>
      <c r="D29" s="49">
        <f>SUM(G29:AK29)</f>
        <v>47.928913557480904</v>
      </c>
      <c r="E29" s="18">
        <f>C13-C12</f>
        <v>38</v>
      </c>
      <c r="F29" s="50"/>
      <c r="G29" s="18">
        <f t="shared" si="15"/>
        <v>9.4521604938271597</v>
      </c>
      <c r="H29" s="18">
        <f t="shared" si="15"/>
        <v>38.476753063653746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0</v>
      </c>
      <c r="M29" s="18">
        <f t="shared" si="15"/>
        <v>0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58.017610282395218</v>
      </c>
      <c r="AO29">
        <v>7.0870924298549456</v>
      </c>
      <c r="AP29">
        <v>41.806255863802882</v>
      </c>
      <c r="AQ29">
        <v>45.36923813815568</v>
      </c>
      <c r="AR29">
        <v>7.2183423226818046</v>
      </c>
      <c r="AS29">
        <v>44.474779945585816</v>
      </c>
      <c r="AT29" t="e">
        <v>#DIV/0!</v>
      </c>
      <c r="AU29" t="e">
        <v>#DIV/0!</v>
      </c>
      <c r="AV29"/>
      <c r="AW29"/>
      <c r="FY29" s="211">
        <v>24</v>
      </c>
      <c r="FZ29">
        <v>9.7835509472078481</v>
      </c>
      <c r="GA29">
        <v>6.3595234625076591</v>
      </c>
      <c r="GB29">
        <v>6.0133489705912098</v>
      </c>
      <c r="GC29">
        <v>3.2286171628753388</v>
      </c>
      <c r="GD29">
        <v>1.9703710815968181</v>
      </c>
      <c r="GE29">
        <v>2.9346221004768429</v>
      </c>
      <c r="GF29">
        <v>1.8154988840858985</v>
      </c>
      <c r="GG29">
        <v>1.9063755338945396</v>
      </c>
      <c r="GH29">
        <v>3.7193485371023498</v>
      </c>
      <c r="GI29">
        <v>4.9700503875070128</v>
      </c>
      <c r="GJ29"/>
      <c r="GK29">
        <v>9.8410849891059247</v>
      </c>
      <c r="GL29">
        <v>5.3889748221372358</v>
      </c>
      <c r="GM29">
        <v>9.9599334671022213</v>
      </c>
      <c r="GN29">
        <v>9.6196655109154108</v>
      </c>
      <c r="GO29">
        <v>7.6491870686023091</v>
      </c>
      <c r="GP29">
        <v>5.6183373455090297</v>
      </c>
      <c r="GQ29">
        <v>2.2223894903619632</v>
      </c>
      <c r="GR29">
        <v>2.6813015273990004</v>
      </c>
      <c r="GS29">
        <v>3.9654412640594079</v>
      </c>
      <c r="GT29">
        <v>6.7276072558463653</v>
      </c>
      <c r="GU29"/>
      <c r="GV29"/>
      <c r="GW29"/>
      <c r="GX29"/>
      <c r="GY29"/>
      <c r="GZ29"/>
      <c r="HA29"/>
      <c r="HB29"/>
      <c r="HC29"/>
    </row>
    <row r="30" spans="1:211" s="7" customFormat="1">
      <c r="A30" s="51"/>
      <c r="B30" s="1"/>
      <c r="C30" s="48" t="s">
        <v>122</v>
      </c>
      <c r="D30" s="49">
        <f>SUM(G30:AK30)</f>
        <v>49.872674938742577</v>
      </c>
      <c r="E30" s="18">
        <v>24</v>
      </c>
      <c r="F30" s="50"/>
      <c r="G30" s="18">
        <f>AVERAGE(G70:G79)</f>
        <v>8.8658785273368608</v>
      </c>
      <c r="H30" s="18">
        <f t="shared" ref="H30:AK30" si="16">AVERAGE(H70:H79)</f>
        <v>39.522421411405716</v>
      </c>
      <c r="I30" s="18">
        <f t="shared" si="16"/>
        <v>1.484375</v>
      </c>
      <c r="J30" s="18">
        <f t="shared" si="16"/>
        <v>0</v>
      </c>
      <c r="K30" s="18">
        <f t="shared" si="16"/>
        <v>0</v>
      </c>
      <c r="L30" s="18">
        <f t="shared" si="16"/>
        <v>0</v>
      </c>
      <c r="M30" s="18">
        <f t="shared" si="16"/>
        <v>0</v>
      </c>
      <c r="N30" s="18">
        <f t="shared" si="16"/>
        <v>0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61.90776716003954</v>
      </c>
      <c r="AO30">
        <v>7.4300136746018284</v>
      </c>
      <c r="AP30">
        <v>12.968923085645974</v>
      </c>
      <c r="AQ30">
        <v>58.21502674630095</v>
      </c>
      <c r="AR30">
        <v>7.633330333299881</v>
      </c>
      <c r="AS30">
        <v>48.1873751616221</v>
      </c>
      <c r="AT30" t="e">
        <v>#DIV/0!</v>
      </c>
      <c r="AU30" t="e">
        <v>#DIV/0!</v>
      </c>
      <c r="AV30"/>
      <c r="AW30"/>
      <c r="FY30" s="211">
        <v>25</v>
      </c>
      <c r="FZ30">
        <v>15.761774269943079</v>
      </c>
      <c r="GA30">
        <v>16.200604239922011</v>
      </c>
      <c r="GB30">
        <v>6.2772653403611649</v>
      </c>
      <c r="GC30">
        <v>2.9556141058460983</v>
      </c>
      <c r="GD30">
        <v>1.0669755290454546</v>
      </c>
      <c r="GE30">
        <v>1.1165565635714285</v>
      </c>
      <c r="GF30">
        <v>1.6115826289062498</v>
      </c>
      <c r="GG30">
        <v>1.40321822265625</v>
      </c>
      <c r="GH30">
        <v>3.9888813309275792</v>
      </c>
      <c r="GI30">
        <v>5.4077890389670955</v>
      </c>
      <c r="GJ30"/>
      <c r="GK30">
        <v>15.801039304044</v>
      </c>
      <c r="GL30">
        <v>13.726615844401342</v>
      </c>
      <c r="GM30">
        <v>10.394154385503931</v>
      </c>
      <c r="GN30">
        <v>8.7960252056694852</v>
      </c>
      <c r="GO30">
        <v>4.1362284433082408</v>
      </c>
      <c r="GP30">
        <v>2.1376488095238093</v>
      </c>
      <c r="GQ30">
        <v>1.9748263888888886</v>
      </c>
      <c r="GR30">
        <v>1.9748263888888886</v>
      </c>
      <c r="GS30">
        <v>4.2519133217527214</v>
      </c>
      <c r="GT30">
        <v>7.3116323686995557</v>
      </c>
      <c r="GU30"/>
      <c r="GV30"/>
      <c r="GW30"/>
      <c r="GX30"/>
      <c r="GY30"/>
      <c r="GZ30"/>
      <c r="HA30"/>
      <c r="HB30"/>
      <c r="HC30"/>
    </row>
    <row r="31" spans="1:211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57.905948035980771</v>
      </c>
      <c r="AO31">
        <v>6.906805470788707</v>
      </c>
      <c r="AP31">
        <v>62.979322806570565</v>
      </c>
      <c r="AQ31">
        <v>47.733167083696848</v>
      </c>
      <c r="AR31">
        <v>6.9460961766804603</v>
      </c>
      <c r="AS31">
        <v>43.555121628964692</v>
      </c>
      <c r="AT31" t="e">
        <v>#DIV/0!</v>
      </c>
      <c r="AU31" t="e">
        <v>#DIV/0!</v>
      </c>
      <c r="AV31"/>
      <c r="AW31"/>
      <c r="FY31" s="211">
        <v>26</v>
      </c>
      <c r="FZ31">
        <v>13.482488756856714</v>
      </c>
      <c r="GA31">
        <v>12.502062516041905</v>
      </c>
      <c r="GB31">
        <v>7.0915335460229905</v>
      </c>
      <c r="GC31">
        <v>4.0692950218898289</v>
      </c>
      <c r="GD31">
        <v>1.4459783758479756</v>
      </c>
      <c r="GE31">
        <v>1.8416820652941177</v>
      </c>
      <c r="GF31">
        <v>1.3110034524282899</v>
      </c>
      <c r="GG31">
        <v>0.9966950165485251</v>
      </c>
      <c r="GH31">
        <v>3.6043015519767088</v>
      </c>
      <c r="GI31">
        <v>5.3783249920092189</v>
      </c>
      <c r="GJ31"/>
      <c r="GK31">
        <v>13.531999646574961</v>
      </c>
      <c r="GL31">
        <v>10.594856964741526</v>
      </c>
      <c r="GM31">
        <v>11.859267681356664</v>
      </c>
      <c r="GN31">
        <v>12.284482472590259</v>
      </c>
      <c r="GO31">
        <v>5.605732040201544</v>
      </c>
      <c r="GP31">
        <v>3.5259024064171123</v>
      </c>
      <c r="GQ31">
        <v>1.6041829686228333</v>
      </c>
      <c r="GR31">
        <v>1.4010579686228333</v>
      </c>
      <c r="GS31">
        <v>3.8419437936254144</v>
      </c>
      <c r="GT31">
        <v>7.2886252260762827</v>
      </c>
      <c r="GU31"/>
      <c r="GV31"/>
      <c r="GW31"/>
      <c r="GX31"/>
      <c r="GY31"/>
      <c r="GZ31"/>
      <c r="HA31"/>
      <c r="HB31"/>
      <c r="HC31"/>
    </row>
    <row r="32" spans="1:211" s="7" customFormat="1">
      <c r="A32" s="51"/>
      <c r="B32" s="1"/>
      <c r="C32" s="52" t="s">
        <v>43</v>
      </c>
      <c r="D32" s="53">
        <f>AVERAGE(D21:D31)</f>
        <v>46.61797700279466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60.461774974572016</v>
      </c>
      <c r="AO32">
        <v>7.2678342063712886</v>
      </c>
      <c r="AP32">
        <v>4.2171486105814191</v>
      </c>
      <c r="AQ32">
        <v>50.076463782441472</v>
      </c>
      <c r="AR32">
        <v>7.3636538605877453</v>
      </c>
      <c r="AS32">
        <v>49.610429375552322</v>
      </c>
      <c r="AT32">
        <v>5.9080197877912743</v>
      </c>
      <c r="AU32">
        <v>5.2001421327701767</v>
      </c>
      <c r="AV32"/>
      <c r="AW32"/>
      <c r="FY32" s="211">
        <v>27</v>
      </c>
      <c r="FZ32">
        <v>15.967741799189268</v>
      </c>
      <c r="GA32">
        <v>11.468370483637178</v>
      </c>
      <c r="GB32">
        <v>4.31898709324346</v>
      </c>
      <c r="GC32">
        <v>3.0347342477223433</v>
      </c>
      <c r="GD32">
        <v>1.544795008282845</v>
      </c>
      <c r="GE32">
        <v>1.9754462278571434</v>
      </c>
      <c r="GF32">
        <v>1.9812616687733986</v>
      </c>
      <c r="GG32">
        <v>1.532184007852873</v>
      </c>
      <c r="GH32">
        <v>3.4610560905554757</v>
      </c>
      <c r="GI32">
        <v>5.2206431921952623</v>
      </c>
      <c r="GJ32"/>
      <c r="GK32">
        <v>16.02765895641139</v>
      </c>
      <c r="GL32">
        <v>9.7175227953963521</v>
      </c>
      <c r="GM32">
        <v>7.1924432743873137</v>
      </c>
      <c r="GN32">
        <v>9.119767839369036</v>
      </c>
      <c r="GO32">
        <v>6.0195714493300265</v>
      </c>
      <c r="GP32">
        <v>3.7819940476190483</v>
      </c>
      <c r="GQ32">
        <v>2.4255144903619632</v>
      </c>
      <c r="GR32">
        <v>2.1546811570286302</v>
      </c>
      <c r="GS32">
        <v>3.6891184511596609</v>
      </c>
      <c r="GT32">
        <v>7.0708613243300711</v>
      </c>
      <c r="GU32"/>
      <c r="GV32"/>
      <c r="GW32"/>
      <c r="GX32"/>
      <c r="GY32"/>
      <c r="GZ32"/>
      <c r="HA32"/>
      <c r="HB32"/>
      <c r="HC32"/>
    </row>
    <row r="33" spans="1:211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39.832191591407415</v>
      </c>
      <c r="AO33">
        <v>4.6412886319256499</v>
      </c>
      <c r="AP33">
        <v>3.2535353018154622</v>
      </c>
      <c r="AQ33">
        <v>30.164722568963636</v>
      </c>
      <c r="AR33">
        <v>4.9383512802902745</v>
      </c>
      <c r="AS33">
        <v>30.33879543355448</v>
      </c>
      <c r="AT33">
        <v>3.9732200250306917</v>
      </c>
      <c r="AU33">
        <v>6.2727941924961028</v>
      </c>
      <c r="AV33"/>
      <c r="AW33"/>
      <c r="FY33" s="211">
        <v>28</v>
      </c>
      <c r="FZ33">
        <v>12.369459946559786</v>
      </c>
      <c r="GA33">
        <v>9.5248627033595294</v>
      </c>
      <c r="GB33">
        <v>6.1426974386262296</v>
      </c>
      <c r="GC33">
        <v>3.1425988883618801</v>
      </c>
      <c r="GD33">
        <v>1.8315447025195757</v>
      </c>
      <c r="GE33">
        <v>2.7307679872708626</v>
      </c>
      <c r="GF33">
        <v>0.61500395478260861</v>
      </c>
      <c r="GG33">
        <v>1.2838720433876809</v>
      </c>
      <c r="GH33">
        <v>6.0022420781440573</v>
      </c>
      <c r="GI33">
        <v>5.4479216220828635</v>
      </c>
      <c r="GJ33"/>
      <c r="GK33">
        <v>12.439671959070026</v>
      </c>
      <c r="GL33">
        <v>8.0707240770546598</v>
      </c>
      <c r="GM33">
        <v>10.172892924740323</v>
      </c>
      <c r="GN33">
        <v>9.3623814149868405</v>
      </c>
      <c r="GO33">
        <v>7.1109170658337604</v>
      </c>
      <c r="GP33">
        <v>5.2280584141690518</v>
      </c>
      <c r="GQ33">
        <v>0.75362318840579701</v>
      </c>
      <c r="GR33">
        <v>1.8068639291465376</v>
      </c>
      <c r="GS33">
        <v>6.4027107421832818</v>
      </c>
      <c r="GT33">
        <v>7.3759631760466382</v>
      </c>
      <c r="GU33"/>
      <c r="GV33"/>
      <c r="GW33"/>
      <c r="GX33"/>
      <c r="GY33"/>
      <c r="GZ33"/>
      <c r="HA33"/>
      <c r="HB33"/>
      <c r="HC33"/>
    </row>
    <row r="34" spans="1:211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55.901130075836704</v>
      </c>
      <c r="AO34">
        <v>6.6729333694063131</v>
      </c>
      <c r="AP34">
        <v>2.9007020771052829</v>
      </c>
      <c r="AQ34">
        <v>47.054363026613416</v>
      </c>
      <c r="AR34">
        <v>7.1099016565537578</v>
      </c>
      <c r="AS34">
        <v>45.612560404071395</v>
      </c>
      <c r="AT34">
        <v>5.7498043217486083</v>
      </c>
      <c r="AU34">
        <v>3.2765014080852719</v>
      </c>
      <c r="AV34"/>
      <c r="AW34"/>
      <c r="FY34" s="211">
        <v>29</v>
      </c>
      <c r="FZ34">
        <v>11.281778369906458</v>
      </c>
      <c r="GA34">
        <v>6.9315025716860843</v>
      </c>
      <c r="GB34">
        <v>4.9617162887438209</v>
      </c>
      <c r="GC34">
        <v>2.9121274416829421</v>
      </c>
      <c r="GD34">
        <v>1.750144425505783</v>
      </c>
      <c r="GE34">
        <v>3.0306156511911277</v>
      </c>
      <c r="GF34">
        <v>2.2974388321588153</v>
      </c>
      <c r="GG34">
        <v>1.9999234154049563</v>
      </c>
      <c r="GH34">
        <v>5.7269175547041389</v>
      </c>
      <c r="GI34">
        <v>5.2140139261330996</v>
      </c>
      <c r="GJ34"/>
      <c r="GK34">
        <v>11.3287900672338</v>
      </c>
      <c r="GL34">
        <v>5.8748181455662669</v>
      </c>
      <c r="GM34">
        <v>8.2594641195324172</v>
      </c>
      <c r="GN34">
        <v>8.7290409165875928</v>
      </c>
      <c r="GO34">
        <v>6.7850717411982213</v>
      </c>
      <c r="GP34">
        <v>5.8021171074137907</v>
      </c>
      <c r="GQ34">
        <v>2.812956619991593</v>
      </c>
      <c r="GR34">
        <v>2.812956619991593</v>
      </c>
      <c r="GS34">
        <v>6.1072712361547925</v>
      </c>
      <c r="GT34">
        <v>7.0587107568221654</v>
      </c>
      <c r="GU34"/>
      <c r="GV34"/>
      <c r="GW34"/>
      <c r="GX34"/>
      <c r="GY34"/>
      <c r="GZ34"/>
      <c r="HA34"/>
      <c r="HB34"/>
      <c r="HC34"/>
    </row>
    <row r="35" spans="1:211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46.64211506036866</v>
      </c>
      <c r="AO35">
        <v>5.5644636991900089</v>
      </c>
      <c r="AP35">
        <v>49.949899744336058</v>
      </c>
      <c r="AQ35">
        <v>33.491348506600914</v>
      </c>
      <c r="AR35">
        <v>5.7520867773352888</v>
      </c>
      <c r="AS35">
        <v>34.934536339088396</v>
      </c>
      <c r="AT35" t="e">
        <v>#DIV/0!</v>
      </c>
      <c r="AU35" t="e">
        <v>#DIV/0!</v>
      </c>
      <c r="AV35"/>
      <c r="AW35"/>
      <c r="FY35" s="211">
        <v>30</v>
      </c>
      <c r="FZ35">
        <v>13.849589543960937</v>
      </c>
      <c r="GA35">
        <v>12.127044530185861</v>
      </c>
      <c r="GB35">
        <v>5.0867406427003905</v>
      </c>
      <c r="GC35">
        <v>3.0086461722913174</v>
      </c>
      <c r="GD35">
        <v>1.6713838401364898</v>
      </c>
      <c r="GE35">
        <v>2.116910407857143</v>
      </c>
      <c r="GF35">
        <v>3.4909762647848699</v>
      </c>
      <c r="GG35">
        <v>2.9900850496455749</v>
      </c>
      <c r="GH35">
        <v>4.0401519124818766</v>
      </c>
      <c r="GI35">
        <v>5.5331456823927052</v>
      </c>
      <c r="GJ35"/>
      <c r="GK35">
        <v>13.885860732615431</v>
      </c>
      <c r="GL35">
        <v>10.275593301904731</v>
      </c>
      <c r="GM35">
        <v>8.500484621895362</v>
      </c>
      <c r="GN35">
        <v>9.0798445024378065</v>
      </c>
      <c r="GO35">
        <v>6.4899271040456625</v>
      </c>
      <c r="GP35">
        <v>4.0528273809523814</v>
      </c>
      <c r="GQ35">
        <v>4.2708822392018329</v>
      </c>
      <c r="GR35">
        <v>4.2031739058684989</v>
      </c>
      <c r="GS35">
        <v>4.3059971284012883</v>
      </c>
      <c r="GT35">
        <v>7.4906303652319153</v>
      </c>
      <c r="GU35"/>
      <c r="GV35"/>
      <c r="GW35"/>
      <c r="GX35"/>
      <c r="GY35"/>
      <c r="GZ35"/>
      <c r="HA35"/>
      <c r="HB35"/>
      <c r="HC35"/>
    </row>
    <row r="36" spans="1:211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3.6612009480590346E-2</v>
      </c>
      <c r="H36" s="59">
        <f t="shared" ref="H36:AK36" si="17">(1-($A$43/100))*($A$39*(H35^$A$41))</f>
        <v>0.11570000000000001</v>
      </c>
      <c r="I36" s="59">
        <f t="shared" si="17"/>
        <v>0.36563111913037094</v>
      </c>
      <c r="J36" s="59">
        <f t="shared" si="17"/>
        <v>0.71672844666619295</v>
      </c>
      <c r="K36" s="59">
        <f t="shared" si="17"/>
        <v>1.1554547560633319</v>
      </c>
      <c r="L36" s="59">
        <f t="shared" si="17"/>
        <v>1.6734917131645679</v>
      </c>
      <c r="M36" s="59">
        <f t="shared" si="17"/>
        <v>2.2649803290158372</v>
      </c>
      <c r="N36" s="59">
        <f t="shared" si="17"/>
        <v>2.9254730750013485</v>
      </c>
      <c r="O36" s="59">
        <f t="shared" si="17"/>
        <v>3.6514279651162109</v>
      </c>
      <c r="P36" s="59">
        <f t="shared" si="17"/>
        <v>4.4399279711368509</v>
      </c>
      <c r="Q36" s="59">
        <f t="shared" si="17"/>
        <v>5.2885103538441047</v>
      </c>
      <c r="R36" s="59">
        <f t="shared" si="17"/>
        <v>6.195055711772036</v>
      </c>
      <c r="S36" s="59">
        <f t="shared" si="17"/>
        <v>7.1577121219216666</v>
      </c>
      <c r="T36" s="59">
        <f t="shared" si="17"/>
        <v>8.1748411761740094</v>
      </c>
      <c r="U36" s="59">
        <f t="shared" si="17"/>
        <v>9.2449783439802076</v>
      </c>
      <c r="V36" s="59">
        <f t="shared" si="17"/>
        <v>10.366803077659346</v>
      </c>
      <c r="W36" s="59">
        <f t="shared" si="17"/>
        <v>11.53911575894014</v>
      </c>
      <c r="X36" s="59">
        <f t="shared" si="17"/>
        <v>12.760819581139918</v>
      </c>
      <c r="Y36" s="59">
        <f t="shared" si="17"/>
        <v>14.030906075583429</v>
      </c>
      <c r="Z36" s="59">
        <f t="shared" si="17"/>
        <v>15.348443383251103</v>
      </c>
      <c r="AA36" s="59">
        <f t="shared" si="17"/>
        <v>16.712566631016184</v>
      </c>
      <c r="AB36" s="59">
        <f t="shared" si="17"/>
        <v>18.122469946495126</v>
      </c>
      <c r="AC36" s="59">
        <f t="shared" si="17"/>
        <v>19.577399766380353</v>
      </c>
      <c r="AD36" s="59">
        <f t="shared" si="17"/>
        <v>21.076649178467193</v>
      </c>
      <c r="AE36" s="59">
        <f t="shared" si="17"/>
        <v>22.619553098973562</v>
      </c>
      <c r="AF36" s="59">
        <f t="shared" si="17"/>
        <v>24.205484131637686</v>
      </c>
      <c r="AG36" s="59">
        <f t="shared" si="17"/>
        <v>25.833848988397069</v>
      </c>
      <c r="AH36" s="59">
        <f t="shared" si="17"/>
        <v>27.504085376514208</v>
      </c>
      <c r="AI36" s="59">
        <f t="shared" si="17"/>
        <v>29.215659276106546</v>
      </c>
      <c r="AJ36" s="59">
        <f t="shared" si="17"/>
        <v>30.96806254674263</v>
      </c>
      <c r="AK36" s="59">
        <f t="shared" si="17"/>
        <v>32.760810813213169</v>
      </c>
      <c r="AL36" s="42"/>
      <c r="AM36" s="43">
        <v>20</v>
      </c>
      <c r="AN36">
        <v>56.995259544700254</v>
      </c>
      <c r="AO36">
        <v>6.7057710660573431</v>
      </c>
      <c r="AP36">
        <v>19.78692673071718</v>
      </c>
      <c r="AQ36">
        <v>49.016038491072855</v>
      </c>
      <c r="AR36">
        <v>6.9861335325898546</v>
      </c>
      <c r="AS36">
        <v>46.401667628845011</v>
      </c>
      <c r="AT36" t="e">
        <v>#DIV/0!</v>
      </c>
      <c r="AU36" t="e">
        <v>#DIV/0!</v>
      </c>
      <c r="AV36"/>
      <c r="AW36"/>
      <c r="FY36" s="211">
        <v>31</v>
      </c>
      <c r="FZ36">
        <v>13.699706645785778</v>
      </c>
      <c r="GA36">
        <v>11.386151707086814</v>
      </c>
      <c r="GB36">
        <v>6.0225419571736705</v>
      </c>
      <c r="GC36">
        <v>3.0433629666884272</v>
      </c>
      <c r="GD36">
        <v>1.8637126743083039</v>
      </c>
      <c r="GE36">
        <v>2.8362239829138165</v>
      </c>
      <c r="GF36">
        <v>3.5531880230246053</v>
      </c>
      <c r="GG36">
        <v>3.3708099579951476</v>
      </c>
      <c r="GH36">
        <v>5.5484051761682558</v>
      </c>
      <c r="GI36">
        <v>6.0965256967185759</v>
      </c>
      <c r="GJ36"/>
      <c r="GK36">
        <v>13.743804761836991</v>
      </c>
      <c r="GL36">
        <v>9.6472937475511973</v>
      </c>
      <c r="GM36">
        <v>10.008471585491755</v>
      </c>
      <c r="GN36">
        <v>9.1105560578579965</v>
      </c>
      <c r="GO36">
        <v>7.2254086714248569</v>
      </c>
      <c r="GP36">
        <v>5.4299540376404254</v>
      </c>
      <c r="GQ36">
        <v>4.3494312552810932</v>
      </c>
      <c r="GR36">
        <v>4.7406349589847956</v>
      </c>
      <c r="GS36">
        <v>5.9157340345888452</v>
      </c>
      <c r="GT36">
        <v>8.248570061724708</v>
      </c>
      <c r="GU36"/>
      <c r="GV36"/>
      <c r="GW36"/>
      <c r="GX36"/>
      <c r="GY36"/>
      <c r="GZ36"/>
      <c r="HA36"/>
      <c r="HB36"/>
      <c r="HC36"/>
    </row>
    <row r="37" spans="1:211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7.03428447432605</v>
      </c>
      <c r="E37" s="107">
        <f t="shared" ref="E37:E46" si="19">+D37/D21</f>
        <v>0.12707094534266411</v>
      </c>
      <c r="F37" s="18"/>
      <c r="G37" s="49">
        <f t="shared" ref="G37:G43" si="20">G21*G$36</f>
        <v>0.19068754937807472</v>
      </c>
      <c r="H37" s="49">
        <f t="shared" ref="H37:AK40" si="21">H21*H$36</f>
        <v>5.3201339285714297</v>
      </c>
      <c r="I37" s="49">
        <f t="shared" si="21"/>
        <v>1.5234629963765454</v>
      </c>
      <c r="J37" s="49">
        <f t="shared" si="21"/>
        <v>0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58.904646925739449</v>
      </c>
      <c r="AO37">
        <v>6.7003487649534694</v>
      </c>
      <c r="AP37">
        <v>11.249198404356532</v>
      </c>
      <c r="AQ37">
        <v>51.033369125043393</v>
      </c>
      <c r="AR37">
        <v>7.0270593934683019</v>
      </c>
      <c r="AS37">
        <v>43.904772389196751</v>
      </c>
      <c r="AT37" t="e">
        <v>#DIV/0!</v>
      </c>
      <c r="AU37" t="e">
        <v>#DIV/0!</v>
      </c>
      <c r="AV37"/>
      <c r="AW37"/>
      <c r="FY37" s="211">
        <v>32</v>
      </c>
      <c r="FZ37">
        <v>17.897587575846664</v>
      </c>
      <c r="GA37">
        <v>16.83468914157902</v>
      </c>
      <c r="GB37">
        <v>3.9875654086728964</v>
      </c>
      <c r="GC37">
        <v>3.0561575472831679</v>
      </c>
      <c r="GD37">
        <v>2.6511806040242316</v>
      </c>
      <c r="GE37">
        <v>3.5021237528024236</v>
      </c>
      <c r="GF37">
        <v>3.7640617748814891</v>
      </c>
      <c r="GG37">
        <v>3.8805006515413436</v>
      </c>
      <c r="GH37">
        <v>7.8723273749458302</v>
      </c>
      <c r="GI37">
        <v>7.0767519388376661</v>
      </c>
      <c r="GJ37"/>
      <c r="GK37">
        <v>17.941250836628711</v>
      </c>
      <c r="GL37">
        <v>14.263939962988273</v>
      </c>
      <c r="GM37">
        <v>6.6083644259324315</v>
      </c>
      <c r="GN37">
        <v>9.1244850113093801</v>
      </c>
      <c r="GO37">
        <v>10.299115311288787</v>
      </c>
      <c r="GP37">
        <v>6.7048199036485636</v>
      </c>
      <c r="GQ37">
        <v>4.6078350395000953</v>
      </c>
      <c r="GR37">
        <v>5.4579507802408358</v>
      </c>
      <c r="GS37">
        <v>8.3942693313787888</v>
      </c>
      <c r="GT37">
        <v>9.570166988945763</v>
      </c>
      <c r="GU37"/>
      <c r="GV37"/>
      <c r="GW37"/>
      <c r="GX37"/>
      <c r="GY37"/>
      <c r="GZ37"/>
      <c r="HA37"/>
      <c r="HB37"/>
      <c r="HC37"/>
    </row>
    <row r="38" spans="1:211" s="7" customFormat="1">
      <c r="A38" s="9" t="s">
        <v>47</v>
      </c>
      <c r="B38" s="57"/>
      <c r="C38" s="48" t="s">
        <v>39</v>
      </c>
      <c r="D38" s="49">
        <f t="shared" si="18"/>
        <v>3.9322703446107998</v>
      </c>
      <c r="E38" s="107">
        <f t="shared" si="19"/>
        <v>9.4374488270659182E-2</v>
      </c>
      <c r="F38" s="18"/>
      <c r="G38" s="49">
        <f t="shared" si="20"/>
        <v>0.41134028508698972</v>
      </c>
      <c r="H38" s="49">
        <f t="shared" si="21"/>
        <v>3.5209300595238102</v>
      </c>
      <c r="I38" s="49">
        <f t="shared" si="21"/>
        <v>0</v>
      </c>
      <c r="J38" s="49">
        <f t="shared" si="21"/>
        <v>0</v>
      </c>
      <c r="K38" s="49">
        <f t="shared" si="21"/>
        <v>0</v>
      </c>
      <c r="L38" s="49">
        <f t="shared" si="21"/>
        <v>0</v>
      </c>
      <c r="M38" s="49">
        <f t="shared" si="21"/>
        <v>0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59.75413758894873</v>
      </c>
      <c r="AO38">
        <v>7.2280847043654646</v>
      </c>
      <c r="AP38">
        <v>72.765003693243571</v>
      </c>
      <c r="AQ38">
        <v>52.81416548391519</v>
      </c>
      <c r="AR38">
        <v>7.7160703774904436</v>
      </c>
      <c r="AS38">
        <v>47.89757665913308</v>
      </c>
      <c r="AT38" t="e">
        <v>#DIV/0!</v>
      </c>
      <c r="AU38" t="e">
        <v>#DIV/0!</v>
      </c>
      <c r="AV38"/>
      <c r="AW38"/>
      <c r="FY38" s="211">
        <v>33</v>
      </c>
      <c r="FZ38">
        <v>17.362379670723254</v>
      </c>
      <c r="GA38">
        <v>16.499607877707501</v>
      </c>
      <c r="GB38">
        <v>4.5924162031958984</v>
      </c>
      <c r="GC38">
        <v>3.0733966615857913</v>
      </c>
      <c r="GD38">
        <v>1.2522879773755915</v>
      </c>
      <c r="GE38">
        <v>1.0626262823255814</v>
      </c>
      <c r="GF38">
        <v>0.78076673947010866</v>
      </c>
      <c r="GG38">
        <v>0.90968051734601452</v>
      </c>
      <c r="GH38">
        <v>5.4597071532619363</v>
      </c>
      <c r="GI38">
        <v>5.4213569817318623</v>
      </c>
      <c r="GJ38"/>
      <c r="GK38">
        <v>17.412222869680146</v>
      </c>
      <c r="GL38">
        <v>13.980624654151264</v>
      </c>
      <c r="GM38">
        <v>7.6014750416048091</v>
      </c>
      <c r="GN38">
        <v>9.1617243265306598</v>
      </c>
      <c r="GO38">
        <v>4.8759483319953274</v>
      </c>
      <c r="GP38">
        <v>2.0343992248062017</v>
      </c>
      <c r="GQ38">
        <v>0.95674818840579701</v>
      </c>
      <c r="GR38">
        <v>1.2802435587761674</v>
      </c>
      <c r="GS38">
        <v>5.8204885033378684</v>
      </c>
      <c r="GT38">
        <v>7.3333765870047891</v>
      </c>
      <c r="GU38"/>
      <c r="GV38"/>
      <c r="GW38"/>
      <c r="GX38"/>
      <c r="GY38"/>
      <c r="GZ38"/>
      <c r="HA38"/>
      <c r="HB38"/>
      <c r="HC38"/>
    </row>
    <row r="39" spans="1:211" s="7" customFormat="1">
      <c r="A39" s="114">
        <v>0.13</v>
      </c>
      <c r="B39" s="57"/>
      <c r="C39" s="48" t="s">
        <v>40</v>
      </c>
      <c r="D39" s="49">
        <f t="shared" si="18"/>
        <v>6.9990012072553753</v>
      </c>
      <c r="E39" s="107">
        <f t="shared" si="19"/>
        <v>0.10794124534405151</v>
      </c>
      <c r="F39" s="18"/>
      <c r="G39" s="49">
        <f t="shared" si="20"/>
        <v>0.60951913104777444</v>
      </c>
      <c r="H39" s="49">
        <f t="shared" si="21"/>
        <v>5.1992766102884245</v>
      </c>
      <c r="I39" s="49">
        <f t="shared" si="21"/>
        <v>1.1902054659191763</v>
      </c>
      <c r="J39" s="49">
        <f t="shared" si="21"/>
        <v>0</v>
      </c>
      <c r="K39" s="49">
        <f t="shared" si="21"/>
        <v>0</v>
      </c>
      <c r="L39" s="49">
        <f t="shared" si="21"/>
        <v>0</v>
      </c>
      <c r="M39" s="49">
        <f t="shared" si="21"/>
        <v>0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68.368508583826298</v>
      </c>
      <c r="AO39">
        <v>7.6875251879609738</v>
      </c>
      <c r="AP39">
        <v>62.691571241677174</v>
      </c>
      <c r="AQ39">
        <v>53.415841276173488</v>
      </c>
      <c r="AR39">
        <v>8.0362180686833025</v>
      </c>
      <c r="AS39">
        <v>46.612864863305496</v>
      </c>
      <c r="AT39" t="e">
        <v>#DIV/0!</v>
      </c>
      <c r="AU39" t="e">
        <v>#DIV/0!</v>
      </c>
      <c r="AV39"/>
      <c r="AW39"/>
      <c r="FY39" s="211">
        <v>34</v>
      </c>
      <c r="FZ39">
        <v>9.872177466065196</v>
      </c>
      <c r="GA39">
        <v>8.6447001005538429</v>
      </c>
      <c r="GB39">
        <v>6.9983105075448497</v>
      </c>
      <c r="GC39">
        <v>4.7265886488587245</v>
      </c>
      <c r="GD39">
        <v>1.8583651656923641</v>
      </c>
      <c r="GE39">
        <v>1.4886637546511627</v>
      </c>
      <c r="GF39">
        <v>1.7446466356159418</v>
      </c>
      <c r="GG39">
        <v>1.8451593324501812</v>
      </c>
      <c r="GH39">
        <v>5.0006837215906659</v>
      </c>
      <c r="GI39">
        <v>5.3599291030481826</v>
      </c>
      <c r="GJ39"/>
      <c r="GK39">
        <v>9.9061414806783556</v>
      </c>
      <c r="GL39">
        <v>7.3232946138297583</v>
      </c>
      <c r="GM39">
        <v>11.744614410870469</v>
      </c>
      <c r="GN39">
        <v>14.315540174520121</v>
      </c>
      <c r="GO39">
        <v>7.2156518722545862</v>
      </c>
      <c r="GP39">
        <v>2.850048449612403</v>
      </c>
      <c r="GQ39">
        <v>2.137882447665056</v>
      </c>
      <c r="GR39">
        <v>2.5967944847020932</v>
      </c>
      <c r="GS39">
        <v>5.3285940215656913</v>
      </c>
      <c r="GT39">
        <v>7.2665768466068323</v>
      </c>
      <c r="GU39"/>
      <c r="GV39"/>
      <c r="GW39"/>
      <c r="GX39"/>
      <c r="GY39"/>
      <c r="GZ39"/>
      <c r="HA39"/>
      <c r="HB39"/>
      <c r="HC39"/>
    </row>
    <row r="40" spans="1:211" s="7" customFormat="1">
      <c r="A40" s="9" t="s">
        <v>48</v>
      </c>
      <c r="B40" s="57"/>
      <c r="C40" s="48" t="s">
        <v>41</v>
      </c>
      <c r="D40" s="49">
        <f t="shared" si="18"/>
        <v>6.4985204607913332</v>
      </c>
      <c r="E40" s="107">
        <f t="shared" si="19"/>
        <v>0.12055876779168032</v>
      </c>
      <c r="F40" s="18"/>
      <c r="G40" s="49">
        <f t="shared" si="20"/>
        <v>0.25538511077420722</v>
      </c>
      <c r="H40" s="49">
        <f t="shared" si="21"/>
        <v>5.0529298840979493</v>
      </c>
      <c r="I40" s="49">
        <f t="shared" si="21"/>
        <v>1.1902054659191763</v>
      </c>
      <c r="J40" s="49">
        <f t="shared" si="21"/>
        <v>0</v>
      </c>
      <c r="K40" s="49">
        <f t="shared" si="21"/>
        <v>0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52.808685041696933</v>
      </c>
      <c r="AO40">
        <v>6.3673922741038869</v>
      </c>
      <c r="AP40">
        <v>3.3850382566817707</v>
      </c>
      <c r="AQ40">
        <v>42.701307067845519</v>
      </c>
      <c r="AR40">
        <v>6.7276072558463653</v>
      </c>
      <c r="AS40">
        <v>44.201970531095974</v>
      </c>
      <c r="AT40">
        <v>5.4183508211762899</v>
      </c>
      <c r="AU40">
        <v>8.0676741454400691</v>
      </c>
      <c r="AV40"/>
      <c r="AW40"/>
      <c r="FY40" s="211">
        <v>35</v>
      </c>
      <c r="FZ40">
        <v>13.109754512117386</v>
      </c>
      <c r="GA40">
        <v>14.789815622157805</v>
      </c>
      <c r="GB40">
        <v>8.2850115555525718</v>
      </c>
      <c r="GC40">
        <v>3.7813409870181731</v>
      </c>
      <c r="GD40">
        <v>1.1994606652138271</v>
      </c>
      <c r="GE40">
        <v>1.5250325926196988</v>
      </c>
      <c r="GF40">
        <v>1.2783046744504822</v>
      </c>
      <c r="GG40">
        <v>1.8128276523841229</v>
      </c>
      <c r="GH40">
        <v>2.3541356513888889</v>
      </c>
      <c r="GI40">
        <v>5.271299883013298</v>
      </c>
      <c r="GJ40"/>
      <c r="GK40">
        <v>13.138725260118004</v>
      </c>
      <c r="GL40">
        <v>12.530639552613396</v>
      </c>
      <c r="GM40">
        <v>13.794698921062237</v>
      </c>
      <c r="GN40">
        <v>11.384994673087103</v>
      </c>
      <c r="GO40">
        <v>4.6711215717457737</v>
      </c>
      <c r="GP40">
        <v>2.9196766312233136</v>
      </c>
      <c r="GQ40">
        <v>1.5641140273990009</v>
      </c>
      <c r="GR40">
        <v>2.5496464348064078</v>
      </c>
      <c r="GS40">
        <v>2.5115740740740744</v>
      </c>
      <c r="GT40">
        <v>7.136046770879819</v>
      </c>
      <c r="GU40"/>
      <c r="GV40"/>
      <c r="GW40"/>
      <c r="GX40"/>
      <c r="GY40"/>
      <c r="GZ40"/>
      <c r="HA40"/>
      <c r="HB40"/>
      <c r="HC40"/>
    </row>
    <row r="41" spans="1:211" s="7" customFormat="1">
      <c r="A41" s="114">
        <v>1.66</v>
      </c>
      <c r="B41" s="57"/>
      <c r="C41" s="48" t="s">
        <v>42</v>
      </c>
      <c r="D41" s="49">
        <f t="shared" si="18"/>
        <v>5.069189285122083</v>
      </c>
      <c r="E41" s="107">
        <f t="shared" si="19"/>
        <v>0.1157</v>
      </c>
      <c r="F41" s="18"/>
      <c r="G41" s="49">
        <f t="shared" si="20"/>
        <v>0</v>
      </c>
      <c r="H41" s="49">
        <f t="shared" ref="H41:AK43" si="22">H25*H$36</f>
        <v>5.069189285122083</v>
      </c>
      <c r="I41" s="49">
        <f t="shared" si="22"/>
        <v>0</v>
      </c>
      <c r="J41" s="49">
        <f t="shared" si="22"/>
        <v>0</v>
      </c>
      <c r="K41" s="49">
        <f t="shared" si="22"/>
        <v>0</v>
      </c>
      <c r="L41" s="49">
        <f t="shared" si="22"/>
        <v>0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62.62771061387523</v>
      </c>
      <c r="AO41">
        <v>7.0504910460680863</v>
      </c>
      <c r="AP41">
        <v>75.316078143932145</v>
      </c>
      <c r="AQ41">
        <v>55.790261270146409</v>
      </c>
      <c r="AR41">
        <v>7.3116323686995557</v>
      </c>
      <c r="AS41">
        <v>48.996989185637233</v>
      </c>
      <c r="AT41" t="e">
        <v>#DIV/0!</v>
      </c>
      <c r="AU41" t="e">
        <v>#DIV/0!</v>
      </c>
      <c r="AV41"/>
      <c r="AW41"/>
      <c r="FY41" s="211">
        <v>36</v>
      </c>
      <c r="FZ41">
        <v>11.847879886441181</v>
      </c>
      <c r="GA41">
        <v>10.167054081709338</v>
      </c>
      <c r="GB41">
        <v>4.807236697113578</v>
      </c>
      <c r="GC41">
        <v>2.2966839442976488</v>
      </c>
      <c r="GD41">
        <v>2.5218708925036819</v>
      </c>
      <c r="GE41">
        <v>3.6522907432079341</v>
      </c>
      <c r="GF41">
        <v>1.8933086292330903</v>
      </c>
      <c r="GG41">
        <v>1.5999335916051376</v>
      </c>
      <c r="GH41">
        <v>3.8204038631421846</v>
      </c>
      <c r="GI41">
        <v>5.3260150310879366</v>
      </c>
      <c r="GJ41"/>
      <c r="GK41">
        <v>11.889538495415561</v>
      </c>
      <c r="GL41">
        <v>8.6140954952428306</v>
      </c>
      <c r="GM41">
        <v>7.9586040646944953</v>
      </c>
      <c r="GN41">
        <v>6.8366059767022209</v>
      </c>
      <c r="GO41">
        <v>9.7772783397467311</v>
      </c>
      <c r="GP41">
        <v>6.992314777390872</v>
      </c>
      <c r="GQ41">
        <v>2.3177372158047973</v>
      </c>
      <c r="GR41">
        <v>2.2500288824714643</v>
      </c>
      <c r="GS41">
        <v>4.0740113499170452</v>
      </c>
      <c r="GT41">
        <v>7.2034338931157258</v>
      </c>
      <c r="GU41"/>
      <c r="GV41"/>
      <c r="GW41"/>
      <c r="GX41"/>
      <c r="GY41"/>
      <c r="GZ41"/>
      <c r="HA41"/>
      <c r="HB41"/>
      <c r="HC41"/>
    </row>
    <row r="42" spans="1:211" s="7" customFormat="1">
      <c r="A42" s="9" t="s">
        <v>49</v>
      </c>
      <c r="B42" s="57"/>
      <c r="C42" s="48" t="s">
        <v>118</v>
      </c>
      <c r="D42" s="49">
        <f t="shared" si="18"/>
        <v>3.5196357136935115</v>
      </c>
      <c r="E42" s="107">
        <f t="shared" si="19"/>
        <v>0.11570000000000001</v>
      </c>
      <c r="F42" s="18"/>
      <c r="G42" s="49">
        <f t="shared" si="20"/>
        <v>0</v>
      </c>
      <c r="H42" s="49">
        <f t="shared" si="22"/>
        <v>3.5196357136935115</v>
      </c>
      <c r="I42" s="49">
        <f t="shared" si="22"/>
        <v>0</v>
      </c>
      <c r="J42" s="49">
        <f t="shared" si="22"/>
        <v>0</v>
      </c>
      <c r="K42" s="49">
        <f t="shared" si="22"/>
        <v>0</v>
      </c>
      <c r="L42" s="49">
        <f t="shared" si="22"/>
        <v>0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58.303274894359447</v>
      </c>
      <c r="AO42">
        <v>7.1538051168829426</v>
      </c>
      <c r="AP42">
        <v>47.899804910947609</v>
      </c>
      <c r="AQ42">
        <v>51.723365294916277</v>
      </c>
      <c r="AR42">
        <v>7.2886252260762809</v>
      </c>
      <c r="AS42">
        <v>46.199648928291346</v>
      </c>
      <c r="AT42" t="e">
        <v>#DIV/0!</v>
      </c>
      <c r="AU42" t="e">
        <v>#DIV/0!</v>
      </c>
      <c r="AV42"/>
      <c r="AW42"/>
      <c r="FY42" s="211">
        <v>37</v>
      </c>
      <c r="FZ42">
        <v>9.1407862554106298</v>
      </c>
      <c r="GA42">
        <v>9.8210623388732987</v>
      </c>
      <c r="GB42">
        <v>6.2413310754342293</v>
      </c>
      <c r="GC42">
        <v>2.8906017350928868</v>
      </c>
      <c r="GD42">
        <v>1.9088668697902136</v>
      </c>
      <c r="GE42">
        <v>2.9867899542309955</v>
      </c>
      <c r="GF42">
        <v>1.3179609491055253</v>
      </c>
      <c r="GG42">
        <v>1.003228398856431</v>
      </c>
      <c r="GH42">
        <v>3.1013394367551679</v>
      </c>
      <c r="GI42">
        <v>4.7098692322989333</v>
      </c>
      <c r="GJ42"/>
      <c r="GK42">
        <v>9.1679496000231033</v>
      </c>
      <c r="GL42">
        <v>8.3196890310476661</v>
      </c>
      <c r="GM42">
        <v>10.374219509950722</v>
      </c>
      <c r="GN42">
        <v>8.6614192405422816</v>
      </c>
      <c r="GO42">
        <v>7.3989963050018561</v>
      </c>
      <c r="GP42">
        <v>5.7182127607914213</v>
      </c>
      <c r="GQ42">
        <v>1.6150236513687599</v>
      </c>
      <c r="GR42">
        <v>1.4118986513687599</v>
      </c>
      <c r="GS42">
        <v>3.3078033347758744</v>
      </c>
      <c r="GT42">
        <v>6.3727984802240636</v>
      </c>
      <c r="GU42"/>
      <c r="GV42"/>
      <c r="GW42"/>
      <c r="GX42"/>
      <c r="GY42"/>
      <c r="GZ42"/>
      <c r="HA42"/>
      <c r="HB42"/>
      <c r="HC42"/>
    </row>
    <row r="43" spans="1:211" s="7" customFormat="1">
      <c r="A43" s="95">
        <v>11</v>
      </c>
      <c r="B43" s="1"/>
      <c r="C43" s="48" t="s">
        <v>119</v>
      </c>
      <c r="D43" s="49">
        <f>IF(SUM(G43:AK43)&lt;0.0001, 0, SUM(G43:AK43))</f>
        <v>3.3000795064967163</v>
      </c>
      <c r="E43" s="107">
        <f t="shared" si="19"/>
        <v>8.8182579692880306E-2</v>
      </c>
      <c r="F43" s="18"/>
      <c r="G43" s="49">
        <f t="shared" si="20"/>
        <v>0.47671887344518682</v>
      </c>
      <c r="H43" s="49">
        <f t="shared" si="22"/>
        <v>2.8233606330515295</v>
      </c>
      <c r="I43" s="49">
        <f t="shared" si="22"/>
        <v>0</v>
      </c>
      <c r="J43" s="49">
        <f t="shared" si="22"/>
        <v>0</v>
      </c>
      <c r="K43" s="49">
        <f t="shared" si="22"/>
        <v>0</v>
      </c>
      <c r="L43" s="49">
        <f t="shared" si="22"/>
        <v>0</v>
      </c>
      <c r="M43" s="49">
        <f t="shared" si="22"/>
        <v>0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55.905891008576511</v>
      </c>
      <c r="AO43">
        <v>6.7199133785393501</v>
      </c>
      <c r="AP43">
        <v>45.795255989908739</v>
      </c>
      <c r="AQ43">
        <v>50.505219819309239</v>
      </c>
      <c r="AR43">
        <v>7.070861324330072</v>
      </c>
      <c r="AS43">
        <v>46.331704182410554</v>
      </c>
      <c r="AT43" t="e">
        <v>#DIV/0!</v>
      </c>
      <c r="AU43" t="e">
        <v>#DIV/0!</v>
      </c>
      <c r="AV43"/>
      <c r="AW43"/>
      <c r="FY43" s="211">
        <v>38</v>
      </c>
      <c r="FZ43">
        <v>11.50359784889832</v>
      </c>
      <c r="GA43">
        <v>8.1849751864905702</v>
      </c>
      <c r="GB43">
        <v>4.026913868641631</v>
      </c>
      <c r="GC43">
        <v>2.8869565234659764</v>
      </c>
      <c r="GD43">
        <v>1.8881005652557827</v>
      </c>
      <c r="GE43">
        <v>2.8083147969054139</v>
      </c>
      <c r="GF43">
        <v>1.223050412887982</v>
      </c>
      <c r="GG43">
        <v>1.4386361263424563</v>
      </c>
      <c r="GH43">
        <v>5.5305141914773497</v>
      </c>
      <c r="GI43">
        <v>4.8711986962707705</v>
      </c>
      <c r="GJ43"/>
      <c r="GK43">
        <v>11.544133566157333</v>
      </c>
      <c r="GL43">
        <v>6.938077213598917</v>
      </c>
      <c r="GM43">
        <v>6.7105903834182268</v>
      </c>
      <c r="GN43">
        <v>8.65403608863123</v>
      </c>
      <c r="GO43">
        <v>7.3199675745315549</v>
      </c>
      <c r="GP43">
        <v>5.3765218693185526</v>
      </c>
      <c r="GQ43">
        <v>1.4964056940656674</v>
      </c>
      <c r="GR43">
        <v>2.0230260644360376</v>
      </c>
      <c r="GS43">
        <v>5.8977329307260753</v>
      </c>
      <c r="GT43">
        <v>6.593766029779772</v>
      </c>
      <c r="GU43"/>
      <c r="GV43"/>
      <c r="GW43"/>
      <c r="GX43"/>
      <c r="GY43"/>
      <c r="GZ43"/>
      <c r="HA43"/>
      <c r="HB43"/>
      <c r="HC43"/>
    </row>
    <row r="44" spans="1:211" s="7" customFormat="1">
      <c r="A44" s="4"/>
      <c r="B44" s="1"/>
      <c r="C44" s="48" t="s">
        <v>120</v>
      </c>
      <c r="D44" s="49">
        <f>IF(SUM(G44:AK44)&lt;0.0001, 0, SUM(G44:AK44))</f>
        <v>3.7085112194596794</v>
      </c>
      <c r="E44" s="107">
        <f t="shared" si="19"/>
        <v>9.0554523334995557E-2</v>
      </c>
      <c r="F44" s="18"/>
      <c r="G44" s="49">
        <f>G28*G36</f>
        <v>0.47671887344518682</v>
      </c>
      <c r="H44" s="49">
        <f t="shared" ref="H44:AK44" si="23">H28*H36</f>
        <v>3.2317923460144926</v>
      </c>
      <c r="I44" s="49">
        <f t="shared" si="23"/>
        <v>0</v>
      </c>
      <c r="J44" s="49">
        <f t="shared" si="23"/>
        <v>0</v>
      </c>
      <c r="K44" s="49">
        <f t="shared" si="23"/>
        <v>0</v>
      </c>
      <c r="L44" s="49">
        <f t="shared" si="23"/>
        <v>0</v>
      </c>
      <c r="M44" s="49">
        <f t="shared" si="23"/>
        <v>0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56.30822771605439</v>
      </c>
      <c r="AO44">
        <v>6.8723806891636912</v>
      </c>
      <c r="AP44">
        <v>12.093275574666624</v>
      </c>
      <c r="AQ44">
        <v>49.090971365095079</v>
      </c>
      <c r="AR44">
        <v>7.3759631760466409</v>
      </c>
      <c r="AS44">
        <v>46.836292491664381</v>
      </c>
      <c r="AT44" t="e">
        <v>#DIV/0!</v>
      </c>
      <c r="AU44" t="e">
        <v>#DIV/0!</v>
      </c>
      <c r="AV44"/>
      <c r="AW44"/>
      <c r="FY44" s="211">
        <v>39</v>
      </c>
      <c r="FZ44">
        <v>13.691742408405773</v>
      </c>
      <c r="GA44">
        <v>10.393556492500952</v>
      </c>
      <c r="GB44">
        <v>5.5971862212529082</v>
      </c>
      <c r="GC44">
        <v>2.5566113615033186</v>
      </c>
      <c r="GD44">
        <v>0.99051630175392624</v>
      </c>
      <c r="GE44">
        <v>1.2764674846511628</v>
      </c>
      <c r="GF44">
        <v>1.20049492930329</v>
      </c>
      <c r="GG44">
        <v>1.3708865425901917</v>
      </c>
      <c r="GH44">
        <v>4.0969338231099677</v>
      </c>
      <c r="GI44">
        <v>4.8365345176977943</v>
      </c>
      <c r="GJ44"/>
      <c r="GK44">
        <v>13.757520042791036</v>
      </c>
      <c r="GL44">
        <v>8.8060225875189513</v>
      </c>
      <c r="GM44">
        <v>9.3454784014021897</v>
      </c>
      <c r="GN44">
        <v>7.7258312249636649</v>
      </c>
      <c r="GO44">
        <v>3.8397739167301679</v>
      </c>
      <c r="GP44">
        <v>2.443798449612403</v>
      </c>
      <c r="GQ44">
        <v>1.4687663019561665</v>
      </c>
      <c r="GR44">
        <v>1.9276783389932035</v>
      </c>
      <c r="GS44">
        <v>4.3659648710088295</v>
      </c>
      <c r="GT44">
        <v>6.5555007067776785</v>
      </c>
      <c r="GU44"/>
      <c r="GV44"/>
      <c r="GW44"/>
      <c r="GX44"/>
      <c r="GY44"/>
      <c r="GZ44"/>
      <c r="HA44"/>
      <c r="HB44"/>
      <c r="HC44"/>
    </row>
    <row r="45" spans="1:211" s="7" customFormat="1">
      <c r="A45" s="4"/>
      <c r="B45" s="1"/>
      <c r="C45" s="48" t="s">
        <v>121</v>
      </c>
      <c r="D45" s="49">
        <f>IF(SUM(G45:AK45)&lt;0.0001, 0, SUM(G45:AK45))</f>
        <v>4.7978229190768005</v>
      </c>
      <c r="E45" s="107">
        <f t="shared" si="19"/>
        <v>0.10010289328429688</v>
      </c>
      <c r="F45" s="18"/>
      <c r="G45" s="49">
        <f>G29*G36</f>
        <v>0.34606258961206149</v>
      </c>
      <c r="H45" s="49">
        <f t="shared" ref="H45:AK45" si="24">H29*H36</f>
        <v>4.4517603294647392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</v>
      </c>
      <c r="M45" s="49">
        <f t="shared" si="24"/>
        <v>0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52.207944773798395</v>
      </c>
      <c r="AO45">
        <v>6.557119733049225</v>
      </c>
      <c r="AP45">
        <v>107.44330189359292</v>
      </c>
      <c r="AQ45">
        <v>46.106178477117226</v>
      </c>
      <c r="AR45">
        <v>7.0587107568221654</v>
      </c>
      <c r="AS45">
        <v>42.982361928884345</v>
      </c>
      <c r="AT45" t="e">
        <v>#DIV/0!</v>
      </c>
      <c r="AU45" t="e">
        <v>#DIV/0!</v>
      </c>
      <c r="AV45"/>
      <c r="AW45"/>
      <c r="FY45" s="211">
        <v>40</v>
      </c>
      <c r="FZ45">
        <v>11.62187797681019</v>
      </c>
      <c r="GA45">
        <v>10.248784064362365</v>
      </c>
      <c r="GB45">
        <v>6.2879885939503115</v>
      </c>
      <c r="GC45">
        <v>3.7589302633584039</v>
      </c>
      <c r="GD45">
        <v>2.6458217404138611</v>
      </c>
      <c r="GE45">
        <v>3.6682072541596642</v>
      </c>
      <c r="GF45">
        <v>1.9812616687733986</v>
      </c>
      <c r="GG45">
        <v>2.2805670599362062</v>
      </c>
      <c r="GH45">
        <v>5.2299241931717564</v>
      </c>
      <c r="GI45">
        <v>5.9722893348236896</v>
      </c>
      <c r="GJ45"/>
      <c r="GK45">
        <v>11.680273428299067</v>
      </c>
      <c r="GL45">
        <v>8.6834634740850731</v>
      </c>
      <c r="GM45">
        <v>10.489618252469617</v>
      </c>
      <c r="GN45">
        <v>11.333608954216071</v>
      </c>
      <c r="GO45">
        <v>10.289314485522675</v>
      </c>
      <c r="GP45">
        <v>7.0227869556913678</v>
      </c>
      <c r="GQ45">
        <v>2.4255144903619632</v>
      </c>
      <c r="GR45">
        <v>3.2079218977693706</v>
      </c>
      <c r="GS45">
        <v>5.5748674951233541</v>
      </c>
      <c r="GT45">
        <v>8.0919176303553364</v>
      </c>
      <c r="GU45"/>
      <c r="GV45"/>
      <c r="GW45"/>
      <c r="GX45"/>
      <c r="GY45"/>
      <c r="GZ45"/>
      <c r="HA45"/>
      <c r="HB45"/>
      <c r="HC45"/>
    </row>
    <row r="46" spans="1:211" s="7" customFormat="1">
      <c r="A46" s="4"/>
      <c r="B46" s="1"/>
      <c r="C46" s="48" t="s">
        <v>122</v>
      </c>
      <c r="D46" s="49">
        <f>IF(SUM(G46:AK46)&lt;0.0001, 0, SUM(G46:AK46))</f>
        <v>5.4400754784554062</v>
      </c>
      <c r="E46" s="107">
        <f t="shared" si="19"/>
        <v>0.10907928008949433</v>
      </c>
      <c r="F46" s="18"/>
      <c r="G46" s="49">
        <f>G30*G36</f>
        <v>0.32459762869661951</v>
      </c>
      <c r="H46" s="49">
        <f t="shared" ref="H46:AK46" si="25">H30*H36</f>
        <v>4.5727441572996419</v>
      </c>
      <c r="I46" s="49">
        <f t="shared" si="25"/>
        <v>0.54273369245914438</v>
      </c>
      <c r="J46" s="49">
        <f t="shared" si="25"/>
        <v>0</v>
      </c>
      <c r="K46" s="49">
        <f t="shared" si="25"/>
        <v>0</v>
      </c>
      <c r="L46" s="49">
        <f t="shared" si="25"/>
        <v>0</v>
      </c>
      <c r="M46" s="49">
        <f t="shared" si="25"/>
        <v>0</v>
      </c>
      <c r="N46" s="49">
        <f t="shared" si="25"/>
        <v>0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62.08704692405589</v>
      </c>
      <c r="AO46">
        <v>7.2555221282554898</v>
      </c>
      <c r="AP46">
        <v>51.910747101377922</v>
      </c>
      <c r="AQ46">
        <v>53.914674046437163</v>
      </c>
      <c r="AR46">
        <v>7.4906303652319188</v>
      </c>
      <c r="AS46">
        <v>45.362173256417144</v>
      </c>
      <c r="AT46" t="e">
        <v>#DIV/0!</v>
      </c>
      <c r="AU46" t="e">
        <v>#DIV/0!</v>
      </c>
      <c r="AV46"/>
      <c r="AW46"/>
      <c r="FY46" s="211">
        <v>41</v>
      </c>
      <c r="FZ46">
        <v>8.6216177800695526</v>
      </c>
      <c r="GA46">
        <v>6.8527945607495893</v>
      </c>
      <c r="GB46">
        <v>6.1670489909122672</v>
      </c>
      <c r="GC46">
        <v>3.8416658591120161</v>
      </c>
      <c r="GD46">
        <v>1.4066549211809121</v>
      </c>
      <c r="GE46">
        <v>0.95652814732558133</v>
      </c>
      <c r="GF46">
        <v>1.7446466356159418</v>
      </c>
      <c r="GG46">
        <v>2.2193508584918478</v>
      </c>
      <c r="GH46">
        <v>6.0768042607545132</v>
      </c>
      <c r="GI46">
        <v>4.8763479957687075</v>
      </c>
      <c r="GJ46"/>
      <c r="GK46">
        <v>8.6646591706373357</v>
      </c>
      <c r="GL46">
        <v>5.8072244675460789</v>
      </c>
      <c r="GM46">
        <v>10.2524871937266</v>
      </c>
      <c r="GN46">
        <v>11.522802160773736</v>
      </c>
      <c r="GO46">
        <v>5.4847065165422721</v>
      </c>
      <c r="GP46">
        <v>1.8312742248062015</v>
      </c>
      <c r="GQ46">
        <v>2.137882447665056</v>
      </c>
      <c r="GR46">
        <v>3.1234148550724634</v>
      </c>
      <c r="GS46">
        <v>6.4802275095890494</v>
      </c>
      <c r="GT46">
        <v>6.6039925676320639</v>
      </c>
      <c r="GU46"/>
      <c r="GV46"/>
      <c r="GW46"/>
      <c r="GX46"/>
      <c r="GY46"/>
      <c r="GZ46"/>
      <c r="HA46"/>
      <c r="HB46"/>
      <c r="HC46"/>
    </row>
    <row r="47" spans="1:211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67.960922242974249</v>
      </c>
      <c r="AO47">
        <v>7.8419859172382669</v>
      </c>
      <c r="AP47">
        <v>3.7030723108068209</v>
      </c>
      <c r="AQ47">
        <v>57.420628787863393</v>
      </c>
      <c r="AR47">
        <v>8.248570061724708</v>
      </c>
      <c r="AS47">
        <v>54.097398999132025</v>
      </c>
      <c r="AT47">
        <v>6.6211291557301974</v>
      </c>
      <c r="AU47">
        <v>3.9658451236381023</v>
      </c>
      <c r="AV47"/>
      <c r="AW47"/>
      <c r="FY47" s="211">
        <v>42</v>
      </c>
      <c r="FZ47">
        <v>10.395300517718368</v>
      </c>
      <c r="GA47">
        <v>10.075217910700065</v>
      </c>
      <c r="GB47">
        <v>3.542645248356858</v>
      </c>
      <c r="GC47">
        <v>2.1852063775970518</v>
      </c>
      <c r="GD47">
        <v>2.6409503098377765</v>
      </c>
      <c r="GE47">
        <v>3.6344861414852456</v>
      </c>
      <c r="GF47">
        <v>1.1521981644180253</v>
      </c>
      <c r="GG47">
        <v>1.003228398856431</v>
      </c>
      <c r="GH47">
        <v>4.5721436501856063</v>
      </c>
      <c r="GI47">
        <v>4.8557118080821757</v>
      </c>
      <c r="GJ47"/>
      <c r="GK47">
        <v>10.424038774168412</v>
      </c>
      <c r="GL47">
        <v>8.5356747454594188</v>
      </c>
      <c r="GM47">
        <v>5.8637819312465274</v>
      </c>
      <c r="GN47">
        <v>6.5234400818335914</v>
      </c>
      <c r="GO47">
        <v>10.260193621020029</v>
      </c>
      <c r="GP47">
        <v>6.9582278471642356</v>
      </c>
      <c r="GQ47">
        <v>1.4118986513687599</v>
      </c>
      <c r="GR47">
        <v>1.4118986513687599</v>
      </c>
      <c r="GS47">
        <v>4.8713943132957782</v>
      </c>
      <c r="GT47">
        <v>6.566261458219901</v>
      </c>
      <c r="GU47"/>
      <c r="GV47"/>
      <c r="GW47"/>
      <c r="GX47"/>
      <c r="GY47"/>
      <c r="GZ47"/>
      <c r="HA47"/>
      <c r="HB47"/>
      <c r="HC47"/>
    </row>
    <row r="48" spans="1:211" s="7" customFormat="1">
      <c r="A48" s="4"/>
      <c r="B48" s="1"/>
      <c r="C48" s="60" t="s">
        <v>50</v>
      </c>
      <c r="D48" s="53">
        <f>AVERAGE(D37:D47)</f>
        <v>5.0299390609287755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78.418619047180016</v>
      </c>
      <c r="AO48">
        <v>9.2972197591861647</v>
      </c>
      <c r="AP48">
        <v>3.8808705970387996</v>
      </c>
      <c r="AQ48">
        <v>70.522945770414751</v>
      </c>
      <c r="AR48">
        <v>9.5701669889457648</v>
      </c>
      <c r="AS48">
        <v>62.049182278673882</v>
      </c>
      <c r="AT48">
        <v>7.7596196810306326</v>
      </c>
      <c r="AU48">
        <v>-4.0618197521625863</v>
      </c>
      <c r="AV48"/>
      <c r="AW48"/>
      <c r="FY48" s="211">
        <v>43</v>
      </c>
      <c r="FZ48">
        <v>17.832129170753102</v>
      </c>
      <c r="GA48">
        <v>10.12613229698869</v>
      </c>
      <c r="GB48">
        <v>4.1128482448929145</v>
      </c>
      <c r="GC48">
        <v>3.2759565287129511</v>
      </c>
      <c r="GD48">
        <v>2.3786817782954235</v>
      </c>
      <c r="GE48">
        <v>3.3521999208422906</v>
      </c>
      <c r="GF48">
        <v>0.64770273276041657</v>
      </c>
      <c r="GG48">
        <v>1.2161224596354168</v>
      </c>
      <c r="GH48">
        <v>6.0140576363481575</v>
      </c>
      <c r="GI48">
        <v>6.0799830189752946</v>
      </c>
      <c r="GJ48"/>
      <c r="GK48">
        <v>17.922426348714335</v>
      </c>
      <c r="GL48">
        <v>8.5823552174287876</v>
      </c>
      <c r="GM48">
        <v>6.8140559025129823</v>
      </c>
      <c r="GN48">
        <v>9.75303064627232</v>
      </c>
      <c r="GO48">
        <v>9.2213486341188649</v>
      </c>
      <c r="GP48">
        <v>6.4177905570261933</v>
      </c>
      <c r="GQ48">
        <v>0.79369212962962943</v>
      </c>
      <c r="GR48">
        <v>1.7115162037037035</v>
      </c>
      <c r="GS48">
        <v>6.4104961723649829</v>
      </c>
      <c r="GT48">
        <v>8.2324038374681585</v>
      </c>
      <c r="GU48"/>
      <c r="GV48"/>
      <c r="GW48"/>
      <c r="GX48"/>
      <c r="GY48"/>
      <c r="GZ48"/>
      <c r="HA48"/>
      <c r="HB48"/>
      <c r="HC48"/>
    </row>
    <row r="49" spans="1:211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62.556733742487836</v>
      </c>
      <c r="AO49">
        <v>7.0457251286293028</v>
      </c>
      <c r="AP49">
        <v>3.9318191118458015</v>
      </c>
      <c r="AQ49">
        <v>56.414226064723536</v>
      </c>
      <c r="AR49">
        <v>7.3333765870047909</v>
      </c>
      <c r="AS49">
        <v>42.939651230186058</v>
      </c>
      <c r="AT49">
        <v>5.8764816124626131</v>
      </c>
      <c r="AU49">
        <v>-1.7485192933103555</v>
      </c>
      <c r="AV49"/>
      <c r="AW49"/>
      <c r="FY49" s="211">
        <v>44</v>
      </c>
      <c r="FZ49">
        <v>12.407533832200755</v>
      </c>
      <c r="GA49">
        <v>11.192332105740013</v>
      </c>
      <c r="GB49">
        <v>5.3600888409692899</v>
      </c>
      <c r="GC49">
        <v>2.496521330509148</v>
      </c>
      <c r="GD49">
        <v>1.6977560180057827</v>
      </c>
      <c r="GE49">
        <v>2.383922256905413</v>
      </c>
      <c r="GF49">
        <v>0.67025821634510852</v>
      </c>
      <c r="GG49">
        <v>0.90968051734601452</v>
      </c>
      <c r="GH49">
        <v>4.857577032251819</v>
      </c>
      <c r="GI49">
        <v>5.0134809524473543</v>
      </c>
      <c r="GJ49"/>
      <c r="GK49">
        <v>12.471857970928518</v>
      </c>
      <c r="GL49">
        <v>9.4839021823230976</v>
      </c>
      <c r="GM49">
        <v>8.8775974134035156</v>
      </c>
      <c r="GN49">
        <v>7.4342301383309737</v>
      </c>
      <c r="GO49">
        <v>6.5819467411982204</v>
      </c>
      <c r="GP49">
        <v>4.5640218693185517</v>
      </c>
      <c r="GQ49">
        <v>0.82133152173913027</v>
      </c>
      <c r="GR49">
        <v>1.2802435587761674</v>
      </c>
      <c r="GS49">
        <v>5.180407114945087</v>
      </c>
      <c r="GT49">
        <v>6.7866281524428969</v>
      </c>
      <c r="GU49"/>
      <c r="GV49"/>
      <c r="GW49"/>
      <c r="GX49"/>
      <c r="GY49"/>
      <c r="GZ49"/>
      <c r="HA49"/>
      <c r="HB49"/>
      <c r="HC49"/>
    </row>
    <row r="50" spans="1:211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56.508550968929207</v>
      </c>
      <c r="AO50">
        <v>7.0685138802305376</v>
      </c>
      <c r="AP50">
        <v>6.3536595179815043</v>
      </c>
      <c r="AQ50">
        <v>47.539224436071109</v>
      </c>
      <c r="AR50">
        <v>7.2665768466068315</v>
      </c>
      <c r="AS50">
        <v>40.972590570448745</v>
      </c>
      <c r="AT50">
        <v>5.6842023701005813</v>
      </c>
      <c r="AU50">
        <v>0.89354291412664111</v>
      </c>
      <c r="AV50"/>
      <c r="AW50"/>
      <c r="FY50" s="211">
        <v>45</v>
      </c>
      <c r="FZ50">
        <v>13.091435892838364</v>
      </c>
      <c r="GA50">
        <v>11.799738452421151</v>
      </c>
      <c r="GB50">
        <v>5.432596584363294</v>
      </c>
      <c r="GC50">
        <v>1.9319265438023501</v>
      </c>
      <c r="GD50">
        <v>1.6340780832227424</v>
      </c>
      <c r="GE50">
        <v>2.4974772508970107</v>
      </c>
      <c r="GF50">
        <v>1.2783046744504822</v>
      </c>
      <c r="GG50">
        <v>2.1870191784257891</v>
      </c>
      <c r="GH50">
        <v>6.2622398575571445</v>
      </c>
      <c r="GI50">
        <v>5.4275718141276803</v>
      </c>
      <c r="GJ50"/>
      <c r="GK50">
        <v>13.146087388455792</v>
      </c>
      <c r="GL50">
        <v>9.9952392079020971</v>
      </c>
      <c r="GM50">
        <v>8.9914132303623653</v>
      </c>
      <c r="GN50">
        <v>5.745250284099491</v>
      </c>
      <c r="GO50">
        <v>6.3335607452071141</v>
      </c>
      <c r="GP50">
        <v>4.7814230343300119</v>
      </c>
      <c r="GQ50">
        <v>1.5641140273990009</v>
      </c>
      <c r="GR50">
        <v>3.0762668051767781</v>
      </c>
      <c r="GS50">
        <v>6.6773081086629187</v>
      </c>
      <c r="GT50">
        <v>7.3424967000174366</v>
      </c>
      <c r="GU50"/>
      <c r="GV50"/>
      <c r="GW50"/>
      <c r="GX50"/>
      <c r="GY50"/>
      <c r="GZ50"/>
      <c r="HA50"/>
      <c r="HB50"/>
      <c r="HC50"/>
    </row>
    <row r="51" spans="1:211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62.491146160581721</v>
      </c>
      <c r="AO51">
        <v>7.220123791700912</v>
      </c>
      <c r="AP51">
        <v>5.7881513156099693</v>
      </c>
      <c r="AQ51">
        <v>53.406983795916261</v>
      </c>
      <c r="AR51">
        <v>7.1360467708798181</v>
      </c>
      <c r="AS51">
        <v>43.338951983798815</v>
      </c>
      <c r="AT51">
        <v>5.6475155600255036</v>
      </c>
      <c r="AU51">
        <v>8.8332339539228304</v>
      </c>
      <c r="AV51"/>
      <c r="AW51"/>
      <c r="FY51" s="211">
        <v>46</v>
      </c>
      <c r="FZ51">
        <v>6.4316412892104218</v>
      </c>
      <c r="GA51">
        <v>4.6180852056177226</v>
      </c>
      <c r="GB51">
        <v>6.1069242054181796</v>
      </c>
      <c r="GC51">
        <v>3.386900128091562</v>
      </c>
      <c r="GD51">
        <v>1.763553616445378</v>
      </c>
      <c r="GE51">
        <v>2.2054470995798323</v>
      </c>
      <c r="GF51">
        <v>0.67025821634510852</v>
      </c>
      <c r="GG51">
        <v>0.53548899130434779</v>
      </c>
      <c r="GH51">
        <v>3.7448872159541389</v>
      </c>
      <c r="GI51">
        <v>4.176490627196868</v>
      </c>
      <c r="GJ51"/>
      <c r="GK51">
        <v>6.4587750746199033</v>
      </c>
      <c r="GL51">
        <v>3.9121201614181902</v>
      </c>
      <c r="GM51">
        <v>10.154631315038435</v>
      </c>
      <c r="GN51">
        <v>10.14444567742977</v>
      </c>
      <c r="GO51">
        <v>6.8378071683218735</v>
      </c>
      <c r="GP51">
        <v>4.2223309778456839</v>
      </c>
      <c r="GQ51">
        <v>0.82133152173913027</v>
      </c>
      <c r="GR51">
        <v>0.75362318840579701</v>
      </c>
      <c r="GS51">
        <v>3.9926879028214577</v>
      </c>
      <c r="GT51">
        <v>5.6530465965081618</v>
      </c>
      <c r="GU51"/>
      <c r="GV51"/>
      <c r="GW51"/>
      <c r="GX51"/>
      <c r="GY51"/>
      <c r="GZ51"/>
      <c r="HA51"/>
      <c r="HB51"/>
      <c r="HC51"/>
    </row>
    <row r="52" spans="1:211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57.890976525907419</v>
      </c>
      <c r="AO52">
        <v>6.7913648490501739</v>
      </c>
      <c r="AP52">
        <v>50.139785633300974</v>
      </c>
      <c r="AQ52">
        <v>47.9326773603417</v>
      </c>
      <c r="AR52">
        <v>7.2034338931157258</v>
      </c>
      <c r="AS52">
        <v>48.18735450507409</v>
      </c>
      <c r="AT52" t="e">
        <v>#DIV/0!</v>
      </c>
      <c r="AU52" t="e">
        <v>#DIV/0!</v>
      </c>
      <c r="AV52"/>
      <c r="AW52"/>
      <c r="FY52" s="211">
        <v>47</v>
      </c>
      <c r="FZ52">
        <v>15.364841888989552</v>
      </c>
      <c r="GA52">
        <v>12.446611502799923</v>
      </c>
      <c r="GB52">
        <v>4.2948036645245216</v>
      </c>
      <c r="GC52">
        <v>2.4303834004311793</v>
      </c>
      <c r="GD52">
        <v>1.1333438720800109</v>
      </c>
      <c r="GE52">
        <v>0.99189419232558129</v>
      </c>
      <c r="GF52">
        <v>0.60804645810537317</v>
      </c>
      <c r="GG52">
        <v>0.52895560899644167</v>
      </c>
      <c r="GH52">
        <v>9.9431645196910612</v>
      </c>
      <c r="GI52">
        <v>5.659940286866334</v>
      </c>
      <c r="GJ52"/>
      <c r="GK52">
        <v>15.40452915735699</v>
      </c>
      <c r="GL52">
        <v>10.547222896708881</v>
      </c>
      <c r="GM52">
        <v>7.1169247101119604</v>
      </c>
      <c r="GN52">
        <v>7.2506150872584811</v>
      </c>
      <c r="GO52">
        <v>4.4037906145661481</v>
      </c>
      <c r="GP52">
        <v>1.8989825581395348</v>
      </c>
      <c r="GQ52">
        <v>0.74278250565987025</v>
      </c>
      <c r="GR52">
        <v>0.74278250565987025</v>
      </c>
      <c r="GS52">
        <v>10.602323143038944</v>
      </c>
      <c r="GT52">
        <v>7.6540700261467816</v>
      </c>
      <c r="GU52"/>
      <c r="GV52"/>
      <c r="GW52"/>
      <c r="GX52"/>
      <c r="GY52"/>
      <c r="GZ52"/>
      <c r="HA52"/>
      <c r="HB52"/>
      <c r="HC52"/>
    </row>
    <row r="53" spans="1:211" s="7" customFormat="1">
      <c r="A53" s="4"/>
      <c r="B53" s="36"/>
      <c r="C53" s="48" t="s">
        <v>39</v>
      </c>
      <c r="D53" s="49">
        <f t="shared" ref="D53:D61" si="27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0</v>
      </c>
      <c r="J53" s="49">
        <f t="shared" si="28"/>
        <v>0</v>
      </c>
      <c r="K53" s="49">
        <f t="shared" si="28"/>
        <v>0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53.182793541290174</v>
      </c>
      <c r="AO53">
        <v>6.2348010565094514</v>
      </c>
      <c r="AP53">
        <v>42.632599566058587</v>
      </c>
      <c r="AQ53">
        <v>43.121836245848307</v>
      </c>
      <c r="AR53">
        <v>6.3727984802240627</v>
      </c>
      <c r="AS53">
        <v>39.869061592868725</v>
      </c>
      <c r="AT53" t="e">
        <v>#DIV/0!</v>
      </c>
      <c r="AU53" t="e">
        <v>#DIV/0!</v>
      </c>
      <c r="AV53"/>
      <c r="AW53"/>
      <c r="FY53" s="211">
        <v>48</v>
      </c>
      <c r="FZ53">
        <v>12.26506288764228</v>
      </c>
      <c r="GA53">
        <v>12.595558033459689</v>
      </c>
      <c r="GB53">
        <v>8.4876673117827206</v>
      </c>
      <c r="GC53">
        <v>4.3435775000275791</v>
      </c>
      <c r="GD53">
        <v>1.2654967126105152</v>
      </c>
      <c r="GE53">
        <v>0.77805299000000006</v>
      </c>
      <c r="GF53">
        <v>2.4079473552838149</v>
      </c>
      <c r="GG53">
        <v>1.9999234154049559</v>
      </c>
      <c r="GH53">
        <v>6.4369671027045099</v>
      </c>
      <c r="GI53">
        <v>6.0768724813672206</v>
      </c>
      <c r="GJ53"/>
      <c r="GK53">
        <v>12.302870675237266</v>
      </c>
      <c r="GL53">
        <v>10.671973833527547</v>
      </c>
      <c r="GM53">
        <v>14.055767175512672</v>
      </c>
      <c r="GN53">
        <v>12.93516124962496</v>
      </c>
      <c r="GO53">
        <v>4.9154412616396153</v>
      </c>
      <c r="GP53">
        <v>1.4895833333333333</v>
      </c>
      <c r="GQ53">
        <v>2.9483732866582599</v>
      </c>
      <c r="GR53">
        <v>2.812956619991593</v>
      </c>
      <c r="GS53">
        <v>6.8621594814420019</v>
      </c>
      <c r="GT53">
        <v>8.2169223760979619</v>
      </c>
      <c r="GU53"/>
      <c r="GV53"/>
      <c r="GW53"/>
      <c r="GX53"/>
      <c r="GY53"/>
      <c r="GZ53"/>
      <c r="HA53"/>
      <c r="HB53"/>
      <c r="HC53"/>
    </row>
    <row r="54" spans="1:211" s="7" customFormat="1">
      <c r="A54" s="4"/>
      <c r="B54" s="36"/>
      <c r="C54" s="48" t="s">
        <v>40</v>
      </c>
      <c r="D54" s="49">
        <f t="shared" si="27"/>
        <v>2.5503315911148374</v>
      </c>
      <c r="E54" s="19">
        <f t="shared" ref="E54:E61" si="29">F376</f>
        <v>1.1041972018552414E-2</v>
      </c>
      <c r="F54" s="8"/>
      <c r="G54" s="49">
        <f>$E$54*$E$23*G39</f>
        <v>0.22209967526346291</v>
      </c>
      <c r="H54" s="49">
        <f t="shared" ref="H54:AK54" si="30">$E$54*$E$23*H39</f>
        <v>1.8945388059681212</v>
      </c>
      <c r="I54" s="49">
        <f t="shared" si="30"/>
        <v>0.43369310988325355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50.064676885579068</v>
      </c>
      <c r="AO54">
        <v>6.255425741466337</v>
      </c>
      <c r="AP54">
        <v>96.955427144645697</v>
      </c>
      <c r="AQ54">
        <v>44.362258216636263</v>
      </c>
      <c r="AR54">
        <v>6.593766029779772</v>
      </c>
      <c r="AS54">
        <v>43.749551511779437</v>
      </c>
      <c r="AT54" t="e">
        <v>#DIV/0!</v>
      </c>
      <c r="AU54" t="e">
        <v>#DIV/0!</v>
      </c>
      <c r="AV54"/>
      <c r="AW54"/>
      <c r="FY54" s="211">
        <v>49</v>
      </c>
      <c r="FZ54">
        <v>12.478007441004833</v>
      </c>
      <c r="GA54">
        <v>6.9066321456650543</v>
      </c>
      <c r="GB54">
        <v>3.7844742870201205</v>
      </c>
      <c r="GC54">
        <v>2.7491266233762799</v>
      </c>
      <c r="GD54">
        <v>2.0499477822772465</v>
      </c>
      <c r="GE54">
        <v>2.7032194548739499</v>
      </c>
      <c r="GF54">
        <v>1.7532871258461631</v>
      </c>
      <c r="GG54">
        <v>1.8998421515866333</v>
      </c>
      <c r="GH54">
        <v>5.2750216811682566</v>
      </c>
      <c r="GI54">
        <v>5.1049901193827196</v>
      </c>
      <c r="GJ54"/>
      <c r="GK54">
        <v>12.538327167081103</v>
      </c>
      <c r="GL54">
        <v>5.8522207390204928</v>
      </c>
      <c r="GM54">
        <v>6.3088304045206653</v>
      </c>
      <c r="GN54">
        <v>8.255612308746592</v>
      </c>
      <c r="GO54">
        <v>7.9577289406894112</v>
      </c>
      <c r="GP54">
        <v>5.1753167175961297</v>
      </c>
      <c r="GQ54">
        <v>2.1438404742827033</v>
      </c>
      <c r="GR54">
        <v>2.6704608446530735</v>
      </c>
      <c r="GS54">
        <v>5.6240673679221791</v>
      </c>
      <c r="GT54">
        <v>6.9145588708992127</v>
      </c>
      <c r="GU54"/>
      <c r="GV54"/>
      <c r="GW54"/>
      <c r="GX54"/>
      <c r="GY54"/>
      <c r="GZ54"/>
      <c r="HA54"/>
      <c r="HB54"/>
      <c r="HC54"/>
    </row>
    <row r="55" spans="1:211" s="7" customFormat="1">
      <c r="A55" s="4"/>
      <c r="B55" s="36"/>
      <c r="C55" s="48" t="s">
        <v>41</v>
      </c>
      <c r="D55" s="49">
        <f t="shared" si="27"/>
        <v>0</v>
      </c>
      <c r="E55" s="19">
        <f t="shared" si="29"/>
        <v>0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</v>
      </c>
      <c r="J55" s="49">
        <f t="shared" si="31"/>
        <v>0</v>
      </c>
      <c r="K55" s="49">
        <f t="shared" si="31"/>
        <v>0</v>
      </c>
      <c r="L55" s="49">
        <f t="shared" si="31"/>
        <v>0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49.539452468790003</v>
      </c>
      <c r="AO55">
        <v>6.0236334841754289</v>
      </c>
      <c r="AP55">
        <v>4.3343841541533514</v>
      </c>
      <c r="AQ55">
        <v>46.010930082769285</v>
      </c>
      <c r="AR55">
        <v>6.5555007067776776</v>
      </c>
      <c r="AS55">
        <v>39.22817739148428</v>
      </c>
      <c r="AT55">
        <v>5.1654730021719644</v>
      </c>
      <c r="AU55">
        <v>5.6681205852965402</v>
      </c>
      <c r="AV55"/>
      <c r="AW55"/>
      <c r="FY55" s="211">
        <v>50</v>
      </c>
      <c r="FZ55">
        <v>9.9466664061190606</v>
      </c>
      <c r="GA55">
        <v>7.2858242340422823</v>
      </c>
      <c r="GB55">
        <v>4.8828950814287468</v>
      </c>
      <c r="GC55">
        <v>2.2616941048129342</v>
      </c>
      <c r="GD55">
        <v>1.6030970865728262</v>
      </c>
      <c r="GE55">
        <v>2.4455525555882356</v>
      </c>
      <c r="GF55">
        <v>0</v>
      </c>
      <c r="GG55">
        <v>0</v>
      </c>
      <c r="GH55">
        <v>3.4691165043645324</v>
      </c>
      <c r="GI55">
        <v>4.1384712072533087</v>
      </c>
      <c r="GJ55"/>
      <c r="GK55">
        <v>10.016448112328801</v>
      </c>
      <c r="GL55">
        <v>6.1736762252420778</v>
      </c>
      <c r="GM55">
        <v>8.0859757211824608</v>
      </c>
      <c r="GN55">
        <v>6.7482502214903306</v>
      </c>
      <c r="GO55">
        <v>6.2361366581185882</v>
      </c>
      <c r="GP55">
        <v>4.6820131461675585</v>
      </c>
      <c r="GQ55">
        <v>0</v>
      </c>
      <c r="GR55">
        <v>0</v>
      </c>
      <c r="GS55">
        <v>3.6966315413238005</v>
      </c>
      <c r="GT55">
        <v>5.6070384065907319</v>
      </c>
      <c r="GU55"/>
      <c r="GV55"/>
      <c r="GW55"/>
      <c r="GX55"/>
      <c r="GY55"/>
      <c r="GZ55"/>
      <c r="HA55"/>
      <c r="HB55"/>
      <c r="HC55"/>
    </row>
    <row r="56" spans="1:211" s="7" customFormat="1">
      <c r="A56" s="4"/>
      <c r="B56" s="36"/>
      <c r="C56" s="48" t="s">
        <v>42</v>
      </c>
      <c r="D56" s="49">
        <f t="shared" si="27"/>
        <v>0</v>
      </c>
      <c r="E56" s="19">
        <f t="shared" si="29"/>
        <v>0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0</v>
      </c>
      <c r="J56" s="49">
        <f t="shared" si="32"/>
        <v>0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64.276081869708761</v>
      </c>
      <c r="AO56">
        <v>7.8799287063893901</v>
      </c>
      <c r="AP56">
        <v>5.0428092987541753</v>
      </c>
      <c r="AQ56">
        <v>53.695652149759844</v>
      </c>
      <c r="AR56">
        <v>8.0919176303553328</v>
      </c>
      <c r="AS56">
        <v>50.229770094908993</v>
      </c>
      <c r="AT56">
        <v>6.3979502959494949</v>
      </c>
      <c r="AU56">
        <v>1.946999284078565</v>
      </c>
      <c r="AV56"/>
      <c r="AW56"/>
      <c r="FY56" s="211">
        <v>51</v>
      </c>
      <c r="FZ56">
        <v>9.3347310762878557</v>
      </c>
      <c r="GA56">
        <v>12.830880267308054</v>
      </c>
      <c r="GB56">
        <v>7.9109375632733299</v>
      </c>
      <c r="GC56">
        <v>3.5104851360520772</v>
      </c>
      <c r="GD56">
        <v>1.9145171776031158</v>
      </c>
      <c r="GE56">
        <v>2.2953855651827246</v>
      </c>
      <c r="GF56">
        <v>3.7157650099962241</v>
      </c>
      <c r="GG56">
        <v>3.1386509817659167</v>
      </c>
      <c r="GH56">
        <v>6.0829236461236516</v>
      </c>
      <c r="GI56">
        <v>6.0623312604278601</v>
      </c>
      <c r="GJ56"/>
      <c r="GK56">
        <v>9.3687027067782811</v>
      </c>
      <c r="GL56">
        <v>10.87073974510727</v>
      </c>
      <c r="GM56">
        <v>13.176418020904849</v>
      </c>
      <c r="GN56">
        <v>10.603939373616864</v>
      </c>
      <c r="GO56">
        <v>7.4633240967784102</v>
      </c>
      <c r="GP56">
        <v>4.3945182724252492</v>
      </c>
      <c r="GQ56">
        <v>4.5509673889126878</v>
      </c>
      <c r="GR56">
        <v>4.4155507222460217</v>
      </c>
      <c r="GS56">
        <v>6.4839677603913639</v>
      </c>
      <c r="GT56">
        <v>8.2086759947531185</v>
      </c>
      <c r="GU56"/>
      <c r="GV56"/>
      <c r="GW56"/>
      <c r="GX56"/>
      <c r="GY56"/>
      <c r="GZ56"/>
      <c r="HA56"/>
      <c r="HB56"/>
      <c r="HC56"/>
    </row>
    <row r="57" spans="1:211" s="7" customFormat="1">
      <c r="A57" s="4"/>
      <c r="B57" s="36"/>
      <c r="C57" s="48" t="s">
        <v>118</v>
      </c>
      <c r="D57" s="49">
        <f t="shared" si="27"/>
        <v>0</v>
      </c>
      <c r="E57" s="19">
        <f t="shared" si="29"/>
        <v>0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0</v>
      </c>
      <c r="J57" s="49">
        <f t="shared" si="33"/>
        <v>0</v>
      </c>
      <c r="K57" s="49">
        <f t="shared" si="33"/>
        <v>0</v>
      </c>
      <c r="L57" s="49">
        <f t="shared" si="33"/>
        <v>0</v>
      </c>
      <c r="M57" s="49">
        <f t="shared" si="33"/>
        <v>0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49.986786983123096</v>
      </c>
      <c r="AO57">
        <v>6.1908671113990854</v>
      </c>
      <c r="AP57">
        <v>4.0914176200325763</v>
      </c>
      <c r="AQ57">
        <v>42.763460009980932</v>
      </c>
      <c r="AR57">
        <v>6.6039925676320648</v>
      </c>
      <c r="AS57">
        <v>40.344397125567426</v>
      </c>
      <c r="AT57">
        <v>5.2708454528329272</v>
      </c>
      <c r="AU57">
        <v>4.246359647481218</v>
      </c>
      <c r="AV57"/>
      <c r="AW57"/>
      <c r="FY57" s="211">
        <v>52</v>
      </c>
      <c r="FZ57">
        <v>19.096997814959856</v>
      </c>
      <c r="GA57">
        <v>11.582519034304292</v>
      </c>
      <c r="GB57">
        <v>5.1312297780997023</v>
      </c>
      <c r="GC57">
        <v>3.382625925500184</v>
      </c>
      <c r="GD57">
        <v>2.6421904604662565</v>
      </c>
      <c r="GE57">
        <v>4.0598814744537819</v>
      </c>
      <c r="GF57">
        <v>2.3752485773060066</v>
      </c>
      <c r="GG57">
        <v>2.0676729991572205</v>
      </c>
      <c r="GH57">
        <v>4.2779297185948604</v>
      </c>
      <c r="GI57">
        <v>6.7092723551831774</v>
      </c>
      <c r="GJ57"/>
      <c r="GK57">
        <v>19.184868675475904</v>
      </c>
      <c r="GL57">
        <v>9.8144956829831536</v>
      </c>
      <c r="GM57">
        <v>8.4985993908394875</v>
      </c>
      <c r="GN57">
        <v>10.086126851492027</v>
      </c>
      <c r="GO57">
        <v>10.263513808295041</v>
      </c>
      <c r="GP57">
        <v>7.7726476954418144</v>
      </c>
      <c r="GQ57">
        <v>2.9083043454344271</v>
      </c>
      <c r="GR57">
        <v>2.9083043454344271</v>
      </c>
      <c r="GS57">
        <v>4.5606224465934515</v>
      </c>
      <c r="GT57">
        <v>9.0831817333276632</v>
      </c>
      <c r="GU57"/>
      <c r="GV57"/>
      <c r="GW57"/>
      <c r="GX57"/>
      <c r="GY57"/>
      <c r="GZ57"/>
      <c r="HA57"/>
      <c r="HB57"/>
      <c r="HC57"/>
    </row>
    <row r="58" spans="1:211" s="7" customFormat="1">
      <c r="A58" s="4"/>
      <c r="B58" s="1"/>
      <c r="C58" s="48" t="s">
        <v>119</v>
      </c>
      <c r="D58" s="49">
        <f t="shared" si="27"/>
        <v>0</v>
      </c>
      <c r="E58" s="19">
        <f t="shared" si="29"/>
        <v>0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54.971613197728445</v>
      </c>
      <c r="AO58">
        <v>6.2826810075145421</v>
      </c>
      <c r="AP58">
        <v>75.196331834322066</v>
      </c>
      <c r="AQ58">
        <v>44.057088527237603</v>
      </c>
      <c r="AR58">
        <v>6.566261458219901</v>
      </c>
      <c r="AS58">
        <v>42.124902103816332</v>
      </c>
      <c r="AT58" t="e">
        <v>#DIV/0!</v>
      </c>
      <c r="AU58" t="e">
        <v>#DIV/0!</v>
      </c>
      <c r="AV58"/>
      <c r="AW58"/>
      <c r="FY58" s="211">
        <v>53</v>
      </c>
      <c r="FZ58">
        <v>14.0634447855728</v>
      </c>
      <c r="GA58">
        <v>15.158224746859249</v>
      </c>
      <c r="GB58">
        <v>7.606868458217483</v>
      </c>
      <c r="GC58">
        <v>3.2560408538390919</v>
      </c>
      <c r="GD58">
        <v>2.0638656039656835</v>
      </c>
      <c r="GE58">
        <v>3.30444221987395</v>
      </c>
      <c r="GF58">
        <v>2.4235453421912716</v>
      </c>
      <c r="GG58">
        <v>3.1837141949743142</v>
      </c>
      <c r="GH58">
        <v>4.308783206338501</v>
      </c>
      <c r="GI58">
        <v>6.2554615043596105</v>
      </c>
      <c r="GJ58"/>
      <c r="GK58">
        <v>14.114919512493008</v>
      </c>
      <c r="GL58">
        <v>12.842114810769319</v>
      </c>
      <c r="GM58">
        <v>12.637512668326123</v>
      </c>
      <c r="GN58">
        <v>9.770714030899283</v>
      </c>
      <c r="GO58">
        <v>8.0226693962138285</v>
      </c>
      <c r="GP58">
        <v>6.3263583842627966</v>
      </c>
      <c r="GQ58">
        <v>2.9651719960218337</v>
      </c>
      <c r="GR58">
        <v>4.4773247737996105</v>
      </c>
      <c r="GS58">
        <v>4.595997779220319</v>
      </c>
      <c r="GT58">
        <v>8.4672542704550224</v>
      </c>
      <c r="GU58"/>
      <c r="GV58"/>
      <c r="GW58"/>
      <c r="GX58"/>
      <c r="GY58"/>
      <c r="GZ58"/>
      <c r="HA58"/>
      <c r="HB58"/>
      <c r="HC58"/>
    </row>
    <row r="59" spans="1:211" s="7" customFormat="1">
      <c r="A59" s="4"/>
      <c r="B59" s="1"/>
      <c r="C59" s="48" t="s">
        <v>120</v>
      </c>
      <c r="D59" s="49">
        <f t="shared" si="27"/>
        <v>1.0235681756397927</v>
      </c>
      <c r="E59" s="19">
        <f t="shared" si="29"/>
        <v>7.0770549915557864E-3</v>
      </c>
      <c r="F59" s="8"/>
      <c r="G59" s="49">
        <f>$E$59*$E$28*G44</f>
        <v>0.13157686163248031</v>
      </c>
      <c r="H59" s="49">
        <f t="shared" ref="H59:AK59" si="35">$E$59*$E$28*H44</f>
        <v>0.89199131400731235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61.008368068941664</v>
      </c>
      <c r="AO59">
        <v>7.585911564923995</v>
      </c>
      <c r="AP59">
        <v>80.656356626886705</v>
      </c>
      <c r="AQ59">
        <v>55.035813788204649</v>
      </c>
      <c r="AR59">
        <v>8.2324038374681585</v>
      </c>
      <c r="AS59">
        <v>51.005978592409107</v>
      </c>
      <c r="AT59" t="e">
        <v>#DIV/0!</v>
      </c>
      <c r="AU59" t="e">
        <v>#DIV/0!</v>
      </c>
      <c r="AV59"/>
      <c r="AW59"/>
      <c r="FY59" s="211">
        <v>54</v>
      </c>
      <c r="FZ59">
        <v>10.634701027863551</v>
      </c>
      <c r="GA59">
        <v>11.927967746227399</v>
      </c>
      <c r="GB59">
        <v>8.0480761153760199</v>
      </c>
      <c r="GC59">
        <v>3.6250514274580521</v>
      </c>
      <c r="GD59">
        <v>2.5942979765975163</v>
      </c>
      <c r="GE59">
        <v>3.5182834221995316</v>
      </c>
      <c r="GF59">
        <v>2.4235453421912716</v>
      </c>
      <c r="GG59">
        <v>3.1837141949743142</v>
      </c>
      <c r="GH59">
        <v>5.5821319248935666</v>
      </c>
      <c r="GI59">
        <v>6.3608220604756687</v>
      </c>
      <c r="GJ59"/>
      <c r="GK59">
        <v>10.676850084037612</v>
      </c>
      <c r="GL59">
        <v>10.104143772186676</v>
      </c>
      <c r="GM59">
        <v>13.368732808819697</v>
      </c>
      <c r="GN59">
        <v>10.871776799355709</v>
      </c>
      <c r="GO59">
        <v>10.078564921471125</v>
      </c>
      <c r="GP59">
        <v>6.7357576090689983</v>
      </c>
      <c r="GQ59">
        <v>2.9651719960218337</v>
      </c>
      <c r="GR59">
        <v>4.4773247737996105</v>
      </c>
      <c r="GS59">
        <v>5.9515755124530099</v>
      </c>
      <c r="GT59">
        <v>8.6081790645606571</v>
      </c>
      <c r="GU59"/>
      <c r="GV59"/>
      <c r="GW59"/>
      <c r="GX59"/>
      <c r="GY59"/>
      <c r="GZ59"/>
      <c r="HA59"/>
      <c r="HB59"/>
      <c r="HC59"/>
    </row>
    <row r="60" spans="1:211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51.846354546043052</v>
      </c>
      <c r="AO60">
        <v>6.3482166663406172</v>
      </c>
      <c r="AP60">
        <v>2.9280513251547315</v>
      </c>
      <c r="AQ60">
        <v>46.989151102720697</v>
      </c>
      <c r="AR60">
        <v>6.786628152442896</v>
      </c>
      <c r="AS60">
        <v>42.25862854479788</v>
      </c>
      <c r="AT60">
        <v>5.4870843801884517</v>
      </c>
      <c r="AU60">
        <v>3.277243981401222</v>
      </c>
      <c r="AV60"/>
      <c r="AW60"/>
      <c r="FY60" s="211">
        <v>55</v>
      </c>
      <c r="FZ60">
        <v>13.398706062302253</v>
      </c>
      <c r="GA60">
        <v>11.334794798886763</v>
      </c>
      <c r="GB60">
        <v>4.0309249360757589</v>
      </c>
      <c r="GC60">
        <v>2.3736120033480748</v>
      </c>
      <c r="GD60">
        <v>1.9030145576682462</v>
      </c>
      <c r="GE60">
        <v>2.5152818526196992</v>
      </c>
      <c r="GF60">
        <v>2.4235453421912716</v>
      </c>
      <c r="GG60">
        <v>2.0611396168493146</v>
      </c>
      <c r="GH60">
        <v>4.96279885562328</v>
      </c>
      <c r="GI60">
        <v>5.2874590353147575</v>
      </c>
      <c r="GJ60"/>
      <c r="GK60">
        <v>13.448377706442171</v>
      </c>
      <c r="GL60">
        <v>9.6039523798172404</v>
      </c>
      <c r="GM60">
        <v>6.6720257136736407</v>
      </c>
      <c r="GN60">
        <v>7.0719032743784664</v>
      </c>
      <c r="GO60">
        <v>7.3880263543165938</v>
      </c>
      <c r="GP60">
        <v>4.8155099645566475</v>
      </c>
      <c r="GQ60">
        <v>2.9651719960218337</v>
      </c>
      <c r="GR60">
        <v>2.8974636626885006</v>
      </c>
      <c r="GS60">
        <v>5.2915795151041527</v>
      </c>
      <c r="GT60">
        <v>7.1530362571116797</v>
      </c>
      <c r="GU60"/>
      <c r="GV60"/>
      <c r="GW60"/>
      <c r="GX60"/>
      <c r="GY60"/>
      <c r="GZ60"/>
      <c r="HA60"/>
      <c r="HB60"/>
      <c r="HC60"/>
    </row>
    <row r="61" spans="1:211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60.665128612624493</v>
      </c>
      <c r="AO61">
        <v>6.7653159531613012</v>
      </c>
      <c r="AP61">
        <v>3.159469781012783</v>
      </c>
      <c r="AQ61">
        <v>51.542388332106007</v>
      </c>
      <c r="AR61">
        <v>7.342496700017441</v>
      </c>
      <c r="AS61">
        <v>47.891696773937333</v>
      </c>
      <c r="AT61">
        <v>5.8859284363610636</v>
      </c>
      <c r="AU61">
        <v>5.6095834830904483</v>
      </c>
      <c r="AV61"/>
      <c r="AW61"/>
      <c r="FY61" s="211">
        <v>56</v>
      </c>
      <c r="FZ61">
        <v>9.8252658651300706</v>
      </c>
      <c r="GA61">
        <v>8.0970488765717512</v>
      </c>
      <c r="GB61">
        <v>6.1609424042077245</v>
      </c>
      <c r="GC61">
        <v>3.6182337982770445</v>
      </c>
      <c r="GD61">
        <v>1.4025923065678294</v>
      </c>
      <c r="GE61">
        <v>1.3488445069767441</v>
      </c>
      <c r="GF61">
        <v>2.9054852902641883</v>
      </c>
      <c r="GG61">
        <v>2.5288790244013977</v>
      </c>
      <c r="GH61">
        <v>5.6680648467752137</v>
      </c>
      <c r="GI61">
        <v>5.1977237357800199</v>
      </c>
      <c r="GJ61"/>
      <c r="GK61">
        <v>9.875458082580753</v>
      </c>
      <c r="GL61">
        <v>6.8609176688968327</v>
      </c>
      <c r="GM61">
        <v>10.286224044497823</v>
      </c>
      <c r="GN61">
        <v>10.91339247551926</v>
      </c>
      <c r="GO61">
        <v>5.4572334301289738</v>
      </c>
      <c r="GP61">
        <v>2.5823643410852712</v>
      </c>
      <c r="GQ61">
        <v>3.555739125651463</v>
      </c>
      <c r="GR61">
        <v>3.555739125651463</v>
      </c>
      <c r="GS61">
        <v>6.0424506747934368</v>
      </c>
      <c r="GT61">
        <v>7.0434210715304895</v>
      </c>
      <c r="GU61"/>
      <c r="GV61"/>
      <c r="GW61"/>
      <c r="GX61"/>
      <c r="GY61"/>
      <c r="GZ61"/>
      <c r="HA61"/>
      <c r="HB61"/>
      <c r="HC61"/>
    </row>
    <row r="62" spans="1:211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43.405262823702039</v>
      </c>
      <c r="AO62">
        <v>5.2950799584148402</v>
      </c>
      <c r="AP62">
        <v>49.62789490012468</v>
      </c>
      <c r="AQ62">
        <v>33.639676595163557</v>
      </c>
      <c r="AR62">
        <v>5.65304659650816</v>
      </c>
      <c r="AS62">
        <v>38.016733041712435</v>
      </c>
      <c r="AT62" t="e">
        <v>#DIV/0!</v>
      </c>
      <c r="AU62" t="e">
        <v>#DIV/0!</v>
      </c>
      <c r="AV62"/>
      <c r="AW62"/>
      <c r="FY62" s="211">
        <v>57</v>
      </c>
      <c r="FZ62">
        <v>14.406928480052256</v>
      </c>
      <c r="GA62">
        <v>12.606503973829362</v>
      </c>
      <c r="GB62">
        <v>6.9748182636434368</v>
      </c>
      <c r="GC62">
        <v>3.5511260749398259</v>
      </c>
      <c r="GD62">
        <v>1.4478083452477037</v>
      </c>
      <c r="GE62">
        <v>1.5587537052941174</v>
      </c>
      <c r="GF62">
        <v>3.1024440487666012</v>
      </c>
      <c r="GG62">
        <v>2.6513114272901142</v>
      </c>
      <c r="GH62">
        <v>3.3006390365791387</v>
      </c>
      <c r="GI62">
        <v>5.7618126205463005</v>
      </c>
      <c r="GJ62"/>
      <c r="GK62">
        <v>14.475923809641117</v>
      </c>
      <c r="GL62">
        <v>10.681402916643522</v>
      </c>
      <c r="GM62">
        <v>11.591449130069757</v>
      </c>
      <c r="GN62">
        <v>10.657188611696224</v>
      </c>
      <c r="GO62">
        <v>5.6420378852207635</v>
      </c>
      <c r="GP62">
        <v>2.9842357397504453</v>
      </c>
      <c r="GQ62">
        <v>3.7924615443786109</v>
      </c>
      <c r="GR62">
        <v>3.7247532110452775</v>
      </c>
      <c r="GS62">
        <v>3.5187295694881247</v>
      </c>
      <c r="GT62">
        <v>7.8041203877596734</v>
      </c>
      <c r="GU62"/>
      <c r="GV62"/>
      <c r="GW62"/>
      <c r="GX62"/>
      <c r="GY62"/>
      <c r="GZ62"/>
      <c r="HA62"/>
      <c r="HB62"/>
      <c r="HC62"/>
    </row>
    <row r="63" spans="1:211" s="7" customFormat="1">
      <c r="A63" s="4"/>
      <c r="B63" s="1"/>
      <c r="C63" s="52" t="s">
        <v>53</v>
      </c>
      <c r="D63" s="53">
        <f>SUM(D52:D62)</f>
        <v>3.5738997667546304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55.876717316577825</v>
      </c>
      <c r="AO63">
        <v>6.6364023204647449</v>
      </c>
      <c r="AP63">
        <v>133.78715528433534</v>
      </c>
      <c r="AQ63">
        <v>53.401985394809984</v>
      </c>
      <c r="AR63">
        <v>7.6540700261467869</v>
      </c>
      <c r="AS63">
        <v>49.341938812126557</v>
      </c>
      <c r="AT63" t="e">
        <v>#DIV/0!</v>
      </c>
      <c r="AU63" t="e">
        <v>#DIV/0!</v>
      </c>
      <c r="AV63"/>
      <c r="AW63"/>
      <c r="FY63" s="211">
        <v>58</v>
      </c>
      <c r="FZ63">
        <v>13.543456526909802</v>
      </c>
      <c r="GA63">
        <v>10.829066842509061</v>
      </c>
      <c r="GB63">
        <v>5.3828476463212169</v>
      </c>
      <c r="GC63">
        <v>2.8901896743371074</v>
      </c>
      <c r="GD63">
        <v>0.94473761525</v>
      </c>
      <c r="GE63">
        <v>1.1771840692857143</v>
      </c>
      <c r="GF63">
        <v>1.9002661259103262</v>
      </c>
      <c r="GG63">
        <v>1.6064669739130433</v>
      </c>
      <c r="GH63">
        <v>3.684601756013195</v>
      </c>
      <c r="GI63">
        <v>4.8005942605721952</v>
      </c>
      <c r="GJ63"/>
      <c r="GK63">
        <v>13.600453850298729</v>
      </c>
      <c r="GL63">
        <v>9.1741292489554098</v>
      </c>
      <c r="GM63">
        <v>9.0320955755658439</v>
      </c>
      <c r="GN63">
        <v>8.7821351784780735</v>
      </c>
      <c r="GO63">
        <v>3.6630208333333334</v>
      </c>
      <c r="GP63">
        <v>2.2537202380952381</v>
      </c>
      <c r="GQ63">
        <v>2.3285778985507246</v>
      </c>
      <c r="GR63">
        <v>2.2608695652173911</v>
      </c>
      <c r="GS63">
        <v>3.9272843263189308</v>
      </c>
      <c r="GT63">
        <v>6.5102864968135128</v>
      </c>
      <c r="GU63"/>
      <c r="GV63"/>
      <c r="GW63"/>
      <c r="GX63"/>
      <c r="GY63"/>
      <c r="GZ63"/>
      <c r="HA63"/>
      <c r="HB63"/>
      <c r="HC63"/>
    </row>
    <row r="64" spans="1:211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69.213601434973796</v>
      </c>
      <c r="AO64">
        <v>7.7211209293065224</v>
      </c>
      <c r="AP64">
        <v>82.535230615972949</v>
      </c>
      <c r="AQ64">
        <v>56.657125790283281</v>
      </c>
      <c r="AR64">
        <v>8.2169223760979655</v>
      </c>
      <c r="AS64">
        <v>52.787948165131191</v>
      </c>
      <c r="AT64" t="e">
        <v>#DIV/0!</v>
      </c>
      <c r="AU64" t="e">
        <v>#DIV/0!</v>
      </c>
      <c r="AV64"/>
      <c r="AW64"/>
      <c r="FY64" s="211">
        <v>59</v>
      </c>
      <c r="FZ64">
        <v>8.8157033754064074</v>
      </c>
      <c r="GA64">
        <v>8.3085007852749282</v>
      </c>
      <c r="GB64">
        <v>4.9703437115553637</v>
      </c>
      <c r="GC64">
        <v>2.6005579421444955</v>
      </c>
      <c r="GD64">
        <v>1.2533382721157253</v>
      </c>
      <c r="GE64">
        <v>1.3910252716112961</v>
      </c>
      <c r="GF64">
        <v>2.3370951068138583</v>
      </c>
      <c r="GG64">
        <v>1.9387072139605979</v>
      </c>
      <c r="GH64">
        <v>3.6351752794074965</v>
      </c>
      <c r="GI64">
        <v>4.2414579595923065</v>
      </c>
      <c r="GJ64"/>
      <c r="GK64">
        <v>8.8555883466291707</v>
      </c>
      <c r="GL64">
        <v>7.0414025830717337</v>
      </c>
      <c r="GM64">
        <v>8.2309614077899163</v>
      </c>
      <c r="GN64">
        <v>7.7481615240019392</v>
      </c>
      <c r="GO64">
        <v>4.8690435907566245</v>
      </c>
      <c r="GP64">
        <v>2.6631194629014403</v>
      </c>
      <c r="GQ64">
        <v>2.8638662439613523</v>
      </c>
      <c r="GR64">
        <v>2.7284495772946857</v>
      </c>
      <c r="GS64">
        <v>3.8761135090954033</v>
      </c>
      <c r="GT64">
        <v>5.7391146196464913</v>
      </c>
      <c r="GU64"/>
      <c r="GV64"/>
      <c r="GW64"/>
      <c r="GX64"/>
      <c r="GY64"/>
      <c r="GZ64"/>
      <c r="HA64"/>
      <c r="HB64"/>
      <c r="HC64"/>
    </row>
    <row r="65" spans="1:211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51.010190082504806</v>
      </c>
      <c r="AO65">
        <v>6.3440963835411575</v>
      </c>
      <c r="AP65">
        <v>28.401528278169497</v>
      </c>
      <c r="AQ65">
        <v>44.704548812201253</v>
      </c>
      <c r="AR65">
        <v>6.9145588708992136</v>
      </c>
      <c r="AS65">
        <v>41.807252949510179</v>
      </c>
      <c r="AT65" t="e">
        <v>#DIV/0!</v>
      </c>
      <c r="AU65" t="e">
        <v>#DIV/0!</v>
      </c>
      <c r="AV65"/>
      <c r="AW65"/>
      <c r="FY65" s="211">
        <v>60</v>
      </c>
      <c r="FZ65">
        <v>14.036076036196842</v>
      </c>
      <c r="GA65">
        <v>10.039053567928665</v>
      </c>
      <c r="GB65">
        <v>5.6129370057786545</v>
      </c>
      <c r="GC65">
        <v>3.8882735447075651</v>
      </c>
      <c r="GD65">
        <v>2.726498967911489</v>
      </c>
      <c r="GE65">
        <v>4.3006290698192293</v>
      </c>
      <c r="GF65">
        <v>2.3043963288360505</v>
      </c>
      <c r="GG65">
        <v>2.006456797712862</v>
      </c>
      <c r="GH65">
        <v>2.8401828528958504</v>
      </c>
      <c r="GI65">
        <v>5.8924556541510045</v>
      </c>
      <c r="GJ65"/>
      <c r="GK65">
        <v>14.082896056579315</v>
      </c>
      <c r="GL65">
        <v>8.5077836215038953</v>
      </c>
      <c r="GM65">
        <v>9.4153482671476496</v>
      </c>
      <c r="GN65">
        <v>11.752469567598748</v>
      </c>
      <c r="GO65">
        <v>10.570680540743409</v>
      </c>
      <c r="GP65">
        <v>8.2335592402923101</v>
      </c>
      <c r="GQ65">
        <v>2.8237973027375198</v>
      </c>
      <c r="GR65">
        <v>2.8237973027375198</v>
      </c>
      <c r="GS65">
        <v>3.0262520725747759</v>
      </c>
      <c r="GT65">
        <v>7.9837948479565339</v>
      </c>
      <c r="GU65"/>
      <c r="GV65"/>
      <c r="GW65"/>
      <c r="GX65"/>
      <c r="GY65"/>
      <c r="GZ65"/>
      <c r="HA65"/>
      <c r="HB65"/>
      <c r="HC65"/>
    </row>
    <row r="66" spans="1:211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42.482438227058267</v>
      </c>
      <c r="AO66">
        <v>5.1246170032444347</v>
      </c>
      <c r="AP66">
        <v>44.93619782683357</v>
      </c>
      <c r="AQ66">
        <v>36.033317180181932</v>
      </c>
      <c r="AR66">
        <v>5.6070384065907311</v>
      </c>
      <c r="AS66">
        <v>32.429148268563878</v>
      </c>
      <c r="AT66" t="e">
        <v>#DIV/0!</v>
      </c>
      <c r="AU66" t="e">
        <v>#DIV/0!</v>
      </c>
      <c r="AV66"/>
      <c r="AW66"/>
      <c r="FY66" s="211">
        <v>61</v>
      </c>
      <c r="FZ66">
        <v>13.020319095343572</v>
      </c>
      <c r="GA66">
        <v>12.821332413651556</v>
      </c>
      <c r="GB66">
        <v>10.586419076733316</v>
      </c>
      <c r="GC66">
        <v>5.2455956173523965</v>
      </c>
      <c r="GD66">
        <v>2.4111199965721273</v>
      </c>
      <c r="GE66">
        <v>3.5089384724369754</v>
      </c>
      <c r="GF66">
        <v>2.2040311001041664</v>
      </c>
      <c r="GG66">
        <v>2.6193406822916665</v>
      </c>
      <c r="GH66">
        <v>7.4208860696491854</v>
      </c>
      <c r="GI66">
        <v>7.4850712742892398</v>
      </c>
      <c r="GJ66"/>
      <c r="GK66">
        <v>13.083975093119207</v>
      </c>
      <c r="GL66">
        <v>10.86272677156856</v>
      </c>
      <c r="GM66">
        <v>17.640297820129035</v>
      </c>
      <c r="GN66">
        <v>15.785871950536205</v>
      </c>
      <c r="GO66">
        <v>9.3588421385831033</v>
      </c>
      <c r="GP66">
        <v>6.7178666921313992</v>
      </c>
      <c r="GQ66">
        <v>2.7008101851851847</v>
      </c>
      <c r="GR66">
        <v>3.6863425925925921</v>
      </c>
      <c r="GS66">
        <v>7.913111604319397</v>
      </c>
      <c r="GT66">
        <v>10.139407368267186</v>
      </c>
      <c r="GU66"/>
      <c r="GV66"/>
      <c r="GW66"/>
      <c r="GX66"/>
      <c r="GY66"/>
      <c r="GZ66"/>
      <c r="HA66"/>
      <c r="HB66"/>
      <c r="HC66"/>
    </row>
    <row r="67" spans="1:211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66.874734379744083</v>
      </c>
      <c r="AO67">
        <v>7.9536804081914125</v>
      </c>
      <c r="AP67">
        <v>80.268482423869088</v>
      </c>
      <c r="AQ67">
        <v>56.796607684020813</v>
      </c>
      <c r="AR67">
        <v>8.2086759947531203</v>
      </c>
      <c r="AS67">
        <v>48.834660245226104</v>
      </c>
      <c r="AT67" t="e">
        <v>#DIV/0!</v>
      </c>
      <c r="AU67" t="e">
        <v>#DIV/0!</v>
      </c>
      <c r="AV67"/>
      <c r="AW67"/>
      <c r="FY67" s="211">
        <v>62</v>
      </c>
      <c r="FZ67">
        <v>11.931979950086475</v>
      </c>
      <c r="GA67">
        <v>8.772189797444252</v>
      </c>
      <c r="GB67">
        <v>5.3385279300443313</v>
      </c>
      <c r="GC67">
        <v>2.4917853100413856</v>
      </c>
      <c r="GD67">
        <v>1.6768593614428109</v>
      </c>
      <c r="GE67">
        <v>2.4916653242309947</v>
      </c>
      <c r="GF67">
        <v>2.4079473552838153</v>
      </c>
      <c r="GG67">
        <v>2.7483064674882898</v>
      </c>
      <c r="GH67">
        <v>4.7980416970198254</v>
      </c>
      <c r="GI67">
        <v>5.2338040928362641</v>
      </c>
      <c r="GJ67"/>
      <c r="GK67">
        <v>11.978868638409521</v>
      </c>
      <c r="GL67">
        <v>7.4317784943726339</v>
      </c>
      <c r="GM67">
        <v>8.8814577208967513</v>
      </c>
      <c r="GN67">
        <v>7.475460121947771</v>
      </c>
      <c r="GO67">
        <v>6.4986920102148593</v>
      </c>
      <c r="GP67">
        <v>4.7702960941247534</v>
      </c>
      <c r="GQ67">
        <v>2.9483732866582599</v>
      </c>
      <c r="GR67">
        <v>3.8661973607323343</v>
      </c>
      <c r="GS67">
        <v>5.1156630021007388</v>
      </c>
      <c r="GT67">
        <v>7.0846109316560248</v>
      </c>
      <c r="GU67"/>
      <c r="GV67"/>
      <c r="GW67"/>
      <c r="GX67"/>
      <c r="GY67"/>
      <c r="GZ67"/>
      <c r="HA67"/>
      <c r="HB67"/>
      <c r="HC67"/>
    </row>
    <row r="68" spans="1:211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70.373272661537342</v>
      </c>
      <c r="AO68">
        <v>8.5080664975317415</v>
      </c>
      <c r="AP68">
        <v>90.258389203869029</v>
      </c>
      <c r="AQ68">
        <v>61.325568138025332</v>
      </c>
      <c r="AR68">
        <v>9.0831817333276614</v>
      </c>
      <c r="AS68">
        <v>58.083387933717347</v>
      </c>
      <c r="AT68" t="e">
        <v>#DIV/0!</v>
      </c>
      <c r="AU68" t="e">
        <v>#DIV/0!</v>
      </c>
      <c r="AV68"/>
      <c r="AW68"/>
      <c r="FY68" s="211">
        <v>63</v>
      </c>
      <c r="FZ68">
        <v>16.20867302529998</v>
      </c>
      <c r="GA68">
        <v>11.625505224380813</v>
      </c>
      <c r="GB68">
        <v>5.7198281215908322</v>
      </c>
      <c r="GC68">
        <v>3.9698293324400917</v>
      </c>
      <c r="GD68">
        <v>1.4923388912931392</v>
      </c>
      <c r="GE68">
        <v>1.3219381139368771</v>
      </c>
      <c r="GF68">
        <v>1.223050412887982</v>
      </c>
      <c r="GG68">
        <v>1.0644446003007895</v>
      </c>
      <c r="GH68">
        <v>5.5915713825259798</v>
      </c>
      <c r="GI68">
        <v>5.7675770213687194</v>
      </c>
      <c r="GJ68"/>
      <c r="GK68">
        <v>16.270718982281309</v>
      </c>
      <c r="GL68">
        <v>9.8508591328124062</v>
      </c>
      <c r="GM68">
        <v>9.5153932312062395</v>
      </c>
      <c r="GN68">
        <v>11.89915320348319</v>
      </c>
      <c r="GO68">
        <v>5.8059510001097703</v>
      </c>
      <c r="GP68">
        <v>2.5308520210409746</v>
      </c>
      <c r="GQ68">
        <v>1.4964056940656674</v>
      </c>
      <c r="GR68">
        <v>1.4964056940656674</v>
      </c>
      <c r="GS68">
        <v>5.9585279347108919</v>
      </c>
      <c r="GT68">
        <v>7.809399368474776</v>
      </c>
      <c r="GU68"/>
      <c r="GV68"/>
      <c r="GW68"/>
      <c r="GX68"/>
      <c r="GY68"/>
      <c r="GZ68"/>
      <c r="HA68"/>
      <c r="HB68"/>
      <c r="HC68"/>
    </row>
    <row r="69" spans="1:211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71.210614482231108</v>
      </c>
      <c r="AO69">
        <v>8.4220037622461152</v>
      </c>
      <c r="AP69">
        <v>5.9274435296132619</v>
      </c>
      <c r="AQ69">
        <v>61.624390916191949</v>
      </c>
      <c r="AR69">
        <v>8.4672542704550224</v>
      </c>
      <c r="AS69">
        <v>54.182264480384397</v>
      </c>
      <c r="AT69">
        <v>6.7693602568038811</v>
      </c>
      <c r="AU69">
        <v>5.8403173677047278</v>
      </c>
      <c r="AV69"/>
      <c r="AW69"/>
      <c r="FY69" s="211">
        <v>64</v>
      </c>
      <c r="FZ69">
        <v>16.477136936220766</v>
      </c>
      <c r="GA69">
        <v>14.22040924357837</v>
      </c>
      <c r="GB69">
        <v>4.9731330849865421</v>
      </c>
      <c r="GC69">
        <v>2.9582139767675835</v>
      </c>
      <c r="GD69">
        <v>1.882817294024232</v>
      </c>
      <c r="GE69">
        <v>2.633129504230995</v>
      </c>
      <c r="GF69">
        <v>3.0090363167119532</v>
      </c>
      <c r="GG69">
        <v>2.8965371681351582</v>
      </c>
      <c r="GH69">
        <v>6.0268262924182556</v>
      </c>
      <c r="GI69">
        <v>6.2402504241640564</v>
      </c>
      <c r="GJ69"/>
      <c r="GK69">
        <v>16.534975204518595</v>
      </c>
      <c r="GL69">
        <v>12.049224132459489</v>
      </c>
      <c r="GM69">
        <v>8.2728729665892136</v>
      </c>
      <c r="GN69">
        <v>8.8804315460185386</v>
      </c>
      <c r="GO69">
        <v>7.3199486446221211</v>
      </c>
      <c r="GP69">
        <v>5.0411294274580873</v>
      </c>
      <c r="GQ69">
        <v>3.6803151095722031</v>
      </c>
      <c r="GR69">
        <v>4.0715188132759064</v>
      </c>
      <c r="GS69">
        <v>6.4261507012555112</v>
      </c>
      <c r="GT69">
        <v>8.4468525253115274</v>
      </c>
      <c r="GU69"/>
      <c r="GV69"/>
      <c r="GW69"/>
      <c r="GX69"/>
      <c r="GY69"/>
      <c r="GZ69"/>
      <c r="HA69"/>
      <c r="HB69"/>
      <c r="HC69"/>
    </row>
    <row r="70" spans="1:211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77.083333333333329</v>
      </c>
      <c r="E70" s="64"/>
      <c r="F70" s="64"/>
      <c r="G70" s="18">
        <f>AVERAGE(E228:E237)</f>
        <v>7.2916666666666661</v>
      </c>
      <c r="H70" s="18">
        <f t="shared" ref="H70:AK70" si="40">AVERAGE(F228:F237)</f>
        <v>61.458333333333336</v>
      </c>
      <c r="I70" s="18">
        <f t="shared" si="40"/>
        <v>8.3333333333333321</v>
      </c>
      <c r="J70" s="18">
        <f t="shared" si="40"/>
        <v>0</v>
      </c>
      <c r="K70" s="18">
        <f t="shared" si="40"/>
        <v>0</v>
      </c>
      <c r="L70" s="18">
        <f t="shared" si="40"/>
        <v>0</v>
      </c>
      <c r="M70" s="18">
        <f t="shared" si="40"/>
        <v>0</v>
      </c>
      <c r="N70" s="18">
        <f t="shared" si="40"/>
        <v>0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70.928139882892083</v>
      </c>
      <c r="AO70">
        <v>8.3838077341774913</v>
      </c>
      <c r="AP70">
        <v>5.3054603772577744</v>
      </c>
      <c r="AQ70">
        <v>57.898591238256891</v>
      </c>
      <c r="AR70">
        <v>8.6081790645606553</v>
      </c>
      <c r="AS70">
        <v>54.261964188430461</v>
      </c>
      <c r="AT70">
        <v>6.9090733952166525</v>
      </c>
      <c r="AU70">
        <v>6.004404797104046</v>
      </c>
      <c r="AV70"/>
      <c r="AW70"/>
      <c r="FY70" s="211">
        <v>65</v>
      </c>
      <c r="FZ70">
        <v>12.713417554666346</v>
      </c>
      <c r="GA70">
        <v>13.23440834209563</v>
      </c>
      <c r="GB70">
        <v>6.6091526505536438</v>
      </c>
      <c r="GC70">
        <v>2.9751028218363653</v>
      </c>
      <c r="GD70">
        <v>1.696021134994885</v>
      </c>
      <c r="GE70">
        <v>2.3502011442309954</v>
      </c>
      <c r="GF70">
        <v>2.4235453421912716</v>
      </c>
      <c r="GG70">
        <v>2.4353311428909818</v>
      </c>
      <c r="GH70">
        <v>6.8979099539117783</v>
      </c>
      <c r="GI70">
        <v>6.0052774932641171</v>
      </c>
      <c r="GJ70"/>
      <c r="GK70">
        <v>12.751175548458155</v>
      </c>
      <c r="GL70">
        <v>11.212844238723401</v>
      </c>
      <c r="GM70">
        <v>10.945708637108716</v>
      </c>
      <c r="GN70">
        <v>8.8639403280004405</v>
      </c>
      <c r="GO70">
        <v>6.5861971358145555</v>
      </c>
      <c r="GP70">
        <v>4.4994627607914213</v>
      </c>
      <c r="GQ70">
        <v>2.9651719960218337</v>
      </c>
      <c r="GR70">
        <v>3.4240840330588713</v>
      </c>
      <c r="GS70">
        <v>7.3528425995107582</v>
      </c>
      <c r="GT70">
        <v>8.1202191833828046</v>
      </c>
      <c r="GU70"/>
      <c r="GV70"/>
      <c r="GW70"/>
      <c r="GX70"/>
      <c r="GY70"/>
      <c r="GZ70"/>
      <c r="HA70"/>
      <c r="HB70"/>
      <c r="HC70"/>
    </row>
    <row r="71" spans="1:211" s="7" customFormat="1">
      <c r="A71" s="4"/>
      <c r="B71" s="66"/>
      <c r="C71" s="71">
        <f t="shared" si="38"/>
        <v>39673</v>
      </c>
      <c r="D71" s="72">
        <f t="shared" si="39"/>
        <v>33.630952380952387</v>
      </c>
      <c r="E71" s="64"/>
      <c r="F71" s="64"/>
      <c r="G71" s="18">
        <f>AVERAGE(E238:E247)</f>
        <v>3.125</v>
      </c>
      <c r="H71" s="18">
        <f t="shared" ref="H71:AK71" si="41">AVERAGE(F238:F247)</f>
        <v>30.505952380952387</v>
      </c>
      <c r="I71" s="18">
        <f t="shared" si="41"/>
        <v>0</v>
      </c>
      <c r="J71" s="18">
        <f t="shared" si="41"/>
        <v>0</v>
      </c>
      <c r="K71" s="18">
        <f t="shared" si="41"/>
        <v>0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58.527697769028613</v>
      </c>
      <c r="AO71">
        <v>6.7307046824110923</v>
      </c>
      <c r="AP71">
        <v>64.238987045754797</v>
      </c>
      <c r="AQ71">
        <v>50.291277060879409</v>
      </c>
      <c r="AR71">
        <v>7.1530362571116806</v>
      </c>
      <c r="AS71">
        <v>44.677596464530446</v>
      </c>
      <c r="AT71" t="e">
        <v>#DIV/0!</v>
      </c>
      <c r="AU71" t="e">
        <v>#DIV/0!</v>
      </c>
      <c r="AV71"/>
      <c r="AW71"/>
      <c r="FY71" s="211">
        <v>66</v>
      </c>
      <c r="FZ71">
        <v>11.249811855527694</v>
      </c>
      <c r="GA71">
        <v>11.821859113186065</v>
      </c>
      <c r="GB71">
        <v>5.3436410195236572</v>
      </c>
      <c r="GC71">
        <v>2.9493118801263538</v>
      </c>
      <c r="GD71">
        <v>2.5912252465829946</v>
      </c>
      <c r="GE71">
        <v>3.9796869395251133</v>
      </c>
      <c r="GF71">
        <v>1.2074524259805255</v>
      </c>
      <c r="GG71">
        <v>1.003228398856431</v>
      </c>
      <c r="GH71">
        <v>2.4619581548878231</v>
      </c>
      <c r="GI71">
        <v>5.070406529207256</v>
      </c>
      <c r="GJ71"/>
      <c r="GK71">
        <v>11.286516648031821</v>
      </c>
      <c r="GL71">
        <v>10.016690064679691</v>
      </c>
      <c r="GM71">
        <v>8.8503980186681428</v>
      </c>
      <c r="GN71">
        <v>8.7818326417104533</v>
      </c>
      <c r="GO71">
        <v>10.045441101444062</v>
      </c>
      <c r="GP71">
        <v>7.619115167208534</v>
      </c>
      <c r="GQ71">
        <v>1.4796069847020934</v>
      </c>
      <c r="GR71">
        <v>1.4118986513687599</v>
      </c>
      <c r="GS71">
        <v>2.6255210810317191</v>
      </c>
      <c r="GT71">
        <v>6.8574967667755669</v>
      </c>
      <c r="GU71"/>
      <c r="GV71"/>
      <c r="GW71"/>
      <c r="GX71"/>
      <c r="GY71"/>
      <c r="GZ71"/>
      <c r="HA71"/>
      <c r="HB71"/>
      <c r="HC71"/>
    </row>
    <row r="72" spans="1:211" s="7" customFormat="1">
      <c r="A72" s="4"/>
      <c r="B72" s="66"/>
      <c r="C72" s="71">
        <f t="shared" si="38"/>
        <v>39714</v>
      </c>
      <c r="D72" s="72">
        <f t="shared" si="39"/>
        <v>49.702380952380949</v>
      </c>
      <c r="E72" s="64"/>
      <c r="F72" s="64"/>
      <c r="G72" s="18">
        <f>AVERAGE(E248:E257)</f>
        <v>19.345238095238095</v>
      </c>
      <c r="H72" s="18">
        <f t="shared" ref="H72:AK72" si="42">AVERAGE(F248:F257)</f>
        <v>30.357142857142854</v>
      </c>
      <c r="I72" s="18">
        <f t="shared" si="42"/>
        <v>0</v>
      </c>
      <c r="J72" s="18">
        <f t="shared" si="42"/>
        <v>0</v>
      </c>
      <c r="K72" s="18">
        <f t="shared" si="42"/>
        <v>0</v>
      </c>
      <c r="L72" s="18">
        <f t="shared" si="42"/>
        <v>0</v>
      </c>
      <c r="M72" s="18">
        <f t="shared" si="42"/>
        <v>0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52.475970389943669</v>
      </c>
      <c r="AO72">
        <v>6.6172940040335773</v>
      </c>
      <c r="AP72">
        <v>115.97958146123909</v>
      </c>
      <c r="AQ72">
        <v>46.753080654951987</v>
      </c>
      <c r="AR72">
        <v>7.0434210715304921</v>
      </c>
      <c r="AS72">
        <v>44.281641471000562</v>
      </c>
      <c r="AT72" t="e">
        <v>#DIV/0!</v>
      </c>
      <c r="AU72" t="e">
        <v>#DIV/0!</v>
      </c>
      <c r="AV72"/>
      <c r="AW72"/>
      <c r="FY72" s="211">
        <v>67</v>
      </c>
      <c r="FZ72">
        <v>8.0408028563654881</v>
      </c>
      <c r="GA72">
        <v>5.1020330026697653</v>
      </c>
      <c r="GB72">
        <v>4.5985474233472905</v>
      </c>
      <c r="GC72">
        <v>2.6746853004748847</v>
      </c>
      <c r="GD72">
        <v>2.1907698032707335</v>
      </c>
      <c r="GE72">
        <v>3.1029926735167099</v>
      </c>
      <c r="GF72">
        <v>1.6115826289062498</v>
      </c>
      <c r="GG72">
        <v>1.40321822265625</v>
      </c>
      <c r="GH72">
        <v>5.8869232557438949</v>
      </c>
      <c r="GI72">
        <v>4.7981334397750022</v>
      </c>
      <c r="GJ72"/>
      <c r="GK72">
        <v>8.088103888021843</v>
      </c>
      <c r="GL72">
        <v>4.3222872839877731</v>
      </c>
      <c r="GM72">
        <v>7.6542886774884193</v>
      </c>
      <c r="GN72">
        <v>8.0224709082374606</v>
      </c>
      <c r="GO72">
        <v>8.4935037040996626</v>
      </c>
      <c r="GP72">
        <v>5.9406829988866594</v>
      </c>
      <c r="GQ72">
        <v>1.9748263888888886</v>
      </c>
      <c r="GR72">
        <v>1.9748263888888886</v>
      </c>
      <c r="GS72">
        <v>6.2753301435424609</v>
      </c>
      <c r="GT72">
        <v>6.4972105604082557</v>
      </c>
      <c r="GU72"/>
      <c r="GV72"/>
      <c r="GW72"/>
      <c r="GX72"/>
      <c r="GY72"/>
      <c r="GZ72"/>
      <c r="HA72"/>
      <c r="HB72"/>
      <c r="HC72"/>
    </row>
    <row r="73" spans="1:211" s="7" customFormat="1">
      <c r="A73" s="4"/>
      <c r="B73" s="66"/>
      <c r="C73" s="71">
        <f t="shared" si="38"/>
        <v>39747</v>
      </c>
      <c r="D73" s="72">
        <f t="shared" si="39"/>
        <v>79.979302540278155</v>
      </c>
      <c r="E73" s="64"/>
      <c r="F73" s="64"/>
      <c r="G73" s="18">
        <f>AVERAGE(E258:E267)</f>
        <v>13.950892857142858</v>
      </c>
      <c r="H73" s="18">
        <f t="shared" ref="H73:AK73" si="43">AVERAGE(F258:F267)</f>
        <v>59.51799301646863</v>
      </c>
      <c r="I73" s="18">
        <f t="shared" si="43"/>
        <v>6.510416666666667</v>
      </c>
      <c r="J73" s="18">
        <f t="shared" si="43"/>
        <v>0</v>
      </c>
      <c r="K73" s="18">
        <f t="shared" si="43"/>
        <v>0</v>
      </c>
      <c r="L73" s="18">
        <f t="shared" si="43"/>
        <v>0</v>
      </c>
      <c r="M73" s="18">
        <f t="shared" si="43"/>
        <v>0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63.671109220405903</v>
      </c>
      <c r="AO73">
        <v>7.4872302805693511</v>
      </c>
      <c r="AP73">
        <v>43.958341738771125</v>
      </c>
      <c r="AQ73">
        <v>55.362145976188849</v>
      </c>
      <c r="AR73">
        <v>7.8041203877596734</v>
      </c>
      <c r="AS73">
        <v>50.554556180519832</v>
      </c>
      <c r="AT73" t="e">
        <v>#DIV/0!</v>
      </c>
      <c r="AU73" t="e">
        <v>#DIV/0!</v>
      </c>
      <c r="AV73"/>
      <c r="AW73"/>
      <c r="FY73" s="211">
        <v>68</v>
      </c>
      <c r="FZ73">
        <v>10.349223080018216</v>
      </c>
      <c r="GA73">
        <v>7.480278430097357</v>
      </c>
      <c r="GB73">
        <v>4.5894543690304923</v>
      </c>
      <c r="GC73">
        <v>2.6697522710617592</v>
      </c>
      <c r="GD73">
        <v>3.1742913327347742</v>
      </c>
      <c r="GE73">
        <v>5.1857829877877659</v>
      </c>
      <c r="GF73">
        <v>1.223050412887982</v>
      </c>
      <c r="GG73">
        <v>1.8128276523841229</v>
      </c>
      <c r="GH73">
        <v>5.6157310175544115</v>
      </c>
      <c r="GI73">
        <v>5.5909317529047637</v>
      </c>
      <c r="GJ73"/>
      <c r="GK73">
        <v>10.403112072568787</v>
      </c>
      <c r="GL73">
        <v>6.3389718180545147</v>
      </c>
      <c r="GM73">
        <v>7.6774138177893327</v>
      </c>
      <c r="GN73">
        <v>8.062970870927689</v>
      </c>
      <c r="GO73">
        <v>12.306900984259082</v>
      </c>
      <c r="GP73">
        <v>9.9281874219032211</v>
      </c>
      <c r="GQ73">
        <v>1.4964056940656674</v>
      </c>
      <c r="GR73">
        <v>2.5496464348064078</v>
      </c>
      <c r="GS73">
        <v>5.9863352413791997</v>
      </c>
      <c r="GT73">
        <v>7.5740335620124126</v>
      </c>
      <c r="GU73"/>
      <c r="GV73"/>
      <c r="GW73"/>
      <c r="GX73"/>
      <c r="GY73"/>
      <c r="GZ73"/>
      <c r="HA73"/>
      <c r="HB73"/>
      <c r="HC73"/>
    </row>
    <row r="74" spans="1:211" s="7" customFormat="1">
      <c r="A74" s="4"/>
      <c r="B74" s="66"/>
      <c r="C74" s="71">
        <f t="shared" si="38"/>
        <v>39775</v>
      </c>
      <c r="D74" s="72">
        <f t="shared" si="39"/>
        <v>27.827380952380956</v>
      </c>
      <c r="E74" s="64"/>
      <c r="F74" s="64"/>
      <c r="G74" s="18">
        <f>AVERAGE(E268:E277)</f>
        <v>0</v>
      </c>
      <c r="H74" s="18">
        <f t="shared" ref="H74:AK74" si="44">AVERAGE(F268:F277)</f>
        <v>27.827380952380956</v>
      </c>
      <c r="I74" s="18">
        <f t="shared" si="44"/>
        <v>0</v>
      </c>
      <c r="J74" s="18">
        <f t="shared" si="44"/>
        <v>0</v>
      </c>
      <c r="K74" s="18">
        <f t="shared" si="44"/>
        <v>0</v>
      </c>
      <c r="L74" s="18">
        <f t="shared" si="44"/>
        <v>0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48.473440661768045</v>
      </c>
      <c r="AO74">
        <v>6.1532573211627195</v>
      </c>
      <c r="AP74">
        <v>51.13158714975517</v>
      </c>
      <c r="AQ74">
        <v>46.759411491021666</v>
      </c>
      <c r="AR74">
        <v>6.5102864968135101</v>
      </c>
      <c r="AS74">
        <v>36.419746693613497</v>
      </c>
      <c r="AT74" t="e">
        <v>#DIV/0!</v>
      </c>
      <c r="AU74" t="e">
        <v>#DIV/0!</v>
      </c>
      <c r="AV74"/>
      <c r="AW74"/>
      <c r="FY74" s="211">
        <v>69</v>
      </c>
      <c r="FZ74">
        <v>10.30199760449986</v>
      </c>
      <c r="GA74">
        <v>7.5254535590830987</v>
      </c>
      <c r="GB74">
        <v>4.7959587591877169</v>
      </c>
      <c r="GC74">
        <v>3.5265900326658555</v>
      </c>
      <c r="GD74">
        <v>2.0793791693836905</v>
      </c>
      <c r="GE74">
        <v>2.4631139988655466</v>
      </c>
      <c r="GF74">
        <v>2.9520990615964671</v>
      </c>
      <c r="GG74">
        <v>2.4741962052649451</v>
      </c>
      <c r="GH74">
        <v>5.5647303436550084</v>
      </c>
      <c r="GI74">
        <v>5.3105722891918283</v>
      </c>
      <c r="GJ74"/>
      <c r="GK74">
        <v>10.343820377917337</v>
      </c>
      <c r="GL74">
        <v>6.3774187583133477</v>
      </c>
      <c r="GM74">
        <v>7.9872300317039793</v>
      </c>
      <c r="GN74">
        <v>10.565283513287723</v>
      </c>
      <c r="GO74">
        <v>8.0616100163920219</v>
      </c>
      <c r="GP74">
        <v>4.715634549274256</v>
      </c>
      <c r="GQ74">
        <v>3.6174894323671491</v>
      </c>
      <c r="GR74">
        <v>3.4820727657004826</v>
      </c>
      <c r="GS74">
        <v>5.9339074309487652</v>
      </c>
      <c r="GT74">
        <v>7.1888114578658495</v>
      </c>
      <c r="GU74"/>
      <c r="GV74"/>
      <c r="GW74"/>
      <c r="GX74"/>
      <c r="GY74"/>
      <c r="GZ74"/>
      <c r="HA74"/>
      <c r="HB74"/>
      <c r="HC74"/>
    </row>
    <row r="75" spans="1:211" s="7" customFormat="1">
      <c r="A75" s="4"/>
      <c r="B75" s="66"/>
      <c r="C75" s="71">
        <f t="shared" si="38"/>
        <v>39799</v>
      </c>
      <c r="D75" s="72">
        <f t="shared" si="39"/>
        <v>59.799054399772594</v>
      </c>
      <c r="E75" s="64"/>
      <c r="F75" s="64"/>
      <c r="G75" s="18">
        <f>AVERAGE(E278:E287)</f>
        <v>0</v>
      </c>
      <c r="H75" s="18">
        <f t="shared" ref="H75:AK75" si="45">AVERAGE(F278:F287)</f>
        <v>59.799054399772594</v>
      </c>
      <c r="I75" s="18">
        <f t="shared" si="45"/>
        <v>0</v>
      </c>
      <c r="J75" s="18">
        <f t="shared" si="45"/>
        <v>0</v>
      </c>
      <c r="K75" s="18">
        <f t="shared" si="45"/>
        <v>0</v>
      </c>
      <c r="L75" s="18">
        <f t="shared" si="45"/>
        <v>0</v>
      </c>
      <c r="M75" s="18">
        <f t="shared" si="45"/>
        <v>0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45.954106478776019</v>
      </c>
      <c r="AO75">
        <v>5.4615820865148761</v>
      </c>
      <c r="AP75">
        <v>46.92614616375122</v>
      </c>
      <c r="AQ75">
        <v>39.491904917882479</v>
      </c>
      <c r="AR75">
        <v>5.7391146196464922</v>
      </c>
      <c r="AS75">
        <v>35.465326646462174</v>
      </c>
      <c r="AT75" t="e">
        <v>#DIV/0!</v>
      </c>
      <c r="AU75" t="e">
        <v>#DIV/0!</v>
      </c>
      <c r="AV75"/>
      <c r="AW75"/>
      <c r="FY75" s="211">
        <v>70</v>
      </c>
      <c r="FZ75">
        <v>20.041475743600188</v>
      </c>
      <c r="GA75">
        <v>15.771341608644228</v>
      </c>
      <c r="GB75">
        <v>4.8139299135749445</v>
      </c>
      <c r="GC75">
        <v>3.318317777909797</v>
      </c>
      <c r="GD75">
        <v>1.5232091810281889</v>
      </c>
      <c r="GE75">
        <v>1.7093196766112955</v>
      </c>
      <c r="GF75">
        <v>2.3043963288360505</v>
      </c>
      <c r="GG75">
        <v>2.7548398497961957</v>
      </c>
      <c r="GH75">
        <v>5.864595866066467</v>
      </c>
      <c r="GI75">
        <v>6.3776570709418223</v>
      </c>
      <c r="GJ75"/>
      <c r="GK75">
        <v>20.104726673664373</v>
      </c>
      <c r="GL75">
        <v>13.364032942083366</v>
      </c>
      <c r="GM75">
        <v>8.1306966729858363</v>
      </c>
      <c r="GN75">
        <v>10.135051743896804</v>
      </c>
      <c r="GO75">
        <v>5.9256440372083308</v>
      </c>
      <c r="GP75">
        <v>3.2724944629014394</v>
      </c>
      <c r="GQ75">
        <v>2.8237973027375198</v>
      </c>
      <c r="GR75">
        <v>3.8770380434782603</v>
      </c>
      <c r="GS75">
        <v>6.253070729160128</v>
      </c>
      <c r="GT75">
        <v>8.6475870831512385</v>
      </c>
      <c r="GU75"/>
      <c r="GV75"/>
      <c r="GW75"/>
      <c r="GX75"/>
      <c r="GY75"/>
      <c r="GZ75"/>
      <c r="HA75"/>
      <c r="HB75"/>
      <c r="HC75"/>
    </row>
    <row r="76" spans="1:211" s="7" customFormat="1">
      <c r="A76" s="4"/>
      <c r="B76" s="66"/>
      <c r="C76" s="71">
        <f t="shared" si="38"/>
        <v>39847</v>
      </c>
      <c r="D76" s="72">
        <f>SUM(G76:AK76)</f>
        <v>1.0416666666666665</v>
      </c>
      <c r="E76" s="64"/>
      <c r="F76" s="64"/>
      <c r="G76" s="18">
        <f>AVERAGE(E288:E297)</f>
        <v>0</v>
      </c>
      <c r="H76" s="18">
        <f t="shared" ref="H76:AK76" si="46">AVERAGE(F288:F297)</f>
        <v>1.0416666666666665</v>
      </c>
      <c r="I76" s="18">
        <f t="shared" si="46"/>
        <v>0</v>
      </c>
      <c r="J76" s="18">
        <f t="shared" si="46"/>
        <v>0</v>
      </c>
      <c r="K76" s="18">
        <f t="shared" si="46"/>
        <v>0</v>
      </c>
      <c r="L76" s="18">
        <f t="shared" si="46"/>
        <v>0</v>
      </c>
      <c r="M76" s="18">
        <f t="shared" si="46"/>
        <v>0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61.267029712624414</v>
      </c>
      <c r="AO76">
        <v>7.9220378819871673</v>
      </c>
      <c r="AP76">
        <v>180.30788735511601</v>
      </c>
      <c r="AQ76">
        <v>53.646959825938218</v>
      </c>
      <c r="AR76">
        <v>7.9837948479565313</v>
      </c>
      <c r="AS76">
        <v>51.365070478702584</v>
      </c>
      <c r="AT76" t="e">
        <v>#DIV/0!</v>
      </c>
      <c r="AU76" t="e">
        <v>#DIV/0!</v>
      </c>
      <c r="AV76"/>
      <c r="AW76"/>
      <c r="FY76" s="211">
        <v>71</v>
      </c>
      <c r="FZ76">
        <v>10.041562510956766</v>
      </c>
      <c r="GA76">
        <v>9.3930543489605771</v>
      </c>
      <c r="GB76">
        <v>5.6144749647131693</v>
      </c>
      <c r="GC76">
        <v>2.8657886054376061</v>
      </c>
      <c r="GD76">
        <v>1.3087220066059853</v>
      </c>
      <c r="GE76">
        <v>1.57796008089701</v>
      </c>
      <c r="GF76">
        <v>2.2818408452513586</v>
      </c>
      <c r="GG76">
        <v>2.6870902660439313</v>
      </c>
      <c r="GH76">
        <v>5.2537143238546724</v>
      </c>
      <c r="GI76">
        <v>4.8652268508758878</v>
      </c>
      <c r="GJ76"/>
      <c r="GK76">
        <v>10.088367866492792</v>
      </c>
      <c r="GL76">
        <v>7.9580170455136434</v>
      </c>
      <c r="GM76">
        <v>9.4140132737325537</v>
      </c>
      <c r="GN76">
        <v>8.7164548682898779</v>
      </c>
      <c r="GO76">
        <v>5.0845264569721937</v>
      </c>
      <c r="GP76">
        <v>3.0210063676633445</v>
      </c>
      <c r="GQ76">
        <v>2.7961579106280188</v>
      </c>
      <c r="GR76">
        <v>3.7816903180354262</v>
      </c>
      <c r="GS76">
        <v>5.6041234134161577</v>
      </c>
      <c r="GT76">
        <v>6.5974377842483438</v>
      </c>
      <c r="GU76"/>
      <c r="GV76"/>
      <c r="GW76"/>
      <c r="GX76"/>
      <c r="GY76"/>
      <c r="GZ76"/>
      <c r="HA76"/>
      <c r="HB76"/>
      <c r="HC76"/>
    </row>
    <row r="77" spans="1:211" s="7" customFormat="1">
      <c r="A77" s="4"/>
      <c r="B77" s="66"/>
      <c r="C77" s="71">
        <f t="shared" si="38"/>
        <v>39910</v>
      </c>
      <c r="D77" s="72">
        <f>SUM(G77:AK77)</f>
        <v>73.804851046698872</v>
      </c>
      <c r="E77" s="64"/>
      <c r="F77" s="64"/>
      <c r="G77" s="18">
        <f>AVERAGE(E298:E307)</f>
        <v>26.041666666666668</v>
      </c>
      <c r="H77" s="18">
        <f t="shared" ref="H77:AK77" si="47">AVERAGE(F298:F307)</f>
        <v>47.7631843800322</v>
      </c>
      <c r="I77" s="18">
        <f t="shared" si="47"/>
        <v>0</v>
      </c>
      <c r="J77" s="18">
        <f t="shared" si="47"/>
        <v>0</v>
      </c>
      <c r="K77" s="18">
        <f t="shared" si="47"/>
        <v>0</v>
      </c>
      <c r="L77" s="18">
        <f t="shared" si="47"/>
        <v>0</v>
      </c>
      <c r="M77" s="18">
        <f t="shared" si="47"/>
        <v>0</v>
      </c>
      <c r="N77" s="18">
        <f t="shared" si="47"/>
        <v>0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82.610183055100734</v>
      </c>
      <c r="AO77">
        <v>9.7889252216431863</v>
      </c>
      <c r="AP77">
        <v>5.784992981618883</v>
      </c>
      <c r="AQ77">
        <v>67.323053798424198</v>
      </c>
      <c r="AR77">
        <v>10.139407368267186</v>
      </c>
      <c r="AS77">
        <v>59.4800970918308</v>
      </c>
      <c r="AT77">
        <v>7.9993293861220485</v>
      </c>
      <c r="AU77">
        <v>3.4867137244271724</v>
      </c>
      <c r="AV77"/>
      <c r="AW77"/>
      <c r="FY77" s="211">
        <v>72</v>
      </c>
      <c r="FZ77">
        <v>15.407075705399931</v>
      </c>
      <c r="GA77">
        <v>12.534964540755112</v>
      </c>
      <c r="GB77">
        <v>4.8202547845128976</v>
      </c>
      <c r="GC77">
        <v>2.6265256182780372</v>
      </c>
      <c r="GD77">
        <v>1.0377877020097404</v>
      </c>
      <c r="GE77">
        <v>0.88415112500000004</v>
      </c>
      <c r="GF77">
        <v>2.3457355970440794</v>
      </c>
      <c r="GG77">
        <v>1.9933900330970502</v>
      </c>
      <c r="GH77">
        <v>4.2076434395368576</v>
      </c>
      <c r="GI77">
        <v>5.1477663119075716</v>
      </c>
      <c r="GJ77"/>
      <c r="GK77">
        <v>15.464017094323216</v>
      </c>
      <c r="GL77">
        <v>10.619134567822762</v>
      </c>
      <c r="GM77">
        <v>7.9777967560691154</v>
      </c>
      <c r="GN77">
        <v>7.81325591199366</v>
      </c>
      <c r="GO77">
        <v>4.0230588004510981</v>
      </c>
      <c r="GP77">
        <v>1.6927083333333335</v>
      </c>
      <c r="GQ77">
        <v>2.8698242705789996</v>
      </c>
      <c r="GR77">
        <v>2.8021159372456665</v>
      </c>
      <c r="GS77">
        <v>4.4860621113140615</v>
      </c>
      <c r="GT77">
        <v>6.9641518065472976</v>
      </c>
      <c r="GU77"/>
      <c r="GV77"/>
      <c r="GW77"/>
      <c r="GX77"/>
      <c r="GY77"/>
      <c r="GZ77"/>
      <c r="HA77"/>
      <c r="HB77"/>
      <c r="HC77"/>
    </row>
    <row r="78" spans="1:211" s="7" customFormat="1">
      <c r="A78" s="4"/>
      <c r="B78" s="66"/>
      <c r="C78" s="71">
        <f t="shared" si="38"/>
        <v>39949</v>
      </c>
      <c r="D78" s="72">
        <f>SUM(G78:AK78)</f>
        <v>8.1018518518518512</v>
      </c>
      <c r="E78" s="64"/>
      <c r="F78" s="64"/>
      <c r="G78" s="18">
        <f>AVERAGE(E308:E317)</f>
        <v>0</v>
      </c>
      <c r="H78" s="18">
        <f t="shared" ref="H78:AK78" si="48">AVERAGE(F308:F317)</f>
        <v>8.1018518518518512</v>
      </c>
      <c r="I78" s="18">
        <f t="shared" si="48"/>
        <v>0</v>
      </c>
      <c r="J78" s="18">
        <f t="shared" si="48"/>
        <v>0</v>
      </c>
      <c r="K78" s="18">
        <f t="shared" si="48"/>
        <v>0</v>
      </c>
      <c r="L78" s="18">
        <f t="shared" si="48"/>
        <v>0</v>
      </c>
      <c r="M78" s="18">
        <f t="shared" si="48"/>
        <v>0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55.25234303939633</v>
      </c>
      <c r="AO78">
        <v>6.6051397661113658</v>
      </c>
      <c r="AP78">
        <v>4.1570561174957037</v>
      </c>
      <c r="AQ78">
        <v>47.891107285918451</v>
      </c>
      <c r="AR78">
        <v>7.0846109316560266</v>
      </c>
      <c r="AS78">
        <v>44.829617965811622</v>
      </c>
      <c r="AT78">
        <v>5.6713908670558197</v>
      </c>
      <c r="AU78">
        <v>7.8689565987435754</v>
      </c>
      <c r="AV78"/>
      <c r="AW78"/>
      <c r="FY78" s="211">
        <v>73</v>
      </c>
      <c r="FZ78">
        <v>10.695805747316278</v>
      </c>
      <c r="GA78">
        <v>13.291208542233409</v>
      </c>
      <c r="GB78">
        <v>7.6562158070425843</v>
      </c>
      <c r="GC78">
        <v>2.3688930864333835</v>
      </c>
      <c r="GD78">
        <v>0.88399150279938077</v>
      </c>
      <c r="GE78">
        <v>1.3219381139368771</v>
      </c>
      <c r="GF78">
        <v>0.61500395478260861</v>
      </c>
      <c r="GG78">
        <v>1.2838720433876809</v>
      </c>
      <c r="GH78">
        <v>7.2661645653758935</v>
      </c>
      <c r="GI78">
        <v>5.2311094079296803</v>
      </c>
      <c r="GJ78"/>
      <c r="GK78">
        <v>10.742191936624819</v>
      </c>
      <c r="GL78">
        <v>11.262185485010823</v>
      </c>
      <c r="GM78">
        <v>12.758847619122687</v>
      </c>
      <c r="GN78">
        <v>7.1700862826331093</v>
      </c>
      <c r="GO78">
        <v>3.426002360038408</v>
      </c>
      <c r="GP78">
        <v>2.5308520210409746</v>
      </c>
      <c r="GQ78">
        <v>0.75362318840579701</v>
      </c>
      <c r="GR78">
        <v>1.8068639291465376</v>
      </c>
      <c r="GS78">
        <v>7.7446387312781448</v>
      </c>
      <c r="GT78">
        <v>7.0850607670939709</v>
      </c>
      <c r="GU78"/>
      <c r="GV78"/>
      <c r="GW78"/>
      <c r="GX78"/>
      <c r="GY78"/>
      <c r="GZ78"/>
      <c r="HA78"/>
      <c r="HB78"/>
      <c r="HC78"/>
    </row>
    <row r="79" spans="1:211" s="7" customFormat="1">
      <c r="A79" s="4"/>
      <c r="B79" s="66"/>
      <c r="C79" s="71">
        <f t="shared" si="38"/>
        <v>39987</v>
      </c>
      <c r="D79" s="72">
        <f>SUM(G79:AK79)</f>
        <v>87.75597526310996</v>
      </c>
      <c r="E79" s="64"/>
      <c r="F79" s="64"/>
      <c r="G79" s="18">
        <f>AVERAGE(E318:E327)</f>
        <v>18.904320987654319</v>
      </c>
      <c r="H79" s="18">
        <f t="shared" ref="H79:AK79" si="49">AVERAGE(F318:F327)</f>
        <v>68.851654275455644</v>
      </c>
      <c r="I79" s="18">
        <f t="shared" si="49"/>
        <v>0</v>
      </c>
      <c r="J79" s="18">
        <f t="shared" si="49"/>
        <v>0</v>
      </c>
      <c r="K79" s="18">
        <f t="shared" si="49"/>
        <v>0</v>
      </c>
      <c r="L79" s="18">
        <f t="shared" si="49"/>
        <v>0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60.15609987549734</v>
      </c>
      <c r="AO79">
        <v>7.2633666262250882</v>
      </c>
      <c r="AP79">
        <v>89.943140781219284</v>
      </c>
      <c r="AQ79">
        <v>53.984756126025204</v>
      </c>
      <c r="AR79">
        <v>7.8093993684747751</v>
      </c>
      <c r="AS79">
        <v>49.389830545566966</v>
      </c>
      <c r="AT79" t="e">
        <v>#DIV/0!</v>
      </c>
      <c r="AU79" t="e">
        <v>#DIV/0!</v>
      </c>
      <c r="AV79"/>
      <c r="AW79"/>
      <c r="FY79" s="211">
        <v>74</v>
      </c>
      <c r="FZ79">
        <v>14.490267080416924</v>
      </c>
      <c r="GA79">
        <v>11.518963899832331</v>
      </c>
      <c r="GB79">
        <v>5.1548913279738793</v>
      </c>
      <c r="GC79">
        <v>2.4614481578413239</v>
      </c>
      <c r="GD79">
        <v>1.2188574803139034</v>
      </c>
      <c r="GE79">
        <v>1.4617573616112958</v>
      </c>
      <c r="GF79">
        <v>1.223050412887982</v>
      </c>
      <c r="GG79">
        <v>1.4386361263424563</v>
      </c>
      <c r="GH79">
        <v>6.6125497761416945</v>
      </c>
      <c r="GI79">
        <v>5.3761661490647397</v>
      </c>
      <c r="GJ79"/>
      <c r="GK79">
        <v>14.546054427299651</v>
      </c>
      <c r="GL79">
        <v>9.7613520811373817</v>
      </c>
      <c r="GM79">
        <v>8.5348056115529936</v>
      </c>
      <c r="GN79">
        <v>7.342814330569583</v>
      </c>
      <c r="GO79">
        <v>4.745584513398807</v>
      </c>
      <c r="GP79">
        <v>2.7985361295681064</v>
      </c>
      <c r="GQ79">
        <v>1.4964056940656674</v>
      </c>
      <c r="GR79">
        <v>2.0230260644360376</v>
      </c>
      <c r="GS79">
        <v>7.0499594535201062</v>
      </c>
      <c r="GT79">
        <v>7.2745619399674464</v>
      </c>
      <c r="GU79"/>
      <c r="GV79"/>
      <c r="GW79"/>
      <c r="GX79"/>
      <c r="GY79"/>
      <c r="GZ79"/>
      <c r="HA79"/>
      <c r="HB79"/>
      <c r="HC79"/>
    </row>
    <row r="80" spans="1:211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69.459600514455445</v>
      </c>
      <c r="AO80">
        <v>8.0723419071081199</v>
      </c>
      <c r="AP80">
        <v>4.8345476238496925</v>
      </c>
      <c r="AQ80">
        <v>61.31749024123792</v>
      </c>
      <c r="AR80">
        <v>8.4468525253115292</v>
      </c>
      <c r="AS80">
        <v>51.278984401445662</v>
      </c>
      <c r="AT80">
        <v>6.7151466759189544</v>
      </c>
      <c r="AU80">
        <v>1.3866479175571058</v>
      </c>
      <c r="AV80"/>
      <c r="AW80"/>
      <c r="FY80" s="211">
        <v>75</v>
      </c>
      <c r="FZ80">
        <v>11.511662155895198</v>
      </c>
      <c r="GA80">
        <v>10.211917941543106</v>
      </c>
      <c r="GB80">
        <v>6.9907039550975085</v>
      </c>
      <c r="GC80">
        <v>3.816762024514698</v>
      </c>
      <c r="GD80">
        <v>2.0740958981521382</v>
      </c>
      <c r="GE80">
        <v>2.5607524819054137</v>
      </c>
      <c r="GF80">
        <v>3.1163590421210725</v>
      </c>
      <c r="GG80">
        <v>3.412761243989261</v>
      </c>
      <c r="GH80">
        <v>4.2479462546669984</v>
      </c>
      <c r="GI80">
        <v>5.84788553852764</v>
      </c>
      <c r="GJ80"/>
      <c r="GK80">
        <v>11.562104827292037</v>
      </c>
      <c r="GL80">
        <v>8.6540273599337798</v>
      </c>
      <c r="GM80">
        <v>11.617241919430283</v>
      </c>
      <c r="GN80">
        <v>11.438750954888567</v>
      </c>
      <c r="GO80">
        <v>8.0615910864825864</v>
      </c>
      <c r="GP80">
        <v>4.9025635359852195</v>
      </c>
      <c r="GQ80">
        <v>3.8141429098704651</v>
      </c>
      <c r="GR80">
        <v>4.7996753172778739</v>
      </c>
      <c r="GS80">
        <v>4.5276882116077823</v>
      </c>
      <c r="GT80">
        <v>7.9165537909366321</v>
      </c>
      <c r="GU80"/>
      <c r="GV80"/>
      <c r="GW80"/>
      <c r="GX80"/>
      <c r="GY80"/>
      <c r="GZ80"/>
      <c r="HA80"/>
      <c r="HB80"/>
      <c r="HC80"/>
    </row>
    <row r="81" spans="1:211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68.409354912346387</v>
      </c>
      <c r="AO81">
        <v>7.6721646460870954</v>
      </c>
      <c r="AP81">
        <v>3.4893015216860768</v>
      </c>
      <c r="AQ81">
        <v>57.34036758063602</v>
      </c>
      <c r="AR81">
        <v>8.1202191833828046</v>
      </c>
      <c r="AS81">
        <v>49.07263266596842</v>
      </c>
      <c r="AT81">
        <v>6.5278444877490474</v>
      </c>
      <c r="AU81">
        <v>0.82545725076028376</v>
      </c>
      <c r="AV81"/>
      <c r="AW81"/>
      <c r="FY81" s="211">
        <v>76</v>
      </c>
      <c r="FZ81">
        <v>11.290792679831817</v>
      </c>
      <c r="GA81">
        <v>11.100883463891238</v>
      </c>
      <c r="GB81">
        <v>7.8306078213192185</v>
      </c>
      <c r="GC81">
        <v>3.4824319995102551</v>
      </c>
      <c r="GD81">
        <v>1.135585304546153</v>
      </c>
      <c r="GE81">
        <v>1.2050932552941178</v>
      </c>
      <c r="GF81">
        <v>2.3613335839515361</v>
      </c>
      <c r="GG81">
        <v>3.1771808126664083</v>
      </c>
      <c r="GH81">
        <v>4.9564974828690991</v>
      </c>
      <c r="GI81">
        <v>5.4562134992100946</v>
      </c>
      <c r="GJ81"/>
      <c r="GK81">
        <v>11.342819587097424</v>
      </c>
      <c r="GL81">
        <v>9.404860738289452</v>
      </c>
      <c r="GM81">
        <v>13.004629813708176</v>
      </c>
      <c r="GN81">
        <v>10.428078182607457</v>
      </c>
      <c r="GO81">
        <v>4.4124812961770585</v>
      </c>
      <c r="GP81">
        <v>2.3071524064171123</v>
      </c>
      <c r="GQ81">
        <v>2.8866229799425738</v>
      </c>
      <c r="GR81">
        <v>4.4664840910536849</v>
      </c>
      <c r="GS81">
        <v>5.2834846615673321</v>
      </c>
      <c r="GT81">
        <v>7.3860076676985118</v>
      </c>
      <c r="GU81"/>
      <c r="GV81"/>
      <c r="GW81"/>
      <c r="GX81"/>
      <c r="GY81"/>
      <c r="GZ81"/>
      <c r="HA81"/>
      <c r="HB81"/>
      <c r="HC81"/>
    </row>
    <row r="82" spans="1:211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57.946014152861437</v>
      </c>
      <c r="AO82">
        <v>6.8974517125620851</v>
      </c>
      <c r="AP82">
        <v>34.385651555685151</v>
      </c>
      <c r="AQ82">
        <v>47.678581563403917</v>
      </c>
      <c r="AR82">
        <v>6.8574967667755686</v>
      </c>
      <c r="AS82">
        <v>45.860459671333963</v>
      </c>
      <c r="AT82" t="e">
        <v>#DIV/0!</v>
      </c>
      <c r="AU82" t="e">
        <v>#DIV/0!</v>
      </c>
      <c r="AV82"/>
      <c r="AW82"/>
      <c r="FY82" s="211">
        <v>77</v>
      </c>
      <c r="FZ82">
        <v>8.7704242807696531</v>
      </c>
      <c r="GA82">
        <v>5.3549522186536693</v>
      </c>
      <c r="GB82">
        <v>4.7727257367087637</v>
      </c>
      <c r="GC82">
        <v>2.8383133878965463</v>
      </c>
      <c r="GD82">
        <v>1.6135654521273219</v>
      </c>
      <c r="GE82">
        <v>2.5085846281512607</v>
      </c>
      <c r="GF82">
        <v>2.446100825775964</v>
      </c>
      <c r="GG82">
        <v>2.1288892006015789</v>
      </c>
      <c r="GH82">
        <v>2.237384076976709</v>
      </c>
      <c r="GI82">
        <v>4.1936286665616</v>
      </c>
      <c r="GJ82"/>
      <c r="GK82">
        <v>8.8190622771396647</v>
      </c>
      <c r="GL82">
        <v>4.5372941129045046</v>
      </c>
      <c r="GM82">
        <v>7.9423297722941566</v>
      </c>
      <c r="GN82">
        <v>8.5133070271419271</v>
      </c>
      <c r="GO82">
        <v>6.2650043823424424</v>
      </c>
      <c r="GP82">
        <v>4.8026881207028271</v>
      </c>
      <c r="GQ82">
        <v>2.9928113881313347</v>
      </c>
      <c r="GR82">
        <v>2.9928113881313347</v>
      </c>
      <c r="GS82">
        <v>2.3836104602920809</v>
      </c>
      <c r="GT82">
        <v>5.6805636560399364</v>
      </c>
      <c r="GU82"/>
      <c r="GV82"/>
      <c r="GW82"/>
      <c r="GX82"/>
      <c r="GY82"/>
      <c r="GZ82"/>
      <c r="HA82"/>
      <c r="HB82"/>
      <c r="HC82"/>
    </row>
    <row r="83" spans="1:211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48.538115509333736</v>
      </c>
      <c r="AO83">
        <v>5.9243530942450295</v>
      </c>
      <c r="AP83">
        <v>99.063923906395971</v>
      </c>
      <c r="AQ83">
        <v>39.409688606726263</v>
      </c>
      <c r="AR83">
        <v>6.4972105604082557</v>
      </c>
      <c r="AS83">
        <v>40.188861226379181</v>
      </c>
      <c r="AT83" t="e">
        <v>#DIV/0!</v>
      </c>
      <c r="AU83" t="e">
        <v>#DIV/0!</v>
      </c>
      <c r="AV83"/>
      <c r="AW83"/>
      <c r="FY83" s="211">
        <v>78</v>
      </c>
      <c r="FZ83">
        <v>10.993671537809632</v>
      </c>
      <c r="GA83">
        <v>6.2391143809705616</v>
      </c>
      <c r="GB83">
        <v>5.7139086620852488</v>
      </c>
      <c r="GC83">
        <v>3.9444021698927418</v>
      </c>
      <c r="GD83">
        <v>2.6281000886649877</v>
      </c>
      <c r="GE83">
        <v>3.8307659005335166</v>
      </c>
      <c r="GF83">
        <v>4.1768324680374347</v>
      </c>
      <c r="GG83">
        <v>3.5867902423942812</v>
      </c>
      <c r="GH83">
        <v>7.5708903284399671</v>
      </c>
      <c r="GI83">
        <v>6.4901045948584679</v>
      </c>
      <c r="GJ83"/>
      <c r="GK83">
        <v>11.034187360723859</v>
      </c>
      <c r="GL83">
        <v>5.288220014957286</v>
      </c>
      <c r="GM83">
        <v>9.4641084463624807</v>
      </c>
      <c r="GN83">
        <v>11.75864208870202</v>
      </c>
      <c r="GO83">
        <v>10.209625481265869</v>
      </c>
      <c r="GP83">
        <v>7.3340056688637407</v>
      </c>
      <c r="GQ83">
        <v>5.1090124703045374</v>
      </c>
      <c r="GR83">
        <v>5.0413041369712035</v>
      </c>
      <c r="GS83">
        <v>8.0698845821811034</v>
      </c>
      <c r="GT83">
        <v>8.7773636681675686</v>
      </c>
      <c r="GU83"/>
      <c r="GV83"/>
      <c r="GW83"/>
      <c r="GX83"/>
      <c r="GY83"/>
      <c r="GZ83"/>
      <c r="HA83"/>
      <c r="HB83"/>
      <c r="HC83"/>
    </row>
    <row r="84" spans="1:211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57.980992381299622</v>
      </c>
      <c r="AO84">
        <v>7.2323977917766316</v>
      </c>
      <c r="AP84">
        <v>20.842816893049235</v>
      </c>
      <c r="AQ84">
        <v>47.691323306461641</v>
      </c>
      <c r="AR84">
        <v>7.5740335620124153</v>
      </c>
      <c r="AS84">
        <v>48.534157019421599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1">
        <v>79</v>
      </c>
      <c r="FZ84">
        <v>17.225401409340254</v>
      </c>
      <c r="GA84">
        <v>13.771684016812126</v>
      </c>
      <c r="GB84">
        <v>4.7803186547071883</v>
      </c>
      <c r="GC84">
        <v>3.0972116191225725</v>
      </c>
      <c r="GD84">
        <v>1.9865924495975165</v>
      </c>
      <c r="GE84">
        <v>2.9069560729138164</v>
      </c>
      <c r="GF84">
        <v>1.8085413874086631</v>
      </c>
      <c r="GG84">
        <v>1.5256506255449667</v>
      </c>
      <c r="GH84">
        <v>4.8697955633029499</v>
      </c>
      <c r="GI84">
        <v>5.9609864496326974</v>
      </c>
      <c r="GJ84"/>
      <c r="GK84">
        <v>17.292472805168728</v>
      </c>
      <c r="GL84">
        <v>11.671705774391379</v>
      </c>
      <c r="GM84">
        <v>7.9202507627921435</v>
      </c>
      <c r="GN84">
        <v>9.2415646610888231</v>
      </c>
      <c r="GO84">
        <v>7.722314921471126</v>
      </c>
      <c r="GP84">
        <v>5.5653707043070924</v>
      </c>
      <c r="GQ84">
        <v>2.2115488076160368</v>
      </c>
      <c r="GR84">
        <v>2.1438404742827033</v>
      </c>
      <c r="GS84">
        <v>5.1890932337065987</v>
      </c>
      <c r="GT84">
        <v>8.0671361061509259</v>
      </c>
      <c r="GU84"/>
      <c r="GV84"/>
      <c r="GW84"/>
      <c r="GX84"/>
      <c r="GY84"/>
      <c r="GZ84"/>
      <c r="HA84"/>
      <c r="HB84"/>
      <c r="HC84"/>
    </row>
    <row r="85" spans="1:211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53.200525864667156</v>
      </c>
      <c r="AO85">
        <v>6.8273278333770921</v>
      </c>
      <c r="AP85">
        <v>73.102317440970808</v>
      </c>
      <c r="AQ85">
        <v>46.99409102339402</v>
      </c>
      <c r="AR85">
        <v>7.1888114578658504</v>
      </c>
      <c r="AS85">
        <v>47.873180157870991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18.406866873184654</v>
      </c>
      <c r="GA85">
        <v>16.123181348461443</v>
      </c>
      <c r="GB85">
        <v>5.3444980498877008</v>
      </c>
      <c r="GC85">
        <v>2.8867767128571211</v>
      </c>
      <c r="GD85">
        <v>1.7275726055916081</v>
      </c>
      <c r="GE85">
        <v>2.6045781788655469</v>
      </c>
      <c r="GF85">
        <v>2.9537820551494529</v>
      </c>
      <c r="GG85">
        <v>2.8965371681351582</v>
      </c>
      <c r="GH85">
        <v>5.8826911906260122</v>
      </c>
      <c r="GI85">
        <v>6.4970531148928918</v>
      </c>
      <c r="GJ85"/>
      <c r="GK85">
        <v>18.462265522504978</v>
      </c>
      <c r="GL85">
        <v>13.662224487050651</v>
      </c>
      <c r="GM85">
        <v>8.928871327555834</v>
      </c>
      <c r="GN85">
        <v>8.7193521921076798</v>
      </c>
      <c r="GO85">
        <v>6.7070430728186334</v>
      </c>
      <c r="GP85">
        <v>4.986467882607589</v>
      </c>
      <c r="GQ85">
        <v>3.6126067762388696</v>
      </c>
      <c r="GR85">
        <v>4.0715188132759064</v>
      </c>
      <c r="GS85">
        <v>6.2742190490545386</v>
      </c>
      <c r="GT85">
        <v>8.7970011496345712</v>
      </c>
      <c r="GU85"/>
      <c r="GV85"/>
      <c r="GW85"/>
      <c r="GX85"/>
      <c r="GY85"/>
      <c r="GZ85"/>
      <c r="HA85"/>
      <c r="HB85"/>
      <c r="HC85"/>
    </row>
    <row r="86" spans="1:211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62.717756960651492</v>
      </c>
      <c r="AO86">
        <v>8.2534139691267292</v>
      </c>
      <c r="AP86">
        <v>39.03691317395441</v>
      </c>
      <c r="AQ86">
        <v>64.479083017009174</v>
      </c>
      <c r="AR86">
        <v>8.6475870831512403</v>
      </c>
      <c r="AS86">
        <v>51.489775214344185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9" t="s">
        <v>123</v>
      </c>
      <c r="CX86" s="21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13.242543023293672</v>
      </c>
      <c r="GA86">
        <v>10.33895306011776</v>
      </c>
      <c r="GB86">
        <v>5.6719581774973458</v>
      </c>
      <c r="GC86">
        <v>3.7055542465456708</v>
      </c>
      <c r="GD86">
        <v>2.3490082219299691</v>
      </c>
      <c r="GE86">
        <v>3.1882395005882356</v>
      </c>
      <c r="GF86">
        <v>2.446100825775964</v>
      </c>
      <c r="GG86">
        <v>2.1288892006015789</v>
      </c>
      <c r="GH86">
        <v>3.5962187856840568</v>
      </c>
      <c r="GI86">
        <v>5.7144726709310376</v>
      </c>
      <c r="GJ86"/>
      <c r="GK86">
        <v>13.294165429755925</v>
      </c>
      <c r="GL86">
        <v>8.7609764682634932</v>
      </c>
      <c r="GM86">
        <v>9.4317203899873956</v>
      </c>
      <c r="GN86">
        <v>11.10707384157991</v>
      </c>
      <c r="GO86">
        <v>9.128249753356684</v>
      </c>
      <c r="GP86">
        <v>6.1038881461675585</v>
      </c>
      <c r="GQ86">
        <v>2.9928113881313347</v>
      </c>
      <c r="GR86">
        <v>2.9928113881313347</v>
      </c>
      <c r="GS86">
        <v>3.83563809016414</v>
      </c>
      <c r="GT86">
        <v>7.7365170102790968</v>
      </c>
      <c r="GU86"/>
      <c r="GV86"/>
      <c r="GW86"/>
      <c r="GX86"/>
      <c r="GY86"/>
      <c r="GZ86"/>
      <c r="HA86"/>
      <c r="HB86"/>
      <c r="HC86"/>
    </row>
    <row r="87" spans="1:211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48.655441107349027</v>
      </c>
      <c r="AO87">
        <v>6.3061795304992341</v>
      </c>
      <c r="AP87">
        <v>4.9181899436212184</v>
      </c>
      <c r="AQ87">
        <v>45.889434803596963</v>
      </c>
      <c r="AR87">
        <v>6.5974377842483438</v>
      </c>
      <c r="AS87">
        <v>41.296240845081641</v>
      </c>
      <c r="AT87">
        <v>5.1977269177139673</v>
      </c>
      <c r="AU87">
        <v>2.4477835200024671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10.213663519967225</v>
      </c>
      <c r="GA87">
        <v>10.543086362588786</v>
      </c>
      <c r="GB87">
        <v>5.7912412612298576</v>
      </c>
      <c r="GC87">
        <v>2.2556152146634338</v>
      </c>
      <c r="GD87">
        <v>2.1711949071104657</v>
      </c>
      <c r="GE87">
        <v>3.2821099701993366</v>
      </c>
      <c r="GF87">
        <v>1.1521981644180253</v>
      </c>
      <c r="GG87">
        <v>1.7516114509397644</v>
      </c>
      <c r="GH87">
        <v>5.4577103038369081</v>
      </c>
      <c r="GI87">
        <v>5.2474373835874815</v>
      </c>
      <c r="GJ87"/>
      <c r="GK87">
        <v>10.280597582200363</v>
      </c>
      <c r="GL87">
        <v>8.9324308548113454</v>
      </c>
      <c r="GM87">
        <v>9.5901073372134853</v>
      </c>
      <c r="GN87">
        <v>6.7160752082492179</v>
      </c>
      <c r="GO87">
        <v>8.4183502906976759</v>
      </c>
      <c r="GP87">
        <v>6.2836032668881519</v>
      </c>
      <c r="GQ87">
        <v>1.4118986513687599</v>
      </c>
      <c r="GR87">
        <v>2.4651393921095006</v>
      </c>
      <c r="GS87">
        <v>5.8155737504746021</v>
      </c>
      <c r="GT87">
        <v>7.1033055223909782</v>
      </c>
      <c r="GU87"/>
      <c r="GV87"/>
      <c r="GW87"/>
      <c r="GX87"/>
      <c r="GY87"/>
      <c r="GZ87"/>
      <c r="HA87"/>
      <c r="HB87"/>
      <c r="HC87"/>
    </row>
    <row r="88" spans="1:211" s="7" customFormat="1">
      <c r="A88" s="128"/>
      <c r="B88" s="76">
        <f t="shared" ref="B88:B119" ca="1" si="50">IF(C88="", "", RAND())</f>
        <v>0.78627482502936452</v>
      </c>
      <c r="C88">
        <v>7</v>
      </c>
      <c r="D88">
        <v>39646</v>
      </c>
      <c r="E88">
        <v>20.833333333333332</v>
      </c>
      <c r="F88">
        <v>83.333333333333329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58.917529774818036</v>
      </c>
      <c r="AO88">
        <v>6.4712125589679221</v>
      </c>
      <c r="AP88">
        <v>55.094103952315152</v>
      </c>
      <c r="AQ88">
        <v>51.005294857541287</v>
      </c>
      <c r="AR88">
        <v>6.9641518065472985</v>
      </c>
      <c r="AS88">
        <v>43.606073714627755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0.7280425381460276</v>
      </c>
      <c r="AZ88">
        <v>1</v>
      </c>
      <c r="BA88" s="129">
        <f>IF(AZ88="", "",$C$4)</f>
        <v>39646</v>
      </c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0.87500791577095804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1</v>
      </c>
      <c r="CP88">
        <v>1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0.30155995452724227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20.833333333333332</v>
      </c>
      <c r="DH88" s="161">
        <f t="shared" si="53"/>
        <v>20.833333333333332</v>
      </c>
      <c r="DI88" s="161">
        <f t="shared" si="53"/>
        <v>0</v>
      </c>
      <c r="DJ88" s="161">
        <f t="shared" si="53"/>
        <v>0</v>
      </c>
      <c r="DK88" s="161">
        <f t="shared" si="53"/>
        <v>0</v>
      </c>
      <c r="DL88" s="161">
        <f t="shared" si="53"/>
        <v>0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41.666666666666664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2.4104166666666669</v>
      </c>
      <c r="ER88" s="139">
        <f t="shared" ref="ER88:ER119" si="58">IF(DH88="", "", DH88*I$36)</f>
        <v>7.6173149818827275</v>
      </c>
      <c r="ES88" s="139">
        <f t="shared" ref="ES88:ES119" si="59">IF(DI88="", "", DI88*J$36)</f>
        <v>0</v>
      </c>
      <c r="ET88" s="139">
        <f t="shared" ref="ET88:ET119" si="60">IF(DJ88="", "", DJ88*K$36)</f>
        <v>0</v>
      </c>
      <c r="EU88" s="139">
        <f t="shared" ref="EU88:EU119" si="61">IF(DK88="", "", DK88*L$36)</f>
        <v>0</v>
      </c>
      <c r="EV88" s="139">
        <f t="shared" ref="EV88:EV119" si="62">IF(DL88="", "", DL88*M$36)</f>
        <v>0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10.027731648549395</v>
      </c>
      <c r="FV88" s="149"/>
      <c r="FY88" s="211">
        <v>83</v>
      </c>
      <c r="FZ88">
        <v>11.749285819444518</v>
      </c>
      <c r="GA88">
        <v>14.134388099792266</v>
      </c>
      <c r="GB88">
        <v>8.1386285582738278</v>
      </c>
      <c r="GC88">
        <v>3.8379485232032335</v>
      </c>
      <c r="GD88">
        <v>1.2767845361890104</v>
      </c>
      <c r="GE88">
        <v>1.5587537052941174</v>
      </c>
      <c r="GF88">
        <v>5.5254261562500004E-2</v>
      </c>
      <c r="GG88">
        <v>0.74838305208333333</v>
      </c>
      <c r="GH88">
        <v>5.7050684524611395</v>
      </c>
      <c r="GI88">
        <v>5.3864752212680092</v>
      </c>
      <c r="GJ88"/>
      <c r="GK88">
        <v>11.77948950861488</v>
      </c>
      <c r="GL88">
        <v>11.974273797626518</v>
      </c>
      <c r="GM88">
        <v>13.589096391112186</v>
      </c>
      <c r="GN88">
        <v>11.602141847361413</v>
      </c>
      <c r="GO88">
        <v>4.9599515342722968</v>
      </c>
      <c r="GP88">
        <v>2.9842357397504453</v>
      </c>
      <c r="GQ88">
        <v>6.7708333333333329E-2</v>
      </c>
      <c r="GR88">
        <v>1.0532407407407407</v>
      </c>
      <c r="GS88">
        <v>6.0817881572238104</v>
      </c>
      <c r="GT88">
        <v>7.2956067849113007</v>
      </c>
      <c r="GU88"/>
      <c r="GV88"/>
      <c r="GW88"/>
      <c r="GX88"/>
      <c r="GY88"/>
      <c r="GZ88"/>
      <c r="HA88"/>
      <c r="HB88"/>
      <c r="HC88"/>
    </row>
    <row r="89" spans="1:211" s="7" customFormat="1">
      <c r="A89" s="115"/>
      <c r="B89" s="76">
        <f t="shared" ca="1" si="50"/>
        <v>9.3519843949380288E-2</v>
      </c>
      <c r="C89">
        <v>6</v>
      </c>
      <c r="D89">
        <v>39646</v>
      </c>
      <c r="E89">
        <v>20.833333333333332</v>
      </c>
      <c r="F89">
        <v>41.666666666666664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53.734819275262929</v>
      </c>
      <c r="AO89">
        <v>6.5280352320395263</v>
      </c>
      <c r="AP89">
        <v>15.064922847064635</v>
      </c>
      <c r="AQ89">
        <v>50.614202771237785</v>
      </c>
      <c r="AR89">
        <v>7.08506076709397</v>
      </c>
      <c r="AS89">
        <v>41.522575037163669</v>
      </c>
      <c r="AT89" t="e">
        <v>#DIV/0!</v>
      </c>
      <c r="AU89" t="e">
        <v>#DIV/0!</v>
      </c>
      <c r="AV89"/>
      <c r="AW89"/>
      <c r="AX89" s="150"/>
      <c r="AY89" s="76">
        <f t="shared" ref="AY89:AY151" ca="1" si="88">IF(AZ89="", "", RAND())</f>
        <v>0.1999618676682462</v>
      </c>
      <c r="AZ89">
        <v>2</v>
      </c>
      <c r="BA89" s="129">
        <f t="shared" ref="BA89:BA97" si="89">IF(AZ89="", "",$C$4)</f>
        <v>39646</v>
      </c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90">IF(AZ89="", "", RAND())</f>
        <v>0.56201880733568044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>
        <v>1</v>
      </c>
      <c r="CO89">
        <v>2</v>
      </c>
      <c r="CP89">
        <v>1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0.57739471929263009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20.833333333333332</v>
      </c>
      <c r="DG89" s="161">
        <f t="shared" ref="DG89:DG152" si="96">IF($AZ89="", "", ((BC89*$CW89)+(CO89*$CX89))/$CZ89)</f>
        <v>41.666666666666664</v>
      </c>
      <c r="DH89" s="161">
        <f t="shared" ref="DH89:DH152" si="97">IF($AZ89="", "", ((BD89*$CW89)+(CP89*$CX89))/$CZ89)</f>
        <v>20.833333333333332</v>
      </c>
      <c r="DI89" s="161">
        <f t="shared" ref="DI89:DI152" si="98">IF($AZ89="", "", ((BE89*$CW89)+(CQ89*$CX89))/$CZ89)</f>
        <v>0</v>
      </c>
      <c r="DJ89" s="161">
        <f t="shared" ref="DJ89:DJ152" si="99">IF($AZ89="", "", ((BF89*$CW89)+(CR89*$CX89))/$CZ89)</f>
        <v>0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83.333333333333329</v>
      </c>
      <c r="EL89" s="149"/>
      <c r="EN89" s="150"/>
      <c r="EO89" s="150"/>
      <c r="EP89" s="139">
        <f t="shared" si="56"/>
        <v>0.76275019751229889</v>
      </c>
      <c r="EQ89" s="139">
        <f t="shared" si="57"/>
        <v>4.8208333333333337</v>
      </c>
      <c r="ER89" s="139">
        <f t="shared" si="58"/>
        <v>7.6173149818827275</v>
      </c>
      <c r="ES89" s="139">
        <f t="shared" si="59"/>
        <v>0</v>
      </c>
      <c r="ET89" s="139">
        <f t="shared" si="60"/>
        <v>0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13.20089851272836</v>
      </c>
      <c r="FV89" s="149"/>
      <c r="FY89" s="211">
        <v>84</v>
      </c>
      <c r="FZ89">
        <v>10.474062793338748</v>
      </c>
      <c r="GA89">
        <v>9.842143699886492</v>
      </c>
      <c r="GB89">
        <v>7.0912191788081795</v>
      </c>
      <c r="GC89">
        <v>3.9364357299472021</v>
      </c>
      <c r="GD89">
        <v>2.4246593237403737</v>
      </c>
      <c r="GE89">
        <v>3.7658457371995318</v>
      </c>
      <c r="GF89">
        <v>1.8154988840858985</v>
      </c>
      <c r="GG89">
        <v>1.532184007852873</v>
      </c>
      <c r="GH89">
        <v>3.8882066252511773</v>
      </c>
      <c r="GI89">
        <v>5.6302672109384702</v>
      </c>
      <c r="GJ89"/>
      <c r="GK89">
        <v>10.510694029237051</v>
      </c>
      <c r="GL89">
        <v>8.3414506580222678</v>
      </c>
      <c r="GM89">
        <v>11.823727196789925</v>
      </c>
      <c r="GN89">
        <v>11.854845755931692</v>
      </c>
      <c r="GO89">
        <v>9.4208268262330321</v>
      </c>
      <c r="GP89">
        <v>7.2097159424023323</v>
      </c>
      <c r="GQ89">
        <v>2.2223894903619632</v>
      </c>
      <c r="GR89">
        <v>2.1546811570286302</v>
      </c>
      <c r="GS89">
        <v>4.1454513111777596</v>
      </c>
      <c r="GT89">
        <v>7.6246177707599463</v>
      </c>
      <c r="GU89"/>
      <c r="GV89"/>
      <c r="GW89"/>
      <c r="GX89"/>
      <c r="GY89"/>
      <c r="GZ89"/>
      <c r="HA89"/>
      <c r="HB89"/>
      <c r="HC89"/>
    </row>
    <row r="90" spans="1:211" s="7" customFormat="1">
      <c r="A90" s="115"/>
      <c r="B90" s="76">
        <f t="shared" ca="1" si="50"/>
        <v>0.52449613218582702</v>
      </c>
      <c r="C90">
        <v>8</v>
      </c>
      <c r="D90">
        <v>39646</v>
      </c>
      <c r="E90">
        <v>20.833333333333332</v>
      </c>
      <c r="F90">
        <v>20.833333333333332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55.940098603669014</v>
      </c>
      <c r="AO90">
        <v>6.5573100245515779</v>
      </c>
      <c r="AP90">
        <v>20.774513400430365</v>
      </c>
      <c r="AQ90">
        <v>50.956587772426523</v>
      </c>
      <c r="AR90">
        <v>7.2745619399674482</v>
      </c>
      <c r="AS90">
        <v>47.296072176239974</v>
      </c>
      <c r="AT90" t="e">
        <v>#DIV/0!</v>
      </c>
      <c r="AU90" t="e">
        <v>#DIV/0!</v>
      </c>
      <c r="AV90"/>
      <c r="AW90"/>
      <c r="AX90" s="150"/>
      <c r="AY90" s="76">
        <f t="shared" ca="1" si="88"/>
        <v>0.46874848390327806</v>
      </c>
      <c r="AZ90">
        <v>3</v>
      </c>
      <c r="BA90" s="129">
        <f t="shared" si="89"/>
        <v>39646</v>
      </c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90"/>
        <v>0.17516208044662651</v>
      </c>
      <c r="CL90" s="179">
        <f t="shared" si="91"/>
        <v>3</v>
      </c>
      <c r="CM90" s="180">
        <f t="shared" si="92"/>
        <v>39646</v>
      </c>
      <c r="CN90">
        <v>0</v>
      </c>
      <c r="CO90">
        <v>10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0.8502326006498091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104.16666666666667</v>
      </c>
      <c r="DH90" s="161">
        <f t="shared" si="97"/>
        <v>0</v>
      </c>
      <c r="DI90" s="161">
        <f t="shared" si="98"/>
        <v>0</v>
      </c>
      <c r="DJ90" s="161">
        <f t="shared" si="99"/>
        <v>0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104.16666666666667</v>
      </c>
      <c r="EL90" s="149"/>
      <c r="EN90" s="150"/>
      <c r="EO90" s="150"/>
      <c r="EP90" s="139">
        <f t="shared" si="56"/>
        <v>0</v>
      </c>
      <c r="EQ90" s="139">
        <f t="shared" si="57"/>
        <v>12.052083333333336</v>
      </c>
      <c r="ER90" s="139">
        <f t="shared" si="58"/>
        <v>0</v>
      </c>
      <c r="ES90" s="139">
        <f t="shared" si="59"/>
        <v>0</v>
      </c>
      <c r="ET90" s="139">
        <f t="shared" si="60"/>
        <v>0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12.052083333333336</v>
      </c>
      <c r="FV90" s="149"/>
      <c r="FY90" s="211">
        <v>85</v>
      </c>
      <c r="FZ90">
        <v>11.157761934415447</v>
      </c>
      <c r="GA90">
        <v>8.0518042067835989</v>
      </c>
      <c r="GB90">
        <v>4.959418485822626</v>
      </c>
      <c r="GC90">
        <v>2.9663141858477067</v>
      </c>
      <c r="GD90">
        <v>1.0841968527683228</v>
      </c>
      <c r="GE90">
        <v>1.3556592266112959</v>
      </c>
      <c r="GF90">
        <v>1.8310968709933551</v>
      </c>
      <c r="GG90">
        <v>1.9675917353388979</v>
      </c>
      <c r="GH90">
        <v>5.9908092505946566</v>
      </c>
      <c r="GI90">
        <v>4.7708333895953956</v>
      </c>
      <c r="GJ90"/>
      <c r="GK90">
        <v>11.209483249681369</v>
      </c>
      <c r="GL90">
        <v>6.8222920002384555</v>
      </c>
      <c r="GM90">
        <v>8.2582385159365508</v>
      </c>
      <c r="GN90">
        <v>8.9042696968040502</v>
      </c>
      <c r="GO90">
        <v>4.2124892959696272</v>
      </c>
      <c r="GP90">
        <v>2.5954111295681064</v>
      </c>
      <c r="GQ90">
        <v>2.2391881997255374</v>
      </c>
      <c r="GR90">
        <v>2.7658085700959076</v>
      </c>
      <c r="GS90">
        <v>6.3867793784971392</v>
      </c>
      <c r="GT90">
        <v>6.4612357279620438</v>
      </c>
      <c r="GU90"/>
      <c r="GV90"/>
      <c r="GW90"/>
      <c r="GX90"/>
      <c r="GY90"/>
      <c r="GZ90"/>
      <c r="HA90"/>
      <c r="HB90"/>
      <c r="HC90"/>
    </row>
    <row r="91" spans="1:211" s="7" customFormat="1">
      <c r="A91" s="77"/>
      <c r="B91" s="76">
        <f t="shared" ca="1" si="50"/>
        <v>0.11464138528347689</v>
      </c>
      <c r="C91">
        <v>5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64.258309832552271</v>
      </c>
      <c r="AO91">
        <v>7.7294339913705228</v>
      </c>
      <c r="AP91">
        <v>4.2871464449309551</v>
      </c>
      <c r="AQ91">
        <v>53.790846536413035</v>
      </c>
      <c r="AR91">
        <v>7.9165537909366304</v>
      </c>
      <c r="AS91">
        <v>49.587544278340189</v>
      </c>
      <c r="AT91">
        <v>6.3303023985605522</v>
      </c>
      <c r="AU91">
        <v>6.1410653155651413</v>
      </c>
      <c r="AV91"/>
      <c r="AW91"/>
      <c r="AX91" s="151"/>
      <c r="AY91" s="76">
        <f t="shared" ca="1" si="88"/>
        <v>0.77928352211494212</v>
      </c>
      <c r="AZ91">
        <v>4</v>
      </c>
      <c r="BA91" s="129">
        <f t="shared" si="89"/>
        <v>39646</v>
      </c>
      <c r="BB91"/>
      <c r="BC91"/>
      <c r="BD91">
        <v>1</v>
      </c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90"/>
        <v>0.64128746932640279</v>
      </c>
      <c r="CL91" s="179">
        <f t="shared" si="91"/>
        <v>4</v>
      </c>
      <c r="CM91" s="180">
        <f t="shared" si="92"/>
        <v>39646</v>
      </c>
      <c r="CN91">
        <v>0</v>
      </c>
      <c r="CO91">
        <v>5</v>
      </c>
      <c r="CP91">
        <v>2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0.49341443351244152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52.083333333333336</v>
      </c>
      <c r="DH91" s="161">
        <f t="shared" si="97"/>
        <v>31.25</v>
      </c>
      <c r="DI91" s="161">
        <f t="shared" si="98"/>
        <v>0</v>
      </c>
      <c r="DJ91" s="161">
        <f t="shared" si="99"/>
        <v>0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83.333333333333343</v>
      </c>
      <c r="EL91" s="149"/>
      <c r="EN91" s="151"/>
      <c r="EO91" s="151"/>
      <c r="EP91" s="139">
        <f t="shared" si="56"/>
        <v>0</v>
      </c>
      <c r="EQ91" s="139">
        <f t="shared" si="57"/>
        <v>6.0260416666666679</v>
      </c>
      <c r="ER91" s="139">
        <f t="shared" si="58"/>
        <v>11.425972472824093</v>
      </c>
      <c r="ES91" s="139">
        <f t="shared" si="59"/>
        <v>0</v>
      </c>
      <c r="ET91" s="139">
        <f t="shared" si="60"/>
        <v>0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17.45201413949076</v>
      </c>
      <c r="FV91" s="149"/>
      <c r="FY91" s="211">
        <v>86</v>
      </c>
      <c r="FZ91">
        <v>16.244927255158309</v>
      </c>
      <c r="GA91">
        <v>13.09504512649751</v>
      </c>
      <c r="GB91">
        <v>5.0692042909366037</v>
      </c>
      <c r="GC91">
        <v>3.0573736948248</v>
      </c>
      <c r="GD91">
        <v>2.6844022779621852</v>
      </c>
      <c r="GE91">
        <v>4.1481750077310933</v>
      </c>
      <c r="GF91">
        <v>3.5204892450467966</v>
      </c>
      <c r="GG91">
        <v>3.438559541747412</v>
      </c>
      <c r="GH91">
        <v>3.4568240254375953</v>
      </c>
      <c r="GI91">
        <v>6.3753008626000263</v>
      </c>
      <c r="GJ91"/>
      <c r="GK91">
        <v>16.287922488590944</v>
      </c>
      <c r="GL91">
        <v>11.094444203201263</v>
      </c>
      <c r="GM91">
        <v>8.4349670412678783</v>
      </c>
      <c r="GN91">
        <v>9.1625159273426942</v>
      </c>
      <c r="GO91">
        <v>10.408203622358036</v>
      </c>
      <c r="GP91">
        <v>7.941685765215178</v>
      </c>
      <c r="GQ91">
        <v>4.3093623140572603</v>
      </c>
      <c r="GR91">
        <v>4.8359826844276306</v>
      </c>
      <c r="GS91">
        <v>3.68800735667174</v>
      </c>
      <c r="GT91">
        <v>8.6256925645891709</v>
      </c>
      <c r="GU91"/>
      <c r="GV91"/>
      <c r="GW91"/>
      <c r="GX91"/>
      <c r="GY91"/>
      <c r="GZ91"/>
      <c r="HA91"/>
      <c r="HB91"/>
      <c r="HC91"/>
    </row>
    <row r="92" spans="1:211" s="7" customFormat="1">
      <c r="A92" s="77"/>
      <c r="B92" s="76">
        <f t="shared" ca="1" si="50"/>
        <v>0.30135517507546816</v>
      </c>
      <c r="C92">
        <v>10</v>
      </c>
      <c r="D92">
        <v>39646</v>
      </c>
      <c r="E92">
        <v>0</v>
      </c>
      <c r="F92">
        <v>156.25</v>
      </c>
      <c r="G92">
        <v>20.833333333333332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63.116754610025204</v>
      </c>
      <c r="AO92">
        <v>7.0922621424558772</v>
      </c>
      <c r="AP92">
        <v>37.49571209849433</v>
      </c>
      <c r="AQ92">
        <v>51.996619903089929</v>
      </c>
      <c r="AR92">
        <v>7.3860076676985127</v>
      </c>
      <c r="AS92">
        <v>45.209819795559369</v>
      </c>
      <c r="AT92" t="e">
        <v>#DIV/0!</v>
      </c>
      <c r="AU92" t="e">
        <v>#DIV/0!</v>
      </c>
      <c r="AV92"/>
      <c r="AW92"/>
      <c r="AX92" s="151"/>
      <c r="AY92" s="76">
        <f t="shared" ca="1" si="88"/>
        <v>0.13443666916035446</v>
      </c>
      <c r="AZ92">
        <v>5</v>
      </c>
      <c r="BA92" s="129">
        <f t="shared" si="89"/>
        <v>39646</v>
      </c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90"/>
        <v>0.38955567272805336</v>
      </c>
      <c r="CL92" s="179">
        <f t="shared" si="91"/>
        <v>5</v>
      </c>
      <c r="CM92" s="180">
        <f t="shared" si="92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0.97637230613246739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1">
        <v>87</v>
      </c>
      <c r="FZ92">
        <v>12.11346040330135</v>
      </c>
      <c r="GA92">
        <v>6.8734500856460663</v>
      </c>
      <c r="GB92">
        <v>4.7852222076843089</v>
      </c>
      <c r="GC92">
        <v>3.6628879216395402</v>
      </c>
      <c r="GD92">
        <v>1.7778045958906865</v>
      </c>
      <c r="GE92">
        <v>1.3111913902941177</v>
      </c>
      <c r="GF92">
        <v>2.3682910806287722</v>
      </c>
      <c r="GG92">
        <v>2.4353311428909818</v>
      </c>
      <c r="GH92">
        <v>3.4510860040115654</v>
      </c>
      <c r="GI92">
        <v>4.9643736099545031</v>
      </c>
      <c r="GJ92"/>
      <c r="GK92">
        <v>12.177518740998718</v>
      </c>
      <c r="GL92">
        <v>5.8251037482830048</v>
      </c>
      <c r="GM92">
        <v>7.9272731735886452</v>
      </c>
      <c r="GN92">
        <v>10.94552882108737</v>
      </c>
      <c r="GO92">
        <v>6.933249897436939</v>
      </c>
      <c r="GP92">
        <v>2.5102774064171123</v>
      </c>
      <c r="GQ92">
        <v>2.8974636626885006</v>
      </c>
      <c r="GR92">
        <v>3.4240840330588713</v>
      </c>
      <c r="GS92">
        <v>3.6801835913839906</v>
      </c>
      <c r="GT92">
        <v>6.7231378132193598</v>
      </c>
      <c r="GU92"/>
      <c r="GV92"/>
      <c r="GW92"/>
      <c r="GX92"/>
      <c r="GY92"/>
      <c r="GZ92"/>
      <c r="HA92"/>
      <c r="HB92"/>
      <c r="HC92"/>
    </row>
    <row r="93" spans="1:211" s="7" customFormat="1">
      <c r="A93" s="77"/>
      <c r="B93" s="76">
        <f t="shared" ca="1" si="50"/>
        <v>0.28459615217505796</v>
      </c>
      <c r="C93">
        <v>9</v>
      </c>
      <c r="D93">
        <v>39646</v>
      </c>
      <c r="E93">
        <v>31.25</v>
      </c>
      <c r="F93">
        <v>10.416666666666666</v>
      </c>
      <c r="G93">
        <v>10.416666666666666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46.504769435061235</v>
      </c>
      <c r="AO93">
        <v>5.4929482585120208</v>
      </c>
      <c r="AP93">
        <v>64.961310752510627</v>
      </c>
      <c r="AQ93">
        <v>36.86456847422307</v>
      </c>
      <c r="AR93">
        <v>5.6805636560399355</v>
      </c>
      <c r="AS93">
        <v>33.138142900825777</v>
      </c>
      <c r="AT93" t="e">
        <v>#DIV/0!</v>
      </c>
      <c r="AU93" t="e">
        <v>#DIV/0!</v>
      </c>
      <c r="AV93"/>
      <c r="AW93"/>
      <c r="AX93" s="151"/>
      <c r="AY93" s="76">
        <f t="shared" ca="1" si="88"/>
        <v>0.63627481531366703</v>
      </c>
      <c r="AZ93">
        <v>6</v>
      </c>
      <c r="BA93" s="129">
        <f t="shared" si="89"/>
        <v>39646</v>
      </c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90"/>
        <v>7.7666026359012541E-2</v>
      </c>
      <c r="CL93" s="179">
        <f t="shared" si="91"/>
        <v>6</v>
      </c>
      <c r="CM93" s="180">
        <f t="shared" si="92"/>
        <v>39646</v>
      </c>
      <c r="CN93">
        <v>1</v>
      </c>
      <c r="CO93">
        <v>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1.7647302994967085E-2</v>
      </c>
      <c r="DD93">
        <f t="shared" si="94"/>
        <v>6</v>
      </c>
      <c r="DE93" s="129">
        <f t="shared" si="52"/>
        <v>39646</v>
      </c>
      <c r="DF93" s="161">
        <f t="shared" si="95"/>
        <v>20.833333333333332</v>
      </c>
      <c r="DG93" s="161">
        <f t="shared" si="96"/>
        <v>41.666666666666664</v>
      </c>
      <c r="DH93" s="161">
        <f t="shared" si="97"/>
        <v>0</v>
      </c>
      <c r="DI93" s="161">
        <f t="shared" si="98"/>
        <v>0</v>
      </c>
      <c r="DJ93" s="161">
        <f t="shared" si="99"/>
        <v>0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62.5</v>
      </c>
      <c r="EL93" s="149"/>
      <c r="EN93" s="151"/>
      <c r="EO93" s="151"/>
      <c r="EP93" s="139">
        <f t="shared" si="56"/>
        <v>0.76275019751229889</v>
      </c>
      <c r="EQ93" s="139">
        <f t="shared" si="57"/>
        <v>4.8208333333333337</v>
      </c>
      <c r="ER93" s="139">
        <f t="shared" si="58"/>
        <v>0</v>
      </c>
      <c r="ES93" s="139">
        <f t="shared" si="59"/>
        <v>0</v>
      </c>
      <c r="ET93" s="139">
        <f t="shared" si="60"/>
        <v>0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5.5835835308456323</v>
      </c>
      <c r="FV93" s="149"/>
      <c r="FY93" s="211">
        <v>88</v>
      </c>
      <c r="FZ93">
        <v>8.6173707694327426</v>
      </c>
      <c r="GA93">
        <v>5.9663897125961203</v>
      </c>
      <c r="GB93">
        <v>5.7028824154676974</v>
      </c>
      <c r="GC93">
        <v>2.9781932217267828</v>
      </c>
      <c r="GD93">
        <v>0.82319227955532071</v>
      </c>
      <c r="GE93">
        <v>0.91951716999999999</v>
      </c>
      <c r="GF93">
        <v>4.5170679191704375</v>
      </c>
      <c r="GG93">
        <v>4.3062887730993129</v>
      </c>
      <c r="GH93">
        <v>5.3571883426369382</v>
      </c>
      <c r="GI93">
        <v>4.8142933126901433</v>
      </c>
      <c r="GJ93"/>
      <c r="GK93">
        <v>8.6482186106775885</v>
      </c>
      <c r="GL93">
        <v>5.0559451160169626</v>
      </c>
      <c r="GM93">
        <v>9.4851886287808203</v>
      </c>
      <c r="GN93">
        <v>8.9336028041102615</v>
      </c>
      <c r="GO93">
        <v>3.2019873512136106</v>
      </c>
      <c r="GP93">
        <v>1.7604166666666667</v>
      </c>
      <c r="GQ93">
        <v>5.5305655145403509</v>
      </c>
      <c r="GR93">
        <v>6.0571858849107212</v>
      </c>
      <c r="GS93">
        <v>5.7111135033378702</v>
      </c>
      <c r="GT93">
        <v>6.5154147217100489</v>
      </c>
      <c r="GU93"/>
      <c r="GV93"/>
      <c r="GW93"/>
      <c r="GX93"/>
      <c r="GY93"/>
      <c r="GZ93"/>
      <c r="HA93"/>
      <c r="HB93"/>
      <c r="HC93"/>
    </row>
    <row r="94" spans="1:211" s="7" customFormat="1">
      <c r="A94" s="77"/>
      <c r="B94" s="76">
        <f t="shared" ca="1" si="50"/>
        <v>0.34631688477821143</v>
      </c>
      <c r="C94">
        <v>3</v>
      </c>
      <c r="D94">
        <v>39646</v>
      </c>
      <c r="E94">
        <v>0</v>
      </c>
      <c r="F94">
        <v>104.16666666666667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71.010126958159546</v>
      </c>
      <c r="AO94">
        <v>8.208635391849965</v>
      </c>
      <c r="AP94">
        <v>96.722583642678458</v>
      </c>
      <c r="AQ94">
        <v>55.17458037368683</v>
      </c>
      <c r="AR94">
        <v>8.7773636681675722</v>
      </c>
      <c r="AS94">
        <v>54.696438898272397</v>
      </c>
      <c r="AT94" t="e">
        <v>#DIV/0!</v>
      </c>
      <c r="AU94" t="e">
        <v>#DIV/0!</v>
      </c>
      <c r="AV94"/>
      <c r="AW94"/>
      <c r="AX94" s="151"/>
      <c r="AY94" s="76">
        <f t="shared" ca="1" si="88"/>
        <v>0.95706502640116575</v>
      </c>
      <c r="AZ94">
        <v>7</v>
      </c>
      <c r="BA94" s="129">
        <f t="shared" si="89"/>
        <v>39646</v>
      </c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90"/>
        <v>0.99746529280322749</v>
      </c>
      <c r="CL94" s="179">
        <f t="shared" si="91"/>
        <v>7</v>
      </c>
      <c r="CM94" s="180">
        <f t="shared" si="92"/>
        <v>39646</v>
      </c>
      <c r="CN94">
        <v>1</v>
      </c>
      <c r="CO94">
        <v>4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0.61344638382474592</v>
      </c>
      <c r="DD94">
        <f t="shared" si="94"/>
        <v>7</v>
      </c>
      <c r="DE94" s="129">
        <f t="shared" si="52"/>
        <v>39646</v>
      </c>
      <c r="DF94" s="161">
        <f t="shared" si="95"/>
        <v>20.833333333333332</v>
      </c>
      <c r="DG94" s="161">
        <f t="shared" si="96"/>
        <v>83.333333333333329</v>
      </c>
      <c r="DH94" s="161">
        <f t="shared" si="97"/>
        <v>0</v>
      </c>
      <c r="DI94" s="161">
        <f t="shared" si="98"/>
        <v>0</v>
      </c>
      <c r="DJ94" s="161">
        <f t="shared" si="99"/>
        <v>0</v>
      </c>
      <c r="DK94" s="161">
        <f t="shared" si="100"/>
        <v>0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104.16666666666666</v>
      </c>
      <c r="EL94" s="149"/>
      <c r="EN94" s="151"/>
      <c r="EO94" s="151"/>
      <c r="EP94" s="139">
        <f t="shared" si="56"/>
        <v>0.76275019751229889</v>
      </c>
      <c r="EQ94" s="139">
        <f t="shared" si="57"/>
        <v>9.6416666666666675</v>
      </c>
      <c r="ER94" s="139">
        <f t="shared" si="58"/>
        <v>0</v>
      </c>
      <c r="ES94" s="139">
        <f t="shared" si="59"/>
        <v>0</v>
      </c>
      <c r="ET94" s="139">
        <f t="shared" si="60"/>
        <v>0</v>
      </c>
      <c r="EU94" s="139">
        <f t="shared" si="61"/>
        <v>0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10.404416864178966</v>
      </c>
      <c r="FV94" s="149"/>
      <c r="FY94" s="211">
        <v>89</v>
      </c>
      <c r="FZ94">
        <v>16.252840232842487</v>
      </c>
      <c r="GA94">
        <v>16.156511700938513</v>
      </c>
      <c r="GB94">
        <v>6.1742552621877671</v>
      </c>
      <c r="GC94">
        <v>3.4612667085098372</v>
      </c>
      <c r="GD94">
        <v>2.1720846404477188</v>
      </c>
      <c r="GE94">
        <v>2.4192883019054134</v>
      </c>
      <c r="GF94">
        <v>0.64770273276041657</v>
      </c>
      <c r="GG94">
        <v>1.5903139856770834</v>
      </c>
      <c r="GH94">
        <v>5.9114732579369029</v>
      </c>
      <c r="GI94">
        <v>6.227387568694259</v>
      </c>
      <c r="GJ94"/>
      <c r="GK94">
        <v>16.310424637172744</v>
      </c>
      <c r="GL94">
        <v>13.688407698305703</v>
      </c>
      <c r="GM94">
        <v>10.338727413134137</v>
      </c>
      <c r="GN94">
        <v>10.507078512850647</v>
      </c>
      <c r="GO94">
        <v>8.4524988039117659</v>
      </c>
      <c r="GP94">
        <v>4.6317302026518847</v>
      </c>
      <c r="GQ94">
        <v>0.79369212962962943</v>
      </c>
      <c r="GR94">
        <v>2.238136574074074</v>
      </c>
      <c r="GS94">
        <v>6.3026123921784905</v>
      </c>
      <c r="GT94">
        <v>8.4395910752053531</v>
      </c>
      <c r="GU94"/>
      <c r="GV94"/>
      <c r="GW94"/>
      <c r="GX94"/>
      <c r="GY94"/>
      <c r="GZ94"/>
      <c r="HA94"/>
      <c r="HB94"/>
      <c r="HC94"/>
    </row>
    <row r="95" spans="1:211" s="7" customFormat="1">
      <c r="A95" s="77"/>
      <c r="B95" s="76">
        <f t="shared" ca="1" si="50"/>
        <v>0.86996693810660508</v>
      </c>
      <c r="C95">
        <v>2</v>
      </c>
      <c r="D95">
        <v>39646</v>
      </c>
      <c r="E95">
        <v>20.833333333333332</v>
      </c>
      <c r="F95">
        <v>41.666666666666664</v>
      </c>
      <c r="G95">
        <v>20.833333333333332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64.340367316426438</v>
      </c>
      <c r="AO95">
        <v>7.7025298250975549</v>
      </c>
      <c r="AP95">
        <v>63.057350010145569</v>
      </c>
      <c r="AQ95">
        <v>57.933138248382754</v>
      </c>
      <c r="AR95">
        <v>8.0671361061509277</v>
      </c>
      <c r="AS95">
        <v>51.534057795507231</v>
      </c>
      <c r="AT95" t="e">
        <v>#DIV/0!</v>
      </c>
      <c r="AU95" t="e">
        <v>#DIV/0!</v>
      </c>
      <c r="AV95"/>
      <c r="AW95"/>
      <c r="AX95" s="151"/>
      <c r="AY95" s="76">
        <f t="shared" ca="1" si="88"/>
        <v>0.84051707630016104</v>
      </c>
      <c r="AZ95">
        <v>8</v>
      </c>
      <c r="BA95" s="129">
        <f t="shared" si="89"/>
        <v>39646</v>
      </c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90"/>
        <v>0.79509471927268915</v>
      </c>
      <c r="CL95" s="179">
        <f t="shared" si="91"/>
        <v>8</v>
      </c>
      <c r="CM95" s="180">
        <f t="shared" si="92"/>
        <v>39646</v>
      </c>
      <c r="CN95">
        <v>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0.56943047349181608</v>
      </c>
      <c r="DD95">
        <f t="shared" si="94"/>
        <v>8</v>
      </c>
      <c r="DE95" s="129">
        <f t="shared" si="52"/>
        <v>39646</v>
      </c>
      <c r="DF95" s="161">
        <f t="shared" si="95"/>
        <v>20.833333333333332</v>
      </c>
      <c r="DG95" s="161">
        <f t="shared" si="96"/>
        <v>20.833333333333332</v>
      </c>
      <c r="DH95" s="161">
        <f t="shared" si="97"/>
        <v>0</v>
      </c>
      <c r="DI95" s="161">
        <f t="shared" si="98"/>
        <v>0</v>
      </c>
      <c r="DJ95" s="161">
        <f t="shared" si="99"/>
        <v>0</v>
      </c>
      <c r="DK95" s="161">
        <f t="shared" si="100"/>
        <v>0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41.666666666666664</v>
      </c>
      <c r="EL95" s="149"/>
      <c r="EN95" s="151"/>
      <c r="EO95" s="151"/>
      <c r="EP95" s="139">
        <f t="shared" si="56"/>
        <v>0.76275019751229889</v>
      </c>
      <c r="EQ95" s="139">
        <f t="shared" si="57"/>
        <v>2.4104166666666669</v>
      </c>
      <c r="ER95" s="139">
        <f t="shared" si="58"/>
        <v>0</v>
      </c>
      <c r="ES95" s="139">
        <f t="shared" si="59"/>
        <v>0</v>
      </c>
      <c r="ET95" s="139">
        <f t="shared" si="60"/>
        <v>0</v>
      </c>
      <c r="EU95" s="139">
        <f t="shared" si="61"/>
        <v>0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3.1731668641789659</v>
      </c>
      <c r="FV95" s="149"/>
      <c r="FY95" s="211">
        <v>90</v>
      </c>
      <c r="FZ95">
        <v>11.815129408912071</v>
      </c>
      <c r="GA95">
        <v>10.771623946448997</v>
      </c>
      <c r="GB95">
        <v>3.9605779511238266</v>
      </c>
      <c r="GC95">
        <v>1.7136110707789054</v>
      </c>
      <c r="GD95">
        <v>1.4934433100493809</v>
      </c>
      <c r="GE95">
        <v>2.1454617332225916</v>
      </c>
      <c r="GF95">
        <v>1.8777106423256344</v>
      </c>
      <c r="GG95">
        <v>1.9129089162024455</v>
      </c>
      <c r="GH95">
        <v>5.9314782552313021</v>
      </c>
      <c r="GI95">
        <v>4.8540783431075001</v>
      </c>
      <c r="GJ95"/>
      <c r="GK95">
        <v>11.861445907792925</v>
      </c>
      <c r="GL95">
        <v>9.125701346185215</v>
      </c>
      <c r="GM95">
        <v>6.5581359963527941</v>
      </c>
      <c r="GN95">
        <v>5.1006305991075438</v>
      </c>
      <c r="GO95">
        <v>5.789023193371742</v>
      </c>
      <c r="GP95">
        <v>4.1074889258028797</v>
      </c>
      <c r="GQ95">
        <v>2.300938506441224</v>
      </c>
      <c r="GR95">
        <v>2.6921422101449273</v>
      </c>
      <c r="GS95">
        <v>6.3251824816844318</v>
      </c>
      <c r="GT95">
        <v>6.5669452171286213</v>
      </c>
      <c r="GU95"/>
      <c r="GV95"/>
      <c r="GW95"/>
      <c r="GX95"/>
      <c r="GY95"/>
      <c r="GZ95"/>
      <c r="HA95"/>
      <c r="HB95"/>
      <c r="HC95"/>
    </row>
    <row r="96" spans="1:211" s="7" customFormat="1">
      <c r="A96" s="77"/>
      <c r="B96" s="76">
        <f t="shared" ca="1" si="50"/>
        <v>2.6215400666171895E-2</v>
      </c>
      <c r="C96">
        <v>1</v>
      </c>
      <c r="D96">
        <v>39646</v>
      </c>
      <c r="E96">
        <v>0</v>
      </c>
      <c r="F96">
        <v>20.833333333333332</v>
      </c>
      <c r="G96">
        <v>20.833333333333332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69.79759174193147</v>
      </c>
      <c r="AO96">
        <v>8.4221570272849231</v>
      </c>
      <c r="AP96">
        <v>5.4312489201533891</v>
      </c>
      <c r="AQ96">
        <v>65.323537297651598</v>
      </c>
      <c r="AR96">
        <v>8.7970011496345712</v>
      </c>
      <c r="AS96">
        <v>55.094011785427696</v>
      </c>
      <c r="AT96">
        <v>7.015356133857785</v>
      </c>
      <c r="AU96">
        <v>2.0788940214569163</v>
      </c>
      <c r="AV96"/>
      <c r="AW96"/>
      <c r="AX96" s="151"/>
      <c r="AY96" s="76">
        <f t="shared" ca="1" si="88"/>
        <v>0.20874880486758451</v>
      </c>
      <c r="AZ96">
        <v>9</v>
      </c>
      <c r="BA96" s="129">
        <f t="shared" si="89"/>
        <v>39646</v>
      </c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90"/>
        <v>0.75670798753482105</v>
      </c>
      <c r="CL96" s="179">
        <f t="shared" si="91"/>
        <v>9</v>
      </c>
      <c r="CM96" s="180">
        <f t="shared" si="92"/>
        <v>39646</v>
      </c>
      <c r="CN96">
        <v>3</v>
      </c>
      <c r="CO96">
        <v>1</v>
      </c>
      <c r="CP96">
        <v>1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0.26246665472688724</v>
      </c>
      <c r="DD96">
        <f t="shared" si="94"/>
        <v>9</v>
      </c>
      <c r="DE96" s="129">
        <f t="shared" si="52"/>
        <v>39646</v>
      </c>
      <c r="DF96" s="161">
        <f t="shared" si="95"/>
        <v>31.25</v>
      </c>
      <c r="DG96" s="161">
        <f t="shared" si="96"/>
        <v>10.416666666666666</v>
      </c>
      <c r="DH96" s="161">
        <f t="shared" si="97"/>
        <v>10.416666666666666</v>
      </c>
      <c r="DI96" s="161">
        <f t="shared" si="98"/>
        <v>0</v>
      </c>
      <c r="DJ96" s="161">
        <f t="shared" si="99"/>
        <v>0</v>
      </c>
      <c r="DK96" s="161">
        <f t="shared" si="100"/>
        <v>0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52.083333333333329</v>
      </c>
      <c r="EL96" s="149"/>
      <c r="EN96" s="151"/>
      <c r="EO96" s="151"/>
      <c r="EP96" s="139">
        <f t="shared" si="56"/>
        <v>1.1441252962684483</v>
      </c>
      <c r="EQ96" s="139">
        <f t="shared" si="57"/>
        <v>1.2052083333333334</v>
      </c>
      <c r="ER96" s="139">
        <f t="shared" si="58"/>
        <v>3.8086574909413637</v>
      </c>
      <c r="ES96" s="139">
        <f t="shared" si="59"/>
        <v>0</v>
      </c>
      <c r="ET96" s="139">
        <f t="shared" si="60"/>
        <v>0</v>
      </c>
      <c r="EU96" s="139">
        <f t="shared" si="61"/>
        <v>0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6.1579911205431461</v>
      </c>
      <c r="FV96" s="149"/>
      <c r="FY96" s="211">
        <v>91</v>
      </c>
      <c r="FZ96">
        <v>12.721998655807361</v>
      </c>
      <c r="GA96">
        <v>10.497091639207957</v>
      </c>
      <c r="GB96">
        <v>4.6329643537041925</v>
      </c>
      <c r="GC96">
        <v>3.0064824840221576</v>
      </c>
      <c r="GD96">
        <v>1.0924914306501556</v>
      </c>
      <c r="GE96">
        <v>1.0642712146511626</v>
      </c>
      <c r="GF96">
        <v>1.2074524259805255</v>
      </c>
      <c r="GG96">
        <v>1.003228398856431</v>
      </c>
      <c r="GH96">
        <v>2.8330769036643839</v>
      </c>
      <c r="GI96">
        <v>4.3159881992559601</v>
      </c>
      <c r="GJ96"/>
      <c r="GK96">
        <v>12.773195303229663</v>
      </c>
      <c r="GL96">
        <v>8.8956641077247109</v>
      </c>
      <c r="GM96">
        <v>7.7107350690439942</v>
      </c>
      <c r="GN96">
        <v>9.0137536217911638</v>
      </c>
      <c r="GO96">
        <v>4.2439056545602591</v>
      </c>
      <c r="GP96">
        <v>2.037548449612403</v>
      </c>
      <c r="GQ96">
        <v>1.4796069847020934</v>
      </c>
      <c r="GR96">
        <v>1.4118986513687599</v>
      </c>
      <c r="GS96">
        <v>3.0225456621004572</v>
      </c>
      <c r="GT96">
        <v>5.8459977347272938</v>
      </c>
      <c r="GU96"/>
      <c r="GV96"/>
      <c r="GW96"/>
      <c r="GX96"/>
      <c r="GY96"/>
      <c r="GZ96"/>
      <c r="HA96"/>
      <c r="HB96"/>
      <c r="HC96"/>
    </row>
    <row r="97" spans="1:211" s="7" customFormat="1">
      <c r="A97" s="77"/>
      <c r="B97" s="76">
        <f t="shared" ca="1" si="50"/>
        <v>0.57727782069412914</v>
      </c>
      <c r="C97">
        <v>4</v>
      </c>
      <c r="D97">
        <v>39646</v>
      </c>
      <c r="E97">
        <v>0</v>
      </c>
      <c r="F97">
        <v>52.083333333333336</v>
      </c>
      <c r="G97">
        <v>31.25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62.462863203613097</v>
      </c>
      <c r="AO97">
        <v>7.5383851905816881</v>
      </c>
      <c r="AP97">
        <v>84.126177119640786</v>
      </c>
      <c r="AQ97">
        <v>52.381937712965296</v>
      </c>
      <c r="AR97">
        <v>7.7365170102790994</v>
      </c>
      <c r="AS97">
        <v>46.551001950179838</v>
      </c>
      <c r="AT97" t="e">
        <v>#DIV/0!</v>
      </c>
      <c r="AU97" t="e">
        <v>#DIV/0!</v>
      </c>
      <c r="AV97"/>
      <c r="AW97"/>
      <c r="AX97" s="151"/>
      <c r="AY97" s="76">
        <f t="shared" ca="1" si="88"/>
        <v>0.79054312951311489</v>
      </c>
      <c r="AZ97">
        <v>10</v>
      </c>
      <c r="BA97" s="129">
        <f t="shared" si="89"/>
        <v>39646</v>
      </c>
      <c r="BB97"/>
      <c r="BC97">
        <v>1</v>
      </c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90"/>
        <v>0.13891908182341006</v>
      </c>
      <c r="CL97" s="179">
        <f t="shared" si="91"/>
        <v>10</v>
      </c>
      <c r="CM97" s="180">
        <f t="shared" si="92"/>
        <v>39646</v>
      </c>
      <c r="CN97">
        <v>0</v>
      </c>
      <c r="CO97">
        <v>7</v>
      </c>
      <c r="CP97">
        <v>1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0.30516477354818594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156.25</v>
      </c>
      <c r="DH97" s="161">
        <f t="shared" si="97"/>
        <v>20.833333333333332</v>
      </c>
      <c r="DI97" s="161">
        <f t="shared" si="98"/>
        <v>0</v>
      </c>
      <c r="DJ97" s="161">
        <f t="shared" si="99"/>
        <v>0</v>
      </c>
      <c r="DK97" s="161">
        <f t="shared" si="100"/>
        <v>0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177.08333333333334</v>
      </c>
      <c r="EL97" s="149"/>
      <c r="EN97" s="151"/>
      <c r="EO97" s="151"/>
      <c r="EP97" s="139">
        <f t="shared" si="56"/>
        <v>0</v>
      </c>
      <c r="EQ97" s="139">
        <f t="shared" si="57"/>
        <v>18.078125</v>
      </c>
      <c r="ER97" s="139">
        <f t="shared" si="58"/>
        <v>7.6173149818827275</v>
      </c>
      <c r="ES97" s="139">
        <f t="shared" si="59"/>
        <v>0</v>
      </c>
      <c r="ET97" s="139">
        <f t="shared" si="60"/>
        <v>0</v>
      </c>
      <c r="EU97" s="139">
        <f t="shared" si="61"/>
        <v>0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25.695439981882728</v>
      </c>
      <c r="FV97" s="149"/>
      <c r="FY97" s="211">
        <v>92</v>
      </c>
      <c r="FZ97">
        <v>14.089408882977409</v>
      </c>
      <c r="GA97">
        <v>11.574304573668536</v>
      </c>
      <c r="GB97">
        <v>6.6114787275800175</v>
      </c>
      <c r="GC97">
        <v>3.6104265476341157</v>
      </c>
      <c r="GD97">
        <v>1.7328173548780208</v>
      </c>
      <c r="GE97">
        <v>2.6223827805882354</v>
      </c>
      <c r="GF97">
        <v>0.60804645810537317</v>
      </c>
      <c r="GG97">
        <v>0.90314713503810828</v>
      </c>
      <c r="GH97">
        <v>4.2864676762586678</v>
      </c>
      <c r="GI97">
        <v>5.4953244816030864</v>
      </c>
      <c r="GJ97"/>
      <c r="GK97">
        <v>14.132100343887277</v>
      </c>
      <c r="GL97">
        <v>9.806281118346428</v>
      </c>
      <c r="GM97">
        <v>11.028058995739988</v>
      </c>
      <c r="GN97">
        <v>10.882729592457826</v>
      </c>
      <c r="GO97">
        <v>6.7376114018779267</v>
      </c>
      <c r="GP97">
        <v>5.0205548128342246</v>
      </c>
      <c r="GQ97">
        <v>0.74278250565987025</v>
      </c>
      <c r="GR97">
        <v>1.2694028760302405</v>
      </c>
      <c r="GS97">
        <v>4.5711034619770503</v>
      </c>
      <c r="GT97">
        <v>7.4423313418284227</v>
      </c>
      <c r="GU97"/>
      <c r="GV97"/>
      <c r="GW97"/>
      <c r="GX97"/>
      <c r="GY97"/>
      <c r="GZ97"/>
      <c r="HA97"/>
      <c r="HB97"/>
      <c r="HC97"/>
    </row>
    <row r="98" spans="1:211" s="7" customFormat="1">
      <c r="A98" s="128"/>
      <c r="B98" s="76">
        <f t="shared" ca="1" si="50"/>
        <v>0.56985133448854519</v>
      </c>
      <c r="C98">
        <v>8</v>
      </c>
      <c r="D98">
        <v>39673</v>
      </c>
      <c r="E98">
        <v>0</v>
      </c>
      <c r="F98">
        <v>250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56.581390482248437</v>
      </c>
      <c r="AO98">
        <v>6.7017081856404079</v>
      </c>
      <c r="AP98">
        <v>19.231598799054183</v>
      </c>
      <c r="AQ98">
        <v>47.865868538541278</v>
      </c>
      <c r="AR98">
        <v>7.1033055223909791</v>
      </c>
      <c r="AS98">
        <v>44.668547161854548</v>
      </c>
      <c r="AT98" t="e">
        <v>#DIV/0!</v>
      </c>
      <c r="AU98" t="e">
        <v>#DIV/0!</v>
      </c>
      <c r="AV98"/>
      <c r="AW98"/>
      <c r="AX98" s="128"/>
      <c r="AY98" s="76">
        <f t="shared" ca="1" si="88"/>
        <v>2.9554224319259248E-2</v>
      </c>
      <c r="AZ98">
        <v>1</v>
      </c>
      <c r="BA98" s="129">
        <f>IF(AZ98="", "",$C$5)</f>
        <v>39673</v>
      </c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90"/>
        <v>0.4230851763185024</v>
      </c>
      <c r="CL98" s="179">
        <f t="shared" si="91"/>
        <v>1</v>
      </c>
      <c r="CM98" s="180">
        <f t="shared" si="92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4.5497254149178712E-2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0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0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0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0</v>
      </c>
      <c r="FV98" s="149"/>
      <c r="FY98" s="211">
        <v>93</v>
      </c>
      <c r="FZ98">
        <v>7.8266695603419709</v>
      </c>
      <c r="GA98">
        <v>5.710302724084749</v>
      </c>
      <c r="GB98">
        <v>4.8677492992660767</v>
      </c>
      <c r="GC98">
        <v>2.775504773015137</v>
      </c>
      <c r="GD98">
        <v>2.3563569681057408</v>
      </c>
      <c r="GE98">
        <v>3.8022145751680676</v>
      </c>
      <c r="GF98">
        <v>1.8085413874086631</v>
      </c>
      <c r="GG98">
        <v>1.5256506255449667</v>
      </c>
      <c r="GH98">
        <v>2.9256263713251482</v>
      </c>
      <c r="GI98">
        <v>4.4942951256719113</v>
      </c>
      <c r="GJ98"/>
      <c r="GK98">
        <v>7.8557928759782731</v>
      </c>
      <c r="GL98">
        <v>4.8381210276967526</v>
      </c>
      <c r="GM98">
        <v>8.0569798752799766</v>
      </c>
      <c r="GN98">
        <v>8.2648848055962922</v>
      </c>
      <c r="GO98">
        <v>9.1465100466554237</v>
      </c>
      <c r="GP98">
        <v>7.2793441240132424</v>
      </c>
      <c r="GQ98">
        <v>2.2115488076160368</v>
      </c>
      <c r="GR98">
        <v>2.1438404742827033</v>
      </c>
      <c r="GS98">
        <v>3.1167942125566768</v>
      </c>
      <c r="GT98">
        <v>6.0775251636172776</v>
      </c>
      <c r="GU98"/>
      <c r="GV98"/>
      <c r="GW98"/>
      <c r="GX98"/>
      <c r="GY98"/>
      <c r="GZ98"/>
      <c r="HA98"/>
      <c r="HB98"/>
      <c r="HC98"/>
    </row>
    <row r="99" spans="1:211" s="7" customFormat="1">
      <c r="A99" s="1"/>
      <c r="B99" s="76">
        <f t="shared" ca="1" si="50"/>
        <v>0.68953266439028149</v>
      </c>
      <c r="C99">
        <v>2</v>
      </c>
      <c r="D99">
        <v>39673</v>
      </c>
      <c r="E99">
        <v>0</v>
      </c>
      <c r="F99">
        <v>62.5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61.849554075329216</v>
      </c>
      <c r="AO99">
        <v>7.1387532834946921</v>
      </c>
      <c r="AP99">
        <v>17.225208067043393</v>
      </c>
      <c r="AQ99">
        <v>52.590970229571958</v>
      </c>
      <c r="AR99">
        <v>7.2956067849112998</v>
      </c>
      <c r="AS99">
        <v>43.089331831948812</v>
      </c>
      <c r="AT99" t="e">
        <v>#DIV/0!</v>
      </c>
      <c r="AU99" t="e">
        <v>#DIV/0!</v>
      </c>
      <c r="AV99"/>
      <c r="AW99"/>
      <c r="AX99" s="146"/>
      <c r="AY99" s="76">
        <f t="shared" ca="1" si="88"/>
        <v>0.6963224271817936</v>
      </c>
      <c r="AZ99">
        <v>2</v>
      </c>
      <c r="BA99" s="129">
        <f t="shared" ref="BA99:BA107" si="127">IF(AZ99="", "",$C$5)</f>
        <v>39673</v>
      </c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90"/>
        <v>0.40894986444137049</v>
      </c>
      <c r="CL99" s="179">
        <f t="shared" si="91"/>
        <v>2</v>
      </c>
      <c r="CM99" s="180">
        <f t="shared" si="92"/>
        <v>39673</v>
      </c>
      <c r="CN99">
        <v>0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0.60887150133115364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62.5</v>
      </c>
      <c r="DH99" s="161">
        <f t="shared" si="97"/>
        <v>0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62.5</v>
      </c>
      <c r="EL99" s="149"/>
      <c r="EN99" s="146"/>
      <c r="EO99" s="146"/>
      <c r="EP99" s="139">
        <f t="shared" si="56"/>
        <v>0</v>
      </c>
      <c r="EQ99" s="139">
        <f t="shared" si="57"/>
        <v>7.2312500000000011</v>
      </c>
      <c r="ER99" s="139">
        <f t="shared" si="58"/>
        <v>0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7.2312500000000011</v>
      </c>
      <c r="FV99" s="149"/>
      <c r="FY99" s="211">
        <v>94</v>
      </c>
      <c r="FZ99">
        <v>8.6073088218584406</v>
      </c>
      <c r="GA99">
        <v>8.1982438101760664</v>
      </c>
      <c r="GB99">
        <v>6.1725727712154361</v>
      </c>
      <c r="GC99">
        <v>2.6045167598244396</v>
      </c>
      <c r="GD99">
        <v>2.0140898241038845</v>
      </c>
      <c r="GE99">
        <v>3.1898844329138178</v>
      </c>
      <c r="GF99">
        <v>1.2713471777732464</v>
      </c>
      <c r="GG99">
        <v>1.4321027440345502</v>
      </c>
      <c r="GH99">
        <v>6.9377469643370011</v>
      </c>
      <c r="GI99">
        <v>5.2694735591281185</v>
      </c>
      <c r="GJ99"/>
      <c r="GK99">
        <v>8.6436991539167867</v>
      </c>
      <c r="GL99">
        <v>6.9457588692773253</v>
      </c>
      <c r="GM99">
        <v>10.221370098914218</v>
      </c>
      <c r="GN99">
        <v>7.7606252828880544</v>
      </c>
      <c r="GO99">
        <v>7.8194413888540373</v>
      </c>
      <c r="GP99">
        <v>6.1070373709737611</v>
      </c>
      <c r="GQ99">
        <v>1.5532733446530738</v>
      </c>
      <c r="GR99">
        <v>2.0121853816901107</v>
      </c>
      <c r="GS99">
        <v>7.3971866322412936</v>
      </c>
      <c r="GT99">
        <v>7.1269941237158818</v>
      </c>
      <c r="GU99"/>
      <c r="GV99"/>
      <c r="GW99"/>
      <c r="GX99"/>
      <c r="GY99"/>
      <c r="GZ99"/>
      <c r="HA99"/>
      <c r="HB99"/>
      <c r="HC99"/>
    </row>
    <row r="100" spans="1:211" s="7" customFormat="1">
      <c r="A100" s="1"/>
      <c r="B100" s="76">
        <f t="shared" ca="1" si="50"/>
        <v>0.36419024540674028</v>
      </c>
      <c r="C100">
        <v>6</v>
      </c>
      <c r="D100">
        <v>39673</v>
      </c>
      <c r="E100">
        <v>31.25</v>
      </c>
      <c r="F100">
        <v>62.5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60.065671979565934</v>
      </c>
      <c r="AO100">
        <v>7.5308400137944602</v>
      </c>
      <c r="AP100">
        <v>52.24619679440238</v>
      </c>
      <c r="AQ100">
        <v>50.400523191048954</v>
      </c>
      <c r="AR100">
        <v>7.6246177707599481</v>
      </c>
      <c r="AS100">
        <v>48.25337608069006</v>
      </c>
      <c r="AT100" t="e">
        <v>#DIV/0!</v>
      </c>
      <c r="AU100" t="e">
        <v>#DIV/0!</v>
      </c>
      <c r="AV100"/>
      <c r="AW100"/>
      <c r="AX100" s="146"/>
      <c r="AY100" s="76">
        <f t="shared" ca="1" si="88"/>
        <v>0.83446014270282332</v>
      </c>
      <c r="AZ100">
        <v>3</v>
      </c>
      <c r="BA100" s="129">
        <f t="shared" si="127"/>
        <v>39673</v>
      </c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90"/>
        <v>0.3287871223853871</v>
      </c>
      <c r="CL100" s="179">
        <f t="shared" si="91"/>
        <v>3</v>
      </c>
      <c r="CM100" s="180">
        <f t="shared" si="92"/>
        <v>39673</v>
      </c>
      <c r="CN100">
        <v>2</v>
      </c>
      <c r="CO100">
        <v>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0.90607901256395773</v>
      </c>
      <c r="DD100">
        <f t="shared" si="94"/>
        <v>3</v>
      </c>
      <c r="DE100" s="129">
        <f t="shared" si="126"/>
        <v>39673</v>
      </c>
      <c r="DF100" s="161">
        <f t="shared" si="95"/>
        <v>142.97385620915031</v>
      </c>
      <c r="DG100" s="161">
        <f t="shared" si="96"/>
        <v>428.92156862745094</v>
      </c>
      <c r="DH100" s="161">
        <f t="shared" si="97"/>
        <v>0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571.89542483660125</v>
      </c>
      <c r="EL100" s="149"/>
      <c r="EN100" s="146"/>
      <c r="EO100" s="146"/>
      <c r="EP100" s="139">
        <f t="shared" si="56"/>
        <v>5.2345601790059719</v>
      </c>
      <c r="EQ100" s="139">
        <f t="shared" si="57"/>
        <v>49.626225490196077</v>
      </c>
      <c r="ER100" s="139">
        <f t="shared" si="58"/>
        <v>0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54.860785669202052</v>
      </c>
      <c r="FV100" s="149"/>
      <c r="FY100" s="211">
        <v>95</v>
      </c>
      <c r="FZ100">
        <v>13.499882638525762</v>
      </c>
      <c r="GA100">
        <v>13.995660724725997</v>
      </c>
      <c r="GB100">
        <v>5.4421427965774436</v>
      </c>
      <c r="GC100">
        <v>2.6380548013190372</v>
      </c>
      <c r="GD100">
        <v>1.9568473564995412</v>
      </c>
      <c r="GE100">
        <v>2.3131901669054136</v>
      </c>
      <c r="GF100">
        <v>1.8793936358786199</v>
      </c>
      <c r="GG100">
        <v>1.9610583530309917</v>
      </c>
      <c r="GH100">
        <v>3.2507579917341998</v>
      </c>
      <c r="GI100">
        <v>5.313692794605676</v>
      </c>
      <c r="GJ100"/>
      <c r="GK100">
        <v>13.548642280579866</v>
      </c>
      <c r="GL100">
        <v>11.856789420656794</v>
      </c>
      <c r="GM100">
        <v>9.0479902794294791</v>
      </c>
      <c r="GN100">
        <v>7.930191325560946</v>
      </c>
      <c r="GO100">
        <v>7.6077287146029162</v>
      </c>
      <c r="GP100">
        <v>4.4286052026518856</v>
      </c>
      <c r="GQ100">
        <v>2.2960558503129445</v>
      </c>
      <c r="GR100">
        <v>2.7549678873499812</v>
      </c>
      <c r="GS100">
        <v>3.4655126110913721</v>
      </c>
      <c r="GT100">
        <v>7.1931859472033146</v>
      </c>
      <c r="GU100"/>
      <c r="GV100"/>
      <c r="GW100"/>
      <c r="GX100"/>
      <c r="GY100"/>
      <c r="GZ100"/>
      <c r="HA100"/>
      <c r="HB100"/>
      <c r="HC100"/>
    </row>
    <row r="101" spans="1:211" s="7" customFormat="1">
      <c r="A101" s="1"/>
      <c r="B101" s="76">
        <f t="shared" ca="1" si="50"/>
        <v>0.83694000423094872</v>
      </c>
      <c r="C101">
        <v>5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48.797928863461166</v>
      </c>
      <c r="AO101">
        <v>5.9855195764478779</v>
      </c>
      <c r="AP101">
        <v>30.580536925124918</v>
      </c>
      <c r="AQ101">
        <v>44.135486138771306</v>
      </c>
      <c r="AR101">
        <v>6.4612357279620438</v>
      </c>
      <c r="AS101">
        <v>39.483148501427735</v>
      </c>
      <c r="AT101" t="e">
        <v>#DIV/0!</v>
      </c>
      <c r="AU101" t="e">
        <v>#DIV/0!</v>
      </c>
      <c r="AV101"/>
      <c r="AW101"/>
      <c r="AX101" s="146"/>
      <c r="AY101" s="76">
        <f t="shared" ca="1" si="88"/>
        <v>0.26078769322496242</v>
      </c>
      <c r="AZ101">
        <v>4</v>
      </c>
      <c r="BA101" s="129">
        <f t="shared" si="127"/>
        <v>39673</v>
      </c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90"/>
        <v>0.84111085513128292</v>
      </c>
      <c r="CL101" s="179">
        <f t="shared" si="91"/>
        <v>4</v>
      </c>
      <c r="CM101" s="180">
        <f t="shared" si="92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0.73028070020440694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1">
        <v>96</v>
      </c>
      <c r="FZ101">
        <v>10.893683704247081</v>
      </c>
      <c r="GA101">
        <v>8.5105818749787296</v>
      </c>
      <c r="GB101">
        <v>5.2874939904789997</v>
      </c>
      <c r="GC101">
        <v>2.7263519081161709</v>
      </c>
      <c r="GD101">
        <v>1.3828107755183228</v>
      </c>
      <c r="GE101">
        <v>1.8861499016112959</v>
      </c>
      <c r="GF101">
        <v>1.8707531456483986</v>
      </c>
      <c r="GG101">
        <v>1.9063755338945396</v>
      </c>
      <c r="GH101">
        <v>3.2174746952302091</v>
      </c>
      <c r="GI101">
        <v>4.5529741234903165</v>
      </c>
      <c r="GJ101"/>
      <c r="GK101">
        <v>10.930777306785897</v>
      </c>
      <c r="GL101">
        <v>7.2105931702009789</v>
      </c>
      <c r="GM101">
        <v>8.7928555387032379</v>
      </c>
      <c r="GN101">
        <v>8.1806469151693619</v>
      </c>
      <c r="GO101">
        <v>5.3703017959696275</v>
      </c>
      <c r="GP101">
        <v>3.6110361295681064</v>
      </c>
      <c r="GQ101">
        <v>2.2900978236952971</v>
      </c>
      <c r="GR101">
        <v>2.6813015273990004</v>
      </c>
      <c r="GS101">
        <v>3.4281605874932572</v>
      </c>
      <c r="GT101">
        <v>6.1624386105294633</v>
      </c>
      <c r="GU101"/>
      <c r="GV101"/>
      <c r="GW101"/>
      <c r="GX101"/>
      <c r="GY101"/>
      <c r="GZ101"/>
      <c r="HA101"/>
      <c r="HB101"/>
      <c r="HC101"/>
    </row>
    <row r="102" spans="1:211" s="7" customFormat="1">
      <c r="A102" s="1"/>
      <c r="B102" s="76">
        <f t="shared" ca="1" si="50"/>
        <v>0.78815263939714053</v>
      </c>
      <c r="C102">
        <v>9</v>
      </c>
      <c r="D102">
        <v>39673</v>
      </c>
      <c r="E102">
        <v>0</v>
      </c>
      <c r="F102">
        <v>31.25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70.390187783944981</v>
      </c>
      <c r="AO102">
        <v>8.4788783967721795</v>
      </c>
      <c r="AP102">
        <v>54.265186103972646</v>
      </c>
      <c r="AQ102">
        <v>61.090301327942328</v>
      </c>
      <c r="AR102">
        <v>8.6256925645891727</v>
      </c>
      <c r="AS102">
        <v>56.628766067750583</v>
      </c>
      <c r="AT102" t="e">
        <v>#DIV/0!</v>
      </c>
      <c r="AU102" t="e">
        <v>#DIV/0!</v>
      </c>
      <c r="AV102"/>
      <c r="AW102"/>
      <c r="AX102" s="146"/>
      <c r="AY102" s="76">
        <f t="shared" ca="1" si="88"/>
        <v>0.19408867792272932</v>
      </c>
      <c r="AZ102">
        <v>5</v>
      </c>
      <c r="BA102" s="129">
        <f t="shared" si="127"/>
        <v>39673</v>
      </c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90"/>
        <v>0.37914026585007554</v>
      </c>
      <c r="CL102" s="179">
        <f t="shared" si="91"/>
        <v>5</v>
      </c>
      <c r="CM102" s="180">
        <f t="shared" si="92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0.32435492825780754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1">
        <v>97</v>
      </c>
      <c r="FZ102">
        <v>8.8917247521417746</v>
      </c>
      <c r="GA102">
        <v>7.0915250496514073</v>
      </c>
      <c r="GB102">
        <v>5.4532529763110178</v>
      </c>
      <c r="GC102">
        <v>2.6542918527016219</v>
      </c>
      <c r="GD102">
        <v>0.26543459799999997</v>
      </c>
      <c r="GE102">
        <v>0</v>
      </c>
      <c r="GF102">
        <v>2.8346330417942314</v>
      </c>
      <c r="GG102">
        <v>2.4676628229570388</v>
      </c>
      <c r="GH102">
        <v>1.8533990050590561</v>
      </c>
      <c r="GI102">
        <v>3.6172814785782479</v>
      </c>
      <c r="GJ102"/>
      <c r="GK102">
        <v>8.9283657647989649</v>
      </c>
      <c r="GL102">
        <v>6.0081323547295469</v>
      </c>
      <c r="GM102">
        <v>9.1117658890252535</v>
      </c>
      <c r="GN102">
        <v>8.0240024145612896</v>
      </c>
      <c r="GO102">
        <v>1.0291666666666666</v>
      </c>
      <c r="GP102">
        <v>0</v>
      </c>
      <c r="GQ102">
        <v>3.4712320829545558</v>
      </c>
      <c r="GR102">
        <v>3.4712320829545558</v>
      </c>
      <c r="GS102">
        <v>1.9762630901641396</v>
      </c>
      <c r="GT102">
        <v>4.9033586987219167</v>
      </c>
      <c r="GU102"/>
      <c r="GV102"/>
      <c r="GW102"/>
      <c r="GX102"/>
      <c r="GY102"/>
      <c r="GZ102"/>
      <c r="HA102"/>
      <c r="HB102"/>
      <c r="HC102"/>
    </row>
    <row r="103" spans="1:211" s="7" customFormat="1">
      <c r="A103" s="1"/>
      <c r="B103" s="76">
        <f t="shared" ca="1" si="50"/>
        <v>0.36452439240058987</v>
      </c>
      <c r="C103">
        <v>7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50.743988546626511</v>
      </c>
      <c r="AO103">
        <v>6.3043820888162507</v>
      </c>
      <c r="AP103">
        <v>38.540696817818485</v>
      </c>
      <c r="AQ103">
        <v>43.743098441941896</v>
      </c>
      <c r="AR103">
        <v>6.7231378132193615</v>
      </c>
      <c r="AS103">
        <v>41.155610977710623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0.98518705866108158</v>
      </c>
      <c r="AZ103">
        <v>6</v>
      </c>
      <c r="BA103" s="129">
        <f t="shared" si="127"/>
        <v>39673</v>
      </c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90"/>
        <v>0.70426924396640556</v>
      </c>
      <c r="CL103" s="179">
        <f t="shared" si="91"/>
        <v>6</v>
      </c>
      <c r="CM103" s="180">
        <f t="shared" si="92"/>
        <v>39673</v>
      </c>
      <c r="CN103">
        <v>3</v>
      </c>
      <c r="CO103">
        <v>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0.33827039629462186</v>
      </c>
      <c r="DD103">
        <f>IF(AZ103="", "", AZ103)</f>
        <v>6</v>
      </c>
      <c r="DE103" s="129">
        <f t="shared" si="126"/>
        <v>39673</v>
      </c>
      <c r="DF103" s="161">
        <f t="shared" si="95"/>
        <v>31.25</v>
      </c>
      <c r="DG103" s="161">
        <f t="shared" si="96"/>
        <v>62.5</v>
      </c>
      <c r="DH103" s="161">
        <f t="shared" si="97"/>
        <v>0</v>
      </c>
      <c r="DI103" s="161">
        <f t="shared" si="98"/>
        <v>0</v>
      </c>
      <c r="DJ103" s="161">
        <f t="shared" si="99"/>
        <v>0</v>
      </c>
      <c r="DK103" s="161">
        <f t="shared" si="100"/>
        <v>0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93.75</v>
      </c>
      <c r="EL103" s="149"/>
      <c r="EN103" s="146"/>
      <c r="EO103" s="146"/>
      <c r="EP103" s="139">
        <f t="shared" si="56"/>
        <v>1.1441252962684483</v>
      </c>
      <c r="EQ103" s="139">
        <f t="shared" si="57"/>
        <v>7.2312500000000011</v>
      </c>
      <c r="ER103" s="139">
        <f t="shared" si="58"/>
        <v>0</v>
      </c>
      <c r="ES103" s="139">
        <f t="shared" si="59"/>
        <v>0</v>
      </c>
      <c r="ET103" s="139">
        <f t="shared" si="60"/>
        <v>0</v>
      </c>
      <c r="EU103" s="139">
        <f t="shared" si="61"/>
        <v>0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8.3753752962684498</v>
      </c>
      <c r="FV103" s="149"/>
      <c r="FY103" s="211">
        <v>98</v>
      </c>
      <c r="FZ103">
        <v>10.358465244270604</v>
      </c>
      <c r="GA103">
        <v>12.656857043682846</v>
      </c>
      <c r="GB103">
        <v>7.212816881969415</v>
      </c>
      <c r="GC103">
        <v>3.5164072487901312</v>
      </c>
      <c r="GD103">
        <v>2.1214949335092812</v>
      </c>
      <c r="GE103">
        <v>2.3839222569054139</v>
      </c>
      <c r="GF103">
        <v>1.1452406677407898</v>
      </c>
      <c r="GG103">
        <v>1.7450780686318585</v>
      </c>
      <c r="GH103">
        <v>4.8516994951637278</v>
      </c>
      <c r="GI103">
        <v>5.4948682487781753</v>
      </c>
      <c r="GJ103"/>
      <c r="GK103">
        <v>10.39645629652108</v>
      </c>
      <c r="GL103">
        <v>10.723392982332312</v>
      </c>
      <c r="GM103">
        <v>11.946748703183586</v>
      </c>
      <c r="GN103">
        <v>10.48854801258695</v>
      </c>
      <c r="GO103">
        <v>8.2453708483873491</v>
      </c>
      <c r="GP103">
        <v>4.5640218693185526</v>
      </c>
      <c r="GQ103">
        <v>1.4010579686228333</v>
      </c>
      <c r="GR103">
        <v>2.4542987093635737</v>
      </c>
      <c r="GS103">
        <v>5.1741365035802973</v>
      </c>
      <c r="GT103">
        <v>7.4327540640590284</v>
      </c>
      <c r="GU103"/>
      <c r="GV103"/>
      <c r="GW103"/>
      <c r="GX103"/>
      <c r="GY103"/>
      <c r="GZ103"/>
      <c r="HA103"/>
      <c r="HB103"/>
      <c r="HC103"/>
    </row>
    <row r="104" spans="1:211" s="7" customFormat="1">
      <c r="A104" s="1"/>
      <c r="B104" s="76">
        <f t="shared" ca="1" si="50"/>
        <v>0.61915000842390588</v>
      </c>
      <c r="C104">
        <v>4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50.958208258312197</v>
      </c>
      <c r="AO104">
        <v>6.0899638801964899</v>
      </c>
      <c r="AP104">
        <v>68.39656973815319</v>
      </c>
      <c r="AQ104">
        <v>44.002383916375493</v>
      </c>
      <c r="AR104">
        <v>6.5154147217100498</v>
      </c>
      <c r="AS104">
        <v>41.792500045501171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0.59005478583917625</v>
      </c>
      <c r="AZ104">
        <v>7</v>
      </c>
      <c r="BA104" s="129">
        <f t="shared" si="127"/>
        <v>39673</v>
      </c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90"/>
        <v>8.8171300814758213E-2</v>
      </c>
      <c r="CL104" s="179">
        <f t="shared" si="91"/>
        <v>7</v>
      </c>
      <c r="CM104" s="180">
        <f t="shared" si="92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0.3992601120903787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0</v>
      </c>
      <c r="DJ104" s="161">
        <f t="shared" si="99"/>
        <v>0</v>
      </c>
      <c r="DK104" s="161">
        <f t="shared" si="100"/>
        <v>0</v>
      </c>
      <c r="DL104" s="161">
        <f t="shared" si="101"/>
        <v>0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0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0</v>
      </c>
      <c r="ET104" s="139">
        <f t="shared" si="60"/>
        <v>0</v>
      </c>
      <c r="EU104" s="139">
        <f t="shared" si="61"/>
        <v>0</v>
      </c>
      <c r="EV104" s="139">
        <f t="shared" si="62"/>
        <v>0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0</v>
      </c>
      <c r="FV104" s="149"/>
      <c r="FY104" s="211">
        <v>99</v>
      </c>
      <c r="FZ104">
        <v>11.595004581319856</v>
      </c>
      <c r="GA104">
        <v>11.287069452383198</v>
      </c>
      <c r="GB104">
        <v>6.6713587205613347</v>
      </c>
      <c r="GC104">
        <v>3.5464223822718073</v>
      </c>
      <c r="GD104">
        <v>2.1408743781376165</v>
      </c>
      <c r="GE104">
        <v>3.1737247635167094</v>
      </c>
      <c r="GF104">
        <v>1.2783046744504822</v>
      </c>
      <c r="GG104">
        <v>1.4386361263424563</v>
      </c>
      <c r="GH104">
        <v>4.2807296548326397</v>
      </c>
      <c r="GI104">
        <v>5.4912851116269081</v>
      </c>
      <c r="GJ104"/>
      <c r="GK104">
        <v>11.625523865323785</v>
      </c>
      <c r="GL104">
        <v>9.5636718074184053</v>
      </c>
      <c r="GM104">
        <v>11.093882398891425</v>
      </c>
      <c r="GN104">
        <v>10.623713171708763</v>
      </c>
      <c r="GO104">
        <v>8.2993005997888556</v>
      </c>
      <c r="GP104">
        <v>6.0760996655533255</v>
      </c>
      <c r="GQ104">
        <v>1.5641140273990009</v>
      </c>
      <c r="GR104">
        <v>2.0230260644360376</v>
      </c>
      <c r="GS104">
        <v>4.5632796966893014</v>
      </c>
      <c r="GT104">
        <v>7.4292201176184731</v>
      </c>
      <c r="GU104"/>
      <c r="GV104"/>
      <c r="GW104"/>
      <c r="GX104"/>
      <c r="GY104"/>
      <c r="GZ104"/>
      <c r="HA104"/>
      <c r="HB104"/>
      <c r="HC104"/>
    </row>
    <row r="105" spans="1:211" s="7" customFormat="1">
      <c r="A105" s="1"/>
      <c r="B105" s="76">
        <f t="shared" ca="1" si="50"/>
        <v>0.5884003556088091</v>
      </c>
      <c r="C105">
        <v>3</v>
      </c>
      <c r="D105">
        <v>39673</v>
      </c>
      <c r="E105">
        <v>142.97385620915031</v>
      </c>
      <c r="F105">
        <v>428.92156862745094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66.29941087398106</v>
      </c>
      <c r="AO105">
        <v>8.1702899439114436</v>
      </c>
      <c r="AP105">
        <v>4.9941806939970448</v>
      </c>
      <c r="AQ105">
        <v>61.013124391900405</v>
      </c>
      <c r="AR105">
        <v>8.4395910752053531</v>
      </c>
      <c r="AS105">
        <v>50.617209192301566</v>
      </c>
      <c r="AT105">
        <v>6.6378728643213369</v>
      </c>
      <c r="AU105">
        <v>1.7875867644118841</v>
      </c>
      <c r="AV105"/>
      <c r="AW105"/>
      <c r="AX105" s="146"/>
      <c r="AY105" s="76">
        <f ca="1">IF(AZ105="", "", RAND())</f>
        <v>0.92821627365140991</v>
      </c>
      <c r="AZ105">
        <v>8</v>
      </c>
      <c r="BA105" s="129">
        <f t="shared" si="127"/>
        <v>39673</v>
      </c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90"/>
        <v>0.74309281024523166</v>
      </c>
      <c r="CL105" s="179">
        <f t="shared" si="91"/>
        <v>8</v>
      </c>
      <c r="CM105" s="180">
        <f t="shared" si="92"/>
        <v>39673</v>
      </c>
      <c r="CN105">
        <v>0</v>
      </c>
      <c r="CO105">
        <v>12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1.6395617653500949E-2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250</v>
      </c>
      <c r="DH105" s="161">
        <f t="shared" si="97"/>
        <v>0</v>
      </c>
      <c r="DI105" s="161">
        <f t="shared" si="98"/>
        <v>0</v>
      </c>
      <c r="DJ105" s="161">
        <f t="shared" si="99"/>
        <v>0</v>
      </c>
      <c r="DK105" s="161">
        <f t="shared" si="100"/>
        <v>0</v>
      </c>
      <c r="DL105" s="161">
        <f t="shared" si="101"/>
        <v>0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250</v>
      </c>
      <c r="EL105" s="149"/>
      <c r="EN105" s="146"/>
      <c r="EO105" s="146"/>
      <c r="EP105" s="139">
        <f t="shared" si="56"/>
        <v>0</v>
      </c>
      <c r="EQ105" s="139">
        <f t="shared" si="57"/>
        <v>28.925000000000004</v>
      </c>
      <c r="ER105" s="139">
        <f t="shared" si="58"/>
        <v>0</v>
      </c>
      <c r="ES105" s="139">
        <f t="shared" si="59"/>
        <v>0</v>
      </c>
      <c r="ET105" s="139">
        <f t="shared" si="60"/>
        <v>0</v>
      </c>
      <c r="EU105" s="139">
        <f t="shared" si="61"/>
        <v>0</v>
      </c>
      <c r="EV105" s="139">
        <f t="shared" si="62"/>
        <v>0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28.925000000000004</v>
      </c>
      <c r="FV105" s="149"/>
      <c r="FY105" s="211">
        <v>100</v>
      </c>
      <c r="FZ105">
        <v>13.825127733248134</v>
      </c>
      <c r="GA105">
        <v>11.097068148331509</v>
      </c>
      <c r="GB105">
        <v>5.4455492607274296</v>
      </c>
      <c r="GC105">
        <v>3.4188615373394353</v>
      </c>
      <c r="GD105">
        <v>2.0576270781416683</v>
      </c>
      <c r="GE105">
        <v>2.7677789645964439</v>
      </c>
      <c r="GF105">
        <v>2.3043963288360505</v>
      </c>
      <c r="GG105">
        <v>2.006456797712862</v>
      </c>
      <c r="GH105">
        <v>4.1639773368407855</v>
      </c>
      <c r="GI105">
        <v>5.6441254437585906</v>
      </c>
      <c r="GJ105"/>
      <c r="GK105">
        <v>13.877954203908848</v>
      </c>
      <c r="GL105">
        <v>9.4043957946789387</v>
      </c>
      <c r="GM105">
        <v>9.1019818446252962</v>
      </c>
      <c r="GN105">
        <v>10.310790990468423</v>
      </c>
      <c r="GO105">
        <v>7.98750379063996</v>
      </c>
      <c r="GP105">
        <v>5.2989159723085857</v>
      </c>
      <c r="GQ105">
        <v>2.8237973027375198</v>
      </c>
      <c r="GR105">
        <v>2.8237973027375198</v>
      </c>
      <c r="GS105">
        <v>4.441507672675419</v>
      </c>
      <c r="GT105">
        <v>7.6465489629174082</v>
      </c>
      <c r="GU105"/>
      <c r="GV105"/>
      <c r="GW105"/>
      <c r="GX105"/>
      <c r="GY105"/>
      <c r="GZ105"/>
      <c r="HA105"/>
      <c r="HB105"/>
      <c r="HC105"/>
    </row>
    <row r="106" spans="1:211" s="7" customFormat="1">
      <c r="A106" s="1"/>
      <c r="B106" s="76">
        <f t="shared" ca="1" si="50"/>
        <v>0.95670534824770748</v>
      </c>
      <c r="C106">
        <v>1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51.632797011743534</v>
      </c>
      <c r="AO106">
        <v>6.0427634384012308</v>
      </c>
      <c r="AP106">
        <v>1.9896582688600941</v>
      </c>
      <c r="AQ106">
        <v>46.476023577402664</v>
      </c>
      <c r="AR106">
        <v>6.5669452171286249</v>
      </c>
      <c r="AS106">
        <v>42.731163838244917</v>
      </c>
      <c r="AT106">
        <v>5.2955973198548918</v>
      </c>
      <c r="AU106">
        <v>1.525084561376346</v>
      </c>
      <c r="AV106"/>
      <c r="AW106"/>
      <c r="AX106" s="146"/>
      <c r="AY106" s="76">
        <f t="shared" ca="1" si="88"/>
        <v>0.93484937548839575</v>
      </c>
      <c r="AZ106">
        <v>9</v>
      </c>
      <c r="BA106" s="129">
        <f t="shared" si="127"/>
        <v>39673</v>
      </c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90"/>
        <v>0.54926793275757912</v>
      </c>
      <c r="CL106" s="179">
        <f t="shared" si="91"/>
        <v>9</v>
      </c>
      <c r="CM106" s="180">
        <f t="shared" si="92"/>
        <v>39673</v>
      </c>
      <c r="CN106">
        <v>0</v>
      </c>
      <c r="CO106">
        <v>3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0.46347541400288539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31.25</v>
      </c>
      <c r="DH106" s="161">
        <f t="shared" si="97"/>
        <v>0</v>
      </c>
      <c r="DI106" s="161">
        <f t="shared" si="98"/>
        <v>0</v>
      </c>
      <c r="DJ106" s="161">
        <f t="shared" si="99"/>
        <v>0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31.25</v>
      </c>
      <c r="EL106" s="149"/>
      <c r="EN106" s="146"/>
      <c r="EO106" s="146"/>
      <c r="EP106" s="139">
        <f t="shared" si="56"/>
        <v>0</v>
      </c>
      <c r="EQ106" s="139">
        <f t="shared" si="57"/>
        <v>3.6156250000000005</v>
      </c>
      <c r="ER106" s="139">
        <f t="shared" si="58"/>
        <v>0</v>
      </c>
      <c r="ES106" s="139">
        <f t="shared" si="59"/>
        <v>0</v>
      </c>
      <c r="ET106" s="139">
        <f t="shared" si="60"/>
        <v>0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3.6156250000000005</v>
      </c>
      <c r="FV106" s="149"/>
      <c r="FY106" s="211">
        <v>101</v>
      </c>
      <c r="FZ106">
        <v>17.304015850155537</v>
      </c>
      <c r="GA106">
        <v>18.372651959522702</v>
      </c>
      <c r="GB106">
        <v>5.5543944060996839</v>
      </c>
      <c r="GC106">
        <v>2.6037293212267381</v>
      </c>
      <c r="GD106">
        <v>1.4297726099182464</v>
      </c>
      <c r="GE106">
        <v>1.8433269976196986</v>
      </c>
      <c r="GF106">
        <v>1.8863511325558551</v>
      </c>
      <c r="GG106">
        <v>1.9675917353388979</v>
      </c>
      <c r="GH106">
        <v>5.2285570089459945</v>
      </c>
      <c r="GI106">
        <v>5.9129092591312391</v>
      </c>
      <c r="GJ106"/>
      <c r="GK106">
        <v>17.360758853991783</v>
      </c>
      <c r="GL106">
        <v>15.567222819905023</v>
      </c>
      <c r="GM106">
        <v>9.199114009499727</v>
      </c>
      <c r="GN106">
        <v>7.7619007523074632</v>
      </c>
      <c r="GO106">
        <v>5.5531305209832604</v>
      </c>
      <c r="GP106">
        <v>3.5290516312233136</v>
      </c>
      <c r="GQ106">
        <v>2.3068965330588709</v>
      </c>
      <c r="GR106">
        <v>2.7658085700959076</v>
      </c>
      <c r="GS106">
        <v>5.5727932601686758</v>
      </c>
      <c r="GT106">
        <v>7.998538635540462</v>
      </c>
      <c r="GU106"/>
      <c r="GV106"/>
      <c r="GW106"/>
      <c r="GX106"/>
      <c r="GY106"/>
      <c r="GZ106"/>
      <c r="HA106"/>
      <c r="HB106"/>
      <c r="HC106"/>
    </row>
    <row r="107" spans="1:211" s="7" customFormat="1">
      <c r="A107" s="1"/>
      <c r="B107" s="76">
        <f t="shared" ca="1" si="50"/>
        <v>0.3798436556264031</v>
      </c>
      <c r="C107">
        <v>10</v>
      </c>
      <c r="D107">
        <v>39673</v>
      </c>
      <c r="E107">
        <v>0</v>
      </c>
      <c r="F107">
        <v>148.80952380952382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46.140238095905033</v>
      </c>
      <c r="AO107">
        <v>5.6434851238860793</v>
      </c>
      <c r="AP107">
        <v>38.175106679156606</v>
      </c>
      <c r="AQ107">
        <v>42.375045705800289</v>
      </c>
      <c r="AR107">
        <v>5.8459977347272938</v>
      </c>
      <c r="AS107">
        <v>38.098751639595449</v>
      </c>
      <c r="AT107" t="e">
        <v>#DIV/0!</v>
      </c>
      <c r="AU107" t="e">
        <v>#DIV/0!</v>
      </c>
      <c r="AV107"/>
      <c r="AW107"/>
      <c r="AX107" s="146"/>
      <c r="AY107" s="76">
        <f t="shared" ca="1" si="88"/>
        <v>0.68890385693277167</v>
      </c>
      <c r="AZ107">
        <v>10</v>
      </c>
      <c r="BA107" s="129">
        <f t="shared" si="127"/>
        <v>39673</v>
      </c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90"/>
        <v>0.11749599642103803</v>
      </c>
      <c r="CL107" s="179">
        <f t="shared" si="91"/>
        <v>10</v>
      </c>
      <c r="CM107" s="180">
        <f t="shared" si="92"/>
        <v>39673</v>
      </c>
      <c r="CN107">
        <v>0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0.906783074385348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148.80952380952382</v>
      </c>
      <c r="DH107" s="161">
        <f t="shared" si="97"/>
        <v>0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148.80952380952382</v>
      </c>
      <c r="EL107" s="149"/>
      <c r="EN107" s="146"/>
      <c r="EO107" s="146"/>
      <c r="EP107" s="139">
        <f t="shared" si="56"/>
        <v>0</v>
      </c>
      <c r="EQ107" s="139">
        <f t="shared" si="57"/>
        <v>17.217261904761909</v>
      </c>
      <c r="ER107" s="139">
        <f t="shared" si="58"/>
        <v>0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17.217261904761909</v>
      </c>
      <c r="FV107" s="149"/>
      <c r="FY107" s="211">
        <v>102</v>
      </c>
      <c r="FZ107">
        <v>13.365132306943623</v>
      </c>
      <c r="GA107">
        <v>11.545887920628482</v>
      </c>
      <c r="GB107">
        <v>7.6067348486473074</v>
      </c>
      <c r="GC107">
        <v>3.8864750975970157</v>
      </c>
      <c r="GD107">
        <v>1.0210829988657255</v>
      </c>
      <c r="GE107">
        <v>1.1788290016112959</v>
      </c>
      <c r="GF107">
        <v>2.5013550873384638</v>
      </c>
      <c r="GG107">
        <v>2.1288892006015789</v>
      </c>
      <c r="GH107">
        <v>4.590173406958896</v>
      </c>
      <c r="GI107">
        <v>5.6129782113447977</v>
      </c>
      <c r="GJ107"/>
      <c r="GK107">
        <v>13.432009979703704</v>
      </c>
      <c r="GL107">
        <v>9.7827104142178651</v>
      </c>
      <c r="GM107">
        <v>12.675404250958129</v>
      </c>
      <c r="GN107">
        <v>11.693687384061789</v>
      </c>
      <c r="GO107">
        <v>3.9685227574232913</v>
      </c>
      <c r="GP107">
        <v>2.2568694629014399</v>
      </c>
      <c r="GQ107">
        <v>3.0605197214646678</v>
      </c>
      <c r="GR107">
        <v>2.9928113881313347</v>
      </c>
      <c r="GS107">
        <v>4.8940338530036955</v>
      </c>
      <c r="GT107">
        <v>7.6060981125106988</v>
      </c>
      <c r="GU107"/>
      <c r="GV107"/>
      <c r="GW107"/>
      <c r="GX107"/>
      <c r="GY107"/>
      <c r="GZ107"/>
      <c r="HA107"/>
      <c r="HB107"/>
      <c r="HC107"/>
    </row>
    <row r="108" spans="1:211" s="7" customFormat="1">
      <c r="A108" s="128"/>
      <c r="B108" s="76">
        <f t="shared" ca="1" si="50"/>
        <v>0.55391859842387969</v>
      </c>
      <c r="C108">
        <v>7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59.31790945412115</v>
      </c>
      <c r="AO108">
        <v>7.1632956450639256</v>
      </c>
      <c r="AP108">
        <v>13.455983203300402</v>
      </c>
      <c r="AQ108">
        <v>51.533804618331558</v>
      </c>
      <c r="AR108">
        <v>7.4423313418284245</v>
      </c>
      <c r="AS108">
        <v>46.119400138549537</v>
      </c>
      <c r="AT108" t="e">
        <v>#DIV/0!</v>
      </c>
      <c r="AU108" t="e">
        <v>#DIV/0!</v>
      </c>
      <c r="AV108"/>
      <c r="AW108"/>
      <c r="AX108" s="128"/>
      <c r="AY108" s="76">
        <f t="shared" ca="1" si="88"/>
        <v>0.15365940880501761</v>
      </c>
      <c r="AZ108">
        <v>1</v>
      </c>
      <c r="BA108" s="129">
        <f>IF(AZ108="", "",$C$6)</f>
        <v>39714</v>
      </c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90"/>
        <v>3.9999778940889463E-2</v>
      </c>
      <c r="CL108" s="179">
        <f t="shared" si="91"/>
        <v>1</v>
      </c>
      <c r="CM108" s="180">
        <f t="shared" si="92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0.97131588661255552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0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0</v>
      </c>
      <c r="FV108" s="149"/>
      <c r="FY108" s="211">
        <v>103</v>
      </c>
      <c r="FZ108">
        <v>11.706631783999267</v>
      </c>
      <c r="GA108">
        <v>9.0217520136549094</v>
      </c>
      <c r="GB108">
        <v>6.5746450610830998</v>
      </c>
      <c r="GC108">
        <v>2.94277633070149</v>
      </c>
      <c r="GD108">
        <v>1.7125498806169781</v>
      </c>
      <c r="GE108">
        <v>2.7307679872708621</v>
      </c>
      <c r="GF108">
        <v>0.78076673947010866</v>
      </c>
      <c r="GG108">
        <v>0.53548899130434779</v>
      </c>
      <c r="GH108">
        <v>5.1136487959027397</v>
      </c>
      <c r="GI108">
        <v>5.2794860307617499</v>
      </c>
      <c r="GJ108"/>
      <c r="GK108">
        <v>11.770539713793273</v>
      </c>
      <c r="GL108">
        <v>7.6448900447962309</v>
      </c>
      <c r="GM108">
        <v>10.923762066393671</v>
      </c>
      <c r="GN108">
        <v>8.8216331823348622</v>
      </c>
      <c r="GO108">
        <v>6.6502838606207568</v>
      </c>
      <c r="GP108">
        <v>5.2280584141690509</v>
      </c>
      <c r="GQ108">
        <v>0.95674818840579701</v>
      </c>
      <c r="GR108">
        <v>0.75362318840579701</v>
      </c>
      <c r="GS108">
        <v>5.4539342255798315</v>
      </c>
      <c r="GT108">
        <v>7.151053610958666</v>
      </c>
      <c r="GU108"/>
      <c r="GV108"/>
      <c r="GW108"/>
      <c r="GX108"/>
      <c r="GY108"/>
      <c r="GZ108"/>
      <c r="HA108"/>
      <c r="HB108"/>
      <c r="HC108"/>
    </row>
    <row r="109" spans="1:211" s="7" customFormat="1">
      <c r="A109" s="1"/>
      <c r="B109" s="76">
        <f t="shared" ca="1" si="50"/>
        <v>4.0226678181254805E-2</v>
      </c>
      <c r="C109">
        <v>5</v>
      </c>
      <c r="D109">
        <v>39714</v>
      </c>
      <c r="E109">
        <v>0</v>
      </c>
      <c r="F109">
        <v>10.416666666666666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53.187312079673838</v>
      </c>
      <c r="AO109">
        <v>5.8991341413292657</v>
      </c>
      <c r="AP109">
        <v>39.399946163348616</v>
      </c>
      <c r="AQ109">
        <v>38.092911409932434</v>
      </c>
      <c r="AR109">
        <v>6.0775251636172776</v>
      </c>
      <c r="AS109">
        <v>40.401460648333668</v>
      </c>
      <c r="AT109" t="e">
        <v>#DIV/0!</v>
      </c>
      <c r="AU109" t="e">
        <v>#DIV/0!</v>
      </c>
      <c r="AV109"/>
      <c r="AW109"/>
      <c r="AX109" s="146"/>
      <c r="AY109" s="76">
        <f t="shared" ca="1" si="88"/>
        <v>0.30186724400548859</v>
      </c>
      <c r="AZ109">
        <v>2</v>
      </c>
      <c r="BA109" s="129">
        <f t="shared" ref="BA109:BA117" si="129">IF(AZ109="", "",$C$6)</f>
        <v>39714</v>
      </c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90"/>
        <v>0.83439038604357951</v>
      </c>
      <c r="CL109" s="179">
        <f t="shared" si="91"/>
        <v>2</v>
      </c>
      <c r="CM109" s="180">
        <f t="shared" si="92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3.1540096760345193E-2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0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0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0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0</v>
      </c>
      <c r="FV109" s="149"/>
      <c r="FY109" s="211">
        <v>104</v>
      </c>
      <c r="FZ109">
        <v>9.7024378417476349</v>
      </c>
      <c r="GA109">
        <v>8.0959504926944614</v>
      </c>
      <c r="GB109">
        <v>5.742901176183131</v>
      </c>
      <c r="GC109">
        <v>3.4247468167377151</v>
      </c>
      <c r="GD109">
        <v>1.5631782821871538</v>
      </c>
      <c r="GE109">
        <v>1.4263913166112958</v>
      </c>
      <c r="GF109">
        <v>1.2627066875430251</v>
      </c>
      <c r="GG109">
        <v>1.003228398856431</v>
      </c>
      <c r="GH109">
        <v>2.9826126218218789</v>
      </c>
      <c r="GI109">
        <v>4.4447928147253029</v>
      </c>
      <c r="GJ109"/>
      <c r="GK109">
        <v>9.7368172711621597</v>
      </c>
      <c r="GL109">
        <v>6.8587701053808532</v>
      </c>
      <c r="GM109">
        <v>9.5496920922034843</v>
      </c>
      <c r="GN109">
        <v>10.263585344354766</v>
      </c>
      <c r="GO109">
        <v>6.0703828764709096</v>
      </c>
      <c r="GP109">
        <v>2.7308277962347733</v>
      </c>
      <c r="GQ109">
        <v>1.5473153180354264</v>
      </c>
      <c r="GR109">
        <v>1.4118986513687599</v>
      </c>
      <c r="GS109">
        <v>3.1799091711958587</v>
      </c>
      <c r="GT109">
        <v>6.0168233458135667</v>
      </c>
      <c r="GU109"/>
      <c r="GV109"/>
      <c r="GW109"/>
      <c r="GX109"/>
      <c r="GY109"/>
      <c r="GZ109"/>
      <c r="HA109"/>
      <c r="HB109"/>
      <c r="HC109"/>
    </row>
    <row r="110" spans="1:211" s="7" customFormat="1">
      <c r="A110" s="1"/>
      <c r="B110" s="76">
        <f t="shared" ca="1" si="50"/>
        <v>0.38424067325795463</v>
      </c>
      <c r="C110">
        <v>2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57.628580581052837</v>
      </c>
      <c r="AO110">
        <v>6.5587571647124552</v>
      </c>
      <c r="AP110">
        <v>3.7706623984959675</v>
      </c>
      <c r="AQ110">
        <v>45.697286865364994</v>
      </c>
      <c r="AR110">
        <v>7.1269941237158836</v>
      </c>
      <c r="AS110">
        <v>46.249845469203528</v>
      </c>
      <c r="AT110">
        <v>5.7342566075190549</v>
      </c>
      <c r="AU110">
        <v>3.1334316045969866</v>
      </c>
      <c r="AV110"/>
      <c r="AW110"/>
      <c r="AX110" s="146"/>
      <c r="AY110" s="76">
        <f t="shared" ca="1" si="88"/>
        <v>0.24602109147378926</v>
      </c>
      <c r="AZ110">
        <v>3</v>
      </c>
      <c r="BA110" s="129">
        <f t="shared" si="129"/>
        <v>39714</v>
      </c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90"/>
        <v>0.77811123856224551</v>
      </c>
      <c r="CL110" s="179">
        <f t="shared" si="91"/>
        <v>3</v>
      </c>
      <c r="CM110" s="180">
        <f t="shared" si="92"/>
        <v>39714</v>
      </c>
      <c r="CN110">
        <v>1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0.49887969811286759</v>
      </c>
      <c r="DD110">
        <f t="shared" si="94"/>
        <v>3</v>
      </c>
      <c r="DE110" s="129">
        <f t="shared" si="128"/>
        <v>39714</v>
      </c>
      <c r="DF110" s="161">
        <f t="shared" si="95"/>
        <v>97.65625</v>
      </c>
      <c r="DG110" s="161">
        <f t="shared" si="96"/>
        <v>97.65625</v>
      </c>
      <c r="DH110" s="161">
        <f t="shared" si="97"/>
        <v>0</v>
      </c>
      <c r="DI110" s="161">
        <f t="shared" si="98"/>
        <v>0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195.3125</v>
      </c>
      <c r="EL110" s="149"/>
      <c r="EN110" s="146"/>
      <c r="EO110" s="146"/>
      <c r="EP110" s="139">
        <f t="shared" si="56"/>
        <v>3.5753915508389009</v>
      </c>
      <c r="EQ110" s="139">
        <f t="shared" si="57"/>
        <v>11.298828125000002</v>
      </c>
      <c r="ER110" s="139">
        <f t="shared" si="58"/>
        <v>0</v>
      </c>
      <c r="ES110" s="139">
        <f t="shared" si="59"/>
        <v>0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14.874219675838903</v>
      </c>
      <c r="FV110" s="149"/>
      <c r="FY110" s="211">
        <v>105</v>
      </c>
      <c r="FZ110">
        <v>13.40578487675146</v>
      </c>
      <c r="GA110">
        <v>12.02249508845545</v>
      </c>
      <c r="GB110">
        <v>7.341765022624255</v>
      </c>
      <c r="GC110">
        <v>3.8147182668790807</v>
      </c>
      <c r="GD110">
        <v>1.9484664794816653</v>
      </c>
      <c r="GE110">
        <v>2.7284809155882357</v>
      </c>
      <c r="GF110">
        <v>2.4165878455140364</v>
      </c>
      <c r="GG110">
        <v>2.8029892866247419</v>
      </c>
      <c r="GH110">
        <v>5.7710919338281128</v>
      </c>
      <c r="GI110">
        <v>6.2587621795394952</v>
      </c>
      <c r="GJ110"/>
      <c r="GK110">
        <v>13.461123158525995</v>
      </c>
      <c r="GL110">
        <v>10.186880084967251</v>
      </c>
      <c r="GM110">
        <v>12.279606541683194</v>
      </c>
      <c r="GN110">
        <v>11.537874953961751</v>
      </c>
      <c r="GO110">
        <v>7.553279556593564</v>
      </c>
      <c r="GP110">
        <v>5.2236798128342254</v>
      </c>
      <c r="GQ110">
        <v>2.9543313132759068</v>
      </c>
      <c r="GR110">
        <v>3.9398637206833147</v>
      </c>
      <c r="GS110">
        <v>6.1550154990140884</v>
      </c>
      <c r="GT110">
        <v>8.4806712138185496</v>
      </c>
      <c r="GU110"/>
      <c r="GV110"/>
      <c r="GW110"/>
      <c r="GX110"/>
      <c r="GY110"/>
      <c r="GZ110"/>
      <c r="HA110"/>
      <c r="HB110"/>
      <c r="HC110"/>
    </row>
    <row r="111" spans="1:211" s="7" customFormat="1">
      <c r="A111" s="1"/>
      <c r="B111" s="76">
        <f t="shared" ca="1" si="50"/>
        <v>0.23016810133854104</v>
      </c>
      <c r="C111">
        <v>10</v>
      </c>
      <c r="D111">
        <v>39714</v>
      </c>
      <c r="E111">
        <v>89.285714285714278</v>
      </c>
      <c r="F111">
        <v>188.98809523809524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61.042111234125493</v>
      </c>
      <c r="AO111">
        <v>7.0129669519439499</v>
      </c>
      <c r="AP111">
        <v>4.884724445872866</v>
      </c>
      <c r="AQ111">
        <v>52.25068125980269</v>
      </c>
      <c r="AR111">
        <v>7.1931859472033182</v>
      </c>
      <c r="AS111">
        <v>43.865097941961238</v>
      </c>
      <c r="AT111">
        <v>5.7224148294719264</v>
      </c>
      <c r="AU111">
        <v>4.3155191111877951</v>
      </c>
      <c r="AV111"/>
      <c r="AW111"/>
      <c r="AX111" s="146"/>
      <c r="AY111" s="76">
        <f t="shared" ca="1" si="88"/>
        <v>0.48406491202066704</v>
      </c>
      <c r="AZ111">
        <v>4</v>
      </c>
      <c r="BA111" s="129">
        <f t="shared" si="129"/>
        <v>39714</v>
      </c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90"/>
        <v>8.1385095462293222E-2</v>
      </c>
      <c r="CL111" s="179">
        <f t="shared" si="91"/>
        <v>4</v>
      </c>
      <c r="CM111" s="180">
        <f t="shared" si="92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0.59226604469287469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0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0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0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0</v>
      </c>
      <c r="FV111" s="149"/>
      <c r="FY111" s="211">
        <v>106</v>
      </c>
      <c r="FZ111">
        <v>14.310000304629135</v>
      </c>
      <c r="GA111">
        <v>13.836512078171355</v>
      </c>
      <c r="GB111">
        <v>6.3806211549813767</v>
      </c>
      <c r="GC111">
        <v>2.9857612381875867</v>
      </c>
      <c r="GD111">
        <v>2.6370691836939759</v>
      </c>
      <c r="GE111">
        <v>4.7243794704621838</v>
      </c>
      <c r="GF111">
        <v>1.8085413874086631</v>
      </c>
      <c r="GG111">
        <v>1.8998421515866333</v>
      </c>
      <c r="GH111">
        <v>3.9156863325428839</v>
      </c>
      <c r="GI111">
        <v>6.1481693714612584</v>
      </c>
      <c r="GJ111"/>
      <c r="GK111">
        <v>14.348133351915902</v>
      </c>
      <c r="GL111">
        <v>11.725692324310044</v>
      </c>
      <c r="GM111">
        <v>10.642302145629879</v>
      </c>
      <c r="GN111">
        <v>9.0082440566289019</v>
      </c>
      <c r="GO111">
        <v>10.234912453072535</v>
      </c>
      <c r="GP111">
        <v>9.0448298637636864</v>
      </c>
      <c r="GQ111">
        <v>2.2115488076160368</v>
      </c>
      <c r="GR111">
        <v>2.6704608446530735</v>
      </c>
      <c r="GS111">
        <v>4.1764707893016331</v>
      </c>
      <c r="GT111">
        <v>8.3226735095071991</v>
      </c>
      <c r="GU111"/>
      <c r="GV111"/>
      <c r="GW111"/>
      <c r="GX111"/>
      <c r="GY111"/>
      <c r="GZ111"/>
      <c r="HA111"/>
      <c r="HB111"/>
      <c r="HC111"/>
    </row>
    <row r="112" spans="1:211" s="7" customFormat="1">
      <c r="A112" s="1"/>
      <c r="B112" s="76">
        <f t="shared" ca="1" si="50"/>
        <v>0.90565906777539551</v>
      </c>
      <c r="C112">
        <v>1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50.560971263223905</v>
      </c>
      <c r="AO112">
        <v>5.8658209405514228</v>
      </c>
      <c r="AP112">
        <v>3.9018241070682609</v>
      </c>
      <c r="AQ112">
        <v>42.234649653214063</v>
      </c>
      <c r="AR112">
        <v>6.1624386105294633</v>
      </c>
      <c r="AS112">
        <v>38.494688002631676</v>
      </c>
      <c r="AT112">
        <v>4.9108065095388787</v>
      </c>
      <c r="AU112">
        <v>6.8151235046021599</v>
      </c>
      <c r="AV112"/>
      <c r="AW112"/>
      <c r="AX112" s="146"/>
      <c r="AY112" s="76">
        <f t="shared" ca="1" si="88"/>
        <v>0.47169001053097004</v>
      </c>
      <c r="AZ112">
        <v>5</v>
      </c>
      <c r="BA112" s="129">
        <f t="shared" si="129"/>
        <v>39714</v>
      </c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90"/>
        <v>0.56066880588841039</v>
      </c>
      <c r="CL112" s="179">
        <f t="shared" si="91"/>
        <v>5</v>
      </c>
      <c r="CM112" s="180">
        <f t="shared" si="92"/>
        <v>39714</v>
      </c>
      <c r="CN112">
        <v>0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0.19265504017731772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10.416666666666666</v>
      </c>
      <c r="DH112" s="161">
        <f t="shared" si="97"/>
        <v>0</v>
      </c>
      <c r="DI112" s="161">
        <f t="shared" si="98"/>
        <v>0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10.416666666666666</v>
      </c>
      <c r="EL112" s="149"/>
      <c r="EN112" s="146"/>
      <c r="EO112" s="146"/>
      <c r="EP112" s="139">
        <f t="shared" si="56"/>
        <v>0</v>
      </c>
      <c r="EQ112" s="139">
        <f t="shared" si="57"/>
        <v>1.2052083333333334</v>
      </c>
      <c r="ER112" s="139">
        <f t="shared" si="58"/>
        <v>0</v>
      </c>
      <c r="ES112" s="139">
        <f t="shared" si="59"/>
        <v>0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1.2052083333333334</v>
      </c>
      <c r="FV112" s="149"/>
      <c r="FY112" s="211">
        <v>107</v>
      </c>
      <c r="FZ112">
        <v>15.342305018899832</v>
      </c>
      <c r="GA112">
        <v>15.040775925081636</v>
      </c>
      <c r="GB112">
        <v>6.3193587417429562</v>
      </c>
      <c r="GC112">
        <v>3.6755657283365313</v>
      </c>
      <c r="GD112">
        <v>1.2180469606463555</v>
      </c>
      <c r="GE112">
        <v>1.0710859342857144</v>
      </c>
      <c r="GF112">
        <v>1.2627066875430251</v>
      </c>
      <c r="GG112">
        <v>1.3774199248980978</v>
      </c>
      <c r="GH112">
        <v>5.0277507092341995</v>
      </c>
      <c r="GI112">
        <v>5.5474268382419076</v>
      </c>
      <c r="GJ112"/>
      <c r="GK112">
        <v>15.392613653113957</v>
      </c>
      <c r="GL112">
        <v>12.745167212614259</v>
      </c>
      <c r="GM112">
        <v>10.502970436023039</v>
      </c>
      <c r="GN112">
        <v>11.015568885189897</v>
      </c>
      <c r="GO112">
        <v>4.7431860119510301</v>
      </c>
      <c r="GP112">
        <v>2.0505952380952381</v>
      </c>
      <c r="GQ112">
        <v>1.5473153180354264</v>
      </c>
      <c r="GR112">
        <v>1.9385190217391302</v>
      </c>
      <c r="GS112">
        <v>5.3613459444247056</v>
      </c>
      <c r="GT112">
        <v>7.5094862727096316</v>
      </c>
      <c r="GU112"/>
      <c r="GV112"/>
      <c r="GW112"/>
      <c r="GX112"/>
      <c r="GY112"/>
      <c r="GZ112"/>
      <c r="HA112"/>
      <c r="HB112"/>
      <c r="HC112"/>
    </row>
    <row r="113" spans="1:211" s="7" customFormat="1">
      <c r="A113" s="1"/>
      <c r="B113" s="76">
        <f t="shared" ca="1" si="50"/>
        <v>0.93534601845264298</v>
      </c>
      <c r="C113">
        <v>9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36.756408650443426</v>
      </c>
      <c r="AO113">
        <v>4.6923519044576896</v>
      </c>
      <c r="AP113">
        <v>69.066513540187088</v>
      </c>
      <c r="AQ113">
        <v>35.129205577194391</v>
      </c>
      <c r="AR113">
        <v>4.9033586987219158</v>
      </c>
      <c r="AS113">
        <v>28.058108401931509</v>
      </c>
      <c r="AT113" t="e">
        <v>#DIV/0!</v>
      </c>
      <c r="AU113" t="e">
        <v>#DIV/0!</v>
      </c>
      <c r="AV113"/>
      <c r="AW113"/>
      <c r="AX113" s="146"/>
      <c r="AY113" s="76">
        <f t="shared" ca="1" si="88"/>
        <v>0.44620061161789804</v>
      </c>
      <c r="AZ113">
        <v>6</v>
      </c>
      <c r="BA113" s="129">
        <f t="shared" si="129"/>
        <v>39714</v>
      </c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90"/>
        <v>0.16127625549593905</v>
      </c>
      <c r="CL113" s="179">
        <f t="shared" si="91"/>
        <v>6</v>
      </c>
      <c r="CM113" s="180">
        <f t="shared" si="92"/>
        <v>39714</v>
      </c>
      <c r="CN113">
        <v>5</v>
      </c>
      <c r="CO113">
        <v>5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0.58630512405684065</v>
      </c>
      <c r="DD113">
        <f t="shared" si="94"/>
        <v>6</v>
      </c>
      <c r="DE113" s="129">
        <f t="shared" si="128"/>
        <v>39714</v>
      </c>
      <c r="DF113" s="161">
        <f t="shared" si="95"/>
        <v>52.083333333333336</v>
      </c>
      <c r="DG113" s="161">
        <f t="shared" si="96"/>
        <v>52.083333333333336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104.16666666666667</v>
      </c>
      <c r="EL113" s="149"/>
      <c r="EN113" s="146"/>
      <c r="EO113" s="146"/>
      <c r="EP113" s="139">
        <f t="shared" si="56"/>
        <v>1.9068754937807473</v>
      </c>
      <c r="EQ113" s="139">
        <f t="shared" si="57"/>
        <v>6.0260416666666679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7.9329171604474151</v>
      </c>
      <c r="FV113" s="149"/>
      <c r="FY113" s="211">
        <v>108</v>
      </c>
      <c r="FZ113">
        <v>12.251031983842825</v>
      </c>
      <c r="GA113">
        <v>9.5079992252062766</v>
      </c>
      <c r="GB113">
        <v>4.0681048287059696</v>
      </c>
      <c r="GC113">
        <v>2.6886476684190153</v>
      </c>
      <c r="GD113">
        <v>1.0876928206774137</v>
      </c>
      <c r="GE113">
        <v>1.2748225523255814</v>
      </c>
      <c r="GF113">
        <v>3.5118487548165764</v>
      </c>
      <c r="GG113">
        <v>3.7580682486526267</v>
      </c>
      <c r="GH113">
        <v>4.1278515119282719</v>
      </c>
      <c r="GI113">
        <v>4.7254876654511166</v>
      </c>
      <c r="GJ113"/>
      <c r="GK113">
        <v>12.28516289068271</v>
      </c>
      <c r="GL113">
        <v>8.0573311847670261</v>
      </c>
      <c r="GM113">
        <v>6.7368499296064011</v>
      </c>
      <c r="GN113">
        <v>8.0103552774240914</v>
      </c>
      <c r="GO113">
        <v>4.2275324093531461</v>
      </c>
      <c r="GP113">
        <v>2.4406492248062013</v>
      </c>
      <c r="GQ113">
        <v>4.3034042874396139</v>
      </c>
      <c r="GR113">
        <v>5.2889366948470204</v>
      </c>
      <c r="GS113">
        <v>4.4039114028411968</v>
      </c>
      <c r="GT113">
        <v>6.391372183984612</v>
      </c>
      <c r="GU113"/>
      <c r="GV113"/>
      <c r="GW113"/>
      <c r="GX113"/>
      <c r="GY113"/>
      <c r="GZ113"/>
      <c r="HA113"/>
      <c r="HB113"/>
      <c r="HC113"/>
    </row>
    <row r="114" spans="1:211" s="7" customFormat="1">
      <c r="A114" s="1"/>
      <c r="B114" s="76">
        <f t="shared" ca="1" si="50"/>
        <v>0.85112201902944773</v>
      </c>
      <c r="C114">
        <v>8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62.525136433021906</v>
      </c>
      <c r="AO114">
        <v>7.2826785957955567</v>
      </c>
      <c r="AP114">
        <v>20.088892986077379</v>
      </c>
      <c r="AQ114">
        <v>51.486850089442243</v>
      </c>
      <c r="AR114">
        <v>7.4327540640590293</v>
      </c>
      <c r="AS114">
        <v>46.685404792715701</v>
      </c>
      <c r="AT114" t="e">
        <v>#DIV/0!</v>
      </c>
      <c r="AU114" t="e">
        <v>#DIV/0!</v>
      </c>
      <c r="AV114"/>
      <c r="AW114"/>
      <c r="AX114" s="146"/>
      <c r="AY114" s="76">
        <f t="shared" ca="1" si="88"/>
        <v>0.89945987079633682</v>
      </c>
      <c r="AZ114">
        <v>7</v>
      </c>
      <c r="BA114" s="129">
        <f t="shared" si="129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90"/>
        <v>0.94589234267560496</v>
      </c>
      <c r="CL114" s="179">
        <f t="shared" si="91"/>
        <v>7</v>
      </c>
      <c r="CM114" s="180">
        <f t="shared" si="92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0.87569988020504552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1">
        <v>109</v>
      </c>
      <c r="FZ114">
        <v>16.208824685165062</v>
      </c>
      <c r="GA114">
        <v>13.386365141971519</v>
      </c>
      <c r="GB114">
        <v>5.7291983471326642</v>
      </c>
      <c r="GC114">
        <v>3.3131023428380164</v>
      </c>
      <c r="GD114">
        <v>0.97362014595791813</v>
      </c>
      <c r="GE114">
        <v>0.56585672000000009</v>
      </c>
      <c r="GF114">
        <v>1.8085413874086631</v>
      </c>
      <c r="GG114">
        <v>1.5256506255449667</v>
      </c>
      <c r="GH114">
        <v>4.0842293681145323</v>
      </c>
      <c r="GI114">
        <v>5.3369615766060265</v>
      </c>
      <c r="GJ114"/>
      <c r="GK114">
        <v>16.282376608900108</v>
      </c>
      <c r="GL114">
        <v>11.342637450709496</v>
      </c>
      <c r="GM114">
        <v>9.4952062012595206</v>
      </c>
      <c r="GN114">
        <v>9.8809594329971979</v>
      </c>
      <c r="GO114">
        <v>3.7844955564266134</v>
      </c>
      <c r="GP114">
        <v>1.0833333333333335</v>
      </c>
      <c r="GQ114">
        <v>2.2115488076160368</v>
      </c>
      <c r="GR114">
        <v>2.1438404742827033</v>
      </c>
      <c r="GS114">
        <v>4.3528815413238009</v>
      </c>
      <c r="GT114">
        <v>7.2253017431052164</v>
      </c>
      <c r="GU114"/>
      <c r="GV114"/>
      <c r="GW114"/>
      <c r="GX114"/>
      <c r="GY114"/>
      <c r="GZ114"/>
      <c r="HA114"/>
      <c r="HB114"/>
      <c r="HC114"/>
    </row>
    <row r="115" spans="1:211" s="7" customFormat="1">
      <c r="A115" s="1"/>
      <c r="B115" s="76">
        <f t="shared" ca="1" si="50"/>
        <v>4.985872276933101E-2</v>
      </c>
      <c r="C115">
        <v>4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60.114750289700645</v>
      </c>
      <c r="AO115">
        <v>7.2861831414827378</v>
      </c>
      <c r="AP115">
        <v>5.6526995599341516</v>
      </c>
      <c r="AQ115">
        <v>50.903409845443015</v>
      </c>
      <c r="AR115">
        <v>7.4292201176184758</v>
      </c>
      <c r="AS115">
        <v>46.485412906653963</v>
      </c>
      <c r="AT115">
        <v>6.0027877581945113</v>
      </c>
      <c r="AU115">
        <v>4.1873853455287326</v>
      </c>
      <c r="AV115"/>
      <c r="AW115"/>
      <c r="AX115" s="146"/>
      <c r="AY115" s="76">
        <f t="shared" ca="1" si="88"/>
        <v>0.63327484891694175</v>
      </c>
      <c r="AZ115">
        <v>8</v>
      </c>
      <c r="BA115" s="129">
        <f t="shared" si="129"/>
        <v>39714</v>
      </c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90"/>
        <v>0.83095318261392181</v>
      </c>
      <c r="CL115" s="179">
        <f t="shared" si="91"/>
        <v>8</v>
      </c>
      <c r="CM115" s="180">
        <f t="shared" si="92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0.84308816441547951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0</v>
      </c>
      <c r="DJ115" s="161">
        <f t="shared" si="99"/>
        <v>0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0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0</v>
      </c>
      <c r="ET115" s="139">
        <f t="shared" si="60"/>
        <v>0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0</v>
      </c>
      <c r="FV115" s="149"/>
      <c r="FY115" s="211">
        <v>110</v>
      </c>
      <c r="FZ115">
        <v>14.057449428944109</v>
      </c>
      <c r="GA115">
        <v>9.7875402675032976</v>
      </c>
      <c r="GB115">
        <v>4.6432715352171616</v>
      </c>
      <c r="GC115">
        <v>3.1920011998653148</v>
      </c>
      <c r="GD115">
        <v>1.5665490091813401</v>
      </c>
      <c r="GE115">
        <v>2.0207993619767444</v>
      </c>
      <c r="GF115">
        <v>2.3301376101366236</v>
      </c>
      <c r="GG115">
        <v>3.4289399358193586</v>
      </c>
      <c r="GH115">
        <v>9.3346898106241021</v>
      </c>
      <c r="GI115">
        <v>6.0174712167143696</v>
      </c>
      <c r="GJ115"/>
      <c r="GK115">
        <v>14.118020061694224</v>
      </c>
      <c r="GL115">
        <v>8.2964045387668079</v>
      </c>
      <c r="GM115">
        <v>7.7238335600792256</v>
      </c>
      <c r="GN115">
        <v>9.560501875014678</v>
      </c>
      <c r="GO115">
        <v>6.0834521594166473</v>
      </c>
      <c r="GP115">
        <v>3.8688226744186047</v>
      </c>
      <c r="GQ115">
        <v>2.8530255612154258</v>
      </c>
      <c r="GR115">
        <v>4.8240903760302407</v>
      </c>
      <c r="GS115">
        <v>9.9544307342199865</v>
      </c>
      <c r="GT115">
        <v>8.1465524153251003</v>
      </c>
      <c r="GU115"/>
      <c r="GV115"/>
      <c r="GW115"/>
      <c r="GX115"/>
      <c r="GY115"/>
      <c r="GZ115"/>
      <c r="HA115"/>
      <c r="HB115"/>
      <c r="HC115"/>
    </row>
    <row r="116" spans="1:211" s="7" customFormat="1">
      <c r="A116" s="1"/>
      <c r="B116" s="76">
        <f t="shared" ca="1" si="50"/>
        <v>0.50194207367475219</v>
      </c>
      <c r="C116">
        <v>3</v>
      </c>
      <c r="D116">
        <v>39714</v>
      </c>
      <c r="E116">
        <v>97.65625</v>
      </c>
      <c r="F116">
        <v>97.65625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55.795856595141551</v>
      </c>
      <c r="AO116">
        <v>7.3717193837697916</v>
      </c>
      <c r="AP116">
        <v>89.061084922756379</v>
      </c>
      <c r="AQ116">
        <v>52.730968629532917</v>
      </c>
      <c r="AR116">
        <v>7.6465489629174117</v>
      </c>
      <c r="AS116">
        <v>47.090467246211666</v>
      </c>
      <c r="AT116" t="e">
        <v>#DIV/0!</v>
      </c>
      <c r="AU116" t="e">
        <v>#DIV/0!</v>
      </c>
      <c r="AV116"/>
      <c r="AW116"/>
      <c r="AX116" s="146"/>
      <c r="AY116" s="76">
        <f t="shared" ca="1" si="88"/>
        <v>0.33887618575920442</v>
      </c>
      <c r="AZ116">
        <v>9</v>
      </c>
      <c r="BA116" s="129">
        <f t="shared" si="129"/>
        <v>39714</v>
      </c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90"/>
        <v>0.39111176335854503</v>
      </c>
      <c r="CL116" s="179">
        <f t="shared" si="91"/>
        <v>9</v>
      </c>
      <c r="CM116" s="180">
        <f t="shared" si="92"/>
        <v>39714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0.88714258561508874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0</v>
      </c>
      <c r="DH116" s="161">
        <f t="shared" si="97"/>
        <v>0</v>
      </c>
      <c r="DI116" s="161">
        <f t="shared" si="98"/>
        <v>0</v>
      </c>
      <c r="DJ116" s="161">
        <f t="shared" si="99"/>
        <v>0</v>
      </c>
      <c r="DK116" s="161">
        <f t="shared" si="100"/>
        <v>0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0</v>
      </c>
      <c r="EL116" s="149"/>
      <c r="EN116" s="146"/>
      <c r="EO116" s="146"/>
      <c r="EP116" s="139">
        <f t="shared" si="56"/>
        <v>0</v>
      </c>
      <c r="EQ116" s="139">
        <f t="shared" si="57"/>
        <v>0</v>
      </c>
      <c r="ER116" s="139">
        <f t="shared" si="58"/>
        <v>0</v>
      </c>
      <c r="ES116" s="139">
        <f t="shared" si="59"/>
        <v>0</v>
      </c>
      <c r="ET116" s="139">
        <f t="shared" si="60"/>
        <v>0</v>
      </c>
      <c r="EU116" s="139">
        <f t="shared" si="61"/>
        <v>0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0</v>
      </c>
      <c r="FV116" s="149"/>
      <c r="FY116" s="211">
        <v>111</v>
      </c>
      <c r="FZ116">
        <v>16.863689669956774</v>
      </c>
      <c r="GA116">
        <v>14.35827858110901</v>
      </c>
      <c r="GB116">
        <v>5.6412287934310381</v>
      </c>
      <c r="GC116">
        <v>3.5790255729066751</v>
      </c>
      <c r="GD116">
        <v>2.9758513371921196</v>
      </c>
      <c r="GE116">
        <v>4.4303437332079341</v>
      </c>
      <c r="GF116">
        <v>1.223050412887982</v>
      </c>
      <c r="GG116">
        <v>1.0644446003007895</v>
      </c>
      <c r="GH116">
        <v>3.880602146392953</v>
      </c>
      <c r="GI116">
        <v>6.4256163418557533</v>
      </c>
      <c r="GJ116"/>
      <c r="GK116">
        <v>16.905069177517742</v>
      </c>
      <c r="GL116">
        <v>12.166400165965475</v>
      </c>
      <c r="GM116">
        <v>9.376975562951154</v>
      </c>
      <c r="GN116">
        <v>10.7165769218389</v>
      </c>
      <c r="GO116">
        <v>11.548468795271148</v>
      </c>
      <c r="GP116">
        <v>8.4818981107242042</v>
      </c>
      <c r="GQ116">
        <v>1.4964056940656674</v>
      </c>
      <c r="GR116">
        <v>1.4964056940656674</v>
      </c>
      <c r="GS116">
        <v>4.135921943167836</v>
      </c>
      <c r="GT116">
        <v>8.6925682345947095</v>
      </c>
      <c r="GU116"/>
      <c r="GV116"/>
      <c r="GW116"/>
      <c r="GX116"/>
      <c r="GY116"/>
      <c r="GZ116"/>
      <c r="HA116"/>
      <c r="HB116"/>
      <c r="HC116"/>
    </row>
    <row r="117" spans="1:211" s="7" customFormat="1">
      <c r="A117" s="1"/>
      <c r="B117" s="76">
        <f t="shared" ca="1" si="50"/>
        <v>0.70680653141473737</v>
      </c>
      <c r="C117">
        <v>6</v>
      </c>
      <c r="D117">
        <v>39714</v>
      </c>
      <c r="E117">
        <v>52.083333333333336</v>
      </c>
      <c r="F117">
        <v>52.083333333333336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68.027869847847313</v>
      </c>
      <c r="AO117">
        <v>7.7615215586774484</v>
      </c>
      <c r="AP117">
        <v>3.8747225478504776</v>
      </c>
      <c r="AQ117">
        <v>62.103300280514588</v>
      </c>
      <c r="AR117">
        <v>7.9985386355404646</v>
      </c>
      <c r="AS117">
        <v>50.297747012833888</v>
      </c>
      <c r="AT117">
        <v>6.4229502413280244</v>
      </c>
      <c r="AU117">
        <v>-3.0484225214119576</v>
      </c>
      <c r="AV117"/>
      <c r="AW117"/>
      <c r="AX117" s="146"/>
      <c r="AY117" s="76">
        <f t="shared" ca="1" si="88"/>
        <v>0.46211739064695312</v>
      </c>
      <c r="AZ117">
        <v>10</v>
      </c>
      <c r="BA117" s="129">
        <f t="shared" si="129"/>
        <v>39714</v>
      </c>
      <c r="BB117"/>
      <c r="BC117">
        <v>1</v>
      </c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90"/>
        <v>0.26664302447944088</v>
      </c>
      <c r="CL117" s="179">
        <f t="shared" si="91"/>
        <v>10</v>
      </c>
      <c r="CM117" s="180">
        <f t="shared" si="92"/>
        <v>39714</v>
      </c>
      <c r="CN117">
        <v>1</v>
      </c>
      <c r="CO117">
        <v>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0.34130564420043474</v>
      </c>
      <c r="DD117">
        <f t="shared" si="94"/>
        <v>10</v>
      </c>
      <c r="DE117" s="129">
        <f t="shared" si="128"/>
        <v>39714</v>
      </c>
      <c r="DF117" s="161">
        <f t="shared" si="95"/>
        <v>89.285714285714278</v>
      </c>
      <c r="DG117" s="161">
        <f t="shared" si="96"/>
        <v>188.98809523809524</v>
      </c>
      <c r="DH117" s="161">
        <f t="shared" si="97"/>
        <v>0</v>
      </c>
      <c r="DI117" s="161">
        <f t="shared" si="98"/>
        <v>0</v>
      </c>
      <c r="DJ117" s="161">
        <f t="shared" si="99"/>
        <v>0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278.27380952380952</v>
      </c>
      <c r="EL117" s="149"/>
      <c r="EN117" s="146"/>
      <c r="EO117" s="146"/>
      <c r="EP117" s="139">
        <f t="shared" si="56"/>
        <v>3.268929417909852</v>
      </c>
      <c r="EQ117" s="139">
        <f t="shared" si="57"/>
        <v>21.865922619047623</v>
      </c>
      <c r="ER117" s="139">
        <f t="shared" si="58"/>
        <v>0</v>
      </c>
      <c r="ES117" s="139">
        <f t="shared" si="59"/>
        <v>0</v>
      </c>
      <c r="ET117" s="139">
        <f t="shared" si="60"/>
        <v>0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25.134852036957476</v>
      </c>
      <c r="FV117" s="149"/>
      <c r="FY117" s="211">
        <v>112</v>
      </c>
      <c r="FZ117">
        <v>13.908429453830031</v>
      </c>
      <c r="GA117">
        <v>10.611887732907329</v>
      </c>
      <c r="GB117">
        <v>6.3933110544518117</v>
      </c>
      <c r="GC117">
        <v>3.4426086309999713</v>
      </c>
      <c r="GD117">
        <v>1.6960735553064474</v>
      </c>
      <c r="GE117">
        <v>1.9864361099452803</v>
      </c>
      <c r="GF117">
        <v>1.2783046744504822</v>
      </c>
      <c r="GG117">
        <v>1.0644446003007895</v>
      </c>
      <c r="GH117">
        <v>5.0614461022544468</v>
      </c>
      <c r="GI117">
        <v>5.6347991310593963</v>
      </c>
      <c r="GJ117"/>
      <c r="GK117">
        <v>13.98288371479269</v>
      </c>
      <c r="GL117">
        <v>8.9902846795185472</v>
      </c>
      <c r="GM117">
        <v>10.666066070972033</v>
      </c>
      <c r="GN117">
        <v>10.367123897085207</v>
      </c>
      <c r="GO117">
        <v>6.5754233469568044</v>
      </c>
      <c r="GP117">
        <v>3.8030341893628483</v>
      </c>
      <c r="GQ117">
        <v>1.5641140273990009</v>
      </c>
      <c r="GR117">
        <v>1.4964056940656674</v>
      </c>
      <c r="GS117">
        <v>5.3948363525385785</v>
      </c>
      <c r="GT117">
        <v>7.6366647025318217</v>
      </c>
      <c r="GU117"/>
      <c r="GV117"/>
      <c r="GW117"/>
      <c r="GX117"/>
      <c r="GY117"/>
      <c r="GZ117"/>
      <c r="HA117"/>
      <c r="HB117"/>
      <c r="HC117"/>
    </row>
    <row r="118" spans="1:211" s="7" customFormat="1">
      <c r="A118" s="128"/>
      <c r="B118" s="76">
        <f t="shared" ca="1" si="50"/>
        <v>0.3220743858052515</v>
      </c>
      <c r="C118">
        <v>7</v>
      </c>
      <c r="D118">
        <v>39747</v>
      </c>
      <c r="E118">
        <v>74.404761904761912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60.250988999603962</v>
      </c>
      <c r="AO118">
        <v>7.2362667324376613</v>
      </c>
      <c r="AP118">
        <v>60.804293058405925</v>
      </c>
      <c r="AQ118">
        <v>53.43753808053718</v>
      </c>
      <c r="AR118">
        <v>7.6060981125106979</v>
      </c>
      <c r="AS118">
        <v>43.668352648951746</v>
      </c>
      <c r="AT118" t="e">
        <v>#DIV/0!</v>
      </c>
      <c r="AU118" t="e">
        <v>#DIV/0!</v>
      </c>
      <c r="AV118"/>
      <c r="AW118"/>
      <c r="AX118" s="128"/>
      <c r="AY118" s="76">
        <f t="shared" ca="1" si="88"/>
        <v>0.79542421207520553</v>
      </c>
      <c r="AZ118">
        <v>1</v>
      </c>
      <c r="BA118" s="129">
        <f>IF(AZ118="", "",$C$7)</f>
        <v>39747</v>
      </c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90"/>
        <v>0.27755013259337247</v>
      </c>
      <c r="CL118" s="179">
        <f t="shared" si="91"/>
        <v>1</v>
      </c>
      <c r="CM118" s="180">
        <f t="shared" si="92"/>
        <v>39747</v>
      </c>
      <c r="CN118">
        <v>0</v>
      </c>
      <c r="CO118">
        <v>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0.78252725910728405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173.61111111111111</v>
      </c>
      <c r="DH118" s="161">
        <f t="shared" si="97"/>
        <v>0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173.61111111111111</v>
      </c>
      <c r="EL118" s="149"/>
      <c r="EN118" s="146"/>
      <c r="EO118" s="146"/>
      <c r="EP118" s="139">
        <f t="shared" si="56"/>
        <v>0</v>
      </c>
      <c r="EQ118" s="139">
        <f t="shared" si="57"/>
        <v>20.086805555555557</v>
      </c>
      <c r="ER118" s="139">
        <f t="shared" si="58"/>
        <v>0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20.086805555555557</v>
      </c>
      <c r="FV118" s="149"/>
      <c r="FY118" s="211">
        <v>113</v>
      </c>
      <c r="FZ118">
        <v>10.673951380596449</v>
      </c>
      <c r="GA118">
        <v>9.0729368704921356</v>
      </c>
      <c r="GB118">
        <v>5.7295151807658273</v>
      </c>
      <c r="GC118">
        <v>3.2568982908998572</v>
      </c>
      <c r="GD118">
        <v>1.7600707494799344</v>
      </c>
      <c r="GE118">
        <v>2.2677195376196986</v>
      </c>
      <c r="GF118">
        <v>1.2627066875430251</v>
      </c>
      <c r="GG118">
        <v>2.1258029769814311</v>
      </c>
      <c r="GH118">
        <v>4.9964084411701277</v>
      </c>
      <c r="GI118">
        <v>5.0183078293374912</v>
      </c>
      <c r="GJ118"/>
      <c r="GK118">
        <v>10.728375502260963</v>
      </c>
      <c r="GL118">
        <v>7.6875592899094212</v>
      </c>
      <c r="GM118">
        <v>9.5694088106212494</v>
      </c>
      <c r="GN118">
        <v>9.8266921730309598</v>
      </c>
      <c r="GO118">
        <v>6.8345360062464477</v>
      </c>
      <c r="GP118">
        <v>4.3415516312233127</v>
      </c>
      <c r="GQ118">
        <v>1.5473153180354264</v>
      </c>
      <c r="GR118">
        <v>2.9917597624798709</v>
      </c>
      <c r="GS118">
        <v>5.3277667601884149</v>
      </c>
      <c r="GT118">
        <v>6.8014804794704995</v>
      </c>
      <c r="GU118"/>
      <c r="GV118"/>
      <c r="GW118"/>
      <c r="GX118"/>
      <c r="GY118"/>
      <c r="GZ118"/>
      <c r="HA118"/>
      <c r="HB118"/>
      <c r="HC118"/>
    </row>
    <row r="119" spans="1:211" s="7" customFormat="1">
      <c r="A119" s="1"/>
      <c r="B119" s="76">
        <f t="shared" ca="1" si="50"/>
        <v>0.13241406737712058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53.41847462410685</v>
      </c>
      <c r="AO119">
        <v>6.5354526495457934</v>
      </c>
      <c r="AP119">
        <v>66.976190625569714</v>
      </c>
      <c r="AQ119">
        <v>46.398513614765555</v>
      </c>
      <c r="AR119">
        <v>7.151053610958666</v>
      </c>
      <c r="AS119">
        <v>45.385324027222481</v>
      </c>
      <c r="AT119" t="e">
        <v>#DIV/0!</v>
      </c>
      <c r="AU119" t="e">
        <v>#DIV/0!</v>
      </c>
      <c r="AV119"/>
      <c r="AW119"/>
      <c r="AX119" s="146"/>
      <c r="AY119" s="76">
        <f t="shared" ca="1" si="88"/>
        <v>0.34115946453283374</v>
      </c>
      <c r="AZ119">
        <v>2</v>
      </c>
      <c r="BA119" s="129">
        <f t="shared" ref="BA119:BA127" si="131">IF(AZ119="", "",$C$7)</f>
        <v>39747</v>
      </c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90"/>
        <v>5.6347830545163902E-2</v>
      </c>
      <c r="CL119" s="179">
        <f t="shared" si="91"/>
        <v>2</v>
      </c>
      <c r="CM119" s="180">
        <f t="shared" si="92"/>
        <v>39747</v>
      </c>
      <c r="CN119">
        <v>2</v>
      </c>
      <c r="CO119">
        <v>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0.16246054651890329</v>
      </c>
      <c r="DD119">
        <f t="shared" si="94"/>
        <v>2</v>
      </c>
      <c r="DE119" s="129">
        <f t="shared" si="130"/>
        <v>39747</v>
      </c>
      <c r="DF119" s="161">
        <f t="shared" si="95"/>
        <v>182.29166666666666</v>
      </c>
      <c r="DG119" s="161">
        <f t="shared" si="96"/>
        <v>182.29166666666666</v>
      </c>
      <c r="DH119" s="161">
        <f t="shared" si="97"/>
        <v>0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364.58333333333331</v>
      </c>
      <c r="EL119" s="149"/>
      <c r="EN119" s="146"/>
      <c r="EO119" s="146"/>
      <c r="EP119" s="139">
        <f t="shared" si="56"/>
        <v>6.6740642282326146</v>
      </c>
      <c r="EQ119" s="139">
        <f t="shared" si="57"/>
        <v>21.091145833333336</v>
      </c>
      <c r="ER119" s="139">
        <f t="shared" si="58"/>
        <v>0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27.765210061565952</v>
      </c>
      <c r="FV119" s="149"/>
      <c r="FY119" s="211">
        <v>114</v>
      </c>
      <c r="FZ119">
        <v>8.5625356359603728</v>
      </c>
      <c r="GA119">
        <v>7.4138277295583439</v>
      </c>
      <c r="GB119">
        <v>3.1132142541971288</v>
      </c>
      <c r="GC119">
        <v>2.0093171485798749</v>
      </c>
      <c r="GD119">
        <v>1.3469545210495066</v>
      </c>
      <c r="GE119">
        <v>1.5240297996511627</v>
      </c>
      <c r="GF119">
        <v>1.6668368904687496</v>
      </c>
      <c r="GG119">
        <v>2.151601274739583</v>
      </c>
      <c r="GH119">
        <v>5.7335681921166897</v>
      </c>
      <c r="GI119">
        <v>4.0125605957062813</v>
      </c>
      <c r="GJ119"/>
      <c r="GK119">
        <v>8.5897400206819405</v>
      </c>
      <c r="GL119">
        <v>6.2836387078591347</v>
      </c>
      <c r="GM119">
        <v>5.1570616659043234</v>
      </c>
      <c r="GN119">
        <v>5.9922911779630201</v>
      </c>
      <c r="GO119">
        <v>5.2327649674926802</v>
      </c>
      <c r="GP119">
        <v>2.917756782945736</v>
      </c>
      <c r="GQ119">
        <v>2.0425347222222219</v>
      </c>
      <c r="GR119">
        <v>3.0280671296296289</v>
      </c>
      <c r="GS119">
        <v>6.1151230952239946</v>
      </c>
      <c r="GT119">
        <v>5.4274448943050322</v>
      </c>
      <c r="GU119"/>
      <c r="GV119"/>
      <c r="GW119"/>
      <c r="GX119"/>
      <c r="GY119"/>
      <c r="GZ119"/>
      <c r="HA119"/>
      <c r="HB119"/>
      <c r="HC119"/>
    </row>
    <row r="120" spans="1:211" s="7" customFormat="1">
      <c r="A120" s="1"/>
      <c r="B120" s="76">
        <f t="shared" ref="B120:B151" ca="1" si="132">IF(C120="", "", RAND())</f>
        <v>0.42126706049256057</v>
      </c>
      <c r="C120">
        <v>9</v>
      </c>
      <c r="D120">
        <v>39747</v>
      </c>
      <c r="E120">
        <v>0</v>
      </c>
      <c r="F120">
        <v>88.922764227642276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47.996012556508127</v>
      </c>
      <c r="AO120">
        <v>5.7366021972220551</v>
      </c>
      <c r="AP120">
        <v>39.977111013603341</v>
      </c>
      <c r="AQ120">
        <v>39.648946449108031</v>
      </c>
      <c r="AR120">
        <v>6.0168233458135667</v>
      </c>
      <c r="AS120">
        <v>37.053070234234283</v>
      </c>
      <c r="AT120" t="e">
        <v>#DIV/0!</v>
      </c>
      <c r="AU120" t="e">
        <v>#DIV/0!</v>
      </c>
      <c r="AV120"/>
      <c r="AW120"/>
      <c r="AX120" s="146"/>
      <c r="AY120" s="76">
        <f t="shared" ca="1" si="88"/>
        <v>0.90264885941295359</v>
      </c>
      <c r="AZ120">
        <v>3</v>
      </c>
      <c r="BA120" s="129">
        <f t="shared" si="131"/>
        <v>39747</v>
      </c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90"/>
        <v>0.29583951063502734</v>
      </c>
      <c r="CL120" s="179">
        <f t="shared" si="91"/>
        <v>3</v>
      </c>
      <c r="CM120" s="180">
        <f t="shared" si="92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0.82731170695837219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3">IF(DF120="", "", SUM(DF120:EJ120))</f>
        <v>0</v>
      </c>
      <c r="EL120" s="149"/>
      <c r="EN120" s="146"/>
      <c r="EO120" s="146"/>
      <c r="EP120" s="139">
        <f t="shared" ref="EP120:EP151" si="134">IF(DF120="", "", DF120*G$36)</f>
        <v>0</v>
      </c>
      <c r="EQ120" s="139">
        <f t="shared" ref="EQ120:EQ151" si="135">IF(DG120="", "", DG120*H$36)</f>
        <v>0</v>
      </c>
      <c r="ER120" s="139">
        <f t="shared" ref="ER120:ER151" si="136">IF(DH120="", "", DH120*I$36)</f>
        <v>0</v>
      </c>
      <c r="ES120" s="139">
        <f t="shared" ref="ES120:ES151" si="137">IF(DI120="", "", DI120*J$36)</f>
        <v>0</v>
      </c>
      <c r="ET120" s="139">
        <f t="shared" ref="ET120:ET151" si="138">IF(DJ120="", "", DJ120*K$36)</f>
        <v>0</v>
      </c>
      <c r="EU120" s="139">
        <f t="shared" ref="EU120:EU151" si="139">IF(DK120="", "", DK120*L$36)</f>
        <v>0</v>
      </c>
      <c r="EV120" s="139">
        <f t="shared" ref="EV120:EV151" si="140">IF(DL120="", "", DL120*M$36)</f>
        <v>0</v>
      </c>
      <c r="EW120" s="139">
        <f t="shared" ref="EW120:EW151" si="141">IF(DM120="", "", DM120*N$36)</f>
        <v>0</v>
      </c>
      <c r="EX120" s="139">
        <f t="shared" ref="EX120:EX151" si="142">IF(DN120="", "", DN120*O$36)</f>
        <v>0</v>
      </c>
      <c r="EY120" s="139">
        <f t="shared" ref="EY120:EY151" si="143">IF(DO120="", "", DO120*P$36)</f>
        <v>0</v>
      </c>
      <c r="EZ120" s="139">
        <f t="shared" ref="EZ120:EZ151" si="144">IF(DP120="", "", DP120*Q$36)</f>
        <v>0</v>
      </c>
      <c r="FA120" s="139">
        <f t="shared" ref="FA120:FA151" si="145">IF(DQ120="", "", DQ120*R$36)</f>
        <v>0</v>
      </c>
      <c r="FB120" s="139">
        <f t="shared" ref="FB120:FB151" si="146">IF(DR120="", "", DR120*S$36)</f>
        <v>0</v>
      </c>
      <c r="FC120" s="139">
        <f t="shared" ref="FC120:FC151" si="147">IF(DS120="", "", DS120*T$36)</f>
        <v>0</v>
      </c>
      <c r="FD120" s="139">
        <f t="shared" ref="FD120:FD151" si="148">IF(DT120="", "", DT120*U$36)</f>
        <v>0</v>
      </c>
      <c r="FE120" s="139">
        <f t="shared" ref="FE120:FE151" si="149">IF(DU120="", "", DU120*V$36)</f>
        <v>0</v>
      </c>
      <c r="FF120" s="139">
        <f t="shared" ref="FF120:FF151" si="150">IF(DV120="", "", DV120*W$36)</f>
        <v>0</v>
      </c>
      <c r="FG120" s="139">
        <f t="shared" ref="FG120:FG151" si="151">IF(DW120="", "", DW120*X$36)</f>
        <v>0</v>
      </c>
      <c r="FH120" s="139">
        <f t="shared" ref="FH120:FH151" si="152">IF(DX120="", "", DX120*Y$36)</f>
        <v>0</v>
      </c>
      <c r="FI120" s="139">
        <f t="shared" ref="FI120:FI151" si="153">IF(DY120="", "", DY120*Z$36)</f>
        <v>0</v>
      </c>
      <c r="FJ120" s="139">
        <f t="shared" ref="FJ120:FJ151" si="154">IF(DZ120="", "", DZ120*AA$36)</f>
        <v>0</v>
      </c>
      <c r="FK120" s="139">
        <f t="shared" ref="FK120:FK151" si="155">IF(EA120="", "", EA120*AB$36)</f>
        <v>0</v>
      </c>
      <c r="FL120" s="139">
        <f t="shared" ref="FL120:FL151" si="156">IF(EB120="", "", EB120*AC$36)</f>
        <v>0</v>
      </c>
      <c r="FM120" s="139">
        <f t="shared" ref="FM120:FM151" si="157">IF(EC120="", "", EC120*AD$36)</f>
        <v>0</v>
      </c>
      <c r="FN120" s="139">
        <f t="shared" ref="FN120:FN151" si="158">IF(ED120="", "", ED120*AE$36)</f>
        <v>0</v>
      </c>
      <c r="FO120" s="139">
        <f t="shared" ref="FO120:FO151" si="159">IF(EE120="", "", EE120*AF$36)</f>
        <v>0</v>
      </c>
      <c r="FP120" s="139">
        <f t="shared" ref="FP120:FP151" si="160">IF(EF120="", "", EF120*AG$36)</f>
        <v>0</v>
      </c>
      <c r="FQ120" s="139">
        <f t="shared" ref="FQ120:FQ151" si="161">IF(EG120="", "", EG120*AH$36)</f>
        <v>0</v>
      </c>
      <c r="FR120" s="139">
        <f t="shared" ref="FR120:FR151" si="162">IF(EH120="", "", EH120*AI$36)</f>
        <v>0</v>
      </c>
      <c r="FS120" s="139">
        <f t="shared" ref="FS120:FS151" si="163">IF(EI120="", "", EI120*AJ$36)</f>
        <v>0</v>
      </c>
      <c r="FT120" s="139">
        <f t="shared" ref="FT120:FT151" si="164">IF(EJ120="", "", EJ120*AK$36)</f>
        <v>0</v>
      </c>
      <c r="FU120" s="148">
        <f t="shared" ref="FU120:FU151" si="165">IF(EP120="","",SUM(EP120:FT120))</f>
        <v>0</v>
      </c>
      <c r="FV120" s="149"/>
      <c r="FY120" s="211">
        <v>115</v>
      </c>
      <c r="FZ120">
        <v>9.2205842236633035</v>
      </c>
      <c r="GA120">
        <v>5.591053738381988</v>
      </c>
      <c r="GB120">
        <v>5.0126992193923607</v>
      </c>
      <c r="GC120">
        <v>2.9093193723406592</v>
      </c>
      <c r="GD120">
        <v>1.9147378784994156</v>
      </c>
      <c r="GE120">
        <v>2.8184193811911284</v>
      </c>
      <c r="GF120">
        <v>2.4374603355457425</v>
      </c>
      <c r="GG120">
        <v>2.0742063814651268</v>
      </c>
      <c r="GH120">
        <v>3.5421719870871664</v>
      </c>
      <c r="GI120">
        <v>4.6937842973346307</v>
      </c>
      <c r="GJ120"/>
      <c r="GK120">
        <v>9.2837681922199433</v>
      </c>
      <c r="GL120">
        <v>4.737480875829946</v>
      </c>
      <c r="GM120">
        <v>8.2988293097091752</v>
      </c>
      <c r="GN120">
        <v>8.6644385050426553</v>
      </c>
      <c r="GO120">
        <v>7.4327369404819787</v>
      </c>
      <c r="GP120">
        <v>5.3958671074137916</v>
      </c>
      <c r="GQ120">
        <v>2.986853361513687</v>
      </c>
      <c r="GR120">
        <v>2.9191450281803539</v>
      </c>
      <c r="GS120">
        <v>3.7736272276978484</v>
      </c>
      <c r="GT120">
        <v>6.3551630063245268</v>
      </c>
      <c r="GU120"/>
      <c r="GV120"/>
      <c r="GW120"/>
      <c r="GX120"/>
      <c r="GY120"/>
      <c r="GZ120"/>
      <c r="HA120"/>
      <c r="HB120"/>
      <c r="HC120"/>
    </row>
    <row r="121" spans="1:211" s="7" customFormat="1">
      <c r="A121" s="1"/>
      <c r="B121" s="76">
        <f t="shared" ca="1" si="132"/>
        <v>0.39600904376552659</v>
      </c>
      <c r="C121">
        <v>5</v>
      </c>
      <c r="D121">
        <v>39747</v>
      </c>
      <c r="E121">
        <v>0</v>
      </c>
      <c r="F121">
        <v>110.47979797979797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64.787162131551284</v>
      </c>
      <c r="AO121">
        <v>8.1772325855357852</v>
      </c>
      <c r="AP121">
        <v>9.0052100386558696</v>
      </c>
      <c r="AQ121">
        <v>58.511141895286542</v>
      </c>
      <c r="AR121">
        <v>8.4806712138185496</v>
      </c>
      <c r="AS121">
        <v>50.773295518662536</v>
      </c>
      <c r="AT121">
        <v>6.7526472450595039</v>
      </c>
      <c r="AU121">
        <v>4.3920602014424075</v>
      </c>
      <c r="AV121"/>
      <c r="AW121"/>
      <c r="AX121" s="146"/>
      <c r="AY121" s="76">
        <f t="shared" ca="1" si="88"/>
        <v>0.65947365608153996</v>
      </c>
      <c r="AZ121">
        <v>4</v>
      </c>
      <c r="BA121" s="129">
        <f t="shared" si="131"/>
        <v>39747</v>
      </c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90"/>
        <v>0.10095091890774199</v>
      </c>
      <c r="CL121" s="179">
        <f t="shared" si="91"/>
        <v>4</v>
      </c>
      <c r="CM121" s="180">
        <f t="shared" si="92"/>
        <v>39747</v>
      </c>
      <c r="CN121">
        <v>0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0.54816026214880598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62.859195402298845</v>
      </c>
      <c r="DH121" s="161">
        <f t="shared" si="97"/>
        <v>0</v>
      </c>
      <c r="DI121" s="161">
        <f t="shared" si="98"/>
        <v>0</v>
      </c>
      <c r="DJ121" s="161">
        <f t="shared" si="99"/>
        <v>0</v>
      </c>
      <c r="DK121" s="161">
        <f t="shared" si="100"/>
        <v>0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3"/>
        <v>62.859195402298845</v>
      </c>
      <c r="EL121" s="149"/>
      <c r="EN121" s="146"/>
      <c r="EO121" s="146"/>
      <c r="EP121" s="139">
        <f t="shared" si="134"/>
        <v>0</v>
      </c>
      <c r="EQ121" s="139">
        <f t="shared" si="135"/>
        <v>7.2728089080459775</v>
      </c>
      <c r="ER121" s="139">
        <f t="shared" si="136"/>
        <v>0</v>
      </c>
      <c r="ES121" s="139">
        <f t="shared" si="137"/>
        <v>0</v>
      </c>
      <c r="ET121" s="139">
        <f t="shared" si="138"/>
        <v>0</v>
      </c>
      <c r="EU121" s="139">
        <f t="shared" si="139"/>
        <v>0</v>
      </c>
      <c r="EV121" s="139">
        <f t="shared" si="140"/>
        <v>0</v>
      </c>
      <c r="EW121" s="139">
        <f t="shared" si="141"/>
        <v>0</v>
      </c>
      <c r="EX121" s="139">
        <f t="shared" si="142"/>
        <v>0</v>
      </c>
      <c r="EY121" s="139">
        <f t="shared" si="143"/>
        <v>0</v>
      </c>
      <c r="EZ121" s="139">
        <f t="shared" si="144"/>
        <v>0</v>
      </c>
      <c r="FA121" s="139">
        <f t="shared" si="145"/>
        <v>0</v>
      </c>
      <c r="FB121" s="139">
        <f t="shared" si="146"/>
        <v>0</v>
      </c>
      <c r="FC121" s="139">
        <f t="shared" si="147"/>
        <v>0</v>
      </c>
      <c r="FD121" s="139">
        <f t="shared" si="148"/>
        <v>0</v>
      </c>
      <c r="FE121" s="139">
        <f t="shared" si="149"/>
        <v>0</v>
      </c>
      <c r="FF121" s="139">
        <f t="shared" si="150"/>
        <v>0</v>
      </c>
      <c r="FG121" s="139">
        <f t="shared" si="151"/>
        <v>0</v>
      </c>
      <c r="FH121" s="139">
        <f t="shared" si="152"/>
        <v>0</v>
      </c>
      <c r="FI121" s="139">
        <f t="shared" si="153"/>
        <v>0</v>
      </c>
      <c r="FJ121" s="139">
        <f t="shared" si="154"/>
        <v>0</v>
      </c>
      <c r="FK121" s="139">
        <f t="shared" si="155"/>
        <v>0</v>
      </c>
      <c r="FL121" s="139">
        <f t="shared" si="156"/>
        <v>0</v>
      </c>
      <c r="FM121" s="139">
        <f t="shared" si="157"/>
        <v>0</v>
      </c>
      <c r="FN121" s="139">
        <f t="shared" si="158"/>
        <v>0</v>
      </c>
      <c r="FO121" s="139">
        <f t="shared" si="159"/>
        <v>0</v>
      </c>
      <c r="FP121" s="139">
        <f t="shared" si="160"/>
        <v>0</v>
      </c>
      <c r="FQ121" s="139">
        <f t="shared" si="161"/>
        <v>0</v>
      </c>
      <c r="FR121" s="139">
        <f t="shared" si="162"/>
        <v>0</v>
      </c>
      <c r="FS121" s="139">
        <f t="shared" si="163"/>
        <v>0</v>
      </c>
      <c r="FT121" s="139">
        <f t="shared" si="164"/>
        <v>0</v>
      </c>
      <c r="FU121" s="148">
        <f t="shared" si="165"/>
        <v>7.2728089080459775</v>
      </c>
      <c r="FV121" s="149"/>
      <c r="FY121" s="211">
        <v>116</v>
      </c>
      <c r="FZ121">
        <v>10.204765049735377</v>
      </c>
      <c r="GA121">
        <v>5.1744042227277509</v>
      </c>
      <c r="GB121">
        <v>4.1671296558657351</v>
      </c>
      <c r="GC121">
        <v>2.8426317918829955</v>
      </c>
      <c r="GD121">
        <v>1.0584508696255917</v>
      </c>
      <c r="GE121">
        <v>1.0979923273255816</v>
      </c>
      <c r="GF121">
        <v>2.2196290870116226</v>
      </c>
      <c r="GG121">
        <v>2.680556883736025</v>
      </c>
      <c r="GH121">
        <v>5.7491459080937943</v>
      </c>
      <c r="GI121">
        <v>4.4514716003827495</v>
      </c>
      <c r="GJ121"/>
      <c r="GK121">
        <v>10.252869624567683</v>
      </c>
      <c r="GL121">
        <v>4.3852348122329339</v>
      </c>
      <c r="GM121">
        <v>6.8996221196810312</v>
      </c>
      <c r="GN121">
        <v>8.4762308901409025</v>
      </c>
      <c r="GO121">
        <v>4.1243858319953279</v>
      </c>
      <c r="GP121">
        <v>2.1021075581395352</v>
      </c>
      <c r="GQ121">
        <v>2.7176088945487589</v>
      </c>
      <c r="GR121">
        <v>3.7708496352894993</v>
      </c>
      <c r="GS121">
        <v>6.1286725701463229</v>
      </c>
      <c r="GT121">
        <v>6.0246318081878254</v>
      </c>
      <c r="GU121"/>
      <c r="GV121"/>
      <c r="GW121"/>
      <c r="GX121"/>
      <c r="GY121"/>
      <c r="GZ121"/>
      <c r="HA121"/>
      <c r="HB121"/>
      <c r="HC121"/>
    </row>
    <row r="122" spans="1:211" s="7" customFormat="1">
      <c r="A122" s="1"/>
      <c r="B122" s="76">
        <f t="shared" ca="1" si="132"/>
        <v>0.87235653660929136</v>
      </c>
      <c r="C122">
        <v>10</v>
      </c>
      <c r="D122">
        <v>39747</v>
      </c>
      <c r="E122">
        <v>0</v>
      </c>
      <c r="F122">
        <v>65.104166666666671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68.32615823945369</v>
      </c>
      <c r="AO122">
        <v>8.2385268146398882</v>
      </c>
      <c r="AP122">
        <v>4.005613871087788</v>
      </c>
      <c r="AQ122">
        <v>58.646582673125039</v>
      </c>
      <c r="AR122">
        <v>8.3226735095071973</v>
      </c>
      <c r="AS122">
        <v>53.922687319457417</v>
      </c>
      <c r="AT122">
        <v>6.6539335214539639</v>
      </c>
      <c r="AU122">
        <v>5.4014660517777653</v>
      </c>
      <c r="AV122"/>
      <c r="AW122"/>
      <c r="AX122" s="146"/>
      <c r="AY122" s="76">
        <f t="shared" ca="1" si="88"/>
        <v>0.84575576412738895</v>
      </c>
      <c r="AZ122">
        <v>5</v>
      </c>
      <c r="BA122" s="129">
        <f t="shared" si="131"/>
        <v>39747</v>
      </c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90"/>
        <v>0.46060171332184763</v>
      </c>
      <c r="CL122" s="179">
        <f t="shared" si="91"/>
        <v>5</v>
      </c>
      <c r="CM122" s="180">
        <f t="shared" si="92"/>
        <v>39747</v>
      </c>
      <c r="CN122">
        <v>0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0.28816389900132755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110.47979797979797</v>
      </c>
      <c r="DH122" s="161">
        <f t="shared" si="97"/>
        <v>0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3"/>
        <v>110.47979797979797</v>
      </c>
      <c r="EL122" s="149"/>
      <c r="EN122" s="146"/>
      <c r="EO122" s="146"/>
      <c r="EP122" s="139">
        <f t="shared" si="134"/>
        <v>0</v>
      </c>
      <c r="EQ122" s="139">
        <f t="shared" si="135"/>
        <v>12.782512626262626</v>
      </c>
      <c r="ER122" s="139">
        <f t="shared" si="136"/>
        <v>0</v>
      </c>
      <c r="ES122" s="139">
        <f t="shared" si="137"/>
        <v>0</v>
      </c>
      <c r="ET122" s="139">
        <f t="shared" si="138"/>
        <v>0</v>
      </c>
      <c r="EU122" s="139">
        <f t="shared" si="139"/>
        <v>0</v>
      </c>
      <c r="EV122" s="139">
        <f t="shared" si="140"/>
        <v>0</v>
      </c>
      <c r="EW122" s="139">
        <f t="shared" si="141"/>
        <v>0</v>
      </c>
      <c r="EX122" s="139">
        <f t="shared" si="142"/>
        <v>0</v>
      </c>
      <c r="EY122" s="139">
        <f t="shared" si="143"/>
        <v>0</v>
      </c>
      <c r="EZ122" s="139">
        <f t="shared" si="144"/>
        <v>0</v>
      </c>
      <c r="FA122" s="139">
        <f t="shared" si="145"/>
        <v>0</v>
      </c>
      <c r="FB122" s="139">
        <f t="shared" si="146"/>
        <v>0</v>
      </c>
      <c r="FC122" s="139">
        <f t="shared" si="147"/>
        <v>0</v>
      </c>
      <c r="FD122" s="139">
        <f t="shared" si="148"/>
        <v>0</v>
      </c>
      <c r="FE122" s="139">
        <f t="shared" si="149"/>
        <v>0</v>
      </c>
      <c r="FF122" s="139">
        <f t="shared" si="150"/>
        <v>0</v>
      </c>
      <c r="FG122" s="139">
        <f t="shared" si="151"/>
        <v>0</v>
      </c>
      <c r="FH122" s="139">
        <f t="shared" si="152"/>
        <v>0</v>
      </c>
      <c r="FI122" s="139">
        <f t="shared" si="153"/>
        <v>0</v>
      </c>
      <c r="FJ122" s="139">
        <f t="shared" si="154"/>
        <v>0</v>
      </c>
      <c r="FK122" s="139">
        <f t="shared" si="155"/>
        <v>0</v>
      </c>
      <c r="FL122" s="139">
        <f t="shared" si="156"/>
        <v>0</v>
      </c>
      <c r="FM122" s="139">
        <f t="shared" si="157"/>
        <v>0</v>
      </c>
      <c r="FN122" s="139">
        <f t="shared" si="158"/>
        <v>0</v>
      </c>
      <c r="FO122" s="139">
        <f t="shared" si="159"/>
        <v>0</v>
      </c>
      <c r="FP122" s="139">
        <f t="shared" si="160"/>
        <v>0</v>
      </c>
      <c r="FQ122" s="139">
        <f t="shared" si="161"/>
        <v>0</v>
      </c>
      <c r="FR122" s="139">
        <f t="shared" si="162"/>
        <v>0</v>
      </c>
      <c r="FS122" s="139">
        <f t="shared" si="163"/>
        <v>0</v>
      </c>
      <c r="FT122" s="139">
        <f t="shared" si="164"/>
        <v>0</v>
      </c>
      <c r="FU122" s="148">
        <f t="shared" si="165"/>
        <v>12.782512626262626</v>
      </c>
      <c r="FV122" s="149"/>
      <c r="FY122" s="211">
        <v>117</v>
      </c>
      <c r="FZ122">
        <v>22.371385199693698</v>
      </c>
      <c r="GA122">
        <v>23.525968592119384</v>
      </c>
      <c r="GB122">
        <v>5.3848989254466355</v>
      </c>
      <c r="GC122">
        <v>2.8638315169059561</v>
      </c>
      <c r="GD122">
        <v>1.6500009697138269</v>
      </c>
      <c r="GE122">
        <v>1.6311307276196991</v>
      </c>
      <c r="GF122">
        <v>1.8707531456483986</v>
      </c>
      <c r="GG122">
        <v>1.532184007852873</v>
      </c>
      <c r="GH122">
        <v>3.8678321236112625</v>
      </c>
      <c r="GI122">
        <v>6.534468946195525</v>
      </c>
      <c r="GJ122"/>
      <c r="GK122">
        <v>22.441160425557179</v>
      </c>
      <c r="GL122">
        <v>19.935637850322991</v>
      </c>
      <c r="GM122">
        <v>8.956721409516069</v>
      </c>
      <c r="GN122">
        <v>8.6041449982701899</v>
      </c>
      <c r="GO122">
        <v>6.4179965717457739</v>
      </c>
      <c r="GP122">
        <v>3.122801631223314</v>
      </c>
      <c r="GQ122">
        <v>2.2900978236952971</v>
      </c>
      <c r="GR122">
        <v>2.1546811570286302</v>
      </c>
      <c r="GS122">
        <v>4.124329833296315</v>
      </c>
      <c r="GT122">
        <v>8.8460612127621232</v>
      </c>
      <c r="GU122"/>
      <c r="GV122"/>
      <c r="GW122"/>
      <c r="GX122"/>
      <c r="GY122"/>
      <c r="GZ122"/>
      <c r="HA122"/>
      <c r="HB122"/>
      <c r="HC122"/>
    </row>
    <row r="123" spans="1:211" s="7" customFormat="1">
      <c r="A123" s="1"/>
      <c r="B123" s="76">
        <f t="shared" ca="1" si="132"/>
        <v>0.78911780897362949</v>
      </c>
      <c r="C123">
        <v>6</v>
      </c>
      <c r="D123">
        <v>39747</v>
      </c>
      <c r="E123">
        <v>65.104166666666671</v>
      </c>
      <c r="F123">
        <v>0</v>
      </c>
      <c r="G123">
        <v>65.104166666666671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61.660154868339006</v>
      </c>
      <c r="AO123">
        <v>7.2806767993896333</v>
      </c>
      <c r="AP123">
        <v>4.1043963015399951</v>
      </c>
      <c r="AQ123">
        <v>55.882442468910256</v>
      </c>
      <c r="AR123">
        <v>7.5094862727096361</v>
      </c>
      <c r="AS123">
        <v>45.369075362698808</v>
      </c>
      <c r="AT123">
        <v>5.9754226422380583</v>
      </c>
      <c r="AU123">
        <v>2.1234748332706506</v>
      </c>
      <c r="AV123"/>
      <c r="AW123"/>
      <c r="AX123" s="146"/>
      <c r="AY123" s="76">
        <f t="shared" ca="1" si="88"/>
        <v>0.66901144242357313</v>
      </c>
      <c r="AZ123">
        <v>6</v>
      </c>
      <c r="BA123" s="129">
        <f t="shared" si="131"/>
        <v>39747</v>
      </c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90"/>
        <v>0.99294128003029591</v>
      </c>
      <c r="CL123" s="179">
        <f t="shared" si="91"/>
        <v>6</v>
      </c>
      <c r="CM123" s="180">
        <f t="shared" si="92"/>
        <v>39747</v>
      </c>
      <c r="CN123">
        <v>1</v>
      </c>
      <c r="CO123">
        <v>0</v>
      </c>
      <c r="CP123">
        <v>1</v>
      </c>
      <c r="CQ123">
        <v>0</v>
      </c>
      <c r="CR123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0.12979970087364157</v>
      </c>
      <c r="DD123">
        <f t="shared" si="94"/>
        <v>6</v>
      </c>
      <c r="DE123" s="129">
        <f t="shared" si="130"/>
        <v>39747</v>
      </c>
      <c r="DF123" s="161">
        <f t="shared" si="95"/>
        <v>65.104166666666671</v>
      </c>
      <c r="DG123" s="161">
        <f t="shared" si="96"/>
        <v>0</v>
      </c>
      <c r="DH123" s="161">
        <f t="shared" si="97"/>
        <v>65.104166666666671</v>
      </c>
      <c r="DI123" s="161">
        <f t="shared" si="98"/>
        <v>0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3"/>
        <v>130.20833333333334</v>
      </c>
      <c r="EL123" s="149"/>
      <c r="EN123" s="146"/>
      <c r="EO123" s="146"/>
      <c r="EP123" s="139">
        <f t="shared" si="134"/>
        <v>2.3835943672259341</v>
      </c>
      <c r="EQ123" s="139">
        <f t="shared" si="135"/>
        <v>0</v>
      </c>
      <c r="ER123" s="139">
        <f t="shared" si="136"/>
        <v>23.804109318383528</v>
      </c>
      <c r="ES123" s="139">
        <f t="shared" si="137"/>
        <v>0</v>
      </c>
      <c r="ET123" s="139">
        <f t="shared" si="138"/>
        <v>0</v>
      </c>
      <c r="EU123" s="139">
        <f t="shared" si="139"/>
        <v>0</v>
      </c>
      <c r="EV123" s="139">
        <f t="shared" si="140"/>
        <v>0</v>
      </c>
      <c r="EW123" s="139">
        <f t="shared" si="141"/>
        <v>0</v>
      </c>
      <c r="EX123" s="139">
        <f t="shared" si="142"/>
        <v>0</v>
      </c>
      <c r="EY123" s="139">
        <f t="shared" si="143"/>
        <v>0</v>
      </c>
      <c r="EZ123" s="139">
        <f t="shared" si="144"/>
        <v>0</v>
      </c>
      <c r="FA123" s="139">
        <f t="shared" si="145"/>
        <v>0</v>
      </c>
      <c r="FB123" s="139">
        <f t="shared" si="146"/>
        <v>0</v>
      </c>
      <c r="FC123" s="139">
        <f t="shared" si="147"/>
        <v>0</v>
      </c>
      <c r="FD123" s="139">
        <f t="shared" si="148"/>
        <v>0</v>
      </c>
      <c r="FE123" s="139">
        <f t="shared" si="149"/>
        <v>0</v>
      </c>
      <c r="FF123" s="139">
        <f t="shared" si="150"/>
        <v>0</v>
      </c>
      <c r="FG123" s="139">
        <f t="shared" si="151"/>
        <v>0</v>
      </c>
      <c r="FH123" s="139">
        <f t="shared" si="152"/>
        <v>0</v>
      </c>
      <c r="FI123" s="139">
        <f t="shared" si="153"/>
        <v>0</v>
      </c>
      <c r="FJ123" s="139">
        <f t="shared" si="154"/>
        <v>0</v>
      </c>
      <c r="FK123" s="139">
        <f t="shared" si="155"/>
        <v>0</v>
      </c>
      <c r="FL123" s="139">
        <f t="shared" si="156"/>
        <v>0</v>
      </c>
      <c r="FM123" s="139">
        <f t="shared" si="157"/>
        <v>0</v>
      </c>
      <c r="FN123" s="139">
        <f t="shared" si="158"/>
        <v>0</v>
      </c>
      <c r="FO123" s="139">
        <f t="shared" si="159"/>
        <v>0</v>
      </c>
      <c r="FP123" s="139">
        <f t="shared" si="160"/>
        <v>0</v>
      </c>
      <c r="FQ123" s="139">
        <f t="shared" si="161"/>
        <v>0</v>
      </c>
      <c r="FR123" s="139">
        <f t="shared" si="162"/>
        <v>0</v>
      </c>
      <c r="FS123" s="139">
        <f t="shared" si="163"/>
        <v>0</v>
      </c>
      <c r="FT123" s="139">
        <f t="shared" si="164"/>
        <v>0</v>
      </c>
      <c r="FU123" s="148">
        <f t="shared" si="165"/>
        <v>26.187703685609463</v>
      </c>
      <c r="FV123" s="149"/>
      <c r="FY123" s="211">
        <v>118</v>
      </c>
      <c r="FZ123">
        <v>7.5501413424243093</v>
      </c>
      <c r="GA123">
        <v>10.565417027768829</v>
      </c>
      <c r="GB123">
        <v>7.7613367010370862</v>
      </c>
      <c r="GC123">
        <v>3.088974009549017</v>
      </c>
      <c r="GD123">
        <v>1.4336943815454548</v>
      </c>
      <c r="GE123">
        <v>1.7177793285714289</v>
      </c>
      <c r="GF123">
        <v>1.2557491908657898</v>
      </c>
      <c r="GG123">
        <v>1.3708865425901917</v>
      </c>
      <c r="GH123">
        <v>7.3696810558811423</v>
      </c>
      <c r="GI123">
        <v>5.2366017541707865</v>
      </c>
      <c r="GJ123"/>
      <c r="GK123">
        <v>7.5735653926062838</v>
      </c>
      <c r="GL123">
        <v>8.9509150239036703</v>
      </c>
      <c r="GM123">
        <v>12.891926158822033</v>
      </c>
      <c r="GN123">
        <v>9.2538674707403477</v>
      </c>
      <c r="GO123">
        <v>5.5581034433082417</v>
      </c>
      <c r="GP123">
        <v>3.2886904761904767</v>
      </c>
      <c r="GQ123">
        <v>1.5364746352894998</v>
      </c>
      <c r="GR123">
        <v>1.9276783389932035</v>
      </c>
      <c r="GS123">
        <v>7.8575365778573225</v>
      </c>
      <c r="GT123">
        <v>7.0835212415766753</v>
      </c>
      <c r="GU123"/>
      <c r="GV123"/>
      <c r="GW123"/>
      <c r="GX123"/>
      <c r="GY123"/>
      <c r="GZ123"/>
      <c r="HA123"/>
      <c r="HB123"/>
      <c r="HC123"/>
    </row>
    <row r="124" spans="1:211" s="7" customFormat="1">
      <c r="A124" s="1"/>
      <c r="B124" s="76">
        <f t="shared" ca="1" si="132"/>
        <v>0.79379072645873716</v>
      </c>
      <c r="C124">
        <v>4</v>
      </c>
      <c r="D124">
        <v>39747</v>
      </c>
      <c r="E124">
        <v>0</v>
      </c>
      <c r="F124">
        <v>62.859195402298845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52.186519580367204</v>
      </c>
      <c r="AO124">
        <v>6.2145505485752022</v>
      </c>
      <c r="AP124">
        <v>2.9997112727093933</v>
      </c>
      <c r="AQ124">
        <v>47.001555260025675</v>
      </c>
      <c r="AR124">
        <v>6.3913721839846147</v>
      </c>
      <c r="AS124">
        <v>42.133851706779488</v>
      </c>
      <c r="AT124">
        <v>5.1852475273216365</v>
      </c>
      <c r="AU124">
        <v>5.8768083105578199</v>
      </c>
      <c r="AV124"/>
      <c r="AW124"/>
      <c r="AX124" s="146"/>
      <c r="AY124" s="76">
        <f t="shared" ca="1" si="88"/>
        <v>0.73994225341431052</v>
      </c>
      <c r="AZ124">
        <v>7</v>
      </c>
      <c r="BA124" s="129">
        <f t="shared" si="131"/>
        <v>39747</v>
      </c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90"/>
        <v>0.70404396934481217</v>
      </c>
      <c r="CL124" s="179">
        <f t="shared" si="91"/>
        <v>7</v>
      </c>
      <c r="CM124" s="180">
        <f t="shared" si="92"/>
        <v>39747</v>
      </c>
      <c r="CN124">
        <v>1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0.53909356415381593</v>
      </c>
      <c r="DD124">
        <f t="shared" si="94"/>
        <v>7</v>
      </c>
      <c r="DE124" s="129">
        <f t="shared" si="130"/>
        <v>39747</v>
      </c>
      <c r="DF124" s="161">
        <f t="shared" si="95"/>
        <v>74.404761904761912</v>
      </c>
      <c r="DG124" s="161">
        <f t="shared" si="96"/>
        <v>0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3"/>
        <v>74.404761904761912</v>
      </c>
      <c r="EL124" s="149"/>
      <c r="EN124" s="146"/>
      <c r="EO124" s="146"/>
      <c r="EP124" s="139">
        <f t="shared" si="134"/>
        <v>2.7241078482582104</v>
      </c>
      <c r="EQ124" s="139">
        <f t="shared" si="135"/>
        <v>0</v>
      </c>
      <c r="ER124" s="139">
        <f t="shared" si="136"/>
        <v>0</v>
      </c>
      <c r="ES124" s="139">
        <f t="shared" si="137"/>
        <v>0</v>
      </c>
      <c r="ET124" s="139">
        <f t="shared" si="138"/>
        <v>0</v>
      </c>
      <c r="EU124" s="139">
        <f t="shared" si="139"/>
        <v>0</v>
      </c>
      <c r="EV124" s="139">
        <f t="shared" si="140"/>
        <v>0</v>
      </c>
      <c r="EW124" s="139">
        <f t="shared" si="141"/>
        <v>0</v>
      </c>
      <c r="EX124" s="139">
        <f t="shared" si="142"/>
        <v>0</v>
      </c>
      <c r="EY124" s="139">
        <f t="shared" si="143"/>
        <v>0</v>
      </c>
      <c r="EZ124" s="139">
        <f t="shared" si="144"/>
        <v>0</v>
      </c>
      <c r="FA124" s="139">
        <f t="shared" si="145"/>
        <v>0</v>
      </c>
      <c r="FB124" s="139">
        <f t="shared" si="146"/>
        <v>0</v>
      </c>
      <c r="FC124" s="139">
        <f t="shared" si="147"/>
        <v>0</v>
      </c>
      <c r="FD124" s="139">
        <f t="shared" si="148"/>
        <v>0</v>
      </c>
      <c r="FE124" s="139">
        <f t="shared" si="149"/>
        <v>0</v>
      </c>
      <c r="FF124" s="139">
        <f t="shared" si="150"/>
        <v>0</v>
      </c>
      <c r="FG124" s="139">
        <f t="shared" si="151"/>
        <v>0</v>
      </c>
      <c r="FH124" s="139">
        <f t="shared" si="152"/>
        <v>0</v>
      </c>
      <c r="FI124" s="139">
        <f t="shared" si="153"/>
        <v>0</v>
      </c>
      <c r="FJ124" s="139">
        <f t="shared" si="154"/>
        <v>0</v>
      </c>
      <c r="FK124" s="139">
        <f t="shared" si="155"/>
        <v>0</v>
      </c>
      <c r="FL124" s="139">
        <f t="shared" si="156"/>
        <v>0</v>
      </c>
      <c r="FM124" s="139">
        <f t="shared" si="157"/>
        <v>0</v>
      </c>
      <c r="FN124" s="139">
        <f t="shared" si="158"/>
        <v>0</v>
      </c>
      <c r="FO124" s="139">
        <f t="shared" si="159"/>
        <v>0</v>
      </c>
      <c r="FP124" s="139">
        <f t="shared" si="160"/>
        <v>0</v>
      </c>
      <c r="FQ124" s="139">
        <f t="shared" si="161"/>
        <v>0</v>
      </c>
      <c r="FR124" s="139">
        <f t="shared" si="162"/>
        <v>0</v>
      </c>
      <c r="FS124" s="139">
        <f t="shared" si="163"/>
        <v>0</v>
      </c>
      <c r="FT124" s="139">
        <f t="shared" si="164"/>
        <v>0</v>
      </c>
      <c r="FU124" s="148">
        <f t="shared" si="165"/>
        <v>2.7241078482582104</v>
      </c>
      <c r="FV124" s="149"/>
      <c r="FY124" s="211">
        <v>119</v>
      </c>
      <c r="FZ124">
        <v>8.9540431490215848</v>
      </c>
      <c r="GA124">
        <v>5.1017467382461099</v>
      </c>
      <c r="GB124">
        <v>4.6290138987690126</v>
      </c>
      <c r="GC124">
        <v>3.0345659245272594</v>
      </c>
      <c r="GD124">
        <v>1.8341612220968178</v>
      </c>
      <c r="GE124">
        <v>2.7476872911911276</v>
      </c>
      <c r="GF124">
        <v>1.1296426808333333</v>
      </c>
      <c r="GG124">
        <v>1.6838618671875001</v>
      </c>
      <c r="GH124">
        <v>6.355787005098156</v>
      </c>
      <c r="GI124">
        <v>4.7266663499507358</v>
      </c>
      <c r="GJ124"/>
      <c r="GK124">
        <v>8.9944366445916177</v>
      </c>
      <c r="GL124">
        <v>4.324389741491161</v>
      </c>
      <c r="GM124">
        <v>7.7454626393518229</v>
      </c>
      <c r="GN124">
        <v>9.1604047638110853</v>
      </c>
      <c r="GO124">
        <v>7.1210620686023081</v>
      </c>
      <c r="GP124">
        <v>5.2604504407471238</v>
      </c>
      <c r="GQ124">
        <v>1.3842592592592591</v>
      </c>
      <c r="GR124">
        <v>2.3697916666666665</v>
      </c>
      <c r="GS124">
        <v>6.7750795056983151</v>
      </c>
      <c r="GT124">
        <v>6.4040600235006648</v>
      </c>
      <c r="GU124"/>
      <c r="GV124"/>
      <c r="GW124"/>
      <c r="GX124"/>
      <c r="GY124"/>
      <c r="GZ124"/>
      <c r="HA124"/>
      <c r="HB124"/>
      <c r="HC124"/>
    </row>
    <row r="125" spans="1:211" s="7" customFormat="1">
      <c r="A125" s="1"/>
      <c r="B125" s="76">
        <f t="shared" ca="1" si="132"/>
        <v>0.69964904311644083</v>
      </c>
      <c r="C125">
        <v>8</v>
      </c>
      <c r="D125">
        <v>39747</v>
      </c>
      <c r="E125">
        <v>0</v>
      </c>
      <c r="F125">
        <v>70.112179487179489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56.639787583441418</v>
      </c>
      <c r="AO125">
        <v>6.7802581149954033</v>
      </c>
      <c r="AP125">
        <v>52.867218376450772</v>
      </c>
      <c r="AQ125">
        <v>52.932350340739369</v>
      </c>
      <c r="AR125">
        <v>7.2253017431052173</v>
      </c>
      <c r="AS125">
        <v>45.214007373426639</v>
      </c>
      <c r="AT125" t="e">
        <v>#DIV/0!</v>
      </c>
      <c r="AU125" t="e">
        <v>#DIV/0!</v>
      </c>
      <c r="AV125"/>
      <c r="AW125"/>
      <c r="AX125" s="146"/>
      <c r="AY125" s="76">
        <f t="shared" ca="1" si="88"/>
        <v>0.83429896666303738</v>
      </c>
      <c r="AZ125">
        <v>8</v>
      </c>
      <c r="BA125" s="129">
        <f t="shared" si="131"/>
        <v>39747</v>
      </c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90"/>
        <v>0.9963338740726968</v>
      </c>
      <c r="CL125" s="179">
        <f t="shared" si="91"/>
        <v>8</v>
      </c>
      <c r="CM125" s="180">
        <f t="shared" si="92"/>
        <v>39747</v>
      </c>
      <c r="CN125">
        <v>0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0.2611319378259318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70.112179487179489</v>
      </c>
      <c r="DH125" s="161">
        <f t="shared" si="97"/>
        <v>0</v>
      </c>
      <c r="DI125" s="161">
        <f t="shared" si="98"/>
        <v>0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3"/>
        <v>70.112179487179489</v>
      </c>
      <c r="EL125" s="149"/>
      <c r="EN125" s="146"/>
      <c r="EO125" s="146"/>
      <c r="EP125" s="139">
        <f t="shared" si="134"/>
        <v>0</v>
      </c>
      <c r="EQ125" s="139">
        <f t="shared" si="135"/>
        <v>8.1119791666666679</v>
      </c>
      <c r="ER125" s="139">
        <f t="shared" si="136"/>
        <v>0</v>
      </c>
      <c r="ES125" s="139">
        <f t="shared" si="137"/>
        <v>0</v>
      </c>
      <c r="ET125" s="139">
        <f t="shared" si="138"/>
        <v>0</v>
      </c>
      <c r="EU125" s="139">
        <f t="shared" si="139"/>
        <v>0</v>
      </c>
      <c r="EV125" s="139">
        <f t="shared" si="140"/>
        <v>0</v>
      </c>
      <c r="EW125" s="139">
        <f t="shared" si="141"/>
        <v>0</v>
      </c>
      <c r="EX125" s="139">
        <f t="shared" si="142"/>
        <v>0</v>
      </c>
      <c r="EY125" s="139">
        <f t="shared" si="143"/>
        <v>0</v>
      </c>
      <c r="EZ125" s="139">
        <f t="shared" si="144"/>
        <v>0</v>
      </c>
      <c r="FA125" s="139">
        <f t="shared" si="145"/>
        <v>0</v>
      </c>
      <c r="FB125" s="139">
        <f t="shared" si="146"/>
        <v>0</v>
      </c>
      <c r="FC125" s="139">
        <f t="shared" si="147"/>
        <v>0</v>
      </c>
      <c r="FD125" s="139">
        <f t="shared" si="148"/>
        <v>0</v>
      </c>
      <c r="FE125" s="139">
        <f t="shared" si="149"/>
        <v>0</v>
      </c>
      <c r="FF125" s="139">
        <f t="shared" si="150"/>
        <v>0</v>
      </c>
      <c r="FG125" s="139">
        <f t="shared" si="151"/>
        <v>0</v>
      </c>
      <c r="FH125" s="139">
        <f t="shared" si="152"/>
        <v>0</v>
      </c>
      <c r="FI125" s="139">
        <f t="shared" si="153"/>
        <v>0</v>
      </c>
      <c r="FJ125" s="139">
        <f t="shared" si="154"/>
        <v>0</v>
      </c>
      <c r="FK125" s="139">
        <f t="shared" si="155"/>
        <v>0</v>
      </c>
      <c r="FL125" s="139">
        <f t="shared" si="156"/>
        <v>0</v>
      </c>
      <c r="FM125" s="139">
        <f t="shared" si="157"/>
        <v>0</v>
      </c>
      <c r="FN125" s="139">
        <f t="shared" si="158"/>
        <v>0</v>
      </c>
      <c r="FO125" s="139">
        <f t="shared" si="159"/>
        <v>0</v>
      </c>
      <c r="FP125" s="139">
        <f t="shared" si="160"/>
        <v>0</v>
      </c>
      <c r="FQ125" s="139">
        <f t="shared" si="161"/>
        <v>0</v>
      </c>
      <c r="FR125" s="139">
        <f t="shared" si="162"/>
        <v>0</v>
      </c>
      <c r="FS125" s="139">
        <f t="shared" si="163"/>
        <v>0</v>
      </c>
      <c r="FT125" s="139">
        <f t="shared" si="164"/>
        <v>0</v>
      </c>
      <c r="FU125" s="148">
        <f t="shared" si="165"/>
        <v>8.1119791666666679</v>
      </c>
      <c r="FV125" s="149"/>
      <c r="FY125" s="211">
        <v>120</v>
      </c>
      <c r="FZ125">
        <v>18.21620850516269</v>
      </c>
      <c r="GA125">
        <v>16.16398656465843</v>
      </c>
      <c r="GB125">
        <v>4.2152448390102251</v>
      </c>
      <c r="GC125">
        <v>2.2669933861412201</v>
      </c>
      <c r="GD125">
        <v>1.8195681280831202</v>
      </c>
      <c r="GE125">
        <v>2.9086010052393974</v>
      </c>
      <c r="GF125">
        <v>2.4718421070765366</v>
      </c>
      <c r="GG125">
        <v>2.4287977605830751</v>
      </c>
      <c r="GH125">
        <v>2.4756394269444444</v>
      </c>
      <c r="GI125">
        <v>5.6147520568085616</v>
      </c>
      <c r="GJ125"/>
      <c r="GK125">
        <v>18.276601673664377</v>
      </c>
      <c r="GL125">
        <v>13.696201579200725</v>
      </c>
      <c r="GM125">
        <v>6.9783401021162579</v>
      </c>
      <c r="GN125">
        <v>6.7527215393504614</v>
      </c>
      <c r="GO125">
        <v>7.0652245422316664</v>
      </c>
      <c r="GP125">
        <v>5.5685199291132932</v>
      </c>
      <c r="GQ125">
        <v>3.0220396466092407</v>
      </c>
      <c r="GR125">
        <v>3.413243350312944</v>
      </c>
      <c r="GS125">
        <v>2.6412037037037037</v>
      </c>
      <c r="GT125">
        <v>7.5966819336650477</v>
      </c>
      <c r="GU125"/>
      <c r="GV125"/>
      <c r="GW125"/>
      <c r="GX125"/>
      <c r="GY125"/>
      <c r="GZ125"/>
      <c r="HA125"/>
      <c r="HB125"/>
      <c r="HC125"/>
    </row>
    <row r="126" spans="1:211" s="7" customFormat="1">
      <c r="A126" s="1"/>
      <c r="B126" s="76">
        <f t="shared" ca="1" si="132"/>
        <v>0.50427974207148307</v>
      </c>
      <c r="C126">
        <v>2</v>
      </c>
      <c r="D126">
        <v>39747</v>
      </c>
      <c r="E126">
        <v>182.29166666666666</v>
      </c>
      <c r="F126">
        <v>182.29166666666666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62.712820136930667</v>
      </c>
      <c r="AO126">
        <v>7.5429133956180934</v>
      </c>
      <c r="AP126">
        <v>3.956950093088706</v>
      </c>
      <c r="AQ126">
        <v>56.378849375982412</v>
      </c>
      <c r="AR126">
        <v>8.1465524153251057</v>
      </c>
      <c r="AS126">
        <v>54.141247772281929</v>
      </c>
      <c r="AT126">
        <v>6.5202241821211215</v>
      </c>
      <c r="AU126">
        <v>0.63824755091110497</v>
      </c>
      <c r="AV126"/>
      <c r="AW126"/>
      <c r="AX126" s="146"/>
      <c r="AY126" s="76">
        <f t="shared" ca="1" si="88"/>
        <v>0.32124059526909754</v>
      </c>
      <c r="AZ126">
        <v>9</v>
      </c>
      <c r="BA126" s="129">
        <f t="shared" si="131"/>
        <v>39747</v>
      </c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90"/>
        <v>0.18860098845705142</v>
      </c>
      <c r="CL126" s="179">
        <f t="shared" si="91"/>
        <v>9</v>
      </c>
      <c r="CM126" s="180">
        <f t="shared" si="92"/>
        <v>39747</v>
      </c>
      <c r="CN126">
        <v>0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0.52393044991672877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88.922764227642276</v>
      </c>
      <c r="DH126" s="161">
        <f t="shared" si="97"/>
        <v>0</v>
      </c>
      <c r="DI126" s="161">
        <f>IF($AZ126="", "", ((BE125*$CW126)+(CQ126*$CX126))/$CZ126)</f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3"/>
        <v>88.922764227642276</v>
      </c>
      <c r="EL126" s="149"/>
      <c r="EN126" s="146"/>
      <c r="EO126" s="146"/>
      <c r="EP126" s="139">
        <f t="shared" si="134"/>
        <v>0</v>
      </c>
      <c r="EQ126" s="139">
        <f t="shared" si="135"/>
        <v>10.288363821138212</v>
      </c>
      <c r="ER126" s="139">
        <f t="shared" si="136"/>
        <v>0</v>
      </c>
      <c r="ES126" s="139">
        <f t="shared" si="137"/>
        <v>0</v>
      </c>
      <c r="ET126" s="139">
        <f t="shared" si="138"/>
        <v>0</v>
      </c>
      <c r="EU126" s="139">
        <f t="shared" si="139"/>
        <v>0</v>
      </c>
      <c r="EV126" s="139">
        <f t="shared" si="140"/>
        <v>0</v>
      </c>
      <c r="EW126" s="139">
        <f t="shared" si="141"/>
        <v>0</v>
      </c>
      <c r="EX126" s="139">
        <f t="shared" si="142"/>
        <v>0</v>
      </c>
      <c r="EY126" s="139">
        <f t="shared" si="143"/>
        <v>0</v>
      </c>
      <c r="EZ126" s="139">
        <f t="shared" si="144"/>
        <v>0</v>
      </c>
      <c r="FA126" s="139">
        <f t="shared" si="145"/>
        <v>0</v>
      </c>
      <c r="FB126" s="139">
        <f t="shared" si="146"/>
        <v>0</v>
      </c>
      <c r="FC126" s="139">
        <f t="shared" si="147"/>
        <v>0</v>
      </c>
      <c r="FD126" s="139">
        <f t="shared" si="148"/>
        <v>0</v>
      </c>
      <c r="FE126" s="139">
        <f t="shared" si="149"/>
        <v>0</v>
      </c>
      <c r="FF126" s="139">
        <f t="shared" si="150"/>
        <v>0</v>
      </c>
      <c r="FG126" s="139">
        <f t="shared" si="151"/>
        <v>0</v>
      </c>
      <c r="FH126" s="139">
        <f t="shared" si="152"/>
        <v>0</v>
      </c>
      <c r="FI126" s="139">
        <f t="shared" si="153"/>
        <v>0</v>
      </c>
      <c r="FJ126" s="139">
        <f t="shared" si="154"/>
        <v>0</v>
      </c>
      <c r="FK126" s="139">
        <f t="shared" si="155"/>
        <v>0</v>
      </c>
      <c r="FL126" s="139">
        <f t="shared" si="156"/>
        <v>0</v>
      </c>
      <c r="FM126" s="139">
        <f t="shared" si="157"/>
        <v>0</v>
      </c>
      <c r="FN126" s="139">
        <f t="shared" si="158"/>
        <v>0</v>
      </c>
      <c r="FO126" s="139">
        <f t="shared" si="159"/>
        <v>0</v>
      </c>
      <c r="FP126" s="139">
        <f t="shared" si="160"/>
        <v>0</v>
      </c>
      <c r="FQ126" s="139">
        <f t="shared" si="161"/>
        <v>0</v>
      </c>
      <c r="FR126" s="139">
        <f t="shared" si="162"/>
        <v>0</v>
      </c>
      <c r="FS126" s="139">
        <f t="shared" si="163"/>
        <v>0</v>
      </c>
      <c r="FT126" s="139">
        <f t="shared" si="164"/>
        <v>0</v>
      </c>
      <c r="FU126" s="148">
        <f t="shared" si="165"/>
        <v>10.288363821138212</v>
      </c>
      <c r="FV126" s="149"/>
      <c r="FY126" s="211">
        <v>121</v>
      </c>
      <c r="FZ126">
        <v>14.268513571586329</v>
      </c>
      <c r="GA126">
        <v>13.863248117545304</v>
      </c>
      <c r="GB126">
        <v>5.8338345647046275</v>
      </c>
      <c r="GC126">
        <v>2.8413652086655214</v>
      </c>
      <c r="GD126">
        <v>1.6020204830044988</v>
      </c>
      <c r="GE126">
        <v>2.6583909649452799</v>
      </c>
      <c r="GF126">
        <v>1.3888131975754821</v>
      </c>
      <c r="GG126">
        <v>1.4386361263424563</v>
      </c>
      <c r="GH126">
        <v>4.8236027283552092</v>
      </c>
      <c r="GI126">
        <v>5.4780825087825891</v>
      </c>
      <c r="GJ126"/>
      <c r="GK126">
        <v>14.309263476595637</v>
      </c>
      <c r="GL126">
        <v>11.746984269268944</v>
      </c>
      <c r="GM126">
        <v>9.7008420709630201</v>
      </c>
      <c r="GN126">
        <v>8.5168477538094916</v>
      </c>
      <c r="GO126">
        <v>6.209264162144712</v>
      </c>
      <c r="GP126">
        <v>5.0894925226961814</v>
      </c>
      <c r="GQ126">
        <v>1.6995306940656674</v>
      </c>
      <c r="GR126">
        <v>2.0230260644360376</v>
      </c>
      <c r="GS126">
        <v>5.1417022541599238</v>
      </c>
      <c r="GT126">
        <v>7.4121205315857939</v>
      </c>
      <c r="GU126"/>
      <c r="GV126"/>
      <c r="GW126"/>
      <c r="GX126"/>
      <c r="GY126"/>
      <c r="GZ126"/>
      <c r="HA126"/>
      <c r="HB126"/>
      <c r="HC126"/>
    </row>
    <row r="127" spans="1:211" s="7" customFormat="1">
      <c r="A127" s="1"/>
      <c r="B127" s="76">
        <f t="shared" ca="1" si="132"/>
        <v>0.10467354204393042</v>
      </c>
      <c r="C127">
        <v>1</v>
      </c>
      <c r="D127">
        <v>39747</v>
      </c>
      <c r="E127">
        <v>0</v>
      </c>
      <c r="F127">
        <v>173.61111111111111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73.114483142692052</v>
      </c>
      <c r="AO127">
        <v>8.5016690300162505</v>
      </c>
      <c r="AP127">
        <v>69.362302496584135</v>
      </c>
      <c r="AQ127">
        <v>60.442131189241017</v>
      </c>
      <c r="AR127">
        <v>8.6925682345947077</v>
      </c>
      <c r="AS127">
        <v>57.301327183877156</v>
      </c>
      <c r="AT127" t="e">
        <v>#DIV/0!</v>
      </c>
      <c r="AU127" t="e">
        <v>#DIV/0!</v>
      </c>
      <c r="AV127"/>
      <c r="AW127"/>
      <c r="AX127" s="146"/>
      <c r="AY127" s="76">
        <f t="shared" ca="1" si="88"/>
        <v>0.22017796614931973</v>
      </c>
      <c r="AZ127">
        <v>10</v>
      </c>
      <c r="BA127" s="129">
        <f t="shared" si="131"/>
        <v>39747</v>
      </c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90"/>
        <v>0.83599134066014535</v>
      </c>
      <c r="CL127" s="179">
        <f t="shared" si="91"/>
        <v>10</v>
      </c>
      <c r="CM127" s="180">
        <f t="shared" si="92"/>
        <v>39747</v>
      </c>
      <c r="CN127">
        <v>0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0.94663966813848166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65.104166666666671</v>
      </c>
      <c r="DH127" s="161">
        <f t="shared" si="97"/>
        <v>0</v>
      </c>
      <c r="DI127" s="161">
        <f>IF($AZ127="", "", ((BE126*$CW127)+(CQ127*$CX127))/$CZ127)</f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3"/>
        <v>65.104166666666671</v>
      </c>
      <c r="EL127" s="149"/>
      <c r="EN127" s="146"/>
      <c r="EO127" s="146"/>
      <c r="EP127" s="139">
        <f t="shared" si="134"/>
        <v>0</v>
      </c>
      <c r="EQ127" s="139">
        <f t="shared" si="135"/>
        <v>7.5325520833333348</v>
      </c>
      <c r="ER127" s="139">
        <f t="shared" si="136"/>
        <v>0</v>
      </c>
      <c r="ES127" s="139">
        <f t="shared" si="137"/>
        <v>0</v>
      </c>
      <c r="ET127" s="139">
        <f t="shared" si="138"/>
        <v>0</v>
      </c>
      <c r="EU127" s="139">
        <f t="shared" si="139"/>
        <v>0</v>
      </c>
      <c r="EV127" s="139">
        <f t="shared" si="140"/>
        <v>0</v>
      </c>
      <c r="EW127" s="139">
        <f t="shared" si="141"/>
        <v>0</v>
      </c>
      <c r="EX127" s="139">
        <f t="shared" si="142"/>
        <v>0</v>
      </c>
      <c r="EY127" s="139">
        <f t="shared" si="143"/>
        <v>0</v>
      </c>
      <c r="EZ127" s="139">
        <f t="shared" si="144"/>
        <v>0</v>
      </c>
      <c r="FA127" s="139">
        <f t="shared" si="145"/>
        <v>0</v>
      </c>
      <c r="FB127" s="139">
        <f t="shared" si="146"/>
        <v>0</v>
      </c>
      <c r="FC127" s="139">
        <f t="shared" si="147"/>
        <v>0</v>
      </c>
      <c r="FD127" s="139">
        <f t="shared" si="148"/>
        <v>0</v>
      </c>
      <c r="FE127" s="139">
        <f t="shared" si="149"/>
        <v>0</v>
      </c>
      <c r="FF127" s="139">
        <f t="shared" si="150"/>
        <v>0</v>
      </c>
      <c r="FG127" s="139">
        <f t="shared" si="151"/>
        <v>0</v>
      </c>
      <c r="FH127" s="139">
        <f t="shared" si="152"/>
        <v>0</v>
      </c>
      <c r="FI127" s="139">
        <f t="shared" si="153"/>
        <v>0</v>
      </c>
      <c r="FJ127" s="139">
        <f t="shared" si="154"/>
        <v>0</v>
      </c>
      <c r="FK127" s="139">
        <f t="shared" si="155"/>
        <v>0</v>
      </c>
      <c r="FL127" s="139">
        <f t="shared" si="156"/>
        <v>0</v>
      </c>
      <c r="FM127" s="139">
        <f t="shared" si="157"/>
        <v>0</v>
      </c>
      <c r="FN127" s="139">
        <f t="shared" si="158"/>
        <v>0</v>
      </c>
      <c r="FO127" s="139">
        <f t="shared" si="159"/>
        <v>0</v>
      </c>
      <c r="FP127" s="139">
        <f t="shared" si="160"/>
        <v>0</v>
      </c>
      <c r="FQ127" s="139">
        <f t="shared" si="161"/>
        <v>0</v>
      </c>
      <c r="FR127" s="139">
        <f t="shared" si="162"/>
        <v>0</v>
      </c>
      <c r="FS127" s="139">
        <f t="shared" si="163"/>
        <v>0</v>
      </c>
      <c r="FT127" s="139">
        <f t="shared" si="164"/>
        <v>0</v>
      </c>
      <c r="FU127" s="148">
        <f t="shared" si="165"/>
        <v>7.5325520833333348</v>
      </c>
      <c r="FV127" s="149"/>
      <c r="FY127" s="211">
        <v>122</v>
      </c>
      <c r="FZ127">
        <v>15.455641252891947</v>
      </c>
      <c r="GA127">
        <v>12.435185979386175</v>
      </c>
      <c r="GB127">
        <v>4.7669339240631992</v>
      </c>
      <c r="GC127">
        <v>2.7323261186580003</v>
      </c>
      <c r="GD127">
        <v>1.7623763770857934</v>
      </c>
      <c r="GE127">
        <v>2.4562992792309957</v>
      </c>
      <c r="GF127">
        <v>2.3596505903985503</v>
      </c>
      <c r="GG127">
        <v>2.006456797712862</v>
      </c>
      <c r="GH127">
        <v>4.6225022388852981</v>
      </c>
      <c r="GI127">
        <v>5.6317810807982749</v>
      </c>
      <c r="GJ127"/>
      <c r="GK127">
        <v>15.515632421727302</v>
      </c>
      <c r="GL127">
        <v>10.535641508308469</v>
      </c>
      <c r="GM127">
        <v>7.973213424611961</v>
      </c>
      <c r="GN127">
        <v>8.2622266726678877</v>
      </c>
      <c r="GO127">
        <v>6.8419873557643687</v>
      </c>
      <c r="GP127">
        <v>4.7025877607914213</v>
      </c>
      <c r="GQ127">
        <v>2.8915056360708529</v>
      </c>
      <c r="GR127">
        <v>2.8237973027375198</v>
      </c>
      <c r="GS127">
        <v>4.9275791969119913</v>
      </c>
      <c r="GT127">
        <v>7.6299836070172944</v>
      </c>
      <c r="GU127"/>
      <c r="GV127"/>
      <c r="GW127"/>
      <c r="GX127"/>
      <c r="GY127"/>
      <c r="GZ127"/>
      <c r="HA127"/>
      <c r="HB127"/>
      <c r="HC127"/>
    </row>
    <row r="128" spans="1:211" s="7" customFormat="1">
      <c r="A128" s="128"/>
      <c r="B128" s="76">
        <f t="shared" ca="1" si="132"/>
        <v>0.20698282657845191</v>
      </c>
      <c r="C128">
        <v>5</v>
      </c>
      <c r="D128">
        <v>39775</v>
      </c>
      <c r="E128">
        <v>0</v>
      </c>
      <c r="F128">
        <v>59.523809523809526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57.393514711038257</v>
      </c>
      <c r="AO128">
        <v>7.0476836675223185</v>
      </c>
      <c r="AP128">
        <v>66.665519803920873</v>
      </c>
      <c r="AQ128">
        <v>51.077741045505988</v>
      </c>
      <c r="AR128">
        <v>7.6366647025318208</v>
      </c>
      <c r="AS128">
        <v>46.159235979424516</v>
      </c>
      <c r="AT128" t="e">
        <v>#DIV/0!</v>
      </c>
      <c r="AU128" t="e">
        <v>#DIV/0!</v>
      </c>
      <c r="AV128"/>
      <c r="AW128"/>
      <c r="AX128" s="128"/>
      <c r="AY128" s="76">
        <f t="shared" ca="1" si="88"/>
        <v>0.6389720133083312</v>
      </c>
      <c r="AZ128">
        <v>1</v>
      </c>
      <c r="BA128" s="129">
        <f>IF(AZ128="", "",$C$8)</f>
        <v>39775</v>
      </c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90"/>
        <v>0.28251748416322253</v>
      </c>
      <c r="CL128" s="179">
        <f t="shared" si="91"/>
        <v>1</v>
      </c>
      <c r="CM128" s="180">
        <f t="shared" si="92"/>
        <v>39775</v>
      </c>
      <c r="CN128">
        <v>0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0.35141087599753984</v>
      </c>
      <c r="DD128">
        <f t="shared" si="94"/>
        <v>1</v>
      </c>
      <c r="DE128" s="129">
        <f t="shared" ref="DE128:DE137" si="166">IF((DD128)="", "", $C$8)</f>
        <v>39775</v>
      </c>
      <c r="DF128" s="161">
        <f t="shared" si="95"/>
        <v>0</v>
      </c>
      <c r="DG128" s="161">
        <f t="shared" si="96"/>
        <v>21.875</v>
      </c>
      <c r="DH128" s="161">
        <f t="shared" si="97"/>
        <v>0</v>
      </c>
      <c r="DI128" s="161">
        <f t="shared" si="98"/>
        <v>0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3"/>
        <v>21.875</v>
      </c>
      <c r="EL128" s="149"/>
      <c r="EN128" s="146"/>
      <c r="EO128" s="146"/>
      <c r="EP128" s="139">
        <f t="shared" si="134"/>
        <v>0</v>
      </c>
      <c r="EQ128" s="139">
        <f t="shared" si="135"/>
        <v>2.5309375000000003</v>
      </c>
      <c r="ER128" s="139">
        <f t="shared" si="136"/>
        <v>0</v>
      </c>
      <c r="ES128" s="139">
        <f t="shared" si="137"/>
        <v>0</v>
      </c>
      <c r="ET128" s="139">
        <f t="shared" si="138"/>
        <v>0</v>
      </c>
      <c r="EU128" s="139">
        <f t="shared" si="139"/>
        <v>0</v>
      </c>
      <c r="EV128" s="139">
        <f t="shared" si="140"/>
        <v>0</v>
      </c>
      <c r="EW128" s="139">
        <f t="shared" si="141"/>
        <v>0</v>
      </c>
      <c r="EX128" s="139">
        <f t="shared" si="142"/>
        <v>0</v>
      </c>
      <c r="EY128" s="139">
        <f t="shared" si="143"/>
        <v>0</v>
      </c>
      <c r="EZ128" s="139">
        <f t="shared" si="144"/>
        <v>0</v>
      </c>
      <c r="FA128" s="139">
        <f t="shared" si="145"/>
        <v>0</v>
      </c>
      <c r="FB128" s="139">
        <f t="shared" si="146"/>
        <v>0</v>
      </c>
      <c r="FC128" s="139">
        <f t="shared" si="147"/>
        <v>0</v>
      </c>
      <c r="FD128" s="139">
        <f t="shared" si="148"/>
        <v>0</v>
      </c>
      <c r="FE128" s="139">
        <f t="shared" si="149"/>
        <v>0</v>
      </c>
      <c r="FF128" s="139">
        <f t="shared" si="150"/>
        <v>0</v>
      </c>
      <c r="FG128" s="139">
        <f t="shared" si="151"/>
        <v>0</v>
      </c>
      <c r="FH128" s="139">
        <f t="shared" si="152"/>
        <v>0</v>
      </c>
      <c r="FI128" s="139">
        <f t="shared" si="153"/>
        <v>0</v>
      </c>
      <c r="FJ128" s="139">
        <f t="shared" si="154"/>
        <v>0</v>
      </c>
      <c r="FK128" s="139">
        <f t="shared" si="155"/>
        <v>0</v>
      </c>
      <c r="FL128" s="139">
        <f t="shared" si="156"/>
        <v>0</v>
      </c>
      <c r="FM128" s="139">
        <f t="shared" si="157"/>
        <v>0</v>
      </c>
      <c r="FN128" s="139">
        <f t="shared" si="158"/>
        <v>0</v>
      </c>
      <c r="FO128" s="139">
        <f t="shared" si="159"/>
        <v>0</v>
      </c>
      <c r="FP128" s="139">
        <f t="shared" si="160"/>
        <v>0</v>
      </c>
      <c r="FQ128" s="139">
        <f t="shared" si="161"/>
        <v>0</v>
      </c>
      <c r="FR128" s="139">
        <f t="shared" si="162"/>
        <v>0</v>
      </c>
      <c r="FS128" s="139">
        <f t="shared" si="163"/>
        <v>0</v>
      </c>
      <c r="FT128" s="139">
        <f t="shared" si="164"/>
        <v>0</v>
      </c>
      <c r="FU128" s="148">
        <f t="shared" si="165"/>
        <v>2.5309375000000003</v>
      </c>
      <c r="FV128" s="149"/>
      <c r="FY128" s="211">
        <v>123</v>
      </c>
      <c r="FZ128">
        <v>7.1355766706216359</v>
      </c>
      <c r="GA128">
        <v>3.6227322607460537</v>
      </c>
      <c r="GB128">
        <v>5.6417034787632252</v>
      </c>
      <c r="GC128">
        <v>3.3281750989099761</v>
      </c>
      <c r="GD128">
        <v>1.8750765747955687</v>
      </c>
      <c r="GE128">
        <v>2.952426702199531</v>
      </c>
      <c r="GF128">
        <v>0.61500395478260861</v>
      </c>
      <c r="GG128">
        <v>0.90968051734601452</v>
      </c>
      <c r="GH128">
        <v>5.987532393634039</v>
      </c>
      <c r="GI128">
        <v>4.5758394765186834</v>
      </c>
      <c r="GJ128"/>
      <c r="GK128">
        <v>7.1758048645094483</v>
      </c>
      <c r="GL128">
        <v>3.0700053188673539</v>
      </c>
      <c r="GM128">
        <v>9.3811376476811308</v>
      </c>
      <c r="GN128">
        <v>9.9784054564038147</v>
      </c>
      <c r="GO128">
        <v>7.2884474033257032</v>
      </c>
      <c r="GP128">
        <v>5.6524242757356644</v>
      </c>
      <c r="GQ128">
        <v>0.75362318840579701</v>
      </c>
      <c r="GR128">
        <v>1.2802435587761674</v>
      </c>
      <c r="GS128">
        <v>6.3832833739309285</v>
      </c>
      <c r="GT128">
        <v>6.1964592955706026</v>
      </c>
      <c r="GU128"/>
      <c r="GV128"/>
      <c r="GW128"/>
      <c r="GX128"/>
      <c r="GY128"/>
      <c r="GZ128"/>
      <c r="HA128"/>
      <c r="HB128"/>
      <c r="HC128"/>
    </row>
    <row r="129" spans="1:211" s="7" customFormat="1">
      <c r="A129" s="1"/>
      <c r="B129" s="76">
        <f t="shared" ca="1" si="132"/>
        <v>0.75118263838606247</v>
      </c>
      <c r="C129">
        <v>4</v>
      </c>
      <c r="D129">
        <v>39775</v>
      </c>
      <c r="E129">
        <v>0</v>
      </c>
      <c r="F129">
        <v>10.416666666666666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50.755888870438596</v>
      </c>
      <c r="AO129">
        <v>6.5656445733466571</v>
      </c>
      <c r="AP129">
        <v>4.2673065743636442</v>
      </c>
      <c r="AQ129">
        <v>46.16431794488598</v>
      </c>
      <c r="AR129">
        <v>6.8014804794705013</v>
      </c>
      <c r="AS129">
        <v>41.555221903418321</v>
      </c>
      <c r="AT129">
        <v>5.4156490020035806</v>
      </c>
      <c r="AU129">
        <v>2.4476895389210807</v>
      </c>
      <c r="AV129"/>
      <c r="AW129"/>
      <c r="AX129" s="146"/>
      <c r="AY129" s="76">
        <f t="shared" ca="1" si="88"/>
        <v>0.53442294215005059</v>
      </c>
      <c r="AZ129">
        <v>2</v>
      </c>
      <c r="BA129" s="129">
        <f t="shared" ref="BA129:BA137" si="167">IF(AZ129="", "",$C$8)</f>
        <v>39775</v>
      </c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90"/>
        <v>0.62178629565834909</v>
      </c>
      <c r="CL129" s="179">
        <f t="shared" si="91"/>
        <v>2</v>
      </c>
      <c r="CM129" s="180">
        <f t="shared" si="92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0.79840603235516938</v>
      </c>
      <c r="DD129">
        <f t="shared" si="94"/>
        <v>2</v>
      </c>
      <c r="DE129" s="129">
        <f t="shared" si="166"/>
        <v>39775</v>
      </c>
      <c r="DF129" s="161">
        <f t="shared" si="95"/>
        <v>0</v>
      </c>
      <c r="DG129" s="161">
        <f t="shared" si="96"/>
        <v>0</v>
      </c>
      <c r="DH129" s="161">
        <f t="shared" si="97"/>
        <v>0</v>
      </c>
      <c r="DI129" s="161">
        <f t="shared" si="98"/>
        <v>0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3"/>
        <v>0</v>
      </c>
      <c r="EL129" s="149"/>
      <c r="EN129" s="146"/>
      <c r="EO129" s="146"/>
      <c r="EP129" s="139">
        <f t="shared" si="134"/>
        <v>0</v>
      </c>
      <c r="EQ129" s="139">
        <f t="shared" si="135"/>
        <v>0</v>
      </c>
      <c r="ER129" s="139">
        <f t="shared" si="136"/>
        <v>0</v>
      </c>
      <c r="ES129" s="139">
        <f t="shared" si="137"/>
        <v>0</v>
      </c>
      <c r="ET129" s="139">
        <f t="shared" si="138"/>
        <v>0</v>
      </c>
      <c r="EU129" s="139">
        <f t="shared" si="139"/>
        <v>0</v>
      </c>
      <c r="EV129" s="139">
        <f t="shared" si="140"/>
        <v>0</v>
      </c>
      <c r="EW129" s="139">
        <f t="shared" si="141"/>
        <v>0</v>
      </c>
      <c r="EX129" s="139">
        <f t="shared" si="142"/>
        <v>0</v>
      </c>
      <c r="EY129" s="139">
        <f t="shared" si="143"/>
        <v>0</v>
      </c>
      <c r="EZ129" s="139">
        <f t="shared" si="144"/>
        <v>0</v>
      </c>
      <c r="FA129" s="139">
        <f t="shared" si="145"/>
        <v>0</v>
      </c>
      <c r="FB129" s="139">
        <f t="shared" si="146"/>
        <v>0</v>
      </c>
      <c r="FC129" s="139">
        <f t="shared" si="147"/>
        <v>0</v>
      </c>
      <c r="FD129" s="139">
        <f t="shared" si="148"/>
        <v>0</v>
      </c>
      <c r="FE129" s="139">
        <f t="shared" si="149"/>
        <v>0</v>
      </c>
      <c r="FF129" s="139">
        <f t="shared" si="150"/>
        <v>0</v>
      </c>
      <c r="FG129" s="139">
        <f t="shared" si="151"/>
        <v>0</v>
      </c>
      <c r="FH129" s="139">
        <f t="shared" si="152"/>
        <v>0</v>
      </c>
      <c r="FI129" s="139">
        <f t="shared" si="153"/>
        <v>0</v>
      </c>
      <c r="FJ129" s="139">
        <f t="shared" si="154"/>
        <v>0</v>
      </c>
      <c r="FK129" s="139">
        <f t="shared" si="155"/>
        <v>0</v>
      </c>
      <c r="FL129" s="139">
        <f t="shared" si="156"/>
        <v>0</v>
      </c>
      <c r="FM129" s="139">
        <f t="shared" si="157"/>
        <v>0</v>
      </c>
      <c r="FN129" s="139">
        <f t="shared" si="158"/>
        <v>0</v>
      </c>
      <c r="FO129" s="139">
        <f t="shared" si="159"/>
        <v>0</v>
      </c>
      <c r="FP129" s="139">
        <f t="shared" si="160"/>
        <v>0</v>
      </c>
      <c r="FQ129" s="139">
        <f t="shared" si="161"/>
        <v>0</v>
      </c>
      <c r="FR129" s="139">
        <f t="shared" si="162"/>
        <v>0</v>
      </c>
      <c r="FS129" s="139">
        <f t="shared" si="163"/>
        <v>0</v>
      </c>
      <c r="FT129" s="139">
        <f t="shared" si="164"/>
        <v>0</v>
      </c>
      <c r="FU129" s="148">
        <f t="shared" si="165"/>
        <v>0</v>
      </c>
      <c r="FV129" s="149"/>
      <c r="FY129" s="211">
        <v>124</v>
      </c>
      <c r="FZ129">
        <v>6.990815651161018</v>
      </c>
      <c r="GA129">
        <v>9.8605102669604854</v>
      </c>
      <c r="GB129">
        <v>6.098503835941786</v>
      </c>
      <c r="GC129">
        <v>2.3871267086445185</v>
      </c>
      <c r="GD129">
        <v>1.0218297009826085</v>
      </c>
      <c r="GE129">
        <v>1.3202931816112957</v>
      </c>
      <c r="GF129">
        <v>1.2783046744504822</v>
      </c>
      <c r="GG129">
        <v>1.4386361263424563</v>
      </c>
      <c r="GH129">
        <v>3.8763924337586677</v>
      </c>
      <c r="GI129">
        <v>3.9610506761546556</v>
      </c>
      <c r="GJ129"/>
      <c r="GK129">
        <v>7.0184356773366403</v>
      </c>
      <c r="GL129">
        <v>8.3547763160445356</v>
      </c>
      <c r="GM129">
        <v>10.100518530130994</v>
      </c>
      <c r="GN129">
        <v>7.1157965709641671</v>
      </c>
      <c r="GO129">
        <v>3.9706738197791505</v>
      </c>
      <c r="GP129">
        <v>2.5277027962347729</v>
      </c>
      <c r="GQ129">
        <v>1.5641140273990009</v>
      </c>
      <c r="GR129">
        <v>2.0230260644360376</v>
      </c>
      <c r="GS129">
        <v>4.1336034619770494</v>
      </c>
      <c r="GT129">
        <v>5.3574691033245667</v>
      </c>
      <c r="GU129"/>
      <c r="GV129"/>
      <c r="GW129"/>
      <c r="GX129"/>
      <c r="GY129"/>
      <c r="GZ129"/>
      <c r="HA129"/>
      <c r="HB129"/>
      <c r="HC129"/>
    </row>
    <row r="130" spans="1:211" s="7" customFormat="1">
      <c r="A130" s="1"/>
      <c r="B130" s="76">
        <f t="shared" ca="1" si="132"/>
        <v>0.49120958241106383</v>
      </c>
      <c r="C130">
        <v>7</v>
      </c>
      <c r="D130">
        <v>39775</v>
      </c>
      <c r="E130">
        <v>23.148148148148149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41.356689993800913</v>
      </c>
      <c r="AO130">
        <v>5.078642316422771</v>
      </c>
      <c r="AP130">
        <v>1.5742757952589268</v>
      </c>
      <c r="AQ130">
        <v>37.534446042027703</v>
      </c>
      <c r="AR130">
        <v>5.427444894305034</v>
      </c>
      <c r="AS130">
        <v>35.088618879369164</v>
      </c>
      <c r="AT130">
        <v>4.4144372731078567</v>
      </c>
      <c r="AU130">
        <v>1.5987412496697004</v>
      </c>
      <c r="AV130"/>
      <c r="AW130"/>
      <c r="AX130" s="146"/>
      <c r="AY130" s="76">
        <f t="shared" ca="1" si="88"/>
        <v>0.84644440686729538</v>
      </c>
      <c r="AZ130">
        <v>3</v>
      </c>
      <c r="BA130" s="129">
        <f t="shared" si="167"/>
        <v>39775</v>
      </c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90"/>
        <v>0.45374779625649819</v>
      </c>
      <c r="CL130" s="179">
        <f t="shared" si="91"/>
        <v>3</v>
      </c>
      <c r="CM130" s="180">
        <f t="shared" si="92"/>
        <v>39775</v>
      </c>
      <c r="CN130">
        <v>0</v>
      </c>
      <c r="CO130">
        <v>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2.230538305640728E-2</v>
      </c>
      <c r="DD130">
        <f t="shared" si="94"/>
        <v>3</v>
      </c>
      <c r="DE130" s="129">
        <f t="shared" si="166"/>
        <v>39775</v>
      </c>
      <c r="DF130" s="161">
        <f t="shared" si="95"/>
        <v>0</v>
      </c>
      <c r="DG130" s="161">
        <f t="shared" si="96"/>
        <v>104.16666666666667</v>
      </c>
      <c r="DH130" s="161">
        <f t="shared" si="97"/>
        <v>0</v>
      </c>
      <c r="DI130" s="161">
        <f t="shared" si="98"/>
        <v>0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3"/>
        <v>104.16666666666667</v>
      </c>
      <c r="EL130" s="149"/>
      <c r="EN130" s="146"/>
      <c r="EO130" s="146"/>
      <c r="EP130" s="139">
        <f t="shared" si="134"/>
        <v>0</v>
      </c>
      <c r="EQ130" s="139">
        <f t="shared" si="135"/>
        <v>12.052083333333336</v>
      </c>
      <c r="ER130" s="139">
        <f t="shared" si="136"/>
        <v>0</v>
      </c>
      <c r="ES130" s="139">
        <f t="shared" si="137"/>
        <v>0</v>
      </c>
      <c r="ET130" s="139">
        <f t="shared" si="138"/>
        <v>0</v>
      </c>
      <c r="EU130" s="139">
        <f t="shared" si="139"/>
        <v>0</v>
      </c>
      <c r="EV130" s="139">
        <f t="shared" si="140"/>
        <v>0</v>
      </c>
      <c r="EW130" s="139">
        <f t="shared" si="141"/>
        <v>0</v>
      </c>
      <c r="EX130" s="139">
        <f t="shared" si="142"/>
        <v>0</v>
      </c>
      <c r="EY130" s="139">
        <f t="shared" si="143"/>
        <v>0</v>
      </c>
      <c r="EZ130" s="139">
        <f t="shared" si="144"/>
        <v>0</v>
      </c>
      <c r="FA130" s="139">
        <f t="shared" si="145"/>
        <v>0</v>
      </c>
      <c r="FB130" s="139">
        <f t="shared" si="146"/>
        <v>0</v>
      </c>
      <c r="FC130" s="139">
        <f t="shared" si="147"/>
        <v>0</v>
      </c>
      <c r="FD130" s="139">
        <f t="shared" si="148"/>
        <v>0</v>
      </c>
      <c r="FE130" s="139">
        <f t="shared" si="149"/>
        <v>0</v>
      </c>
      <c r="FF130" s="139">
        <f t="shared" si="150"/>
        <v>0</v>
      </c>
      <c r="FG130" s="139">
        <f t="shared" si="151"/>
        <v>0</v>
      </c>
      <c r="FH130" s="139">
        <f t="shared" si="152"/>
        <v>0</v>
      </c>
      <c r="FI130" s="139">
        <f t="shared" si="153"/>
        <v>0</v>
      </c>
      <c r="FJ130" s="139">
        <f t="shared" si="154"/>
        <v>0</v>
      </c>
      <c r="FK130" s="139">
        <f t="shared" si="155"/>
        <v>0</v>
      </c>
      <c r="FL130" s="139">
        <f t="shared" si="156"/>
        <v>0</v>
      </c>
      <c r="FM130" s="139">
        <f t="shared" si="157"/>
        <v>0</v>
      </c>
      <c r="FN130" s="139">
        <f t="shared" si="158"/>
        <v>0</v>
      </c>
      <c r="FO130" s="139">
        <f t="shared" si="159"/>
        <v>0</v>
      </c>
      <c r="FP130" s="139">
        <f t="shared" si="160"/>
        <v>0</v>
      </c>
      <c r="FQ130" s="139">
        <f t="shared" si="161"/>
        <v>0</v>
      </c>
      <c r="FR130" s="139">
        <f t="shared" si="162"/>
        <v>0</v>
      </c>
      <c r="FS130" s="139">
        <f t="shared" si="163"/>
        <v>0</v>
      </c>
      <c r="FT130" s="139">
        <f t="shared" si="164"/>
        <v>0</v>
      </c>
      <c r="FU130" s="148">
        <f t="shared" si="165"/>
        <v>12.052083333333336</v>
      </c>
      <c r="FV130" s="149"/>
      <c r="FY130" s="211">
        <v>125</v>
      </c>
      <c r="FZ130">
        <v>11.635732285978442</v>
      </c>
      <c r="GA130">
        <v>9.7306833387027769</v>
      </c>
      <c r="GB130">
        <v>5.898942692306318</v>
      </c>
      <c r="GC130">
        <v>3.4464405737951762</v>
      </c>
      <c r="GD130">
        <v>1.9072572276942203</v>
      </c>
      <c r="GE130">
        <v>2.6415891561911278</v>
      </c>
      <c r="GF130">
        <v>2.446100825775964</v>
      </c>
      <c r="GG130">
        <v>2.5030807266432462</v>
      </c>
      <c r="GH130">
        <v>5.8346326418257517</v>
      </c>
      <c r="GI130">
        <v>5.6334494239542234</v>
      </c>
      <c r="GJ130"/>
      <c r="GK130">
        <v>11.682449079229112</v>
      </c>
      <c r="GL130">
        <v>8.2451427245545155</v>
      </c>
      <c r="GM130">
        <v>9.8502764424814941</v>
      </c>
      <c r="GN130">
        <v>10.391494227388968</v>
      </c>
      <c r="GO130">
        <v>7.4052205300559724</v>
      </c>
      <c r="GP130">
        <v>5.0573254407471238</v>
      </c>
      <c r="GQ130">
        <v>2.9928113881313347</v>
      </c>
      <c r="GR130">
        <v>3.5194317585017054</v>
      </c>
      <c r="GS130">
        <v>6.2189308770175806</v>
      </c>
      <c r="GT130">
        <v>7.6299376633831004</v>
      </c>
      <c r="GU130"/>
      <c r="GV130"/>
      <c r="GW130"/>
      <c r="GX130"/>
      <c r="GY130"/>
      <c r="GZ130"/>
      <c r="HA130"/>
      <c r="HB130"/>
      <c r="HC130"/>
    </row>
    <row r="131" spans="1:211" s="7" customFormat="1">
      <c r="A131" s="1"/>
      <c r="B131" s="76">
        <f t="shared" ca="1" si="132"/>
        <v>0.2024173237199447</v>
      </c>
      <c r="C131">
        <v>1</v>
      </c>
      <c r="D131">
        <v>39775</v>
      </c>
      <c r="E131">
        <v>0</v>
      </c>
      <c r="F131">
        <v>21.875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50.587819198488646</v>
      </c>
      <c r="AO131">
        <v>5.9847909554413912</v>
      </c>
      <c r="AP131">
        <v>46.409555465223747</v>
      </c>
      <c r="AQ131">
        <v>40.214436814901525</v>
      </c>
      <c r="AR131">
        <v>6.3551630063245259</v>
      </c>
      <c r="AS131">
        <v>39.515971620756389</v>
      </c>
      <c r="AT131" t="e">
        <v>#DIV/0!</v>
      </c>
      <c r="AU131" t="e">
        <v>#DIV/0!</v>
      </c>
      <c r="AV131"/>
      <c r="AW131"/>
      <c r="AX131" s="146"/>
      <c r="AY131" s="76">
        <f t="shared" ca="1" si="88"/>
        <v>0.54191257391439684</v>
      </c>
      <c r="AZ131">
        <v>4</v>
      </c>
      <c r="BA131" s="129">
        <f t="shared" si="167"/>
        <v>39775</v>
      </c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90"/>
        <v>0.10728592344917853</v>
      </c>
      <c r="CL131" s="179">
        <f t="shared" si="91"/>
        <v>4</v>
      </c>
      <c r="CM131" s="180">
        <f t="shared" si="92"/>
        <v>39775</v>
      </c>
      <c r="CN131">
        <v>0</v>
      </c>
      <c r="CO131">
        <v>1</v>
      </c>
      <c r="CP131"/>
      <c r="CQ131">
        <v>0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0.27712549373343887</v>
      </c>
      <c r="DD131">
        <f t="shared" si="94"/>
        <v>4</v>
      </c>
      <c r="DE131" s="129">
        <f t="shared" si="166"/>
        <v>39775</v>
      </c>
      <c r="DF131" s="161">
        <f t="shared" si="95"/>
        <v>0</v>
      </c>
      <c r="DG131" s="161">
        <f t="shared" si="96"/>
        <v>10.416666666666666</v>
      </c>
      <c r="DH131" s="161">
        <f t="shared" si="97"/>
        <v>0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3"/>
        <v>10.416666666666666</v>
      </c>
      <c r="EL131" s="149"/>
      <c r="EN131" s="146"/>
      <c r="EO131" s="146"/>
      <c r="EP131" s="139">
        <f t="shared" si="134"/>
        <v>0</v>
      </c>
      <c r="EQ131" s="139">
        <f t="shared" si="135"/>
        <v>1.2052083333333334</v>
      </c>
      <c r="ER131" s="139">
        <f t="shared" si="136"/>
        <v>0</v>
      </c>
      <c r="ES131" s="139">
        <f t="shared" si="137"/>
        <v>0</v>
      </c>
      <c r="ET131" s="139">
        <f t="shared" si="138"/>
        <v>0</v>
      </c>
      <c r="EU131" s="139">
        <f t="shared" si="139"/>
        <v>0</v>
      </c>
      <c r="EV131" s="139">
        <f t="shared" si="140"/>
        <v>0</v>
      </c>
      <c r="EW131" s="139">
        <f t="shared" si="141"/>
        <v>0</v>
      </c>
      <c r="EX131" s="139">
        <f t="shared" si="142"/>
        <v>0</v>
      </c>
      <c r="EY131" s="139">
        <f t="shared" si="143"/>
        <v>0</v>
      </c>
      <c r="EZ131" s="139">
        <f t="shared" si="144"/>
        <v>0</v>
      </c>
      <c r="FA131" s="139">
        <f t="shared" si="145"/>
        <v>0</v>
      </c>
      <c r="FB131" s="139">
        <f t="shared" si="146"/>
        <v>0</v>
      </c>
      <c r="FC131" s="139">
        <f t="shared" si="147"/>
        <v>0</v>
      </c>
      <c r="FD131" s="139">
        <f t="shared" si="148"/>
        <v>0</v>
      </c>
      <c r="FE131" s="139">
        <f t="shared" si="149"/>
        <v>0</v>
      </c>
      <c r="FF131" s="139">
        <f t="shared" si="150"/>
        <v>0</v>
      </c>
      <c r="FG131" s="139">
        <f t="shared" si="151"/>
        <v>0</v>
      </c>
      <c r="FH131" s="139">
        <f t="shared" si="152"/>
        <v>0</v>
      </c>
      <c r="FI131" s="139">
        <f t="shared" si="153"/>
        <v>0</v>
      </c>
      <c r="FJ131" s="139">
        <f t="shared" si="154"/>
        <v>0</v>
      </c>
      <c r="FK131" s="139">
        <f t="shared" si="155"/>
        <v>0</v>
      </c>
      <c r="FL131" s="139">
        <f t="shared" si="156"/>
        <v>0</v>
      </c>
      <c r="FM131" s="139">
        <f t="shared" si="157"/>
        <v>0</v>
      </c>
      <c r="FN131" s="139">
        <f t="shared" si="158"/>
        <v>0</v>
      </c>
      <c r="FO131" s="139">
        <f t="shared" si="159"/>
        <v>0</v>
      </c>
      <c r="FP131" s="139">
        <f t="shared" si="160"/>
        <v>0</v>
      </c>
      <c r="FQ131" s="139">
        <f t="shared" si="161"/>
        <v>0</v>
      </c>
      <c r="FR131" s="139">
        <f t="shared" si="162"/>
        <v>0</v>
      </c>
      <c r="FS131" s="139">
        <f t="shared" si="163"/>
        <v>0</v>
      </c>
      <c r="FT131" s="139">
        <f t="shared" si="164"/>
        <v>0</v>
      </c>
      <c r="FU131" s="148">
        <f t="shared" si="165"/>
        <v>1.2052083333333334</v>
      </c>
      <c r="FV131" s="149"/>
      <c r="FY131" s="211">
        <v>126</v>
      </c>
      <c r="FZ131">
        <v>11.00127064091058</v>
      </c>
      <c r="GA131">
        <v>11.661634105747062</v>
      </c>
      <c r="GB131">
        <v>6.8027074761800224</v>
      </c>
      <c r="GC131">
        <v>3.2694749263691691</v>
      </c>
      <c r="GD131">
        <v>1.3413909969025972</v>
      </c>
      <c r="GE131">
        <v>1.6723086992857139</v>
      </c>
      <c r="GF131">
        <v>0.67025821634510852</v>
      </c>
      <c r="GG131">
        <v>0.90968051734601452</v>
      </c>
      <c r="GH131">
        <v>6.2551778672080109</v>
      </c>
      <c r="GI131">
        <v>5.176224015578474</v>
      </c>
      <c r="GJ131"/>
      <c r="GK131">
        <v>11.028081212751808</v>
      </c>
      <c r="GL131">
        <v>9.8804123290101113</v>
      </c>
      <c r="GM131">
        <v>11.272203344450745</v>
      </c>
      <c r="GN131">
        <v>9.7417824979496324</v>
      </c>
      <c r="GO131">
        <v>5.2002165385463357</v>
      </c>
      <c r="GP131">
        <v>3.2016369047619042</v>
      </c>
      <c r="GQ131">
        <v>0.82133152173913027</v>
      </c>
      <c r="GR131">
        <v>1.2802435587761674</v>
      </c>
      <c r="GS131">
        <v>6.6671262753098457</v>
      </c>
      <c r="GT131">
        <v>6.9977917785595736</v>
      </c>
      <c r="GU131"/>
      <c r="GV131"/>
      <c r="GW131"/>
      <c r="GX131"/>
      <c r="GY131"/>
      <c r="GZ131"/>
      <c r="HA131"/>
      <c r="HB131"/>
      <c r="HC131"/>
    </row>
    <row r="132" spans="1:211" s="7" customFormat="1">
      <c r="A132" s="1"/>
      <c r="B132" s="76">
        <f t="shared" ca="1" si="132"/>
        <v>0.95514076198421893</v>
      </c>
      <c r="C132">
        <v>8</v>
      </c>
      <c r="D132">
        <v>39775</v>
      </c>
      <c r="E132">
        <v>0</v>
      </c>
      <c r="F132">
        <v>52.083333333333336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47.131506274878873</v>
      </c>
      <c r="AO132">
        <v>5.4882213744929818</v>
      </c>
      <c r="AP132">
        <v>36.324769716056643</v>
      </c>
      <c r="AQ132">
        <v>39.646177396387216</v>
      </c>
      <c r="AR132">
        <v>6.0246318081878254</v>
      </c>
      <c r="AS132">
        <v>38.523601940401612</v>
      </c>
      <c r="AT132" t="e">
        <v>#DIV/0!</v>
      </c>
      <c r="AU132" t="e">
        <v>#DIV/0!</v>
      </c>
      <c r="AV132"/>
      <c r="AW132"/>
      <c r="AX132" s="146"/>
      <c r="AY132" s="76">
        <f t="shared" ca="1" si="88"/>
        <v>0.79393780421521143</v>
      </c>
      <c r="AZ132">
        <v>5</v>
      </c>
      <c r="BA132" s="129">
        <f t="shared" si="167"/>
        <v>39775</v>
      </c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90"/>
        <v>0.40765205451793118</v>
      </c>
      <c r="CL132" s="179">
        <f t="shared" si="91"/>
        <v>5</v>
      </c>
      <c r="CM132" s="180">
        <f t="shared" si="92"/>
        <v>39775</v>
      </c>
      <c r="CN132">
        <v>0</v>
      </c>
      <c r="CO132">
        <v>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0.5520309002170638</v>
      </c>
      <c r="DD132">
        <f t="shared" si="94"/>
        <v>5</v>
      </c>
      <c r="DE132" s="129">
        <f t="shared" si="166"/>
        <v>39775</v>
      </c>
      <c r="DF132" s="161">
        <f t="shared" si="95"/>
        <v>0</v>
      </c>
      <c r="DG132" s="161">
        <f t="shared" si="96"/>
        <v>59.523809523809526</v>
      </c>
      <c r="DH132" s="161">
        <f t="shared" si="97"/>
        <v>0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3"/>
        <v>59.523809523809526</v>
      </c>
      <c r="EL132" s="149"/>
      <c r="EN132" s="146"/>
      <c r="EO132" s="146"/>
      <c r="EP132" s="139">
        <f t="shared" si="134"/>
        <v>0</v>
      </c>
      <c r="EQ132" s="139">
        <f t="shared" si="135"/>
        <v>6.8869047619047628</v>
      </c>
      <c r="ER132" s="139">
        <f t="shared" si="136"/>
        <v>0</v>
      </c>
      <c r="ES132" s="139">
        <f t="shared" si="137"/>
        <v>0</v>
      </c>
      <c r="ET132" s="139">
        <f t="shared" si="138"/>
        <v>0</v>
      </c>
      <c r="EU132" s="139">
        <f t="shared" si="139"/>
        <v>0</v>
      </c>
      <c r="EV132" s="139">
        <f t="shared" si="140"/>
        <v>0</v>
      </c>
      <c r="EW132" s="139">
        <f t="shared" si="141"/>
        <v>0</v>
      </c>
      <c r="EX132" s="139">
        <f t="shared" si="142"/>
        <v>0</v>
      </c>
      <c r="EY132" s="139">
        <f t="shared" si="143"/>
        <v>0</v>
      </c>
      <c r="EZ132" s="139">
        <f t="shared" si="144"/>
        <v>0</v>
      </c>
      <c r="FA132" s="139">
        <f t="shared" si="145"/>
        <v>0</v>
      </c>
      <c r="FB132" s="139">
        <f t="shared" si="146"/>
        <v>0</v>
      </c>
      <c r="FC132" s="139">
        <f t="shared" si="147"/>
        <v>0</v>
      </c>
      <c r="FD132" s="139">
        <f t="shared" si="148"/>
        <v>0</v>
      </c>
      <c r="FE132" s="139">
        <f t="shared" si="149"/>
        <v>0</v>
      </c>
      <c r="FF132" s="139">
        <f t="shared" si="150"/>
        <v>0</v>
      </c>
      <c r="FG132" s="139">
        <f t="shared" si="151"/>
        <v>0</v>
      </c>
      <c r="FH132" s="139">
        <f t="shared" si="152"/>
        <v>0</v>
      </c>
      <c r="FI132" s="139">
        <f t="shared" si="153"/>
        <v>0</v>
      </c>
      <c r="FJ132" s="139">
        <f t="shared" si="154"/>
        <v>0</v>
      </c>
      <c r="FK132" s="139">
        <f t="shared" si="155"/>
        <v>0</v>
      </c>
      <c r="FL132" s="139">
        <f t="shared" si="156"/>
        <v>0</v>
      </c>
      <c r="FM132" s="139">
        <f t="shared" si="157"/>
        <v>0</v>
      </c>
      <c r="FN132" s="139">
        <f t="shared" si="158"/>
        <v>0</v>
      </c>
      <c r="FO132" s="139">
        <f t="shared" si="159"/>
        <v>0</v>
      </c>
      <c r="FP132" s="139">
        <f t="shared" si="160"/>
        <v>0</v>
      </c>
      <c r="FQ132" s="139">
        <f t="shared" si="161"/>
        <v>0</v>
      </c>
      <c r="FR132" s="139">
        <f t="shared" si="162"/>
        <v>0</v>
      </c>
      <c r="FS132" s="139">
        <f t="shared" si="163"/>
        <v>0</v>
      </c>
      <c r="FT132" s="139">
        <f t="shared" si="164"/>
        <v>0</v>
      </c>
      <c r="FU132" s="148">
        <f t="shared" si="165"/>
        <v>6.8869047619047628</v>
      </c>
      <c r="FV132" s="149"/>
      <c r="FY132" s="211">
        <v>127</v>
      </c>
      <c r="FZ132">
        <v>13.502121123179691</v>
      </c>
      <c r="GA132">
        <v>11.819756890962209</v>
      </c>
      <c r="GB132">
        <v>5.7076885967161148</v>
      </c>
      <c r="GC132">
        <v>2.8448914926142432</v>
      </c>
      <c r="GD132">
        <v>1.5658530236714738</v>
      </c>
      <c r="GE132">
        <v>2.3239368905481732</v>
      </c>
      <c r="GF132">
        <v>2.4374603355457425</v>
      </c>
      <c r="GG132">
        <v>2.8225894335484596</v>
      </c>
      <c r="GH132">
        <v>5.2317682981203557</v>
      </c>
      <c r="GI132">
        <v>5.5696682574074234</v>
      </c>
      <c r="GJ132"/>
      <c r="GK132">
        <v>13.557053087531369</v>
      </c>
      <c r="GL132">
        <v>10.013191199118545</v>
      </c>
      <c r="GM132">
        <v>9.5326236978896564</v>
      </c>
      <c r="GN132">
        <v>8.5906208209319637</v>
      </c>
      <c r="GO132">
        <v>6.0697765848446101</v>
      </c>
      <c r="GP132">
        <v>4.4491798172757484</v>
      </c>
      <c r="GQ132">
        <v>2.986853361513687</v>
      </c>
      <c r="GR132">
        <v>3.9723857689210944</v>
      </c>
      <c r="GS132">
        <v>5.5777804845483931</v>
      </c>
      <c r="GT132">
        <v>7.5448174432655435</v>
      </c>
      <c r="GU132"/>
      <c r="GV132"/>
      <c r="GW132"/>
      <c r="GX132"/>
      <c r="GY132"/>
      <c r="GZ132"/>
      <c r="HA132"/>
      <c r="HB132"/>
      <c r="HC132"/>
    </row>
    <row r="133" spans="1:211" s="7" customFormat="1">
      <c r="A133" s="1"/>
      <c r="B133" s="76">
        <f t="shared" ca="1" si="132"/>
        <v>0.27025281489423492</v>
      </c>
      <c r="C133">
        <v>3</v>
      </c>
      <c r="D133">
        <v>39775</v>
      </c>
      <c r="E133">
        <v>0</v>
      </c>
      <c r="F133">
        <v>104.16666666666667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72.21371034902964</v>
      </c>
      <c r="AO133">
        <v>8.6893632913417882</v>
      </c>
      <c r="AP133">
        <v>51.000207257157491</v>
      </c>
      <c r="AQ133">
        <v>71.232454154807272</v>
      </c>
      <c r="AR133">
        <v>8.8460612127621268</v>
      </c>
      <c r="AS133">
        <v>56.655503441834909</v>
      </c>
      <c r="AT133" t="e">
        <v>#DIV/0!</v>
      </c>
      <c r="AU133" t="e">
        <v>#DIV/0!</v>
      </c>
      <c r="AV133"/>
      <c r="AW133"/>
      <c r="AX133" s="146"/>
      <c r="AY133" s="76">
        <f t="shared" ca="1" si="88"/>
        <v>0.24621334623901947</v>
      </c>
      <c r="AZ133">
        <v>6</v>
      </c>
      <c r="BA133" s="129">
        <f t="shared" si="167"/>
        <v>39775</v>
      </c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90"/>
        <v>7.2850281486854129E-2</v>
      </c>
      <c r="CL133" s="179">
        <f t="shared" si="91"/>
        <v>6</v>
      </c>
      <c r="CM133" s="180">
        <f t="shared" si="92"/>
        <v>39775</v>
      </c>
      <c r="CN133">
        <v>0</v>
      </c>
      <c r="CO133">
        <v>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0.26730015625565162</v>
      </c>
      <c r="DD133">
        <f t="shared" si="94"/>
        <v>6</v>
      </c>
      <c r="DE133" s="129">
        <f t="shared" si="166"/>
        <v>39775</v>
      </c>
      <c r="DF133" s="161">
        <f t="shared" si="95"/>
        <v>0</v>
      </c>
      <c r="DG133" s="161">
        <f t="shared" si="96"/>
        <v>20.833333333333332</v>
      </c>
      <c r="DH133" s="161">
        <f t="shared" si="97"/>
        <v>0</v>
      </c>
      <c r="DI133" s="161">
        <f t="shared" si="98"/>
        <v>0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3"/>
        <v>20.833333333333332</v>
      </c>
      <c r="EL133" s="149"/>
      <c r="EN133" s="146"/>
      <c r="EO133" s="146"/>
      <c r="EP133" s="139">
        <f t="shared" si="134"/>
        <v>0</v>
      </c>
      <c r="EQ133" s="139">
        <f t="shared" si="135"/>
        <v>2.4104166666666669</v>
      </c>
      <c r="ER133" s="139">
        <f t="shared" si="136"/>
        <v>0</v>
      </c>
      <c r="ES133" s="139">
        <f t="shared" si="137"/>
        <v>0</v>
      </c>
      <c r="ET133" s="139">
        <f t="shared" si="138"/>
        <v>0</v>
      </c>
      <c r="EU133" s="139">
        <f t="shared" si="139"/>
        <v>0</v>
      </c>
      <c r="EV133" s="139">
        <f t="shared" si="140"/>
        <v>0</v>
      </c>
      <c r="EW133" s="139">
        <f t="shared" si="141"/>
        <v>0</v>
      </c>
      <c r="EX133" s="139">
        <f t="shared" si="142"/>
        <v>0</v>
      </c>
      <c r="EY133" s="139">
        <f t="shared" si="143"/>
        <v>0</v>
      </c>
      <c r="EZ133" s="139">
        <f t="shared" si="144"/>
        <v>0</v>
      </c>
      <c r="FA133" s="139">
        <f t="shared" si="145"/>
        <v>0</v>
      </c>
      <c r="FB133" s="139">
        <f t="shared" si="146"/>
        <v>0</v>
      </c>
      <c r="FC133" s="139">
        <f t="shared" si="147"/>
        <v>0</v>
      </c>
      <c r="FD133" s="139">
        <f t="shared" si="148"/>
        <v>0</v>
      </c>
      <c r="FE133" s="139">
        <f t="shared" si="149"/>
        <v>0</v>
      </c>
      <c r="FF133" s="139">
        <f t="shared" si="150"/>
        <v>0</v>
      </c>
      <c r="FG133" s="139">
        <f t="shared" si="151"/>
        <v>0</v>
      </c>
      <c r="FH133" s="139">
        <f t="shared" si="152"/>
        <v>0</v>
      </c>
      <c r="FI133" s="139">
        <f t="shared" si="153"/>
        <v>0</v>
      </c>
      <c r="FJ133" s="139">
        <f t="shared" si="154"/>
        <v>0</v>
      </c>
      <c r="FK133" s="139">
        <f t="shared" si="155"/>
        <v>0</v>
      </c>
      <c r="FL133" s="139">
        <f t="shared" si="156"/>
        <v>0</v>
      </c>
      <c r="FM133" s="139">
        <f t="shared" si="157"/>
        <v>0</v>
      </c>
      <c r="FN133" s="139">
        <f t="shared" si="158"/>
        <v>0</v>
      </c>
      <c r="FO133" s="139">
        <f t="shared" si="159"/>
        <v>0</v>
      </c>
      <c r="FP133" s="139">
        <f t="shared" si="160"/>
        <v>0</v>
      </c>
      <c r="FQ133" s="139">
        <f t="shared" si="161"/>
        <v>0</v>
      </c>
      <c r="FR133" s="139">
        <f t="shared" si="162"/>
        <v>0</v>
      </c>
      <c r="FS133" s="139">
        <f t="shared" si="163"/>
        <v>0</v>
      </c>
      <c r="FT133" s="139">
        <f t="shared" si="164"/>
        <v>0</v>
      </c>
      <c r="FU133" s="148">
        <f t="shared" si="165"/>
        <v>2.4104166666666669</v>
      </c>
      <c r="FV133" s="149"/>
      <c r="FY133" s="211">
        <v>128</v>
      </c>
      <c r="FZ133">
        <v>14.286133917418821</v>
      </c>
      <c r="GA133">
        <v>11.677782991712796</v>
      </c>
      <c r="GB133">
        <v>6.3795815908436788</v>
      </c>
      <c r="GC133">
        <v>3.0997271375914357</v>
      </c>
      <c r="GD133">
        <v>1.4073859565305993</v>
      </c>
      <c r="GE133">
        <v>2.0218021549452803</v>
      </c>
      <c r="GF133">
        <v>1.8863511325558551</v>
      </c>
      <c r="GG133">
        <v>1.9675917353388979</v>
      </c>
      <c r="GH133">
        <v>3.4192354595195931</v>
      </c>
      <c r="GI133">
        <v>5.3738225642248452</v>
      </c>
      <c r="GJ133"/>
      <c r="GK133">
        <v>14.34918725823648</v>
      </c>
      <c r="GL133">
        <v>9.8940020706273124</v>
      </c>
      <c r="GM133">
        <v>10.63947114975514</v>
      </c>
      <c r="GN133">
        <v>9.3509516123993404</v>
      </c>
      <c r="GO133">
        <v>5.4670751120050314</v>
      </c>
      <c r="GP133">
        <v>3.8707425226961822</v>
      </c>
      <c r="GQ133">
        <v>2.3068965330588709</v>
      </c>
      <c r="GR133">
        <v>2.7658085700959076</v>
      </c>
      <c r="GS133">
        <v>3.6434145829270475</v>
      </c>
      <c r="GT133">
        <v>7.2812089271965146</v>
      </c>
      <c r="GU133"/>
      <c r="GV133"/>
      <c r="GW133"/>
      <c r="GX133"/>
      <c r="GY133"/>
      <c r="GZ133"/>
      <c r="HA133"/>
      <c r="HB133"/>
      <c r="HC133"/>
    </row>
    <row r="134" spans="1:211" s="7" customFormat="1">
      <c r="A134" s="1"/>
      <c r="B134" s="76">
        <f t="shared" ca="1" si="132"/>
        <v>0.54989646785908075</v>
      </c>
      <c r="C134">
        <v>6</v>
      </c>
      <c r="D134">
        <v>39775</v>
      </c>
      <c r="E134">
        <v>0</v>
      </c>
      <c r="F134">
        <v>20.833333333333332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57.224369148905076</v>
      </c>
      <c r="AO134">
        <v>6.5922278759287751</v>
      </c>
      <c r="AP134">
        <v>3.8282884744176067</v>
      </c>
      <c r="AQ134">
        <v>47.350261334404038</v>
      </c>
      <c r="AR134">
        <v>7.0835212415766762</v>
      </c>
      <c r="AS134">
        <v>43.356216265164242</v>
      </c>
      <c r="AT134">
        <v>5.6848601027486874</v>
      </c>
      <c r="AU134">
        <v>0.15183488257322253</v>
      </c>
      <c r="AV134"/>
      <c r="AW134"/>
      <c r="AX134" s="146"/>
      <c r="AY134" s="76">
        <f t="shared" ca="1" si="88"/>
        <v>0.94848956132911355</v>
      </c>
      <c r="AZ134">
        <v>7</v>
      </c>
      <c r="BA134" s="129">
        <f t="shared" si="167"/>
        <v>39775</v>
      </c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90"/>
        <v>0.95516894238877126</v>
      </c>
      <c r="CL134" s="179">
        <f t="shared" si="91"/>
        <v>7</v>
      </c>
      <c r="CM134" s="180">
        <f t="shared" si="92"/>
        <v>39775</v>
      </c>
      <c r="CN134">
        <v>1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0.39924823389780251</v>
      </c>
      <c r="DD134">
        <f t="shared" si="94"/>
        <v>7</v>
      </c>
      <c r="DE134" s="129">
        <f t="shared" si="166"/>
        <v>39775</v>
      </c>
      <c r="DF134" s="161">
        <f t="shared" si="95"/>
        <v>23.148148148148149</v>
      </c>
      <c r="DG134" s="161">
        <f t="shared" si="96"/>
        <v>0</v>
      </c>
      <c r="DH134" s="161">
        <f t="shared" si="97"/>
        <v>0</v>
      </c>
      <c r="DI134" s="161">
        <f t="shared" si="98"/>
        <v>0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3"/>
        <v>23.148148148148149</v>
      </c>
      <c r="EL134" s="149"/>
      <c r="EN134" s="146"/>
      <c r="EO134" s="146"/>
      <c r="EP134" s="139">
        <f t="shared" si="134"/>
        <v>0.84750021945810994</v>
      </c>
      <c r="EQ134" s="139">
        <f t="shared" si="135"/>
        <v>0</v>
      </c>
      <c r="ER134" s="139">
        <f t="shared" si="136"/>
        <v>0</v>
      </c>
      <c r="ES134" s="139">
        <f t="shared" si="137"/>
        <v>0</v>
      </c>
      <c r="ET134" s="139">
        <f t="shared" si="138"/>
        <v>0</v>
      </c>
      <c r="EU134" s="139">
        <f t="shared" si="139"/>
        <v>0</v>
      </c>
      <c r="EV134" s="139">
        <f t="shared" si="140"/>
        <v>0</v>
      </c>
      <c r="EW134" s="139">
        <f t="shared" si="141"/>
        <v>0</v>
      </c>
      <c r="EX134" s="139">
        <f t="shared" si="142"/>
        <v>0</v>
      </c>
      <c r="EY134" s="139">
        <f t="shared" si="143"/>
        <v>0</v>
      </c>
      <c r="EZ134" s="139">
        <f t="shared" si="144"/>
        <v>0</v>
      </c>
      <c r="FA134" s="139">
        <f t="shared" si="145"/>
        <v>0</v>
      </c>
      <c r="FB134" s="139">
        <f t="shared" si="146"/>
        <v>0</v>
      </c>
      <c r="FC134" s="139">
        <f t="shared" si="147"/>
        <v>0</v>
      </c>
      <c r="FD134" s="139">
        <f t="shared" si="148"/>
        <v>0</v>
      </c>
      <c r="FE134" s="139">
        <f t="shared" si="149"/>
        <v>0</v>
      </c>
      <c r="FF134" s="139">
        <f t="shared" si="150"/>
        <v>0</v>
      </c>
      <c r="FG134" s="139">
        <f t="shared" si="151"/>
        <v>0</v>
      </c>
      <c r="FH134" s="139">
        <f t="shared" si="152"/>
        <v>0</v>
      </c>
      <c r="FI134" s="139">
        <f t="shared" si="153"/>
        <v>0</v>
      </c>
      <c r="FJ134" s="139">
        <f t="shared" si="154"/>
        <v>0</v>
      </c>
      <c r="FK134" s="139">
        <f t="shared" si="155"/>
        <v>0</v>
      </c>
      <c r="FL134" s="139">
        <f t="shared" si="156"/>
        <v>0</v>
      </c>
      <c r="FM134" s="139">
        <f t="shared" si="157"/>
        <v>0</v>
      </c>
      <c r="FN134" s="139">
        <f t="shared" si="158"/>
        <v>0</v>
      </c>
      <c r="FO134" s="139">
        <f t="shared" si="159"/>
        <v>0</v>
      </c>
      <c r="FP134" s="139">
        <f t="shared" si="160"/>
        <v>0</v>
      </c>
      <c r="FQ134" s="139">
        <f t="shared" si="161"/>
        <v>0</v>
      </c>
      <c r="FR134" s="139">
        <f t="shared" si="162"/>
        <v>0</v>
      </c>
      <c r="FS134" s="139">
        <f t="shared" si="163"/>
        <v>0</v>
      </c>
      <c r="FT134" s="139">
        <f t="shared" si="164"/>
        <v>0</v>
      </c>
      <c r="FU134" s="148">
        <f t="shared" si="165"/>
        <v>0.84750021945810994</v>
      </c>
      <c r="FV134" s="149"/>
      <c r="FY134" s="211">
        <v>129</v>
      </c>
      <c r="FZ134">
        <v>13.095794918108689</v>
      </c>
      <c r="GA134">
        <v>8.6727895543825468</v>
      </c>
      <c r="GB134">
        <v>5.9254841785715069</v>
      </c>
      <c r="GC134">
        <v>2.6860636010956216</v>
      </c>
      <c r="GD134">
        <v>1.0840011305882353</v>
      </c>
      <c r="GE134">
        <v>1.5233876602941177</v>
      </c>
      <c r="GF134">
        <v>1.8380543676705907</v>
      </c>
      <c r="GG134">
        <v>1.5999335916051376</v>
      </c>
      <c r="GH134">
        <v>4.2840720795795102</v>
      </c>
      <c r="GI134">
        <v>5.0255023475730072</v>
      </c>
      <c r="GJ134"/>
      <c r="GK134">
        <v>13.155541090273264</v>
      </c>
      <c r="GL134">
        <v>7.3489559768896218</v>
      </c>
      <c r="GM134">
        <v>9.8529509964506055</v>
      </c>
      <c r="GN134">
        <v>8.0560783528943176</v>
      </c>
      <c r="GO134">
        <v>4.2029857397504458</v>
      </c>
      <c r="GP134">
        <v>2.9165274064171123</v>
      </c>
      <c r="GQ134">
        <v>2.2500288824714643</v>
      </c>
      <c r="GR134">
        <v>2.2500288824714643</v>
      </c>
      <c r="GS134">
        <v>4.5652844814420028</v>
      </c>
      <c r="GT134">
        <v>6.8053582380775568</v>
      </c>
      <c r="GU134"/>
      <c r="GV134"/>
      <c r="GW134"/>
      <c r="GX134"/>
      <c r="GY134"/>
      <c r="GZ134"/>
      <c r="HA134"/>
      <c r="HB134"/>
      <c r="HC134"/>
    </row>
    <row r="135" spans="1:211" s="7" customFormat="1">
      <c r="A135" s="1"/>
      <c r="B135" s="76">
        <f t="shared" ca="1" si="132"/>
        <v>0.96985997434568594</v>
      </c>
      <c r="C135">
        <v>10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46.480607954758838</v>
      </c>
      <c r="AO135">
        <v>5.953939675372002</v>
      </c>
      <c r="AP135">
        <v>3.378556200771055</v>
      </c>
      <c r="AQ135">
        <v>40.197176126921633</v>
      </c>
      <c r="AR135">
        <v>6.4040600235006648</v>
      </c>
      <c r="AS135">
        <v>39.205537888653105</v>
      </c>
      <c r="AT135">
        <v>5.0865328553489819</v>
      </c>
      <c r="AU135">
        <v>2.1672164938055332</v>
      </c>
      <c r="AV135"/>
      <c r="AW135"/>
      <c r="AX135" s="146"/>
      <c r="AY135" s="76">
        <f t="shared" ca="1" si="88"/>
        <v>0.28792428806546688</v>
      </c>
      <c r="AZ135">
        <v>8</v>
      </c>
      <c r="BA135" s="129">
        <f t="shared" si="167"/>
        <v>39775</v>
      </c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90"/>
        <v>0.50602800438579543</v>
      </c>
      <c r="CL135" s="179">
        <f t="shared" si="91"/>
        <v>8</v>
      </c>
      <c r="CM135" s="180">
        <f t="shared" si="92"/>
        <v>39775</v>
      </c>
      <c r="CN135">
        <v>0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0.84231253878102663</v>
      </c>
      <c r="DD135">
        <f t="shared" si="94"/>
        <v>8</v>
      </c>
      <c r="DE135" s="129">
        <f t="shared" si="166"/>
        <v>39775</v>
      </c>
      <c r="DF135" s="161">
        <f t="shared" si="95"/>
        <v>0</v>
      </c>
      <c r="DG135" s="161">
        <f t="shared" si="96"/>
        <v>52.083333333333336</v>
      </c>
      <c r="DH135" s="161">
        <f t="shared" si="97"/>
        <v>0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3"/>
        <v>52.083333333333336</v>
      </c>
      <c r="EL135" s="149"/>
      <c r="EN135" s="146"/>
      <c r="EO135" s="146"/>
      <c r="EP135" s="139">
        <f t="shared" si="134"/>
        <v>0</v>
      </c>
      <c r="EQ135" s="139">
        <f t="shared" si="135"/>
        <v>6.0260416666666679</v>
      </c>
      <c r="ER135" s="139">
        <f t="shared" si="136"/>
        <v>0</v>
      </c>
      <c r="ES135" s="139">
        <f t="shared" si="137"/>
        <v>0</v>
      </c>
      <c r="ET135" s="139">
        <f t="shared" si="138"/>
        <v>0</v>
      </c>
      <c r="EU135" s="139">
        <f t="shared" si="139"/>
        <v>0</v>
      </c>
      <c r="EV135" s="139">
        <f t="shared" si="140"/>
        <v>0</v>
      </c>
      <c r="EW135" s="139">
        <f t="shared" si="141"/>
        <v>0</v>
      </c>
      <c r="EX135" s="139">
        <f t="shared" si="142"/>
        <v>0</v>
      </c>
      <c r="EY135" s="139">
        <f t="shared" si="143"/>
        <v>0</v>
      </c>
      <c r="EZ135" s="139">
        <f t="shared" si="144"/>
        <v>0</v>
      </c>
      <c r="FA135" s="139">
        <f t="shared" si="145"/>
        <v>0</v>
      </c>
      <c r="FB135" s="139">
        <f t="shared" si="146"/>
        <v>0</v>
      </c>
      <c r="FC135" s="139">
        <f t="shared" si="147"/>
        <v>0</v>
      </c>
      <c r="FD135" s="139">
        <f t="shared" si="148"/>
        <v>0</v>
      </c>
      <c r="FE135" s="139">
        <f t="shared" si="149"/>
        <v>0</v>
      </c>
      <c r="FF135" s="139">
        <f t="shared" si="150"/>
        <v>0</v>
      </c>
      <c r="FG135" s="139">
        <f t="shared" si="151"/>
        <v>0</v>
      </c>
      <c r="FH135" s="139">
        <f t="shared" si="152"/>
        <v>0</v>
      </c>
      <c r="FI135" s="139">
        <f t="shared" si="153"/>
        <v>0</v>
      </c>
      <c r="FJ135" s="139">
        <f t="shared" si="154"/>
        <v>0</v>
      </c>
      <c r="FK135" s="139">
        <f t="shared" si="155"/>
        <v>0</v>
      </c>
      <c r="FL135" s="139">
        <f t="shared" si="156"/>
        <v>0</v>
      </c>
      <c r="FM135" s="139">
        <f t="shared" si="157"/>
        <v>0</v>
      </c>
      <c r="FN135" s="139">
        <f t="shared" si="158"/>
        <v>0</v>
      </c>
      <c r="FO135" s="139">
        <f t="shared" si="159"/>
        <v>0</v>
      </c>
      <c r="FP135" s="139">
        <f t="shared" si="160"/>
        <v>0</v>
      </c>
      <c r="FQ135" s="139">
        <f t="shared" si="161"/>
        <v>0</v>
      </c>
      <c r="FR135" s="139">
        <f t="shared" si="162"/>
        <v>0</v>
      </c>
      <c r="FS135" s="139">
        <f t="shared" si="163"/>
        <v>0</v>
      </c>
      <c r="FT135" s="139">
        <f t="shared" si="164"/>
        <v>0</v>
      </c>
      <c r="FU135" s="148">
        <f t="shared" si="165"/>
        <v>6.0260416666666679</v>
      </c>
      <c r="FV135" s="149"/>
      <c r="FY135" s="211">
        <v>130</v>
      </c>
      <c r="FZ135">
        <v>7.0615529344636965</v>
      </c>
      <c r="GA135">
        <v>4.9664276182332907</v>
      </c>
      <c r="GB135">
        <v>5.796117438283078</v>
      </c>
      <c r="GC135">
        <v>3.7014063828015837</v>
      </c>
      <c r="GD135">
        <v>2.0674257670144915</v>
      </c>
      <c r="GE135">
        <v>2.8554303585167093</v>
      </c>
      <c r="GF135">
        <v>1.8085413874086631</v>
      </c>
      <c r="GG135">
        <v>1.5256506255449667</v>
      </c>
      <c r="GH135">
        <v>5.3269525375420255</v>
      </c>
      <c r="GI135">
        <v>4.8276561847449893</v>
      </c>
      <c r="GJ135"/>
      <c r="GK135">
        <v>7.0895756419657543</v>
      </c>
      <c r="GL135">
        <v>4.2090473401251778</v>
      </c>
      <c r="GM135">
        <v>9.6746289521746949</v>
      </c>
      <c r="GN135">
        <v>11.149913457333881</v>
      </c>
      <c r="GO135">
        <v>8.036473177504357</v>
      </c>
      <c r="GP135">
        <v>5.4667246655533255</v>
      </c>
      <c r="GQ135">
        <v>2.2115488076160368</v>
      </c>
      <c r="GR135">
        <v>2.1438404742827033</v>
      </c>
      <c r="GS135">
        <v>5.679282112756602</v>
      </c>
      <c r="GT135">
        <v>6.5383017384034892</v>
      </c>
      <c r="GU135"/>
      <c r="GV135"/>
      <c r="GW135"/>
      <c r="GX135"/>
      <c r="GY135"/>
      <c r="GZ135"/>
      <c r="HA135"/>
      <c r="HB135"/>
      <c r="HC135"/>
    </row>
    <row r="136" spans="1:211" s="7" customFormat="1">
      <c r="A136" s="1"/>
      <c r="B136" s="76">
        <f t="shared" ca="1" si="132"/>
        <v>0.68395590961550501</v>
      </c>
      <c r="C136">
        <v>9</v>
      </c>
      <c r="D136">
        <v>39775</v>
      </c>
      <c r="E136">
        <v>10.416666666666666</v>
      </c>
      <c r="F136">
        <v>52.083333333333336</v>
      </c>
      <c r="G136">
        <v>10.416666666666666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65.633802493799905</v>
      </c>
      <c r="AO136">
        <v>7.5010777999967733</v>
      </c>
      <c r="AP136">
        <v>3.6131743365547808</v>
      </c>
      <c r="AQ136">
        <v>58.581633779707708</v>
      </c>
      <c r="AR136">
        <v>7.5966819336650513</v>
      </c>
      <c r="AS136">
        <v>48.844191859622363</v>
      </c>
      <c r="AT136">
        <v>6.1079249346871363</v>
      </c>
      <c r="AU136">
        <v>4.3269736799837357</v>
      </c>
      <c r="AV136"/>
      <c r="AW136"/>
      <c r="AX136" s="146"/>
      <c r="AY136" s="76">
        <f t="shared" ca="1" si="88"/>
        <v>0.77327627091382123</v>
      </c>
      <c r="AZ136">
        <v>9</v>
      </c>
      <c r="BA136" s="129">
        <f t="shared" si="167"/>
        <v>39775</v>
      </c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90"/>
        <v>0.72082954725014758</v>
      </c>
      <c r="CL136" s="179">
        <f t="shared" si="91"/>
        <v>9</v>
      </c>
      <c r="CM136" s="180">
        <f t="shared" si="92"/>
        <v>39775</v>
      </c>
      <c r="CN136">
        <v>1</v>
      </c>
      <c r="CO136">
        <v>5</v>
      </c>
      <c r="CP136">
        <v>1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0.23077441059060444</v>
      </c>
      <c r="DD136">
        <f t="shared" si="94"/>
        <v>9</v>
      </c>
      <c r="DE136" s="129">
        <f t="shared" si="166"/>
        <v>39775</v>
      </c>
      <c r="DF136" s="161">
        <f t="shared" si="95"/>
        <v>10.416666666666666</v>
      </c>
      <c r="DG136" s="161">
        <f t="shared" si="96"/>
        <v>52.083333333333336</v>
      </c>
      <c r="DH136" s="161">
        <f t="shared" si="97"/>
        <v>10.416666666666666</v>
      </c>
      <c r="DI136" s="161">
        <f t="shared" si="98"/>
        <v>0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3"/>
        <v>72.916666666666671</v>
      </c>
      <c r="EL136" s="149"/>
      <c r="EN136" s="146"/>
      <c r="EO136" s="146"/>
      <c r="EP136" s="139">
        <f t="shared" si="134"/>
        <v>0.38137509875614944</v>
      </c>
      <c r="EQ136" s="139">
        <f t="shared" si="135"/>
        <v>6.0260416666666679</v>
      </c>
      <c r="ER136" s="139">
        <f t="shared" si="136"/>
        <v>3.8086574909413637</v>
      </c>
      <c r="ES136" s="139">
        <f t="shared" si="137"/>
        <v>0</v>
      </c>
      <c r="ET136" s="139">
        <f t="shared" si="138"/>
        <v>0</v>
      </c>
      <c r="EU136" s="139">
        <f t="shared" si="139"/>
        <v>0</v>
      </c>
      <c r="EV136" s="139">
        <f t="shared" si="140"/>
        <v>0</v>
      </c>
      <c r="EW136" s="139">
        <f t="shared" si="141"/>
        <v>0</v>
      </c>
      <c r="EX136" s="139">
        <f t="shared" si="142"/>
        <v>0</v>
      </c>
      <c r="EY136" s="139">
        <f t="shared" si="143"/>
        <v>0</v>
      </c>
      <c r="EZ136" s="139">
        <f t="shared" si="144"/>
        <v>0</v>
      </c>
      <c r="FA136" s="139">
        <f t="shared" si="145"/>
        <v>0</v>
      </c>
      <c r="FB136" s="139">
        <f t="shared" si="146"/>
        <v>0</v>
      </c>
      <c r="FC136" s="139">
        <f t="shared" si="147"/>
        <v>0</v>
      </c>
      <c r="FD136" s="139">
        <f t="shared" si="148"/>
        <v>0</v>
      </c>
      <c r="FE136" s="139">
        <f t="shared" si="149"/>
        <v>0</v>
      </c>
      <c r="FF136" s="139">
        <f t="shared" si="150"/>
        <v>0</v>
      </c>
      <c r="FG136" s="139">
        <f t="shared" si="151"/>
        <v>0</v>
      </c>
      <c r="FH136" s="139">
        <f t="shared" si="152"/>
        <v>0</v>
      </c>
      <c r="FI136" s="139">
        <f t="shared" si="153"/>
        <v>0</v>
      </c>
      <c r="FJ136" s="139">
        <f t="shared" si="154"/>
        <v>0</v>
      </c>
      <c r="FK136" s="139">
        <f t="shared" si="155"/>
        <v>0</v>
      </c>
      <c r="FL136" s="139">
        <f t="shared" si="156"/>
        <v>0</v>
      </c>
      <c r="FM136" s="139">
        <f t="shared" si="157"/>
        <v>0</v>
      </c>
      <c r="FN136" s="139">
        <f t="shared" si="158"/>
        <v>0</v>
      </c>
      <c r="FO136" s="139">
        <f t="shared" si="159"/>
        <v>0</v>
      </c>
      <c r="FP136" s="139">
        <f t="shared" si="160"/>
        <v>0</v>
      </c>
      <c r="FQ136" s="139">
        <f t="shared" si="161"/>
        <v>0</v>
      </c>
      <c r="FR136" s="139">
        <f t="shared" si="162"/>
        <v>0</v>
      </c>
      <c r="FS136" s="139">
        <f t="shared" si="163"/>
        <v>0</v>
      </c>
      <c r="FT136" s="139">
        <f t="shared" si="164"/>
        <v>0</v>
      </c>
      <c r="FU136" s="148">
        <f t="shared" si="165"/>
        <v>10.21607425636418</v>
      </c>
      <c r="FV136" s="149"/>
      <c r="FY136" s="211">
        <v>131</v>
      </c>
      <c r="FZ136">
        <v>18.690170585821356</v>
      </c>
      <c r="GA136">
        <v>17.605957394593865</v>
      </c>
      <c r="GB136">
        <v>5.4055469174604145</v>
      </c>
      <c r="GC136">
        <v>2.5410150273881285</v>
      </c>
      <c r="GD136">
        <v>2.0353508610207331</v>
      </c>
      <c r="GE136">
        <v>3.4313916628024237</v>
      </c>
      <c r="GF136">
        <v>1.8310968709933551</v>
      </c>
      <c r="GG136">
        <v>1.5934002092972313</v>
      </c>
      <c r="GH136">
        <v>4.9936209876618571</v>
      </c>
      <c r="GI136">
        <v>6.3836159381890161</v>
      </c>
      <c r="GJ136"/>
      <c r="GK136">
        <v>18.733923204723183</v>
      </c>
      <c r="GL136">
        <v>14.918803894238213</v>
      </c>
      <c r="GM136">
        <v>8.9855230345916706</v>
      </c>
      <c r="GN136">
        <v>7.6136491736245775</v>
      </c>
      <c r="GO136">
        <v>7.8908995374329951</v>
      </c>
      <c r="GP136">
        <v>6.5694032369818975</v>
      </c>
      <c r="GQ136">
        <v>2.2391881997255374</v>
      </c>
      <c r="GR136">
        <v>2.2391881997255374</v>
      </c>
      <c r="GS136">
        <v>5.3246037779807285</v>
      </c>
      <c r="GT136">
        <v>8.6348275508908241</v>
      </c>
      <c r="GU136"/>
      <c r="GV136"/>
      <c r="GW136"/>
      <c r="GX136"/>
      <c r="GY136"/>
      <c r="GZ136"/>
      <c r="HA136"/>
      <c r="HB136"/>
      <c r="HC136"/>
    </row>
    <row r="137" spans="1:211" s="7" customFormat="1">
      <c r="A137" s="1"/>
      <c r="B137" s="76">
        <f t="shared" ca="1" si="132"/>
        <v>0.2573766974053795</v>
      </c>
      <c r="C137">
        <v>2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61.280278934606812</v>
      </c>
      <c r="AO137">
        <v>7.1849073799725414</v>
      </c>
      <c r="AP137">
        <v>5.5762886891084804</v>
      </c>
      <c r="AQ137">
        <v>54.19650747150731</v>
      </c>
      <c r="AR137">
        <v>7.412120531585793</v>
      </c>
      <c r="AS137">
        <v>46.51165253073308</v>
      </c>
      <c r="AT137">
        <v>5.9389362644340418</v>
      </c>
      <c r="AU137">
        <v>1.620754428622452</v>
      </c>
      <c r="AV137"/>
      <c r="AW137"/>
      <c r="AX137" s="146"/>
      <c r="AY137" s="76">
        <f t="shared" ca="1" si="88"/>
        <v>0.65771034692994435</v>
      </c>
      <c r="AZ137">
        <v>10</v>
      </c>
      <c r="BA137" s="129">
        <f t="shared" si="167"/>
        <v>39775</v>
      </c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90"/>
        <v>0.45900032499805943</v>
      </c>
      <c r="CL137" s="179">
        <f t="shared" si="91"/>
        <v>10</v>
      </c>
      <c r="CM137" s="180">
        <f t="shared" si="92"/>
        <v>39775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0.9922206485871703</v>
      </c>
      <c r="DD137">
        <f t="shared" si="94"/>
        <v>10</v>
      </c>
      <c r="DE137" s="129">
        <f t="shared" si="166"/>
        <v>39775</v>
      </c>
      <c r="DF137" s="161">
        <f t="shared" si="95"/>
        <v>0</v>
      </c>
      <c r="DG137" s="161">
        <f t="shared" si="96"/>
        <v>0</v>
      </c>
      <c r="DH137" s="161">
        <f t="shared" si="97"/>
        <v>0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3"/>
        <v>0</v>
      </c>
      <c r="EL137" s="149"/>
      <c r="EN137" s="146"/>
      <c r="EO137" s="146"/>
      <c r="EP137" s="139">
        <f t="shared" si="134"/>
        <v>0</v>
      </c>
      <c r="EQ137" s="139">
        <f t="shared" si="135"/>
        <v>0</v>
      </c>
      <c r="ER137" s="139">
        <f t="shared" si="136"/>
        <v>0</v>
      </c>
      <c r="ES137" s="139">
        <f t="shared" si="137"/>
        <v>0</v>
      </c>
      <c r="ET137" s="139">
        <f t="shared" si="138"/>
        <v>0</v>
      </c>
      <c r="EU137" s="139">
        <f t="shared" si="139"/>
        <v>0</v>
      </c>
      <c r="EV137" s="139">
        <f t="shared" si="140"/>
        <v>0</v>
      </c>
      <c r="EW137" s="139">
        <f t="shared" si="141"/>
        <v>0</v>
      </c>
      <c r="EX137" s="139">
        <f t="shared" si="142"/>
        <v>0</v>
      </c>
      <c r="EY137" s="139">
        <f t="shared" si="143"/>
        <v>0</v>
      </c>
      <c r="EZ137" s="139">
        <f t="shared" si="144"/>
        <v>0</v>
      </c>
      <c r="FA137" s="139">
        <f t="shared" si="145"/>
        <v>0</v>
      </c>
      <c r="FB137" s="139">
        <f t="shared" si="146"/>
        <v>0</v>
      </c>
      <c r="FC137" s="139">
        <f t="shared" si="147"/>
        <v>0</v>
      </c>
      <c r="FD137" s="139">
        <f t="shared" si="148"/>
        <v>0</v>
      </c>
      <c r="FE137" s="139">
        <f t="shared" si="149"/>
        <v>0</v>
      </c>
      <c r="FF137" s="139">
        <f t="shared" si="150"/>
        <v>0</v>
      </c>
      <c r="FG137" s="139">
        <f t="shared" si="151"/>
        <v>0</v>
      </c>
      <c r="FH137" s="139">
        <f t="shared" si="152"/>
        <v>0</v>
      </c>
      <c r="FI137" s="139">
        <f t="shared" si="153"/>
        <v>0</v>
      </c>
      <c r="FJ137" s="139">
        <f t="shared" si="154"/>
        <v>0</v>
      </c>
      <c r="FK137" s="139">
        <f t="shared" si="155"/>
        <v>0</v>
      </c>
      <c r="FL137" s="139">
        <f t="shared" si="156"/>
        <v>0</v>
      </c>
      <c r="FM137" s="139">
        <f t="shared" si="157"/>
        <v>0</v>
      </c>
      <c r="FN137" s="139">
        <f t="shared" si="158"/>
        <v>0</v>
      </c>
      <c r="FO137" s="139">
        <f t="shared" si="159"/>
        <v>0</v>
      </c>
      <c r="FP137" s="139">
        <f t="shared" si="160"/>
        <v>0</v>
      </c>
      <c r="FQ137" s="139">
        <f t="shared" si="161"/>
        <v>0</v>
      </c>
      <c r="FR137" s="139">
        <f t="shared" si="162"/>
        <v>0</v>
      </c>
      <c r="FS137" s="139">
        <f t="shared" si="163"/>
        <v>0</v>
      </c>
      <c r="FT137" s="139">
        <f t="shared" si="164"/>
        <v>0</v>
      </c>
      <c r="FU137" s="148">
        <f t="shared" si="165"/>
        <v>0</v>
      </c>
      <c r="FV137" s="149"/>
      <c r="FY137" s="211">
        <v>132</v>
      </c>
      <c r="FZ137">
        <v>8.7737619933207398</v>
      </c>
      <c r="GA137">
        <v>7.6427461233729366</v>
      </c>
      <c r="GB137">
        <v>4.5039637739240614</v>
      </c>
      <c r="GC137">
        <v>2.3497418206824467</v>
      </c>
      <c r="GD137">
        <v>2.7172766192772149</v>
      </c>
      <c r="GE137">
        <v>4.8327646771448123</v>
      </c>
      <c r="GF137">
        <v>3.0159938133891888</v>
      </c>
      <c r="GG137">
        <v>2.5288790244013981</v>
      </c>
      <c r="GH137">
        <v>4.9537839772366352</v>
      </c>
      <c r="GI137">
        <v>5.2942778416174887</v>
      </c>
      <c r="GJ137"/>
      <c r="GK137">
        <v>8.7979341055184008</v>
      </c>
      <c r="GL137">
        <v>6.4756030032004297</v>
      </c>
      <c r="GM137">
        <v>7.4997410980070391</v>
      </c>
      <c r="GN137">
        <v>7.0648499387493633</v>
      </c>
      <c r="GO137">
        <v>10.544411631500035</v>
      </c>
      <c r="GP137">
        <v>9.2523334650985145</v>
      </c>
      <c r="GQ137">
        <v>3.6911557923181304</v>
      </c>
      <c r="GR137">
        <v>3.5557391256514634</v>
      </c>
      <c r="GS137">
        <v>5.280259745250194</v>
      </c>
      <c r="GT137">
        <v>7.1627004745187595</v>
      </c>
      <c r="GU137"/>
      <c r="GV137"/>
      <c r="GW137"/>
      <c r="GX137"/>
      <c r="GY137"/>
      <c r="GZ137"/>
      <c r="HA137"/>
      <c r="HB137"/>
      <c r="HC137"/>
    </row>
    <row r="138" spans="1:211" s="7" customFormat="1">
      <c r="A138" s="128"/>
      <c r="B138" s="76">
        <f t="shared" ca="1" si="132"/>
        <v>0.89983680675060551</v>
      </c>
      <c r="C138">
        <v>8</v>
      </c>
      <c r="D138">
        <v>39799</v>
      </c>
      <c r="E138">
        <v>0</v>
      </c>
      <c r="F138">
        <v>148.80952380952382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57.98738133888105</v>
      </c>
      <c r="AO138">
        <v>7.2104154886609066</v>
      </c>
      <c r="AP138">
        <v>61.650989587746245</v>
      </c>
      <c r="AQ138">
        <v>54.229153639111104</v>
      </c>
      <c r="AR138">
        <v>7.6299836070172953</v>
      </c>
      <c r="AS138">
        <v>47.970026527389429</v>
      </c>
      <c r="AT138" t="e">
        <v>#DIV/0!</v>
      </c>
      <c r="AU138" t="e">
        <v>#DIV/0!</v>
      </c>
      <c r="AV138"/>
      <c r="AW138"/>
      <c r="AX138" s="128"/>
      <c r="AY138" s="76">
        <f t="shared" ca="1" si="88"/>
        <v>0.99901750209736306</v>
      </c>
      <c r="AZ138">
        <v>1</v>
      </c>
      <c r="BA138" s="129">
        <f>IF(AZ138="", "",$C$9)</f>
        <v>39799</v>
      </c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90"/>
        <v>0.36706106944492056</v>
      </c>
      <c r="CL138" s="179">
        <f t="shared" si="91"/>
        <v>1</v>
      </c>
      <c r="CM138" s="180">
        <f t="shared" si="92"/>
        <v>39799</v>
      </c>
      <c r="CN138">
        <v>0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0.67112860210288172</v>
      </c>
      <c r="DD138">
        <f t="shared" si="94"/>
        <v>1</v>
      </c>
      <c r="DE138" s="129">
        <f t="shared" ref="DE138:DE147" si="168">IF((DD138)="","",$C$9)</f>
        <v>39799</v>
      </c>
      <c r="DF138" s="161">
        <f t="shared" si="95"/>
        <v>0</v>
      </c>
      <c r="DG138" s="161">
        <f t="shared" si="96"/>
        <v>83.333333333333329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3"/>
        <v>83.333333333333329</v>
      </c>
      <c r="EL138" s="149"/>
      <c r="EN138" s="146"/>
      <c r="EO138" s="146"/>
      <c r="EP138" s="139">
        <f t="shared" si="134"/>
        <v>0</v>
      </c>
      <c r="EQ138" s="139">
        <f t="shared" si="135"/>
        <v>9.6416666666666675</v>
      </c>
      <c r="ER138" s="139">
        <f t="shared" si="136"/>
        <v>0</v>
      </c>
      <c r="ES138" s="139">
        <f t="shared" si="137"/>
        <v>0</v>
      </c>
      <c r="ET138" s="139">
        <f t="shared" si="138"/>
        <v>0</v>
      </c>
      <c r="EU138" s="139">
        <f t="shared" si="139"/>
        <v>0</v>
      </c>
      <c r="EV138" s="139">
        <f t="shared" si="140"/>
        <v>0</v>
      </c>
      <c r="EW138" s="139">
        <f t="shared" si="141"/>
        <v>0</v>
      </c>
      <c r="EX138" s="139">
        <f t="shared" si="142"/>
        <v>0</v>
      </c>
      <c r="EY138" s="139">
        <f t="shared" si="143"/>
        <v>0</v>
      </c>
      <c r="EZ138" s="139">
        <f t="shared" si="144"/>
        <v>0</v>
      </c>
      <c r="FA138" s="139">
        <f t="shared" si="145"/>
        <v>0</v>
      </c>
      <c r="FB138" s="139">
        <f t="shared" si="146"/>
        <v>0</v>
      </c>
      <c r="FC138" s="139">
        <f t="shared" si="147"/>
        <v>0</v>
      </c>
      <c r="FD138" s="139">
        <f t="shared" si="148"/>
        <v>0</v>
      </c>
      <c r="FE138" s="139">
        <f t="shared" si="149"/>
        <v>0</v>
      </c>
      <c r="FF138" s="139">
        <f t="shared" si="150"/>
        <v>0</v>
      </c>
      <c r="FG138" s="139">
        <f t="shared" si="151"/>
        <v>0</v>
      </c>
      <c r="FH138" s="139">
        <f t="shared" si="152"/>
        <v>0</v>
      </c>
      <c r="FI138" s="139">
        <f t="shared" si="153"/>
        <v>0</v>
      </c>
      <c r="FJ138" s="139">
        <f t="shared" si="154"/>
        <v>0</v>
      </c>
      <c r="FK138" s="139">
        <f t="shared" si="155"/>
        <v>0</v>
      </c>
      <c r="FL138" s="139">
        <f t="shared" si="156"/>
        <v>0</v>
      </c>
      <c r="FM138" s="139">
        <f t="shared" si="157"/>
        <v>0</v>
      </c>
      <c r="FN138" s="139">
        <f t="shared" si="158"/>
        <v>0</v>
      </c>
      <c r="FO138" s="139">
        <f t="shared" si="159"/>
        <v>0</v>
      </c>
      <c r="FP138" s="139">
        <f t="shared" si="160"/>
        <v>0</v>
      </c>
      <c r="FQ138" s="139">
        <f t="shared" si="161"/>
        <v>0</v>
      </c>
      <c r="FR138" s="139">
        <f t="shared" si="162"/>
        <v>0</v>
      </c>
      <c r="FS138" s="139">
        <f t="shared" si="163"/>
        <v>0</v>
      </c>
      <c r="FT138" s="139">
        <f t="shared" si="164"/>
        <v>0</v>
      </c>
      <c r="FU138" s="148">
        <f t="shared" si="165"/>
        <v>9.6416666666666675</v>
      </c>
      <c r="FV138" s="149"/>
      <c r="FY138" s="211">
        <v>133</v>
      </c>
      <c r="FZ138">
        <v>8.8465969868177154</v>
      </c>
      <c r="GA138">
        <v>3.8525244859713306</v>
      </c>
      <c r="GB138">
        <v>6.0132656724584903</v>
      </c>
      <c r="GC138">
        <v>3.6705710601904866</v>
      </c>
      <c r="GD138">
        <v>2.0075905393745224</v>
      </c>
      <c r="GE138">
        <v>2.8800496798739501</v>
      </c>
      <c r="GF138">
        <v>2.2974388321588153</v>
      </c>
      <c r="GG138">
        <v>3.1224979935299566</v>
      </c>
      <c r="GH138">
        <v>8.1356983116789365</v>
      </c>
      <c r="GI138">
        <v>5.6387073507202254</v>
      </c>
      <c r="GJ138"/>
      <c r="GK138">
        <v>8.8873088078623628</v>
      </c>
      <c r="GL138">
        <v>3.2641867270251814</v>
      </c>
      <c r="GM138">
        <v>10.001037443142318</v>
      </c>
      <c r="GN138">
        <v>10.98839986463838</v>
      </c>
      <c r="GO138">
        <v>7.7825206280221346</v>
      </c>
      <c r="GP138">
        <v>5.5138583842627966</v>
      </c>
      <c r="GQ138">
        <v>2.812956619991593</v>
      </c>
      <c r="GR138">
        <v>4.3928177311027046</v>
      </c>
      <c r="GS138">
        <v>8.6710933816123195</v>
      </c>
      <c r="GT138">
        <v>7.6309833761261459</v>
      </c>
      <c r="GU138"/>
      <c r="GV138"/>
      <c r="GW138"/>
      <c r="GX138"/>
      <c r="GY138"/>
      <c r="GZ138"/>
      <c r="HA138"/>
      <c r="HB138"/>
      <c r="HC138"/>
    </row>
    <row r="139" spans="1:211" s="7" customFormat="1">
      <c r="A139" s="1"/>
      <c r="B139" s="76">
        <f t="shared" ca="1" si="132"/>
        <v>0.6790951423810907</v>
      </c>
      <c r="C139">
        <v>2</v>
      </c>
      <c r="D139">
        <v>39799</v>
      </c>
      <c r="E139">
        <v>0</v>
      </c>
      <c r="F139">
        <v>31.25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47.877102500062804</v>
      </c>
      <c r="AO139">
        <v>5.7159834383206611</v>
      </c>
      <c r="AP139">
        <v>12.063771106708645</v>
      </c>
      <c r="AQ139">
        <v>36.643747128317337</v>
      </c>
      <c r="AR139">
        <v>6.1964592955706017</v>
      </c>
      <c r="AS139">
        <v>37.785552483944862</v>
      </c>
      <c r="AT139" t="e">
        <v>#DIV/0!</v>
      </c>
      <c r="AU139" t="e">
        <v>#DIV/0!</v>
      </c>
      <c r="AV139"/>
      <c r="AW139"/>
      <c r="AX139" s="146"/>
      <c r="AY139" s="76">
        <f t="shared" ca="1" si="88"/>
        <v>0.52205777278803023</v>
      </c>
      <c r="AZ139">
        <v>2</v>
      </c>
      <c r="BA139" s="129">
        <f t="shared" ref="BA139:BA147" si="169">IF(AZ139="", "",$C$9)</f>
        <v>39799</v>
      </c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90"/>
        <v>6.9041631107168433E-2</v>
      </c>
      <c r="CL139" s="179">
        <f t="shared" si="91"/>
        <v>2</v>
      </c>
      <c r="CM139" s="180">
        <f t="shared" si="92"/>
        <v>39799</v>
      </c>
      <c r="CN139">
        <v>0</v>
      </c>
      <c r="CO139">
        <v>3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0.99183793574827117</v>
      </c>
      <c r="DD139">
        <f t="shared" si="94"/>
        <v>2</v>
      </c>
      <c r="DE139" s="129">
        <f t="shared" si="168"/>
        <v>39799</v>
      </c>
      <c r="DF139" s="161">
        <f t="shared" si="95"/>
        <v>0</v>
      </c>
      <c r="DG139" s="161">
        <f t="shared" si="96"/>
        <v>31.25</v>
      </c>
      <c r="DH139" s="161">
        <f t="shared" si="97"/>
        <v>0</v>
      </c>
      <c r="DI139" s="161">
        <f t="shared" si="98"/>
        <v>0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3"/>
        <v>31.25</v>
      </c>
      <c r="EL139" s="149"/>
      <c r="EN139" s="146"/>
      <c r="EO139" s="146"/>
      <c r="EP139" s="139">
        <f t="shared" si="134"/>
        <v>0</v>
      </c>
      <c r="EQ139" s="139">
        <f t="shared" si="135"/>
        <v>3.6156250000000005</v>
      </c>
      <c r="ER139" s="139">
        <f t="shared" si="136"/>
        <v>0</v>
      </c>
      <c r="ES139" s="139">
        <f t="shared" si="137"/>
        <v>0</v>
      </c>
      <c r="ET139" s="139">
        <f t="shared" si="138"/>
        <v>0</v>
      </c>
      <c r="EU139" s="139">
        <f t="shared" si="139"/>
        <v>0</v>
      </c>
      <c r="EV139" s="139">
        <f t="shared" si="140"/>
        <v>0</v>
      </c>
      <c r="EW139" s="139">
        <f t="shared" si="141"/>
        <v>0</v>
      </c>
      <c r="EX139" s="139">
        <f t="shared" si="142"/>
        <v>0</v>
      </c>
      <c r="EY139" s="139">
        <f t="shared" si="143"/>
        <v>0</v>
      </c>
      <c r="EZ139" s="139">
        <f t="shared" si="144"/>
        <v>0</v>
      </c>
      <c r="FA139" s="139">
        <f t="shared" si="145"/>
        <v>0</v>
      </c>
      <c r="FB139" s="139">
        <f t="shared" si="146"/>
        <v>0</v>
      </c>
      <c r="FC139" s="139">
        <f t="shared" si="147"/>
        <v>0</v>
      </c>
      <c r="FD139" s="139">
        <f t="shared" si="148"/>
        <v>0</v>
      </c>
      <c r="FE139" s="139">
        <f t="shared" si="149"/>
        <v>0</v>
      </c>
      <c r="FF139" s="139">
        <f t="shared" si="150"/>
        <v>0</v>
      </c>
      <c r="FG139" s="139">
        <f t="shared" si="151"/>
        <v>0</v>
      </c>
      <c r="FH139" s="139">
        <f t="shared" si="152"/>
        <v>0</v>
      </c>
      <c r="FI139" s="139">
        <f t="shared" si="153"/>
        <v>0</v>
      </c>
      <c r="FJ139" s="139">
        <f t="shared" si="154"/>
        <v>0</v>
      </c>
      <c r="FK139" s="139">
        <f t="shared" si="155"/>
        <v>0</v>
      </c>
      <c r="FL139" s="139">
        <f t="shared" si="156"/>
        <v>0</v>
      </c>
      <c r="FM139" s="139">
        <f t="shared" si="157"/>
        <v>0</v>
      </c>
      <c r="FN139" s="139">
        <f t="shared" si="158"/>
        <v>0</v>
      </c>
      <c r="FO139" s="139">
        <f t="shared" si="159"/>
        <v>0</v>
      </c>
      <c r="FP139" s="139">
        <f t="shared" si="160"/>
        <v>0</v>
      </c>
      <c r="FQ139" s="139">
        <f t="shared" si="161"/>
        <v>0</v>
      </c>
      <c r="FR139" s="139">
        <f t="shared" si="162"/>
        <v>0</v>
      </c>
      <c r="FS139" s="139">
        <f t="shared" si="163"/>
        <v>0</v>
      </c>
      <c r="FT139" s="139">
        <f t="shared" si="164"/>
        <v>0</v>
      </c>
      <c r="FU139" s="148">
        <f t="shared" si="165"/>
        <v>3.6156250000000005</v>
      </c>
      <c r="FV139" s="149"/>
      <c r="FY139" s="211">
        <v>134</v>
      </c>
      <c r="FZ139">
        <v>11.900934678810085</v>
      </c>
      <c r="GA139">
        <v>11.523942292961785</v>
      </c>
      <c r="GB139">
        <v>4.2308646283817346</v>
      </c>
      <c r="GC139">
        <v>2.0384635629021277</v>
      </c>
      <c r="GD139">
        <v>0.78339354027469044</v>
      </c>
      <c r="GE139">
        <v>0.63823374232558139</v>
      </c>
      <c r="GF139">
        <v>3.1024440487666012</v>
      </c>
      <c r="GG139">
        <v>3.3996944793734478</v>
      </c>
      <c r="GH139">
        <v>5.5000531836947362</v>
      </c>
      <c r="GI139">
        <v>4.6790946639066444</v>
      </c>
      <c r="GJ139"/>
      <c r="GK139">
        <v>11.93549055055753</v>
      </c>
      <c r="GL139">
        <v>9.7655822889391573</v>
      </c>
      <c r="GM139">
        <v>7.0035338315937636</v>
      </c>
      <c r="GN139">
        <v>6.0619013584969377</v>
      </c>
      <c r="GO139">
        <v>3.0366990966858713</v>
      </c>
      <c r="GP139">
        <v>1.2218992248062015</v>
      </c>
      <c r="GQ139">
        <v>3.7924615443786109</v>
      </c>
      <c r="GR139">
        <v>4.7779939517860184</v>
      </c>
      <c r="GS139">
        <v>5.861830770520946</v>
      </c>
      <c r="GT139">
        <v>6.3260031587473442</v>
      </c>
      <c r="GU139"/>
      <c r="GV139"/>
      <c r="GW139"/>
      <c r="GX139"/>
      <c r="GY139"/>
      <c r="GZ139"/>
      <c r="HA139"/>
      <c r="HB139"/>
      <c r="HC139"/>
    </row>
    <row r="140" spans="1:211" s="7" customFormat="1">
      <c r="A140" s="1"/>
      <c r="B140" s="76">
        <f t="shared" ca="1" si="132"/>
        <v>0.71265404803748433</v>
      </c>
      <c r="C140">
        <v>1</v>
      </c>
      <c r="D140">
        <v>39799</v>
      </c>
      <c r="E140">
        <v>0</v>
      </c>
      <c r="F140">
        <v>83.333333333333329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45.695377533375485</v>
      </c>
      <c r="AO140">
        <v>5.2166116367626918</v>
      </c>
      <c r="AP140">
        <v>3.0246710213377805</v>
      </c>
      <c r="AQ140">
        <v>38.233463256007973</v>
      </c>
      <c r="AR140">
        <v>5.3574691033245685</v>
      </c>
      <c r="AS140">
        <v>34.217185394302895</v>
      </c>
      <c r="AT140">
        <v>4.2995157483044961</v>
      </c>
      <c r="AU140">
        <v>1.7161254703086124</v>
      </c>
      <c r="AV140"/>
      <c r="AW140"/>
      <c r="AX140" s="146"/>
      <c r="AY140" s="76">
        <f t="shared" ca="1" si="88"/>
        <v>0.72310770814596381</v>
      </c>
      <c r="AZ140">
        <v>3</v>
      </c>
      <c r="BA140" s="129">
        <f t="shared" si="169"/>
        <v>39799</v>
      </c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90"/>
        <v>2.0877007267953385E-2</v>
      </c>
      <c r="CL140" s="179">
        <f t="shared" si="91"/>
        <v>3</v>
      </c>
      <c r="CM140" s="180">
        <f t="shared" si="92"/>
        <v>39799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0.55891170906478438</v>
      </c>
      <c r="DD140">
        <f t="shared" si="94"/>
        <v>3</v>
      </c>
      <c r="DE140" s="129">
        <f t="shared" si="168"/>
        <v>39799</v>
      </c>
      <c r="DF140" s="161">
        <f t="shared" si="95"/>
        <v>0</v>
      </c>
      <c r="DG140" s="161">
        <f t="shared" si="96"/>
        <v>0</v>
      </c>
      <c r="DH140" s="161">
        <f t="shared" si="97"/>
        <v>0</v>
      </c>
      <c r="DI140" s="161">
        <f t="shared" si="98"/>
        <v>0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3"/>
        <v>0</v>
      </c>
      <c r="EL140" s="149"/>
      <c r="EN140" s="146"/>
      <c r="EO140" s="146"/>
      <c r="EP140" s="139">
        <f t="shared" si="134"/>
        <v>0</v>
      </c>
      <c r="EQ140" s="139">
        <f t="shared" si="135"/>
        <v>0</v>
      </c>
      <c r="ER140" s="139">
        <f t="shared" si="136"/>
        <v>0</v>
      </c>
      <c r="ES140" s="139">
        <f t="shared" si="137"/>
        <v>0</v>
      </c>
      <c r="ET140" s="139">
        <f t="shared" si="138"/>
        <v>0</v>
      </c>
      <c r="EU140" s="139">
        <f t="shared" si="139"/>
        <v>0</v>
      </c>
      <c r="EV140" s="139">
        <f t="shared" si="140"/>
        <v>0</v>
      </c>
      <c r="EW140" s="139">
        <f t="shared" si="141"/>
        <v>0</v>
      </c>
      <c r="EX140" s="139">
        <f t="shared" si="142"/>
        <v>0</v>
      </c>
      <c r="EY140" s="139">
        <f t="shared" si="143"/>
        <v>0</v>
      </c>
      <c r="EZ140" s="139">
        <f t="shared" si="144"/>
        <v>0</v>
      </c>
      <c r="FA140" s="139">
        <f t="shared" si="145"/>
        <v>0</v>
      </c>
      <c r="FB140" s="139">
        <f t="shared" si="146"/>
        <v>0</v>
      </c>
      <c r="FC140" s="139">
        <f t="shared" si="147"/>
        <v>0</v>
      </c>
      <c r="FD140" s="139">
        <f t="shared" si="148"/>
        <v>0</v>
      </c>
      <c r="FE140" s="139">
        <f t="shared" si="149"/>
        <v>0</v>
      </c>
      <c r="FF140" s="139">
        <f t="shared" si="150"/>
        <v>0</v>
      </c>
      <c r="FG140" s="139">
        <f t="shared" si="151"/>
        <v>0</v>
      </c>
      <c r="FH140" s="139">
        <f t="shared" si="152"/>
        <v>0</v>
      </c>
      <c r="FI140" s="139">
        <f t="shared" si="153"/>
        <v>0</v>
      </c>
      <c r="FJ140" s="139">
        <f t="shared" si="154"/>
        <v>0</v>
      </c>
      <c r="FK140" s="139">
        <f t="shared" si="155"/>
        <v>0</v>
      </c>
      <c r="FL140" s="139">
        <f t="shared" si="156"/>
        <v>0</v>
      </c>
      <c r="FM140" s="139">
        <f t="shared" si="157"/>
        <v>0</v>
      </c>
      <c r="FN140" s="139">
        <f t="shared" si="158"/>
        <v>0</v>
      </c>
      <c r="FO140" s="139">
        <f t="shared" si="159"/>
        <v>0</v>
      </c>
      <c r="FP140" s="139">
        <f t="shared" si="160"/>
        <v>0</v>
      </c>
      <c r="FQ140" s="139">
        <f t="shared" si="161"/>
        <v>0</v>
      </c>
      <c r="FR140" s="139">
        <f t="shared" si="162"/>
        <v>0</v>
      </c>
      <c r="FS140" s="139">
        <f t="shared" si="163"/>
        <v>0</v>
      </c>
      <c r="FT140" s="139">
        <f t="shared" si="164"/>
        <v>0</v>
      </c>
      <c r="FU140" s="148">
        <f t="shared" si="165"/>
        <v>0</v>
      </c>
      <c r="FV140" s="149"/>
      <c r="FY140" s="211">
        <v>135</v>
      </c>
      <c r="FZ140">
        <v>12.802494897506564</v>
      </c>
      <c r="GA140">
        <v>14.240721775388447</v>
      </c>
      <c r="GB140">
        <v>5.4532885951154331</v>
      </c>
      <c r="GC140">
        <v>3.4607899929256511</v>
      </c>
      <c r="GD140">
        <v>2.2985111002530401</v>
      </c>
      <c r="GE140">
        <v>2.5961185269054137</v>
      </c>
      <c r="GF140">
        <v>1.8450118643478259</v>
      </c>
      <c r="GG140">
        <v>1.9806584999547101</v>
      </c>
      <c r="GH140">
        <v>4.8796568667579479</v>
      </c>
      <c r="GI140">
        <v>5.6652565731215283</v>
      </c>
      <c r="GJ140"/>
      <c r="GK140">
        <v>12.841727985447875</v>
      </c>
      <c r="GL140">
        <v>12.06728530277493</v>
      </c>
      <c r="GM140">
        <v>9.1094342624046529</v>
      </c>
      <c r="GN140">
        <v>10.46177807035159</v>
      </c>
      <c r="GO140">
        <v>8.9529236551253764</v>
      </c>
      <c r="GP140">
        <v>4.9702718693185526</v>
      </c>
      <c r="GQ140">
        <v>2.2608695652173911</v>
      </c>
      <c r="GR140">
        <v>2.7874899355877614</v>
      </c>
      <c r="GS140">
        <v>5.1998031464064214</v>
      </c>
      <c r="GT140">
        <v>7.6729517229203426</v>
      </c>
      <c r="GU140"/>
      <c r="GV140"/>
      <c r="GW140"/>
      <c r="GX140"/>
      <c r="GY140"/>
      <c r="GZ140"/>
      <c r="HA140"/>
      <c r="HB140"/>
      <c r="HC140"/>
    </row>
    <row r="141" spans="1:211" s="7" customFormat="1">
      <c r="A141" s="1"/>
      <c r="B141" s="76">
        <f t="shared" ca="1" si="132"/>
        <v>0.23176962594537986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59.037035303923119</v>
      </c>
      <c r="AO141">
        <v>7.2993020131490907</v>
      </c>
      <c r="AP141">
        <v>40.421165822466591</v>
      </c>
      <c r="AQ141">
        <v>51.677908892867251</v>
      </c>
      <c r="AR141">
        <v>7.6299376633830995</v>
      </c>
      <c r="AS141">
        <v>46.100882625034309</v>
      </c>
      <c r="AT141" t="e">
        <v>#DIV/0!</v>
      </c>
      <c r="AU141" t="e">
        <v>#DIV/0!</v>
      </c>
      <c r="AV141"/>
      <c r="AW141"/>
      <c r="AX141" s="146"/>
      <c r="AY141" s="76">
        <f t="shared" ca="1" si="88"/>
        <v>0.43449820520106375</v>
      </c>
      <c r="AZ141">
        <v>4</v>
      </c>
      <c r="BA141" s="129">
        <f t="shared" si="169"/>
        <v>39799</v>
      </c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90"/>
        <v>0.35469242062044204</v>
      </c>
      <c r="CL141" s="179">
        <f t="shared" si="91"/>
        <v>4</v>
      </c>
      <c r="CM141" s="180">
        <f t="shared" si="92"/>
        <v>39799</v>
      </c>
      <c r="CN141">
        <v>0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0.89417927358440341</v>
      </c>
      <c r="DD141">
        <f t="shared" si="94"/>
        <v>4</v>
      </c>
      <c r="DE141" s="129">
        <f t="shared" si="168"/>
        <v>39799</v>
      </c>
      <c r="DF141" s="161">
        <f t="shared" si="95"/>
        <v>0</v>
      </c>
      <c r="DG141" s="161">
        <f t="shared" si="96"/>
        <v>292.44652406417111</v>
      </c>
      <c r="DH141" s="161">
        <f t="shared" si="97"/>
        <v>0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3"/>
        <v>292.44652406417111</v>
      </c>
      <c r="EL141" s="149"/>
      <c r="EN141" s="146"/>
      <c r="EO141" s="146"/>
      <c r="EP141" s="139">
        <f t="shared" si="134"/>
        <v>0</v>
      </c>
      <c r="EQ141" s="139">
        <f t="shared" si="135"/>
        <v>33.836062834224599</v>
      </c>
      <c r="ER141" s="139">
        <f t="shared" si="136"/>
        <v>0</v>
      </c>
      <c r="ES141" s="139">
        <f t="shared" si="137"/>
        <v>0</v>
      </c>
      <c r="ET141" s="139">
        <f t="shared" si="138"/>
        <v>0</v>
      </c>
      <c r="EU141" s="139">
        <f t="shared" si="139"/>
        <v>0</v>
      </c>
      <c r="EV141" s="139">
        <f t="shared" si="140"/>
        <v>0</v>
      </c>
      <c r="EW141" s="139">
        <f t="shared" si="141"/>
        <v>0</v>
      </c>
      <c r="EX141" s="139">
        <f t="shared" si="142"/>
        <v>0</v>
      </c>
      <c r="EY141" s="139">
        <f t="shared" si="143"/>
        <v>0</v>
      </c>
      <c r="EZ141" s="139">
        <f t="shared" si="144"/>
        <v>0</v>
      </c>
      <c r="FA141" s="139">
        <f t="shared" si="145"/>
        <v>0</v>
      </c>
      <c r="FB141" s="139">
        <f t="shared" si="146"/>
        <v>0</v>
      </c>
      <c r="FC141" s="139">
        <f t="shared" si="147"/>
        <v>0</v>
      </c>
      <c r="FD141" s="139">
        <f t="shared" si="148"/>
        <v>0</v>
      </c>
      <c r="FE141" s="139">
        <f t="shared" si="149"/>
        <v>0</v>
      </c>
      <c r="FF141" s="139">
        <f t="shared" si="150"/>
        <v>0</v>
      </c>
      <c r="FG141" s="139">
        <f t="shared" si="151"/>
        <v>0</v>
      </c>
      <c r="FH141" s="139">
        <f t="shared" si="152"/>
        <v>0</v>
      </c>
      <c r="FI141" s="139">
        <f t="shared" si="153"/>
        <v>0</v>
      </c>
      <c r="FJ141" s="139">
        <f t="shared" si="154"/>
        <v>0</v>
      </c>
      <c r="FK141" s="139">
        <f t="shared" si="155"/>
        <v>0</v>
      </c>
      <c r="FL141" s="139">
        <f t="shared" si="156"/>
        <v>0</v>
      </c>
      <c r="FM141" s="139">
        <f t="shared" si="157"/>
        <v>0</v>
      </c>
      <c r="FN141" s="139">
        <f t="shared" si="158"/>
        <v>0</v>
      </c>
      <c r="FO141" s="139">
        <f t="shared" si="159"/>
        <v>0</v>
      </c>
      <c r="FP141" s="139">
        <f t="shared" si="160"/>
        <v>0</v>
      </c>
      <c r="FQ141" s="139">
        <f t="shared" si="161"/>
        <v>0</v>
      </c>
      <c r="FR141" s="139">
        <f t="shared" si="162"/>
        <v>0</v>
      </c>
      <c r="FS141" s="139">
        <f t="shared" si="163"/>
        <v>0</v>
      </c>
      <c r="FT141" s="139">
        <f t="shared" si="164"/>
        <v>0</v>
      </c>
      <c r="FU141" s="148">
        <f t="shared" si="165"/>
        <v>33.836062834224599</v>
      </c>
      <c r="FV141" s="149"/>
      <c r="FY141" s="211">
        <v>136</v>
      </c>
      <c r="FZ141">
        <v>7.8102615017729775</v>
      </c>
      <c r="GA141">
        <v>6.6584191163501885</v>
      </c>
      <c r="GB141">
        <v>7.2132210974750226</v>
      </c>
      <c r="GC141">
        <v>4.0786334688868298</v>
      </c>
      <c r="GD141">
        <v>2.812136113355741</v>
      </c>
      <c r="GE141">
        <v>3.9436787551680679</v>
      </c>
      <c r="GF141">
        <v>1.223050412887982</v>
      </c>
      <c r="GG141">
        <v>1.4386361263424563</v>
      </c>
      <c r="GH141">
        <v>5.4929032730757514</v>
      </c>
      <c r="GI141">
        <v>5.6295002139641976</v>
      </c>
      <c r="GJ141"/>
      <c r="GK141">
        <v>7.8605645650901437</v>
      </c>
      <c r="GL141">
        <v>5.6408163668516655</v>
      </c>
      <c r="GM141">
        <v>11.98298308658012</v>
      </c>
      <c r="GN141">
        <v>12.207463511074858</v>
      </c>
      <c r="GO141">
        <v>10.913697546655424</v>
      </c>
      <c r="GP141">
        <v>7.5501774573465754</v>
      </c>
      <c r="GQ141">
        <v>1.4964056940656674</v>
      </c>
      <c r="GR141">
        <v>2.0230260644360376</v>
      </c>
      <c r="GS141">
        <v>5.8543475436842467</v>
      </c>
      <c r="GT141">
        <v>7.6215996872151219</v>
      </c>
      <c r="GU141"/>
      <c r="GV141"/>
      <c r="GW141"/>
      <c r="GX141"/>
      <c r="GY141"/>
      <c r="GZ141"/>
      <c r="HA141"/>
      <c r="HB141"/>
      <c r="HC141"/>
    </row>
    <row r="142" spans="1:211" s="7" customFormat="1">
      <c r="A142" s="1"/>
      <c r="B142" s="76">
        <f t="shared" ca="1" si="132"/>
        <v>0.15946087282560928</v>
      </c>
      <c r="C142">
        <v>3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56.5466535154574</v>
      </c>
      <c r="AO142">
        <v>6.6090825961855275</v>
      </c>
      <c r="AP142">
        <v>4.1728089513227884</v>
      </c>
      <c r="AQ142">
        <v>48.760127461872756</v>
      </c>
      <c r="AR142">
        <v>6.9977917785595753</v>
      </c>
      <c r="AS142">
        <v>47.494727846406718</v>
      </c>
      <c r="AT142">
        <v>5.6847155203549518</v>
      </c>
      <c r="AU142">
        <v>1.4695427903909444</v>
      </c>
      <c r="AV142"/>
      <c r="AW142"/>
      <c r="AX142" s="146"/>
      <c r="AY142" s="76">
        <f t="shared" ca="1" si="88"/>
        <v>0.47717445891473753</v>
      </c>
      <c r="AZ142">
        <v>5</v>
      </c>
      <c r="BA142" s="129">
        <f t="shared" si="169"/>
        <v>39799</v>
      </c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90"/>
        <v>0.45302131747911956</v>
      </c>
      <c r="CL142" s="179">
        <f t="shared" si="91"/>
        <v>5</v>
      </c>
      <c r="CM142" s="180">
        <f t="shared" si="92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0.30766934946171998</v>
      </c>
      <c r="DD142">
        <f t="shared" si="94"/>
        <v>5</v>
      </c>
      <c r="DE142" s="129">
        <f t="shared" si="168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3"/>
        <v>0</v>
      </c>
      <c r="EL142" s="149"/>
      <c r="EN142" s="146"/>
      <c r="EO142" s="146"/>
      <c r="EP142" s="139">
        <f t="shared" si="134"/>
        <v>0</v>
      </c>
      <c r="EQ142" s="139">
        <f t="shared" si="135"/>
        <v>0</v>
      </c>
      <c r="ER142" s="139">
        <f t="shared" si="136"/>
        <v>0</v>
      </c>
      <c r="ES142" s="139">
        <f t="shared" si="137"/>
        <v>0</v>
      </c>
      <c r="ET142" s="139">
        <f t="shared" si="138"/>
        <v>0</v>
      </c>
      <c r="EU142" s="139">
        <f t="shared" si="139"/>
        <v>0</v>
      </c>
      <c r="EV142" s="139">
        <f t="shared" si="140"/>
        <v>0</v>
      </c>
      <c r="EW142" s="139">
        <f t="shared" si="141"/>
        <v>0</v>
      </c>
      <c r="EX142" s="139">
        <f t="shared" si="142"/>
        <v>0</v>
      </c>
      <c r="EY142" s="139">
        <f t="shared" si="143"/>
        <v>0</v>
      </c>
      <c r="EZ142" s="139">
        <f t="shared" si="144"/>
        <v>0</v>
      </c>
      <c r="FA142" s="139">
        <f t="shared" si="145"/>
        <v>0</v>
      </c>
      <c r="FB142" s="139">
        <f t="shared" si="146"/>
        <v>0</v>
      </c>
      <c r="FC142" s="139">
        <f t="shared" si="147"/>
        <v>0</v>
      </c>
      <c r="FD142" s="139">
        <f t="shared" si="148"/>
        <v>0</v>
      </c>
      <c r="FE142" s="139">
        <f t="shared" si="149"/>
        <v>0</v>
      </c>
      <c r="FF142" s="139">
        <f t="shared" si="150"/>
        <v>0</v>
      </c>
      <c r="FG142" s="139">
        <f t="shared" si="151"/>
        <v>0</v>
      </c>
      <c r="FH142" s="139">
        <f t="shared" si="152"/>
        <v>0</v>
      </c>
      <c r="FI142" s="139">
        <f t="shared" si="153"/>
        <v>0</v>
      </c>
      <c r="FJ142" s="139">
        <f t="shared" si="154"/>
        <v>0</v>
      </c>
      <c r="FK142" s="139">
        <f t="shared" si="155"/>
        <v>0</v>
      </c>
      <c r="FL142" s="139">
        <f t="shared" si="156"/>
        <v>0</v>
      </c>
      <c r="FM142" s="139">
        <f t="shared" si="157"/>
        <v>0</v>
      </c>
      <c r="FN142" s="139">
        <f t="shared" si="158"/>
        <v>0</v>
      </c>
      <c r="FO142" s="139">
        <f t="shared" si="159"/>
        <v>0</v>
      </c>
      <c r="FP142" s="139">
        <f t="shared" si="160"/>
        <v>0</v>
      </c>
      <c r="FQ142" s="139">
        <f t="shared" si="161"/>
        <v>0</v>
      </c>
      <c r="FR142" s="139">
        <f t="shared" si="162"/>
        <v>0</v>
      </c>
      <c r="FS142" s="139">
        <f t="shared" si="163"/>
        <v>0</v>
      </c>
      <c r="FT142" s="139">
        <f t="shared" si="164"/>
        <v>0</v>
      </c>
      <c r="FU142" s="148">
        <f t="shared" si="165"/>
        <v>0</v>
      </c>
      <c r="FV142" s="149"/>
      <c r="FY142" s="211">
        <v>137</v>
      </c>
      <c r="FZ142">
        <v>13.232910459443721</v>
      </c>
      <c r="GA142">
        <v>11.600335095523903</v>
      </c>
      <c r="GB142">
        <v>6.6421688252421873</v>
      </c>
      <c r="GC142">
        <v>3.2107225646197675</v>
      </c>
      <c r="GD142">
        <v>1.2981076869519783</v>
      </c>
      <c r="GE142">
        <v>1.7109646089368771</v>
      </c>
      <c r="GF142">
        <v>2.9054852902641883</v>
      </c>
      <c r="GG142">
        <v>2.5288790244013977</v>
      </c>
      <c r="GH142">
        <v>6.5736364977209147</v>
      </c>
      <c r="GI142">
        <v>5.9036654658416738</v>
      </c>
      <c r="GJ142"/>
      <c r="GK142">
        <v>13.28836731771402</v>
      </c>
      <c r="GL142">
        <v>9.8289931802053463</v>
      </c>
      <c r="GM142">
        <v>11.116896618124644</v>
      </c>
      <c r="GN142">
        <v>9.733119664187635</v>
      </c>
      <c r="GO142">
        <v>5.0309063985847438</v>
      </c>
      <c r="GP142">
        <v>3.2756436877076416</v>
      </c>
      <c r="GQ142">
        <v>3.555739125651463</v>
      </c>
      <c r="GR142">
        <v>3.555739125651463</v>
      </c>
      <c r="GS142">
        <v>7.009200201478202</v>
      </c>
      <c r="GT142">
        <v>8.0002219323106161</v>
      </c>
      <c r="GU142"/>
      <c r="GV142"/>
      <c r="GW142"/>
      <c r="GX142"/>
      <c r="GY142"/>
      <c r="GZ142"/>
      <c r="HA142"/>
      <c r="HB142"/>
      <c r="HC142"/>
    </row>
    <row r="143" spans="1:211" s="7" customFormat="1">
      <c r="A143" s="1"/>
      <c r="B143" s="76">
        <f t="shared" ca="1" si="132"/>
        <v>0.3379407211190939</v>
      </c>
      <c r="C143">
        <v>4</v>
      </c>
      <c r="D143">
        <v>39799</v>
      </c>
      <c r="E143">
        <v>0</v>
      </c>
      <c r="F143">
        <v>292.44652406417111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57.931581146210853</v>
      </c>
      <c r="AO143">
        <v>7.2294282265840604</v>
      </c>
      <c r="AP143">
        <v>6.5043845287999948</v>
      </c>
      <c r="AQ143">
        <v>53.825734342313886</v>
      </c>
      <c r="AR143">
        <v>7.5448174432655444</v>
      </c>
      <c r="AS143">
        <v>44.700922319813792</v>
      </c>
      <c r="AT143">
        <v>6.0354018650290335</v>
      </c>
      <c r="AU143">
        <v>1.0275890065256501</v>
      </c>
      <c r="AV143"/>
      <c r="AW143"/>
      <c r="AX143" s="146"/>
      <c r="AY143" s="76">
        <f t="shared" ca="1" si="88"/>
        <v>0.40176016603697939</v>
      </c>
      <c r="AZ143">
        <v>6</v>
      </c>
      <c r="BA143" s="129">
        <f t="shared" si="169"/>
        <v>39799</v>
      </c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90"/>
        <v>0.8870752041660861</v>
      </c>
      <c r="CL143" s="179">
        <f t="shared" si="91"/>
        <v>6</v>
      </c>
      <c r="CM143" s="180">
        <f t="shared" si="92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0.58339989934965986</v>
      </c>
      <c r="DD143">
        <f t="shared" si="94"/>
        <v>6</v>
      </c>
      <c r="DE143" s="129">
        <f t="shared" si="168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3"/>
        <v>0</v>
      </c>
      <c r="EL143" s="149"/>
      <c r="EN143" s="146"/>
      <c r="EO143" s="146"/>
      <c r="EP143" s="139">
        <f t="shared" si="134"/>
        <v>0</v>
      </c>
      <c r="EQ143" s="139">
        <f t="shared" si="135"/>
        <v>0</v>
      </c>
      <c r="ER143" s="139">
        <f t="shared" si="136"/>
        <v>0</v>
      </c>
      <c r="ES143" s="139">
        <f t="shared" si="137"/>
        <v>0</v>
      </c>
      <c r="ET143" s="139">
        <f t="shared" si="138"/>
        <v>0</v>
      </c>
      <c r="EU143" s="139">
        <f t="shared" si="139"/>
        <v>0</v>
      </c>
      <c r="EV143" s="139">
        <f t="shared" si="140"/>
        <v>0</v>
      </c>
      <c r="EW143" s="139">
        <f t="shared" si="141"/>
        <v>0</v>
      </c>
      <c r="EX143" s="139">
        <f t="shared" si="142"/>
        <v>0</v>
      </c>
      <c r="EY143" s="139">
        <f t="shared" si="143"/>
        <v>0</v>
      </c>
      <c r="EZ143" s="139">
        <f t="shared" si="144"/>
        <v>0</v>
      </c>
      <c r="FA143" s="139">
        <f t="shared" si="145"/>
        <v>0</v>
      </c>
      <c r="FB143" s="139">
        <f t="shared" si="146"/>
        <v>0</v>
      </c>
      <c r="FC143" s="139">
        <f t="shared" si="147"/>
        <v>0</v>
      </c>
      <c r="FD143" s="139">
        <f t="shared" si="148"/>
        <v>0</v>
      </c>
      <c r="FE143" s="139">
        <f t="shared" si="149"/>
        <v>0</v>
      </c>
      <c r="FF143" s="139">
        <f t="shared" si="150"/>
        <v>0</v>
      </c>
      <c r="FG143" s="139">
        <f t="shared" si="151"/>
        <v>0</v>
      </c>
      <c r="FH143" s="139">
        <f t="shared" si="152"/>
        <v>0</v>
      </c>
      <c r="FI143" s="139">
        <f t="shared" si="153"/>
        <v>0</v>
      </c>
      <c r="FJ143" s="139">
        <f t="shared" si="154"/>
        <v>0</v>
      </c>
      <c r="FK143" s="139">
        <f t="shared" si="155"/>
        <v>0</v>
      </c>
      <c r="FL143" s="139">
        <f t="shared" si="156"/>
        <v>0</v>
      </c>
      <c r="FM143" s="139">
        <f t="shared" si="157"/>
        <v>0</v>
      </c>
      <c r="FN143" s="139">
        <f t="shared" si="158"/>
        <v>0</v>
      </c>
      <c r="FO143" s="139">
        <f t="shared" si="159"/>
        <v>0</v>
      </c>
      <c r="FP143" s="139">
        <f t="shared" si="160"/>
        <v>0</v>
      </c>
      <c r="FQ143" s="139">
        <f t="shared" si="161"/>
        <v>0</v>
      </c>
      <c r="FR143" s="139">
        <f t="shared" si="162"/>
        <v>0</v>
      </c>
      <c r="FS143" s="139">
        <f t="shared" si="163"/>
        <v>0</v>
      </c>
      <c r="FT143" s="139">
        <f t="shared" si="164"/>
        <v>0</v>
      </c>
      <c r="FU143" s="148">
        <f t="shared" si="165"/>
        <v>0</v>
      </c>
      <c r="FV143" s="149"/>
      <c r="FY143" s="211">
        <v>138</v>
      </c>
      <c r="FZ143">
        <v>12.307130664274521</v>
      </c>
      <c r="GA143">
        <v>7.4657088930608877</v>
      </c>
      <c r="GB143">
        <v>4.3876026336294647</v>
      </c>
      <c r="GC143">
        <v>3.2899315253132504</v>
      </c>
      <c r="GD143">
        <v>1.1988378778963555</v>
      </c>
      <c r="GE143">
        <v>0.63658881</v>
      </c>
      <c r="GF143">
        <v>1.6115826289062498</v>
      </c>
      <c r="GG143">
        <v>1.7774097486979166</v>
      </c>
      <c r="GH143">
        <v>5.2327883304841993</v>
      </c>
      <c r="GI143">
        <v>4.7064849772572819</v>
      </c>
      <c r="GJ143"/>
      <c r="GK143">
        <v>12.352119521895226</v>
      </c>
      <c r="GL143">
        <v>6.3261790723538258</v>
      </c>
      <c r="GM143">
        <v>7.2677399185709124</v>
      </c>
      <c r="GN143">
        <v>9.8143581116545899</v>
      </c>
      <c r="GO143">
        <v>4.6687068452843636</v>
      </c>
      <c r="GP143">
        <v>1.21875</v>
      </c>
      <c r="GQ143">
        <v>1.9748263888888886</v>
      </c>
      <c r="GR143">
        <v>2.5014467592592591</v>
      </c>
      <c r="GS143">
        <v>5.5800959444247047</v>
      </c>
      <c r="GT143">
        <v>6.3686977238128186</v>
      </c>
      <c r="GU143"/>
      <c r="GV143"/>
      <c r="GW143"/>
      <c r="GX143"/>
      <c r="GY143"/>
      <c r="GZ143"/>
      <c r="HA143"/>
      <c r="HB143"/>
      <c r="HC143"/>
    </row>
    <row r="144" spans="1:211" s="7" customFormat="1">
      <c r="A144" s="1"/>
      <c r="B144" s="76">
        <f t="shared" ca="1" si="132"/>
        <v>0.15016105311508099</v>
      </c>
      <c r="C144">
        <v>7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58.546961226989389</v>
      </c>
      <c r="AO144">
        <v>6.9568758338997823</v>
      </c>
      <c r="AP144">
        <v>5.8111449735086254</v>
      </c>
      <c r="AQ144">
        <v>51.519414640681795</v>
      </c>
      <c r="AR144">
        <v>7.2812089271965146</v>
      </c>
      <c r="AS144">
        <v>42.449427946682263</v>
      </c>
      <c r="AT144">
        <v>5.7373906060480735</v>
      </c>
      <c r="AU144">
        <v>6.4898762827217382</v>
      </c>
      <c r="AV144"/>
      <c r="AW144"/>
      <c r="AX144" s="146"/>
      <c r="AY144" s="76">
        <f t="shared" ca="1" si="88"/>
        <v>0.36449030653818149</v>
      </c>
      <c r="AZ144">
        <v>7</v>
      </c>
      <c r="BA144" s="129">
        <f t="shared" si="169"/>
        <v>39799</v>
      </c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90"/>
        <v>0.98664552528260807</v>
      </c>
      <c r="CL144" s="179">
        <f t="shared" si="91"/>
        <v>7</v>
      </c>
      <c r="CM144" s="180">
        <f t="shared" si="92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0.81822429288000031</v>
      </c>
      <c r="DD144">
        <f t="shared" si="94"/>
        <v>7</v>
      </c>
      <c r="DE144" s="129">
        <f t="shared" si="168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3"/>
        <v>0</v>
      </c>
      <c r="EL144" s="149"/>
      <c r="EN144" s="146"/>
      <c r="EO144" s="146"/>
      <c r="EP144" s="139">
        <f t="shared" si="134"/>
        <v>0</v>
      </c>
      <c r="EQ144" s="139">
        <f t="shared" si="135"/>
        <v>0</v>
      </c>
      <c r="ER144" s="139">
        <f t="shared" si="136"/>
        <v>0</v>
      </c>
      <c r="ES144" s="139">
        <f t="shared" si="137"/>
        <v>0</v>
      </c>
      <c r="ET144" s="139">
        <f t="shared" si="138"/>
        <v>0</v>
      </c>
      <c r="EU144" s="139">
        <f t="shared" si="139"/>
        <v>0</v>
      </c>
      <c r="EV144" s="139">
        <f t="shared" si="140"/>
        <v>0</v>
      </c>
      <c r="EW144" s="139">
        <f t="shared" si="141"/>
        <v>0</v>
      </c>
      <c r="EX144" s="139">
        <f t="shared" si="142"/>
        <v>0</v>
      </c>
      <c r="EY144" s="139">
        <f t="shared" si="143"/>
        <v>0</v>
      </c>
      <c r="EZ144" s="139">
        <f t="shared" si="144"/>
        <v>0</v>
      </c>
      <c r="FA144" s="139">
        <f t="shared" si="145"/>
        <v>0</v>
      </c>
      <c r="FB144" s="139">
        <f t="shared" si="146"/>
        <v>0</v>
      </c>
      <c r="FC144" s="139">
        <f t="shared" si="147"/>
        <v>0</v>
      </c>
      <c r="FD144" s="139">
        <f t="shared" si="148"/>
        <v>0</v>
      </c>
      <c r="FE144" s="139">
        <f t="shared" si="149"/>
        <v>0</v>
      </c>
      <c r="FF144" s="139">
        <f t="shared" si="150"/>
        <v>0</v>
      </c>
      <c r="FG144" s="139">
        <f t="shared" si="151"/>
        <v>0</v>
      </c>
      <c r="FH144" s="139">
        <f t="shared" si="152"/>
        <v>0</v>
      </c>
      <c r="FI144" s="139">
        <f t="shared" si="153"/>
        <v>0</v>
      </c>
      <c r="FJ144" s="139">
        <f t="shared" si="154"/>
        <v>0</v>
      </c>
      <c r="FK144" s="139">
        <f t="shared" si="155"/>
        <v>0</v>
      </c>
      <c r="FL144" s="139">
        <f t="shared" si="156"/>
        <v>0</v>
      </c>
      <c r="FM144" s="139">
        <f t="shared" si="157"/>
        <v>0</v>
      </c>
      <c r="FN144" s="139">
        <f t="shared" si="158"/>
        <v>0</v>
      </c>
      <c r="FO144" s="139">
        <f t="shared" si="159"/>
        <v>0</v>
      </c>
      <c r="FP144" s="139">
        <f t="shared" si="160"/>
        <v>0</v>
      </c>
      <c r="FQ144" s="139">
        <f t="shared" si="161"/>
        <v>0</v>
      </c>
      <c r="FR144" s="139">
        <f t="shared" si="162"/>
        <v>0</v>
      </c>
      <c r="FS144" s="139">
        <f t="shared" si="163"/>
        <v>0</v>
      </c>
      <c r="FT144" s="139">
        <f t="shared" si="164"/>
        <v>0</v>
      </c>
      <c r="FU144" s="148">
        <f t="shared" si="165"/>
        <v>0</v>
      </c>
      <c r="FV144" s="149"/>
      <c r="FY144" s="211">
        <v>139</v>
      </c>
      <c r="FZ144">
        <v>14.445937988708653</v>
      </c>
      <c r="GA144">
        <v>17.148971435205954</v>
      </c>
      <c r="GB144">
        <v>8.8216045855315883</v>
      </c>
      <c r="GC144">
        <v>3.8981656091058348</v>
      </c>
      <c r="GD144">
        <v>2.1651595520002398</v>
      </c>
      <c r="GE144">
        <v>2.4118314429138166</v>
      </c>
      <c r="GF144">
        <v>3.3718272514296488</v>
      </c>
      <c r="GG144">
        <v>3.3095937565507896</v>
      </c>
      <c r="GH144">
        <v>7.4105040070367796</v>
      </c>
      <c r="GI144">
        <v>7.3325677090550174</v>
      </c>
      <c r="GJ144"/>
      <c r="GK144">
        <v>14.505586616539063</v>
      </c>
      <c r="GL144">
        <v>14.528870798295051</v>
      </c>
      <c r="GM144">
        <v>14.685557667182824</v>
      </c>
      <c r="GN144">
        <v>11.750649889613996</v>
      </c>
      <c r="GO144">
        <v>8.4256482341384018</v>
      </c>
      <c r="GP144">
        <v>4.6174540376404263</v>
      </c>
      <c r="GQ144">
        <v>4.1295075459175195</v>
      </c>
      <c r="GR144">
        <v>4.6561279162878897</v>
      </c>
      <c r="GS144">
        <v>7.89971759951076</v>
      </c>
      <c r="GT144">
        <v>9.9292035326577128</v>
      </c>
      <c r="GU144"/>
      <c r="GV144"/>
      <c r="GW144"/>
      <c r="GX144"/>
      <c r="GY144"/>
      <c r="GZ144"/>
      <c r="HA144"/>
      <c r="HB144"/>
      <c r="HC144"/>
    </row>
    <row r="145" spans="1:211" s="7" customFormat="1">
      <c r="A145" s="1"/>
      <c r="B145" s="76">
        <f t="shared" ca="1" si="132"/>
        <v>0.76900014877282774</v>
      </c>
      <c r="C145">
        <v>10</v>
      </c>
      <c r="D145">
        <v>39799</v>
      </c>
      <c r="E145">
        <v>0</v>
      </c>
      <c r="F145">
        <v>10.416666666666666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50.434105928231567</v>
      </c>
      <c r="AO145">
        <v>6.1403740047137845</v>
      </c>
      <c r="AP145">
        <v>81.803559575714189</v>
      </c>
      <c r="AQ145">
        <v>45.735083429468965</v>
      </c>
      <c r="AR145">
        <v>6.8053582380775577</v>
      </c>
      <c r="AS145">
        <v>41.838556252252054</v>
      </c>
      <c r="AT145" t="e">
        <v>#DIV/0!</v>
      </c>
      <c r="AU145" t="e">
        <v>#DIV/0!</v>
      </c>
      <c r="AV145"/>
      <c r="AW145"/>
      <c r="AX145" s="146"/>
      <c r="AY145" s="76">
        <f t="shared" ca="1" si="88"/>
        <v>0.1686042792138478</v>
      </c>
      <c r="AZ145">
        <v>8</v>
      </c>
      <c r="BA145" s="129">
        <f t="shared" si="169"/>
        <v>39799</v>
      </c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90"/>
        <v>0.79073866278495464</v>
      </c>
      <c r="CL145" s="179">
        <f t="shared" si="91"/>
        <v>8</v>
      </c>
      <c r="CM145" s="180">
        <f t="shared" si="92"/>
        <v>39799</v>
      </c>
      <c r="CN145">
        <v>0</v>
      </c>
      <c r="CO145">
        <v>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0.2485586429114417</v>
      </c>
      <c r="DD145">
        <f t="shared" si="94"/>
        <v>8</v>
      </c>
      <c r="DE145" s="129">
        <f t="shared" si="168"/>
        <v>39799</v>
      </c>
      <c r="DF145" s="161">
        <f t="shared" si="95"/>
        <v>0</v>
      </c>
      <c r="DG145" s="161">
        <f t="shared" si="96"/>
        <v>148.80952380952382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3"/>
        <v>148.80952380952382</v>
      </c>
      <c r="EL145" s="149"/>
      <c r="EN145" s="146"/>
      <c r="EO145" s="146"/>
      <c r="EP145" s="139">
        <f t="shared" si="134"/>
        <v>0</v>
      </c>
      <c r="EQ145" s="139">
        <f t="shared" si="135"/>
        <v>17.217261904761909</v>
      </c>
      <c r="ER145" s="139">
        <f t="shared" si="136"/>
        <v>0</v>
      </c>
      <c r="ES145" s="139">
        <f t="shared" si="137"/>
        <v>0</v>
      </c>
      <c r="ET145" s="139">
        <f t="shared" si="138"/>
        <v>0</v>
      </c>
      <c r="EU145" s="139">
        <f t="shared" si="139"/>
        <v>0</v>
      </c>
      <c r="EV145" s="139">
        <f t="shared" si="140"/>
        <v>0</v>
      </c>
      <c r="EW145" s="139">
        <f t="shared" si="141"/>
        <v>0</v>
      </c>
      <c r="EX145" s="139">
        <f t="shared" si="142"/>
        <v>0</v>
      </c>
      <c r="EY145" s="139">
        <f t="shared" si="143"/>
        <v>0</v>
      </c>
      <c r="EZ145" s="139">
        <f t="shared" si="144"/>
        <v>0</v>
      </c>
      <c r="FA145" s="139">
        <f t="shared" si="145"/>
        <v>0</v>
      </c>
      <c r="FB145" s="139">
        <f t="shared" si="146"/>
        <v>0</v>
      </c>
      <c r="FC145" s="139">
        <f t="shared" si="147"/>
        <v>0</v>
      </c>
      <c r="FD145" s="139">
        <f t="shared" si="148"/>
        <v>0</v>
      </c>
      <c r="FE145" s="139">
        <f t="shared" si="149"/>
        <v>0</v>
      </c>
      <c r="FF145" s="139">
        <f t="shared" si="150"/>
        <v>0</v>
      </c>
      <c r="FG145" s="139">
        <f t="shared" si="151"/>
        <v>0</v>
      </c>
      <c r="FH145" s="139">
        <f t="shared" si="152"/>
        <v>0</v>
      </c>
      <c r="FI145" s="139">
        <f t="shared" si="153"/>
        <v>0</v>
      </c>
      <c r="FJ145" s="139">
        <f t="shared" si="154"/>
        <v>0</v>
      </c>
      <c r="FK145" s="139">
        <f t="shared" si="155"/>
        <v>0</v>
      </c>
      <c r="FL145" s="139">
        <f t="shared" si="156"/>
        <v>0</v>
      </c>
      <c r="FM145" s="139">
        <f t="shared" si="157"/>
        <v>0</v>
      </c>
      <c r="FN145" s="139">
        <f t="shared" si="158"/>
        <v>0</v>
      </c>
      <c r="FO145" s="139">
        <f t="shared" si="159"/>
        <v>0</v>
      </c>
      <c r="FP145" s="139">
        <f t="shared" si="160"/>
        <v>0</v>
      </c>
      <c r="FQ145" s="139">
        <f t="shared" si="161"/>
        <v>0</v>
      </c>
      <c r="FR145" s="139">
        <f t="shared" si="162"/>
        <v>0</v>
      </c>
      <c r="FS145" s="139">
        <f t="shared" si="163"/>
        <v>0</v>
      </c>
      <c r="FT145" s="139">
        <f t="shared" si="164"/>
        <v>0</v>
      </c>
      <c r="FU145" s="148">
        <f t="shared" si="165"/>
        <v>17.217261904761909</v>
      </c>
      <c r="FV145" s="149"/>
      <c r="FY145" s="211">
        <v>140</v>
      </c>
      <c r="FZ145">
        <v>13.826467805221796</v>
      </c>
      <c r="GA145">
        <v>12.305031851917118</v>
      </c>
      <c r="GB145">
        <v>5.2043818809192919</v>
      </c>
      <c r="GC145">
        <v>3.2511469865385441</v>
      </c>
      <c r="GD145">
        <v>1.2206578845800109</v>
      </c>
      <c r="GE145">
        <v>1.2141950466112956</v>
      </c>
      <c r="GF145">
        <v>2.9832950354113801</v>
      </c>
      <c r="GG145">
        <v>2.9708201341953293</v>
      </c>
      <c r="GH145">
        <v>3.3119107395625567</v>
      </c>
      <c r="GI145">
        <v>5.0886651010999397</v>
      </c>
      <c r="GJ145"/>
      <c r="GK145">
        <v>13.870277836661487</v>
      </c>
      <c r="GL145">
        <v>10.428098575749749</v>
      </c>
      <c r="GM145">
        <v>8.6223431074051149</v>
      </c>
      <c r="GN145">
        <v>9.6910894368065481</v>
      </c>
      <c r="GO145">
        <v>4.7423322812328141</v>
      </c>
      <c r="GP145">
        <v>2.3245777962347729</v>
      </c>
      <c r="GQ145">
        <v>3.6510868510942971</v>
      </c>
      <c r="GR145">
        <v>4.1777072214646678</v>
      </c>
      <c r="GS145">
        <v>3.5312298840319829</v>
      </c>
      <c r="GT145">
        <v>6.8834539920851388</v>
      </c>
      <c r="GU145"/>
      <c r="GV145"/>
      <c r="GW145"/>
      <c r="GX145"/>
      <c r="GY145"/>
      <c r="GZ145"/>
      <c r="HA145"/>
      <c r="HB145"/>
      <c r="HC145"/>
    </row>
    <row r="146" spans="1:211" s="7" customFormat="1">
      <c r="A146" s="1"/>
      <c r="B146" s="76">
        <f t="shared" ca="1" si="132"/>
        <v>0.93076170202932884</v>
      </c>
      <c r="C146">
        <v>9</v>
      </c>
      <c r="D146">
        <v>39799</v>
      </c>
      <c r="E146">
        <v>0</v>
      </c>
      <c r="F146">
        <v>115.06782945736434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51.761449992490512</v>
      </c>
      <c r="AO146">
        <v>6.2199336367716027</v>
      </c>
      <c r="AP146">
        <v>69.988720884119317</v>
      </c>
      <c r="AQ146">
        <v>39.937161234553493</v>
      </c>
      <c r="AR146">
        <v>6.5383017384034883</v>
      </c>
      <c r="AS146">
        <v>37.989789799613078</v>
      </c>
      <c r="AT146" t="e">
        <v>#DIV/0!</v>
      </c>
      <c r="AU146" t="e">
        <v>#DIV/0!</v>
      </c>
      <c r="AV146"/>
      <c r="AW146"/>
      <c r="AX146" s="146"/>
      <c r="AY146" s="76">
        <f t="shared" ca="1" si="88"/>
        <v>0.95581232799894633</v>
      </c>
      <c r="AZ146">
        <v>9</v>
      </c>
      <c r="BA146" s="129">
        <f t="shared" si="169"/>
        <v>39799</v>
      </c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90"/>
        <v>3.9288601873819218E-2</v>
      </c>
      <c r="CL146" s="179">
        <f t="shared" si="91"/>
        <v>9</v>
      </c>
      <c r="CM146" s="180">
        <f t="shared" si="92"/>
        <v>39799</v>
      </c>
      <c r="CN146">
        <v>0</v>
      </c>
      <c r="CO146">
        <v>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0.19780015101754866</v>
      </c>
      <c r="DD146">
        <f t="shared" si="94"/>
        <v>9</v>
      </c>
      <c r="DE146" s="129">
        <f t="shared" si="168"/>
        <v>39799</v>
      </c>
      <c r="DF146" s="161">
        <f t="shared" si="95"/>
        <v>0</v>
      </c>
      <c r="DG146" s="161">
        <f t="shared" si="96"/>
        <v>115.06782945736434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3"/>
        <v>115.06782945736434</v>
      </c>
      <c r="EL146" s="149"/>
      <c r="EN146" s="146"/>
      <c r="EO146" s="146"/>
      <c r="EP146" s="139">
        <f t="shared" si="134"/>
        <v>0</v>
      </c>
      <c r="EQ146" s="139">
        <f t="shared" si="135"/>
        <v>13.313347868217056</v>
      </c>
      <c r="ER146" s="139">
        <f t="shared" si="136"/>
        <v>0</v>
      </c>
      <c r="ES146" s="139">
        <f t="shared" si="137"/>
        <v>0</v>
      </c>
      <c r="ET146" s="139">
        <f t="shared" si="138"/>
        <v>0</v>
      </c>
      <c r="EU146" s="139">
        <f t="shared" si="139"/>
        <v>0</v>
      </c>
      <c r="EV146" s="139">
        <f t="shared" si="140"/>
        <v>0</v>
      </c>
      <c r="EW146" s="139">
        <f t="shared" si="141"/>
        <v>0</v>
      </c>
      <c r="EX146" s="139">
        <f t="shared" si="142"/>
        <v>0</v>
      </c>
      <c r="EY146" s="139">
        <f t="shared" si="143"/>
        <v>0</v>
      </c>
      <c r="EZ146" s="139">
        <f t="shared" si="144"/>
        <v>0</v>
      </c>
      <c r="FA146" s="139">
        <f t="shared" si="145"/>
        <v>0</v>
      </c>
      <c r="FB146" s="139">
        <f t="shared" si="146"/>
        <v>0</v>
      </c>
      <c r="FC146" s="139">
        <f t="shared" si="147"/>
        <v>0</v>
      </c>
      <c r="FD146" s="139">
        <f t="shared" si="148"/>
        <v>0</v>
      </c>
      <c r="FE146" s="139">
        <f t="shared" si="149"/>
        <v>0</v>
      </c>
      <c r="FF146" s="139">
        <f t="shared" si="150"/>
        <v>0</v>
      </c>
      <c r="FG146" s="139">
        <f t="shared" si="151"/>
        <v>0</v>
      </c>
      <c r="FH146" s="139">
        <f t="shared" si="152"/>
        <v>0</v>
      </c>
      <c r="FI146" s="139">
        <f t="shared" si="153"/>
        <v>0</v>
      </c>
      <c r="FJ146" s="139">
        <f t="shared" si="154"/>
        <v>0</v>
      </c>
      <c r="FK146" s="139">
        <f t="shared" si="155"/>
        <v>0</v>
      </c>
      <c r="FL146" s="139">
        <f t="shared" si="156"/>
        <v>0</v>
      </c>
      <c r="FM146" s="139">
        <f t="shared" si="157"/>
        <v>0</v>
      </c>
      <c r="FN146" s="139">
        <f t="shared" si="158"/>
        <v>0</v>
      </c>
      <c r="FO146" s="139">
        <f t="shared" si="159"/>
        <v>0</v>
      </c>
      <c r="FP146" s="139">
        <f t="shared" si="160"/>
        <v>0</v>
      </c>
      <c r="FQ146" s="139">
        <f t="shared" si="161"/>
        <v>0</v>
      </c>
      <c r="FR146" s="139">
        <f t="shared" si="162"/>
        <v>0</v>
      </c>
      <c r="FS146" s="139">
        <f t="shared" si="163"/>
        <v>0</v>
      </c>
      <c r="FT146" s="139">
        <f t="shared" si="164"/>
        <v>0</v>
      </c>
      <c r="FU146" s="148">
        <f t="shared" si="165"/>
        <v>13.313347868217056</v>
      </c>
      <c r="FV146" s="149"/>
      <c r="FY146" s="211">
        <v>141</v>
      </c>
      <c r="FZ146">
        <v>10.513147436845895</v>
      </c>
      <c r="GA146">
        <v>11.744173226118336</v>
      </c>
      <c r="GB146">
        <v>6.756243259893024</v>
      </c>
      <c r="GC146">
        <v>2.729890735045859</v>
      </c>
      <c r="GD146">
        <v>1.3852530412781892</v>
      </c>
      <c r="GE146">
        <v>1.4516527773255814</v>
      </c>
      <c r="GF146">
        <v>1.2300079095652172</v>
      </c>
      <c r="GG146">
        <v>1.819361034692029</v>
      </c>
      <c r="GH146">
        <v>6.9646835599877006</v>
      </c>
      <c r="GI146">
        <v>5.3322304672398433</v>
      </c>
      <c r="GJ146"/>
      <c r="GK146">
        <v>10.568168871218033</v>
      </c>
      <c r="GL146">
        <v>9.9503797199936006</v>
      </c>
      <c r="GM146">
        <v>11.193638542056178</v>
      </c>
      <c r="GN146">
        <v>8.1522683480636218</v>
      </c>
      <c r="GO146">
        <v>5.3907482038749972</v>
      </c>
      <c r="GP146">
        <v>2.7791908914728682</v>
      </c>
      <c r="GQ146">
        <v>1.507246376811594</v>
      </c>
      <c r="GR146">
        <v>2.5604871175523347</v>
      </c>
      <c r="GS146">
        <v>7.4267294049592154</v>
      </c>
      <c r="GT146">
        <v>7.2173062797840037</v>
      </c>
      <c r="GU146"/>
      <c r="GV146"/>
      <c r="GW146"/>
      <c r="GX146"/>
      <c r="GY146"/>
      <c r="GZ146"/>
      <c r="HA146"/>
      <c r="HB146"/>
      <c r="HC146"/>
    </row>
    <row r="147" spans="1:211" s="7" customFormat="1">
      <c r="A147" s="1"/>
      <c r="B147" s="76">
        <f t="shared" ca="1" si="132"/>
        <v>0.62814816243383031</v>
      </c>
      <c r="C147">
        <v>5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72.915292091683284</v>
      </c>
      <c r="AO147">
        <v>8.3150009809915151</v>
      </c>
      <c r="AP147">
        <v>90.220435238777881</v>
      </c>
      <c r="AQ147">
        <v>64.511166455228377</v>
      </c>
      <c r="AR147">
        <v>8.6348275508908259</v>
      </c>
      <c r="AS147">
        <v>53.227811835144607</v>
      </c>
      <c r="AT147" t="e">
        <v>#DIV/0!</v>
      </c>
      <c r="AU147" t="e">
        <v>#DIV/0!</v>
      </c>
      <c r="AV147"/>
      <c r="AW147"/>
      <c r="AX147" s="146"/>
      <c r="AY147" s="76">
        <f t="shared" ca="1" si="88"/>
        <v>2.9740122415277348E-2</v>
      </c>
      <c r="AZ147">
        <v>10</v>
      </c>
      <c r="BA147" s="129">
        <f t="shared" si="169"/>
        <v>39799</v>
      </c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90"/>
        <v>0.60286925130989388</v>
      </c>
      <c r="CL147" s="179">
        <f t="shared" si="91"/>
        <v>10</v>
      </c>
      <c r="CM147" s="180">
        <f t="shared" si="92"/>
        <v>39799</v>
      </c>
      <c r="CN147">
        <v>0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0.34968386855735023</v>
      </c>
      <c r="DD147">
        <f t="shared" si="94"/>
        <v>10</v>
      </c>
      <c r="DE147" s="129">
        <f t="shared" si="168"/>
        <v>39799</v>
      </c>
      <c r="DF147" s="161">
        <f t="shared" si="95"/>
        <v>0</v>
      </c>
      <c r="DG147" s="161">
        <f t="shared" si="96"/>
        <v>10.416666666666666</v>
      </c>
      <c r="DH147" s="161">
        <f t="shared" si="97"/>
        <v>0</v>
      </c>
      <c r="DI147" s="161">
        <f t="shared" si="98"/>
        <v>0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3"/>
        <v>10.416666666666666</v>
      </c>
      <c r="EL147" s="149"/>
      <c r="EN147" s="146"/>
      <c r="EO147" s="146"/>
      <c r="EP147" s="139">
        <f t="shared" si="134"/>
        <v>0</v>
      </c>
      <c r="EQ147" s="139">
        <f t="shared" si="135"/>
        <v>1.2052083333333334</v>
      </c>
      <c r="ER147" s="139">
        <f t="shared" si="136"/>
        <v>0</v>
      </c>
      <c r="ES147" s="139">
        <f t="shared" si="137"/>
        <v>0</v>
      </c>
      <c r="ET147" s="139">
        <f t="shared" si="138"/>
        <v>0</v>
      </c>
      <c r="EU147" s="139">
        <f t="shared" si="139"/>
        <v>0</v>
      </c>
      <c r="EV147" s="139">
        <f t="shared" si="140"/>
        <v>0</v>
      </c>
      <c r="EW147" s="139">
        <f t="shared" si="141"/>
        <v>0</v>
      </c>
      <c r="EX147" s="139">
        <f t="shared" si="142"/>
        <v>0</v>
      </c>
      <c r="EY147" s="139">
        <f t="shared" si="143"/>
        <v>0</v>
      </c>
      <c r="EZ147" s="139">
        <f t="shared" si="144"/>
        <v>0</v>
      </c>
      <c r="FA147" s="139">
        <f t="shared" si="145"/>
        <v>0</v>
      </c>
      <c r="FB147" s="139">
        <f t="shared" si="146"/>
        <v>0</v>
      </c>
      <c r="FC147" s="139">
        <f t="shared" si="147"/>
        <v>0</v>
      </c>
      <c r="FD147" s="139">
        <f t="shared" si="148"/>
        <v>0</v>
      </c>
      <c r="FE147" s="139">
        <f t="shared" si="149"/>
        <v>0</v>
      </c>
      <c r="FF147" s="139">
        <f t="shared" si="150"/>
        <v>0</v>
      </c>
      <c r="FG147" s="139">
        <f t="shared" si="151"/>
        <v>0</v>
      </c>
      <c r="FH147" s="139">
        <f t="shared" si="152"/>
        <v>0</v>
      </c>
      <c r="FI147" s="139">
        <f t="shared" si="153"/>
        <v>0</v>
      </c>
      <c r="FJ147" s="139">
        <f t="shared" si="154"/>
        <v>0</v>
      </c>
      <c r="FK147" s="139">
        <f t="shared" si="155"/>
        <v>0</v>
      </c>
      <c r="FL147" s="139">
        <f t="shared" si="156"/>
        <v>0</v>
      </c>
      <c r="FM147" s="139">
        <f t="shared" si="157"/>
        <v>0</v>
      </c>
      <c r="FN147" s="139">
        <f t="shared" si="158"/>
        <v>0</v>
      </c>
      <c r="FO147" s="139">
        <f t="shared" si="159"/>
        <v>0</v>
      </c>
      <c r="FP147" s="139">
        <f t="shared" si="160"/>
        <v>0</v>
      </c>
      <c r="FQ147" s="139">
        <f t="shared" si="161"/>
        <v>0</v>
      </c>
      <c r="FR147" s="139">
        <f t="shared" si="162"/>
        <v>0</v>
      </c>
      <c r="FS147" s="139">
        <f t="shared" si="163"/>
        <v>0</v>
      </c>
      <c r="FT147" s="139">
        <f t="shared" si="164"/>
        <v>0</v>
      </c>
      <c r="FU147" s="148">
        <f t="shared" si="165"/>
        <v>1.2052083333333334</v>
      </c>
      <c r="FV147" s="149"/>
      <c r="FY147" s="211">
        <v>142</v>
      </c>
      <c r="FZ147">
        <v>18.545119566932435</v>
      </c>
      <c r="GA147">
        <v>15.891750690181325</v>
      </c>
      <c r="GB147">
        <v>6.020094475157574</v>
      </c>
      <c r="GC147">
        <v>3.4414779906560184</v>
      </c>
      <c r="GD147">
        <v>1.333668867320271</v>
      </c>
      <c r="GE147">
        <v>1.3910252716112961</v>
      </c>
      <c r="GF147">
        <v>2.4632016168463147</v>
      </c>
      <c r="GG147">
        <v>1.9999234154049559</v>
      </c>
      <c r="GH147">
        <v>5.3140437426779501</v>
      </c>
      <c r="GI147">
        <v>6.2738659017567722</v>
      </c>
      <c r="GJ147"/>
      <c r="GK147">
        <v>18.61197518561541</v>
      </c>
      <c r="GL147">
        <v>13.464787749263316</v>
      </c>
      <c r="GM147">
        <v>9.9690780839728266</v>
      </c>
      <c r="GN147">
        <v>10.251510255906345</v>
      </c>
      <c r="GO147">
        <v>5.1812526474483844</v>
      </c>
      <c r="GP147">
        <v>2.6631194629014403</v>
      </c>
      <c r="GQ147">
        <v>3.016081619991593</v>
      </c>
      <c r="GR147">
        <v>2.812956619991593</v>
      </c>
      <c r="GS147">
        <v>5.6630515670399326</v>
      </c>
      <c r="GT147">
        <v>8.4882878208136283</v>
      </c>
      <c r="GU147"/>
      <c r="GV147"/>
      <c r="GW147"/>
      <c r="GX147"/>
      <c r="GY147"/>
      <c r="GZ147"/>
      <c r="HA147"/>
      <c r="HB147"/>
      <c r="HC147"/>
    </row>
    <row r="148" spans="1:211" s="7" customFormat="1">
      <c r="A148" s="128"/>
      <c r="B148" s="76">
        <f t="shared" ca="1" si="132"/>
        <v>0.9465104461630256</v>
      </c>
      <c r="C148">
        <v>5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57.834314458508345</v>
      </c>
      <c r="AO148">
        <v>6.9324728379812326</v>
      </c>
      <c r="AP148">
        <v>64.93680569989121</v>
      </c>
      <c r="AQ148">
        <v>46.613189664366921</v>
      </c>
      <c r="AR148">
        <v>7.1627004745187604</v>
      </c>
      <c r="AS148">
        <v>45.361536871212849</v>
      </c>
      <c r="AT148" t="e">
        <v>#DIV/0!</v>
      </c>
      <c r="AU148" t="e">
        <v>#DIV/0!</v>
      </c>
      <c r="AV148"/>
      <c r="AW148"/>
      <c r="AX148" s="128"/>
      <c r="AY148" s="76">
        <f t="shared" ca="1" si="88"/>
        <v>0.11706256135111648</v>
      </c>
      <c r="AZ148">
        <v>1</v>
      </c>
      <c r="BA148" s="129">
        <f>IF(AZ148="", "",$C$10)</f>
        <v>39847</v>
      </c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90"/>
        <v>0.39879059265737471</v>
      </c>
      <c r="CL148" s="179">
        <f t="shared" si="91"/>
        <v>1</v>
      </c>
      <c r="CM148" s="180">
        <f t="shared" si="92"/>
        <v>39847</v>
      </c>
      <c r="CN148">
        <v>0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0.16958576449397889</v>
      </c>
      <c r="DD148">
        <f t="shared" si="94"/>
        <v>1</v>
      </c>
      <c r="DE148" s="129">
        <f t="shared" ref="DE148:DE157" si="170">IF((DD148)="", "", $C$10)</f>
        <v>39847</v>
      </c>
      <c r="DF148" s="161">
        <f t="shared" si="95"/>
        <v>0</v>
      </c>
      <c r="DG148" s="161">
        <f t="shared" si="96"/>
        <v>10.416666666666666</v>
      </c>
      <c r="DH148" s="161">
        <f t="shared" si="97"/>
        <v>0</v>
      </c>
      <c r="DI148" s="161">
        <f t="shared" si="98"/>
        <v>0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3"/>
        <v>10.416666666666666</v>
      </c>
      <c r="EL148" s="149"/>
      <c r="EN148" s="146"/>
      <c r="EO148" s="146"/>
      <c r="EP148" s="139">
        <f t="shared" si="134"/>
        <v>0</v>
      </c>
      <c r="EQ148" s="139">
        <f t="shared" si="135"/>
        <v>1.2052083333333334</v>
      </c>
      <c r="ER148" s="139">
        <f t="shared" si="136"/>
        <v>0</v>
      </c>
      <c r="ES148" s="139">
        <f t="shared" si="137"/>
        <v>0</v>
      </c>
      <c r="ET148" s="139">
        <f t="shared" si="138"/>
        <v>0</v>
      </c>
      <c r="EU148" s="139">
        <f t="shared" si="139"/>
        <v>0</v>
      </c>
      <c r="EV148" s="139">
        <f t="shared" si="140"/>
        <v>0</v>
      </c>
      <c r="EW148" s="139">
        <f t="shared" si="141"/>
        <v>0</v>
      </c>
      <c r="EX148" s="139">
        <f t="shared" si="142"/>
        <v>0</v>
      </c>
      <c r="EY148" s="139">
        <f t="shared" si="143"/>
        <v>0</v>
      </c>
      <c r="EZ148" s="139">
        <f t="shared" si="144"/>
        <v>0</v>
      </c>
      <c r="FA148" s="139">
        <f t="shared" si="145"/>
        <v>0</v>
      </c>
      <c r="FB148" s="139">
        <f t="shared" si="146"/>
        <v>0</v>
      </c>
      <c r="FC148" s="139">
        <f t="shared" si="147"/>
        <v>0</v>
      </c>
      <c r="FD148" s="139">
        <f t="shared" si="148"/>
        <v>0</v>
      </c>
      <c r="FE148" s="139">
        <f t="shared" si="149"/>
        <v>0</v>
      </c>
      <c r="FF148" s="139">
        <f t="shared" si="150"/>
        <v>0</v>
      </c>
      <c r="FG148" s="139">
        <f t="shared" si="151"/>
        <v>0</v>
      </c>
      <c r="FH148" s="139">
        <f t="shared" si="152"/>
        <v>0</v>
      </c>
      <c r="FI148" s="139">
        <f t="shared" si="153"/>
        <v>0</v>
      </c>
      <c r="FJ148" s="139">
        <f t="shared" si="154"/>
        <v>0</v>
      </c>
      <c r="FK148" s="139">
        <f t="shared" si="155"/>
        <v>0</v>
      </c>
      <c r="FL148" s="139">
        <f t="shared" si="156"/>
        <v>0</v>
      </c>
      <c r="FM148" s="139">
        <f t="shared" si="157"/>
        <v>0</v>
      </c>
      <c r="FN148" s="139">
        <f t="shared" si="158"/>
        <v>0</v>
      </c>
      <c r="FO148" s="139">
        <f t="shared" si="159"/>
        <v>0</v>
      </c>
      <c r="FP148" s="139">
        <f t="shared" si="160"/>
        <v>0</v>
      </c>
      <c r="FQ148" s="139">
        <f t="shared" si="161"/>
        <v>0</v>
      </c>
      <c r="FR148" s="139">
        <f t="shared" si="162"/>
        <v>0</v>
      </c>
      <c r="FS148" s="139">
        <f t="shared" si="163"/>
        <v>0</v>
      </c>
      <c r="FT148" s="139">
        <f t="shared" si="164"/>
        <v>0</v>
      </c>
      <c r="FU148" s="148">
        <f t="shared" si="165"/>
        <v>1.2052083333333334</v>
      </c>
      <c r="FV148" s="149"/>
      <c r="FY148" s="211">
        <v>143</v>
      </c>
      <c r="FZ148">
        <v>8.1405126355163802</v>
      </c>
      <c r="GA148">
        <v>6.0299314086558553</v>
      </c>
      <c r="GB148">
        <v>4.6210900495900606</v>
      </c>
      <c r="GC148">
        <v>2.7288150163476059</v>
      </c>
      <c r="GD148">
        <v>1.8939309284815764</v>
      </c>
      <c r="GE148">
        <v>1.9332654632225914</v>
      </c>
      <c r="GF148">
        <v>2.2196290870116231</v>
      </c>
      <c r="GG148">
        <v>1.9321738316526917</v>
      </c>
      <c r="GH148">
        <v>3.1078931506764009</v>
      </c>
      <c r="GI148">
        <v>4.322738298424996</v>
      </c>
      <c r="GJ148"/>
      <c r="GK148">
        <v>8.1882617097938137</v>
      </c>
      <c r="GL148">
        <v>5.1077177142980625</v>
      </c>
      <c r="GM148">
        <v>7.6923664254763029</v>
      </c>
      <c r="GN148">
        <v>8.2141046450846584</v>
      </c>
      <c r="GO148">
        <v>7.3740164556341883</v>
      </c>
      <c r="GP148">
        <v>3.7012389258028793</v>
      </c>
      <c r="GQ148">
        <v>2.7176088945487589</v>
      </c>
      <c r="GR148">
        <v>2.7176088945487589</v>
      </c>
      <c r="GS148">
        <v>3.314795343908294</v>
      </c>
      <c r="GT148">
        <v>5.857409765872271</v>
      </c>
      <c r="GU148"/>
      <c r="GV148"/>
      <c r="GW148"/>
      <c r="GX148"/>
      <c r="GY148"/>
      <c r="GZ148"/>
      <c r="HA148"/>
      <c r="HB148"/>
      <c r="HC148"/>
    </row>
    <row r="149" spans="1:211" s="7" customFormat="1">
      <c r="A149" s="77"/>
      <c r="B149" s="76">
        <f t="shared" ca="1" si="132"/>
        <v>0.53853204760914508</v>
      </c>
      <c r="C149">
        <v>10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57.918139495148694</v>
      </c>
      <c r="AO149">
        <v>6.9945162963785945</v>
      </c>
      <c r="AP149">
        <v>37.97438758655943</v>
      </c>
      <c r="AQ149">
        <v>46.464940912774424</v>
      </c>
      <c r="AR149">
        <v>7.6309833761261459</v>
      </c>
      <c r="AS149">
        <v>45.180533221797603</v>
      </c>
      <c r="AT149" t="e">
        <v>#DIV/0!</v>
      </c>
      <c r="AU149" t="e">
        <v>#DIV/0!</v>
      </c>
      <c r="AV149"/>
      <c r="AW149"/>
      <c r="AX149" s="151"/>
      <c r="AY149" s="76">
        <f t="shared" ca="1" si="88"/>
        <v>4.0249574188075954E-2</v>
      </c>
      <c r="AZ149">
        <v>2</v>
      </c>
      <c r="BA149" s="129">
        <f t="shared" ref="BA149:BA157" si="171">IF(AZ149="", "",$C$10)</f>
        <v>39847</v>
      </c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90"/>
        <v>0.80032747723682451</v>
      </c>
      <c r="CL149" s="179">
        <f t="shared" si="91"/>
        <v>2</v>
      </c>
      <c r="CM149" s="180">
        <f t="shared" si="92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0.7447958915348174</v>
      </c>
      <c r="DD149">
        <f t="shared" si="94"/>
        <v>2</v>
      </c>
      <c r="DE149" s="129">
        <f t="shared" si="170"/>
        <v>39847</v>
      </c>
      <c r="DF149" s="161">
        <f t="shared" si="95"/>
        <v>0</v>
      </c>
      <c r="DG149" s="161">
        <f t="shared" si="96"/>
        <v>0</v>
      </c>
      <c r="DH149" s="161">
        <f t="shared" si="97"/>
        <v>0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3"/>
        <v>0</v>
      </c>
      <c r="EL149" s="149"/>
      <c r="EN149" s="151"/>
      <c r="EO149" s="151"/>
      <c r="EP149" s="139">
        <f t="shared" si="134"/>
        <v>0</v>
      </c>
      <c r="EQ149" s="139">
        <f t="shared" si="135"/>
        <v>0</v>
      </c>
      <c r="ER149" s="139">
        <f t="shared" si="136"/>
        <v>0</v>
      </c>
      <c r="ES149" s="139">
        <f t="shared" si="137"/>
        <v>0</v>
      </c>
      <c r="ET149" s="139">
        <f t="shared" si="138"/>
        <v>0</v>
      </c>
      <c r="EU149" s="139">
        <f t="shared" si="139"/>
        <v>0</v>
      </c>
      <c r="EV149" s="139">
        <f t="shared" si="140"/>
        <v>0</v>
      </c>
      <c r="EW149" s="139">
        <f t="shared" si="141"/>
        <v>0</v>
      </c>
      <c r="EX149" s="139">
        <f t="shared" si="142"/>
        <v>0</v>
      </c>
      <c r="EY149" s="139">
        <f t="shared" si="143"/>
        <v>0</v>
      </c>
      <c r="EZ149" s="139">
        <f t="shared" si="144"/>
        <v>0</v>
      </c>
      <c r="FA149" s="139">
        <f t="shared" si="145"/>
        <v>0</v>
      </c>
      <c r="FB149" s="139">
        <f t="shared" si="146"/>
        <v>0</v>
      </c>
      <c r="FC149" s="139">
        <f t="shared" si="147"/>
        <v>0</v>
      </c>
      <c r="FD149" s="139">
        <f t="shared" si="148"/>
        <v>0</v>
      </c>
      <c r="FE149" s="139">
        <f t="shared" si="149"/>
        <v>0</v>
      </c>
      <c r="FF149" s="139">
        <f t="shared" si="150"/>
        <v>0</v>
      </c>
      <c r="FG149" s="139">
        <f t="shared" si="151"/>
        <v>0</v>
      </c>
      <c r="FH149" s="139">
        <f t="shared" si="152"/>
        <v>0</v>
      </c>
      <c r="FI149" s="139">
        <f t="shared" si="153"/>
        <v>0</v>
      </c>
      <c r="FJ149" s="139">
        <f t="shared" si="154"/>
        <v>0</v>
      </c>
      <c r="FK149" s="139">
        <f t="shared" si="155"/>
        <v>0</v>
      </c>
      <c r="FL149" s="139">
        <f t="shared" si="156"/>
        <v>0</v>
      </c>
      <c r="FM149" s="139">
        <f t="shared" si="157"/>
        <v>0</v>
      </c>
      <c r="FN149" s="139">
        <f t="shared" si="158"/>
        <v>0</v>
      </c>
      <c r="FO149" s="139">
        <f t="shared" si="159"/>
        <v>0</v>
      </c>
      <c r="FP149" s="139">
        <f t="shared" si="160"/>
        <v>0</v>
      </c>
      <c r="FQ149" s="139">
        <f t="shared" si="161"/>
        <v>0</v>
      </c>
      <c r="FR149" s="139">
        <f t="shared" si="162"/>
        <v>0</v>
      </c>
      <c r="FS149" s="139">
        <f t="shared" si="163"/>
        <v>0</v>
      </c>
      <c r="FT149" s="139">
        <f t="shared" si="164"/>
        <v>0</v>
      </c>
      <c r="FU149" s="148">
        <f t="shared" si="165"/>
        <v>0</v>
      </c>
      <c r="FV149" s="149"/>
      <c r="FY149" s="211">
        <v>144</v>
      </c>
      <c r="FZ149">
        <v>15.977652086898487</v>
      </c>
      <c r="GA149">
        <v>14.529424524189366</v>
      </c>
      <c r="GB149">
        <v>5.5489021439227582</v>
      </c>
      <c r="GC149">
        <v>3.4295745291426725</v>
      </c>
      <c r="GD149">
        <v>1.7858167326226659</v>
      </c>
      <c r="GE149">
        <v>2.2070920319054137</v>
      </c>
      <c r="GF149">
        <v>0.59244847119791655</v>
      </c>
      <c r="GG149">
        <v>1.2161224596354168</v>
      </c>
      <c r="GH149">
        <v>7.3899899897348025</v>
      </c>
      <c r="GI149">
        <v>6.0277428225439307</v>
      </c>
      <c r="GJ149"/>
      <c r="GK149">
        <v>16.020520786553391</v>
      </c>
      <c r="GL149">
        <v>12.31148945167976</v>
      </c>
      <c r="GM149">
        <v>9.2259414614529422</v>
      </c>
      <c r="GN149">
        <v>10.263839736695939</v>
      </c>
      <c r="GO149">
        <v>6.9226394702207479</v>
      </c>
      <c r="GP149">
        <v>4.2254802026518856</v>
      </c>
      <c r="GQ149">
        <v>0.72598379629629617</v>
      </c>
      <c r="GR149">
        <v>1.7115162037037035</v>
      </c>
      <c r="GS149">
        <v>7.8801492755522755</v>
      </c>
      <c r="GT149">
        <v>8.1550469580151308</v>
      </c>
      <c r="GU149"/>
      <c r="GV149"/>
      <c r="GW149"/>
      <c r="GX149"/>
      <c r="GY149"/>
      <c r="GZ149"/>
      <c r="HA149"/>
      <c r="HB149"/>
      <c r="HC149"/>
    </row>
    <row r="150" spans="1:211" s="7" customFormat="1">
      <c r="A150" s="77"/>
      <c r="B150" s="76">
        <f t="shared" ca="1" si="132"/>
        <v>0.88663571561203369</v>
      </c>
      <c r="C150">
        <v>6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55.713729925012842</v>
      </c>
      <c r="AO150">
        <v>5.978339577651238</v>
      </c>
      <c r="AP150">
        <v>3.6677592600819966</v>
      </c>
      <c r="AQ150">
        <v>47.797118821397433</v>
      </c>
      <c r="AR150">
        <v>6.3260031587473451</v>
      </c>
      <c r="AS150">
        <v>39.545162631201073</v>
      </c>
      <c r="AT150">
        <v>5.0641949667179587</v>
      </c>
      <c r="AU150">
        <v>1.2418250651802811</v>
      </c>
      <c r="AV150"/>
      <c r="AW150"/>
      <c r="AX150" s="151"/>
      <c r="AY150" s="76">
        <f t="shared" ca="1" si="88"/>
        <v>0.83994784026115532</v>
      </c>
      <c r="AZ150">
        <v>3</v>
      </c>
      <c r="BA150" s="129">
        <f t="shared" si="171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90"/>
        <v>0.89470199978052278</v>
      </c>
      <c r="CL150" s="179">
        <f t="shared" si="91"/>
        <v>3</v>
      </c>
      <c r="CM150" s="180">
        <f t="shared" si="92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0.39964736620343544</v>
      </c>
      <c r="DD150">
        <f t="shared" si="94"/>
        <v>3</v>
      </c>
      <c r="DE150" s="129">
        <f t="shared" si="170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3"/>
        <v>0</v>
      </c>
      <c r="EL150" s="149"/>
      <c r="EN150" s="151"/>
      <c r="EO150" s="151"/>
      <c r="EP150" s="139">
        <f t="shared" si="134"/>
        <v>0</v>
      </c>
      <c r="EQ150" s="139">
        <f t="shared" si="135"/>
        <v>0</v>
      </c>
      <c r="ER150" s="139">
        <f t="shared" si="136"/>
        <v>0</v>
      </c>
      <c r="ES150" s="139">
        <f t="shared" si="137"/>
        <v>0</v>
      </c>
      <c r="ET150" s="139">
        <f t="shared" si="138"/>
        <v>0</v>
      </c>
      <c r="EU150" s="139">
        <f t="shared" si="139"/>
        <v>0</v>
      </c>
      <c r="EV150" s="139">
        <f t="shared" si="140"/>
        <v>0</v>
      </c>
      <c r="EW150" s="139">
        <f t="shared" si="141"/>
        <v>0</v>
      </c>
      <c r="EX150" s="139">
        <f t="shared" si="142"/>
        <v>0</v>
      </c>
      <c r="EY150" s="139">
        <f t="shared" si="143"/>
        <v>0</v>
      </c>
      <c r="EZ150" s="139">
        <f t="shared" si="144"/>
        <v>0</v>
      </c>
      <c r="FA150" s="139">
        <f t="shared" si="145"/>
        <v>0</v>
      </c>
      <c r="FB150" s="139">
        <f t="shared" si="146"/>
        <v>0</v>
      </c>
      <c r="FC150" s="139">
        <f t="shared" si="147"/>
        <v>0</v>
      </c>
      <c r="FD150" s="139">
        <f t="shared" si="148"/>
        <v>0</v>
      </c>
      <c r="FE150" s="139">
        <f t="shared" si="149"/>
        <v>0</v>
      </c>
      <c r="FF150" s="139">
        <f t="shared" si="150"/>
        <v>0</v>
      </c>
      <c r="FG150" s="139">
        <f t="shared" si="151"/>
        <v>0</v>
      </c>
      <c r="FH150" s="139">
        <f t="shared" si="152"/>
        <v>0</v>
      </c>
      <c r="FI150" s="139">
        <f t="shared" si="153"/>
        <v>0</v>
      </c>
      <c r="FJ150" s="139">
        <f t="shared" si="154"/>
        <v>0</v>
      </c>
      <c r="FK150" s="139">
        <f t="shared" si="155"/>
        <v>0</v>
      </c>
      <c r="FL150" s="139">
        <f t="shared" si="156"/>
        <v>0</v>
      </c>
      <c r="FM150" s="139">
        <f t="shared" si="157"/>
        <v>0</v>
      </c>
      <c r="FN150" s="139">
        <f t="shared" si="158"/>
        <v>0</v>
      </c>
      <c r="FO150" s="139">
        <f t="shared" si="159"/>
        <v>0</v>
      </c>
      <c r="FP150" s="139">
        <f t="shared" si="160"/>
        <v>0</v>
      </c>
      <c r="FQ150" s="139">
        <f t="shared" si="161"/>
        <v>0</v>
      </c>
      <c r="FR150" s="139">
        <f t="shared" si="162"/>
        <v>0</v>
      </c>
      <c r="FS150" s="139">
        <f t="shared" si="163"/>
        <v>0</v>
      </c>
      <c r="FT150" s="139">
        <f t="shared" si="164"/>
        <v>0</v>
      </c>
      <c r="FU150" s="148">
        <f t="shared" si="165"/>
        <v>0</v>
      </c>
      <c r="FV150" s="149"/>
      <c r="FY150" s="211">
        <v>145</v>
      </c>
      <c r="FZ150">
        <v>8.3794226764471276</v>
      </c>
      <c r="GA150">
        <v>9.8578062836020379</v>
      </c>
      <c r="GB150">
        <v>8.1330041018970967</v>
      </c>
      <c r="GC150">
        <v>3.841503809630344</v>
      </c>
      <c r="GD150">
        <v>1.6128301472495412</v>
      </c>
      <c r="GE150">
        <v>2.2778241219054132</v>
      </c>
      <c r="GF150">
        <v>2.5823506302015367</v>
      </c>
      <c r="GG150">
        <v>2.0546062345414082</v>
      </c>
      <c r="GH150">
        <v>4.4682569117551685</v>
      </c>
      <c r="GI150">
        <v>5.3401317210615851</v>
      </c>
      <c r="GJ150"/>
      <c r="GK150">
        <v>8.3969325894846492</v>
      </c>
      <c r="GL150">
        <v>8.3522025925727004</v>
      </c>
      <c r="GM150">
        <v>13.544716873163519</v>
      </c>
      <c r="GN150">
        <v>11.567378696616956</v>
      </c>
      <c r="GO150">
        <v>6.2738745479362494</v>
      </c>
      <c r="GP150">
        <v>4.3608968693185517</v>
      </c>
      <c r="GQ150">
        <v>3.1574563132759068</v>
      </c>
      <c r="GR150">
        <v>2.8866229799425738</v>
      </c>
      <c r="GS150">
        <v>4.7661366681092083</v>
      </c>
      <c r="GT150">
        <v>7.2278233983939089</v>
      </c>
      <c r="GU150"/>
      <c r="GV150"/>
      <c r="GW150"/>
      <c r="GX150"/>
      <c r="GY150"/>
      <c r="GZ150"/>
      <c r="HA150"/>
      <c r="HB150"/>
      <c r="HC150"/>
    </row>
    <row r="151" spans="1:211" s="7" customFormat="1">
      <c r="A151" s="77"/>
      <c r="B151" s="76">
        <f t="shared" ca="1" si="132"/>
        <v>0.18402446487420132</v>
      </c>
      <c r="C151">
        <v>2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61.101406473940109</v>
      </c>
      <c r="AO151">
        <v>7.6324535515554901</v>
      </c>
      <c r="AP151">
        <v>31.745263650290379</v>
      </c>
      <c r="AQ151">
        <v>55.222508692276548</v>
      </c>
      <c r="AR151">
        <v>7.6729517229203434</v>
      </c>
      <c r="AS151">
        <v>46.71021634591024</v>
      </c>
      <c r="AT151" t="e">
        <v>#DIV/0!</v>
      </c>
      <c r="AU151" t="e">
        <v>#DIV/0!</v>
      </c>
      <c r="AV151"/>
      <c r="AW151"/>
      <c r="AX151" s="151"/>
      <c r="AY151" s="76">
        <f t="shared" ca="1" si="88"/>
        <v>0.46266060730838099</v>
      </c>
      <c r="AZ151">
        <v>4</v>
      </c>
      <c r="BA151" s="129">
        <f t="shared" si="171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90"/>
        <v>0.86770657173717058</v>
      </c>
      <c r="CL151" s="179">
        <f t="shared" si="91"/>
        <v>4</v>
      </c>
      <c r="CM151" s="180">
        <f t="shared" si="92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0.6591331124131663</v>
      </c>
      <c r="DD151">
        <f t="shared" si="94"/>
        <v>4</v>
      </c>
      <c r="DE151" s="129">
        <f t="shared" si="170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3"/>
        <v>0</v>
      </c>
      <c r="EL151" s="149"/>
      <c r="EN151" s="151"/>
      <c r="EO151" s="151"/>
      <c r="EP151" s="139">
        <f t="shared" si="134"/>
        <v>0</v>
      </c>
      <c r="EQ151" s="139">
        <f t="shared" si="135"/>
        <v>0</v>
      </c>
      <c r="ER151" s="139">
        <f t="shared" si="136"/>
        <v>0</v>
      </c>
      <c r="ES151" s="139">
        <f t="shared" si="137"/>
        <v>0</v>
      </c>
      <c r="ET151" s="139">
        <f t="shared" si="138"/>
        <v>0</v>
      </c>
      <c r="EU151" s="139">
        <f t="shared" si="139"/>
        <v>0</v>
      </c>
      <c r="EV151" s="139">
        <f t="shared" si="140"/>
        <v>0</v>
      </c>
      <c r="EW151" s="139">
        <f t="shared" si="141"/>
        <v>0</v>
      </c>
      <c r="EX151" s="139">
        <f t="shared" si="142"/>
        <v>0</v>
      </c>
      <c r="EY151" s="139">
        <f t="shared" si="143"/>
        <v>0</v>
      </c>
      <c r="EZ151" s="139">
        <f t="shared" si="144"/>
        <v>0</v>
      </c>
      <c r="FA151" s="139">
        <f t="shared" si="145"/>
        <v>0</v>
      </c>
      <c r="FB151" s="139">
        <f t="shared" si="146"/>
        <v>0</v>
      </c>
      <c r="FC151" s="139">
        <f t="shared" si="147"/>
        <v>0</v>
      </c>
      <c r="FD151" s="139">
        <f t="shared" si="148"/>
        <v>0</v>
      </c>
      <c r="FE151" s="139">
        <f t="shared" si="149"/>
        <v>0</v>
      </c>
      <c r="FF151" s="139">
        <f t="shared" si="150"/>
        <v>0</v>
      </c>
      <c r="FG151" s="139">
        <f t="shared" si="151"/>
        <v>0</v>
      </c>
      <c r="FH151" s="139">
        <f t="shared" si="152"/>
        <v>0</v>
      </c>
      <c r="FI151" s="139">
        <f t="shared" si="153"/>
        <v>0</v>
      </c>
      <c r="FJ151" s="139">
        <f t="shared" si="154"/>
        <v>0</v>
      </c>
      <c r="FK151" s="139">
        <f t="shared" si="155"/>
        <v>0</v>
      </c>
      <c r="FL151" s="139">
        <f t="shared" si="156"/>
        <v>0</v>
      </c>
      <c r="FM151" s="139">
        <f t="shared" si="157"/>
        <v>0</v>
      </c>
      <c r="FN151" s="139">
        <f t="shared" si="158"/>
        <v>0</v>
      </c>
      <c r="FO151" s="139">
        <f t="shared" si="159"/>
        <v>0</v>
      </c>
      <c r="FP151" s="139">
        <f t="shared" si="160"/>
        <v>0</v>
      </c>
      <c r="FQ151" s="139">
        <f t="shared" si="161"/>
        <v>0</v>
      </c>
      <c r="FR151" s="139">
        <f t="shared" si="162"/>
        <v>0</v>
      </c>
      <c r="FS151" s="139">
        <f t="shared" si="163"/>
        <v>0</v>
      </c>
      <c r="FT151" s="139">
        <f t="shared" si="164"/>
        <v>0</v>
      </c>
      <c r="FU151" s="148">
        <f t="shared" si="165"/>
        <v>0</v>
      </c>
      <c r="FV151" s="149"/>
      <c r="FY151" s="211">
        <v>146</v>
      </c>
      <c r="FZ151">
        <v>13.332215789636381</v>
      </c>
      <c r="GA151">
        <v>10.818136696014445</v>
      </c>
      <c r="GB151">
        <v>5.0933618234433071</v>
      </c>
      <c r="GC151">
        <v>2.7376491032290069</v>
      </c>
      <c r="GD151">
        <v>1.8898642159775247</v>
      </c>
      <c r="GE151">
        <v>2.2684791721428579</v>
      </c>
      <c r="GF151">
        <v>1.2783046744504822</v>
      </c>
      <c r="GG151">
        <v>1.0644446003007895</v>
      </c>
      <c r="GH151">
        <v>7.7303953895616981</v>
      </c>
      <c r="GI151">
        <v>5.7609851089976942</v>
      </c>
      <c r="GJ151"/>
      <c r="GK151">
        <v>13.393678301772805</v>
      </c>
      <c r="GL151">
        <v>9.1666089351922242</v>
      </c>
      <c r="GM151">
        <v>8.4387868882975283</v>
      </c>
      <c r="GN151">
        <v>8.1732423523272413</v>
      </c>
      <c r="GO151">
        <v>7.3472715981164161</v>
      </c>
      <c r="GP151">
        <v>4.3430059523809534</v>
      </c>
      <c r="GQ151">
        <v>1.5641140273990009</v>
      </c>
      <c r="GR151">
        <v>1.4964056940656674</v>
      </c>
      <c r="GS151">
        <v>8.2423745408202844</v>
      </c>
      <c r="GT151">
        <v>7.7972450712812069</v>
      </c>
      <c r="GU151"/>
      <c r="GV151"/>
      <c r="GW151"/>
      <c r="GX151"/>
      <c r="GY151"/>
      <c r="GZ151"/>
      <c r="HA151"/>
      <c r="HB151"/>
      <c r="HC151"/>
    </row>
    <row r="152" spans="1:211" s="7" customFormat="1">
      <c r="A152" s="77"/>
      <c r="B152" s="76">
        <f t="shared" ref="B152:B183" ca="1" si="172">IF(C152="", "", RAND())</f>
        <v>0.42658460703428935</v>
      </c>
      <c r="C152">
        <v>8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62.079006857528462</v>
      </c>
      <c r="AO152">
        <v>7.3151081522999863</v>
      </c>
      <c r="AP152">
        <v>22.275718634095881</v>
      </c>
      <c r="AQ152">
        <v>46.300440079279213</v>
      </c>
      <c r="AR152">
        <v>7.6215996872151219</v>
      </c>
      <c r="AS152">
        <v>47.66648813500133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3">IF(AZ152="", "", RAND())</f>
        <v>0.98645918974111346</v>
      </c>
      <c r="AZ152">
        <v>5</v>
      </c>
      <c r="BA152" s="129">
        <f t="shared" si="171"/>
        <v>39847</v>
      </c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90"/>
        <v>9.8533810297213087E-2</v>
      </c>
      <c r="CL152" s="179">
        <f t="shared" si="91"/>
        <v>5</v>
      </c>
      <c r="CM152" s="180">
        <f t="shared" si="92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4">IF(DD152="", "", RAND())</f>
        <v>0.95789652544804937</v>
      </c>
      <c r="DD152">
        <f t="shared" si="94"/>
        <v>5</v>
      </c>
      <c r="DE152" s="129">
        <f t="shared" si="170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5">IF(DF152="", "", SUM(DF152:EJ152))</f>
        <v>0</v>
      </c>
      <c r="EL152" s="149"/>
      <c r="EN152" s="151"/>
      <c r="EO152" s="151"/>
      <c r="EP152" s="139">
        <f t="shared" ref="EP152:EP183" si="176">IF(DF152="", "", DF152*G$36)</f>
        <v>0</v>
      </c>
      <c r="EQ152" s="139">
        <f t="shared" ref="EQ152:EQ183" si="177">IF(DG152="", "", DG152*H$36)</f>
        <v>0</v>
      </c>
      <c r="ER152" s="139">
        <f t="shared" ref="ER152:ER183" si="178">IF(DH152="", "", DH152*I$36)</f>
        <v>0</v>
      </c>
      <c r="ES152" s="139">
        <f t="shared" ref="ES152:ES183" si="179">IF(DI152="", "", DI152*J$36)</f>
        <v>0</v>
      </c>
      <c r="ET152" s="139">
        <f t="shared" ref="ET152:ET183" si="180">IF(DJ152="", "", DJ152*K$36)</f>
        <v>0</v>
      </c>
      <c r="EU152" s="139">
        <f t="shared" ref="EU152:EU183" si="181">IF(DK152="", "", DK152*L$36)</f>
        <v>0</v>
      </c>
      <c r="EV152" s="139">
        <f t="shared" ref="EV152:EV183" si="182">IF(DL152="", "", DL152*M$36)</f>
        <v>0</v>
      </c>
      <c r="EW152" s="139">
        <f t="shared" ref="EW152:EW183" si="183">IF(DM152="", "", DM152*N$36)</f>
        <v>0</v>
      </c>
      <c r="EX152" s="139">
        <f t="shared" ref="EX152:EX183" si="184">IF(DN152="", "", DN152*O$36)</f>
        <v>0</v>
      </c>
      <c r="EY152" s="139">
        <f t="shared" ref="EY152:EY183" si="185">IF(DO152="", "", DO152*P$36)</f>
        <v>0</v>
      </c>
      <c r="EZ152" s="139">
        <f t="shared" ref="EZ152:EZ183" si="186">IF(DP152="", "", DP152*Q$36)</f>
        <v>0</v>
      </c>
      <c r="FA152" s="139">
        <f t="shared" ref="FA152:FA183" si="187">IF(DQ152="", "", DQ152*R$36)</f>
        <v>0</v>
      </c>
      <c r="FB152" s="139">
        <f t="shared" ref="FB152:FB183" si="188">IF(DR152="", "", DR152*S$36)</f>
        <v>0</v>
      </c>
      <c r="FC152" s="139">
        <f t="shared" ref="FC152:FC183" si="189">IF(DS152="", "", DS152*T$36)</f>
        <v>0</v>
      </c>
      <c r="FD152" s="139">
        <f t="shared" ref="FD152:FD183" si="190">IF(DT152="", "", DT152*U$36)</f>
        <v>0</v>
      </c>
      <c r="FE152" s="139">
        <f t="shared" ref="FE152:FE183" si="191">IF(DU152="", "", DU152*V$36)</f>
        <v>0</v>
      </c>
      <c r="FF152" s="139">
        <f t="shared" ref="FF152:FF183" si="192">IF(DV152="", "", DV152*W$36)</f>
        <v>0</v>
      </c>
      <c r="FG152" s="139">
        <f t="shared" ref="FG152:FG183" si="193">IF(DW152="", "", DW152*X$36)</f>
        <v>0</v>
      </c>
      <c r="FH152" s="139">
        <f t="shared" ref="FH152:FH183" si="194">IF(DX152="", "", DX152*Y$36)</f>
        <v>0</v>
      </c>
      <c r="FI152" s="139">
        <f t="shared" ref="FI152:FI183" si="195">IF(DY152="", "", DY152*Z$36)</f>
        <v>0</v>
      </c>
      <c r="FJ152" s="139">
        <f t="shared" ref="FJ152:FJ183" si="196">IF(DZ152="", "", DZ152*AA$36)</f>
        <v>0</v>
      </c>
      <c r="FK152" s="139">
        <f t="shared" ref="FK152:FK183" si="197">IF(EA152="", "", EA152*AB$36)</f>
        <v>0</v>
      </c>
      <c r="FL152" s="139">
        <f t="shared" ref="FL152:FL183" si="198">IF(EB152="", "", EB152*AC$36)</f>
        <v>0</v>
      </c>
      <c r="FM152" s="139">
        <f t="shared" ref="FM152:FM183" si="199">IF(EC152="", "", EC152*AD$36)</f>
        <v>0</v>
      </c>
      <c r="FN152" s="139">
        <f t="shared" ref="FN152:FN183" si="200">IF(ED152="", "", ED152*AE$36)</f>
        <v>0</v>
      </c>
      <c r="FO152" s="139">
        <f t="shared" ref="FO152:FO183" si="201">IF(EE152="", "", EE152*AF$36)</f>
        <v>0</v>
      </c>
      <c r="FP152" s="139">
        <f t="shared" ref="FP152:FP183" si="202">IF(EF152="", "", EF152*AG$36)</f>
        <v>0</v>
      </c>
      <c r="FQ152" s="139">
        <f t="shared" ref="FQ152:FQ183" si="203">IF(EG152="", "", EG152*AH$36)</f>
        <v>0</v>
      </c>
      <c r="FR152" s="139">
        <f t="shared" ref="FR152:FR183" si="204">IF(EH152="", "", EH152*AI$36)</f>
        <v>0</v>
      </c>
      <c r="FS152" s="139">
        <f t="shared" ref="FS152:FS183" si="205">IF(EI152="", "", EI152*AJ$36)</f>
        <v>0</v>
      </c>
      <c r="FT152" s="139">
        <f t="shared" ref="FT152:FT183" si="206">IF(EJ152="", "", EJ152*AK$36)</f>
        <v>0</v>
      </c>
      <c r="FU152" s="148">
        <f t="shared" ref="FU152:FU183" si="207">IF(EP152="","",SUM(EP152:FT152))</f>
        <v>0</v>
      </c>
      <c r="FV152" s="149"/>
      <c r="FY152" s="211">
        <v>147</v>
      </c>
      <c r="FZ152">
        <v>10.391164462103884</v>
      </c>
      <c r="GA152">
        <v>10.417528082382983</v>
      </c>
      <c r="GB152">
        <v>6.8626765313666169</v>
      </c>
      <c r="GC152">
        <v>2.8790829853335804</v>
      </c>
      <c r="GD152">
        <v>1.8723185217505731</v>
      </c>
      <c r="GE152">
        <v>2.8167744488655466</v>
      </c>
      <c r="GF152">
        <v>2.9902525320886162</v>
      </c>
      <c r="GG152">
        <v>2.9773535165032357</v>
      </c>
      <c r="GH152">
        <v>4.7975550294958449</v>
      </c>
      <c r="GI152">
        <v>5.5986954470520827</v>
      </c>
      <c r="GJ152"/>
      <c r="GK152">
        <v>10.460766313679557</v>
      </c>
      <c r="GL152">
        <v>8.8257853481769253</v>
      </c>
      <c r="GM152">
        <v>11.446009653070846</v>
      </c>
      <c r="GN152">
        <v>8.6925053452421093</v>
      </c>
      <c r="GO152">
        <v>7.258031912081214</v>
      </c>
      <c r="GP152">
        <v>5.392717882607589</v>
      </c>
      <c r="GQ152">
        <v>3.6619275338402248</v>
      </c>
      <c r="GR152">
        <v>4.1885479042105951</v>
      </c>
      <c r="GS152">
        <v>5.1174573809453312</v>
      </c>
      <c r="GT152">
        <v>7.5888385587234346</v>
      </c>
      <c r="GU152"/>
      <c r="GV152"/>
      <c r="GW152"/>
      <c r="GX152"/>
      <c r="GY152"/>
      <c r="GZ152"/>
      <c r="HA152"/>
      <c r="HB152"/>
      <c r="HC152"/>
    </row>
    <row r="153" spans="1:211" s="7" customFormat="1">
      <c r="A153" s="77"/>
      <c r="B153" s="76">
        <f t="shared" ca="1" si="172"/>
        <v>0.94544836147005307</v>
      </c>
      <c r="C153">
        <v>7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60.176598288310366</v>
      </c>
      <c r="AO153">
        <v>7.4394827251615769</v>
      </c>
      <c r="AP153">
        <v>129.00825733835859</v>
      </c>
      <c r="AQ153">
        <v>55.606875518946609</v>
      </c>
      <c r="AR153">
        <v>8.0002219323106161</v>
      </c>
      <c r="AS153">
        <v>48.085166622803214</v>
      </c>
      <c r="AT153" t="e">
        <v>#DIV/0!</v>
      </c>
      <c r="AU153" t="e">
        <v>#DIV/0!</v>
      </c>
      <c r="AV153"/>
      <c r="AW153"/>
      <c r="AX153" s="151"/>
      <c r="AY153" s="76">
        <f t="shared" ca="1" si="173"/>
        <v>4.6867783231155258E-2</v>
      </c>
      <c r="AZ153">
        <v>6</v>
      </c>
      <c r="BA153" s="129">
        <f t="shared" si="171"/>
        <v>39847</v>
      </c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8">IF(AZ153="", "", RAND())</f>
        <v>0.86473972001726995</v>
      </c>
      <c r="CL153" s="179">
        <f t="shared" ref="CL153:CL207" si="209">IF(AZ153="", "", AZ153)</f>
        <v>6</v>
      </c>
      <c r="CM153" s="180">
        <f t="shared" ref="CM153:CM207" si="210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11">IF(AZ153="", "", $G$15)</f>
        <v>9.6000000000000002E-2</v>
      </c>
      <c r="DB153" s="151"/>
      <c r="DC153" s="76">
        <f t="shared" ca="1" si="174"/>
        <v>0.99786802264639984</v>
      </c>
      <c r="DD153">
        <f t="shared" ref="DD153:DD207" si="212">IF(AZ153="", "", AZ153)</f>
        <v>6</v>
      </c>
      <c r="DE153" s="129">
        <f t="shared" si="170"/>
        <v>39847</v>
      </c>
      <c r="DF153" s="161">
        <f t="shared" ref="DF153:DF187" si="213">IF($AZ153="", "", ((BB153*$CW153)+(CN153*$CX153))/$CZ153)</f>
        <v>0</v>
      </c>
      <c r="DG153" s="161">
        <f t="shared" ref="DG153:DG187" si="214">IF($AZ153="", "", ((BC153*$CW153)+(CO153*$CX153))/$CZ153)</f>
        <v>0</v>
      </c>
      <c r="DH153" s="161">
        <f t="shared" ref="DH153:DH187" si="215">IF($AZ153="", "", ((BD153*$CW153)+(CP153*$CX153))/$CZ153)</f>
        <v>0</v>
      </c>
      <c r="DI153" s="161">
        <f t="shared" ref="DI153:DI187" si="216">IF($AZ153="", "", ((BE153*$CW153)+(CQ153*$CX153))/$CZ153)</f>
        <v>0</v>
      </c>
      <c r="DJ153" s="161">
        <f t="shared" ref="DJ153:DJ187" si="217">IF($AZ153="", "", ((BF153*$CW153)+(CR153*$CX153))/$CZ153)</f>
        <v>0</v>
      </c>
      <c r="DK153" s="161">
        <f t="shared" ref="DK153:DK187" si="218">IF($AZ153="", "", ((BG153*$CW153)+(CS153*$CX153))/$CZ153)</f>
        <v>0</v>
      </c>
      <c r="DL153" s="161">
        <f t="shared" ref="DL153:DL187" si="219">IF($AZ153="", "", ((BH153*$CW153)+(CT153*$CX153))/$CZ153)</f>
        <v>0</v>
      </c>
      <c r="DM153" s="161">
        <f t="shared" ref="DM153:DM187" si="220">IF($AZ153="", "", ((BI153*$CW153)+(CU153*$CX153))/$CZ153)</f>
        <v>0</v>
      </c>
      <c r="DN153" s="161">
        <f t="shared" ref="DN153:DN187" si="221">IF($AZ153="", "", (BJ153*$CW153)/$CZ153)</f>
        <v>0</v>
      </c>
      <c r="DO153" s="161">
        <f t="shared" ref="DO153:DO187" si="222">IF($AZ153="", "", (BK153*$CW153)/$CZ153)</f>
        <v>0</v>
      </c>
      <c r="DP153" s="161">
        <f t="shared" ref="DP153:DP187" si="223">IF($AZ153="", "", (BL153*$CW153)/$CZ153)</f>
        <v>0</v>
      </c>
      <c r="DQ153" s="161">
        <f t="shared" ref="DQ153:DQ187" si="224">IF($AZ153="", "", (BM153*$CW153)/$CZ153)</f>
        <v>0</v>
      </c>
      <c r="DR153" s="161">
        <f t="shared" ref="DR153:DR187" si="225">IF($AZ153="", "", (BN153*$CW153)/$CZ153)</f>
        <v>0</v>
      </c>
      <c r="DS153" s="161">
        <f t="shared" ref="DS153:DS187" si="226">IF($AZ153="", "", (BO153*$CW153)/$CZ153)</f>
        <v>0</v>
      </c>
      <c r="DT153" s="161">
        <f t="shared" ref="DT153:DT187" si="227">IF($AZ153="", "", (BP153*$CW153)/$CZ153)</f>
        <v>0</v>
      </c>
      <c r="DU153" s="161">
        <f t="shared" ref="DU153:DU187" si="228">IF($AZ153="", "", (BQ153*$CW153)/$CZ153)</f>
        <v>0</v>
      </c>
      <c r="DV153" s="161">
        <f t="shared" ref="DV153:DV187" si="229">IF($AZ153="", "", (BR153*$CW153)/$CZ153)</f>
        <v>0</v>
      </c>
      <c r="DW153" s="161">
        <f t="shared" ref="DW153:DW187" si="230">IF($AZ153="", "", (BS153*$CW153)/$CZ153)</f>
        <v>0</v>
      </c>
      <c r="DX153" s="161">
        <f t="shared" ref="DX153:DX187" si="231">IF($AZ153="", "", (BT153*$CW153)/$CZ153)</f>
        <v>0</v>
      </c>
      <c r="DY153" s="161">
        <f t="shared" ref="DY153:DY187" si="232">IF($AZ153="", "", (BU153*$CW153)/$CZ153)</f>
        <v>0</v>
      </c>
      <c r="DZ153" s="161">
        <f t="shared" ref="DZ153:DZ187" si="233">IF($AZ153="", "", (BV153*$CW153)/$CZ153)</f>
        <v>0</v>
      </c>
      <c r="EA153" s="161">
        <f t="shared" ref="EA153:EA187" si="234">IF($AZ153="", "", (BW153*$CW153)/$CZ153)</f>
        <v>0</v>
      </c>
      <c r="EB153" s="161">
        <f t="shared" ref="EB153:EB187" si="235">IF($AZ153="", "", (BX153*$CW153)/$CZ153)</f>
        <v>0</v>
      </c>
      <c r="EC153" s="161">
        <f t="shared" ref="EC153:EC187" si="236">IF($AZ153="", "", (BY153*$CW153)/$CZ153)</f>
        <v>0</v>
      </c>
      <c r="ED153" s="161">
        <f t="shared" ref="ED153:ED187" si="237">IF($AZ153="", "", (BZ153*$CW153)/$CZ153)</f>
        <v>0</v>
      </c>
      <c r="EE153" s="161">
        <f t="shared" ref="EE153:EE187" si="238">IF($AZ153="", "", (CA153*$CW153)/$CZ153)</f>
        <v>0</v>
      </c>
      <c r="EF153" s="161">
        <f t="shared" ref="EF153:EF187" si="239">IF($AZ153="", "", (CB153*$CW153)/$CZ153)</f>
        <v>0</v>
      </c>
      <c r="EG153" s="161">
        <f t="shared" ref="EG153:EG187" si="240">IF($AZ153="", "", (CC153*$CW153)/$CZ153)</f>
        <v>0</v>
      </c>
      <c r="EH153" s="161">
        <f t="shared" ref="EH153:EH187" si="241">IF($AZ153="", "", (CD153*$CW153)/$CZ153)</f>
        <v>0</v>
      </c>
      <c r="EI153" s="161">
        <f t="shared" ref="EI153:EI187" si="242">IF($AZ153="", "", (CE153*$CW153)/$CZ153)</f>
        <v>0</v>
      </c>
      <c r="EJ153" s="161">
        <f t="shared" ref="EJ153:EJ187" si="243">IF($AZ153="", "", (CF153*$CW153)/$CZ153)</f>
        <v>0</v>
      </c>
      <c r="EK153" s="147">
        <f t="shared" si="175"/>
        <v>0</v>
      </c>
      <c r="EL153" s="149"/>
      <c r="EN153" s="151"/>
      <c r="EO153" s="151"/>
      <c r="EP153" s="139">
        <f t="shared" si="176"/>
        <v>0</v>
      </c>
      <c r="EQ153" s="139">
        <f t="shared" si="177"/>
        <v>0</v>
      </c>
      <c r="ER153" s="139">
        <f t="shared" si="178"/>
        <v>0</v>
      </c>
      <c r="ES153" s="139">
        <f t="shared" si="179"/>
        <v>0</v>
      </c>
      <c r="ET153" s="139">
        <f t="shared" si="180"/>
        <v>0</v>
      </c>
      <c r="EU153" s="139">
        <f t="shared" si="181"/>
        <v>0</v>
      </c>
      <c r="EV153" s="139">
        <f t="shared" si="182"/>
        <v>0</v>
      </c>
      <c r="EW153" s="139">
        <f t="shared" si="183"/>
        <v>0</v>
      </c>
      <c r="EX153" s="139">
        <f t="shared" si="184"/>
        <v>0</v>
      </c>
      <c r="EY153" s="139">
        <f t="shared" si="185"/>
        <v>0</v>
      </c>
      <c r="EZ153" s="139">
        <f t="shared" si="186"/>
        <v>0</v>
      </c>
      <c r="FA153" s="139">
        <f t="shared" si="187"/>
        <v>0</v>
      </c>
      <c r="FB153" s="139">
        <f t="shared" si="188"/>
        <v>0</v>
      </c>
      <c r="FC153" s="139">
        <f t="shared" si="189"/>
        <v>0</v>
      </c>
      <c r="FD153" s="139">
        <f t="shared" si="190"/>
        <v>0</v>
      </c>
      <c r="FE153" s="139">
        <f t="shared" si="191"/>
        <v>0</v>
      </c>
      <c r="FF153" s="139">
        <f t="shared" si="192"/>
        <v>0</v>
      </c>
      <c r="FG153" s="139">
        <f t="shared" si="193"/>
        <v>0</v>
      </c>
      <c r="FH153" s="139">
        <f t="shared" si="194"/>
        <v>0</v>
      </c>
      <c r="FI153" s="139">
        <f t="shared" si="195"/>
        <v>0</v>
      </c>
      <c r="FJ153" s="139">
        <f t="shared" si="196"/>
        <v>0</v>
      </c>
      <c r="FK153" s="139">
        <f t="shared" si="197"/>
        <v>0</v>
      </c>
      <c r="FL153" s="139">
        <f t="shared" si="198"/>
        <v>0</v>
      </c>
      <c r="FM153" s="139">
        <f t="shared" si="199"/>
        <v>0</v>
      </c>
      <c r="FN153" s="139">
        <f t="shared" si="200"/>
        <v>0</v>
      </c>
      <c r="FO153" s="139">
        <f t="shared" si="201"/>
        <v>0</v>
      </c>
      <c r="FP153" s="139">
        <f t="shared" si="202"/>
        <v>0</v>
      </c>
      <c r="FQ153" s="139">
        <f t="shared" si="203"/>
        <v>0</v>
      </c>
      <c r="FR153" s="139">
        <f t="shared" si="204"/>
        <v>0</v>
      </c>
      <c r="FS153" s="139">
        <f t="shared" si="205"/>
        <v>0</v>
      </c>
      <c r="FT153" s="139">
        <f t="shared" si="206"/>
        <v>0</v>
      </c>
      <c r="FU153" s="148">
        <f t="shared" si="207"/>
        <v>0</v>
      </c>
      <c r="FV153" s="149"/>
      <c r="FY153" s="211">
        <v>148</v>
      </c>
      <c r="FZ153">
        <v>13.835052731422799</v>
      </c>
      <c r="GA153">
        <v>12.289382216525555</v>
      </c>
      <c r="GB153">
        <v>2.9819791209703608</v>
      </c>
      <c r="GC153">
        <v>2.2704300315852386</v>
      </c>
      <c r="GD153">
        <v>1.7701848058041634</v>
      </c>
      <c r="GE153">
        <v>1.8608884408970103</v>
      </c>
      <c r="GF153">
        <v>1.1452406677407898</v>
      </c>
      <c r="GG153">
        <v>1.7450780686318585</v>
      </c>
      <c r="GH153">
        <v>3.8103257370890367</v>
      </c>
      <c r="GI153">
        <v>4.6067359918422035</v>
      </c>
      <c r="GJ153"/>
      <c r="GK153">
        <v>13.885586011806209</v>
      </c>
      <c r="GL153">
        <v>10.413090297822009</v>
      </c>
      <c r="GM153">
        <v>4.9422925969515514</v>
      </c>
      <c r="GN153">
        <v>6.7838249364143346</v>
      </c>
      <c r="GO153">
        <v>6.8839840462810429</v>
      </c>
      <c r="GP153">
        <v>3.5626730343300115</v>
      </c>
      <c r="GQ153">
        <v>1.4010579686228333</v>
      </c>
      <c r="GR153">
        <v>2.4542987093635737</v>
      </c>
      <c r="GS153">
        <v>4.0606599532974172</v>
      </c>
      <c r="GT153">
        <v>6.2347161153918105</v>
      </c>
      <c r="GU153"/>
      <c r="GV153"/>
      <c r="GW153"/>
      <c r="GX153"/>
      <c r="GY153"/>
      <c r="GZ153"/>
      <c r="HA153"/>
      <c r="HB153"/>
      <c r="HC153"/>
    </row>
    <row r="154" spans="1:211" s="7" customFormat="1">
      <c r="A154" s="77"/>
      <c r="B154" s="76">
        <f t="shared" ca="1" si="172"/>
        <v>0.78285430248300281</v>
      </c>
      <c r="C154">
        <v>3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47.889148674006343</v>
      </c>
      <c r="AO154">
        <v>5.8072920286144578</v>
      </c>
      <c r="AP154">
        <v>27.110806015144963</v>
      </c>
      <c r="AQ154">
        <v>42.614066089520122</v>
      </c>
      <c r="AR154">
        <v>6.3686977238128204</v>
      </c>
      <c r="AS154">
        <v>41.051586653752011</v>
      </c>
      <c r="AT154" t="e">
        <v>#DIV/0!</v>
      </c>
      <c r="AU154" t="e">
        <v>#DIV/0!</v>
      </c>
      <c r="AV154"/>
      <c r="AW154"/>
      <c r="AX154" s="151"/>
      <c r="AY154" s="76">
        <f t="shared" ca="1" si="173"/>
        <v>0.5900350208992422</v>
      </c>
      <c r="AZ154">
        <v>7</v>
      </c>
      <c r="BA154" s="129">
        <f t="shared" si="171"/>
        <v>39847</v>
      </c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8"/>
        <v>0.58072747480759368</v>
      </c>
      <c r="CL154" s="179">
        <f t="shared" si="209"/>
        <v>7</v>
      </c>
      <c r="CM154" s="180">
        <f t="shared" si="210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11"/>
        <v>9.6000000000000002E-2</v>
      </c>
      <c r="DB154" s="151"/>
      <c r="DC154" s="76">
        <f t="shared" ca="1" si="174"/>
        <v>0.55828718196005722</v>
      </c>
      <c r="DD154">
        <f t="shared" si="212"/>
        <v>7</v>
      </c>
      <c r="DE154" s="129">
        <f t="shared" si="170"/>
        <v>39847</v>
      </c>
      <c r="DF154" s="161">
        <f t="shared" si="213"/>
        <v>0</v>
      </c>
      <c r="DG154" s="161">
        <f t="shared" si="214"/>
        <v>0</v>
      </c>
      <c r="DH154" s="161">
        <f t="shared" si="215"/>
        <v>0</v>
      </c>
      <c r="DI154" s="161">
        <f t="shared" si="216"/>
        <v>0</v>
      </c>
      <c r="DJ154" s="161">
        <f t="shared" si="217"/>
        <v>0</v>
      </c>
      <c r="DK154" s="161">
        <f t="shared" si="218"/>
        <v>0</v>
      </c>
      <c r="DL154" s="161">
        <f t="shared" si="219"/>
        <v>0</v>
      </c>
      <c r="DM154" s="161">
        <f t="shared" si="220"/>
        <v>0</v>
      </c>
      <c r="DN154" s="161">
        <f t="shared" si="221"/>
        <v>0</v>
      </c>
      <c r="DO154" s="161">
        <f t="shared" si="222"/>
        <v>0</v>
      </c>
      <c r="DP154" s="161">
        <f t="shared" si="223"/>
        <v>0</v>
      </c>
      <c r="DQ154" s="161">
        <f t="shared" si="224"/>
        <v>0</v>
      </c>
      <c r="DR154" s="161">
        <f t="shared" si="225"/>
        <v>0</v>
      </c>
      <c r="DS154" s="161">
        <f t="shared" si="226"/>
        <v>0</v>
      </c>
      <c r="DT154" s="161">
        <f t="shared" si="227"/>
        <v>0</v>
      </c>
      <c r="DU154" s="161">
        <f t="shared" si="228"/>
        <v>0</v>
      </c>
      <c r="DV154" s="161">
        <f t="shared" si="229"/>
        <v>0</v>
      </c>
      <c r="DW154" s="161">
        <f t="shared" si="230"/>
        <v>0</v>
      </c>
      <c r="DX154" s="161">
        <f t="shared" si="231"/>
        <v>0</v>
      </c>
      <c r="DY154" s="161">
        <f t="shared" si="232"/>
        <v>0</v>
      </c>
      <c r="DZ154" s="161">
        <f t="shared" si="233"/>
        <v>0</v>
      </c>
      <c r="EA154" s="161">
        <f t="shared" si="234"/>
        <v>0</v>
      </c>
      <c r="EB154" s="161">
        <f t="shared" si="235"/>
        <v>0</v>
      </c>
      <c r="EC154" s="161">
        <f t="shared" si="236"/>
        <v>0</v>
      </c>
      <c r="ED154" s="161">
        <f t="shared" si="237"/>
        <v>0</v>
      </c>
      <c r="EE154" s="161">
        <f t="shared" si="238"/>
        <v>0</v>
      </c>
      <c r="EF154" s="161">
        <f t="shared" si="239"/>
        <v>0</v>
      </c>
      <c r="EG154" s="161">
        <f t="shared" si="240"/>
        <v>0</v>
      </c>
      <c r="EH154" s="161">
        <f t="shared" si="241"/>
        <v>0</v>
      </c>
      <c r="EI154" s="161">
        <f t="shared" si="242"/>
        <v>0</v>
      </c>
      <c r="EJ154" s="161">
        <f t="shared" si="243"/>
        <v>0</v>
      </c>
      <c r="EK154" s="147">
        <f t="shared" si="175"/>
        <v>0</v>
      </c>
      <c r="EL154" s="149"/>
      <c r="EN154" s="151"/>
      <c r="EO154" s="151"/>
      <c r="EP154" s="139">
        <f t="shared" si="176"/>
        <v>0</v>
      </c>
      <c r="EQ154" s="139">
        <f t="shared" si="177"/>
        <v>0</v>
      </c>
      <c r="ER154" s="139">
        <f t="shared" si="178"/>
        <v>0</v>
      </c>
      <c r="ES154" s="139">
        <f t="shared" si="179"/>
        <v>0</v>
      </c>
      <c r="ET154" s="139">
        <f t="shared" si="180"/>
        <v>0</v>
      </c>
      <c r="EU154" s="139">
        <f t="shared" si="181"/>
        <v>0</v>
      </c>
      <c r="EV154" s="139">
        <f t="shared" si="182"/>
        <v>0</v>
      </c>
      <c r="EW154" s="139">
        <f t="shared" si="183"/>
        <v>0</v>
      </c>
      <c r="EX154" s="139">
        <f t="shared" si="184"/>
        <v>0</v>
      </c>
      <c r="EY154" s="139">
        <f t="shared" si="185"/>
        <v>0</v>
      </c>
      <c r="EZ154" s="139">
        <f t="shared" si="186"/>
        <v>0</v>
      </c>
      <c r="FA154" s="139">
        <f t="shared" si="187"/>
        <v>0</v>
      </c>
      <c r="FB154" s="139">
        <f t="shared" si="188"/>
        <v>0</v>
      </c>
      <c r="FC154" s="139">
        <f t="shared" si="189"/>
        <v>0</v>
      </c>
      <c r="FD154" s="139">
        <f t="shared" si="190"/>
        <v>0</v>
      </c>
      <c r="FE154" s="139">
        <f t="shared" si="191"/>
        <v>0</v>
      </c>
      <c r="FF154" s="139">
        <f t="shared" si="192"/>
        <v>0</v>
      </c>
      <c r="FG154" s="139">
        <f t="shared" si="193"/>
        <v>0</v>
      </c>
      <c r="FH154" s="139">
        <f t="shared" si="194"/>
        <v>0</v>
      </c>
      <c r="FI154" s="139">
        <f t="shared" si="195"/>
        <v>0</v>
      </c>
      <c r="FJ154" s="139">
        <f t="shared" si="196"/>
        <v>0</v>
      </c>
      <c r="FK154" s="139">
        <f t="shared" si="197"/>
        <v>0</v>
      </c>
      <c r="FL154" s="139">
        <f t="shared" si="198"/>
        <v>0</v>
      </c>
      <c r="FM154" s="139">
        <f t="shared" si="199"/>
        <v>0</v>
      </c>
      <c r="FN154" s="139">
        <f t="shared" si="200"/>
        <v>0</v>
      </c>
      <c r="FO154" s="139">
        <f t="shared" si="201"/>
        <v>0</v>
      </c>
      <c r="FP154" s="139">
        <f t="shared" si="202"/>
        <v>0</v>
      </c>
      <c r="FQ154" s="139">
        <f t="shared" si="203"/>
        <v>0</v>
      </c>
      <c r="FR154" s="139">
        <f t="shared" si="204"/>
        <v>0</v>
      </c>
      <c r="FS154" s="139">
        <f t="shared" si="205"/>
        <v>0</v>
      </c>
      <c r="FT154" s="139">
        <f t="shared" si="206"/>
        <v>0</v>
      </c>
      <c r="FU154" s="148">
        <f t="shared" si="207"/>
        <v>0</v>
      </c>
      <c r="FV154" s="149"/>
      <c r="FY154" s="211">
        <v>149</v>
      </c>
      <c r="FZ154">
        <v>17.405986944382459</v>
      </c>
      <c r="GA154">
        <v>14.049122836885291</v>
      </c>
      <c r="GB154">
        <v>4.4317818902519495</v>
      </c>
      <c r="GC154">
        <v>3.1222420954622523</v>
      </c>
      <c r="GD154">
        <v>1.4242339615431394</v>
      </c>
      <c r="GE154">
        <v>1.4634022939368772</v>
      </c>
      <c r="GF154">
        <v>1.2627066875430251</v>
      </c>
      <c r="GG154">
        <v>1.7516114509397644</v>
      </c>
      <c r="GH154">
        <v>5.0153934061006824</v>
      </c>
      <c r="GI154">
        <v>5.5046456734500309</v>
      </c>
      <c r="GJ154"/>
      <c r="GK154">
        <v>17.452135639866381</v>
      </c>
      <c r="GL154">
        <v>11.907280262830016</v>
      </c>
      <c r="GM154">
        <v>7.3395807505417983</v>
      </c>
      <c r="GN154">
        <v>9.3118619107432394</v>
      </c>
      <c r="GO154">
        <v>5.5418885001097706</v>
      </c>
      <c r="GP154">
        <v>2.8016853543743081</v>
      </c>
      <c r="GQ154">
        <v>1.5473153180354264</v>
      </c>
      <c r="GR154">
        <v>2.4651393921095006</v>
      </c>
      <c r="GS154">
        <v>5.3480213898180438</v>
      </c>
      <c r="GT154">
        <v>7.4457883196742829</v>
      </c>
      <c r="GU154"/>
      <c r="GV154"/>
      <c r="GW154"/>
      <c r="GX154"/>
      <c r="GY154"/>
      <c r="GZ154"/>
      <c r="HA154"/>
      <c r="HB154"/>
      <c r="HC154"/>
    </row>
    <row r="155" spans="1:211" s="7" customFormat="1">
      <c r="A155" s="77"/>
      <c r="B155" s="76">
        <f t="shared" ca="1" si="172"/>
        <v>0.35048723703125906</v>
      </c>
      <c r="C155">
        <v>4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79.438818375918942</v>
      </c>
      <c r="AO155">
        <v>9.5128323837783633</v>
      </c>
      <c r="AP155">
        <v>54.295981515907044</v>
      </c>
      <c r="AQ155">
        <v>70.316163337538327</v>
      </c>
      <c r="AR155">
        <v>9.9292035326577146</v>
      </c>
      <c r="AS155">
        <v>58.781573976359617</v>
      </c>
      <c r="AT155" t="e">
        <v>#DIV/0!</v>
      </c>
      <c r="AU155" t="e">
        <v>#DIV/0!</v>
      </c>
      <c r="AV155"/>
      <c r="AW155"/>
      <c r="AX155" s="151"/>
      <c r="AY155" s="76">
        <f t="shared" ca="1" si="173"/>
        <v>0.98367571350566063</v>
      </c>
      <c r="AZ155">
        <v>8</v>
      </c>
      <c r="BA155" s="129">
        <f t="shared" si="171"/>
        <v>39847</v>
      </c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8"/>
        <v>0.52693735171481615</v>
      </c>
      <c r="CL155" s="179">
        <f t="shared" si="209"/>
        <v>8</v>
      </c>
      <c r="CM155" s="180">
        <f t="shared" si="210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11"/>
        <v>9.6000000000000002E-2</v>
      </c>
      <c r="DB155" s="151"/>
      <c r="DC155" s="76">
        <f t="shared" ca="1" si="174"/>
        <v>0.76062212648455696</v>
      </c>
      <c r="DD155">
        <f t="shared" si="212"/>
        <v>8</v>
      </c>
      <c r="DE155" s="129">
        <f t="shared" si="170"/>
        <v>39847</v>
      </c>
      <c r="DF155" s="161">
        <f t="shared" si="213"/>
        <v>0</v>
      </c>
      <c r="DG155" s="161">
        <f t="shared" si="214"/>
        <v>0</v>
      </c>
      <c r="DH155" s="161">
        <f t="shared" si="215"/>
        <v>0</v>
      </c>
      <c r="DI155" s="161">
        <f t="shared" si="216"/>
        <v>0</v>
      </c>
      <c r="DJ155" s="161">
        <f t="shared" si="217"/>
        <v>0</v>
      </c>
      <c r="DK155" s="161">
        <f t="shared" si="218"/>
        <v>0</v>
      </c>
      <c r="DL155" s="161">
        <f t="shared" si="219"/>
        <v>0</v>
      </c>
      <c r="DM155" s="161">
        <f t="shared" si="220"/>
        <v>0</v>
      </c>
      <c r="DN155" s="161">
        <f t="shared" si="221"/>
        <v>0</v>
      </c>
      <c r="DO155" s="161">
        <f t="shared" si="222"/>
        <v>0</v>
      </c>
      <c r="DP155" s="161">
        <f t="shared" si="223"/>
        <v>0</v>
      </c>
      <c r="DQ155" s="161">
        <f t="shared" si="224"/>
        <v>0</v>
      </c>
      <c r="DR155" s="161">
        <f t="shared" si="225"/>
        <v>0</v>
      </c>
      <c r="DS155" s="161">
        <f t="shared" si="226"/>
        <v>0</v>
      </c>
      <c r="DT155" s="161">
        <f t="shared" si="227"/>
        <v>0</v>
      </c>
      <c r="DU155" s="161">
        <f t="shared" si="228"/>
        <v>0</v>
      </c>
      <c r="DV155" s="161">
        <f t="shared" si="229"/>
        <v>0</v>
      </c>
      <c r="DW155" s="161">
        <f t="shared" si="230"/>
        <v>0</v>
      </c>
      <c r="DX155" s="161">
        <f t="shared" si="231"/>
        <v>0</v>
      </c>
      <c r="DY155" s="161">
        <f t="shared" si="232"/>
        <v>0</v>
      </c>
      <c r="DZ155" s="161">
        <f t="shared" si="233"/>
        <v>0</v>
      </c>
      <c r="EA155" s="161">
        <f t="shared" si="234"/>
        <v>0</v>
      </c>
      <c r="EB155" s="161">
        <f t="shared" si="235"/>
        <v>0</v>
      </c>
      <c r="EC155" s="161">
        <f t="shared" si="236"/>
        <v>0</v>
      </c>
      <c r="ED155" s="161">
        <f t="shared" si="237"/>
        <v>0</v>
      </c>
      <c r="EE155" s="161">
        <f t="shared" si="238"/>
        <v>0</v>
      </c>
      <c r="EF155" s="161">
        <f t="shared" si="239"/>
        <v>0</v>
      </c>
      <c r="EG155" s="161">
        <f t="shared" si="240"/>
        <v>0</v>
      </c>
      <c r="EH155" s="161">
        <f t="shared" si="241"/>
        <v>0</v>
      </c>
      <c r="EI155" s="161">
        <f t="shared" si="242"/>
        <v>0</v>
      </c>
      <c r="EJ155" s="161">
        <f t="shared" si="243"/>
        <v>0</v>
      </c>
      <c r="EK155" s="147">
        <f t="shared" si="175"/>
        <v>0</v>
      </c>
      <c r="EL155" s="149"/>
      <c r="EN155" s="151"/>
      <c r="EO155" s="151"/>
      <c r="EP155" s="139">
        <f t="shared" si="176"/>
        <v>0</v>
      </c>
      <c r="EQ155" s="139">
        <f t="shared" si="177"/>
        <v>0</v>
      </c>
      <c r="ER155" s="139">
        <f t="shared" si="178"/>
        <v>0</v>
      </c>
      <c r="ES155" s="139">
        <f t="shared" si="179"/>
        <v>0</v>
      </c>
      <c r="ET155" s="139">
        <f t="shared" si="180"/>
        <v>0</v>
      </c>
      <c r="EU155" s="139">
        <f t="shared" si="181"/>
        <v>0</v>
      </c>
      <c r="EV155" s="139">
        <f t="shared" si="182"/>
        <v>0</v>
      </c>
      <c r="EW155" s="139">
        <f t="shared" si="183"/>
        <v>0</v>
      </c>
      <c r="EX155" s="139">
        <f t="shared" si="184"/>
        <v>0</v>
      </c>
      <c r="EY155" s="139">
        <f t="shared" si="185"/>
        <v>0</v>
      </c>
      <c r="EZ155" s="139">
        <f t="shared" si="186"/>
        <v>0</v>
      </c>
      <c r="FA155" s="139">
        <f t="shared" si="187"/>
        <v>0</v>
      </c>
      <c r="FB155" s="139">
        <f t="shared" si="188"/>
        <v>0</v>
      </c>
      <c r="FC155" s="139">
        <f t="shared" si="189"/>
        <v>0</v>
      </c>
      <c r="FD155" s="139">
        <f t="shared" si="190"/>
        <v>0</v>
      </c>
      <c r="FE155" s="139">
        <f t="shared" si="191"/>
        <v>0</v>
      </c>
      <c r="FF155" s="139">
        <f t="shared" si="192"/>
        <v>0</v>
      </c>
      <c r="FG155" s="139">
        <f t="shared" si="193"/>
        <v>0</v>
      </c>
      <c r="FH155" s="139">
        <f t="shared" si="194"/>
        <v>0</v>
      </c>
      <c r="FI155" s="139">
        <f t="shared" si="195"/>
        <v>0</v>
      </c>
      <c r="FJ155" s="139">
        <f t="shared" si="196"/>
        <v>0</v>
      </c>
      <c r="FK155" s="139">
        <f t="shared" si="197"/>
        <v>0</v>
      </c>
      <c r="FL155" s="139">
        <f t="shared" si="198"/>
        <v>0</v>
      </c>
      <c r="FM155" s="139">
        <f t="shared" si="199"/>
        <v>0</v>
      </c>
      <c r="FN155" s="139">
        <f t="shared" si="200"/>
        <v>0</v>
      </c>
      <c r="FO155" s="139">
        <f t="shared" si="201"/>
        <v>0</v>
      </c>
      <c r="FP155" s="139">
        <f t="shared" si="202"/>
        <v>0</v>
      </c>
      <c r="FQ155" s="139">
        <f t="shared" si="203"/>
        <v>0</v>
      </c>
      <c r="FR155" s="139">
        <f t="shared" si="204"/>
        <v>0</v>
      </c>
      <c r="FS155" s="139">
        <f t="shared" si="205"/>
        <v>0</v>
      </c>
      <c r="FT155" s="139">
        <f t="shared" si="206"/>
        <v>0</v>
      </c>
      <c r="FU155" s="148">
        <f t="shared" si="207"/>
        <v>0</v>
      </c>
      <c r="FV155" s="149"/>
      <c r="FY155" s="211">
        <v>150</v>
      </c>
      <c r="FZ155">
        <v>18.730609681215221</v>
      </c>
      <c r="GA155">
        <v>18.029620476446151</v>
      </c>
      <c r="GB155">
        <v>6.1949030251435326</v>
      </c>
      <c r="GC155">
        <v>3.6362976995211764</v>
      </c>
      <c r="GD155">
        <v>2.2214003179331967</v>
      </c>
      <c r="GE155">
        <v>2.7392276392309949</v>
      </c>
      <c r="GF155">
        <v>5.5254261562500004E-2</v>
      </c>
      <c r="GG155">
        <v>0.37419152604166667</v>
      </c>
      <c r="GH155">
        <v>4.7615379876722459</v>
      </c>
      <c r="GI155">
        <v>6.3354021711507276</v>
      </c>
      <c r="GJ155"/>
      <c r="GK155">
        <v>18.782303143146269</v>
      </c>
      <c r="GL155">
        <v>15.276623564734749</v>
      </c>
      <c r="GM155">
        <v>10.341544747388696</v>
      </c>
      <c r="GN155">
        <v>10.958711809063786</v>
      </c>
      <c r="GO155">
        <v>8.6224999838847012</v>
      </c>
      <c r="GP155">
        <v>5.2442544274580873</v>
      </c>
      <c r="GQ155">
        <v>6.7708333333333329E-2</v>
      </c>
      <c r="GR155">
        <v>0.52662037037037035</v>
      </c>
      <c r="GS155">
        <v>5.0780860581869582</v>
      </c>
      <c r="GT155">
        <v>8.5784284531879926</v>
      </c>
      <c r="GU155"/>
      <c r="GV155"/>
      <c r="GW155"/>
      <c r="GX155"/>
      <c r="GY155"/>
      <c r="GZ155"/>
      <c r="HA155"/>
      <c r="HB155"/>
      <c r="HC155"/>
    </row>
    <row r="156" spans="1:211" s="7" customFormat="1">
      <c r="A156" s="77"/>
      <c r="B156" s="76">
        <f t="shared" ca="1" si="172"/>
        <v>0.8030652930628559</v>
      </c>
      <c r="C156">
        <v>9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57.155918425089183</v>
      </c>
      <c r="AO156">
        <v>6.7922196982766563</v>
      </c>
      <c r="AP156">
        <v>46.65732422881289</v>
      </c>
      <c r="AQ156">
        <v>51.376572466057269</v>
      </c>
      <c r="AR156">
        <v>6.8834539920851388</v>
      </c>
      <c r="AS156">
        <v>43.355891757214074</v>
      </c>
      <c r="AT156" t="e">
        <v>#DIV/0!</v>
      </c>
      <c r="AU156" t="e">
        <v>#DIV/0!</v>
      </c>
      <c r="AV156"/>
      <c r="AW156"/>
      <c r="AX156" s="151"/>
      <c r="AY156" s="76">
        <f t="shared" ca="1" si="173"/>
        <v>0.93293207434853564</v>
      </c>
      <c r="AZ156">
        <v>9</v>
      </c>
      <c r="BA156" s="129">
        <f t="shared" si="171"/>
        <v>39847</v>
      </c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8"/>
        <v>0.22054231229746879</v>
      </c>
      <c r="CL156" s="179">
        <f t="shared" si="209"/>
        <v>9</v>
      </c>
      <c r="CM156" s="180">
        <f t="shared" si="210"/>
        <v>39847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11"/>
        <v>9.6000000000000002E-2</v>
      </c>
      <c r="DB156" s="151"/>
      <c r="DC156" s="76">
        <f t="shared" ca="1" si="174"/>
        <v>0.70207576108597625</v>
      </c>
      <c r="DD156">
        <f t="shared" si="212"/>
        <v>9</v>
      </c>
      <c r="DE156" s="129">
        <f t="shared" si="170"/>
        <v>39847</v>
      </c>
      <c r="DF156" s="161">
        <f t="shared" si="213"/>
        <v>0</v>
      </c>
      <c r="DG156" s="161">
        <f t="shared" si="214"/>
        <v>0</v>
      </c>
      <c r="DH156" s="161">
        <f t="shared" si="215"/>
        <v>0</v>
      </c>
      <c r="DI156" s="161">
        <f t="shared" si="216"/>
        <v>0</v>
      </c>
      <c r="DJ156" s="161">
        <f t="shared" si="217"/>
        <v>0</v>
      </c>
      <c r="DK156" s="161">
        <f t="shared" si="218"/>
        <v>0</v>
      </c>
      <c r="DL156" s="161">
        <f t="shared" si="219"/>
        <v>0</v>
      </c>
      <c r="DM156" s="161">
        <f t="shared" si="220"/>
        <v>0</v>
      </c>
      <c r="DN156" s="161">
        <f t="shared" si="221"/>
        <v>0</v>
      </c>
      <c r="DO156" s="161">
        <f t="shared" si="222"/>
        <v>0</v>
      </c>
      <c r="DP156" s="161">
        <f t="shared" si="223"/>
        <v>0</v>
      </c>
      <c r="DQ156" s="161">
        <f t="shared" si="224"/>
        <v>0</v>
      </c>
      <c r="DR156" s="161">
        <f t="shared" si="225"/>
        <v>0</v>
      </c>
      <c r="DS156" s="161">
        <f t="shared" si="226"/>
        <v>0</v>
      </c>
      <c r="DT156" s="161">
        <f t="shared" si="227"/>
        <v>0</v>
      </c>
      <c r="DU156" s="161">
        <f t="shared" si="228"/>
        <v>0</v>
      </c>
      <c r="DV156" s="161">
        <f t="shared" si="229"/>
        <v>0</v>
      </c>
      <c r="DW156" s="161">
        <f t="shared" si="230"/>
        <v>0</v>
      </c>
      <c r="DX156" s="161">
        <f t="shared" si="231"/>
        <v>0</v>
      </c>
      <c r="DY156" s="161">
        <f t="shared" si="232"/>
        <v>0</v>
      </c>
      <c r="DZ156" s="161">
        <f t="shared" si="233"/>
        <v>0</v>
      </c>
      <c r="EA156" s="161">
        <f t="shared" si="234"/>
        <v>0</v>
      </c>
      <c r="EB156" s="161">
        <f t="shared" si="235"/>
        <v>0</v>
      </c>
      <c r="EC156" s="161">
        <f t="shared" si="236"/>
        <v>0</v>
      </c>
      <c r="ED156" s="161">
        <f t="shared" si="237"/>
        <v>0</v>
      </c>
      <c r="EE156" s="161">
        <f t="shared" si="238"/>
        <v>0</v>
      </c>
      <c r="EF156" s="161">
        <f t="shared" si="239"/>
        <v>0</v>
      </c>
      <c r="EG156" s="161">
        <f t="shared" si="240"/>
        <v>0</v>
      </c>
      <c r="EH156" s="161">
        <f t="shared" si="241"/>
        <v>0</v>
      </c>
      <c r="EI156" s="161">
        <f t="shared" si="242"/>
        <v>0</v>
      </c>
      <c r="EJ156" s="161">
        <f t="shared" si="243"/>
        <v>0</v>
      </c>
      <c r="EK156" s="147">
        <f t="shared" si="175"/>
        <v>0</v>
      </c>
      <c r="EL156" s="149"/>
      <c r="EN156" s="151"/>
      <c r="EO156" s="151"/>
      <c r="EP156" s="139">
        <f t="shared" si="176"/>
        <v>0</v>
      </c>
      <c r="EQ156" s="139">
        <f t="shared" si="177"/>
        <v>0</v>
      </c>
      <c r="ER156" s="139">
        <f t="shared" si="178"/>
        <v>0</v>
      </c>
      <c r="ES156" s="139">
        <f t="shared" si="179"/>
        <v>0</v>
      </c>
      <c r="ET156" s="139">
        <f t="shared" si="180"/>
        <v>0</v>
      </c>
      <c r="EU156" s="139">
        <f t="shared" si="181"/>
        <v>0</v>
      </c>
      <c r="EV156" s="139">
        <f t="shared" si="182"/>
        <v>0</v>
      </c>
      <c r="EW156" s="139">
        <f t="shared" si="183"/>
        <v>0</v>
      </c>
      <c r="EX156" s="139">
        <f t="shared" si="184"/>
        <v>0</v>
      </c>
      <c r="EY156" s="139">
        <f t="shared" si="185"/>
        <v>0</v>
      </c>
      <c r="EZ156" s="139">
        <f t="shared" si="186"/>
        <v>0</v>
      </c>
      <c r="FA156" s="139">
        <f t="shared" si="187"/>
        <v>0</v>
      </c>
      <c r="FB156" s="139">
        <f t="shared" si="188"/>
        <v>0</v>
      </c>
      <c r="FC156" s="139">
        <f t="shared" si="189"/>
        <v>0</v>
      </c>
      <c r="FD156" s="139">
        <f t="shared" si="190"/>
        <v>0</v>
      </c>
      <c r="FE156" s="139">
        <f t="shared" si="191"/>
        <v>0</v>
      </c>
      <c r="FF156" s="139">
        <f t="shared" si="192"/>
        <v>0</v>
      </c>
      <c r="FG156" s="139">
        <f t="shared" si="193"/>
        <v>0</v>
      </c>
      <c r="FH156" s="139">
        <f t="shared" si="194"/>
        <v>0</v>
      </c>
      <c r="FI156" s="139">
        <f t="shared" si="195"/>
        <v>0</v>
      </c>
      <c r="FJ156" s="139">
        <f t="shared" si="196"/>
        <v>0</v>
      </c>
      <c r="FK156" s="139">
        <f t="shared" si="197"/>
        <v>0</v>
      </c>
      <c r="FL156" s="139">
        <f t="shared" si="198"/>
        <v>0</v>
      </c>
      <c r="FM156" s="139">
        <f t="shared" si="199"/>
        <v>0</v>
      </c>
      <c r="FN156" s="139">
        <f t="shared" si="200"/>
        <v>0</v>
      </c>
      <c r="FO156" s="139">
        <f t="shared" si="201"/>
        <v>0</v>
      </c>
      <c r="FP156" s="139">
        <f t="shared" si="202"/>
        <v>0</v>
      </c>
      <c r="FQ156" s="139">
        <f t="shared" si="203"/>
        <v>0</v>
      </c>
      <c r="FR156" s="139">
        <f t="shared" si="204"/>
        <v>0</v>
      </c>
      <c r="FS156" s="139">
        <f t="shared" si="205"/>
        <v>0</v>
      </c>
      <c r="FT156" s="139">
        <f t="shared" si="206"/>
        <v>0</v>
      </c>
      <c r="FU156" s="148">
        <f t="shared" si="207"/>
        <v>0</v>
      </c>
      <c r="FV156" s="149"/>
      <c r="FY156" s="211">
        <v>151</v>
      </c>
      <c r="FZ156">
        <v>7.0820050841085909</v>
      </c>
      <c r="GA156">
        <v>4.6180852056177226</v>
      </c>
      <c r="GB156">
        <v>7.0730438633688806</v>
      </c>
      <c r="GC156">
        <v>3.5679471153917728</v>
      </c>
      <c r="GD156">
        <v>2.1835276436673032</v>
      </c>
      <c r="GE156">
        <v>3.6607503951680678</v>
      </c>
      <c r="GF156">
        <v>2.5410113619935069</v>
      </c>
      <c r="GG156">
        <v>2.0676729991572205</v>
      </c>
      <c r="GH156">
        <v>5.4136231014031093</v>
      </c>
      <c r="GI156">
        <v>5.3570993774325455</v>
      </c>
      <c r="GJ156"/>
      <c r="GK156">
        <v>7.1258043157306732</v>
      </c>
      <c r="GL156">
        <v>3.9121201614181902</v>
      </c>
      <c r="GM156">
        <v>11.832251420284278</v>
      </c>
      <c r="GN156">
        <v>10.798919225983852</v>
      </c>
      <c r="GO156">
        <v>8.465423757797673</v>
      </c>
      <c r="GP156">
        <v>7.0085107906799085</v>
      </c>
      <c r="GQ156">
        <v>3.1114293454344271</v>
      </c>
      <c r="GR156">
        <v>2.9083043454344271</v>
      </c>
      <c r="GS156">
        <v>5.7713224708670419</v>
      </c>
      <c r="GT156">
        <v>7.2612462620228184</v>
      </c>
      <c r="GU156"/>
      <c r="GV156"/>
      <c r="GW156"/>
      <c r="GX156"/>
      <c r="GY156"/>
      <c r="GZ156"/>
      <c r="HA156"/>
      <c r="HB156"/>
      <c r="HC156"/>
    </row>
    <row r="157" spans="1:211" s="7" customFormat="1">
      <c r="A157" s="77"/>
      <c r="B157" s="76">
        <f t="shared" ca="1" si="172"/>
        <v>0.82988189653957134</v>
      </c>
      <c r="C157">
        <v>1</v>
      </c>
      <c r="D157">
        <v>39847</v>
      </c>
      <c r="E157">
        <v>0</v>
      </c>
      <c r="F157">
        <v>10.416666666666666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54.468925884874672</v>
      </c>
      <c r="AO157">
        <v>6.6746163755786441</v>
      </c>
      <c r="AP157">
        <v>21.234427572220994</v>
      </c>
      <c r="AQ157">
        <v>49.92664344799168</v>
      </c>
      <c r="AR157">
        <v>7.2173062797840046</v>
      </c>
      <c r="AS157">
        <v>47.045236423779841</v>
      </c>
      <c r="AT157" t="e">
        <v>#DIV/0!</v>
      </c>
      <c r="AU157" t="e">
        <v>#DIV/0!</v>
      </c>
      <c r="AV157"/>
      <c r="AW157"/>
      <c r="AX157" s="151"/>
      <c r="AY157" s="76">
        <f t="shared" ca="1" si="173"/>
        <v>0.4076751790921278</v>
      </c>
      <c r="AZ157">
        <v>10</v>
      </c>
      <c r="BA157" s="129">
        <f t="shared" si="171"/>
        <v>39847</v>
      </c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8"/>
        <v>0.54645499129241326</v>
      </c>
      <c r="CL157" s="179">
        <f t="shared" si="209"/>
        <v>10</v>
      </c>
      <c r="CM157" s="180">
        <f t="shared" si="210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11"/>
        <v>9.6000000000000002E-2</v>
      </c>
      <c r="DB157" s="151"/>
      <c r="DC157" s="76">
        <f t="shared" ca="1" si="174"/>
        <v>1.7757858666684889E-2</v>
      </c>
      <c r="DD157">
        <f t="shared" si="212"/>
        <v>10</v>
      </c>
      <c r="DE157" s="129">
        <f t="shared" si="170"/>
        <v>39847</v>
      </c>
      <c r="DF157" s="161">
        <f t="shared" si="213"/>
        <v>0</v>
      </c>
      <c r="DG157" s="161">
        <f t="shared" si="214"/>
        <v>0</v>
      </c>
      <c r="DH157" s="161">
        <f t="shared" si="215"/>
        <v>0</v>
      </c>
      <c r="DI157" s="161">
        <f t="shared" si="216"/>
        <v>0</v>
      </c>
      <c r="DJ157" s="161">
        <f t="shared" si="217"/>
        <v>0</v>
      </c>
      <c r="DK157" s="161">
        <f t="shared" si="218"/>
        <v>0</v>
      </c>
      <c r="DL157" s="161">
        <f t="shared" si="219"/>
        <v>0</v>
      </c>
      <c r="DM157" s="161">
        <f t="shared" si="220"/>
        <v>0</v>
      </c>
      <c r="DN157" s="161">
        <f t="shared" si="221"/>
        <v>0</v>
      </c>
      <c r="DO157" s="161">
        <f t="shared" si="222"/>
        <v>0</v>
      </c>
      <c r="DP157" s="161">
        <f t="shared" si="223"/>
        <v>0</v>
      </c>
      <c r="DQ157" s="161">
        <f t="shared" si="224"/>
        <v>0</v>
      </c>
      <c r="DR157" s="161">
        <f t="shared" si="225"/>
        <v>0</v>
      </c>
      <c r="DS157" s="161">
        <f t="shared" si="226"/>
        <v>0</v>
      </c>
      <c r="DT157" s="161">
        <f t="shared" si="227"/>
        <v>0</v>
      </c>
      <c r="DU157" s="161">
        <f t="shared" si="228"/>
        <v>0</v>
      </c>
      <c r="DV157" s="161">
        <f t="shared" si="229"/>
        <v>0</v>
      </c>
      <c r="DW157" s="161">
        <f t="shared" si="230"/>
        <v>0</v>
      </c>
      <c r="DX157" s="161">
        <f t="shared" si="231"/>
        <v>0</v>
      </c>
      <c r="DY157" s="161">
        <f t="shared" si="232"/>
        <v>0</v>
      </c>
      <c r="DZ157" s="161">
        <f t="shared" si="233"/>
        <v>0</v>
      </c>
      <c r="EA157" s="161">
        <f t="shared" si="234"/>
        <v>0</v>
      </c>
      <c r="EB157" s="161">
        <f t="shared" si="235"/>
        <v>0</v>
      </c>
      <c r="EC157" s="161">
        <f t="shared" si="236"/>
        <v>0</v>
      </c>
      <c r="ED157" s="161">
        <f t="shared" si="237"/>
        <v>0</v>
      </c>
      <c r="EE157" s="161">
        <f t="shared" si="238"/>
        <v>0</v>
      </c>
      <c r="EF157" s="161">
        <f t="shared" si="239"/>
        <v>0</v>
      </c>
      <c r="EG157" s="161">
        <f t="shared" si="240"/>
        <v>0</v>
      </c>
      <c r="EH157" s="161">
        <f t="shared" si="241"/>
        <v>0</v>
      </c>
      <c r="EI157" s="161">
        <f t="shared" si="242"/>
        <v>0</v>
      </c>
      <c r="EJ157" s="161">
        <f t="shared" si="243"/>
        <v>0</v>
      </c>
      <c r="EK157" s="147">
        <f t="shared" si="175"/>
        <v>0</v>
      </c>
      <c r="EL157" s="149"/>
      <c r="EN157" s="151"/>
      <c r="EO157" s="151"/>
      <c r="EP157" s="139">
        <f t="shared" si="176"/>
        <v>0</v>
      </c>
      <c r="EQ157" s="139">
        <f t="shared" si="177"/>
        <v>0</v>
      </c>
      <c r="ER157" s="139">
        <f t="shared" si="178"/>
        <v>0</v>
      </c>
      <c r="ES157" s="139">
        <f t="shared" si="179"/>
        <v>0</v>
      </c>
      <c r="ET157" s="139">
        <f t="shared" si="180"/>
        <v>0</v>
      </c>
      <c r="EU157" s="139">
        <f t="shared" si="181"/>
        <v>0</v>
      </c>
      <c r="EV157" s="139">
        <f t="shared" si="182"/>
        <v>0</v>
      </c>
      <c r="EW157" s="139">
        <f t="shared" si="183"/>
        <v>0</v>
      </c>
      <c r="EX157" s="139">
        <f t="shared" si="184"/>
        <v>0</v>
      </c>
      <c r="EY157" s="139">
        <f t="shared" si="185"/>
        <v>0</v>
      </c>
      <c r="EZ157" s="139">
        <f t="shared" si="186"/>
        <v>0</v>
      </c>
      <c r="FA157" s="139">
        <f t="shared" si="187"/>
        <v>0</v>
      </c>
      <c r="FB157" s="139">
        <f t="shared" si="188"/>
        <v>0</v>
      </c>
      <c r="FC157" s="139">
        <f t="shared" si="189"/>
        <v>0</v>
      </c>
      <c r="FD157" s="139">
        <f t="shared" si="190"/>
        <v>0</v>
      </c>
      <c r="FE157" s="139">
        <f t="shared" si="191"/>
        <v>0</v>
      </c>
      <c r="FF157" s="139">
        <f t="shared" si="192"/>
        <v>0</v>
      </c>
      <c r="FG157" s="139">
        <f t="shared" si="193"/>
        <v>0</v>
      </c>
      <c r="FH157" s="139">
        <f t="shared" si="194"/>
        <v>0</v>
      </c>
      <c r="FI157" s="139">
        <f t="shared" si="195"/>
        <v>0</v>
      </c>
      <c r="FJ157" s="139">
        <f t="shared" si="196"/>
        <v>0</v>
      </c>
      <c r="FK157" s="139">
        <f t="shared" si="197"/>
        <v>0</v>
      </c>
      <c r="FL157" s="139">
        <f t="shared" si="198"/>
        <v>0</v>
      </c>
      <c r="FM157" s="139">
        <f t="shared" si="199"/>
        <v>0</v>
      </c>
      <c r="FN157" s="139">
        <f t="shared" si="200"/>
        <v>0</v>
      </c>
      <c r="FO157" s="139">
        <f t="shared" si="201"/>
        <v>0</v>
      </c>
      <c r="FP157" s="139">
        <f t="shared" si="202"/>
        <v>0</v>
      </c>
      <c r="FQ157" s="139">
        <f t="shared" si="203"/>
        <v>0</v>
      </c>
      <c r="FR157" s="139">
        <f t="shared" si="204"/>
        <v>0</v>
      </c>
      <c r="FS157" s="139">
        <f t="shared" si="205"/>
        <v>0</v>
      </c>
      <c r="FT157" s="139">
        <f t="shared" si="206"/>
        <v>0</v>
      </c>
      <c r="FU157" s="148">
        <f t="shared" si="207"/>
        <v>0</v>
      </c>
      <c r="FV157" s="149"/>
      <c r="FY157" s="211">
        <v>152</v>
      </c>
      <c r="FZ157">
        <v>14.545763607553052</v>
      </c>
      <c r="GA157">
        <v>14.253739596055441</v>
      </c>
      <c r="GB157">
        <v>5.4678643034538386</v>
      </c>
      <c r="GC157">
        <v>2.1406423015376834</v>
      </c>
      <c r="GD157">
        <v>1.2770981999358699</v>
      </c>
      <c r="GE157">
        <v>2.1100956882225912</v>
      </c>
      <c r="GF157">
        <v>4.1215782064749344</v>
      </c>
      <c r="GG157">
        <v>3.5867902423942812</v>
      </c>
      <c r="GH157">
        <v>4.661796137669513</v>
      </c>
      <c r="GI157">
        <v>5.7106648755215277</v>
      </c>
      <c r="GJ157"/>
      <c r="GK157">
        <v>14.592046000541975</v>
      </c>
      <c r="GL157">
        <v>12.075407343714547</v>
      </c>
      <c r="GM157">
        <v>9.052205804870006</v>
      </c>
      <c r="GN157">
        <v>6.3753958628656511</v>
      </c>
      <c r="GO157">
        <v>4.9596794640840685</v>
      </c>
      <c r="GP157">
        <v>4.0397805924695458</v>
      </c>
      <c r="GQ157">
        <v>5.0413041369712035</v>
      </c>
      <c r="GR157">
        <v>5.0413041369712035</v>
      </c>
      <c r="GS157">
        <v>4.9704465242365732</v>
      </c>
      <c r="GT157">
        <v>7.7231363861407658</v>
      </c>
      <c r="GU157"/>
      <c r="GV157"/>
      <c r="GW157"/>
      <c r="GX157"/>
      <c r="GY157"/>
      <c r="GZ157"/>
      <c r="HA157"/>
      <c r="HB157"/>
      <c r="HC157"/>
    </row>
    <row r="158" spans="1:211" s="7" customFormat="1">
      <c r="A158" s="128"/>
      <c r="B158" s="76">
        <f t="shared" ca="1" si="172"/>
        <v>0.2368274984944243</v>
      </c>
      <c r="C158">
        <v>8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70.587800959497145</v>
      </c>
      <c r="AO158">
        <v>8.0122101012944462</v>
      </c>
      <c r="AP158">
        <v>68.411727468864086</v>
      </c>
      <c r="AQ158">
        <v>62.674171538544911</v>
      </c>
      <c r="AR158">
        <v>8.4882878208136301</v>
      </c>
      <c r="AS158">
        <v>51.867120059038861</v>
      </c>
      <c r="AT158" t="e">
        <v>#DIV/0!</v>
      </c>
      <c r="AU158" t="e">
        <v>#DIV/0!</v>
      </c>
      <c r="AV158"/>
      <c r="AW158"/>
      <c r="AX158" s="128"/>
      <c r="AY158" s="76">
        <f t="shared" ca="1" si="173"/>
        <v>0.86349348344303634</v>
      </c>
      <c r="AZ158">
        <v>1</v>
      </c>
      <c r="BA158" s="129">
        <f>IF(AZ158="", "",$C$11)</f>
        <v>39910</v>
      </c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8"/>
        <v>0.75929720844356119</v>
      </c>
      <c r="CL158" s="179">
        <f t="shared" si="209"/>
        <v>1</v>
      </c>
      <c r="CM158" s="180">
        <f t="shared" si="210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11"/>
        <v>9.6000000000000002E-2</v>
      </c>
      <c r="DB158" s="128"/>
      <c r="DC158" s="76">
        <f t="shared" ca="1" si="174"/>
        <v>0.30479500006578641</v>
      </c>
      <c r="DD158">
        <f t="shared" si="212"/>
        <v>1</v>
      </c>
      <c r="DE158" s="129">
        <f t="shared" ref="DE158:DE167" si="244">IF((DD158)="", "", $C$11)</f>
        <v>39910</v>
      </c>
      <c r="DF158" s="161">
        <f t="shared" si="213"/>
        <v>0</v>
      </c>
      <c r="DG158" s="161">
        <f t="shared" si="214"/>
        <v>0</v>
      </c>
      <c r="DH158" s="161">
        <f t="shared" si="215"/>
        <v>0</v>
      </c>
      <c r="DI158" s="161">
        <f t="shared" si="216"/>
        <v>0</v>
      </c>
      <c r="DJ158" s="161">
        <f t="shared" si="217"/>
        <v>0</v>
      </c>
      <c r="DK158" s="161">
        <f t="shared" si="218"/>
        <v>0</v>
      </c>
      <c r="DL158" s="161">
        <f t="shared" si="219"/>
        <v>0</v>
      </c>
      <c r="DM158" s="161">
        <f t="shared" si="220"/>
        <v>0</v>
      </c>
      <c r="DN158" s="161">
        <f t="shared" si="221"/>
        <v>0</v>
      </c>
      <c r="DO158" s="161">
        <f t="shared" si="222"/>
        <v>0</v>
      </c>
      <c r="DP158" s="161">
        <f t="shared" si="223"/>
        <v>0</v>
      </c>
      <c r="DQ158" s="161">
        <f t="shared" si="224"/>
        <v>0</v>
      </c>
      <c r="DR158" s="161">
        <f t="shared" si="225"/>
        <v>0</v>
      </c>
      <c r="DS158" s="161">
        <f t="shared" si="226"/>
        <v>0</v>
      </c>
      <c r="DT158" s="161">
        <f t="shared" si="227"/>
        <v>0</v>
      </c>
      <c r="DU158" s="161">
        <f t="shared" si="228"/>
        <v>0</v>
      </c>
      <c r="DV158" s="161">
        <f t="shared" si="229"/>
        <v>0</v>
      </c>
      <c r="DW158" s="161">
        <f t="shared" si="230"/>
        <v>0</v>
      </c>
      <c r="DX158" s="161">
        <f t="shared" si="231"/>
        <v>0</v>
      </c>
      <c r="DY158" s="161">
        <f t="shared" si="232"/>
        <v>0</v>
      </c>
      <c r="DZ158" s="161">
        <f t="shared" si="233"/>
        <v>0</v>
      </c>
      <c r="EA158" s="161">
        <f t="shared" si="234"/>
        <v>0</v>
      </c>
      <c r="EB158" s="161">
        <f t="shared" si="235"/>
        <v>0</v>
      </c>
      <c r="EC158" s="161">
        <f t="shared" si="236"/>
        <v>0</v>
      </c>
      <c r="ED158" s="161">
        <f t="shared" si="237"/>
        <v>0</v>
      </c>
      <c r="EE158" s="161">
        <f t="shared" si="238"/>
        <v>0</v>
      </c>
      <c r="EF158" s="161">
        <f t="shared" si="239"/>
        <v>0</v>
      </c>
      <c r="EG158" s="161">
        <f t="shared" si="240"/>
        <v>0</v>
      </c>
      <c r="EH158" s="161">
        <f t="shared" si="241"/>
        <v>0</v>
      </c>
      <c r="EI158" s="161">
        <f t="shared" si="242"/>
        <v>0</v>
      </c>
      <c r="EJ158" s="161">
        <f t="shared" si="243"/>
        <v>0</v>
      </c>
      <c r="EK158" s="147">
        <f t="shared" si="175"/>
        <v>0</v>
      </c>
      <c r="EL158" s="149"/>
      <c r="EN158" s="146"/>
      <c r="EO158" s="146"/>
      <c r="EP158" s="139">
        <f t="shared" si="176"/>
        <v>0</v>
      </c>
      <c r="EQ158" s="139">
        <f t="shared" si="177"/>
        <v>0</v>
      </c>
      <c r="ER158" s="139">
        <f t="shared" si="178"/>
        <v>0</v>
      </c>
      <c r="ES158" s="139">
        <f t="shared" si="179"/>
        <v>0</v>
      </c>
      <c r="ET158" s="139">
        <f t="shared" si="180"/>
        <v>0</v>
      </c>
      <c r="EU158" s="139">
        <f t="shared" si="181"/>
        <v>0</v>
      </c>
      <c r="EV158" s="139">
        <f t="shared" si="182"/>
        <v>0</v>
      </c>
      <c r="EW158" s="139">
        <f t="shared" si="183"/>
        <v>0</v>
      </c>
      <c r="EX158" s="139">
        <f t="shared" si="184"/>
        <v>0</v>
      </c>
      <c r="EY158" s="139">
        <f t="shared" si="185"/>
        <v>0</v>
      </c>
      <c r="EZ158" s="139">
        <f t="shared" si="186"/>
        <v>0</v>
      </c>
      <c r="FA158" s="139">
        <f t="shared" si="187"/>
        <v>0</v>
      </c>
      <c r="FB158" s="139">
        <f t="shared" si="188"/>
        <v>0</v>
      </c>
      <c r="FC158" s="139">
        <f t="shared" si="189"/>
        <v>0</v>
      </c>
      <c r="FD158" s="139">
        <f t="shared" si="190"/>
        <v>0</v>
      </c>
      <c r="FE158" s="139">
        <f t="shared" si="191"/>
        <v>0</v>
      </c>
      <c r="FF158" s="139">
        <f t="shared" si="192"/>
        <v>0</v>
      </c>
      <c r="FG158" s="139">
        <f t="shared" si="193"/>
        <v>0</v>
      </c>
      <c r="FH158" s="139">
        <f t="shared" si="194"/>
        <v>0</v>
      </c>
      <c r="FI158" s="139">
        <f t="shared" si="195"/>
        <v>0</v>
      </c>
      <c r="FJ158" s="139">
        <f t="shared" si="196"/>
        <v>0</v>
      </c>
      <c r="FK158" s="139">
        <f t="shared" si="197"/>
        <v>0</v>
      </c>
      <c r="FL158" s="139">
        <f t="shared" si="198"/>
        <v>0</v>
      </c>
      <c r="FM158" s="139">
        <f t="shared" si="199"/>
        <v>0</v>
      </c>
      <c r="FN158" s="139">
        <f t="shared" si="200"/>
        <v>0</v>
      </c>
      <c r="FO158" s="139">
        <f t="shared" si="201"/>
        <v>0</v>
      </c>
      <c r="FP158" s="139">
        <f t="shared" si="202"/>
        <v>0</v>
      </c>
      <c r="FQ158" s="139">
        <f t="shared" si="203"/>
        <v>0</v>
      </c>
      <c r="FR158" s="139">
        <f t="shared" si="204"/>
        <v>0</v>
      </c>
      <c r="FS158" s="139">
        <f t="shared" si="205"/>
        <v>0</v>
      </c>
      <c r="FT158" s="139">
        <f t="shared" si="206"/>
        <v>0</v>
      </c>
      <c r="FU158" s="148">
        <f t="shared" si="207"/>
        <v>0</v>
      </c>
      <c r="FV158" s="149"/>
      <c r="FY158" s="211">
        <v>153</v>
      </c>
      <c r="FZ158">
        <v>14.71136684570374</v>
      </c>
      <c r="GA158">
        <v>12.922886134217325</v>
      </c>
      <c r="GB158">
        <v>8.4672854810114018</v>
      </c>
      <c r="GC158">
        <v>3.4862803645414919</v>
      </c>
      <c r="GD158">
        <v>1.1335836471525973</v>
      </c>
      <c r="GE158">
        <v>1.5409491035714287</v>
      </c>
      <c r="GF158">
        <v>1.2160929162107463</v>
      </c>
      <c r="GG158">
        <v>1.0579112179928833</v>
      </c>
      <c r="GH158">
        <v>4.1971958091381953</v>
      </c>
      <c r="GI158">
        <v>5.7895848168015762</v>
      </c>
      <c r="GJ158"/>
      <c r="GK158">
        <v>14.78190923550342</v>
      </c>
      <c r="GL158">
        <v>10.94929485172333</v>
      </c>
      <c r="GM158">
        <v>14.06216243374333</v>
      </c>
      <c r="GN158">
        <v>10.434659659767092</v>
      </c>
      <c r="GO158">
        <v>4.3944873718796691</v>
      </c>
      <c r="GP158">
        <v>2.9501488095238098</v>
      </c>
      <c r="GQ158">
        <v>1.4855650113197405</v>
      </c>
      <c r="GR158">
        <v>1.4855650113197405</v>
      </c>
      <c r="GS158">
        <v>4.4741593263189312</v>
      </c>
      <c r="GT158">
        <v>7.8396566757530177</v>
      </c>
      <c r="GU158"/>
      <c r="GV158"/>
      <c r="GW158"/>
      <c r="GX158"/>
      <c r="GY158"/>
      <c r="GZ158"/>
      <c r="HA158"/>
      <c r="HB158"/>
      <c r="HC158"/>
    </row>
    <row r="159" spans="1:211" s="7" customFormat="1">
      <c r="A159" s="1"/>
      <c r="B159" s="76">
        <f t="shared" ca="1" si="172"/>
        <v>0.34296079216418685</v>
      </c>
      <c r="C159">
        <v>1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43.688515614622013</v>
      </c>
      <c r="AO159">
        <v>5.4885128774967988</v>
      </c>
      <c r="AP159">
        <v>73.645702889284294</v>
      </c>
      <c r="AQ159">
        <v>36.929979869579775</v>
      </c>
      <c r="AR159">
        <v>5.8574097658722719</v>
      </c>
      <c r="AS159">
        <v>36.485326683254605</v>
      </c>
      <c r="AT159" t="e">
        <v>#DIV/0!</v>
      </c>
      <c r="AU159" t="e">
        <v>#DIV/0!</v>
      </c>
      <c r="AV159"/>
      <c r="AW159"/>
      <c r="AX159" s="146"/>
      <c r="AY159" s="76">
        <f t="shared" ca="1" si="173"/>
        <v>0.32671300950091497</v>
      </c>
      <c r="AZ159">
        <v>2</v>
      </c>
      <c r="BA159" s="129">
        <f t="shared" ref="BA159:BA167" si="245">IF(AZ159="", "",$C$11)</f>
        <v>39910</v>
      </c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8"/>
        <v>0.98639443386730274</v>
      </c>
      <c r="CL159" s="179">
        <f t="shared" si="209"/>
        <v>2</v>
      </c>
      <c r="CM159" s="180">
        <f t="shared" si="210"/>
        <v>39910</v>
      </c>
      <c r="CN159">
        <v>0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11"/>
        <v>9.6000000000000002E-2</v>
      </c>
      <c r="DB159" s="146"/>
      <c r="DC159" s="76">
        <f t="shared" ca="1" si="174"/>
        <v>0.30867952908634777</v>
      </c>
      <c r="DD159">
        <f t="shared" si="212"/>
        <v>2</v>
      </c>
      <c r="DE159" s="129">
        <f t="shared" si="244"/>
        <v>39910</v>
      </c>
      <c r="DF159" s="161">
        <f t="shared" si="213"/>
        <v>0</v>
      </c>
      <c r="DG159" s="161">
        <f t="shared" si="214"/>
        <v>115.94202898550724</v>
      </c>
      <c r="DH159" s="161">
        <f t="shared" si="215"/>
        <v>0</v>
      </c>
      <c r="DI159" s="161">
        <f t="shared" si="216"/>
        <v>0</v>
      </c>
      <c r="DJ159" s="161">
        <f t="shared" si="217"/>
        <v>0</v>
      </c>
      <c r="DK159" s="161">
        <f t="shared" si="218"/>
        <v>0</v>
      </c>
      <c r="DL159" s="161">
        <f t="shared" si="219"/>
        <v>0</v>
      </c>
      <c r="DM159" s="161">
        <f t="shared" si="220"/>
        <v>0</v>
      </c>
      <c r="DN159" s="161">
        <f t="shared" si="221"/>
        <v>0</v>
      </c>
      <c r="DO159" s="161">
        <f t="shared" si="222"/>
        <v>0</v>
      </c>
      <c r="DP159" s="161">
        <f t="shared" si="223"/>
        <v>0</v>
      </c>
      <c r="DQ159" s="161">
        <f t="shared" si="224"/>
        <v>0</v>
      </c>
      <c r="DR159" s="161">
        <f t="shared" si="225"/>
        <v>0</v>
      </c>
      <c r="DS159" s="161">
        <f t="shared" si="226"/>
        <v>0</v>
      </c>
      <c r="DT159" s="161">
        <f t="shared" si="227"/>
        <v>0</v>
      </c>
      <c r="DU159" s="161">
        <f t="shared" si="228"/>
        <v>0</v>
      </c>
      <c r="DV159" s="161">
        <f t="shared" si="229"/>
        <v>0</v>
      </c>
      <c r="DW159" s="161">
        <f t="shared" si="230"/>
        <v>0</v>
      </c>
      <c r="DX159" s="161">
        <f t="shared" si="231"/>
        <v>0</v>
      </c>
      <c r="DY159" s="161">
        <f t="shared" si="232"/>
        <v>0</v>
      </c>
      <c r="DZ159" s="161">
        <f t="shared" si="233"/>
        <v>0</v>
      </c>
      <c r="EA159" s="161">
        <f t="shared" si="234"/>
        <v>0</v>
      </c>
      <c r="EB159" s="161">
        <f t="shared" si="235"/>
        <v>0</v>
      </c>
      <c r="EC159" s="161">
        <f t="shared" si="236"/>
        <v>0</v>
      </c>
      <c r="ED159" s="161">
        <f t="shared" si="237"/>
        <v>0</v>
      </c>
      <c r="EE159" s="161">
        <f t="shared" si="238"/>
        <v>0</v>
      </c>
      <c r="EF159" s="161">
        <f t="shared" si="239"/>
        <v>0</v>
      </c>
      <c r="EG159" s="161">
        <f t="shared" si="240"/>
        <v>0</v>
      </c>
      <c r="EH159" s="161">
        <f t="shared" si="241"/>
        <v>0</v>
      </c>
      <c r="EI159" s="161">
        <f t="shared" si="242"/>
        <v>0</v>
      </c>
      <c r="EJ159" s="161">
        <f t="shared" si="243"/>
        <v>0</v>
      </c>
      <c r="EK159" s="147">
        <f t="shared" si="175"/>
        <v>115.94202898550724</v>
      </c>
      <c r="EL159" s="149"/>
      <c r="EN159" s="146"/>
      <c r="EO159" s="146"/>
      <c r="EP159" s="139">
        <f t="shared" si="176"/>
        <v>0</v>
      </c>
      <c r="EQ159" s="139">
        <f t="shared" si="177"/>
        <v>13.414492753623188</v>
      </c>
      <c r="ER159" s="139">
        <f t="shared" si="178"/>
        <v>0</v>
      </c>
      <c r="ES159" s="139">
        <f t="shared" si="179"/>
        <v>0</v>
      </c>
      <c r="ET159" s="139">
        <f t="shared" si="180"/>
        <v>0</v>
      </c>
      <c r="EU159" s="139">
        <f t="shared" si="181"/>
        <v>0</v>
      </c>
      <c r="EV159" s="139">
        <f t="shared" si="182"/>
        <v>0</v>
      </c>
      <c r="EW159" s="139">
        <f t="shared" si="183"/>
        <v>0</v>
      </c>
      <c r="EX159" s="139">
        <f t="shared" si="184"/>
        <v>0</v>
      </c>
      <c r="EY159" s="139">
        <f t="shared" si="185"/>
        <v>0</v>
      </c>
      <c r="EZ159" s="139">
        <f t="shared" si="186"/>
        <v>0</v>
      </c>
      <c r="FA159" s="139">
        <f t="shared" si="187"/>
        <v>0</v>
      </c>
      <c r="FB159" s="139">
        <f t="shared" si="188"/>
        <v>0</v>
      </c>
      <c r="FC159" s="139">
        <f t="shared" si="189"/>
        <v>0</v>
      </c>
      <c r="FD159" s="139">
        <f t="shared" si="190"/>
        <v>0</v>
      </c>
      <c r="FE159" s="139">
        <f t="shared" si="191"/>
        <v>0</v>
      </c>
      <c r="FF159" s="139">
        <f t="shared" si="192"/>
        <v>0</v>
      </c>
      <c r="FG159" s="139">
        <f t="shared" si="193"/>
        <v>0</v>
      </c>
      <c r="FH159" s="139">
        <f t="shared" si="194"/>
        <v>0</v>
      </c>
      <c r="FI159" s="139">
        <f t="shared" si="195"/>
        <v>0</v>
      </c>
      <c r="FJ159" s="139">
        <f t="shared" si="196"/>
        <v>0</v>
      </c>
      <c r="FK159" s="139">
        <f t="shared" si="197"/>
        <v>0</v>
      </c>
      <c r="FL159" s="139">
        <f t="shared" si="198"/>
        <v>0</v>
      </c>
      <c r="FM159" s="139">
        <f t="shared" si="199"/>
        <v>0</v>
      </c>
      <c r="FN159" s="139">
        <f t="shared" si="200"/>
        <v>0</v>
      </c>
      <c r="FO159" s="139">
        <f t="shared" si="201"/>
        <v>0</v>
      </c>
      <c r="FP159" s="139">
        <f t="shared" si="202"/>
        <v>0</v>
      </c>
      <c r="FQ159" s="139">
        <f t="shared" si="203"/>
        <v>0</v>
      </c>
      <c r="FR159" s="139">
        <f t="shared" si="204"/>
        <v>0</v>
      </c>
      <c r="FS159" s="139">
        <f t="shared" si="205"/>
        <v>0</v>
      </c>
      <c r="FT159" s="139">
        <f t="shared" si="206"/>
        <v>0</v>
      </c>
      <c r="FU159" s="148">
        <f t="shared" si="207"/>
        <v>13.414492753623188</v>
      </c>
      <c r="FV159" s="149"/>
      <c r="FY159" s="211">
        <v>154</v>
      </c>
      <c r="FZ159">
        <v>10.36527655916122</v>
      </c>
      <c r="GA159">
        <v>8.1508510000820618</v>
      </c>
      <c r="GB159">
        <v>7.4177299023764611</v>
      </c>
      <c r="GC159">
        <v>4.5719399995141732</v>
      </c>
      <c r="GD159">
        <v>2.213544644713128</v>
      </c>
      <c r="GE159">
        <v>2.4974772508970107</v>
      </c>
      <c r="GF159">
        <v>1.6824348773762066</v>
      </c>
      <c r="GG159">
        <v>1.4644344241006084</v>
      </c>
      <c r="GH159">
        <v>6.3440802299829695</v>
      </c>
      <c r="GI159">
        <v>5.9351565646391702</v>
      </c>
      <c r="GJ159"/>
      <c r="GK159">
        <v>10.411242559755159</v>
      </c>
      <c r="GL159">
        <v>6.9075760126134247</v>
      </c>
      <c r="GM159">
        <v>12.360091785050457</v>
      </c>
      <c r="GN159">
        <v>13.732628123650642</v>
      </c>
      <c r="GO159">
        <v>8.5927853855436211</v>
      </c>
      <c r="GP159">
        <v>4.7814230343300119</v>
      </c>
      <c r="GQ159">
        <v>2.0593334315857961</v>
      </c>
      <c r="GR159">
        <v>2.0593334315857961</v>
      </c>
      <c r="GS159">
        <v>6.7655190225924633</v>
      </c>
      <c r="GT159">
        <v>8.0377944369055001</v>
      </c>
      <c r="GU159"/>
      <c r="GV159"/>
      <c r="GW159"/>
      <c r="GX159"/>
      <c r="GY159"/>
      <c r="GZ159"/>
      <c r="HA159"/>
      <c r="HB159"/>
      <c r="HC159"/>
    </row>
    <row r="160" spans="1:211" s="7" customFormat="1">
      <c r="A160" s="1"/>
      <c r="B160" s="76">
        <f t="shared" ca="1" si="172"/>
        <v>0.89209565639748534</v>
      </c>
      <c r="C160">
        <v>5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66.250837389370886</v>
      </c>
      <c r="AO160">
        <v>7.7442607342822072</v>
      </c>
      <c r="AP160">
        <v>3.7699755113829259</v>
      </c>
      <c r="AQ160">
        <v>58.70476579179342</v>
      </c>
      <c r="AR160">
        <v>8.1550469580151308</v>
      </c>
      <c r="AS160">
        <v>52.155958601096863</v>
      </c>
      <c r="AT160">
        <v>6.5455496118892382</v>
      </c>
      <c r="AU160">
        <v>-0.68190572939808902</v>
      </c>
      <c r="AV160"/>
      <c r="AW160"/>
      <c r="AX160" s="146"/>
      <c r="AY160" s="76">
        <f t="shared" ca="1" si="173"/>
        <v>0.77439553869244326</v>
      </c>
      <c r="AZ160">
        <v>3</v>
      </c>
      <c r="BA160" s="129">
        <f t="shared" si="245"/>
        <v>39910</v>
      </c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8"/>
        <v>0.56114766495670754</v>
      </c>
      <c r="CL160" s="179">
        <f t="shared" si="209"/>
        <v>3</v>
      </c>
      <c r="CM160" s="180">
        <f t="shared" si="210"/>
        <v>39910</v>
      </c>
      <c r="CN160">
        <v>1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1"/>
        <v>9.6000000000000002E-2</v>
      </c>
      <c r="DB160" s="146"/>
      <c r="DC160" s="76">
        <f t="shared" ca="1" si="174"/>
        <v>2.2081494497862231E-2</v>
      </c>
      <c r="DD160">
        <f t="shared" si="212"/>
        <v>3</v>
      </c>
      <c r="DE160" s="129">
        <f t="shared" si="244"/>
        <v>39910</v>
      </c>
      <c r="DF160" s="161">
        <f t="shared" si="213"/>
        <v>86.805555555555557</v>
      </c>
      <c r="DG160" s="161">
        <f t="shared" si="214"/>
        <v>86.805555555555557</v>
      </c>
      <c r="DH160" s="161">
        <f t="shared" si="215"/>
        <v>0</v>
      </c>
      <c r="DI160" s="161">
        <f t="shared" si="216"/>
        <v>0</v>
      </c>
      <c r="DJ160" s="161">
        <f t="shared" si="217"/>
        <v>0</v>
      </c>
      <c r="DK160" s="161">
        <f t="shared" si="218"/>
        <v>0</v>
      </c>
      <c r="DL160" s="161">
        <f t="shared" si="219"/>
        <v>0</v>
      </c>
      <c r="DM160" s="161">
        <f t="shared" si="220"/>
        <v>0</v>
      </c>
      <c r="DN160" s="161">
        <f t="shared" si="221"/>
        <v>0</v>
      </c>
      <c r="DO160" s="161">
        <f t="shared" si="222"/>
        <v>0</v>
      </c>
      <c r="DP160" s="161">
        <f t="shared" si="223"/>
        <v>0</v>
      </c>
      <c r="DQ160" s="161">
        <f t="shared" si="224"/>
        <v>0</v>
      </c>
      <c r="DR160" s="161">
        <f t="shared" si="225"/>
        <v>0</v>
      </c>
      <c r="DS160" s="161">
        <f t="shared" si="226"/>
        <v>0</v>
      </c>
      <c r="DT160" s="161">
        <f t="shared" si="227"/>
        <v>0</v>
      </c>
      <c r="DU160" s="161">
        <f t="shared" si="228"/>
        <v>0</v>
      </c>
      <c r="DV160" s="161">
        <f t="shared" si="229"/>
        <v>0</v>
      </c>
      <c r="DW160" s="161">
        <f t="shared" si="230"/>
        <v>0</v>
      </c>
      <c r="DX160" s="161">
        <f t="shared" si="231"/>
        <v>0</v>
      </c>
      <c r="DY160" s="161">
        <f t="shared" si="232"/>
        <v>0</v>
      </c>
      <c r="DZ160" s="161">
        <f t="shared" si="233"/>
        <v>0</v>
      </c>
      <c r="EA160" s="161">
        <f t="shared" si="234"/>
        <v>0</v>
      </c>
      <c r="EB160" s="161">
        <f t="shared" si="235"/>
        <v>0</v>
      </c>
      <c r="EC160" s="161">
        <f t="shared" si="236"/>
        <v>0</v>
      </c>
      <c r="ED160" s="161">
        <f t="shared" si="237"/>
        <v>0</v>
      </c>
      <c r="EE160" s="161">
        <f t="shared" si="238"/>
        <v>0</v>
      </c>
      <c r="EF160" s="161">
        <f t="shared" si="239"/>
        <v>0</v>
      </c>
      <c r="EG160" s="161">
        <f t="shared" si="240"/>
        <v>0</v>
      </c>
      <c r="EH160" s="161">
        <f t="shared" si="241"/>
        <v>0</v>
      </c>
      <c r="EI160" s="161">
        <f t="shared" si="242"/>
        <v>0</v>
      </c>
      <c r="EJ160" s="161">
        <f t="shared" si="243"/>
        <v>0</v>
      </c>
      <c r="EK160" s="147">
        <f t="shared" si="175"/>
        <v>173.61111111111111</v>
      </c>
      <c r="EL160" s="149"/>
      <c r="EN160" s="146"/>
      <c r="EO160" s="146"/>
      <c r="EP160" s="139">
        <f t="shared" si="176"/>
        <v>3.1781258229679121</v>
      </c>
      <c r="EQ160" s="139">
        <f t="shared" si="177"/>
        <v>10.043402777777779</v>
      </c>
      <c r="ER160" s="139">
        <f t="shared" si="178"/>
        <v>0</v>
      </c>
      <c r="ES160" s="139">
        <f t="shared" si="179"/>
        <v>0</v>
      </c>
      <c r="ET160" s="139">
        <f t="shared" si="180"/>
        <v>0</v>
      </c>
      <c r="EU160" s="139">
        <f t="shared" si="181"/>
        <v>0</v>
      </c>
      <c r="EV160" s="139">
        <f t="shared" si="182"/>
        <v>0</v>
      </c>
      <c r="EW160" s="139">
        <f t="shared" si="183"/>
        <v>0</v>
      </c>
      <c r="EX160" s="139">
        <f t="shared" si="184"/>
        <v>0</v>
      </c>
      <c r="EY160" s="139">
        <f t="shared" si="185"/>
        <v>0</v>
      </c>
      <c r="EZ160" s="139">
        <f t="shared" si="186"/>
        <v>0</v>
      </c>
      <c r="FA160" s="139">
        <f t="shared" si="187"/>
        <v>0</v>
      </c>
      <c r="FB160" s="139">
        <f t="shared" si="188"/>
        <v>0</v>
      </c>
      <c r="FC160" s="139">
        <f t="shared" si="189"/>
        <v>0</v>
      </c>
      <c r="FD160" s="139">
        <f t="shared" si="190"/>
        <v>0</v>
      </c>
      <c r="FE160" s="139">
        <f t="shared" si="191"/>
        <v>0</v>
      </c>
      <c r="FF160" s="139">
        <f t="shared" si="192"/>
        <v>0</v>
      </c>
      <c r="FG160" s="139">
        <f t="shared" si="193"/>
        <v>0</v>
      </c>
      <c r="FH160" s="139">
        <f t="shared" si="194"/>
        <v>0</v>
      </c>
      <c r="FI160" s="139">
        <f t="shared" si="195"/>
        <v>0</v>
      </c>
      <c r="FJ160" s="139">
        <f t="shared" si="196"/>
        <v>0</v>
      </c>
      <c r="FK160" s="139">
        <f t="shared" si="197"/>
        <v>0</v>
      </c>
      <c r="FL160" s="139">
        <f t="shared" si="198"/>
        <v>0</v>
      </c>
      <c r="FM160" s="139">
        <f t="shared" si="199"/>
        <v>0</v>
      </c>
      <c r="FN160" s="139">
        <f t="shared" si="200"/>
        <v>0</v>
      </c>
      <c r="FO160" s="139">
        <f t="shared" si="201"/>
        <v>0</v>
      </c>
      <c r="FP160" s="139">
        <f t="shared" si="202"/>
        <v>0</v>
      </c>
      <c r="FQ160" s="139">
        <f t="shared" si="203"/>
        <v>0</v>
      </c>
      <c r="FR160" s="139">
        <f t="shared" si="204"/>
        <v>0</v>
      </c>
      <c r="FS160" s="139">
        <f t="shared" si="205"/>
        <v>0</v>
      </c>
      <c r="FT160" s="139">
        <f t="shared" si="206"/>
        <v>0</v>
      </c>
      <c r="FU160" s="148">
        <f t="shared" si="207"/>
        <v>13.221528600745691</v>
      </c>
      <c r="FV160" s="149"/>
      <c r="FY160" s="211">
        <v>155</v>
      </c>
      <c r="FZ160">
        <v>9.440305992460873</v>
      </c>
      <c r="GA160">
        <v>6.7878902393818343</v>
      </c>
      <c r="GB160">
        <v>4.8125342947704262</v>
      </c>
      <c r="GC160">
        <v>2.5214861158364155</v>
      </c>
      <c r="GD160">
        <v>2.0619823079726238</v>
      </c>
      <c r="GE160">
        <v>3.5091816308823525</v>
      </c>
      <c r="GF160">
        <v>1.3179609491055253</v>
      </c>
      <c r="GG160">
        <v>1.003228398856431</v>
      </c>
      <c r="GH160">
        <v>4.4373608318407847</v>
      </c>
      <c r="GI160">
        <v>4.7035488911099179</v>
      </c>
      <c r="GJ160"/>
      <c r="GK160">
        <v>9.4808769534286288</v>
      </c>
      <c r="GL160">
        <v>5.7523736874455338</v>
      </c>
      <c r="GM160">
        <v>8.0104399002985645</v>
      </c>
      <c r="GN160">
        <v>7.5741747808410089</v>
      </c>
      <c r="GO160">
        <v>8.0043902756779506</v>
      </c>
      <c r="GP160">
        <v>6.7183322192513364</v>
      </c>
      <c r="GQ160">
        <v>1.6150236513687599</v>
      </c>
      <c r="GR160">
        <v>1.4118986513687599</v>
      </c>
      <c r="GS160">
        <v>4.7331743393420851</v>
      </c>
      <c r="GT160">
        <v>6.3687810240231979</v>
      </c>
      <c r="GU160"/>
      <c r="GV160"/>
      <c r="GW160"/>
      <c r="GX160"/>
      <c r="GY160"/>
      <c r="GZ160"/>
      <c r="HA160"/>
      <c r="HB160"/>
      <c r="HC160"/>
    </row>
    <row r="161" spans="1:211" s="7" customFormat="1">
      <c r="A161" s="1"/>
      <c r="B161" s="76">
        <f t="shared" ca="1" si="172"/>
        <v>0.59906260559079505</v>
      </c>
      <c r="C161">
        <v>4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60.569663738670826</v>
      </c>
      <c r="AO161">
        <v>7.0534041528814226</v>
      </c>
      <c r="AP161">
        <v>60.940115247751734</v>
      </c>
      <c r="AQ161">
        <v>48.547736638291255</v>
      </c>
      <c r="AR161">
        <v>7.2278233983939089</v>
      </c>
      <c r="AS161">
        <v>43.840852454390451</v>
      </c>
      <c r="AT161" t="e">
        <v>#DIV/0!</v>
      </c>
      <c r="AU161" t="e">
        <v>#DIV/0!</v>
      </c>
      <c r="AV161"/>
      <c r="AW161"/>
      <c r="AX161" s="146"/>
      <c r="AY161" s="76">
        <f t="shared" ca="1" si="173"/>
        <v>0.39976182003039473</v>
      </c>
      <c r="AZ161">
        <v>4</v>
      </c>
      <c r="BA161" s="129">
        <f t="shared" si="245"/>
        <v>39910</v>
      </c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8"/>
        <v>0.69360234023080913</v>
      </c>
      <c r="CL161" s="179">
        <f t="shared" si="209"/>
        <v>4</v>
      </c>
      <c r="CM161" s="180">
        <f t="shared" si="210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11"/>
        <v>9.6000000000000002E-2</v>
      </c>
      <c r="DB161" s="146"/>
      <c r="DC161" s="76">
        <f t="shared" ca="1" si="174"/>
        <v>0.67876607101806297</v>
      </c>
      <c r="DD161">
        <f t="shared" si="212"/>
        <v>4</v>
      </c>
      <c r="DE161" s="129">
        <f t="shared" si="244"/>
        <v>39910</v>
      </c>
      <c r="DF161" s="161">
        <f t="shared" si="213"/>
        <v>0</v>
      </c>
      <c r="DG161" s="161">
        <f t="shared" si="214"/>
        <v>0</v>
      </c>
      <c r="DH161" s="161">
        <f t="shared" si="215"/>
        <v>0</v>
      </c>
      <c r="DI161" s="161">
        <f t="shared" si="216"/>
        <v>0</v>
      </c>
      <c r="DJ161" s="161">
        <f t="shared" si="217"/>
        <v>0</v>
      </c>
      <c r="DK161" s="161">
        <f t="shared" si="218"/>
        <v>0</v>
      </c>
      <c r="DL161" s="161">
        <f t="shared" si="219"/>
        <v>0</v>
      </c>
      <c r="DM161" s="161">
        <f t="shared" si="220"/>
        <v>0</v>
      </c>
      <c r="DN161" s="161">
        <f t="shared" si="221"/>
        <v>0</v>
      </c>
      <c r="DO161" s="161">
        <f t="shared" si="222"/>
        <v>0</v>
      </c>
      <c r="DP161" s="161">
        <f t="shared" si="223"/>
        <v>0</v>
      </c>
      <c r="DQ161" s="161">
        <f t="shared" si="224"/>
        <v>0</v>
      </c>
      <c r="DR161" s="161">
        <f t="shared" si="225"/>
        <v>0</v>
      </c>
      <c r="DS161" s="161">
        <f t="shared" si="226"/>
        <v>0</v>
      </c>
      <c r="DT161" s="161">
        <f t="shared" si="227"/>
        <v>0</v>
      </c>
      <c r="DU161" s="161">
        <f t="shared" si="228"/>
        <v>0</v>
      </c>
      <c r="DV161" s="161">
        <f t="shared" si="229"/>
        <v>0</v>
      </c>
      <c r="DW161" s="161">
        <f t="shared" si="230"/>
        <v>0</v>
      </c>
      <c r="DX161" s="161">
        <f t="shared" si="231"/>
        <v>0</v>
      </c>
      <c r="DY161" s="161">
        <f t="shared" si="232"/>
        <v>0</v>
      </c>
      <c r="DZ161" s="161">
        <f t="shared" si="233"/>
        <v>0</v>
      </c>
      <c r="EA161" s="161">
        <f t="shared" si="234"/>
        <v>0</v>
      </c>
      <c r="EB161" s="161">
        <f t="shared" si="235"/>
        <v>0</v>
      </c>
      <c r="EC161" s="161">
        <f t="shared" si="236"/>
        <v>0</v>
      </c>
      <c r="ED161" s="161">
        <f t="shared" si="237"/>
        <v>0</v>
      </c>
      <c r="EE161" s="161">
        <f t="shared" si="238"/>
        <v>0</v>
      </c>
      <c r="EF161" s="161">
        <f t="shared" si="239"/>
        <v>0</v>
      </c>
      <c r="EG161" s="161">
        <f t="shared" si="240"/>
        <v>0</v>
      </c>
      <c r="EH161" s="161">
        <f t="shared" si="241"/>
        <v>0</v>
      </c>
      <c r="EI161" s="161">
        <f t="shared" si="242"/>
        <v>0</v>
      </c>
      <c r="EJ161" s="161">
        <f t="shared" si="243"/>
        <v>0</v>
      </c>
      <c r="EK161" s="147">
        <f t="shared" si="175"/>
        <v>0</v>
      </c>
      <c r="EL161" s="149"/>
      <c r="EN161" s="146"/>
      <c r="EO161" s="146"/>
      <c r="EP161" s="139">
        <f t="shared" si="176"/>
        <v>0</v>
      </c>
      <c r="EQ161" s="139">
        <f t="shared" si="177"/>
        <v>0</v>
      </c>
      <c r="ER161" s="139">
        <f t="shared" si="178"/>
        <v>0</v>
      </c>
      <c r="ES161" s="139">
        <f t="shared" si="179"/>
        <v>0</v>
      </c>
      <c r="ET161" s="139">
        <f t="shared" si="180"/>
        <v>0</v>
      </c>
      <c r="EU161" s="139">
        <f t="shared" si="181"/>
        <v>0</v>
      </c>
      <c r="EV161" s="139">
        <f t="shared" si="182"/>
        <v>0</v>
      </c>
      <c r="EW161" s="139">
        <f t="shared" si="183"/>
        <v>0</v>
      </c>
      <c r="EX161" s="139">
        <f t="shared" si="184"/>
        <v>0</v>
      </c>
      <c r="EY161" s="139">
        <f t="shared" si="185"/>
        <v>0</v>
      </c>
      <c r="EZ161" s="139">
        <f t="shared" si="186"/>
        <v>0</v>
      </c>
      <c r="FA161" s="139">
        <f t="shared" si="187"/>
        <v>0</v>
      </c>
      <c r="FB161" s="139">
        <f t="shared" si="188"/>
        <v>0</v>
      </c>
      <c r="FC161" s="139">
        <f t="shared" si="189"/>
        <v>0</v>
      </c>
      <c r="FD161" s="139">
        <f t="shared" si="190"/>
        <v>0</v>
      </c>
      <c r="FE161" s="139">
        <f t="shared" si="191"/>
        <v>0</v>
      </c>
      <c r="FF161" s="139">
        <f t="shared" si="192"/>
        <v>0</v>
      </c>
      <c r="FG161" s="139">
        <f t="shared" si="193"/>
        <v>0</v>
      </c>
      <c r="FH161" s="139">
        <f t="shared" si="194"/>
        <v>0</v>
      </c>
      <c r="FI161" s="139">
        <f t="shared" si="195"/>
        <v>0</v>
      </c>
      <c r="FJ161" s="139">
        <f t="shared" si="196"/>
        <v>0</v>
      </c>
      <c r="FK161" s="139">
        <f t="shared" si="197"/>
        <v>0</v>
      </c>
      <c r="FL161" s="139">
        <f t="shared" si="198"/>
        <v>0</v>
      </c>
      <c r="FM161" s="139">
        <f t="shared" si="199"/>
        <v>0</v>
      </c>
      <c r="FN161" s="139">
        <f t="shared" si="200"/>
        <v>0</v>
      </c>
      <c r="FO161" s="139">
        <f t="shared" si="201"/>
        <v>0</v>
      </c>
      <c r="FP161" s="139">
        <f t="shared" si="202"/>
        <v>0</v>
      </c>
      <c r="FQ161" s="139">
        <f t="shared" si="203"/>
        <v>0</v>
      </c>
      <c r="FR161" s="139">
        <f t="shared" si="204"/>
        <v>0</v>
      </c>
      <c r="FS161" s="139">
        <f t="shared" si="205"/>
        <v>0</v>
      </c>
      <c r="FT161" s="139">
        <f t="shared" si="206"/>
        <v>0</v>
      </c>
      <c r="FU161" s="148">
        <f t="shared" si="207"/>
        <v>0</v>
      </c>
      <c r="FV161" s="149"/>
      <c r="FY161" s="211">
        <v>156</v>
      </c>
      <c r="FZ161">
        <v>13.613608941563056</v>
      </c>
      <c r="GA161">
        <v>10.057819720567483</v>
      </c>
      <c r="GB161">
        <v>4.7955843668970086</v>
      </c>
      <c r="GC161">
        <v>3.2545971097277753</v>
      </c>
      <c r="GD161">
        <v>2.7979705267647068</v>
      </c>
      <c r="GE161">
        <v>4.3074437894537834</v>
      </c>
      <c r="GF161">
        <v>3.0385492969738808</v>
      </c>
      <c r="GG161">
        <v>2.5966286081536629</v>
      </c>
      <c r="GH161">
        <v>3.5521413300514006</v>
      </c>
      <c r="GI161">
        <v>5.9106352604146171</v>
      </c>
      <c r="GJ161"/>
      <c r="GK161">
        <v>13.66792642321693</v>
      </c>
      <c r="GL161">
        <v>8.5253624617244981</v>
      </c>
      <c r="GM161">
        <v>7.9817576310528571</v>
      </c>
      <c r="GN161">
        <v>9.748061835995026</v>
      </c>
      <c r="GO161">
        <v>10.848540552584673</v>
      </c>
      <c r="GP161">
        <v>8.2466060287751493</v>
      </c>
      <c r="GQ161">
        <v>3.718795184427631</v>
      </c>
      <c r="GR161">
        <v>3.651086851094298</v>
      </c>
      <c r="GS161">
        <v>3.7887536772416279</v>
      </c>
      <c r="GT161">
        <v>8.0011546937047431</v>
      </c>
      <c r="GU161"/>
      <c r="GV161"/>
      <c r="GW161"/>
      <c r="GX161"/>
      <c r="GY161"/>
      <c r="GZ161"/>
      <c r="HA161"/>
      <c r="HB161"/>
      <c r="HC161"/>
    </row>
    <row r="162" spans="1:211" s="7" customFormat="1">
      <c r="A162" s="1"/>
      <c r="B162" s="76">
        <f t="shared" ca="1" si="172"/>
        <v>0.69404921488203541</v>
      </c>
      <c r="C162">
        <v>2</v>
      </c>
      <c r="D162">
        <v>39910</v>
      </c>
      <c r="E162">
        <v>0</v>
      </c>
      <c r="F162">
        <v>115.94202898550724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57.721511233044509</v>
      </c>
      <c r="AO162">
        <v>6.9962733361653333</v>
      </c>
      <c r="AP162">
        <v>98.108704834642651</v>
      </c>
      <c r="AQ162">
        <v>51.973836573754191</v>
      </c>
      <c r="AR162">
        <v>7.7972450712812087</v>
      </c>
      <c r="AS162">
        <v>49.761069713380508</v>
      </c>
      <c r="AT162" t="e">
        <v>#DIV/0!</v>
      </c>
      <c r="AU162" t="e">
        <v>#DIV/0!</v>
      </c>
      <c r="AV162"/>
      <c r="AW162"/>
      <c r="AX162" s="146"/>
      <c r="AY162" s="76">
        <f t="shared" ca="1" si="173"/>
        <v>0.84566652520636243</v>
      </c>
      <c r="AZ162">
        <v>5</v>
      </c>
      <c r="BA162" s="129">
        <f t="shared" si="245"/>
        <v>39910</v>
      </c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8"/>
        <v>0.52851909768445182</v>
      </c>
      <c r="CL162" s="179">
        <f t="shared" si="209"/>
        <v>5</v>
      </c>
      <c r="CM162" s="180">
        <f t="shared" si="210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11"/>
        <v>9.6000000000000002E-2</v>
      </c>
      <c r="DB162" s="146"/>
      <c r="DC162" s="76">
        <f t="shared" ca="1" si="174"/>
        <v>0.7983393368920102</v>
      </c>
      <c r="DD162">
        <f t="shared" si="212"/>
        <v>5</v>
      </c>
      <c r="DE162" s="129">
        <f t="shared" si="244"/>
        <v>39910</v>
      </c>
      <c r="DF162" s="161">
        <f t="shared" si="213"/>
        <v>0</v>
      </c>
      <c r="DG162" s="161">
        <f t="shared" si="214"/>
        <v>0</v>
      </c>
      <c r="DH162" s="161">
        <f t="shared" si="215"/>
        <v>0</v>
      </c>
      <c r="DI162" s="161">
        <f t="shared" si="216"/>
        <v>0</v>
      </c>
      <c r="DJ162" s="161">
        <f t="shared" si="217"/>
        <v>0</v>
      </c>
      <c r="DK162" s="161">
        <f t="shared" si="218"/>
        <v>0</v>
      </c>
      <c r="DL162" s="161">
        <f t="shared" si="219"/>
        <v>0</v>
      </c>
      <c r="DM162" s="161">
        <f t="shared" si="220"/>
        <v>0</v>
      </c>
      <c r="DN162" s="161">
        <f t="shared" si="221"/>
        <v>0</v>
      </c>
      <c r="DO162" s="161">
        <f t="shared" si="222"/>
        <v>0</v>
      </c>
      <c r="DP162" s="161">
        <f t="shared" si="223"/>
        <v>0</v>
      </c>
      <c r="DQ162" s="161">
        <f t="shared" si="224"/>
        <v>0</v>
      </c>
      <c r="DR162" s="161">
        <f t="shared" si="225"/>
        <v>0</v>
      </c>
      <c r="DS162" s="161">
        <f t="shared" si="226"/>
        <v>0</v>
      </c>
      <c r="DT162" s="161">
        <f t="shared" si="227"/>
        <v>0</v>
      </c>
      <c r="DU162" s="161">
        <f t="shared" si="228"/>
        <v>0</v>
      </c>
      <c r="DV162" s="161">
        <f t="shared" si="229"/>
        <v>0</v>
      </c>
      <c r="DW162" s="161">
        <f t="shared" si="230"/>
        <v>0</v>
      </c>
      <c r="DX162" s="161">
        <f t="shared" si="231"/>
        <v>0</v>
      </c>
      <c r="DY162" s="161">
        <f t="shared" si="232"/>
        <v>0</v>
      </c>
      <c r="DZ162" s="161">
        <f t="shared" si="233"/>
        <v>0</v>
      </c>
      <c r="EA162" s="161">
        <f t="shared" si="234"/>
        <v>0</v>
      </c>
      <c r="EB162" s="161">
        <f t="shared" si="235"/>
        <v>0</v>
      </c>
      <c r="EC162" s="161">
        <f t="shared" si="236"/>
        <v>0</v>
      </c>
      <c r="ED162" s="161">
        <f t="shared" si="237"/>
        <v>0</v>
      </c>
      <c r="EE162" s="161">
        <f t="shared" si="238"/>
        <v>0</v>
      </c>
      <c r="EF162" s="161">
        <f t="shared" si="239"/>
        <v>0</v>
      </c>
      <c r="EG162" s="161">
        <f t="shared" si="240"/>
        <v>0</v>
      </c>
      <c r="EH162" s="161">
        <f t="shared" si="241"/>
        <v>0</v>
      </c>
      <c r="EI162" s="161">
        <f t="shared" si="242"/>
        <v>0</v>
      </c>
      <c r="EJ162" s="161">
        <f t="shared" si="243"/>
        <v>0</v>
      </c>
      <c r="EK162" s="147">
        <f t="shared" si="175"/>
        <v>0</v>
      </c>
      <c r="EL162" s="149"/>
      <c r="EN162" s="146"/>
      <c r="EO162" s="146"/>
      <c r="EP162" s="139">
        <f t="shared" si="176"/>
        <v>0</v>
      </c>
      <c r="EQ162" s="139">
        <f t="shared" si="177"/>
        <v>0</v>
      </c>
      <c r="ER162" s="139">
        <f t="shared" si="178"/>
        <v>0</v>
      </c>
      <c r="ES162" s="139">
        <f t="shared" si="179"/>
        <v>0</v>
      </c>
      <c r="ET162" s="139">
        <f t="shared" si="180"/>
        <v>0</v>
      </c>
      <c r="EU162" s="139">
        <f t="shared" si="181"/>
        <v>0</v>
      </c>
      <c r="EV162" s="139">
        <f t="shared" si="182"/>
        <v>0</v>
      </c>
      <c r="EW162" s="139">
        <f t="shared" si="183"/>
        <v>0</v>
      </c>
      <c r="EX162" s="139">
        <f t="shared" si="184"/>
        <v>0</v>
      </c>
      <c r="EY162" s="139">
        <f t="shared" si="185"/>
        <v>0</v>
      </c>
      <c r="EZ162" s="139">
        <f t="shared" si="186"/>
        <v>0</v>
      </c>
      <c r="FA162" s="139">
        <f t="shared" si="187"/>
        <v>0</v>
      </c>
      <c r="FB162" s="139">
        <f t="shared" si="188"/>
        <v>0</v>
      </c>
      <c r="FC162" s="139">
        <f t="shared" si="189"/>
        <v>0</v>
      </c>
      <c r="FD162" s="139">
        <f t="shared" si="190"/>
        <v>0</v>
      </c>
      <c r="FE162" s="139">
        <f t="shared" si="191"/>
        <v>0</v>
      </c>
      <c r="FF162" s="139">
        <f t="shared" si="192"/>
        <v>0</v>
      </c>
      <c r="FG162" s="139">
        <f t="shared" si="193"/>
        <v>0</v>
      </c>
      <c r="FH162" s="139">
        <f t="shared" si="194"/>
        <v>0</v>
      </c>
      <c r="FI162" s="139">
        <f t="shared" si="195"/>
        <v>0</v>
      </c>
      <c r="FJ162" s="139">
        <f t="shared" si="196"/>
        <v>0</v>
      </c>
      <c r="FK162" s="139">
        <f t="shared" si="197"/>
        <v>0</v>
      </c>
      <c r="FL162" s="139">
        <f t="shared" si="198"/>
        <v>0</v>
      </c>
      <c r="FM162" s="139">
        <f t="shared" si="199"/>
        <v>0</v>
      </c>
      <c r="FN162" s="139">
        <f t="shared" si="200"/>
        <v>0</v>
      </c>
      <c r="FO162" s="139">
        <f t="shared" si="201"/>
        <v>0</v>
      </c>
      <c r="FP162" s="139">
        <f t="shared" si="202"/>
        <v>0</v>
      </c>
      <c r="FQ162" s="139">
        <f t="shared" si="203"/>
        <v>0</v>
      </c>
      <c r="FR162" s="139">
        <f t="shared" si="204"/>
        <v>0</v>
      </c>
      <c r="FS162" s="139">
        <f t="shared" si="205"/>
        <v>0</v>
      </c>
      <c r="FT162" s="139">
        <f t="shared" si="206"/>
        <v>0</v>
      </c>
      <c r="FU162" s="148">
        <f t="shared" si="207"/>
        <v>0</v>
      </c>
      <c r="FV162" s="149"/>
      <c r="FY162" s="211">
        <v>157</v>
      </c>
      <c r="FZ162">
        <v>16.643246083110139</v>
      </c>
      <c r="GA162">
        <v>13.179616928290233</v>
      </c>
      <c r="GB162">
        <v>7.2343831880760723</v>
      </c>
      <c r="GC162">
        <v>4.2319810830709148</v>
      </c>
      <c r="GD162">
        <v>2.0818852526942204</v>
      </c>
      <c r="GE162">
        <v>2.4647589311911284</v>
      </c>
      <c r="GF162">
        <v>2.2904813354815796</v>
      </c>
      <c r="GG162">
        <v>2.367581559138717</v>
      </c>
      <c r="GH162">
        <v>6.5352538482116298</v>
      </c>
      <c r="GI162">
        <v>6.8848032880733729</v>
      </c>
      <c r="GJ162"/>
      <c r="GK162">
        <v>16.707405375734702</v>
      </c>
      <c r="GL162">
        <v>11.167731731346358</v>
      </c>
      <c r="GM162">
        <v>12.054107664130374</v>
      </c>
      <c r="GN162">
        <v>12.719611442246004</v>
      </c>
      <c r="GO162">
        <v>8.0823038633893063</v>
      </c>
      <c r="GP162">
        <v>4.7187837740804577</v>
      </c>
      <c r="GQ162">
        <v>2.8021159372456665</v>
      </c>
      <c r="GR162">
        <v>3.3287363076160368</v>
      </c>
      <c r="GS162">
        <v>6.9704233869540833</v>
      </c>
      <c r="GT162">
        <v>9.323271245490826</v>
      </c>
      <c r="GU162"/>
      <c r="GV162"/>
      <c r="GW162"/>
      <c r="GX162"/>
      <c r="GY162"/>
      <c r="GZ162"/>
      <c r="HA162"/>
      <c r="HB162"/>
      <c r="HC162"/>
    </row>
    <row r="163" spans="1:211" s="7" customFormat="1">
      <c r="A163" s="1"/>
      <c r="B163" s="76">
        <f t="shared" ca="1" si="172"/>
        <v>0.30901266835186636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56.638947861088397</v>
      </c>
      <c r="AO163">
        <v>7.2632587832577826</v>
      </c>
      <c r="AP163">
        <v>49.81564463733956</v>
      </c>
      <c r="AQ163">
        <v>51.603401556942963</v>
      </c>
      <c r="AR163">
        <v>7.5888385587234346</v>
      </c>
      <c r="AS163">
        <v>48.327611125011146</v>
      </c>
      <c r="AT163" t="e">
        <v>#DIV/0!</v>
      </c>
      <c r="AU163" t="e">
        <v>#DIV/0!</v>
      </c>
      <c r="AV163"/>
      <c r="AW163"/>
      <c r="AX163" s="146"/>
      <c r="AY163" s="76">
        <f t="shared" ca="1" si="173"/>
        <v>0.86745728443891501</v>
      </c>
      <c r="AZ163">
        <v>6</v>
      </c>
      <c r="BA163" s="129">
        <f t="shared" si="245"/>
        <v>39910</v>
      </c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8"/>
        <v>0.39008301114278709</v>
      </c>
      <c r="CL163" s="179">
        <f t="shared" si="209"/>
        <v>6</v>
      </c>
      <c r="CM163" s="180">
        <f t="shared" si="210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11"/>
        <v>9.6000000000000002E-2</v>
      </c>
      <c r="DB163" s="146"/>
      <c r="DC163" s="76">
        <f t="shared" ca="1" si="174"/>
        <v>0.84941982471386357</v>
      </c>
      <c r="DD163">
        <f t="shared" si="212"/>
        <v>6</v>
      </c>
      <c r="DE163" s="129">
        <f t="shared" si="244"/>
        <v>39910</v>
      </c>
      <c r="DF163" s="161">
        <f t="shared" si="213"/>
        <v>0</v>
      </c>
      <c r="DG163" s="161">
        <f t="shared" si="214"/>
        <v>0</v>
      </c>
      <c r="DH163" s="161">
        <f t="shared" si="215"/>
        <v>0</v>
      </c>
      <c r="DI163" s="161">
        <f t="shared" si="216"/>
        <v>0</v>
      </c>
      <c r="DJ163" s="161">
        <f t="shared" si="217"/>
        <v>0</v>
      </c>
      <c r="DK163" s="161">
        <f t="shared" si="218"/>
        <v>0</v>
      </c>
      <c r="DL163" s="161">
        <f t="shared" si="219"/>
        <v>0</v>
      </c>
      <c r="DM163" s="161">
        <f t="shared" si="220"/>
        <v>0</v>
      </c>
      <c r="DN163" s="161">
        <f t="shared" si="221"/>
        <v>0</v>
      </c>
      <c r="DO163" s="161">
        <f t="shared" si="222"/>
        <v>0</v>
      </c>
      <c r="DP163" s="161">
        <f t="shared" si="223"/>
        <v>0</v>
      </c>
      <c r="DQ163" s="161">
        <f t="shared" si="224"/>
        <v>0</v>
      </c>
      <c r="DR163" s="161">
        <f t="shared" si="225"/>
        <v>0</v>
      </c>
      <c r="DS163" s="161">
        <f t="shared" si="226"/>
        <v>0</v>
      </c>
      <c r="DT163" s="161">
        <f t="shared" si="227"/>
        <v>0</v>
      </c>
      <c r="DU163" s="161">
        <f t="shared" si="228"/>
        <v>0</v>
      </c>
      <c r="DV163" s="161">
        <f t="shared" si="229"/>
        <v>0</v>
      </c>
      <c r="DW163" s="161">
        <f t="shared" si="230"/>
        <v>0</v>
      </c>
      <c r="DX163" s="161">
        <f t="shared" si="231"/>
        <v>0</v>
      </c>
      <c r="DY163" s="161">
        <f t="shared" si="232"/>
        <v>0</v>
      </c>
      <c r="DZ163" s="161">
        <f t="shared" si="233"/>
        <v>0</v>
      </c>
      <c r="EA163" s="161">
        <f t="shared" si="234"/>
        <v>0</v>
      </c>
      <c r="EB163" s="161">
        <f t="shared" si="235"/>
        <v>0</v>
      </c>
      <c r="EC163" s="161">
        <f t="shared" si="236"/>
        <v>0</v>
      </c>
      <c r="ED163" s="161">
        <f t="shared" si="237"/>
        <v>0</v>
      </c>
      <c r="EE163" s="161">
        <f t="shared" si="238"/>
        <v>0</v>
      </c>
      <c r="EF163" s="161">
        <f t="shared" si="239"/>
        <v>0</v>
      </c>
      <c r="EG163" s="161">
        <f t="shared" si="240"/>
        <v>0</v>
      </c>
      <c r="EH163" s="161">
        <f t="shared" si="241"/>
        <v>0</v>
      </c>
      <c r="EI163" s="161">
        <f t="shared" si="242"/>
        <v>0</v>
      </c>
      <c r="EJ163" s="161">
        <f t="shared" si="243"/>
        <v>0</v>
      </c>
      <c r="EK163" s="147">
        <f t="shared" si="175"/>
        <v>0</v>
      </c>
      <c r="EL163" s="149"/>
      <c r="EN163" s="146"/>
      <c r="EO163" s="146"/>
      <c r="EP163" s="139">
        <f t="shared" si="176"/>
        <v>0</v>
      </c>
      <c r="EQ163" s="139">
        <f t="shared" si="177"/>
        <v>0</v>
      </c>
      <c r="ER163" s="139">
        <f t="shared" si="178"/>
        <v>0</v>
      </c>
      <c r="ES163" s="139">
        <f t="shared" si="179"/>
        <v>0</v>
      </c>
      <c r="ET163" s="139">
        <f t="shared" si="180"/>
        <v>0</v>
      </c>
      <c r="EU163" s="139">
        <f t="shared" si="181"/>
        <v>0</v>
      </c>
      <c r="EV163" s="139">
        <f t="shared" si="182"/>
        <v>0</v>
      </c>
      <c r="EW163" s="139">
        <f t="shared" si="183"/>
        <v>0</v>
      </c>
      <c r="EX163" s="139">
        <f t="shared" si="184"/>
        <v>0</v>
      </c>
      <c r="EY163" s="139">
        <f t="shared" si="185"/>
        <v>0</v>
      </c>
      <c r="EZ163" s="139">
        <f t="shared" si="186"/>
        <v>0</v>
      </c>
      <c r="FA163" s="139">
        <f t="shared" si="187"/>
        <v>0</v>
      </c>
      <c r="FB163" s="139">
        <f t="shared" si="188"/>
        <v>0</v>
      </c>
      <c r="FC163" s="139">
        <f t="shared" si="189"/>
        <v>0</v>
      </c>
      <c r="FD163" s="139">
        <f t="shared" si="190"/>
        <v>0</v>
      </c>
      <c r="FE163" s="139">
        <f t="shared" si="191"/>
        <v>0</v>
      </c>
      <c r="FF163" s="139">
        <f t="shared" si="192"/>
        <v>0</v>
      </c>
      <c r="FG163" s="139">
        <f t="shared" si="193"/>
        <v>0</v>
      </c>
      <c r="FH163" s="139">
        <f t="shared" si="194"/>
        <v>0</v>
      </c>
      <c r="FI163" s="139">
        <f t="shared" si="195"/>
        <v>0</v>
      </c>
      <c r="FJ163" s="139">
        <f t="shared" si="196"/>
        <v>0</v>
      </c>
      <c r="FK163" s="139">
        <f t="shared" si="197"/>
        <v>0</v>
      </c>
      <c r="FL163" s="139">
        <f t="shared" si="198"/>
        <v>0</v>
      </c>
      <c r="FM163" s="139">
        <f t="shared" si="199"/>
        <v>0</v>
      </c>
      <c r="FN163" s="139">
        <f t="shared" si="200"/>
        <v>0</v>
      </c>
      <c r="FO163" s="139">
        <f t="shared" si="201"/>
        <v>0</v>
      </c>
      <c r="FP163" s="139">
        <f t="shared" si="202"/>
        <v>0</v>
      </c>
      <c r="FQ163" s="139">
        <f t="shared" si="203"/>
        <v>0</v>
      </c>
      <c r="FR163" s="139">
        <f t="shared" si="204"/>
        <v>0</v>
      </c>
      <c r="FS163" s="139">
        <f t="shared" si="205"/>
        <v>0</v>
      </c>
      <c r="FT163" s="139">
        <f t="shared" si="206"/>
        <v>0</v>
      </c>
      <c r="FU163" s="148">
        <f t="shared" si="207"/>
        <v>0</v>
      </c>
      <c r="FV163" s="149"/>
      <c r="FY163" s="211">
        <v>158</v>
      </c>
      <c r="FZ163">
        <v>12.776238365777241</v>
      </c>
      <c r="GA163">
        <v>10.169264287876151</v>
      </c>
      <c r="GB163">
        <v>3.8018168480396128</v>
      </c>
      <c r="GC163">
        <v>2.6308453272906984</v>
      </c>
      <c r="GD163">
        <v>1.3957286414845913</v>
      </c>
      <c r="GE163">
        <v>1.5587537052941178</v>
      </c>
      <c r="GF163">
        <v>2.9832950354113801</v>
      </c>
      <c r="GG163">
        <v>3.3450116602369953</v>
      </c>
      <c r="GH163">
        <v>5.4448663331794105</v>
      </c>
      <c r="GI163">
        <v>5.027211172270837</v>
      </c>
      <c r="GJ163"/>
      <c r="GK163">
        <v>12.82271345819815</v>
      </c>
      <c r="GL163">
        <v>8.619761625839466</v>
      </c>
      <c r="GM163">
        <v>6.3012634589458481</v>
      </c>
      <c r="GN163">
        <v>7.8577979641050346</v>
      </c>
      <c r="GO163">
        <v>5.4321092517014771</v>
      </c>
      <c r="GP163">
        <v>2.9842357397504458</v>
      </c>
      <c r="GQ163">
        <v>3.6510868510942971</v>
      </c>
      <c r="GR163">
        <v>4.7043275918350371</v>
      </c>
      <c r="GS163">
        <v>5.8040435747125318</v>
      </c>
      <c r="GT163">
        <v>6.8022433189304614</v>
      </c>
      <c r="GU163"/>
      <c r="GV163"/>
      <c r="GW163"/>
      <c r="GX163"/>
      <c r="GY163"/>
      <c r="GZ163"/>
      <c r="HA163"/>
      <c r="HB163"/>
      <c r="HC163"/>
    </row>
    <row r="164" spans="1:211" s="7" customFormat="1">
      <c r="A164" s="1"/>
      <c r="B164" s="76">
        <f t="shared" ca="1" si="172"/>
        <v>0.72825990179302846</v>
      </c>
      <c r="C164">
        <v>10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50.79433396184529</v>
      </c>
      <c r="AO164">
        <v>6.0622183670280796</v>
      </c>
      <c r="AP164">
        <v>18.349046368548525</v>
      </c>
      <c r="AQ164">
        <v>46.315297812509002</v>
      </c>
      <c r="AR164">
        <v>6.2347161153918123</v>
      </c>
      <c r="AS164">
        <v>38.710474875069671</v>
      </c>
      <c r="AT164" t="e">
        <v>#DIV/0!</v>
      </c>
      <c r="AU164" t="e">
        <v>#DIV/0!</v>
      </c>
      <c r="AV164"/>
      <c r="AW164"/>
      <c r="AX164" s="146"/>
      <c r="AY164" s="76">
        <f t="shared" ca="1" si="173"/>
        <v>0.93744170542892746</v>
      </c>
      <c r="AZ164">
        <v>7</v>
      </c>
      <c r="BA164" s="129">
        <f t="shared" si="245"/>
        <v>39910</v>
      </c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8"/>
        <v>0.30133426774791161</v>
      </c>
      <c r="CL164" s="179">
        <f t="shared" si="209"/>
        <v>7</v>
      </c>
      <c r="CM164" s="180">
        <f t="shared" si="210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11"/>
        <v>9.6000000000000002E-2</v>
      </c>
      <c r="DB164" s="146"/>
      <c r="DC164" s="76">
        <f t="shared" ca="1" si="174"/>
        <v>9.6784394540514462E-2</v>
      </c>
      <c r="DD164">
        <f t="shared" si="212"/>
        <v>7</v>
      </c>
      <c r="DE164" s="129">
        <f t="shared" si="244"/>
        <v>39910</v>
      </c>
      <c r="DF164" s="161">
        <f t="shared" si="213"/>
        <v>0</v>
      </c>
      <c r="DG164" s="161">
        <f t="shared" si="214"/>
        <v>0</v>
      </c>
      <c r="DH164" s="161">
        <f t="shared" si="215"/>
        <v>0</v>
      </c>
      <c r="DI164" s="161">
        <f t="shared" si="216"/>
        <v>0</v>
      </c>
      <c r="DJ164" s="161">
        <f t="shared" si="217"/>
        <v>0</v>
      </c>
      <c r="DK164" s="161">
        <f t="shared" si="218"/>
        <v>0</v>
      </c>
      <c r="DL164" s="161">
        <f t="shared" si="219"/>
        <v>0</v>
      </c>
      <c r="DM164" s="161">
        <f t="shared" si="220"/>
        <v>0</v>
      </c>
      <c r="DN164" s="161">
        <f t="shared" si="221"/>
        <v>0</v>
      </c>
      <c r="DO164" s="161">
        <f t="shared" si="222"/>
        <v>0</v>
      </c>
      <c r="DP164" s="161">
        <f t="shared" si="223"/>
        <v>0</v>
      </c>
      <c r="DQ164" s="161">
        <f t="shared" si="224"/>
        <v>0</v>
      </c>
      <c r="DR164" s="161">
        <f t="shared" si="225"/>
        <v>0</v>
      </c>
      <c r="DS164" s="161">
        <f t="shared" si="226"/>
        <v>0</v>
      </c>
      <c r="DT164" s="161">
        <f t="shared" si="227"/>
        <v>0</v>
      </c>
      <c r="DU164" s="161">
        <f t="shared" si="228"/>
        <v>0</v>
      </c>
      <c r="DV164" s="161">
        <f t="shared" si="229"/>
        <v>0</v>
      </c>
      <c r="DW164" s="161">
        <f t="shared" si="230"/>
        <v>0</v>
      </c>
      <c r="DX164" s="161">
        <f t="shared" si="231"/>
        <v>0</v>
      </c>
      <c r="DY164" s="161">
        <f t="shared" si="232"/>
        <v>0</v>
      </c>
      <c r="DZ164" s="161">
        <f t="shared" si="233"/>
        <v>0</v>
      </c>
      <c r="EA164" s="161">
        <f t="shared" si="234"/>
        <v>0</v>
      </c>
      <c r="EB164" s="161">
        <f t="shared" si="235"/>
        <v>0</v>
      </c>
      <c r="EC164" s="161">
        <f t="shared" si="236"/>
        <v>0</v>
      </c>
      <c r="ED164" s="161">
        <f t="shared" si="237"/>
        <v>0</v>
      </c>
      <c r="EE164" s="161">
        <f t="shared" si="238"/>
        <v>0</v>
      </c>
      <c r="EF164" s="161">
        <f t="shared" si="239"/>
        <v>0</v>
      </c>
      <c r="EG164" s="161">
        <f t="shared" si="240"/>
        <v>0</v>
      </c>
      <c r="EH164" s="161">
        <f t="shared" si="241"/>
        <v>0</v>
      </c>
      <c r="EI164" s="161">
        <f t="shared" si="242"/>
        <v>0</v>
      </c>
      <c r="EJ164" s="161">
        <f t="shared" si="243"/>
        <v>0</v>
      </c>
      <c r="EK164" s="147">
        <f t="shared" si="175"/>
        <v>0</v>
      </c>
      <c r="EL164" s="149"/>
      <c r="EN164" s="146"/>
      <c r="EO164" s="146"/>
      <c r="EP164" s="139">
        <f t="shared" si="176"/>
        <v>0</v>
      </c>
      <c r="EQ164" s="139">
        <f t="shared" si="177"/>
        <v>0</v>
      </c>
      <c r="ER164" s="139">
        <f t="shared" si="178"/>
        <v>0</v>
      </c>
      <c r="ES164" s="139">
        <f t="shared" si="179"/>
        <v>0</v>
      </c>
      <c r="ET164" s="139">
        <f t="shared" si="180"/>
        <v>0</v>
      </c>
      <c r="EU164" s="139">
        <f t="shared" si="181"/>
        <v>0</v>
      </c>
      <c r="EV164" s="139">
        <f t="shared" si="182"/>
        <v>0</v>
      </c>
      <c r="EW164" s="139">
        <f t="shared" si="183"/>
        <v>0</v>
      </c>
      <c r="EX164" s="139">
        <f t="shared" si="184"/>
        <v>0</v>
      </c>
      <c r="EY164" s="139">
        <f t="shared" si="185"/>
        <v>0</v>
      </c>
      <c r="EZ164" s="139">
        <f t="shared" si="186"/>
        <v>0</v>
      </c>
      <c r="FA164" s="139">
        <f t="shared" si="187"/>
        <v>0</v>
      </c>
      <c r="FB164" s="139">
        <f t="shared" si="188"/>
        <v>0</v>
      </c>
      <c r="FC164" s="139">
        <f t="shared" si="189"/>
        <v>0</v>
      </c>
      <c r="FD164" s="139">
        <f t="shared" si="190"/>
        <v>0</v>
      </c>
      <c r="FE164" s="139">
        <f t="shared" si="191"/>
        <v>0</v>
      </c>
      <c r="FF164" s="139">
        <f t="shared" si="192"/>
        <v>0</v>
      </c>
      <c r="FG164" s="139">
        <f t="shared" si="193"/>
        <v>0</v>
      </c>
      <c r="FH164" s="139">
        <f t="shared" si="194"/>
        <v>0</v>
      </c>
      <c r="FI164" s="139">
        <f t="shared" si="195"/>
        <v>0</v>
      </c>
      <c r="FJ164" s="139">
        <f t="shared" si="196"/>
        <v>0</v>
      </c>
      <c r="FK164" s="139">
        <f t="shared" si="197"/>
        <v>0</v>
      </c>
      <c r="FL164" s="139">
        <f t="shared" si="198"/>
        <v>0</v>
      </c>
      <c r="FM164" s="139">
        <f t="shared" si="199"/>
        <v>0</v>
      </c>
      <c r="FN164" s="139">
        <f t="shared" si="200"/>
        <v>0</v>
      </c>
      <c r="FO164" s="139">
        <f t="shared" si="201"/>
        <v>0</v>
      </c>
      <c r="FP164" s="139">
        <f t="shared" si="202"/>
        <v>0</v>
      </c>
      <c r="FQ164" s="139">
        <f t="shared" si="203"/>
        <v>0</v>
      </c>
      <c r="FR164" s="139">
        <f t="shared" si="204"/>
        <v>0</v>
      </c>
      <c r="FS164" s="139">
        <f t="shared" si="205"/>
        <v>0</v>
      </c>
      <c r="FT164" s="139">
        <f t="shared" si="206"/>
        <v>0</v>
      </c>
      <c r="FU164" s="148">
        <f t="shared" si="207"/>
        <v>0</v>
      </c>
      <c r="FV164" s="149"/>
      <c r="FY164" s="211">
        <v>159</v>
      </c>
      <c r="FZ164">
        <v>11.949120712109991</v>
      </c>
      <c r="GA164">
        <v>13.976265314577121</v>
      </c>
      <c r="GB164">
        <v>5.7984313997689219</v>
      </c>
      <c r="GC164">
        <v>2.3641259993013128</v>
      </c>
      <c r="GD164">
        <v>0.9122508686007752</v>
      </c>
      <c r="GE164">
        <v>0.68205943928571444</v>
      </c>
      <c r="GF164">
        <v>2.5410113619935069</v>
      </c>
      <c r="GG164">
        <v>2.8160560512405537</v>
      </c>
      <c r="GH164">
        <v>5.8468811618703551</v>
      </c>
      <c r="GI164">
        <v>5.0989914460591512</v>
      </c>
      <c r="GJ164"/>
      <c r="GK164">
        <v>11.996133547254148</v>
      </c>
      <c r="GL164">
        <v>11.84149492751809</v>
      </c>
      <c r="GM164">
        <v>9.6039443067751549</v>
      </c>
      <c r="GN164">
        <v>7.0510353558368202</v>
      </c>
      <c r="GO164">
        <v>3.5465491278551848</v>
      </c>
      <c r="GP164">
        <v>1.3058035714285716</v>
      </c>
      <c r="GQ164">
        <v>3.1114293454344271</v>
      </c>
      <c r="GR164">
        <v>3.9615450861751675</v>
      </c>
      <c r="GS164">
        <v>6.2340304845483931</v>
      </c>
      <c r="GT164">
        <v>6.8984173623734621</v>
      </c>
      <c r="GU164"/>
      <c r="GV164"/>
      <c r="GW164"/>
      <c r="GX164"/>
      <c r="GY164"/>
      <c r="GZ164"/>
      <c r="HA164"/>
      <c r="HB164"/>
      <c r="HC164"/>
    </row>
    <row r="165" spans="1:211" s="7" customFormat="1">
      <c r="A165" s="1"/>
      <c r="B165" s="76">
        <f t="shared" ca="1" si="172"/>
        <v>0.66688336685487037</v>
      </c>
      <c r="C165">
        <v>6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59.300505715323581</v>
      </c>
      <c r="AO165">
        <v>7.1160696838102764</v>
      </c>
      <c r="AP165">
        <v>3.6049404148183815</v>
      </c>
      <c r="AQ165">
        <v>55.431127240495471</v>
      </c>
      <c r="AR165">
        <v>7.4457883196742847</v>
      </c>
      <c r="AS165">
        <v>49.786001150451334</v>
      </c>
      <c r="AT165">
        <v>6.0331546940624667</v>
      </c>
      <c r="AU165">
        <v>5.2397589818895742</v>
      </c>
      <c r="AV165"/>
      <c r="AW165"/>
      <c r="AX165" s="146"/>
      <c r="AY165" s="76">
        <f t="shared" ca="1" si="173"/>
        <v>0.75600669946831123</v>
      </c>
      <c r="AZ165">
        <v>8</v>
      </c>
      <c r="BA165" s="129">
        <f t="shared" si="245"/>
        <v>39910</v>
      </c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8"/>
        <v>0.47340448469425933</v>
      </c>
      <c r="CL165" s="179">
        <f t="shared" si="209"/>
        <v>8</v>
      </c>
      <c r="CM165" s="180">
        <f t="shared" si="210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11"/>
        <v>9.6000000000000002E-2</v>
      </c>
      <c r="DB165" s="146"/>
      <c r="DC165" s="76">
        <f t="shared" ca="1" si="174"/>
        <v>0.97562345493831337</v>
      </c>
      <c r="DD165">
        <f t="shared" si="212"/>
        <v>8</v>
      </c>
      <c r="DE165" s="129">
        <f t="shared" si="244"/>
        <v>39910</v>
      </c>
      <c r="DF165" s="161">
        <f t="shared" si="213"/>
        <v>0</v>
      </c>
      <c r="DG165" s="161">
        <f t="shared" si="214"/>
        <v>0</v>
      </c>
      <c r="DH165" s="161">
        <f t="shared" si="215"/>
        <v>0</v>
      </c>
      <c r="DI165" s="161">
        <f t="shared" si="216"/>
        <v>0</v>
      </c>
      <c r="DJ165" s="161">
        <f t="shared" si="217"/>
        <v>0</v>
      </c>
      <c r="DK165" s="161">
        <f t="shared" si="218"/>
        <v>0</v>
      </c>
      <c r="DL165" s="161">
        <f t="shared" si="219"/>
        <v>0</v>
      </c>
      <c r="DM165" s="161">
        <f t="shared" si="220"/>
        <v>0</v>
      </c>
      <c r="DN165" s="161">
        <f t="shared" si="221"/>
        <v>0</v>
      </c>
      <c r="DO165" s="161">
        <f t="shared" si="222"/>
        <v>0</v>
      </c>
      <c r="DP165" s="161">
        <f t="shared" si="223"/>
        <v>0</v>
      </c>
      <c r="DQ165" s="161">
        <f t="shared" si="224"/>
        <v>0</v>
      </c>
      <c r="DR165" s="161">
        <f t="shared" si="225"/>
        <v>0</v>
      </c>
      <c r="DS165" s="161">
        <f t="shared" si="226"/>
        <v>0</v>
      </c>
      <c r="DT165" s="161">
        <f t="shared" si="227"/>
        <v>0</v>
      </c>
      <c r="DU165" s="161">
        <f t="shared" si="228"/>
        <v>0</v>
      </c>
      <c r="DV165" s="161">
        <f t="shared" si="229"/>
        <v>0</v>
      </c>
      <c r="DW165" s="161">
        <f t="shared" si="230"/>
        <v>0</v>
      </c>
      <c r="DX165" s="161">
        <f t="shared" si="231"/>
        <v>0</v>
      </c>
      <c r="DY165" s="161">
        <f t="shared" si="232"/>
        <v>0</v>
      </c>
      <c r="DZ165" s="161">
        <f t="shared" si="233"/>
        <v>0</v>
      </c>
      <c r="EA165" s="161">
        <f t="shared" si="234"/>
        <v>0</v>
      </c>
      <c r="EB165" s="161">
        <f t="shared" si="235"/>
        <v>0</v>
      </c>
      <c r="EC165" s="161">
        <f t="shared" si="236"/>
        <v>0</v>
      </c>
      <c r="ED165" s="161">
        <f t="shared" si="237"/>
        <v>0</v>
      </c>
      <c r="EE165" s="161">
        <f t="shared" si="238"/>
        <v>0</v>
      </c>
      <c r="EF165" s="161">
        <f t="shared" si="239"/>
        <v>0</v>
      </c>
      <c r="EG165" s="161">
        <f t="shared" si="240"/>
        <v>0</v>
      </c>
      <c r="EH165" s="161">
        <f t="shared" si="241"/>
        <v>0</v>
      </c>
      <c r="EI165" s="161">
        <f t="shared" si="242"/>
        <v>0</v>
      </c>
      <c r="EJ165" s="161">
        <f t="shared" si="243"/>
        <v>0</v>
      </c>
      <c r="EK165" s="147">
        <f t="shared" si="175"/>
        <v>0</v>
      </c>
      <c r="EL165" s="149"/>
      <c r="EN165" s="146"/>
      <c r="EO165" s="146"/>
      <c r="EP165" s="139">
        <f t="shared" si="176"/>
        <v>0</v>
      </c>
      <c r="EQ165" s="139">
        <f t="shared" si="177"/>
        <v>0</v>
      </c>
      <c r="ER165" s="139">
        <f t="shared" si="178"/>
        <v>0</v>
      </c>
      <c r="ES165" s="139">
        <f t="shared" si="179"/>
        <v>0</v>
      </c>
      <c r="ET165" s="139">
        <f t="shared" si="180"/>
        <v>0</v>
      </c>
      <c r="EU165" s="139">
        <f t="shared" si="181"/>
        <v>0</v>
      </c>
      <c r="EV165" s="139">
        <f t="shared" si="182"/>
        <v>0</v>
      </c>
      <c r="EW165" s="139">
        <f t="shared" si="183"/>
        <v>0</v>
      </c>
      <c r="EX165" s="139">
        <f t="shared" si="184"/>
        <v>0</v>
      </c>
      <c r="EY165" s="139">
        <f t="shared" si="185"/>
        <v>0</v>
      </c>
      <c r="EZ165" s="139">
        <f t="shared" si="186"/>
        <v>0</v>
      </c>
      <c r="FA165" s="139">
        <f t="shared" si="187"/>
        <v>0</v>
      </c>
      <c r="FB165" s="139">
        <f t="shared" si="188"/>
        <v>0</v>
      </c>
      <c r="FC165" s="139">
        <f t="shared" si="189"/>
        <v>0</v>
      </c>
      <c r="FD165" s="139">
        <f t="shared" si="190"/>
        <v>0</v>
      </c>
      <c r="FE165" s="139">
        <f t="shared" si="191"/>
        <v>0</v>
      </c>
      <c r="FF165" s="139">
        <f t="shared" si="192"/>
        <v>0</v>
      </c>
      <c r="FG165" s="139">
        <f t="shared" si="193"/>
        <v>0</v>
      </c>
      <c r="FH165" s="139">
        <f t="shared" si="194"/>
        <v>0</v>
      </c>
      <c r="FI165" s="139">
        <f t="shared" si="195"/>
        <v>0</v>
      </c>
      <c r="FJ165" s="139">
        <f t="shared" si="196"/>
        <v>0</v>
      </c>
      <c r="FK165" s="139">
        <f t="shared" si="197"/>
        <v>0</v>
      </c>
      <c r="FL165" s="139">
        <f t="shared" si="198"/>
        <v>0</v>
      </c>
      <c r="FM165" s="139">
        <f t="shared" si="199"/>
        <v>0</v>
      </c>
      <c r="FN165" s="139">
        <f t="shared" si="200"/>
        <v>0</v>
      </c>
      <c r="FO165" s="139">
        <f t="shared" si="201"/>
        <v>0</v>
      </c>
      <c r="FP165" s="139">
        <f t="shared" si="202"/>
        <v>0</v>
      </c>
      <c r="FQ165" s="139">
        <f t="shared" si="203"/>
        <v>0</v>
      </c>
      <c r="FR165" s="139">
        <f t="shared" si="204"/>
        <v>0</v>
      </c>
      <c r="FS165" s="139">
        <f t="shared" si="205"/>
        <v>0</v>
      </c>
      <c r="FT165" s="139">
        <f t="shared" si="206"/>
        <v>0</v>
      </c>
      <c r="FU165" s="148">
        <f t="shared" si="207"/>
        <v>0</v>
      </c>
      <c r="FV165" s="149"/>
      <c r="FY165" s="211">
        <v>160</v>
      </c>
      <c r="FZ165">
        <v>13.943307791543132</v>
      </c>
      <c r="GA165">
        <v>14.834990751143547</v>
      </c>
      <c r="GB165">
        <v>5.6187910277780277</v>
      </c>
      <c r="GC165">
        <v>2.965427205425899</v>
      </c>
      <c r="GD165">
        <v>0.90047342375349848</v>
      </c>
      <c r="GE165">
        <v>0.42439253999999998</v>
      </c>
      <c r="GF165">
        <v>1.223050412887982</v>
      </c>
      <c r="GG165">
        <v>1.8128276523841229</v>
      </c>
      <c r="GH165">
        <v>5.8678727230270837</v>
      </c>
      <c r="GI165">
        <v>5.1114796601252062</v>
      </c>
      <c r="GJ165"/>
      <c r="GK165">
        <v>13.982407523961832</v>
      </c>
      <c r="GL165">
        <v>12.569086492872229</v>
      </c>
      <c r="GM165">
        <v>9.3401263810209016</v>
      </c>
      <c r="GN165">
        <v>8.9004483233959171</v>
      </c>
      <c r="GO165">
        <v>3.5118616071891271</v>
      </c>
      <c r="GP165">
        <v>0.8125</v>
      </c>
      <c r="GQ165">
        <v>1.4964056940656674</v>
      </c>
      <c r="GR165">
        <v>2.5496464348064078</v>
      </c>
      <c r="GS165">
        <v>6.2565667337263386</v>
      </c>
      <c r="GT165">
        <v>6.9174735879927747</v>
      </c>
      <c r="GU165"/>
      <c r="GV165"/>
      <c r="GW165"/>
      <c r="GX165"/>
      <c r="GY165"/>
      <c r="GZ165"/>
      <c r="HA165"/>
      <c r="HB165"/>
      <c r="HC165"/>
    </row>
    <row r="166" spans="1:211" s="7" customFormat="1">
      <c r="A166" s="1"/>
      <c r="B166" s="76">
        <f t="shared" ca="1" si="172"/>
        <v>0.92699928938153331</v>
      </c>
      <c r="C166">
        <v>9</v>
      </c>
      <c r="D166">
        <v>39910</v>
      </c>
      <c r="E166">
        <v>0</v>
      </c>
      <c r="F166">
        <v>101.27314814814814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67.019357529379391</v>
      </c>
      <c r="AO166">
        <v>8.347678089075492</v>
      </c>
      <c r="AP166">
        <v>11.386391608846594</v>
      </c>
      <c r="AQ166">
        <v>63.078444785917412</v>
      </c>
      <c r="AR166">
        <v>8.5784284531879926</v>
      </c>
      <c r="AS166">
        <v>52.761830714322912</v>
      </c>
      <c r="AT166" t="e">
        <v>#DIV/0!</v>
      </c>
      <c r="AU166" t="e">
        <v>#DIV/0!</v>
      </c>
      <c r="AV166"/>
      <c r="AW166"/>
      <c r="AX166" s="146"/>
      <c r="AY166" s="76">
        <f t="shared" ca="1" si="173"/>
        <v>0.27365186651525164</v>
      </c>
      <c r="AZ166">
        <v>9</v>
      </c>
      <c r="BA166" s="129">
        <f t="shared" si="245"/>
        <v>39910</v>
      </c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8"/>
        <v>0.45327642097547649</v>
      </c>
      <c r="CL166" s="179">
        <f t="shared" si="209"/>
        <v>9</v>
      </c>
      <c r="CM166" s="180">
        <f t="shared" si="210"/>
        <v>39910</v>
      </c>
      <c r="CN166">
        <v>0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11"/>
        <v>9.6000000000000002E-2</v>
      </c>
      <c r="DB166" s="146"/>
      <c r="DC166" s="76">
        <f t="shared" ca="1" si="174"/>
        <v>0.92047891590886799</v>
      </c>
      <c r="DD166">
        <f t="shared" si="212"/>
        <v>9</v>
      </c>
      <c r="DE166" s="129">
        <f t="shared" si="244"/>
        <v>39910</v>
      </c>
      <c r="DF166" s="161">
        <f t="shared" si="213"/>
        <v>0</v>
      </c>
      <c r="DG166" s="161">
        <f t="shared" si="214"/>
        <v>101.27314814814814</v>
      </c>
      <c r="DH166" s="161">
        <f t="shared" si="215"/>
        <v>0</v>
      </c>
      <c r="DI166" s="161">
        <f t="shared" si="216"/>
        <v>0</v>
      </c>
      <c r="DJ166" s="161">
        <f t="shared" si="217"/>
        <v>0</v>
      </c>
      <c r="DK166" s="161">
        <f t="shared" si="218"/>
        <v>0</v>
      </c>
      <c r="DL166" s="161">
        <f t="shared" si="219"/>
        <v>0</v>
      </c>
      <c r="DM166" s="161">
        <f t="shared" si="220"/>
        <v>0</v>
      </c>
      <c r="DN166" s="161">
        <f t="shared" si="221"/>
        <v>0</v>
      </c>
      <c r="DO166" s="161">
        <f t="shared" si="222"/>
        <v>0</v>
      </c>
      <c r="DP166" s="161">
        <f t="shared" si="223"/>
        <v>0</v>
      </c>
      <c r="DQ166" s="161">
        <f t="shared" si="224"/>
        <v>0</v>
      </c>
      <c r="DR166" s="161">
        <f t="shared" si="225"/>
        <v>0</v>
      </c>
      <c r="DS166" s="161">
        <f t="shared" si="226"/>
        <v>0</v>
      </c>
      <c r="DT166" s="161">
        <f t="shared" si="227"/>
        <v>0</v>
      </c>
      <c r="DU166" s="161">
        <f t="shared" si="228"/>
        <v>0</v>
      </c>
      <c r="DV166" s="161">
        <f t="shared" si="229"/>
        <v>0</v>
      </c>
      <c r="DW166" s="161">
        <f t="shared" si="230"/>
        <v>0</v>
      </c>
      <c r="DX166" s="161">
        <f t="shared" si="231"/>
        <v>0</v>
      </c>
      <c r="DY166" s="161">
        <f t="shared" si="232"/>
        <v>0</v>
      </c>
      <c r="DZ166" s="161">
        <f t="shared" si="233"/>
        <v>0</v>
      </c>
      <c r="EA166" s="161">
        <f t="shared" si="234"/>
        <v>0</v>
      </c>
      <c r="EB166" s="161">
        <f t="shared" si="235"/>
        <v>0</v>
      </c>
      <c r="EC166" s="161">
        <f t="shared" si="236"/>
        <v>0</v>
      </c>
      <c r="ED166" s="161">
        <f t="shared" si="237"/>
        <v>0</v>
      </c>
      <c r="EE166" s="161">
        <f t="shared" si="238"/>
        <v>0</v>
      </c>
      <c r="EF166" s="161">
        <f t="shared" si="239"/>
        <v>0</v>
      </c>
      <c r="EG166" s="161">
        <f t="shared" si="240"/>
        <v>0</v>
      </c>
      <c r="EH166" s="161">
        <f t="shared" si="241"/>
        <v>0</v>
      </c>
      <c r="EI166" s="161">
        <f t="shared" si="242"/>
        <v>0</v>
      </c>
      <c r="EJ166" s="161">
        <f t="shared" si="243"/>
        <v>0</v>
      </c>
      <c r="EK166" s="147">
        <f t="shared" si="175"/>
        <v>101.27314814814814</v>
      </c>
      <c r="EL166" s="149"/>
      <c r="EN166" s="146"/>
      <c r="EO166" s="146"/>
      <c r="EP166" s="139">
        <f t="shared" si="176"/>
        <v>0</v>
      </c>
      <c r="EQ166" s="139">
        <f t="shared" si="177"/>
        <v>11.71730324074074</v>
      </c>
      <c r="ER166" s="139">
        <f t="shared" si="178"/>
        <v>0</v>
      </c>
      <c r="ES166" s="139">
        <f t="shared" si="179"/>
        <v>0</v>
      </c>
      <c r="ET166" s="139">
        <f t="shared" si="180"/>
        <v>0</v>
      </c>
      <c r="EU166" s="139">
        <f t="shared" si="181"/>
        <v>0</v>
      </c>
      <c r="EV166" s="139">
        <f t="shared" si="182"/>
        <v>0</v>
      </c>
      <c r="EW166" s="139">
        <f t="shared" si="183"/>
        <v>0</v>
      </c>
      <c r="EX166" s="139">
        <f t="shared" si="184"/>
        <v>0</v>
      </c>
      <c r="EY166" s="139">
        <f t="shared" si="185"/>
        <v>0</v>
      </c>
      <c r="EZ166" s="139">
        <f t="shared" si="186"/>
        <v>0</v>
      </c>
      <c r="FA166" s="139">
        <f t="shared" si="187"/>
        <v>0</v>
      </c>
      <c r="FB166" s="139">
        <f t="shared" si="188"/>
        <v>0</v>
      </c>
      <c r="FC166" s="139">
        <f t="shared" si="189"/>
        <v>0</v>
      </c>
      <c r="FD166" s="139">
        <f t="shared" si="190"/>
        <v>0</v>
      </c>
      <c r="FE166" s="139">
        <f t="shared" si="191"/>
        <v>0</v>
      </c>
      <c r="FF166" s="139">
        <f t="shared" si="192"/>
        <v>0</v>
      </c>
      <c r="FG166" s="139">
        <f t="shared" si="193"/>
        <v>0</v>
      </c>
      <c r="FH166" s="139">
        <f t="shared" si="194"/>
        <v>0</v>
      </c>
      <c r="FI166" s="139">
        <f t="shared" si="195"/>
        <v>0</v>
      </c>
      <c r="FJ166" s="139">
        <f t="shared" si="196"/>
        <v>0</v>
      </c>
      <c r="FK166" s="139">
        <f t="shared" si="197"/>
        <v>0</v>
      </c>
      <c r="FL166" s="139">
        <f t="shared" si="198"/>
        <v>0</v>
      </c>
      <c r="FM166" s="139">
        <f t="shared" si="199"/>
        <v>0</v>
      </c>
      <c r="FN166" s="139">
        <f t="shared" si="200"/>
        <v>0</v>
      </c>
      <c r="FO166" s="139">
        <f t="shared" si="201"/>
        <v>0</v>
      </c>
      <c r="FP166" s="139">
        <f t="shared" si="202"/>
        <v>0</v>
      </c>
      <c r="FQ166" s="139">
        <f t="shared" si="203"/>
        <v>0</v>
      </c>
      <c r="FR166" s="139">
        <f t="shared" si="204"/>
        <v>0</v>
      </c>
      <c r="FS166" s="139">
        <f t="shared" si="205"/>
        <v>0</v>
      </c>
      <c r="FT166" s="139">
        <f t="shared" si="206"/>
        <v>0</v>
      </c>
      <c r="FU166" s="148">
        <f t="shared" si="207"/>
        <v>11.71730324074074</v>
      </c>
      <c r="FV166" s="149"/>
      <c r="FY166" s="211">
        <v>161</v>
      </c>
      <c r="FZ166">
        <v>16.223297248257907</v>
      </c>
      <c r="GA166">
        <v>15.358745263244231</v>
      </c>
      <c r="GB166">
        <v>4.31816882674861</v>
      </c>
      <c r="GC166">
        <v>2.1124656126627421</v>
      </c>
      <c r="GD166">
        <v>1.1670149416370623</v>
      </c>
      <c r="GE166">
        <v>1.6395903795798321</v>
      </c>
      <c r="GF166">
        <v>1.1521981644180253</v>
      </c>
      <c r="GG166">
        <v>1.003228398856431</v>
      </c>
      <c r="GH166">
        <v>3.8929162342238119</v>
      </c>
      <c r="GI166">
        <v>4.9556244570185726</v>
      </c>
      <c r="GJ166"/>
      <c r="GK166">
        <v>16.276320852008439</v>
      </c>
      <c r="GL166">
        <v>13.016067780212961</v>
      </c>
      <c r="GM166">
        <v>7.1557860921044698</v>
      </c>
      <c r="GN166">
        <v>6.3019426390300577</v>
      </c>
      <c r="GO166">
        <v>4.5328548494602074</v>
      </c>
      <c r="GP166">
        <v>3.1389976445123509</v>
      </c>
      <c r="GQ166">
        <v>1.4118986513687599</v>
      </c>
      <c r="GR166">
        <v>1.4118986513687599</v>
      </c>
      <c r="GS166">
        <v>4.1495303308851419</v>
      </c>
      <c r="GT166">
        <v>6.705278155165403</v>
      </c>
      <c r="GU166"/>
      <c r="GV166"/>
      <c r="GW166"/>
      <c r="GX166"/>
      <c r="GY166"/>
      <c r="GZ166"/>
      <c r="HA166"/>
      <c r="HB166"/>
      <c r="HC166"/>
    </row>
    <row r="167" spans="1:211" s="7" customFormat="1">
      <c r="A167" s="1"/>
      <c r="B167" s="76">
        <f t="shared" ca="1" si="172"/>
        <v>0.53796408819320263</v>
      </c>
      <c r="C167">
        <v>3</v>
      </c>
      <c r="D167">
        <v>39910</v>
      </c>
      <c r="E167">
        <v>86.805555555555557</v>
      </c>
      <c r="F167">
        <v>86.805555555555557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53.287111228616268</v>
      </c>
      <c r="AO167">
        <v>6.8195332095653285</v>
      </c>
      <c r="AP167">
        <v>72.84922319632139</v>
      </c>
      <c r="AQ167">
        <v>43.564766147308724</v>
      </c>
      <c r="AR167">
        <v>7.2612462620228175</v>
      </c>
      <c r="AS167">
        <v>41.190120332925765</v>
      </c>
      <c r="AT167" t="e">
        <v>#DIV/0!</v>
      </c>
      <c r="AU167" t="e">
        <v>#DIV/0!</v>
      </c>
      <c r="AV167"/>
      <c r="AW167"/>
      <c r="AX167" s="146"/>
      <c r="AY167" s="76">
        <f t="shared" ca="1" si="173"/>
        <v>0.11934971782231552</v>
      </c>
      <c r="AZ167">
        <v>10</v>
      </c>
      <c r="BA167" s="129">
        <f t="shared" si="245"/>
        <v>39910</v>
      </c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8"/>
        <v>0.24884082076910907</v>
      </c>
      <c r="CL167" s="179">
        <f t="shared" si="209"/>
        <v>10</v>
      </c>
      <c r="CM167" s="180">
        <f t="shared" si="210"/>
        <v>39910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11"/>
        <v>9.6000000000000002E-2</v>
      </c>
      <c r="DB167" s="146"/>
      <c r="DC167" s="76">
        <f t="shared" ca="1" si="174"/>
        <v>0.38374451563245682</v>
      </c>
      <c r="DD167">
        <f t="shared" si="212"/>
        <v>10</v>
      </c>
      <c r="DE167" s="129">
        <f t="shared" si="244"/>
        <v>39910</v>
      </c>
      <c r="DF167" s="161">
        <f t="shared" si="213"/>
        <v>0</v>
      </c>
      <c r="DG167" s="161">
        <f t="shared" si="214"/>
        <v>0</v>
      </c>
      <c r="DH167" s="161">
        <f t="shared" si="215"/>
        <v>0</v>
      </c>
      <c r="DI167" s="161">
        <f t="shared" si="216"/>
        <v>0</v>
      </c>
      <c r="DJ167" s="161">
        <f t="shared" si="217"/>
        <v>0</v>
      </c>
      <c r="DK167" s="161">
        <f t="shared" si="218"/>
        <v>0</v>
      </c>
      <c r="DL167" s="161">
        <f t="shared" si="219"/>
        <v>0</v>
      </c>
      <c r="DM167" s="161">
        <f t="shared" si="220"/>
        <v>0</v>
      </c>
      <c r="DN167" s="161">
        <f t="shared" si="221"/>
        <v>0</v>
      </c>
      <c r="DO167" s="161">
        <f t="shared" si="222"/>
        <v>0</v>
      </c>
      <c r="DP167" s="161">
        <f t="shared" si="223"/>
        <v>0</v>
      </c>
      <c r="DQ167" s="161">
        <f t="shared" si="224"/>
        <v>0</v>
      </c>
      <c r="DR167" s="161">
        <f t="shared" si="225"/>
        <v>0</v>
      </c>
      <c r="DS167" s="161">
        <f t="shared" si="226"/>
        <v>0</v>
      </c>
      <c r="DT167" s="161">
        <f t="shared" si="227"/>
        <v>0</v>
      </c>
      <c r="DU167" s="161">
        <f t="shared" si="228"/>
        <v>0</v>
      </c>
      <c r="DV167" s="161">
        <f t="shared" si="229"/>
        <v>0</v>
      </c>
      <c r="DW167" s="161">
        <f t="shared" si="230"/>
        <v>0</v>
      </c>
      <c r="DX167" s="161">
        <f t="shared" si="231"/>
        <v>0</v>
      </c>
      <c r="DY167" s="161">
        <f t="shared" si="232"/>
        <v>0</v>
      </c>
      <c r="DZ167" s="161">
        <f t="shared" si="233"/>
        <v>0</v>
      </c>
      <c r="EA167" s="161">
        <f t="shared" si="234"/>
        <v>0</v>
      </c>
      <c r="EB167" s="161">
        <f t="shared" si="235"/>
        <v>0</v>
      </c>
      <c r="EC167" s="161">
        <f t="shared" si="236"/>
        <v>0</v>
      </c>
      <c r="ED167" s="161">
        <f t="shared" si="237"/>
        <v>0</v>
      </c>
      <c r="EE167" s="161">
        <f t="shared" si="238"/>
        <v>0</v>
      </c>
      <c r="EF167" s="161">
        <f t="shared" si="239"/>
        <v>0</v>
      </c>
      <c r="EG167" s="161">
        <f t="shared" si="240"/>
        <v>0</v>
      </c>
      <c r="EH167" s="161">
        <f t="shared" si="241"/>
        <v>0</v>
      </c>
      <c r="EI167" s="161">
        <f t="shared" si="242"/>
        <v>0</v>
      </c>
      <c r="EJ167" s="161">
        <f t="shared" si="243"/>
        <v>0</v>
      </c>
      <c r="EK167" s="147">
        <f t="shared" si="175"/>
        <v>0</v>
      </c>
      <c r="EL167" s="149"/>
      <c r="EN167" s="146"/>
      <c r="EO167" s="146"/>
      <c r="EP167" s="139">
        <f t="shared" si="176"/>
        <v>0</v>
      </c>
      <c r="EQ167" s="139">
        <f t="shared" si="177"/>
        <v>0</v>
      </c>
      <c r="ER167" s="139">
        <f t="shared" si="178"/>
        <v>0</v>
      </c>
      <c r="ES167" s="139">
        <f t="shared" si="179"/>
        <v>0</v>
      </c>
      <c r="ET167" s="139">
        <f t="shared" si="180"/>
        <v>0</v>
      </c>
      <c r="EU167" s="139">
        <f t="shared" si="181"/>
        <v>0</v>
      </c>
      <c r="EV167" s="139">
        <f t="shared" si="182"/>
        <v>0</v>
      </c>
      <c r="EW167" s="139">
        <f t="shared" si="183"/>
        <v>0</v>
      </c>
      <c r="EX167" s="139">
        <f t="shared" si="184"/>
        <v>0</v>
      </c>
      <c r="EY167" s="139">
        <f t="shared" si="185"/>
        <v>0</v>
      </c>
      <c r="EZ167" s="139">
        <f t="shared" si="186"/>
        <v>0</v>
      </c>
      <c r="FA167" s="139">
        <f t="shared" si="187"/>
        <v>0</v>
      </c>
      <c r="FB167" s="139">
        <f t="shared" si="188"/>
        <v>0</v>
      </c>
      <c r="FC167" s="139">
        <f t="shared" si="189"/>
        <v>0</v>
      </c>
      <c r="FD167" s="139">
        <f t="shared" si="190"/>
        <v>0</v>
      </c>
      <c r="FE167" s="139">
        <f t="shared" si="191"/>
        <v>0</v>
      </c>
      <c r="FF167" s="139">
        <f t="shared" si="192"/>
        <v>0</v>
      </c>
      <c r="FG167" s="139">
        <f t="shared" si="193"/>
        <v>0</v>
      </c>
      <c r="FH167" s="139">
        <f t="shared" si="194"/>
        <v>0</v>
      </c>
      <c r="FI167" s="139">
        <f t="shared" si="195"/>
        <v>0</v>
      </c>
      <c r="FJ167" s="139">
        <f t="shared" si="196"/>
        <v>0</v>
      </c>
      <c r="FK167" s="139">
        <f t="shared" si="197"/>
        <v>0</v>
      </c>
      <c r="FL167" s="139">
        <f t="shared" si="198"/>
        <v>0</v>
      </c>
      <c r="FM167" s="139">
        <f t="shared" si="199"/>
        <v>0</v>
      </c>
      <c r="FN167" s="139">
        <f t="shared" si="200"/>
        <v>0</v>
      </c>
      <c r="FO167" s="139">
        <f t="shared" si="201"/>
        <v>0</v>
      </c>
      <c r="FP167" s="139">
        <f t="shared" si="202"/>
        <v>0</v>
      </c>
      <c r="FQ167" s="139">
        <f t="shared" si="203"/>
        <v>0</v>
      </c>
      <c r="FR167" s="139">
        <f t="shared" si="204"/>
        <v>0</v>
      </c>
      <c r="FS167" s="139">
        <f t="shared" si="205"/>
        <v>0</v>
      </c>
      <c r="FT167" s="139">
        <f t="shared" si="206"/>
        <v>0</v>
      </c>
      <c r="FU167" s="148">
        <f t="shared" si="207"/>
        <v>0</v>
      </c>
      <c r="FV167" s="149"/>
      <c r="FY167" s="211">
        <v>162</v>
      </c>
      <c r="FZ167">
        <v>12.550601590425309</v>
      </c>
      <c r="GA167">
        <v>8.8838051702921685</v>
      </c>
      <c r="GB167">
        <v>4.1897814247435639</v>
      </c>
      <c r="GC167">
        <v>2.0422351845373847</v>
      </c>
      <c r="GD167">
        <v>1.337150030581169</v>
      </c>
      <c r="GE167">
        <v>2.0461783178571427</v>
      </c>
      <c r="GF167">
        <v>0.66330071966787318</v>
      </c>
      <c r="GG167">
        <v>0.90314713503810828</v>
      </c>
      <c r="GH167">
        <v>5.4992067586263831</v>
      </c>
      <c r="GI167">
        <v>4.6431322136794941</v>
      </c>
      <c r="GJ167"/>
      <c r="GK167">
        <v>12.605839258099662</v>
      </c>
      <c r="GL167">
        <v>7.527838150140294</v>
      </c>
      <c r="GM167">
        <v>6.9764509638977579</v>
      </c>
      <c r="GN167">
        <v>6.1378828400556404</v>
      </c>
      <c r="GO167">
        <v>5.1837730861653846</v>
      </c>
      <c r="GP167">
        <v>3.9174107142857144</v>
      </c>
      <c r="GQ167">
        <v>0.81049083899320351</v>
      </c>
      <c r="GR167">
        <v>1.2694028760302405</v>
      </c>
      <c r="GS167">
        <v>5.862440627675082</v>
      </c>
      <c r="GT167">
        <v>6.2877989549662177</v>
      </c>
      <c r="GU167"/>
      <c r="GV167"/>
      <c r="GW167"/>
      <c r="GX167"/>
      <c r="GY167"/>
      <c r="GZ167"/>
      <c r="HA167"/>
      <c r="HB167"/>
      <c r="HC167"/>
    </row>
    <row r="168" spans="1:211" s="7" customFormat="1">
      <c r="A168" s="128"/>
      <c r="B168" s="76">
        <f t="shared" ca="1" si="172"/>
        <v>0.33141269260129058</v>
      </c>
      <c r="C168">
        <v>3</v>
      </c>
      <c r="D168">
        <v>39949</v>
      </c>
      <c r="E168">
        <v>0</v>
      </c>
      <c r="F168">
        <v>81.018518518518519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67.762988763303767</v>
      </c>
      <c r="AO168">
        <v>7.3870706252865546</v>
      </c>
      <c r="AP168">
        <v>117.80593531695899</v>
      </c>
      <c r="AQ168">
        <v>57.876033158818736</v>
      </c>
      <c r="AR168">
        <v>7.7231363861407676</v>
      </c>
      <c r="AS168">
        <v>47.246424384071176</v>
      </c>
      <c r="AT168" t="e">
        <v>#DIV/0!</v>
      </c>
      <c r="AU168" t="e">
        <v>#DIV/0!</v>
      </c>
      <c r="AV168"/>
      <c r="AW168"/>
      <c r="AX168" s="128"/>
      <c r="AY168" s="76">
        <f t="shared" ca="1" si="173"/>
        <v>0.47774103520892575</v>
      </c>
      <c r="AZ168">
        <v>1</v>
      </c>
      <c r="BA168" s="129">
        <f>IF(AZ168="", "",$C$12)</f>
        <v>39949</v>
      </c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8"/>
        <v>0.40092040117508421</v>
      </c>
      <c r="CL168" s="179">
        <f t="shared" si="209"/>
        <v>1</v>
      </c>
      <c r="CM168" s="180">
        <f t="shared" si="210"/>
        <v>39949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11"/>
        <v>9.6000000000000002E-2</v>
      </c>
      <c r="DB168" s="128"/>
      <c r="DC168" s="76">
        <f t="shared" ca="1" si="174"/>
        <v>0.52533648535534372</v>
      </c>
      <c r="DD168">
        <f t="shared" si="212"/>
        <v>1</v>
      </c>
      <c r="DE168" s="129">
        <f t="shared" ref="DE168:DE177" si="246">IF((DD168)="", "", $C$12)</f>
        <v>39949</v>
      </c>
      <c r="DF168" s="161">
        <f t="shared" si="213"/>
        <v>0</v>
      </c>
      <c r="DG168" s="161">
        <f t="shared" si="214"/>
        <v>0</v>
      </c>
      <c r="DH168" s="161">
        <f t="shared" si="215"/>
        <v>0</v>
      </c>
      <c r="DI168" s="161">
        <f t="shared" si="216"/>
        <v>0</v>
      </c>
      <c r="DJ168" s="161">
        <f t="shared" si="217"/>
        <v>0</v>
      </c>
      <c r="DK168" s="161">
        <f t="shared" si="218"/>
        <v>0</v>
      </c>
      <c r="DL168" s="161">
        <f t="shared" si="219"/>
        <v>0</v>
      </c>
      <c r="DM168" s="161">
        <f t="shared" si="220"/>
        <v>0</v>
      </c>
      <c r="DN168" s="161">
        <f t="shared" si="221"/>
        <v>0</v>
      </c>
      <c r="DO168" s="161">
        <f t="shared" si="222"/>
        <v>0</v>
      </c>
      <c r="DP168" s="161">
        <f t="shared" si="223"/>
        <v>0</v>
      </c>
      <c r="DQ168" s="161">
        <f t="shared" si="224"/>
        <v>0</v>
      </c>
      <c r="DR168" s="161">
        <f t="shared" si="225"/>
        <v>0</v>
      </c>
      <c r="DS168" s="161">
        <f t="shared" si="226"/>
        <v>0</v>
      </c>
      <c r="DT168" s="161">
        <f t="shared" si="227"/>
        <v>0</v>
      </c>
      <c r="DU168" s="161">
        <f t="shared" si="228"/>
        <v>0</v>
      </c>
      <c r="DV168" s="161">
        <f t="shared" si="229"/>
        <v>0</v>
      </c>
      <c r="DW168" s="161">
        <f t="shared" si="230"/>
        <v>0</v>
      </c>
      <c r="DX168" s="161">
        <f t="shared" si="231"/>
        <v>0</v>
      </c>
      <c r="DY168" s="161">
        <f t="shared" si="232"/>
        <v>0</v>
      </c>
      <c r="DZ168" s="161">
        <f t="shared" si="233"/>
        <v>0</v>
      </c>
      <c r="EA168" s="161">
        <f t="shared" si="234"/>
        <v>0</v>
      </c>
      <c r="EB168" s="161">
        <f t="shared" si="235"/>
        <v>0</v>
      </c>
      <c r="EC168" s="161">
        <f t="shared" si="236"/>
        <v>0</v>
      </c>
      <c r="ED168" s="161">
        <f t="shared" si="237"/>
        <v>0</v>
      </c>
      <c r="EE168" s="161">
        <f t="shared" si="238"/>
        <v>0</v>
      </c>
      <c r="EF168" s="161">
        <f t="shared" si="239"/>
        <v>0</v>
      </c>
      <c r="EG168" s="161">
        <f t="shared" si="240"/>
        <v>0</v>
      </c>
      <c r="EH168" s="161">
        <f t="shared" si="241"/>
        <v>0</v>
      </c>
      <c r="EI168" s="161">
        <f t="shared" si="242"/>
        <v>0</v>
      </c>
      <c r="EJ168" s="161">
        <f t="shared" si="243"/>
        <v>0</v>
      </c>
      <c r="EK168" s="147">
        <f t="shared" si="175"/>
        <v>0</v>
      </c>
      <c r="EL168" s="149"/>
      <c r="EN168" s="146"/>
      <c r="EO168" s="146"/>
      <c r="EP168" s="139">
        <f t="shared" si="176"/>
        <v>0</v>
      </c>
      <c r="EQ168" s="139">
        <f t="shared" si="177"/>
        <v>0</v>
      </c>
      <c r="ER168" s="139">
        <f t="shared" si="178"/>
        <v>0</v>
      </c>
      <c r="ES168" s="139">
        <f t="shared" si="179"/>
        <v>0</v>
      </c>
      <c r="ET168" s="139">
        <f t="shared" si="180"/>
        <v>0</v>
      </c>
      <c r="EU168" s="139">
        <f t="shared" si="181"/>
        <v>0</v>
      </c>
      <c r="EV168" s="139">
        <f t="shared" si="182"/>
        <v>0</v>
      </c>
      <c r="EW168" s="139">
        <f t="shared" si="183"/>
        <v>0</v>
      </c>
      <c r="EX168" s="139">
        <f t="shared" si="184"/>
        <v>0</v>
      </c>
      <c r="EY168" s="139">
        <f t="shared" si="185"/>
        <v>0</v>
      </c>
      <c r="EZ168" s="139">
        <f t="shared" si="186"/>
        <v>0</v>
      </c>
      <c r="FA168" s="139">
        <f t="shared" si="187"/>
        <v>0</v>
      </c>
      <c r="FB168" s="139">
        <f t="shared" si="188"/>
        <v>0</v>
      </c>
      <c r="FC168" s="139">
        <f t="shared" si="189"/>
        <v>0</v>
      </c>
      <c r="FD168" s="139">
        <f t="shared" si="190"/>
        <v>0</v>
      </c>
      <c r="FE168" s="139">
        <f t="shared" si="191"/>
        <v>0</v>
      </c>
      <c r="FF168" s="139">
        <f t="shared" si="192"/>
        <v>0</v>
      </c>
      <c r="FG168" s="139">
        <f t="shared" si="193"/>
        <v>0</v>
      </c>
      <c r="FH168" s="139">
        <f t="shared" si="194"/>
        <v>0</v>
      </c>
      <c r="FI168" s="139">
        <f t="shared" si="195"/>
        <v>0</v>
      </c>
      <c r="FJ168" s="139">
        <f t="shared" si="196"/>
        <v>0</v>
      </c>
      <c r="FK168" s="139">
        <f t="shared" si="197"/>
        <v>0</v>
      </c>
      <c r="FL168" s="139">
        <f t="shared" si="198"/>
        <v>0</v>
      </c>
      <c r="FM168" s="139">
        <f t="shared" si="199"/>
        <v>0</v>
      </c>
      <c r="FN168" s="139">
        <f t="shared" si="200"/>
        <v>0</v>
      </c>
      <c r="FO168" s="139">
        <f t="shared" si="201"/>
        <v>0</v>
      </c>
      <c r="FP168" s="139">
        <f t="shared" si="202"/>
        <v>0</v>
      </c>
      <c r="FQ168" s="139">
        <f t="shared" si="203"/>
        <v>0</v>
      </c>
      <c r="FR168" s="139">
        <f t="shared" si="204"/>
        <v>0</v>
      </c>
      <c r="FS168" s="139">
        <f t="shared" si="205"/>
        <v>0</v>
      </c>
      <c r="FT168" s="139">
        <f t="shared" si="206"/>
        <v>0</v>
      </c>
      <c r="FU168" s="148">
        <f t="shared" si="207"/>
        <v>0</v>
      </c>
      <c r="FV168" s="149"/>
      <c r="FY168" s="211">
        <v>163</v>
      </c>
      <c r="FZ168">
        <v>12.468993131079475</v>
      </c>
      <c r="GA168">
        <v>12.011589946689153</v>
      </c>
      <c r="GB168">
        <v>5.391395085993743</v>
      </c>
      <c r="GC168">
        <v>2.8097969113380978</v>
      </c>
      <c r="GD168">
        <v>2.1126227315180786</v>
      </c>
      <c r="GE168">
        <v>3.1908872258823524</v>
      </c>
      <c r="GF168">
        <v>1.7999008971784418</v>
      </c>
      <c r="GG168">
        <v>2.2193508584918478</v>
      </c>
      <c r="GH168">
        <v>5.7164057232308121</v>
      </c>
      <c r="GI168">
        <v>5.6121405869035339</v>
      </c>
      <c r="GJ168"/>
      <c r="GK168">
        <v>12.524297647217482</v>
      </c>
      <c r="GL168">
        <v>10.179977304275335</v>
      </c>
      <c r="GM168">
        <v>8.9703570373884638</v>
      </c>
      <c r="GN168">
        <v>8.4357317090384623</v>
      </c>
      <c r="GO168">
        <v>8.1999937189861907</v>
      </c>
      <c r="GP168">
        <v>6.1089572192513364</v>
      </c>
      <c r="GQ168">
        <v>2.2055907809983895</v>
      </c>
      <c r="GR168">
        <v>3.1234148550724634</v>
      </c>
      <c r="GS168">
        <v>6.0927972519541598</v>
      </c>
      <c r="GT168">
        <v>7.5986072873089388</v>
      </c>
      <c r="GU168"/>
      <c r="GV168"/>
      <c r="GW168"/>
      <c r="GX168"/>
      <c r="GY168"/>
      <c r="GZ168"/>
      <c r="HA168"/>
      <c r="HB168"/>
      <c r="HC168"/>
    </row>
    <row r="169" spans="1:211" s="7" customFormat="1">
      <c r="A169" s="1"/>
      <c r="B169" s="76">
        <f t="shared" ca="1" si="172"/>
        <v>0.92404953686550839</v>
      </c>
      <c r="C169">
        <v>10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62.092566141153</v>
      </c>
      <c r="AO169">
        <v>7.2857608386852091</v>
      </c>
      <c r="AP169">
        <v>71.615281813850018</v>
      </c>
      <c r="AQ169">
        <v>54.523136336341388</v>
      </c>
      <c r="AR169">
        <v>7.8396566757530195</v>
      </c>
      <c r="AS169">
        <v>46.828651313576131</v>
      </c>
      <c r="AT169" t="e">
        <v>#DIV/0!</v>
      </c>
      <c r="AU169" t="e">
        <v>#DIV/0!</v>
      </c>
      <c r="AV169"/>
      <c r="AW169"/>
      <c r="AX169" s="146"/>
      <c r="AY169" s="76">
        <f t="shared" ca="1" si="173"/>
        <v>0.37918758324203772</v>
      </c>
      <c r="AZ169">
        <v>2</v>
      </c>
      <c r="BA169" s="129">
        <f t="shared" ref="BA169:BA177" si="247">IF(AZ169="", "",$C$12)</f>
        <v>39949</v>
      </c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8"/>
        <v>0.57955053097556397</v>
      </c>
      <c r="CL169" s="179">
        <f t="shared" si="209"/>
        <v>2</v>
      </c>
      <c r="CM169" s="180">
        <f t="shared" si="210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11"/>
        <v>9.6000000000000002E-2</v>
      </c>
      <c r="DB169" s="146"/>
      <c r="DC169" s="76">
        <f t="shared" ca="1" si="174"/>
        <v>0.78879625850385748</v>
      </c>
      <c r="DD169">
        <f t="shared" si="212"/>
        <v>2</v>
      </c>
      <c r="DE169" s="129">
        <f t="shared" si="246"/>
        <v>39949</v>
      </c>
      <c r="DF169" s="161">
        <f t="shared" si="213"/>
        <v>0</v>
      </c>
      <c r="DG169" s="161">
        <f t="shared" si="214"/>
        <v>0</v>
      </c>
      <c r="DH169" s="161">
        <f t="shared" si="215"/>
        <v>0</v>
      </c>
      <c r="DI169" s="161">
        <f t="shared" si="216"/>
        <v>0</v>
      </c>
      <c r="DJ169" s="161">
        <f t="shared" si="217"/>
        <v>0</v>
      </c>
      <c r="DK169" s="161">
        <f t="shared" si="218"/>
        <v>0</v>
      </c>
      <c r="DL169" s="161">
        <f t="shared" si="219"/>
        <v>0</v>
      </c>
      <c r="DM169" s="161">
        <f t="shared" si="220"/>
        <v>0</v>
      </c>
      <c r="DN169" s="161">
        <f t="shared" si="221"/>
        <v>0</v>
      </c>
      <c r="DO169" s="161">
        <f t="shared" si="222"/>
        <v>0</v>
      </c>
      <c r="DP169" s="161">
        <f t="shared" si="223"/>
        <v>0</v>
      </c>
      <c r="DQ169" s="161">
        <f t="shared" si="224"/>
        <v>0</v>
      </c>
      <c r="DR169" s="161">
        <f t="shared" si="225"/>
        <v>0</v>
      </c>
      <c r="DS169" s="161">
        <f t="shared" si="226"/>
        <v>0</v>
      </c>
      <c r="DT169" s="161">
        <f t="shared" si="227"/>
        <v>0</v>
      </c>
      <c r="DU169" s="161">
        <f t="shared" si="228"/>
        <v>0</v>
      </c>
      <c r="DV169" s="161">
        <f t="shared" si="229"/>
        <v>0</v>
      </c>
      <c r="DW169" s="161">
        <f t="shared" si="230"/>
        <v>0</v>
      </c>
      <c r="DX169" s="161">
        <f t="shared" si="231"/>
        <v>0</v>
      </c>
      <c r="DY169" s="161">
        <f t="shared" si="232"/>
        <v>0</v>
      </c>
      <c r="DZ169" s="161">
        <f t="shared" si="233"/>
        <v>0</v>
      </c>
      <c r="EA169" s="161">
        <f t="shared" si="234"/>
        <v>0</v>
      </c>
      <c r="EB169" s="161">
        <f t="shared" si="235"/>
        <v>0</v>
      </c>
      <c r="EC169" s="161">
        <f t="shared" si="236"/>
        <v>0</v>
      </c>
      <c r="ED169" s="161">
        <f t="shared" si="237"/>
        <v>0</v>
      </c>
      <c r="EE169" s="161">
        <f t="shared" si="238"/>
        <v>0</v>
      </c>
      <c r="EF169" s="161">
        <f t="shared" si="239"/>
        <v>0</v>
      </c>
      <c r="EG169" s="161">
        <f t="shared" si="240"/>
        <v>0</v>
      </c>
      <c r="EH169" s="161">
        <f t="shared" si="241"/>
        <v>0</v>
      </c>
      <c r="EI169" s="161">
        <f t="shared" si="242"/>
        <v>0</v>
      </c>
      <c r="EJ169" s="161">
        <f t="shared" si="243"/>
        <v>0</v>
      </c>
      <c r="EK169" s="147">
        <f t="shared" si="175"/>
        <v>0</v>
      </c>
      <c r="EL169" s="149"/>
      <c r="EN169" s="146"/>
      <c r="EO169" s="146"/>
      <c r="EP169" s="139">
        <f t="shared" si="176"/>
        <v>0</v>
      </c>
      <c r="EQ169" s="139">
        <f t="shared" si="177"/>
        <v>0</v>
      </c>
      <c r="ER169" s="139">
        <f t="shared" si="178"/>
        <v>0</v>
      </c>
      <c r="ES169" s="139">
        <f t="shared" si="179"/>
        <v>0</v>
      </c>
      <c r="ET169" s="139">
        <f t="shared" si="180"/>
        <v>0</v>
      </c>
      <c r="EU169" s="139">
        <f t="shared" si="181"/>
        <v>0</v>
      </c>
      <c r="EV169" s="139">
        <f t="shared" si="182"/>
        <v>0</v>
      </c>
      <c r="EW169" s="139">
        <f t="shared" si="183"/>
        <v>0</v>
      </c>
      <c r="EX169" s="139">
        <f t="shared" si="184"/>
        <v>0</v>
      </c>
      <c r="EY169" s="139">
        <f t="shared" si="185"/>
        <v>0</v>
      </c>
      <c r="EZ169" s="139">
        <f t="shared" si="186"/>
        <v>0</v>
      </c>
      <c r="FA169" s="139">
        <f t="shared" si="187"/>
        <v>0</v>
      </c>
      <c r="FB169" s="139">
        <f t="shared" si="188"/>
        <v>0</v>
      </c>
      <c r="FC169" s="139">
        <f t="shared" si="189"/>
        <v>0</v>
      </c>
      <c r="FD169" s="139">
        <f t="shared" si="190"/>
        <v>0</v>
      </c>
      <c r="FE169" s="139">
        <f t="shared" si="191"/>
        <v>0</v>
      </c>
      <c r="FF169" s="139">
        <f t="shared" si="192"/>
        <v>0</v>
      </c>
      <c r="FG169" s="139">
        <f t="shared" si="193"/>
        <v>0</v>
      </c>
      <c r="FH169" s="139">
        <f t="shared" si="194"/>
        <v>0</v>
      </c>
      <c r="FI169" s="139">
        <f t="shared" si="195"/>
        <v>0</v>
      </c>
      <c r="FJ169" s="139">
        <f t="shared" si="196"/>
        <v>0</v>
      </c>
      <c r="FK169" s="139">
        <f t="shared" si="197"/>
        <v>0</v>
      </c>
      <c r="FL169" s="139">
        <f t="shared" si="198"/>
        <v>0</v>
      </c>
      <c r="FM169" s="139">
        <f t="shared" si="199"/>
        <v>0</v>
      </c>
      <c r="FN169" s="139">
        <f t="shared" si="200"/>
        <v>0</v>
      </c>
      <c r="FO169" s="139">
        <f t="shared" si="201"/>
        <v>0</v>
      </c>
      <c r="FP169" s="139">
        <f t="shared" si="202"/>
        <v>0</v>
      </c>
      <c r="FQ169" s="139">
        <f t="shared" si="203"/>
        <v>0</v>
      </c>
      <c r="FR169" s="139">
        <f t="shared" si="204"/>
        <v>0</v>
      </c>
      <c r="FS169" s="139">
        <f t="shared" si="205"/>
        <v>0</v>
      </c>
      <c r="FT169" s="139">
        <f t="shared" si="206"/>
        <v>0</v>
      </c>
      <c r="FU169" s="148">
        <f t="shared" si="207"/>
        <v>0</v>
      </c>
      <c r="FV169" s="149"/>
      <c r="FY169" s="211">
        <v>164</v>
      </c>
      <c r="FZ169">
        <v>15.276862383882907</v>
      </c>
      <c r="GA169">
        <v>15.188551903230231</v>
      </c>
      <c r="GB169">
        <v>5.8684206886666725</v>
      </c>
      <c r="GC169">
        <v>3.1120938774902127</v>
      </c>
      <c r="GD169">
        <v>0.87837896574999996</v>
      </c>
      <c r="GE169">
        <v>0.77805299000000006</v>
      </c>
      <c r="GF169">
        <v>0.61500395478260861</v>
      </c>
      <c r="GG169">
        <v>0.90968051734601452</v>
      </c>
      <c r="GH169">
        <v>4.9641883923326393</v>
      </c>
      <c r="GI169">
        <v>5.1007040534677328</v>
      </c>
      <c r="GJ169"/>
      <c r="GK169">
        <v>15.328404185341771</v>
      </c>
      <c r="GL169">
        <v>12.872083099433231</v>
      </c>
      <c r="GM169">
        <v>9.7210555233172311</v>
      </c>
      <c r="GN169">
        <v>9.2660836773704709</v>
      </c>
      <c r="GO169">
        <v>3.4057291666666667</v>
      </c>
      <c r="GP169">
        <v>1.4895833333333333</v>
      </c>
      <c r="GQ169">
        <v>0.75362318840579701</v>
      </c>
      <c r="GR169">
        <v>1.2802435587761674</v>
      </c>
      <c r="GS169">
        <v>5.2924463633559684</v>
      </c>
      <c r="GT169">
        <v>6.9002516854174862</v>
      </c>
      <c r="GU169"/>
      <c r="GV169"/>
      <c r="GW169"/>
      <c r="GX169"/>
      <c r="GY169"/>
      <c r="GZ169"/>
      <c r="HA169"/>
      <c r="HB169"/>
      <c r="HC169"/>
    </row>
    <row r="170" spans="1:211" s="7" customFormat="1">
      <c r="A170" s="1"/>
      <c r="B170" s="76">
        <f t="shared" ca="1" si="172"/>
        <v>0.37768303937402603</v>
      </c>
      <c r="C170">
        <v>7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61.828024124465756</v>
      </c>
      <c r="AO170">
        <v>7.570772722361288</v>
      </c>
      <c r="AP170">
        <v>106.94915615042365</v>
      </c>
      <c r="AQ170">
        <v>50.642925452843023</v>
      </c>
      <c r="AR170">
        <v>8.0377944369055019</v>
      </c>
      <c r="AS170">
        <v>48.732155817604877</v>
      </c>
      <c r="AT170" t="e">
        <v>#DIV/0!</v>
      </c>
      <c r="AU170" t="e">
        <v>#DIV/0!</v>
      </c>
      <c r="AV170"/>
      <c r="AW170"/>
      <c r="AX170" s="146"/>
      <c r="AY170" s="76">
        <f t="shared" ca="1" si="173"/>
        <v>0.17381500492271762</v>
      </c>
      <c r="AZ170">
        <v>3</v>
      </c>
      <c r="BA170" s="129">
        <f t="shared" si="247"/>
        <v>39949</v>
      </c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8"/>
        <v>0.88315800431937097</v>
      </c>
      <c r="CL170" s="179">
        <f t="shared" si="209"/>
        <v>3</v>
      </c>
      <c r="CM170" s="180">
        <f t="shared" si="210"/>
        <v>39949</v>
      </c>
      <c r="CN170">
        <v>0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11"/>
        <v>9.6000000000000002E-2</v>
      </c>
      <c r="DB170" s="146"/>
      <c r="DC170" s="76">
        <f t="shared" ca="1" si="174"/>
        <v>0.29204169646011824</v>
      </c>
      <c r="DD170">
        <f t="shared" si="212"/>
        <v>3</v>
      </c>
      <c r="DE170" s="129">
        <f t="shared" si="246"/>
        <v>39949</v>
      </c>
      <c r="DF170" s="161">
        <f t="shared" si="213"/>
        <v>0</v>
      </c>
      <c r="DG170" s="161">
        <f t="shared" si="214"/>
        <v>81.018518518518519</v>
      </c>
      <c r="DH170" s="161">
        <f t="shared" si="215"/>
        <v>0</v>
      </c>
      <c r="DI170" s="161">
        <f t="shared" si="216"/>
        <v>0</v>
      </c>
      <c r="DJ170" s="161">
        <f t="shared" si="217"/>
        <v>0</v>
      </c>
      <c r="DK170" s="161">
        <f t="shared" si="218"/>
        <v>0</v>
      </c>
      <c r="DL170" s="161">
        <f t="shared" si="219"/>
        <v>0</v>
      </c>
      <c r="DM170" s="161">
        <f t="shared" si="220"/>
        <v>0</v>
      </c>
      <c r="DN170" s="161">
        <f t="shared" si="221"/>
        <v>0</v>
      </c>
      <c r="DO170" s="161">
        <f t="shared" si="222"/>
        <v>0</v>
      </c>
      <c r="DP170" s="161">
        <f t="shared" si="223"/>
        <v>0</v>
      </c>
      <c r="DQ170" s="161">
        <f t="shared" si="224"/>
        <v>0</v>
      </c>
      <c r="DR170" s="161">
        <f t="shared" si="225"/>
        <v>0</v>
      </c>
      <c r="DS170" s="161">
        <f t="shared" si="226"/>
        <v>0</v>
      </c>
      <c r="DT170" s="161">
        <f t="shared" si="227"/>
        <v>0</v>
      </c>
      <c r="DU170" s="161">
        <f t="shared" si="228"/>
        <v>0</v>
      </c>
      <c r="DV170" s="161">
        <f t="shared" si="229"/>
        <v>0</v>
      </c>
      <c r="DW170" s="161">
        <f t="shared" si="230"/>
        <v>0</v>
      </c>
      <c r="DX170" s="161">
        <f t="shared" si="231"/>
        <v>0</v>
      </c>
      <c r="DY170" s="161">
        <f t="shared" si="232"/>
        <v>0</v>
      </c>
      <c r="DZ170" s="161">
        <f t="shared" si="233"/>
        <v>0</v>
      </c>
      <c r="EA170" s="161">
        <f t="shared" si="234"/>
        <v>0</v>
      </c>
      <c r="EB170" s="161">
        <f t="shared" si="235"/>
        <v>0</v>
      </c>
      <c r="EC170" s="161">
        <f t="shared" si="236"/>
        <v>0</v>
      </c>
      <c r="ED170" s="161">
        <f t="shared" si="237"/>
        <v>0</v>
      </c>
      <c r="EE170" s="161">
        <f t="shared" si="238"/>
        <v>0</v>
      </c>
      <c r="EF170" s="161">
        <f t="shared" si="239"/>
        <v>0</v>
      </c>
      <c r="EG170" s="161">
        <f t="shared" si="240"/>
        <v>0</v>
      </c>
      <c r="EH170" s="161">
        <f t="shared" si="241"/>
        <v>0</v>
      </c>
      <c r="EI170" s="161">
        <f t="shared" si="242"/>
        <v>0</v>
      </c>
      <c r="EJ170" s="161">
        <f t="shared" si="243"/>
        <v>0</v>
      </c>
      <c r="EK170" s="147">
        <f t="shared" si="175"/>
        <v>81.018518518518519</v>
      </c>
      <c r="EL170" s="149"/>
      <c r="EN170" s="146"/>
      <c r="EO170" s="146"/>
      <c r="EP170" s="139">
        <f t="shared" si="176"/>
        <v>0</v>
      </c>
      <c r="EQ170" s="139">
        <f t="shared" si="177"/>
        <v>9.3738425925925934</v>
      </c>
      <c r="ER170" s="139">
        <f t="shared" si="178"/>
        <v>0</v>
      </c>
      <c r="ES170" s="139">
        <f t="shared" si="179"/>
        <v>0</v>
      </c>
      <c r="ET170" s="139">
        <f t="shared" si="180"/>
        <v>0</v>
      </c>
      <c r="EU170" s="139">
        <f t="shared" si="181"/>
        <v>0</v>
      </c>
      <c r="EV170" s="139">
        <f t="shared" si="182"/>
        <v>0</v>
      </c>
      <c r="EW170" s="139">
        <f t="shared" si="183"/>
        <v>0</v>
      </c>
      <c r="EX170" s="139">
        <f t="shared" si="184"/>
        <v>0</v>
      </c>
      <c r="EY170" s="139">
        <f t="shared" si="185"/>
        <v>0</v>
      </c>
      <c r="EZ170" s="139">
        <f t="shared" si="186"/>
        <v>0</v>
      </c>
      <c r="FA170" s="139">
        <f t="shared" si="187"/>
        <v>0</v>
      </c>
      <c r="FB170" s="139">
        <f t="shared" si="188"/>
        <v>0</v>
      </c>
      <c r="FC170" s="139">
        <f t="shared" si="189"/>
        <v>0</v>
      </c>
      <c r="FD170" s="139">
        <f t="shared" si="190"/>
        <v>0</v>
      </c>
      <c r="FE170" s="139">
        <f t="shared" si="191"/>
        <v>0</v>
      </c>
      <c r="FF170" s="139">
        <f t="shared" si="192"/>
        <v>0</v>
      </c>
      <c r="FG170" s="139">
        <f t="shared" si="193"/>
        <v>0</v>
      </c>
      <c r="FH170" s="139">
        <f t="shared" si="194"/>
        <v>0</v>
      </c>
      <c r="FI170" s="139">
        <f t="shared" si="195"/>
        <v>0</v>
      </c>
      <c r="FJ170" s="139">
        <f t="shared" si="196"/>
        <v>0</v>
      </c>
      <c r="FK170" s="139">
        <f t="shared" si="197"/>
        <v>0</v>
      </c>
      <c r="FL170" s="139">
        <f t="shared" si="198"/>
        <v>0</v>
      </c>
      <c r="FM170" s="139">
        <f t="shared" si="199"/>
        <v>0</v>
      </c>
      <c r="FN170" s="139">
        <f t="shared" si="200"/>
        <v>0</v>
      </c>
      <c r="FO170" s="139">
        <f t="shared" si="201"/>
        <v>0</v>
      </c>
      <c r="FP170" s="139">
        <f t="shared" si="202"/>
        <v>0</v>
      </c>
      <c r="FQ170" s="139">
        <f t="shared" si="203"/>
        <v>0</v>
      </c>
      <c r="FR170" s="139">
        <f t="shared" si="204"/>
        <v>0</v>
      </c>
      <c r="FS170" s="139">
        <f t="shared" si="205"/>
        <v>0</v>
      </c>
      <c r="FT170" s="139">
        <f t="shared" si="206"/>
        <v>0</v>
      </c>
      <c r="FU170" s="148">
        <f t="shared" si="207"/>
        <v>9.3738425925925934</v>
      </c>
      <c r="FV170" s="149"/>
      <c r="FY170" s="211">
        <v>165</v>
      </c>
      <c r="FZ170">
        <v>17.875440774802122</v>
      </c>
      <c r="GA170">
        <v>15.697321498854567</v>
      </c>
      <c r="GB170">
        <v>5.7568858365283537</v>
      </c>
      <c r="GC170">
        <v>3.2999885009237611</v>
      </c>
      <c r="GD170">
        <v>1.6016505717032621</v>
      </c>
      <c r="GE170">
        <v>2.4014837001827249</v>
      </c>
      <c r="GF170">
        <v>0.67025821634510852</v>
      </c>
      <c r="GG170">
        <v>0.90968051734601452</v>
      </c>
      <c r="GH170">
        <v>5.8991494233049009</v>
      </c>
      <c r="GI170">
        <v>6.0359063731758553</v>
      </c>
      <c r="GJ170"/>
      <c r="GK170">
        <v>17.925600706409401</v>
      </c>
      <c r="GL170">
        <v>13.300109689522149</v>
      </c>
      <c r="GM170">
        <v>9.6170205355073577</v>
      </c>
      <c r="GN170">
        <v>9.9473955851237505</v>
      </c>
      <c r="GO170">
        <v>6.2093181443049197</v>
      </c>
      <c r="GP170">
        <v>4.5976432724252501</v>
      </c>
      <c r="GQ170">
        <v>0.82133152173913027</v>
      </c>
      <c r="GR170">
        <v>1.2802435587761674</v>
      </c>
      <c r="GS170">
        <v>6.2916371377761378</v>
      </c>
      <c r="GT170">
        <v>8.1729816091473904</v>
      </c>
      <c r="GU170"/>
      <c r="GV170"/>
      <c r="GW170"/>
      <c r="GX170"/>
      <c r="GY170"/>
      <c r="GZ170"/>
      <c r="HA170"/>
      <c r="HB170"/>
      <c r="HC170"/>
    </row>
    <row r="171" spans="1:211" s="7" customFormat="1">
      <c r="A171" s="1"/>
      <c r="B171" s="76">
        <f t="shared" ca="1" si="172"/>
        <v>0.50997586259391725</v>
      </c>
      <c r="C171">
        <v>1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47.26099244829576</v>
      </c>
      <c r="AO171">
        <v>5.9669465483045823</v>
      </c>
      <c r="AP171">
        <v>57.693019107563948</v>
      </c>
      <c r="AQ171">
        <v>40.595479652217186</v>
      </c>
      <c r="AR171">
        <v>6.3687810240231979</v>
      </c>
      <c r="AS171">
        <v>39.895872474690961</v>
      </c>
      <c r="AT171" t="e">
        <v>#DIV/0!</v>
      </c>
      <c r="AU171" t="e">
        <v>#DIV/0!</v>
      </c>
      <c r="AV171"/>
      <c r="AW171"/>
      <c r="AX171" s="146"/>
      <c r="AY171" s="76">
        <f t="shared" ca="1" si="173"/>
        <v>0.57190548762392313</v>
      </c>
      <c r="AZ171">
        <v>4</v>
      </c>
      <c r="BA171" s="129">
        <f t="shared" si="247"/>
        <v>39949</v>
      </c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8"/>
        <v>0.78742631217718007</v>
      </c>
      <c r="CL171" s="179">
        <f t="shared" si="209"/>
        <v>4</v>
      </c>
      <c r="CM171" s="180">
        <f t="shared" si="210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11"/>
        <v>9.6000000000000002E-2</v>
      </c>
      <c r="DB171" s="146"/>
      <c r="DC171" s="76">
        <f t="shared" ca="1" si="174"/>
        <v>0.39706096002005253</v>
      </c>
      <c r="DD171">
        <f t="shared" si="212"/>
        <v>4</v>
      </c>
      <c r="DE171" s="129">
        <f t="shared" si="246"/>
        <v>39949</v>
      </c>
      <c r="DF171" s="161">
        <f t="shared" si="213"/>
        <v>0</v>
      </c>
      <c r="DG171" s="161">
        <f t="shared" si="214"/>
        <v>0</v>
      </c>
      <c r="DH171" s="161">
        <f t="shared" si="215"/>
        <v>0</v>
      </c>
      <c r="DI171" s="161">
        <f t="shared" si="216"/>
        <v>0</v>
      </c>
      <c r="DJ171" s="161">
        <f t="shared" si="217"/>
        <v>0</v>
      </c>
      <c r="DK171" s="161">
        <f t="shared" si="218"/>
        <v>0</v>
      </c>
      <c r="DL171" s="161">
        <f t="shared" si="219"/>
        <v>0</v>
      </c>
      <c r="DM171" s="161">
        <f t="shared" si="220"/>
        <v>0</v>
      </c>
      <c r="DN171" s="161">
        <f t="shared" si="221"/>
        <v>0</v>
      </c>
      <c r="DO171" s="161">
        <f t="shared" si="222"/>
        <v>0</v>
      </c>
      <c r="DP171" s="161">
        <f t="shared" si="223"/>
        <v>0</v>
      </c>
      <c r="DQ171" s="161">
        <f t="shared" si="224"/>
        <v>0</v>
      </c>
      <c r="DR171" s="161">
        <f t="shared" si="225"/>
        <v>0</v>
      </c>
      <c r="DS171" s="161">
        <f t="shared" si="226"/>
        <v>0</v>
      </c>
      <c r="DT171" s="161">
        <f t="shared" si="227"/>
        <v>0</v>
      </c>
      <c r="DU171" s="161">
        <f t="shared" si="228"/>
        <v>0</v>
      </c>
      <c r="DV171" s="161">
        <f t="shared" si="229"/>
        <v>0</v>
      </c>
      <c r="DW171" s="161">
        <f t="shared" si="230"/>
        <v>0</v>
      </c>
      <c r="DX171" s="161">
        <f t="shared" si="231"/>
        <v>0</v>
      </c>
      <c r="DY171" s="161">
        <f t="shared" si="232"/>
        <v>0</v>
      </c>
      <c r="DZ171" s="161">
        <f t="shared" si="233"/>
        <v>0</v>
      </c>
      <c r="EA171" s="161">
        <f t="shared" si="234"/>
        <v>0</v>
      </c>
      <c r="EB171" s="161">
        <f t="shared" si="235"/>
        <v>0</v>
      </c>
      <c r="EC171" s="161">
        <f t="shared" si="236"/>
        <v>0</v>
      </c>
      <c r="ED171" s="161">
        <f t="shared" si="237"/>
        <v>0</v>
      </c>
      <c r="EE171" s="161">
        <f t="shared" si="238"/>
        <v>0</v>
      </c>
      <c r="EF171" s="161">
        <f t="shared" si="239"/>
        <v>0</v>
      </c>
      <c r="EG171" s="161">
        <f t="shared" si="240"/>
        <v>0</v>
      </c>
      <c r="EH171" s="161">
        <f t="shared" si="241"/>
        <v>0</v>
      </c>
      <c r="EI171" s="161">
        <f t="shared" si="242"/>
        <v>0</v>
      </c>
      <c r="EJ171" s="161">
        <f t="shared" si="243"/>
        <v>0</v>
      </c>
      <c r="EK171" s="147">
        <f t="shared" si="175"/>
        <v>0</v>
      </c>
      <c r="EL171" s="149"/>
      <c r="EN171" s="146"/>
      <c r="EO171" s="146"/>
      <c r="EP171" s="139">
        <f t="shared" si="176"/>
        <v>0</v>
      </c>
      <c r="EQ171" s="139">
        <f t="shared" si="177"/>
        <v>0</v>
      </c>
      <c r="ER171" s="139">
        <f t="shared" si="178"/>
        <v>0</v>
      </c>
      <c r="ES171" s="139">
        <f t="shared" si="179"/>
        <v>0</v>
      </c>
      <c r="ET171" s="139">
        <f t="shared" si="180"/>
        <v>0</v>
      </c>
      <c r="EU171" s="139">
        <f t="shared" si="181"/>
        <v>0</v>
      </c>
      <c r="EV171" s="139">
        <f t="shared" si="182"/>
        <v>0</v>
      </c>
      <c r="EW171" s="139">
        <f t="shared" si="183"/>
        <v>0</v>
      </c>
      <c r="EX171" s="139">
        <f t="shared" si="184"/>
        <v>0</v>
      </c>
      <c r="EY171" s="139">
        <f t="shared" si="185"/>
        <v>0</v>
      </c>
      <c r="EZ171" s="139">
        <f t="shared" si="186"/>
        <v>0</v>
      </c>
      <c r="FA171" s="139">
        <f t="shared" si="187"/>
        <v>0</v>
      </c>
      <c r="FB171" s="139">
        <f t="shared" si="188"/>
        <v>0</v>
      </c>
      <c r="FC171" s="139">
        <f t="shared" si="189"/>
        <v>0</v>
      </c>
      <c r="FD171" s="139">
        <f t="shared" si="190"/>
        <v>0</v>
      </c>
      <c r="FE171" s="139">
        <f t="shared" si="191"/>
        <v>0</v>
      </c>
      <c r="FF171" s="139">
        <f t="shared" si="192"/>
        <v>0</v>
      </c>
      <c r="FG171" s="139">
        <f t="shared" si="193"/>
        <v>0</v>
      </c>
      <c r="FH171" s="139">
        <f t="shared" si="194"/>
        <v>0</v>
      </c>
      <c r="FI171" s="139">
        <f t="shared" si="195"/>
        <v>0</v>
      </c>
      <c r="FJ171" s="139">
        <f t="shared" si="196"/>
        <v>0</v>
      </c>
      <c r="FK171" s="139">
        <f t="shared" si="197"/>
        <v>0</v>
      </c>
      <c r="FL171" s="139">
        <f t="shared" si="198"/>
        <v>0</v>
      </c>
      <c r="FM171" s="139">
        <f t="shared" si="199"/>
        <v>0</v>
      </c>
      <c r="FN171" s="139">
        <f t="shared" si="200"/>
        <v>0</v>
      </c>
      <c r="FO171" s="139">
        <f t="shared" si="201"/>
        <v>0</v>
      </c>
      <c r="FP171" s="139">
        <f t="shared" si="202"/>
        <v>0</v>
      </c>
      <c r="FQ171" s="139">
        <f t="shared" si="203"/>
        <v>0</v>
      </c>
      <c r="FR171" s="139">
        <f t="shared" si="204"/>
        <v>0</v>
      </c>
      <c r="FS171" s="139">
        <f t="shared" si="205"/>
        <v>0</v>
      </c>
      <c r="FT171" s="139">
        <f t="shared" si="206"/>
        <v>0</v>
      </c>
      <c r="FU171" s="148">
        <f t="shared" si="207"/>
        <v>0</v>
      </c>
      <c r="FV171" s="149"/>
      <c r="FY171" s="211">
        <v>166</v>
      </c>
      <c r="FZ171">
        <v>12.358109186707647</v>
      </c>
      <c r="GA171">
        <v>10.181319068799947</v>
      </c>
      <c r="GB171">
        <v>3.8219125159545486</v>
      </c>
      <c r="GC171">
        <v>2.575794156148437</v>
      </c>
      <c r="GD171">
        <v>2.8350871182719857</v>
      </c>
      <c r="GE171">
        <v>4.3366372541762743</v>
      </c>
      <c r="GF171">
        <v>1.1452406677407898</v>
      </c>
      <c r="GG171">
        <v>2.1192695946735247</v>
      </c>
      <c r="GH171">
        <v>7.0587613364402104</v>
      </c>
      <c r="GI171">
        <v>5.7153951856504666</v>
      </c>
      <c r="GJ171"/>
      <c r="GK171">
        <v>12.406611440020741</v>
      </c>
      <c r="GL171">
        <v>8.6290586671579739</v>
      </c>
      <c r="GM171">
        <v>6.332313493327363</v>
      </c>
      <c r="GN171">
        <v>7.6732606948736111</v>
      </c>
      <c r="GO171">
        <v>10.992452307297127</v>
      </c>
      <c r="GP171">
        <v>8.3024969501542678</v>
      </c>
      <c r="GQ171">
        <v>1.4010579686228333</v>
      </c>
      <c r="GR171">
        <v>2.980919079733944</v>
      </c>
      <c r="GS171">
        <v>7.5264832395123999</v>
      </c>
      <c r="GT171">
        <v>7.7317836897560923</v>
      </c>
      <c r="GU171"/>
      <c r="GV171"/>
      <c r="GW171"/>
      <c r="GX171"/>
      <c r="GY171"/>
      <c r="GZ171"/>
      <c r="HA171"/>
      <c r="HB171"/>
      <c r="HC171"/>
    </row>
    <row r="172" spans="1:211" s="7" customFormat="1">
      <c r="A172" s="1"/>
      <c r="B172" s="76">
        <f t="shared" ca="1" si="172"/>
        <v>2.1196917196331988E-2</v>
      </c>
      <c r="C172">
        <v>8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62.182915277773972</v>
      </c>
      <c r="AO172">
        <v>7.8178045339817448</v>
      </c>
      <c r="AP172">
        <v>47.580148213515102</v>
      </c>
      <c r="AQ172">
        <v>53.924978950567379</v>
      </c>
      <c r="AR172">
        <v>8.0011546937047449</v>
      </c>
      <c r="AS172">
        <v>53.388555522716338</v>
      </c>
      <c r="AT172" t="e">
        <v>#DIV/0!</v>
      </c>
      <c r="AU172" t="e">
        <v>#DIV/0!</v>
      </c>
      <c r="AV172"/>
      <c r="AW172"/>
      <c r="AX172" s="146"/>
      <c r="AY172" s="76">
        <f t="shared" ca="1" si="173"/>
        <v>0.12027996568322763</v>
      </c>
      <c r="AZ172">
        <v>5</v>
      </c>
      <c r="BA172" s="129">
        <f t="shared" si="247"/>
        <v>39949</v>
      </c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8"/>
        <v>0.46080731168541522</v>
      </c>
      <c r="CL172" s="179">
        <f t="shared" si="209"/>
        <v>5</v>
      </c>
      <c r="CM172" s="180">
        <f t="shared" si="210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11"/>
        <v>9.6000000000000002E-2</v>
      </c>
      <c r="DB172" s="146"/>
      <c r="DC172" s="76">
        <f t="shared" ca="1" si="174"/>
        <v>0.98812875745541451</v>
      </c>
      <c r="DD172">
        <f t="shared" si="212"/>
        <v>5</v>
      </c>
      <c r="DE172" s="129">
        <f t="shared" si="246"/>
        <v>39949</v>
      </c>
      <c r="DF172" s="161">
        <f t="shared" si="213"/>
        <v>0</v>
      </c>
      <c r="DG172" s="161">
        <f t="shared" si="214"/>
        <v>0</v>
      </c>
      <c r="DH172" s="161">
        <f t="shared" si="215"/>
        <v>0</v>
      </c>
      <c r="DI172" s="161">
        <f t="shared" si="216"/>
        <v>0</v>
      </c>
      <c r="DJ172" s="161">
        <f t="shared" si="217"/>
        <v>0</v>
      </c>
      <c r="DK172" s="161">
        <f t="shared" si="218"/>
        <v>0</v>
      </c>
      <c r="DL172" s="161">
        <f t="shared" si="219"/>
        <v>0</v>
      </c>
      <c r="DM172" s="161">
        <f t="shared" si="220"/>
        <v>0</v>
      </c>
      <c r="DN172" s="161">
        <f t="shared" si="221"/>
        <v>0</v>
      </c>
      <c r="DO172" s="161">
        <f t="shared" si="222"/>
        <v>0</v>
      </c>
      <c r="DP172" s="161">
        <f t="shared" si="223"/>
        <v>0</v>
      </c>
      <c r="DQ172" s="161">
        <f t="shared" si="224"/>
        <v>0</v>
      </c>
      <c r="DR172" s="161">
        <f t="shared" si="225"/>
        <v>0</v>
      </c>
      <c r="DS172" s="161">
        <f t="shared" si="226"/>
        <v>0</v>
      </c>
      <c r="DT172" s="161">
        <f t="shared" si="227"/>
        <v>0</v>
      </c>
      <c r="DU172" s="161">
        <f t="shared" si="228"/>
        <v>0</v>
      </c>
      <c r="DV172" s="161">
        <f t="shared" si="229"/>
        <v>0</v>
      </c>
      <c r="DW172" s="161">
        <f t="shared" si="230"/>
        <v>0</v>
      </c>
      <c r="DX172" s="161">
        <f t="shared" si="231"/>
        <v>0</v>
      </c>
      <c r="DY172" s="161">
        <f t="shared" si="232"/>
        <v>0</v>
      </c>
      <c r="DZ172" s="161">
        <f t="shared" si="233"/>
        <v>0</v>
      </c>
      <c r="EA172" s="161">
        <f t="shared" si="234"/>
        <v>0</v>
      </c>
      <c r="EB172" s="161">
        <f t="shared" si="235"/>
        <v>0</v>
      </c>
      <c r="EC172" s="161">
        <f t="shared" si="236"/>
        <v>0</v>
      </c>
      <c r="ED172" s="161">
        <f t="shared" si="237"/>
        <v>0</v>
      </c>
      <c r="EE172" s="161">
        <f t="shared" si="238"/>
        <v>0</v>
      </c>
      <c r="EF172" s="161">
        <f t="shared" si="239"/>
        <v>0</v>
      </c>
      <c r="EG172" s="161">
        <f t="shared" si="240"/>
        <v>0</v>
      </c>
      <c r="EH172" s="161">
        <f t="shared" si="241"/>
        <v>0</v>
      </c>
      <c r="EI172" s="161">
        <f t="shared" si="242"/>
        <v>0</v>
      </c>
      <c r="EJ172" s="161">
        <f t="shared" si="243"/>
        <v>0</v>
      </c>
      <c r="EK172" s="147">
        <f t="shared" si="175"/>
        <v>0</v>
      </c>
      <c r="EL172" s="149"/>
      <c r="EN172" s="146"/>
      <c r="EO172" s="146"/>
      <c r="EP172" s="139">
        <f t="shared" si="176"/>
        <v>0</v>
      </c>
      <c r="EQ172" s="139">
        <f t="shared" si="177"/>
        <v>0</v>
      </c>
      <c r="ER172" s="139">
        <f t="shared" si="178"/>
        <v>0</v>
      </c>
      <c r="ES172" s="139">
        <f t="shared" si="179"/>
        <v>0</v>
      </c>
      <c r="ET172" s="139">
        <f t="shared" si="180"/>
        <v>0</v>
      </c>
      <c r="EU172" s="139">
        <f t="shared" si="181"/>
        <v>0</v>
      </c>
      <c r="EV172" s="139">
        <f t="shared" si="182"/>
        <v>0</v>
      </c>
      <c r="EW172" s="139">
        <f t="shared" si="183"/>
        <v>0</v>
      </c>
      <c r="EX172" s="139">
        <f t="shared" si="184"/>
        <v>0</v>
      </c>
      <c r="EY172" s="139">
        <f t="shared" si="185"/>
        <v>0</v>
      </c>
      <c r="EZ172" s="139">
        <f t="shared" si="186"/>
        <v>0</v>
      </c>
      <c r="FA172" s="139">
        <f t="shared" si="187"/>
        <v>0</v>
      </c>
      <c r="FB172" s="139">
        <f t="shared" si="188"/>
        <v>0</v>
      </c>
      <c r="FC172" s="139">
        <f t="shared" si="189"/>
        <v>0</v>
      </c>
      <c r="FD172" s="139">
        <f t="shared" si="190"/>
        <v>0</v>
      </c>
      <c r="FE172" s="139">
        <f t="shared" si="191"/>
        <v>0</v>
      </c>
      <c r="FF172" s="139">
        <f t="shared" si="192"/>
        <v>0</v>
      </c>
      <c r="FG172" s="139">
        <f t="shared" si="193"/>
        <v>0</v>
      </c>
      <c r="FH172" s="139">
        <f t="shared" si="194"/>
        <v>0</v>
      </c>
      <c r="FI172" s="139">
        <f t="shared" si="195"/>
        <v>0</v>
      </c>
      <c r="FJ172" s="139">
        <f t="shared" si="196"/>
        <v>0</v>
      </c>
      <c r="FK172" s="139">
        <f t="shared" si="197"/>
        <v>0</v>
      </c>
      <c r="FL172" s="139">
        <f t="shared" si="198"/>
        <v>0</v>
      </c>
      <c r="FM172" s="139">
        <f t="shared" si="199"/>
        <v>0</v>
      </c>
      <c r="FN172" s="139">
        <f t="shared" si="200"/>
        <v>0</v>
      </c>
      <c r="FO172" s="139">
        <f t="shared" si="201"/>
        <v>0</v>
      </c>
      <c r="FP172" s="139">
        <f t="shared" si="202"/>
        <v>0</v>
      </c>
      <c r="FQ172" s="139">
        <f t="shared" si="203"/>
        <v>0</v>
      </c>
      <c r="FR172" s="139">
        <f t="shared" si="204"/>
        <v>0</v>
      </c>
      <c r="FS172" s="139">
        <f t="shared" si="205"/>
        <v>0</v>
      </c>
      <c r="FT172" s="139">
        <f t="shared" si="206"/>
        <v>0</v>
      </c>
      <c r="FU172" s="148">
        <f t="shared" si="207"/>
        <v>0</v>
      </c>
      <c r="FV172" s="149"/>
      <c r="FY172" s="211">
        <v>167</v>
      </c>
      <c r="FZ172">
        <v>6.754409159546384</v>
      </c>
      <c r="GA172">
        <v>5.8067835059903352</v>
      </c>
      <c r="GB172">
        <v>4.9602504623527341</v>
      </c>
      <c r="GC172">
        <v>2.9310036356986879</v>
      </c>
      <c r="GD172">
        <v>1.4981426750425855</v>
      </c>
      <c r="GE172">
        <v>1.611681193571429</v>
      </c>
      <c r="GF172">
        <v>1.1452406677407898</v>
      </c>
      <c r="GG172">
        <v>1.7450780686318585</v>
      </c>
      <c r="GH172">
        <v>4.1316806041991221</v>
      </c>
      <c r="GI172">
        <v>3.9430071339166775</v>
      </c>
      <c r="GJ172"/>
      <c r="GK172">
        <v>6.7788799295265658</v>
      </c>
      <c r="GL172">
        <v>4.9196626385789308</v>
      </c>
      <c r="GM172">
        <v>8.2928617400833939</v>
      </c>
      <c r="GN172">
        <v>8.8726001846189213</v>
      </c>
      <c r="GO172">
        <v>5.8379427497811252</v>
      </c>
      <c r="GP172">
        <v>3.0855654761904767</v>
      </c>
      <c r="GQ172">
        <v>1.4010579686228333</v>
      </c>
      <c r="GR172">
        <v>2.4542987093635737</v>
      </c>
      <c r="GS172">
        <v>4.4041218087493066</v>
      </c>
      <c r="GT172">
        <v>5.3429728393526448</v>
      </c>
      <c r="GU172"/>
      <c r="GV172"/>
      <c r="GW172"/>
      <c r="GX172"/>
      <c r="GY172"/>
      <c r="GZ172"/>
      <c r="HA172"/>
      <c r="HB172"/>
      <c r="HC172"/>
    </row>
    <row r="173" spans="1:211" s="7" customFormat="1">
      <c r="A173" s="1"/>
      <c r="B173" s="76">
        <f t="shared" ca="1" si="172"/>
        <v>0.85604830412728483</v>
      </c>
      <c r="C173">
        <v>5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72.816507459840949</v>
      </c>
      <c r="AO173">
        <v>8.7874490728233816</v>
      </c>
      <c r="AP173">
        <v>38.409846089654977</v>
      </c>
      <c r="AQ173">
        <v>63.91399149733801</v>
      </c>
      <c r="AR173">
        <v>9.3232712454908278</v>
      </c>
      <c r="AS173">
        <v>57.159990454882369</v>
      </c>
      <c r="AT173" t="e">
        <v>#DIV/0!</v>
      </c>
      <c r="AU173" t="e">
        <v>#DIV/0!</v>
      </c>
      <c r="AV173"/>
      <c r="AW173"/>
      <c r="AX173" s="146"/>
      <c r="AY173" s="76">
        <f t="shared" ca="1" si="173"/>
        <v>0.11492668342205459</v>
      </c>
      <c r="AZ173">
        <v>6</v>
      </c>
      <c r="BA173" s="129">
        <f t="shared" si="247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8"/>
        <v>0.91066385911711056</v>
      </c>
      <c r="CL173" s="179">
        <f t="shared" si="209"/>
        <v>6</v>
      </c>
      <c r="CM173" s="180">
        <f t="shared" si="210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11"/>
        <v>9.6000000000000002E-2</v>
      </c>
      <c r="DB173" s="146"/>
      <c r="DC173" s="76">
        <f t="shared" ca="1" si="174"/>
        <v>0.17807146111279337</v>
      </c>
      <c r="DD173">
        <f t="shared" si="212"/>
        <v>6</v>
      </c>
      <c r="DE173" s="129">
        <f t="shared" si="246"/>
        <v>39949</v>
      </c>
      <c r="DF173" s="161">
        <f t="shared" si="213"/>
        <v>0</v>
      </c>
      <c r="DG173" s="161">
        <f t="shared" si="214"/>
        <v>0</v>
      </c>
      <c r="DH173" s="161">
        <f t="shared" si="215"/>
        <v>0</v>
      </c>
      <c r="DI173" s="161">
        <f t="shared" si="216"/>
        <v>0</v>
      </c>
      <c r="DJ173" s="161">
        <f t="shared" si="217"/>
        <v>0</v>
      </c>
      <c r="DK173" s="161">
        <f t="shared" si="218"/>
        <v>0</v>
      </c>
      <c r="DL173" s="161">
        <f t="shared" si="219"/>
        <v>0</v>
      </c>
      <c r="DM173" s="161">
        <f t="shared" si="220"/>
        <v>0</v>
      </c>
      <c r="DN173" s="161">
        <f t="shared" si="221"/>
        <v>0</v>
      </c>
      <c r="DO173" s="161">
        <f t="shared" si="222"/>
        <v>0</v>
      </c>
      <c r="DP173" s="161">
        <f t="shared" si="223"/>
        <v>0</v>
      </c>
      <c r="DQ173" s="161">
        <f t="shared" si="224"/>
        <v>0</v>
      </c>
      <c r="DR173" s="161">
        <f t="shared" si="225"/>
        <v>0</v>
      </c>
      <c r="DS173" s="161">
        <f t="shared" si="226"/>
        <v>0</v>
      </c>
      <c r="DT173" s="161">
        <f t="shared" si="227"/>
        <v>0</v>
      </c>
      <c r="DU173" s="161">
        <f t="shared" si="228"/>
        <v>0</v>
      </c>
      <c r="DV173" s="161">
        <f t="shared" si="229"/>
        <v>0</v>
      </c>
      <c r="DW173" s="161">
        <f t="shared" si="230"/>
        <v>0</v>
      </c>
      <c r="DX173" s="161">
        <f t="shared" si="231"/>
        <v>0</v>
      </c>
      <c r="DY173" s="161">
        <f t="shared" si="232"/>
        <v>0</v>
      </c>
      <c r="DZ173" s="161">
        <f t="shared" si="233"/>
        <v>0</v>
      </c>
      <c r="EA173" s="161">
        <f t="shared" si="234"/>
        <v>0</v>
      </c>
      <c r="EB173" s="161">
        <f t="shared" si="235"/>
        <v>0</v>
      </c>
      <c r="EC173" s="161">
        <f t="shared" si="236"/>
        <v>0</v>
      </c>
      <c r="ED173" s="161">
        <f t="shared" si="237"/>
        <v>0</v>
      </c>
      <c r="EE173" s="161">
        <f t="shared" si="238"/>
        <v>0</v>
      </c>
      <c r="EF173" s="161">
        <f t="shared" si="239"/>
        <v>0</v>
      </c>
      <c r="EG173" s="161">
        <f t="shared" si="240"/>
        <v>0</v>
      </c>
      <c r="EH173" s="161">
        <f t="shared" si="241"/>
        <v>0</v>
      </c>
      <c r="EI173" s="161">
        <f t="shared" si="242"/>
        <v>0</v>
      </c>
      <c r="EJ173" s="161">
        <f t="shared" si="243"/>
        <v>0</v>
      </c>
      <c r="EK173" s="147">
        <f t="shared" si="175"/>
        <v>0</v>
      </c>
      <c r="EL173" s="149"/>
      <c r="EN173" s="146"/>
      <c r="EO173" s="146"/>
      <c r="EP173" s="139">
        <f t="shared" si="176"/>
        <v>0</v>
      </c>
      <c r="EQ173" s="139">
        <f t="shared" si="177"/>
        <v>0</v>
      </c>
      <c r="ER173" s="139">
        <f t="shared" si="178"/>
        <v>0</v>
      </c>
      <c r="ES173" s="139">
        <f t="shared" si="179"/>
        <v>0</v>
      </c>
      <c r="ET173" s="139">
        <f t="shared" si="180"/>
        <v>0</v>
      </c>
      <c r="EU173" s="139">
        <f t="shared" si="181"/>
        <v>0</v>
      </c>
      <c r="EV173" s="139">
        <f t="shared" si="182"/>
        <v>0</v>
      </c>
      <c r="EW173" s="139">
        <f t="shared" si="183"/>
        <v>0</v>
      </c>
      <c r="EX173" s="139">
        <f t="shared" si="184"/>
        <v>0</v>
      </c>
      <c r="EY173" s="139">
        <f t="shared" si="185"/>
        <v>0</v>
      </c>
      <c r="EZ173" s="139">
        <f t="shared" si="186"/>
        <v>0</v>
      </c>
      <c r="FA173" s="139">
        <f t="shared" si="187"/>
        <v>0</v>
      </c>
      <c r="FB173" s="139">
        <f t="shared" si="188"/>
        <v>0</v>
      </c>
      <c r="FC173" s="139">
        <f t="shared" si="189"/>
        <v>0</v>
      </c>
      <c r="FD173" s="139">
        <f t="shared" si="190"/>
        <v>0</v>
      </c>
      <c r="FE173" s="139">
        <f t="shared" si="191"/>
        <v>0</v>
      </c>
      <c r="FF173" s="139">
        <f t="shared" si="192"/>
        <v>0</v>
      </c>
      <c r="FG173" s="139">
        <f t="shared" si="193"/>
        <v>0</v>
      </c>
      <c r="FH173" s="139">
        <f t="shared" si="194"/>
        <v>0</v>
      </c>
      <c r="FI173" s="139">
        <f t="shared" si="195"/>
        <v>0</v>
      </c>
      <c r="FJ173" s="139">
        <f t="shared" si="196"/>
        <v>0</v>
      </c>
      <c r="FK173" s="139">
        <f t="shared" si="197"/>
        <v>0</v>
      </c>
      <c r="FL173" s="139">
        <f t="shared" si="198"/>
        <v>0</v>
      </c>
      <c r="FM173" s="139">
        <f t="shared" si="199"/>
        <v>0</v>
      </c>
      <c r="FN173" s="139">
        <f t="shared" si="200"/>
        <v>0</v>
      </c>
      <c r="FO173" s="139">
        <f t="shared" si="201"/>
        <v>0</v>
      </c>
      <c r="FP173" s="139">
        <f t="shared" si="202"/>
        <v>0</v>
      </c>
      <c r="FQ173" s="139">
        <f t="shared" si="203"/>
        <v>0</v>
      </c>
      <c r="FR173" s="139">
        <f t="shared" si="204"/>
        <v>0</v>
      </c>
      <c r="FS173" s="139">
        <f t="shared" si="205"/>
        <v>0</v>
      </c>
      <c r="FT173" s="139">
        <f t="shared" si="206"/>
        <v>0</v>
      </c>
      <c r="FU173" s="148">
        <f t="shared" si="207"/>
        <v>0</v>
      </c>
      <c r="FV173" s="149"/>
      <c r="FY173" s="211">
        <v>168</v>
      </c>
      <c r="FZ173">
        <v>11.814305800530164</v>
      </c>
      <c r="GA173">
        <v>9.7203207377611687</v>
      </c>
      <c r="GB173">
        <v>4.9150233138228998</v>
      </c>
      <c r="GC173">
        <v>2.5228516557359315</v>
      </c>
      <c r="GD173">
        <v>1.1597837594390104</v>
      </c>
      <c r="GE173">
        <v>1.5688582895798322</v>
      </c>
      <c r="GF173">
        <v>1.1848969423958331</v>
      </c>
      <c r="GG173">
        <v>1.6838618671875001</v>
      </c>
      <c r="GH173">
        <v>7.9876901562283242</v>
      </c>
      <c r="GI173">
        <v>5.0986980633594943</v>
      </c>
      <c r="GJ173"/>
      <c r="GK173">
        <v>11.856982254611198</v>
      </c>
      <c r="GL173">
        <v>8.2373709719122647</v>
      </c>
      <c r="GM173">
        <v>8.1740159877970182</v>
      </c>
      <c r="GN173">
        <v>7.5718102151685098</v>
      </c>
      <c r="GO173">
        <v>4.5063057009389631</v>
      </c>
      <c r="GP173">
        <v>3.0035809778456839</v>
      </c>
      <c r="GQ173">
        <v>1.4519675925925923</v>
      </c>
      <c r="GR173">
        <v>2.3697916666666665</v>
      </c>
      <c r="GS173">
        <v>8.5151745071408556</v>
      </c>
      <c r="GT173">
        <v>6.9008892086161246</v>
      </c>
      <c r="GU173"/>
      <c r="GV173"/>
      <c r="GW173"/>
      <c r="GX173"/>
      <c r="GY173"/>
      <c r="GZ173"/>
      <c r="HA173"/>
      <c r="HB173"/>
      <c r="HC173"/>
    </row>
    <row r="174" spans="1:211" s="7" customFormat="1">
      <c r="A174" s="1"/>
      <c r="B174" s="76">
        <f t="shared" ca="1" si="172"/>
        <v>0.28465609005354153</v>
      </c>
      <c r="C174">
        <v>6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52.485011631750375</v>
      </c>
      <c r="AO174">
        <v>6.4979582835112755</v>
      </c>
      <c r="AP174">
        <v>46.499385349738105</v>
      </c>
      <c r="AQ174">
        <v>49.133031376861048</v>
      </c>
      <c r="AR174">
        <v>6.8022433189304614</v>
      </c>
      <c r="AS174">
        <v>43.860062998842054</v>
      </c>
      <c r="AT174" t="e">
        <v>#DIV/0!</v>
      </c>
      <c r="AU174" t="e">
        <v>#DIV/0!</v>
      </c>
      <c r="AV174"/>
      <c r="AW174"/>
      <c r="AX174" s="146"/>
      <c r="AY174" s="76">
        <f t="shared" ca="1" si="173"/>
        <v>0.6809937563596844</v>
      </c>
      <c r="AZ174">
        <v>7</v>
      </c>
      <c r="BA174" s="129">
        <f t="shared" si="247"/>
        <v>39949</v>
      </c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8"/>
        <v>0.21179667452997197</v>
      </c>
      <c r="CL174" s="179">
        <f t="shared" si="209"/>
        <v>7</v>
      </c>
      <c r="CM174" s="180">
        <f t="shared" si="210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11"/>
        <v>9.6000000000000002E-2</v>
      </c>
      <c r="DB174" s="146"/>
      <c r="DC174" s="76">
        <f t="shared" ca="1" si="174"/>
        <v>0.71177977556961558</v>
      </c>
      <c r="DD174">
        <f t="shared" si="212"/>
        <v>7</v>
      </c>
      <c r="DE174" s="129">
        <f t="shared" si="246"/>
        <v>39949</v>
      </c>
      <c r="DF174" s="161">
        <f t="shared" si="213"/>
        <v>0</v>
      </c>
      <c r="DG174" s="161">
        <f t="shared" si="214"/>
        <v>0</v>
      </c>
      <c r="DH174" s="161">
        <f t="shared" si="215"/>
        <v>0</v>
      </c>
      <c r="DI174" s="161">
        <f t="shared" si="216"/>
        <v>0</v>
      </c>
      <c r="DJ174" s="161">
        <f t="shared" si="217"/>
        <v>0</v>
      </c>
      <c r="DK174" s="161">
        <f t="shared" si="218"/>
        <v>0</v>
      </c>
      <c r="DL174" s="161">
        <f t="shared" si="219"/>
        <v>0</v>
      </c>
      <c r="DM174" s="161">
        <f t="shared" si="220"/>
        <v>0</v>
      </c>
      <c r="DN174" s="161">
        <f t="shared" si="221"/>
        <v>0</v>
      </c>
      <c r="DO174" s="161">
        <f t="shared" si="222"/>
        <v>0</v>
      </c>
      <c r="DP174" s="161">
        <f t="shared" si="223"/>
        <v>0</v>
      </c>
      <c r="DQ174" s="161">
        <f t="shared" si="224"/>
        <v>0</v>
      </c>
      <c r="DR174" s="161">
        <f t="shared" si="225"/>
        <v>0</v>
      </c>
      <c r="DS174" s="161">
        <f t="shared" si="226"/>
        <v>0</v>
      </c>
      <c r="DT174" s="161">
        <f t="shared" si="227"/>
        <v>0</v>
      </c>
      <c r="DU174" s="161">
        <f t="shared" si="228"/>
        <v>0</v>
      </c>
      <c r="DV174" s="161">
        <f t="shared" si="229"/>
        <v>0</v>
      </c>
      <c r="DW174" s="161">
        <f t="shared" si="230"/>
        <v>0</v>
      </c>
      <c r="DX174" s="161">
        <f t="shared" si="231"/>
        <v>0</v>
      </c>
      <c r="DY174" s="161">
        <f t="shared" si="232"/>
        <v>0</v>
      </c>
      <c r="DZ174" s="161">
        <f t="shared" si="233"/>
        <v>0</v>
      </c>
      <c r="EA174" s="161">
        <f t="shared" si="234"/>
        <v>0</v>
      </c>
      <c r="EB174" s="161">
        <f t="shared" si="235"/>
        <v>0</v>
      </c>
      <c r="EC174" s="161">
        <f t="shared" si="236"/>
        <v>0</v>
      </c>
      <c r="ED174" s="161">
        <f t="shared" si="237"/>
        <v>0</v>
      </c>
      <c r="EE174" s="161">
        <f t="shared" si="238"/>
        <v>0</v>
      </c>
      <c r="EF174" s="161">
        <f t="shared" si="239"/>
        <v>0</v>
      </c>
      <c r="EG174" s="161">
        <f t="shared" si="240"/>
        <v>0</v>
      </c>
      <c r="EH174" s="161">
        <f t="shared" si="241"/>
        <v>0</v>
      </c>
      <c r="EI174" s="161">
        <f t="shared" si="242"/>
        <v>0</v>
      </c>
      <c r="EJ174" s="161">
        <f t="shared" si="243"/>
        <v>0</v>
      </c>
      <c r="EK174" s="147">
        <f t="shared" si="175"/>
        <v>0</v>
      </c>
      <c r="EL174" s="149"/>
      <c r="EN174" s="146"/>
      <c r="EO174" s="146"/>
      <c r="EP174" s="139">
        <f t="shared" si="176"/>
        <v>0</v>
      </c>
      <c r="EQ174" s="139">
        <f t="shared" si="177"/>
        <v>0</v>
      </c>
      <c r="ER174" s="139">
        <f t="shared" si="178"/>
        <v>0</v>
      </c>
      <c r="ES174" s="139">
        <f t="shared" si="179"/>
        <v>0</v>
      </c>
      <c r="ET174" s="139">
        <f t="shared" si="180"/>
        <v>0</v>
      </c>
      <c r="EU174" s="139">
        <f t="shared" si="181"/>
        <v>0</v>
      </c>
      <c r="EV174" s="139">
        <f t="shared" si="182"/>
        <v>0</v>
      </c>
      <c r="EW174" s="139">
        <f t="shared" si="183"/>
        <v>0</v>
      </c>
      <c r="EX174" s="139">
        <f t="shared" si="184"/>
        <v>0</v>
      </c>
      <c r="EY174" s="139">
        <f t="shared" si="185"/>
        <v>0</v>
      </c>
      <c r="EZ174" s="139">
        <f t="shared" si="186"/>
        <v>0</v>
      </c>
      <c r="FA174" s="139">
        <f t="shared" si="187"/>
        <v>0</v>
      </c>
      <c r="FB174" s="139">
        <f t="shared" si="188"/>
        <v>0</v>
      </c>
      <c r="FC174" s="139">
        <f t="shared" si="189"/>
        <v>0</v>
      </c>
      <c r="FD174" s="139">
        <f t="shared" si="190"/>
        <v>0</v>
      </c>
      <c r="FE174" s="139">
        <f t="shared" si="191"/>
        <v>0</v>
      </c>
      <c r="FF174" s="139">
        <f t="shared" si="192"/>
        <v>0</v>
      </c>
      <c r="FG174" s="139">
        <f t="shared" si="193"/>
        <v>0</v>
      </c>
      <c r="FH174" s="139">
        <f t="shared" si="194"/>
        <v>0</v>
      </c>
      <c r="FI174" s="139">
        <f t="shared" si="195"/>
        <v>0</v>
      </c>
      <c r="FJ174" s="139">
        <f t="shared" si="196"/>
        <v>0</v>
      </c>
      <c r="FK174" s="139">
        <f t="shared" si="197"/>
        <v>0</v>
      </c>
      <c r="FL174" s="139">
        <f t="shared" si="198"/>
        <v>0</v>
      </c>
      <c r="FM174" s="139">
        <f t="shared" si="199"/>
        <v>0</v>
      </c>
      <c r="FN174" s="139">
        <f t="shared" si="200"/>
        <v>0</v>
      </c>
      <c r="FO174" s="139">
        <f t="shared" si="201"/>
        <v>0</v>
      </c>
      <c r="FP174" s="139">
        <f t="shared" si="202"/>
        <v>0</v>
      </c>
      <c r="FQ174" s="139">
        <f t="shared" si="203"/>
        <v>0</v>
      </c>
      <c r="FR174" s="139">
        <f t="shared" si="204"/>
        <v>0</v>
      </c>
      <c r="FS174" s="139">
        <f t="shared" si="205"/>
        <v>0</v>
      </c>
      <c r="FT174" s="139">
        <f t="shared" si="206"/>
        <v>0</v>
      </c>
      <c r="FU174" s="148">
        <f t="shared" si="207"/>
        <v>0</v>
      </c>
      <c r="FV174" s="149"/>
      <c r="FY174" s="211">
        <v>169</v>
      </c>
      <c r="FZ174">
        <v>10.480599878877694</v>
      </c>
      <c r="GA174">
        <v>12.981481161082035</v>
      </c>
      <c r="GB174">
        <v>8.2018179656307026</v>
      </c>
      <c r="GC174">
        <v>3.7475506452380269</v>
      </c>
      <c r="GD174">
        <v>1.4709387150949613</v>
      </c>
      <c r="GE174">
        <v>1.5240297996511627</v>
      </c>
      <c r="GF174">
        <v>1.7602446225233985</v>
      </c>
      <c r="GG174">
        <v>1.532184007852873</v>
      </c>
      <c r="GH174">
        <v>6.1792261478881949</v>
      </c>
      <c r="GI174">
        <v>5.7045234085105507</v>
      </c>
      <c r="GJ174"/>
      <c r="GK174">
        <v>10.515516480678354</v>
      </c>
      <c r="GL174">
        <v>10.99814027705626</v>
      </c>
      <c r="GM174">
        <v>13.620500534888546</v>
      </c>
      <c r="GN174">
        <v>11.220228805153811</v>
      </c>
      <c r="GO174">
        <v>5.7127434108009219</v>
      </c>
      <c r="GP174">
        <v>2.9177567829457365</v>
      </c>
      <c r="GQ174">
        <v>2.1546811570286302</v>
      </c>
      <c r="GR174">
        <v>2.1546811570286302</v>
      </c>
      <c r="GS174">
        <v>6.5887426596522642</v>
      </c>
      <c r="GT174">
        <v>7.718436848609743</v>
      </c>
      <c r="GU174"/>
      <c r="GV174"/>
      <c r="GW174"/>
      <c r="GX174"/>
      <c r="GY174"/>
      <c r="GZ174"/>
      <c r="HA174"/>
      <c r="HB174"/>
      <c r="HC174"/>
    </row>
    <row r="175" spans="1:211" s="7" customFormat="1">
      <c r="A175" s="1"/>
      <c r="B175" s="76">
        <f t="shared" ca="1" si="172"/>
        <v>0.49652961335209955</v>
      </c>
      <c r="C175">
        <v>2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56.221885391850584</v>
      </c>
      <c r="AO175">
        <v>6.5550383115199411</v>
      </c>
      <c r="AP175">
        <v>3.4372591988811267</v>
      </c>
      <c r="AQ175">
        <v>51.985193754807405</v>
      </c>
      <c r="AR175">
        <v>6.8984173623734639</v>
      </c>
      <c r="AS175">
        <v>43.521992683025459</v>
      </c>
      <c r="AT175">
        <v>5.5487963640434854</v>
      </c>
      <c r="AU175">
        <v>0.47624524151755132</v>
      </c>
      <c r="AV175"/>
      <c r="AW175"/>
      <c r="AX175" s="146"/>
      <c r="AY175" s="76">
        <f t="shared" ca="1" si="173"/>
        <v>0.49189774359850524</v>
      </c>
      <c r="AZ175">
        <v>8</v>
      </c>
      <c r="BA175" s="129">
        <f t="shared" si="247"/>
        <v>39949</v>
      </c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8"/>
        <v>0.80365471321447046</v>
      </c>
      <c r="CL175" s="179">
        <f t="shared" si="209"/>
        <v>8</v>
      </c>
      <c r="CM175" s="180">
        <f t="shared" si="210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11"/>
        <v>9.6000000000000002E-2</v>
      </c>
      <c r="DB175" s="146"/>
      <c r="DC175" s="76">
        <f t="shared" ca="1" si="174"/>
        <v>0.38215205598629698</v>
      </c>
      <c r="DD175">
        <f t="shared" si="212"/>
        <v>8</v>
      </c>
      <c r="DE175" s="129">
        <f t="shared" si="246"/>
        <v>39949</v>
      </c>
      <c r="DF175" s="161">
        <f t="shared" si="213"/>
        <v>0</v>
      </c>
      <c r="DG175" s="161">
        <f t="shared" si="214"/>
        <v>0</v>
      </c>
      <c r="DH175" s="161">
        <f t="shared" si="215"/>
        <v>0</v>
      </c>
      <c r="DI175" s="161">
        <f t="shared" si="216"/>
        <v>0</v>
      </c>
      <c r="DJ175" s="161">
        <f t="shared" si="217"/>
        <v>0</v>
      </c>
      <c r="DK175" s="161">
        <f t="shared" si="218"/>
        <v>0</v>
      </c>
      <c r="DL175" s="161">
        <f t="shared" si="219"/>
        <v>0</v>
      </c>
      <c r="DM175" s="161">
        <f t="shared" si="220"/>
        <v>0</v>
      </c>
      <c r="DN175" s="161">
        <f t="shared" si="221"/>
        <v>0</v>
      </c>
      <c r="DO175" s="161">
        <f t="shared" si="222"/>
        <v>0</v>
      </c>
      <c r="DP175" s="161">
        <f t="shared" si="223"/>
        <v>0</v>
      </c>
      <c r="DQ175" s="161">
        <f t="shared" si="224"/>
        <v>0</v>
      </c>
      <c r="DR175" s="161">
        <f t="shared" si="225"/>
        <v>0</v>
      </c>
      <c r="DS175" s="161">
        <f t="shared" si="226"/>
        <v>0</v>
      </c>
      <c r="DT175" s="161">
        <f t="shared" si="227"/>
        <v>0</v>
      </c>
      <c r="DU175" s="161">
        <f t="shared" si="228"/>
        <v>0</v>
      </c>
      <c r="DV175" s="161">
        <f t="shared" si="229"/>
        <v>0</v>
      </c>
      <c r="DW175" s="161">
        <f t="shared" si="230"/>
        <v>0</v>
      </c>
      <c r="DX175" s="161">
        <f t="shared" si="231"/>
        <v>0</v>
      </c>
      <c r="DY175" s="161">
        <f t="shared" si="232"/>
        <v>0</v>
      </c>
      <c r="DZ175" s="161">
        <f t="shared" si="233"/>
        <v>0</v>
      </c>
      <c r="EA175" s="161">
        <f t="shared" si="234"/>
        <v>0</v>
      </c>
      <c r="EB175" s="161">
        <f t="shared" si="235"/>
        <v>0</v>
      </c>
      <c r="EC175" s="161">
        <f t="shared" si="236"/>
        <v>0</v>
      </c>
      <c r="ED175" s="161">
        <f t="shared" si="237"/>
        <v>0</v>
      </c>
      <c r="EE175" s="161">
        <f t="shared" si="238"/>
        <v>0</v>
      </c>
      <c r="EF175" s="161">
        <f t="shared" si="239"/>
        <v>0</v>
      </c>
      <c r="EG175" s="161">
        <f t="shared" si="240"/>
        <v>0</v>
      </c>
      <c r="EH175" s="161">
        <f t="shared" si="241"/>
        <v>0</v>
      </c>
      <c r="EI175" s="161">
        <f t="shared" si="242"/>
        <v>0</v>
      </c>
      <c r="EJ175" s="161">
        <f t="shared" si="243"/>
        <v>0</v>
      </c>
      <c r="EK175" s="147">
        <f t="shared" si="175"/>
        <v>0</v>
      </c>
      <c r="EL175" s="149"/>
      <c r="EN175" s="146"/>
      <c r="EO175" s="146"/>
      <c r="EP175" s="139">
        <f t="shared" si="176"/>
        <v>0</v>
      </c>
      <c r="EQ175" s="139">
        <f t="shared" si="177"/>
        <v>0</v>
      </c>
      <c r="ER175" s="139">
        <f t="shared" si="178"/>
        <v>0</v>
      </c>
      <c r="ES175" s="139">
        <f t="shared" si="179"/>
        <v>0</v>
      </c>
      <c r="ET175" s="139">
        <f t="shared" si="180"/>
        <v>0</v>
      </c>
      <c r="EU175" s="139">
        <f t="shared" si="181"/>
        <v>0</v>
      </c>
      <c r="EV175" s="139">
        <f t="shared" si="182"/>
        <v>0</v>
      </c>
      <c r="EW175" s="139">
        <f t="shared" si="183"/>
        <v>0</v>
      </c>
      <c r="EX175" s="139">
        <f t="shared" si="184"/>
        <v>0</v>
      </c>
      <c r="EY175" s="139">
        <f t="shared" si="185"/>
        <v>0</v>
      </c>
      <c r="EZ175" s="139">
        <f t="shared" si="186"/>
        <v>0</v>
      </c>
      <c r="FA175" s="139">
        <f t="shared" si="187"/>
        <v>0</v>
      </c>
      <c r="FB175" s="139">
        <f t="shared" si="188"/>
        <v>0</v>
      </c>
      <c r="FC175" s="139">
        <f t="shared" si="189"/>
        <v>0</v>
      </c>
      <c r="FD175" s="139">
        <f t="shared" si="190"/>
        <v>0</v>
      </c>
      <c r="FE175" s="139">
        <f t="shared" si="191"/>
        <v>0</v>
      </c>
      <c r="FF175" s="139">
        <f t="shared" si="192"/>
        <v>0</v>
      </c>
      <c r="FG175" s="139">
        <f t="shared" si="193"/>
        <v>0</v>
      </c>
      <c r="FH175" s="139">
        <f t="shared" si="194"/>
        <v>0</v>
      </c>
      <c r="FI175" s="139">
        <f t="shared" si="195"/>
        <v>0</v>
      </c>
      <c r="FJ175" s="139">
        <f t="shared" si="196"/>
        <v>0</v>
      </c>
      <c r="FK175" s="139">
        <f t="shared" si="197"/>
        <v>0</v>
      </c>
      <c r="FL175" s="139">
        <f t="shared" si="198"/>
        <v>0</v>
      </c>
      <c r="FM175" s="139">
        <f t="shared" si="199"/>
        <v>0</v>
      </c>
      <c r="FN175" s="139">
        <f t="shared" si="200"/>
        <v>0</v>
      </c>
      <c r="FO175" s="139">
        <f t="shared" si="201"/>
        <v>0</v>
      </c>
      <c r="FP175" s="139">
        <f t="shared" si="202"/>
        <v>0</v>
      </c>
      <c r="FQ175" s="139">
        <f t="shared" si="203"/>
        <v>0</v>
      </c>
      <c r="FR175" s="139">
        <f t="shared" si="204"/>
        <v>0</v>
      </c>
      <c r="FS175" s="139">
        <f t="shared" si="205"/>
        <v>0</v>
      </c>
      <c r="FT175" s="139">
        <f t="shared" si="206"/>
        <v>0</v>
      </c>
      <c r="FU175" s="148">
        <f t="shared" si="207"/>
        <v>0</v>
      </c>
      <c r="FV175" s="149"/>
      <c r="FY175" s="211">
        <v>170</v>
      </c>
      <c r="FZ175">
        <v>10.159450134927049</v>
      </c>
      <c r="GA175">
        <v>12.489883957300096</v>
      </c>
      <c r="GB175">
        <v>5.5197076813497716</v>
      </c>
      <c r="GC175">
        <v>2.6697748094976621</v>
      </c>
      <c r="GD175">
        <v>1.5240620498836899</v>
      </c>
      <c r="GE175">
        <v>1.6749564245798323</v>
      </c>
      <c r="GF175">
        <v>1.2557491908657898</v>
      </c>
      <c r="GG175">
        <v>1.7450780686318585</v>
      </c>
      <c r="GH175">
        <v>8.6939106119578451</v>
      </c>
      <c r="GI175">
        <v>5.3317660331463426</v>
      </c>
      <c r="GJ175"/>
      <c r="GK175">
        <v>10.190987490690322</v>
      </c>
      <c r="GL175">
        <v>10.581483889034743</v>
      </c>
      <c r="GM175">
        <v>9.1362787664140495</v>
      </c>
      <c r="GN175">
        <v>7.9430958000210961</v>
      </c>
      <c r="GO175">
        <v>5.9084850163920191</v>
      </c>
      <c r="GP175">
        <v>3.2067059778456839</v>
      </c>
      <c r="GQ175">
        <v>1.5364746352894998</v>
      </c>
      <c r="GR175">
        <v>2.4542987093635737</v>
      </c>
      <c r="GS175">
        <v>9.2698523465199578</v>
      </c>
      <c r="GT175">
        <v>7.2084156510611699</v>
      </c>
      <c r="GU175"/>
      <c r="GV175"/>
      <c r="GW175"/>
      <c r="GX175"/>
      <c r="GY175"/>
      <c r="GZ175"/>
      <c r="HA175"/>
      <c r="HB175"/>
      <c r="HC175"/>
    </row>
    <row r="176" spans="1:211" s="7" customFormat="1">
      <c r="A176" s="1"/>
      <c r="B176" s="76">
        <f t="shared" ca="1" si="172"/>
        <v>0.95633620432753941</v>
      </c>
      <c r="C176">
        <v>9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58.611776678315231</v>
      </c>
      <c r="AO176">
        <v>6.6336522779031197</v>
      </c>
      <c r="AP176">
        <v>21.693473024490835</v>
      </c>
      <c r="AQ176">
        <v>52.70261318806849</v>
      </c>
      <c r="AR176">
        <v>6.9174735879927738</v>
      </c>
      <c r="AS176">
        <v>41.635353220600493</v>
      </c>
      <c r="AT176" t="e">
        <v>#DIV/0!</v>
      </c>
      <c r="AU176" t="e">
        <v>#DIV/0!</v>
      </c>
      <c r="AV176"/>
      <c r="AW176"/>
      <c r="AX176" s="146"/>
      <c r="AY176" s="76">
        <f t="shared" ca="1" si="173"/>
        <v>0.73661317528629233</v>
      </c>
      <c r="AZ176">
        <v>9</v>
      </c>
      <c r="BA176" s="129">
        <f t="shared" si="247"/>
        <v>39949</v>
      </c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8"/>
        <v>0.15739715147197142</v>
      </c>
      <c r="CL176" s="179">
        <f t="shared" si="209"/>
        <v>9</v>
      </c>
      <c r="CM176" s="180">
        <f t="shared" si="210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11"/>
        <v>9.6000000000000002E-2</v>
      </c>
      <c r="DB176" s="146"/>
      <c r="DC176" s="76">
        <f t="shared" ca="1" si="174"/>
        <v>0.20335997664111183</v>
      </c>
      <c r="DD176">
        <f t="shared" si="212"/>
        <v>9</v>
      </c>
      <c r="DE176" s="129">
        <f t="shared" si="246"/>
        <v>39949</v>
      </c>
      <c r="DF176" s="161">
        <f t="shared" si="213"/>
        <v>0</v>
      </c>
      <c r="DG176" s="161">
        <f t="shared" si="214"/>
        <v>0</v>
      </c>
      <c r="DH176" s="161">
        <f t="shared" si="215"/>
        <v>0</v>
      </c>
      <c r="DI176" s="161">
        <f t="shared" si="216"/>
        <v>0</v>
      </c>
      <c r="DJ176" s="161">
        <f t="shared" si="217"/>
        <v>0</v>
      </c>
      <c r="DK176" s="161">
        <f t="shared" si="218"/>
        <v>0</v>
      </c>
      <c r="DL176" s="161">
        <f t="shared" si="219"/>
        <v>0</v>
      </c>
      <c r="DM176" s="161">
        <f t="shared" si="220"/>
        <v>0</v>
      </c>
      <c r="DN176" s="161">
        <f t="shared" si="221"/>
        <v>0</v>
      </c>
      <c r="DO176" s="161">
        <f t="shared" si="222"/>
        <v>0</v>
      </c>
      <c r="DP176" s="161">
        <f t="shared" si="223"/>
        <v>0</v>
      </c>
      <c r="DQ176" s="161">
        <f t="shared" si="224"/>
        <v>0</v>
      </c>
      <c r="DR176" s="161">
        <f t="shared" si="225"/>
        <v>0</v>
      </c>
      <c r="DS176" s="161">
        <f t="shared" si="226"/>
        <v>0</v>
      </c>
      <c r="DT176" s="161">
        <f t="shared" si="227"/>
        <v>0</v>
      </c>
      <c r="DU176" s="161">
        <f t="shared" si="228"/>
        <v>0</v>
      </c>
      <c r="DV176" s="161">
        <f t="shared" si="229"/>
        <v>0</v>
      </c>
      <c r="DW176" s="161">
        <f t="shared" si="230"/>
        <v>0</v>
      </c>
      <c r="DX176" s="161">
        <f t="shared" si="231"/>
        <v>0</v>
      </c>
      <c r="DY176" s="161">
        <f t="shared" si="232"/>
        <v>0</v>
      </c>
      <c r="DZ176" s="161">
        <f t="shared" si="233"/>
        <v>0</v>
      </c>
      <c r="EA176" s="161">
        <f t="shared" si="234"/>
        <v>0</v>
      </c>
      <c r="EB176" s="161">
        <f t="shared" si="235"/>
        <v>0</v>
      </c>
      <c r="EC176" s="161">
        <f t="shared" si="236"/>
        <v>0</v>
      </c>
      <c r="ED176" s="161">
        <f t="shared" si="237"/>
        <v>0</v>
      </c>
      <c r="EE176" s="161">
        <f t="shared" si="238"/>
        <v>0</v>
      </c>
      <c r="EF176" s="161">
        <f t="shared" si="239"/>
        <v>0</v>
      </c>
      <c r="EG176" s="161">
        <f t="shared" si="240"/>
        <v>0</v>
      </c>
      <c r="EH176" s="161">
        <f t="shared" si="241"/>
        <v>0</v>
      </c>
      <c r="EI176" s="161">
        <f t="shared" si="242"/>
        <v>0</v>
      </c>
      <c r="EJ176" s="161">
        <f t="shared" si="243"/>
        <v>0</v>
      </c>
      <c r="EK176" s="147">
        <f t="shared" si="175"/>
        <v>0</v>
      </c>
      <c r="EL176" s="149"/>
      <c r="EN176" s="146"/>
      <c r="EO176" s="146"/>
      <c r="EP176" s="139">
        <f t="shared" si="176"/>
        <v>0</v>
      </c>
      <c r="EQ176" s="139">
        <f t="shared" si="177"/>
        <v>0</v>
      </c>
      <c r="ER176" s="139">
        <f t="shared" si="178"/>
        <v>0</v>
      </c>
      <c r="ES176" s="139">
        <f t="shared" si="179"/>
        <v>0</v>
      </c>
      <c r="ET176" s="139">
        <f t="shared" si="180"/>
        <v>0</v>
      </c>
      <c r="EU176" s="139">
        <f t="shared" si="181"/>
        <v>0</v>
      </c>
      <c r="EV176" s="139">
        <f t="shared" si="182"/>
        <v>0</v>
      </c>
      <c r="EW176" s="139">
        <f t="shared" si="183"/>
        <v>0</v>
      </c>
      <c r="EX176" s="139">
        <f t="shared" si="184"/>
        <v>0</v>
      </c>
      <c r="EY176" s="139">
        <f t="shared" si="185"/>
        <v>0</v>
      </c>
      <c r="EZ176" s="139">
        <f t="shared" si="186"/>
        <v>0</v>
      </c>
      <c r="FA176" s="139">
        <f t="shared" si="187"/>
        <v>0</v>
      </c>
      <c r="FB176" s="139">
        <f t="shared" si="188"/>
        <v>0</v>
      </c>
      <c r="FC176" s="139">
        <f t="shared" si="189"/>
        <v>0</v>
      </c>
      <c r="FD176" s="139">
        <f t="shared" si="190"/>
        <v>0</v>
      </c>
      <c r="FE176" s="139">
        <f t="shared" si="191"/>
        <v>0</v>
      </c>
      <c r="FF176" s="139">
        <f t="shared" si="192"/>
        <v>0</v>
      </c>
      <c r="FG176" s="139">
        <f t="shared" si="193"/>
        <v>0</v>
      </c>
      <c r="FH176" s="139">
        <f t="shared" si="194"/>
        <v>0</v>
      </c>
      <c r="FI176" s="139">
        <f t="shared" si="195"/>
        <v>0</v>
      </c>
      <c r="FJ176" s="139">
        <f t="shared" si="196"/>
        <v>0</v>
      </c>
      <c r="FK176" s="139">
        <f t="shared" si="197"/>
        <v>0</v>
      </c>
      <c r="FL176" s="139">
        <f t="shared" si="198"/>
        <v>0</v>
      </c>
      <c r="FM176" s="139">
        <f t="shared" si="199"/>
        <v>0</v>
      </c>
      <c r="FN176" s="139">
        <f t="shared" si="200"/>
        <v>0</v>
      </c>
      <c r="FO176" s="139">
        <f t="shared" si="201"/>
        <v>0</v>
      </c>
      <c r="FP176" s="139">
        <f t="shared" si="202"/>
        <v>0</v>
      </c>
      <c r="FQ176" s="139">
        <f t="shared" si="203"/>
        <v>0</v>
      </c>
      <c r="FR176" s="139">
        <f t="shared" si="204"/>
        <v>0</v>
      </c>
      <c r="FS176" s="139">
        <f t="shared" si="205"/>
        <v>0</v>
      </c>
      <c r="FT176" s="139">
        <f t="shared" si="206"/>
        <v>0</v>
      </c>
      <c r="FU176" s="148">
        <f t="shared" si="207"/>
        <v>0</v>
      </c>
      <c r="FV176" s="149"/>
      <c r="FY176" s="211">
        <v>171</v>
      </c>
      <c r="FZ176">
        <v>13.249470177877797</v>
      </c>
      <c r="GA176">
        <v>9.7267917631345249</v>
      </c>
      <c r="GB176">
        <v>2.1988008910352534</v>
      </c>
      <c r="GC176">
        <v>2.0693143733382389</v>
      </c>
      <c r="GD176">
        <v>1.8613515965708436</v>
      </c>
      <c r="GE176">
        <v>2.4192883019054134</v>
      </c>
      <c r="GF176">
        <v>3.0611047805585732</v>
      </c>
      <c r="GG176">
        <v>3.0385697179475937</v>
      </c>
      <c r="GH176">
        <v>6.9767034580604417</v>
      </c>
      <c r="GI176">
        <v>5.2258821547409502</v>
      </c>
      <c r="GJ176"/>
      <c r="GK176">
        <v>13.295253255220947</v>
      </c>
      <c r="GL176">
        <v>8.2438135507621215</v>
      </c>
      <c r="GM176">
        <v>3.6412888789928259</v>
      </c>
      <c r="GN176">
        <v>6.1675932358705365</v>
      </c>
      <c r="GO176">
        <v>7.2257428928629297</v>
      </c>
      <c r="GP176">
        <v>4.6317302026518856</v>
      </c>
      <c r="GQ176">
        <v>3.7464345765371321</v>
      </c>
      <c r="GR176">
        <v>4.2730549469075019</v>
      </c>
      <c r="GS176">
        <v>7.4376620511725564</v>
      </c>
      <c r="GT176">
        <v>7.0692763309572779</v>
      </c>
      <c r="GU176"/>
      <c r="GV176"/>
      <c r="GW176"/>
      <c r="GX176"/>
      <c r="GY176"/>
      <c r="GZ176"/>
      <c r="HA176"/>
      <c r="HB176"/>
      <c r="HC176"/>
    </row>
    <row r="177" spans="1:211" s="7" customFormat="1">
      <c r="A177" s="1"/>
      <c r="B177" s="76">
        <f t="shared" ca="1" si="172"/>
        <v>5.6919492169327235E-2</v>
      </c>
      <c r="C177">
        <v>4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52.760989288390746</v>
      </c>
      <c r="AO177">
        <v>6.4100575646116553</v>
      </c>
      <c r="AP177">
        <v>67.327754303712197</v>
      </c>
      <c r="AQ177">
        <v>51.823249526647217</v>
      </c>
      <c r="AR177">
        <v>6.7052781551654066</v>
      </c>
      <c r="AS177">
        <v>44.894512487606555</v>
      </c>
      <c r="AT177" t="e">
        <v>#DIV/0!</v>
      </c>
      <c r="AU177" t="e">
        <v>#DIV/0!</v>
      </c>
      <c r="AV177"/>
      <c r="AW177"/>
      <c r="AX177" s="146"/>
      <c r="AY177" s="76">
        <f t="shared" ca="1" si="173"/>
        <v>0.71224749417459998</v>
      </c>
      <c r="AZ177">
        <v>10</v>
      </c>
      <c r="BA177" s="129">
        <f t="shared" si="247"/>
        <v>39949</v>
      </c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8"/>
        <v>0.39500182094018044</v>
      </c>
      <c r="CL177" s="179">
        <f t="shared" si="209"/>
        <v>10</v>
      </c>
      <c r="CM177" s="180">
        <f t="shared" si="210"/>
        <v>39949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11"/>
        <v>9.6000000000000002E-2</v>
      </c>
      <c r="DB177" s="146"/>
      <c r="DC177" s="76">
        <f t="shared" ca="1" si="174"/>
        <v>0.1802256235285169</v>
      </c>
      <c r="DD177">
        <f t="shared" si="212"/>
        <v>10</v>
      </c>
      <c r="DE177" s="129">
        <f t="shared" si="246"/>
        <v>39949</v>
      </c>
      <c r="DF177" s="161">
        <f t="shared" si="213"/>
        <v>0</v>
      </c>
      <c r="DG177" s="161">
        <f t="shared" si="214"/>
        <v>0</v>
      </c>
      <c r="DH177" s="161">
        <f t="shared" si="215"/>
        <v>0</v>
      </c>
      <c r="DI177" s="161">
        <f t="shared" si="216"/>
        <v>0</v>
      </c>
      <c r="DJ177" s="161">
        <f t="shared" si="217"/>
        <v>0</v>
      </c>
      <c r="DK177" s="161">
        <f t="shared" si="218"/>
        <v>0</v>
      </c>
      <c r="DL177" s="161">
        <f t="shared" si="219"/>
        <v>0</v>
      </c>
      <c r="DM177" s="161">
        <f t="shared" si="220"/>
        <v>0</v>
      </c>
      <c r="DN177" s="161">
        <f t="shared" si="221"/>
        <v>0</v>
      </c>
      <c r="DO177" s="161">
        <f t="shared" si="222"/>
        <v>0</v>
      </c>
      <c r="DP177" s="161">
        <f t="shared" si="223"/>
        <v>0</v>
      </c>
      <c r="DQ177" s="161">
        <f t="shared" si="224"/>
        <v>0</v>
      </c>
      <c r="DR177" s="161">
        <f t="shared" si="225"/>
        <v>0</v>
      </c>
      <c r="DS177" s="161">
        <f t="shared" si="226"/>
        <v>0</v>
      </c>
      <c r="DT177" s="161">
        <f t="shared" si="227"/>
        <v>0</v>
      </c>
      <c r="DU177" s="161">
        <f t="shared" si="228"/>
        <v>0</v>
      </c>
      <c r="DV177" s="161">
        <f t="shared" si="229"/>
        <v>0</v>
      </c>
      <c r="DW177" s="161">
        <f t="shared" si="230"/>
        <v>0</v>
      </c>
      <c r="DX177" s="161">
        <f t="shared" si="231"/>
        <v>0</v>
      </c>
      <c r="DY177" s="161">
        <f t="shared" si="232"/>
        <v>0</v>
      </c>
      <c r="DZ177" s="161">
        <f t="shared" si="233"/>
        <v>0</v>
      </c>
      <c r="EA177" s="161">
        <f t="shared" si="234"/>
        <v>0</v>
      </c>
      <c r="EB177" s="161">
        <f t="shared" si="235"/>
        <v>0</v>
      </c>
      <c r="EC177" s="161">
        <f t="shared" si="236"/>
        <v>0</v>
      </c>
      <c r="ED177" s="161">
        <f t="shared" si="237"/>
        <v>0</v>
      </c>
      <c r="EE177" s="161">
        <f t="shared" si="238"/>
        <v>0</v>
      </c>
      <c r="EF177" s="161">
        <f t="shared" si="239"/>
        <v>0</v>
      </c>
      <c r="EG177" s="161">
        <f t="shared" si="240"/>
        <v>0</v>
      </c>
      <c r="EH177" s="161">
        <f t="shared" si="241"/>
        <v>0</v>
      </c>
      <c r="EI177" s="161">
        <f t="shared" si="242"/>
        <v>0</v>
      </c>
      <c r="EJ177" s="161">
        <f t="shared" si="243"/>
        <v>0</v>
      </c>
      <c r="EK177" s="147">
        <f t="shared" si="175"/>
        <v>0</v>
      </c>
      <c r="EL177" s="149"/>
      <c r="EN177" s="146"/>
      <c r="EO177" s="146"/>
      <c r="EP177" s="139">
        <f t="shared" si="176"/>
        <v>0</v>
      </c>
      <c r="EQ177" s="139">
        <f t="shared" si="177"/>
        <v>0</v>
      </c>
      <c r="ER177" s="139">
        <f t="shared" si="178"/>
        <v>0</v>
      </c>
      <c r="ES177" s="139">
        <f t="shared" si="179"/>
        <v>0</v>
      </c>
      <c r="ET177" s="139">
        <f t="shared" si="180"/>
        <v>0</v>
      </c>
      <c r="EU177" s="139">
        <f t="shared" si="181"/>
        <v>0</v>
      </c>
      <c r="EV177" s="139">
        <f t="shared" si="182"/>
        <v>0</v>
      </c>
      <c r="EW177" s="139">
        <f t="shared" si="183"/>
        <v>0</v>
      </c>
      <c r="EX177" s="139">
        <f t="shared" si="184"/>
        <v>0</v>
      </c>
      <c r="EY177" s="139">
        <f t="shared" si="185"/>
        <v>0</v>
      </c>
      <c r="EZ177" s="139">
        <f t="shared" si="186"/>
        <v>0</v>
      </c>
      <c r="FA177" s="139">
        <f t="shared" si="187"/>
        <v>0</v>
      </c>
      <c r="FB177" s="139">
        <f t="shared" si="188"/>
        <v>0</v>
      </c>
      <c r="FC177" s="139">
        <f t="shared" si="189"/>
        <v>0</v>
      </c>
      <c r="FD177" s="139">
        <f t="shared" si="190"/>
        <v>0</v>
      </c>
      <c r="FE177" s="139">
        <f t="shared" si="191"/>
        <v>0</v>
      </c>
      <c r="FF177" s="139">
        <f t="shared" si="192"/>
        <v>0</v>
      </c>
      <c r="FG177" s="139">
        <f t="shared" si="193"/>
        <v>0</v>
      </c>
      <c r="FH177" s="139">
        <f t="shared" si="194"/>
        <v>0</v>
      </c>
      <c r="FI177" s="139">
        <f t="shared" si="195"/>
        <v>0</v>
      </c>
      <c r="FJ177" s="139">
        <f t="shared" si="196"/>
        <v>0</v>
      </c>
      <c r="FK177" s="139">
        <f t="shared" si="197"/>
        <v>0</v>
      </c>
      <c r="FL177" s="139">
        <f t="shared" si="198"/>
        <v>0</v>
      </c>
      <c r="FM177" s="139">
        <f t="shared" si="199"/>
        <v>0</v>
      </c>
      <c r="FN177" s="139">
        <f t="shared" si="200"/>
        <v>0</v>
      </c>
      <c r="FO177" s="139">
        <f t="shared" si="201"/>
        <v>0</v>
      </c>
      <c r="FP177" s="139">
        <f t="shared" si="202"/>
        <v>0</v>
      </c>
      <c r="FQ177" s="139">
        <f t="shared" si="203"/>
        <v>0</v>
      </c>
      <c r="FR177" s="139">
        <f t="shared" si="204"/>
        <v>0</v>
      </c>
      <c r="FS177" s="139">
        <f t="shared" si="205"/>
        <v>0</v>
      </c>
      <c r="FT177" s="139">
        <f t="shared" si="206"/>
        <v>0</v>
      </c>
      <c r="FU177" s="148">
        <f t="shared" si="207"/>
        <v>0</v>
      </c>
      <c r="FV177" s="149"/>
      <c r="FY177" s="211">
        <v>172</v>
      </c>
      <c r="FZ177">
        <v>7.5925889638010506</v>
      </c>
      <c r="GA177">
        <v>5.479970449681927</v>
      </c>
      <c r="GB177">
        <v>4.615355972872929</v>
      </c>
      <c r="GC177">
        <v>2.6605688047132556</v>
      </c>
      <c r="GD177">
        <v>1.6229137321583802</v>
      </c>
      <c r="GE177">
        <v>2.2070920319054137</v>
      </c>
      <c r="GF177">
        <v>1.8863511325558551</v>
      </c>
      <c r="GG177">
        <v>1.9675917353388979</v>
      </c>
      <c r="GH177">
        <v>6.153526344470424</v>
      </c>
      <c r="GI177">
        <v>4.4995621839352822</v>
      </c>
      <c r="GJ177"/>
      <c r="GK177">
        <v>7.6299750840376106</v>
      </c>
      <c r="GL177">
        <v>4.6428318534254007</v>
      </c>
      <c r="GM177">
        <v>7.6459242588316494</v>
      </c>
      <c r="GN177">
        <v>7.9214299933734846</v>
      </c>
      <c r="GO177">
        <v>6.2910174464112245</v>
      </c>
      <c r="GP177">
        <v>4.2254802026518856</v>
      </c>
      <c r="GQ177">
        <v>2.3068965330588709</v>
      </c>
      <c r="GR177">
        <v>2.7658085700959076</v>
      </c>
      <c r="GS177">
        <v>6.55806497174793</v>
      </c>
      <c r="GT177">
        <v>6.086375658817456</v>
      </c>
      <c r="GU177"/>
      <c r="GV177"/>
      <c r="GW177"/>
      <c r="GX177"/>
      <c r="GY177"/>
      <c r="GZ177"/>
      <c r="HA177"/>
      <c r="HB177"/>
      <c r="HC177"/>
    </row>
    <row r="178" spans="1:211" s="7" customFormat="1">
      <c r="A178" s="128"/>
      <c r="B178" s="76">
        <f t="shared" ca="1" si="172"/>
        <v>1.9470626934950275E-2</v>
      </c>
      <c r="C178">
        <v>3</v>
      </c>
      <c r="D178">
        <v>39987</v>
      </c>
      <c r="E178">
        <v>67.51543209876543</v>
      </c>
      <c r="F178">
        <v>202.5462962962963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46.691166523020868</v>
      </c>
      <c r="AO178">
        <v>5.6579328310309203</v>
      </c>
      <c r="AP178">
        <v>3.7809974958550607</v>
      </c>
      <c r="AQ178">
        <v>42.758538545448602</v>
      </c>
      <c r="AR178">
        <v>6.2877989549662185</v>
      </c>
      <c r="AS178">
        <v>39.259483432450253</v>
      </c>
      <c r="AT178">
        <v>5.0189061104971087</v>
      </c>
      <c r="AU178">
        <v>4.664719907216698</v>
      </c>
      <c r="AV178"/>
      <c r="AW178"/>
      <c r="AX178" s="128"/>
      <c r="AY178" s="76">
        <f t="shared" ca="1" si="173"/>
        <v>0.52216977239192008</v>
      </c>
      <c r="AZ178">
        <v>1</v>
      </c>
      <c r="BA178" s="129">
        <f>IF(AZ178="", "",$C$13)</f>
        <v>39987</v>
      </c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8"/>
        <v>0.88732287701529522</v>
      </c>
      <c r="CL178" s="179">
        <f t="shared" si="209"/>
        <v>1</v>
      </c>
      <c r="CM178" s="180">
        <f t="shared" si="210"/>
        <v>39987</v>
      </c>
      <c r="CN178">
        <v>1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11"/>
        <v>9.6000000000000002E-2</v>
      </c>
      <c r="DB178" s="128"/>
      <c r="DC178" s="76">
        <f t="shared" ca="1" si="174"/>
        <v>0.14270549119419762</v>
      </c>
      <c r="DD178">
        <f t="shared" si="212"/>
        <v>1</v>
      </c>
      <c r="DE178" s="129">
        <f t="shared" ref="DE178:DE187" si="248">IF((DD178)="", "", $C$13)</f>
        <v>39987</v>
      </c>
      <c r="DF178" s="161">
        <f t="shared" si="213"/>
        <v>77.570921985815602</v>
      </c>
      <c r="DG178" s="161">
        <f t="shared" si="214"/>
        <v>77.570921985815602</v>
      </c>
      <c r="DH178" s="161">
        <f t="shared" si="215"/>
        <v>0</v>
      </c>
      <c r="DI178" s="161">
        <f t="shared" si="216"/>
        <v>0</v>
      </c>
      <c r="DJ178" s="161">
        <f t="shared" si="217"/>
        <v>0</v>
      </c>
      <c r="DK178" s="161">
        <f t="shared" si="218"/>
        <v>0</v>
      </c>
      <c r="DL178" s="161">
        <f t="shared" si="219"/>
        <v>0</v>
      </c>
      <c r="DM178" s="161">
        <f t="shared" si="220"/>
        <v>0</v>
      </c>
      <c r="DN178" s="161">
        <f t="shared" si="221"/>
        <v>0</v>
      </c>
      <c r="DO178" s="161">
        <f t="shared" si="222"/>
        <v>0</v>
      </c>
      <c r="DP178" s="161">
        <f t="shared" si="223"/>
        <v>0</v>
      </c>
      <c r="DQ178" s="161">
        <f t="shared" si="224"/>
        <v>0</v>
      </c>
      <c r="DR178" s="161">
        <f t="shared" si="225"/>
        <v>0</v>
      </c>
      <c r="DS178" s="161">
        <f t="shared" si="226"/>
        <v>0</v>
      </c>
      <c r="DT178" s="161">
        <f t="shared" si="227"/>
        <v>0</v>
      </c>
      <c r="DU178" s="161">
        <f t="shared" si="228"/>
        <v>0</v>
      </c>
      <c r="DV178" s="161">
        <f t="shared" si="229"/>
        <v>0</v>
      </c>
      <c r="DW178" s="161">
        <f t="shared" si="230"/>
        <v>0</v>
      </c>
      <c r="DX178" s="161">
        <f t="shared" si="231"/>
        <v>0</v>
      </c>
      <c r="DY178" s="161">
        <f t="shared" si="232"/>
        <v>0</v>
      </c>
      <c r="DZ178" s="161">
        <f t="shared" si="233"/>
        <v>0</v>
      </c>
      <c r="EA178" s="161">
        <f t="shared" si="234"/>
        <v>0</v>
      </c>
      <c r="EB178" s="161">
        <f t="shared" si="235"/>
        <v>0</v>
      </c>
      <c r="EC178" s="161">
        <f t="shared" si="236"/>
        <v>0</v>
      </c>
      <c r="ED178" s="161">
        <f t="shared" si="237"/>
        <v>0</v>
      </c>
      <c r="EE178" s="161">
        <f t="shared" si="238"/>
        <v>0</v>
      </c>
      <c r="EF178" s="161">
        <f t="shared" si="239"/>
        <v>0</v>
      </c>
      <c r="EG178" s="161">
        <f t="shared" si="240"/>
        <v>0</v>
      </c>
      <c r="EH178" s="161">
        <f t="shared" si="241"/>
        <v>0</v>
      </c>
      <c r="EI178" s="161">
        <f t="shared" si="242"/>
        <v>0</v>
      </c>
      <c r="EJ178" s="161">
        <f t="shared" si="243"/>
        <v>0</v>
      </c>
      <c r="EK178" s="147">
        <f t="shared" si="175"/>
        <v>155.1418439716312</v>
      </c>
      <c r="EL178" s="149"/>
      <c r="EN178" s="146"/>
      <c r="EO178" s="146"/>
      <c r="EP178" s="139">
        <f t="shared" si="176"/>
        <v>2.840027331162815</v>
      </c>
      <c r="EQ178" s="139">
        <f t="shared" si="177"/>
        <v>8.9749556737588652</v>
      </c>
      <c r="ER178" s="139">
        <f t="shared" si="178"/>
        <v>0</v>
      </c>
      <c r="ES178" s="139">
        <f t="shared" si="179"/>
        <v>0</v>
      </c>
      <c r="ET178" s="139">
        <f t="shared" si="180"/>
        <v>0</v>
      </c>
      <c r="EU178" s="139">
        <f t="shared" si="181"/>
        <v>0</v>
      </c>
      <c r="EV178" s="139">
        <f t="shared" si="182"/>
        <v>0</v>
      </c>
      <c r="EW178" s="139">
        <f t="shared" si="183"/>
        <v>0</v>
      </c>
      <c r="EX178" s="139">
        <f t="shared" si="184"/>
        <v>0</v>
      </c>
      <c r="EY178" s="139">
        <f t="shared" si="185"/>
        <v>0</v>
      </c>
      <c r="EZ178" s="139">
        <f t="shared" si="186"/>
        <v>0</v>
      </c>
      <c r="FA178" s="139">
        <f t="shared" si="187"/>
        <v>0</v>
      </c>
      <c r="FB178" s="139">
        <f t="shared" si="188"/>
        <v>0</v>
      </c>
      <c r="FC178" s="139">
        <f t="shared" si="189"/>
        <v>0</v>
      </c>
      <c r="FD178" s="139">
        <f t="shared" si="190"/>
        <v>0</v>
      </c>
      <c r="FE178" s="139">
        <f t="shared" si="191"/>
        <v>0</v>
      </c>
      <c r="FF178" s="139">
        <f t="shared" si="192"/>
        <v>0</v>
      </c>
      <c r="FG178" s="139">
        <f t="shared" si="193"/>
        <v>0</v>
      </c>
      <c r="FH178" s="139">
        <f t="shared" si="194"/>
        <v>0</v>
      </c>
      <c r="FI178" s="139">
        <f t="shared" si="195"/>
        <v>0</v>
      </c>
      <c r="FJ178" s="139">
        <f t="shared" si="196"/>
        <v>0</v>
      </c>
      <c r="FK178" s="139">
        <f t="shared" si="197"/>
        <v>0</v>
      </c>
      <c r="FL178" s="139">
        <f t="shared" si="198"/>
        <v>0</v>
      </c>
      <c r="FM178" s="139">
        <f t="shared" si="199"/>
        <v>0</v>
      </c>
      <c r="FN178" s="139">
        <f t="shared" si="200"/>
        <v>0</v>
      </c>
      <c r="FO178" s="139">
        <f t="shared" si="201"/>
        <v>0</v>
      </c>
      <c r="FP178" s="139">
        <f t="shared" si="202"/>
        <v>0</v>
      </c>
      <c r="FQ178" s="139">
        <f t="shared" si="203"/>
        <v>0</v>
      </c>
      <c r="FR178" s="139">
        <f t="shared" si="204"/>
        <v>0</v>
      </c>
      <c r="FS178" s="139">
        <f t="shared" si="205"/>
        <v>0</v>
      </c>
      <c r="FT178" s="139">
        <f t="shared" si="206"/>
        <v>0</v>
      </c>
      <c r="FU178" s="148">
        <f t="shared" si="207"/>
        <v>11.814983004921681</v>
      </c>
      <c r="FV178" s="149"/>
      <c r="FY178" s="211">
        <v>173</v>
      </c>
      <c r="FZ178">
        <v>19.754506063916111</v>
      </c>
      <c r="GA178">
        <v>17.028629539008438</v>
      </c>
      <c r="GB178">
        <v>4.9703301971882645</v>
      </c>
      <c r="GC178">
        <v>2.6408074727174258</v>
      </c>
      <c r="GD178">
        <v>3.3034023344998702</v>
      </c>
      <c r="GE178">
        <v>5.1766811964705877</v>
      </c>
      <c r="GF178">
        <v>1.20049492930329</v>
      </c>
      <c r="GG178">
        <v>0.9966950165485251</v>
      </c>
      <c r="GH178">
        <v>5.517009199915524</v>
      </c>
      <c r="GI178">
        <v>7.1294601916463396</v>
      </c>
      <c r="GJ178"/>
      <c r="GK178">
        <v>19.827007402824115</v>
      </c>
      <c r="GL178">
        <v>14.427756953726526</v>
      </c>
      <c r="GM178">
        <v>8.229954603587144</v>
      </c>
      <c r="GN178">
        <v>7.8766057728298575</v>
      </c>
      <c r="GO178">
        <v>12.827223383034028</v>
      </c>
      <c r="GP178">
        <v>9.9107620320855609</v>
      </c>
      <c r="GQ178">
        <v>1.4687663019561665</v>
      </c>
      <c r="GR178">
        <v>1.4010579686228333</v>
      </c>
      <c r="GS178">
        <v>5.8810111673051271</v>
      </c>
      <c r="GT178">
        <v>9.6467925717413134</v>
      </c>
      <c r="GU178"/>
      <c r="GV178"/>
      <c r="GW178"/>
      <c r="GX178"/>
      <c r="GY178"/>
      <c r="GZ178"/>
      <c r="HA178"/>
      <c r="HB178"/>
      <c r="HC178"/>
    </row>
    <row r="179" spans="1:211" s="7" customFormat="1">
      <c r="A179" s="1"/>
      <c r="B179" s="76">
        <f t="shared" ca="1" si="172"/>
        <v>0.72548294836949712</v>
      </c>
      <c r="C179">
        <v>1</v>
      </c>
      <c r="D179">
        <v>39987</v>
      </c>
      <c r="E179">
        <v>77.570921985815602</v>
      </c>
      <c r="F179">
        <v>77.570921985815602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58.549880458171195</v>
      </c>
      <c r="AO179">
        <v>7.3439724811491232</v>
      </c>
      <c r="AP179">
        <v>3.7352674800418444</v>
      </c>
      <c r="AQ179">
        <v>53.333083098305536</v>
      </c>
      <c r="AR179">
        <v>7.5986072873089388</v>
      </c>
      <c r="AS179">
        <v>48.848184036604124</v>
      </c>
      <c r="AT179">
        <v>6.1146400128160794</v>
      </c>
      <c r="AU179">
        <v>-0.69725754289708775</v>
      </c>
      <c r="AV179"/>
      <c r="AW179"/>
      <c r="AX179" s="146"/>
      <c r="AY179" s="76">
        <f t="shared" ca="1" si="173"/>
        <v>0.82291258897557662</v>
      </c>
      <c r="AZ179">
        <v>2</v>
      </c>
      <c r="BA179" s="129">
        <f t="shared" ref="BA179:BA187" si="249">IF(AZ179="", "",$C$13)</f>
        <v>39987</v>
      </c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8"/>
        <v>1.8707284703835869E-2</v>
      </c>
      <c r="CL179" s="179">
        <f t="shared" si="209"/>
        <v>2</v>
      </c>
      <c r="CM179" s="180">
        <f t="shared" si="210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11"/>
        <v>9.6000000000000002E-2</v>
      </c>
      <c r="DB179" s="146"/>
      <c r="DC179" s="76">
        <f t="shared" ca="1" si="174"/>
        <v>0.66592933623486417</v>
      </c>
      <c r="DD179">
        <f t="shared" si="212"/>
        <v>2</v>
      </c>
      <c r="DE179" s="129">
        <f t="shared" si="248"/>
        <v>39987</v>
      </c>
      <c r="DF179" s="161">
        <f t="shared" si="213"/>
        <v>0</v>
      </c>
      <c r="DG179" s="161">
        <f t="shared" si="214"/>
        <v>0</v>
      </c>
      <c r="DH179" s="161">
        <f t="shared" si="215"/>
        <v>0</v>
      </c>
      <c r="DI179" s="161">
        <f t="shared" si="216"/>
        <v>0</v>
      </c>
      <c r="DJ179" s="161">
        <f t="shared" si="217"/>
        <v>0</v>
      </c>
      <c r="DK179" s="161">
        <f t="shared" si="218"/>
        <v>0</v>
      </c>
      <c r="DL179" s="161">
        <f t="shared" si="219"/>
        <v>0</v>
      </c>
      <c r="DM179" s="161">
        <f t="shared" si="220"/>
        <v>0</v>
      </c>
      <c r="DN179" s="161">
        <f t="shared" si="221"/>
        <v>0</v>
      </c>
      <c r="DO179" s="161">
        <f t="shared" si="222"/>
        <v>0</v>
      </c>
      <c r="DP179" s="161">
        <f t="shared" si="223"/>
        <v>0</v>
      </c>
      <c r="DQ179" s="161">
        <f t="shared" si="224"/>
        <v>0</v>
      </c>
      <c r="DR179" s="161">
        <f t="shared" si="225"/>
        <v>0</v>
      </c>
      <c r="DS179" s="161">
        <f t="shared" si="226"/>
        <v>0</v>
      </c>
      <c r="DT179" s="161">
        <f t="shared" si="227"/>
        <v>0</v>
      </c>
      <c r="DU179" s="161">
        <f t="shared" si="228"/>
        <v>0</v>
      </c>
      <c r="DV179" s="161">
        <f t="shared" si="229"/>
        <v>0</v>
      </c>
      <c r="DW179" s="161">
        <f t="shared" si="230"/>
        <v>0</v>
      </c>
      <c r="DX179" s="161">
        <f t="shared" si="231"/>
        <v>0</v>
      </c>
      <c r="DY179" s="161">
        <f t="shared" si="232"/>
        <v>0</v>
      </c>
      <c r="DZ179" s="161">
        <f t="shared" si="233"/>
        <v>0</v>
      </c>
      <c r="EA179" s="161">
        <f t="shared" si="234"/>
        <v>0</v>
      </c>
      <c r="EB179" s="161">
        <f t="shared" si="235"/>
        <v>0</v>
      </c>
      <c r="EC179" s="161">
        <f t="shared" si="236"/>
        <v>0</v>
      </c>
      <c r="ED179" s="161">
        <f t="shared" si="237"/>
        <v>0</v>
      </c>
      <c r="EE179" s="161">
        <f t="shared" si="238"/>
        <v>0</v>
      </c>
      <c r="EF179" s="161">
        <f t="shared" si="239"/>
        <v>0</v>
      </c>
      <c r="EG179" s="161">
        <f t="shared" si="240"/>
        <v>0</v>
      </c>
      <c r="EH179" s="161">
        <f t="shared" si="241"/>
        <v>0</v>
      </c>
      <c r="EI179" s="161">
        <f t="shared" si="242"/>
        <v>0</v>
      </c>
      <c r="EJ179" s="161">
        <f t="shared" si="243"/>
        <v>0</v>
      </c>
      <c r="EK179" s="147">
        <f t="shared" si="175"/>
        <v>0</v>
      </c>
      <c r="EL179" s="149"/>
      <c r="EN179" s="146"/>
      <c r="EO179" s="146"/>
      <c r="EP179" s="139">
        <f t="shared" si="176"/>
        <v>0</v>
      </c>
      <c r="EQ179" s="139">
        <f t="shared" si="177"/>
        <v>0</v>
      </c>
      <c r="ER179" s="139">
        <f t="shared" si="178"/>
        <v>0</v>
      </c>
      <c r="ES179" s="139">
        <f t="shared" si="179"/>
        <v>0</v>
      </c>
      <c r="ET179" s="139">
        <f t="shared" si="180"/>
        <v>0</v>
      </c>
      <c r="EU179" s="139">
        <f t="shared" si="181"/>
        <v>0</v>
      </c>
      <c r="EV179" s="139">
        <f t="shared" si="182"/>
        <v>0</v>
      </c>
      <c r="EW179" s="139">
        <f t="shared" si="183"/>
        <v>0</v>
      </c>
      <c r="EX179" s="139">
        <f t="shared" si="184"/>
        <v>0</v>
      </c>
      <c r="EY179" s="139">
        <f t="shared" si="185"/>
        <v>0</v>
      </c>
      <c r="EZ179" s="139">
        <f t="shared" si="186"/>
        <v>0</v>
      </c>
      <c r="FA179" s="139">
        <f t="shared" si="187"/>
        <v>0</v>
      </c>
      <c r="FB179" s="139">
        <f t="shared" si="188"/>
        <v>0</v>
      </c>
      <c r="FC179" s="139">
        <f t="shared" si="189"/>
        <v>0</v>
      </c>
      <c r="FD179" s="139">
        <f t="shared" si="190"/>
        <v>0</v>
      </c>
      <c r="FE179" s="139">
        <f t="shared" si="191"/>
        <v>0</v>
      </c>
      <c r="FF179" s="139">
        <f t="shared" si="192"/>
        <v>0</v>
      </c>
      <c r="FG179" s="139">
        <f t="shared" si="193"/>
        <v>0</v>
      </c>
      <c r="FH179" s="139">
        <f t="shared" si="194"/>
        <v>0</v>
      </c>
      <c r="FI179" s="139">
        <f t="shared" si="195"/>
        <v>0</v>
      </c>
      <c r="FJ179" s="139">
        <f t="shared" si="196"/>
        <v>0</v>
      </c>
      <c r="FK179" s="139">
        <f t="shared" si="197"/>
        <v>0</v>
      </c>
      <c r="FL179" s="139">
        <f t="shared" si="198"/>
        <v>0</v>
      </c>
      <c r="FM179" s="139">
        <f t="shared" si="199"/>
        <v>0</v>
      </c>
      <c r="FN179" s="139">
        <f t="shared" si="200"/>
        <v>0</v>
      </c>
      <c r="FO179" s="139">
        <f t="shared" si="201"/>
        <v>0</v>
      </c>
      <c r="FP179" s="139">
        <f t="shared" si="202"/>
        <v>0</v>
      </c>
      <c r="FQ179" s="139">
        <f t="shared" si="203"/>
        <v>0</v>
      </c>
      <c r="FR179" s="139">
        <f t="shared" si="204"/>
        <v>0</v>
      </c>
      <c r="FS179" s="139">
        <f t="shared" si="205"/>
        <v>0</v>
      </c>
      <c r="FT179" s="139">
        <f t="shared" si="206"/>
        <v>0</v>
      </c>
      <c r="FU179" s="148">
        <f t="shared" si="207"/>
        <v>0</v>
      </c>
      <c r="FV179" s="149"/>
      <c r="FY179" s="211">
        <v>174</v>
      </c>
      <c r="FZ179">
        <v>7.3608339317814568</v>
      </c>
      <c r="GA179">
        <v>5.3561123144880067</v>
      </c>
      <c r="GB179">
        <v>5.8683883168007673</v>
      </c>
      <c r="GC179">
        <v>3.0700754549841922</v>
      </c>
      <c r="GD179">
        <v>1.125795996315061</v>
      </c>
      <c r="GE179">
        <v>1.2125501142857145</v>
      </c>
      <c r="GF179">
        <v>1.7446466356159418</v>
      </c>
      <c r="GG179">
        <v>1.8451593324501812</v>
      </c>
      <c r="GH179">
        <v>7.6008312001970859</v>
      </c>
      <c r="GI179">
        <v>4.6911982131096455</v>
      </c>
      <c r="GJ179"/>
      <c r="GK179">
        <v>7.4017067339004674</v>
      </c>
      <c r="GL179">
        <v>4.5374087682176487</v>
      </c>
      <c r="GM179">
        <v>9.716695110949555</v>
      </c>
      <c r="GN179">
        <v>9.144130029767501</v>
      </c>
      <c r="GO179">
        <v>4.3745253183313757</v>
      </c>
      <c r="GP179">
        <v>2.3214285714285716</v>
      </c>
      <c r="GQ179">
        <v>2.137882447665056</v>
      </c>
      <c r="GR179">
        <v>2.5967944847020932</v>
      </c>
      <c r="GS179">
        <v>8.105231821026516</v>
      </c>
      <c r="GT179">
        <v>6.3472082863745936</v>
      </c>
      <c r="GU179"/>
      <c r="GV179"/>
      <c r="GW179"/>
      <c r="GX179"/>
      <c r="GY179"/>
      <c r="GZ179"/>
      <c r="HA179"/>
      <c r="HB179"/>
      <c r="HC179"/>
    </row>
    <row r="180" spans="1:211" s="7" customFormat="1">
      <c r="A180" s="1"/>
      <c r="B180" s="76">
        <f t="shared" ca="1" si="172"/>
        <v>0.66994368380961178</v>
      </c>
      <c r="C180">
        <v>8</v>
      </c>
      <c r="D180">
        <v>39987</v>
      </c>
      <c r="E180">
        <v>0</v>
      </c>
      <c r="F180">
        <v>56.089743589743591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55.979484956181338</v>
      </c>
      <c r="AO180">
        <v>6.6309503781418133</v>
      </c>
      <c r="AP180">
        <v>11.815450021107827</v>
      </c>
      <c r="AQ180">
        <v>52.691937726949007</v>
      </c>
      <c r="AR180">
        <v>6.9002516854174889</v>
      </c>
      <c r="AS180">
        <v>42.702150134286356</v>
      </c>
      <c r="AT180" t="e">
        <v>#DIV/0!</v>
      </c>
      <c r="AU180" t="e">
        <v>#DIV/0!</v>
      </c>
      <c r="AV180"/>
      <c r="AW180"/>
      <c r="AX180" s="146"/>
      <c r="AY180" s="76">
        <f t="shared" ca="1" si="173"/>
        <v>0.24576281270612732</v>
      </c>
      <c r="AZ180">
        <v>3</v>
      </c>
      <c r="BA180" s="129">
        <f t="shared" si="249"/>
        <v>39987</v>
      </c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8"/>
        <v>0.57234951299994941</v>
      </c>
      <c r="CL180" s="179">
        <f t="shared" si="209"/>
        <v>3</v>
      </c>
      <c r="CM180" s="180">
        <f t="shared" si="210"/>
        <v>39987</v>
      </c>
      <c r="CN180">
        <v>1</v>
      </c>
      <c r="CO180">
        <v>3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11"/>
        <v>9.6000000000000002E-2</v>
      </c>
      <c r="DB180" s="146"/>
      <c r="DC180" s="76">
        <f t="shared" ca="1" si="174"/>
        <v>0.15666047831760732</v>
      </c>
      <c r="DD180">
        <f t="shared" si="212"/>
        <v>3</v>
      </c>
      <c r="DE180" s="129">
        <f t="shared" si="248"/>
        <v>39987</v>
      </c>
      <c r="DF180" s="161">
        <f t="shared" si="213"/>
        <v>67.51543209876543</v>
      </c>
      <c r="DG180" s="161">
        <f t="shared" si="214"/>
        <v>202.5462962962963</v>
      </c>
      <c r="DH180" s="161">
        <f t="shared" si="215"/>
        <v>0</v>
      </c>
      <c r="DI180" s="161">
        <f t="shared" si="216"/>
        <v>0</v>
      </c>
      <c r="DJ180" s="161">
        <f t="shared" si="217"/>
        <v>0</v>
      </c>
      <c r="DK180" s="161">
        <f t="shared" si="218"/>
        <v>0</v>
      </c>
      <c r="DL180" s="161">
        <f t="shared" si="219"/>
        <v>0</v>
      </c>
      <c r="DM180" s="161">
        <f t="shared" si="220"/>
        <v>0</v>
      </c>
      <c r="DN180" s="161">
        <f t="shared" si="221"/>
        <v>0</v>
      </c>
      <c r="DO180" s="161">
        <f t="shared" si="222"/>
        <v>0</v>
      </c>
      <c r="DP180" s="161">
        <f t="shared" si="223"/>
        <v>0</v>
      </c>
      <c r="DQ180" s="161">
        <f t="shared" si="224"/>
        <v>0</v>
      </c>
      <c r="DR180" s="161">
        <f t="shared" si="225"/>
        <v>0</v>
      </c>
      <c r="DS180" s="161">
        <f t="shared" si="226"/>
        <v>0</v>
      </c>
      <c r="DT180" s="161">
        <f t="shared" si="227"/>
        <v>0</v>
      </c>
      <c r="DU180" s="161">
        <f t="shared" si="228"/>
        <v>0</v>
      </c>
      <c r="DV180" s="161">
        <f t="shared" si="229"/>
        <v>0</v>
      </c>
      <c r="DW180" s="161">
        <f t="shared" si="230"/>
        <v>0</v>
      </c>
      <c r="DX180" s="161">
        <f t="shared" si="231"/>
        <v>0</v>
      </c>
      <c r="DY180" s="161">
        <f t="shared" si="232"/>
        <v>0</v>
      </c>
      <c r="DZ180" s="161">
        <f t="shared" si="233"/>
        <v>0</v>
      </c>
      <c r="EA180" s="161">
        <f t="shared" si="234"/>
        <v>0</v>
      </c>
      <c r="EB180" s="161">
        <f t="shared" si="235"/>
        <v>0</v>
      </c>
      <c r="EC180" s="161">
        <f t="shared" si="236"/>
        <v>0</v>
      </c>
      <c r="ED180" s="161">
        <f t="shared" si="237"/>
        <v>0</v>
      </c>
      <c r="EE180" s="161">
        <f t="shared" si="238"/>
        <v>0</v>
      </c>
      <c r="EF180" s="161">
        <f t="shared" si="239"/>
        <v>0</v>
      </c>
      <c r="EG180" s="161">
        <f t="shared" si="240"/>
        <v>0</v>
      </c>
      <c r="EH180" s="161">
        <f t="shared" si="241"/>
        <v>0</v>
      </c>
      <c r="EI180" s="161">
        <f t="shared" si="242"/>
        <v>0</v>
      </c>
      <c r="EJ180" s="161">
        <f t="shared" si="243"/>
        <v>0</v>
      </c>
      <c r="EK180" s="147">
        <f t="shared" si="175"/>
        <v>270.06172839506172</v>
      </c>
      <c r="EL180" s="149"/>
      <c r="EN180" s="146"/>
      <c r="EO180" s="146"/>
      <c r="EP180" s="139">
        <f t="shared" si="176"/>
        <v>2.4718756400861537</v>
      </c>
      <c r="EQ180" s="139">
        <f t="shared" si="177"/>
        <v>23.434606481481485</v>
      </c>
      <c r="ER180" s="139">
        <f t="shared" si="178"/>
        <v>0</v>
      </c>
      <c r="ES180" s="139">
        <f t="shared" si="179"/>
        <v>0</v>
      </c>
      <c r="ET180" s="139">
        <f t="shared" si="180"/>
        <v>0</v>
      </c>
      <c r="EU180" s="139">
        <f t="shared" si="181"/>
        <v>0</v>
      </c>
      <c r="EV180" s="139">
        <f t="shared" si="182"/>
        <v>0</v>
      </c>
      <c r="EW180" s="139">
        <f t="shared" si="183"/>
        <v>0</v>
      </c>
      <c r="EX180" s="139">
        <f t="shared" si="184"/>
        <v>0</v>
      </c>
      <c r="EY180" s="139">
        <f t="shared" si="185"/>
        <v>0</v>
      </c>
      <c r="EZ180" s="139">
        <f t="shared" si="186"/>
        <v>0</v>
      </c>
      <c r="FA180" s="139">
        <f t="shared" si="187"/>
        <v>0</v>
      </c>
      <c r="FB180" s="139">
        <f t="shared" si="188"/>
        <v>0</v>
      </c>
      <c r="FC180" s="139">
        <f t="shared" si="189"/>
        <v>0</v>
      </c>
      <c r="FD180" s="139">
        <f t="shared" si="190"/>
        <v>0</v>
      </c>
      <c r="FE180" s="139">
        <f t="shared" si="191"/>
        <v>0</v>
      </c>
      <c r="FF180" s="139">
        <f t="shared" si="192"/>
        <v>0</v>
      </c>
      <c r="FG180" s="139">
        <f t="shared" si="193"/>
        <v>0</v>
      </c>
      <c r="FH180" s="139">
        <f t="shared" si="194"/>
        <v>0</v>
      </c>
      <c r="FI180" s="139">
        <f t="shared" si="195"/>
        <v>0</v>
      </c>
      <c r="FJ180" s="139">
        <f t="shared" si="196"/>
        <v>0</v>
      </c>
      <c r="FK180" s="139">
        <f t="shared" si="197"/>
        <v>0</v>
      </c>
      <c r="FL180" s="139">
        <f t="shared" si="198"/>
        <v>0</v>
      </c>
      <c r="FM180" s="139">
        <f t="shared" si="199"/>
        <v>0</v>
      </c>
      <c r="FN180" s="139">
        <f t="shared" si="200"/>
        <v>0</v>
      </c>
      <c r="FO180" s="139">
        <f t="shared" si="201"/>
        <v>0</v>
      </c>
      <c r="FP180" s="139">
        <f t="shared" si="202"/>
        <v>0</v>
      </c>
      <c r="FQ180" s="139">
        <f t="shared" si="203"/>
        <v>0</v>
      </c>
      <c r="FR180" s="139">
        <f t="shared" si="204"/>
        <v>0</v>
      </c>
      <c r="FS180" s="139">
        <f t="shared" si="205"/>
        <v>0</v>
      </c>
      <c r="FT180" s="139">
        <f t="shared" si="206"/>
        <v>0</v>
      </c>
      <c r="FU180" s="148">
        <f t="shared" si="207"/>
        <v>25.906482121567638</v>
      </c>
      <c r="FV180" s="149"/>
      <c r="FY180" s="211">
        <v>175</v>
      </c>
      <c r="FZ180">
        <v>14.18943253671153</v>
      </c>
      <c r="GA180">
        <v>7.8634005371833799</v>
      </c>
      <c r="GB180">
        <v>2.8519264783718667</v>
      </c>
      <c r="GC180">
        <v>2.8156652420024662</v>
      </c>
      <c r="GD180">
        <v>1.8990923662073145</v>
      </c>
      <c r="GE180">
        <v>1.9601718562624584</v>
      </c>
      <c r="GF180">
        <v>2.3457355970440794</v>
      </c>
      <c r="GG180">
        <v>2.7417730851803834</v>
      </c>
      <c r="GH180">
        <v>6.4577627040821497</v>
      </c>
      <c r="GI180">
        <v>5.3370802023759634</v>
      </c>
      <c r="GJ180"/>
      <c r="GK180">
        <v>14.260866462213095</v>
      </c>
      <c r="GL180">
        <v>6.6637450147044355</v>
      </c>
      <c r="GM180">
        <v>4.761743489895478</v>
      </c>
      <c r="GN180">
        <v>8.4502635792043286</v>
      </c>
      <c r="GO180">
        <v>7.373563001822693</v>
      </c>
      <c r="GP180">
        <v>3.7527512458471759</v>
      </c>
      <c r="GQ180">
        <v>2.8698242705789996</v>
      </c>
      <c r="GR180">
        <v>3.855356677986407</v>
      </c>
      <c r="GS180">
        <v>6.8829778002923634</v>
      </c>
      <c r="GT180">
        <v>7.2297950049605264</v>
      </c>
      <c r="GU180"/>
      <c r="GV180"/>
      <c r="GW180"/>
      <c r="GX180"/>
      <c r="GY180"/>
      <c r="GZ180"/>
      <c r="HA180"/>
      <c r="HB180"/>
      <c r="HC180"/>
    </row>
    <row r="181" spans="1:211" s="7" customFormat="1">
      <c r="A181" s="1"/>
      <c r="B181" s="76">
        <f t="shared" ca="1" si="172"/>
        <v>0.62183268416488602</v>
      </c>
      <c r="C181">
        <v>7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62.66338307711974</v>
      </c>
      <c r="AO181">
        <v>7.8163281760731662</v>
      </c>
      <c r="AP181">
        <v>5.8006766249595758</v>
      </c>
      <c r="AQ181">
        <v>60.147765413166667</v>
      </c>
      <c r="AR181">
        <v>8.1729816091473921</v>
      </c>
      <c r="AS181">
        <v>52.029855586209706</v>
      </c>
      <c r="AT181">
        <v>6.5578818569596535</v>
      </c>
      <c r="AU181">
        <v>0.11543513897090918</v>
      </c>
      <c r="AV181"/>
      <c r="AW181"/>
      <c r="AX181" s="146"/>
      <c r="AY181" s="76">
        <f t="shared" ca="1" si="173"/>
        <v>0.45359281163798659</v>
      </c>
      <c r="AZ181">
        <v>4</v>
      </c>
      <c r="BA181" s="129">
        <f t="shared" si="249"/>
        <v>39987</v>
      </c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8"/>
        <v>0.80318366380746942</v>
      </c>
      <c r="CL181" s="179">
        <f t="shared" si="209"/>
        <v>4</v>
      </c>
      <c r="CM181" s="180">
        <f t="shared" si="210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11"/>
        <v>9.6000000000000002E-2</v>
      </c>
      <c r="DB181" s="146"/>
      <c r="DC181" s="76">
        <f t="shared" ca="1" si="174"/>
        <v>7.8336627434397954E-2</v>
      </c>
      <c r="DD181">
        <f t="shared" si="212"/>
        <v>4</v>
      </c>
      <c r="DE181" s="129">
        <f t="shared" si="248"/>
        <v>39987</v>
      </c>
      <c r="DF181" s="161">
        <f t="shared" si="213"/>
        <v>0</v>
      </c>
      <c r="DG181" s="161">
        <f t="shared" si="214"/>
        <v>0</v>
      </c>
      <c r="DH181" s="161">
        <f t="shared" si="215"/>
        <v>0</v>
      </c>
      <c r="DI181" s="161">
        <f t="shared" si="216"/>
        <v>0</v>
      </c>
      <c r="DJ181" s="161">
        <f t="shared" si="217"/>
        <v>0</v>
      </c>
      <c r="DK181" s="161">
        <f t="shared" si="218"/>
        <v>0</v>
      </c>
      <c r="DL181" s="161">
        <f t="shared" si="219"/>
        <v>0</v>
      </c>
      <c r="DM181" s="161">
        <f t="shared" si="220"/>
        <v>0</v>
      </c>
      <c r="DN181" s="161">
        <f t="shared" si="221"/>
        <v>0</v>
      </c>
      <c r="DO181" s="161">
        <f t="shared" si="222"/>
        <v>0</v>
      </c>
      <c r="DP181" s="161">
        <f t="shared" si="223"/>
        <v>0</v>
      </c>
      <c r="DQ181" s="161">
        <f t="shared" si="224"/>
        <v>0</v>
      </c>
      <c r="DR181" s="161">
        <f t="shared" si="225"/>
        <v>0</v>
      </c>
      <c r="DS181" s="161">
        <f t="shared" si="226"/>
        <v>0</v>
      </c>
      <c r="DT181" s="161">
        <f t="shared" si="227"/>
        <v>0</v>
      </c>
      <c r="DU181" s="161">
        <f t="shared" si="228"/>
        <v>0</v>
      </c>
      <c r="DV181" s="161">
        <f t="shared" si="229"/>
        <v>0</v>
      </c>
      <c r="DW181" s="161">
        <f t="shared" si="230"/>
        <v>0</v>
      </c>
      <c r="DX181" s="161">
        <f t="shared" si="231"/>
        <v>0</v>
      </c>
      <c r="DY181" s="161">
        <f t="shared" si="232"/>
        <v>0</v>
      </c>
      <c r="DZ181" s="161">
        <f t="shared" si="233"/>
        <v>0</v>
      </c>
      <c r="EA181" s="161">
        <f t="shared" si="234"/>
        <v>0</v>
      </c>
      <c r="EB181" s="161">
        <f t="shared" si="235"/>
        <v>0</v>
      </c>
      <c r="EC181" s="161">
        <f t="shared" si="236"/>
        <v>0</v>
      </c>
      <c r="ED181" s="161">
        <f t="shared" si="237"/>
        <v>0</v>
      </c>
      <c r="EE181" s="161">
        <f t="shared" si="238"/>
        <v>0</v>
      </c>
      <c r="EF181" s="161">
        <f t="shared" si="239"/>
        <v>0</v>
      </c>
      <c r="EG181" s="161">
        <f t="shared" si="240"/>
        <v>0</v>
      </c>
      <c r="EH181" s="161">
        <f t="shared" si="241"/>
        <v>0</v>
      </c>
      <c r="EI181" s="161">
        <f t="shared" si="242"/>
        <v>0</v>
      </c>
      <c r="EJ181" s="161">
        <f t="shared" si="243"/>
        <v>0</v>
      </c>
      <c r="EK181" s="147">
        <f t="shared" si="175"/>
        <v>0</v>
      </c>
      <c r="EL181" s="149"/>
      <c r="EN181" s="146"/>
      <c r="EO181" s="146"/>
      <c r="EP181" s="139">
        <f t="shared" si="176"/>
        <v>0</v>
      </c>
      <c r="EQ181" s="139">
        <f t="shared" si="177"/>
        <v>0</v>
      </c>
      <c r="ER181" s="139">
        <f t="shared" si="178"/>
        <v>0</v>
      </c>
      <c r="ES181" s="139">
        <f t="shared" si="179"/>
        <v>0</v>
      </c>
      <c r="ET181" s="139">
        <f t="shared" si="180"/>
        <v>0</v>
      </c>
      <c r="EU181" s="139">
        <f t="shared" si="181"/>
        <v>0</v>
      </c>
      <c r="EV181" s="139">
        <f t="shared" si="182"/>
        <v>0</v>
      </c>
      <c r="EW181" s="139">
        <f t="shared" si="183"/>
        <v>0</v>
      </c>
      <c r="EX181" s="139">
        <f t="shared" si="184"/>
        <v>0</v>
      </c>
      <c r="EY181" s="139">
        <f t="shared" si="185"/>
        <v>0</v>
      </c>
      <c r="EZ181" s="139">
        <f t="shared" si="186"/>
        <v>0</v>
      </c>
      <c r="FA181" s="139">
        <f t="shared" si="187"/>
        <v>0</v>
      </c>
      <c r="FB181" s="139">
        <f t="shared" si="188"/>
        <v>0</v>
      </c>
      <c r="FC181" s="139">
        <f t="shared" si="189"/>
        <v>0</v>
      </c>
      <c r="FD181" s="139">
        <f t="shared" si="190"/>
        <v>0</v>
      </c>
      <c r="FE181" s="139">
        <f t="shared" si="191"/>
        <v>0</v>
      </c>
      <c r="FF181" s="139">
        <f t="shared" si="192"/>
        <v>0</v>
      </c>
      <c r="FG181" s="139">
        <f t="shared" si="193"/>
        <v>0</v>
      </c>
      <c r="FH181" s="139">
        <f t="shared" si="194"/>
        <v>0</v>
      </c>
      <c r="FI181" s="139">
        <f t="shared" si="195"/>
        <v>0</v>
      </c>
      <c r="FJ181" s="139">
        <f t="shared" si="196"/>
        <v>0</v>
      </c>
      <c r="FK181" s="139">
        <f t="shared" si="197"/>
        <v>0</v>
      </c>
      <c r="FL181" s="139">
        <f t="shared" si="198"/>
        <v>0</v>
      </c>
      <c r="FM181" s="139">
        <f t="shared" si="199"/>
        <v>0</v>
      </c>
      <c r="FN181" s="139">
        <f t="shared" si="200"/>
        <v>0</v>
      </c>
      <c r="FO181" s="139">
        <f t="shared" si="201"/>
        <v>0</v>
      </c>
      <c r="FP181" s="139">
        <f t="shared" si="202"/>
        <v>0</v>
      </c>
      <c r="FQ181" s="139">
        <f t="shared" si="203"/>
        <v>0</v>
      </c>
      <c r="FR181" s="139">
        <f t="shared" si="204"/>
        <v>0</v>
      </c>
      <c r="FS181" s="139">
        <f t="shared" si="205"/>
        <v>0</v>
      </c>
      <c r="FT181" s="139">
        <f t="shared" si="206"/>
        <v>0</v>
      </c>
      <c r="FU181" s="148">
        <f t="shared" si="207"/>
        <v>0</v>
      </c>
      <c r="FV181" s="149"/>
      <c r="FY181" s="211">
        <v>176</v>
      </c>
      <c r="FZ181">
        <v>12.805200306772388</v>
      </c>
      <c r="GA181">
        <v>8.1222190054286649</v>
      </c>
      <c r="GB181">
        <v>4.9078376957114047</v>
      </c>
      <c r="GC181">
        <v>3.7757454733962077</v>
      </c>
      <c r="GD181">
        <v>2.6716332448118028</v>
      </c>
      <c r="GE181">
        <v>3.6597476021995314</v>
      </c>
      <c r="GF181">
        <v>1.767202119200634</v>
      </c>
      <c r="GG181">
        <v>1.5387173901607791</v>
      </c>
      <c r="GH181">
        <v>4.2906997413765495</v>
      </c>
      <c r="GI181">
        <v>5.6368837622130474</v>
      </c>
      <c r="GJ181"/>
      <c r="GK181">
        <v>12.846438272024757</v>
      </c>
      <c r="GL181">
        <v>6.8827836215038936</v>
      </c>
      <c r="GM181">
        <v>8.2073174028861349</v>
      </c>
      <c r="GN181">
        <v>11.37601757243112</v>
      </c>
      <c r="GO181">
        <v>10.378416111947319</v>
      </c>
      <c r="GP181">
        <v>7.0065909424023323</v>
      </c>
      <c r="GQ181">
        <v>2.165521839774557</v>
      </c>
      <c r="GR181">
        <v>2.165521839774557</v>
      </c>
      <c r="GS181">
        <v>4.5722145564649717</v>
      </c>
      <c r="GT181">
        <v>7.6339816366195494</v>
      </c>
      <c r="GU181"/>
      <c r="GV181"/>
      <c r="GW181"/>
      <c r="GX181"/>
      <c r="GY181"/>
      <c r="GZ181"/>
      <c r="HA181"/>
      <c r="HB181"/>
      <c r="HC181"/>
    </row>
    <row r="182" spans="1:211" s="7" customFormat="1">
      <c r="A182" s="1"/>
      <c r="B182" s="76">
        <f t="shared" ca="1" si="172"/>
        <v>0.73546221658563926</v>
      </c>
      <c r="C182">
        <v>2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59.957065882638098</v>
      </c>
      <c r="AO182">
        <v>7.3976437530456369</v>
      </c>
      <c r="AP182">
        <v>19.50687899545288</v>
      </c>
      <c r="AQ182">
        <v>52.147526084563829</v>
      </c>
      <c r="AR182">
        <v>7.7317836897560923</v>
      </c>
      <c r="AS182">
        <v>53.405955320701672</v>
      </c>
      <c r="AT182" t="e">
        <v>#DIV/0!</v>
      </c>
      <c r="AU182" t="e">
        <v>#DIV/0!</v>
      </c>
      <c r="AV182"/>
      <c r="AW182"/>
      <c r="AX182" s="146"/>
      <c r="AY182" s="76">
        <f t="shared" ca="1" si="173"/>
        <v>0.25896103598710596</v>
      </c>
      <c r="AZ182">
        <v>5</v>
      </c>
      <c r="BA182" s="129">
        <f t="shared" si="249"/>
        <v>39987</v>
      </c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8"/>
        <v>0.79057103142845619</v>
      </c>
      <c r="CL182" s="179">
        <f t="shared" si="209"/>
        <v>5</v>
      </c>
      <c r="CM182" s="180">
        <f t="shared" si="210"/>
        <v>39987</v>
      </c>
      <c r="CN182">
        <v>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11"/>
        <v>9.6000000000000002E-2</v>
      </c>
      <c r="DB182" s="146"/>
      <c r="DC182" s="76">
        <f t="shared" ca="1" si="174"/>
        <v>0.67189014151436766</v>
      </c>
      <c r="DD182">
        <f t="shared" si="212"/>
        <v>5</v>
      </c>
      <c r="DE182" s="129">
        <f t="shared" si="248"/>
        <v>39987</v>
      </c>
      <c r="DF182" s="161">
        <f t="shared" si="213"/>
        <v>121.52777777777777</v>
      </c>
      <c r="DG182" s="161">
        <f t="shared" si="214"/>
        <v>60.763888888888886</v>
      </c>
      <c r="DH182" s="161">
        <f t="shared" si="215"/>
        <v>0</v>
      </c>
      <c r="DI182" s="161">
        <f t="shared" si="216"/>
        <v>0</v>
      </c>
      <c r="DJ182" s="161">
        <f t="shared" si="217"/>
        <v>0</v>
      </c>
      <c r="DK182" s="161">
        <f t="shared" si="218"/>
        <v>0</v>
      </c>
      <c r="DL182" s="161">
        <f t="shared" si="219"/>
        <v>0</v>
      </c>
      <c r="DM182" s="161">
        <f t="shared" si="220"/>
        <v>0</v>
      </c>
      <c r="DN182" s="161">
        <f t="shared" si="221"/>
        <v>0</v>
      </c>
      <c r="DO182" s="161">
        <f t="shared" si="222"/>
        <v>0</v>
      </c>
      <c r="DP182" s="161">
        <f t="shared" si="223"/>
        <v>0</v>
      </c>
      <c r="DQ182" s="161">
        <f t="shared" si="224"/>
        <v>0</v>
      </c>
      <c r="DR182" s="161">
        <f t="shared" si="225"/>
        <v>0</v>
      </c>
      <c r="DS182" s="161">
        <f t="shared" si="226"/>
        <v>0</v>
      </c>
      <c r="DT182" s="161">
        <f t="shared" si="227"/>
        <v>0</v>
      </c>
      <c r="DU182" s="161">
        <f t="shared" si="228"/>
        <v>0</v>
      </c>
      <c r="DV182" s="161">
        <f t="shared" si="229"/>
        <v>0</v>
      </c>
      <c r="DW182" s="161">
        <f t="shared" si="230"/>
        <v>0</v>
      </c>
      <c r="DX182" s="161">
        <f t="shared" si="231"/>
        <v>0</v>
      </c>
      <c r="DY182" s="161">
        <f t="shared" si="232"/>
        <v>0</v>
      </c>
      <c r="DZ182" s="161">
        <f t="shared" si="233"/>
        <v>0</v>
      </c>
      <c r="EA182" s="161">
        <f t="shared" si="234"/>
        <v>0</v>
      </c>
      <c r="EB182" s="161">
        <f t="shared" si="235"/>
        <v>0</v>
      </c>
      <c r="EC182" s="161">
        <f t="shared" si="236"/>
        <v>0</v>
      </c>
      <c r="ED182" s="161">
        <f t="shared" si="237"/>
        <v>0</v>
      </c>
      <c r="EE182" s="161">
        <f t="shared" si="238"/>
        <v>0</v>
      </c>
      <c r="EF182" s="161">
        <f t="shared" si="239"/>
        <v>0</v>
      </c>
      <c r="EG182" s="161">
        <f t="shared" si="240"/>
        <v>0</v>
      </c>
      <c r="EH182" s="161">
        <f t="shared" si="241"/>
        <v>0</v>
      </c>
      <c r="EI182" s="161">
        <f t="shared" si="242"/>
        <v>0</v>
      </c>
      <c r="EJ182" s="161">
        <f t="shared" si="243"/>
        <v>0</v>
      </c>
      <c r="EK182" s="147">
        <f t="shared" si="175"/>
        <v>182.29166666666666</v>
      </c>
      <c r="EL182" s="149"/>
      <c r="EN182" s="146"/>
      <c r="EO182" s="146"/>
      <c r="EP182" s="139">
        <f t="shared" si="176"/>
        <v>4.449376152155077</v>
      </c>
      <c r="EQ182" s="139">
        <f t="shared" si="177"/>
        <v>7.0303819444444446</v>
      </c>
      <c r="ER182" s="139">
        <f t="shared" si="178"/>
        <v>0</v>
      </c>
      <c r="ES182" s="139">
        <f t="shared" si="179"/>
        <v>0</v>
      </c>
      <c r="ET182" s="139">
        <f t="shared" si="180"/>
        <v>0</v>
      </c>
      <c r="EU182" s="139">
        <f t="shared" si="181"/>
        <v>0</v>
      </c>
      <c r="EV182" s="139">
        <f t="shared" si="182"/>
        <v>0</v>
      </c>
      <c r="EW182" s="139">
        <f t="shared" si="183"/>
        <v>0</v>
      </c>
      <c r="EX182" s="139">
        <f t="shared" si="184"/>
        <v>0</v>
      </c>
      <c r="EY182" s="139">
        <f t="shared" si="185"/>
        <v>0</v>
      </c>
      <c r="EZ182" s="139">
        <f t="shared" si="186"/>
        <v>0</v>
      </c>
      <c r="FA182" s="139">
        <f t="shared" si="187"/>
        <v>0</v>
      </c>
      <c r="FB182" s="139">
        <f t="shared" si="188"/>
        <v>0</v>
      </c>
      <c r="FC182" s="139">
        <f t="shared" si="189"/>
        <v>0</v>
      </c>
      <c r="FD182" s="139">
        <f t="shared" si="190"/>
        <v>0</v>
      </c>
      <c r="FE182" s="139">
        <f t="shared" si="191"/>
        <v>0</v>
      </c>
      <c r="FF182" s="139">
        <f t="shared" si="192"/>
        <v>0</v>
      </c>
      <c r="FG182" s="139">
        <f t="shared" si="193"/>
        <v>0</v>
      </c>
      <c r="FH182" s="139">
        <f t="shared" si="194"/>
        <v>0</v>
      </c>
      <c r="FI182" s="139">
        <f t="shared" si="195"/>
        <v>0</v>
      </c>
      <c r="FJ182" s="139">
        <f t="shared" si="196"/>
        <v>0</v>
      </c>
      <c r="FK182" s="139">
        <f t="shared" si="197"/>
        <v>0</v>
      </c>
      <c r="FL182" s="139">
        <f t="shared" si="198"/>
        <v>0</v>
      </c>
      <c r="FM182" s="139">
        <f t="shared" si="199"/>
        <v>0</v>
      </c>
      <c r="FN182" s="139">
        <f t="shared" si="200"/>
        <v>0</v>
      </c>
      <c r="FO182" s="139">
        <f t="shared" si="201"/>
        <v>0</v>
      </c>
      <c r="FP182" s="139">
        <f t="shared" si="202"/>
        <v>0</v>
      </c>
      <c r="FQ182" s="139">
        <f t="shared" si="203"/>
        <v>0</v>
      </c>
      <c r="FR182" s="139">
        <f t="shared" si="204"/>
        <v>0</v>
      </c>
      <c r="FS182" s="139">
        <f t="shared" si="205"/>
        <v>0</v>
      </c>
      <c r="FT182" s="139">
        <f t="shared" si="206"/>
        <v>0</v>
      </c>
      <c r="FU182" s="148">
        <f t="shared" si="207"/>
        <v>11.479758096599522</v>
      </c>
      <c r="FV182" s="149"/>
      <c r="FY182" s="211">
        <v>177</v>
      </c>
      <c r="FZ182">
        <v>14.39293828109556</v>
      </c>
      <c r="GA182">
        <v>14.27266747956457</v>
      </c>
      <c r="GB182">
        <v>5.6239079739890379</v>
      </c>
      <c r="GC182">
        <v>3.4720532120150023</v>
      </c>
      <c r="GD182">
        <v>1.2412458374060962</v>
      </c>
      <c r="GE182">
        <v>0.96498779928571432</v>
      </c>
      <c r="GF182">
        <v>0</v>
      </c>
      <c r="GG182">
        <v>0.37419152604166667</v>
      </c>
      <c r="GH182">
        <v>5.9413827739889582</v>
      </c>
      <c r="GI182">
        <v>5.1656698829620895</v>
      </c>
      <c r="GJ182"/>
      <c r="GK182">
        <v>14.416705552234465</v>
      </c>
      <c r="GL182">
        <v>12.093423408017392</v>
      </c>
      <c r="GM182">
        <v>9.3542527455583517</v>
      </c>
      <c r="GN182">
        <v>10.413724977314406</v>
      </c>
      <c r="GO182">
        <v>4.8323906457354626</v>
      </c>
      <c r="GP182">
        <v>1.8474702380952381</v>
      </c>
      <c r="GQ182">
        <v>0</v>
      </c>
      <c r="GR182">
        <v>0.52662037037037035</v>
      </c>
      <c r="GS182">
        <v>6.3356085612736104</v>
      </c>
      <c r="GT182">
        <v>6.9877915009603777</v>
      </c>
      <c r="GU182"/>
      <c r="GV182"/>
      <c r="GW182"/>
      <c r="GX182"/>
      <c r="GY182"/>
      <c r="GZ182"/>
      <c r="HA182"/>
      <c r="HB182"/>
      <c r="HC182"/>
    </row>
    <row r="183" spans="1:211" s="7" customFormat="1">
      <c r="A183" s="1"/>
      <c r="B183" s="76">
        <f t="shared" ca="1" si="172"/>
        <v>0.55898698801230418</v>
      </c>
      <c r="C183">
        <v>5</v>
      </c>
      <c r="D183">
        <v>39987</v>
      </c>
      <c r="E183">
        <v>121.52777777777777</v>
      </c>
      <c r="F183">
        <v>60.763888888888886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41.478181902931873</v>
      </c>
      <c r="AO183">
        <v>5.1389964044867771</v>
      </c>
      <c r="AP183">
        <v>21.571702462154935</v>
      </c>
      <c r="AQ183">
        <v>34.527277106690605</v>
      </c>
      <c r="AR183">
        <v>5.3429728393526439</v>
      </c>
      <c r="AS183">
        <v>30.820056658832666</v>
      </c>
      <c r="AT183" t="e">
        <v>#DIV/0!</v>
      </c>
      <c r="AU183" t="e">
        <v>#DIV/0!</v>
      </c>
      <c r="AV183"/>
      <c r="AW183"/>
      <c r="AX183" s="146"/>
      <c r="AY183" s="76">
        <f t="shared" ca="1" si="173"/>
        <v>0.15668946358940961</v>
      </c>
      <c r="AZ183">
        <v>6</v>
      </c>
      <c r="BA183" s="129">
        <f t="shared" si="249"/>
        <v>39987</v>
      </c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8"/>
        <v>0.21644319325034278</v>
      </c>
      <c r="CL183" s="179">
        <f t="shared" si="209"/>
        <v>6</v>
      </c>
      <c r="CM183" s="180">
        <f t="shared" si="210"/>
        <v>39987</v>
      </c>
      <c r="CN183">
        <v>0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11"/>
        <v>9.6000000000000002E-2</v>
      </c>
      <c r="DB183" s="146"/>
      <c r="DC183" s="76">
        <f t="shared" ca="1" si="174"/>
        <v>0.16858890459039633</v>
      </c>
      <c r="DD183">
        <f t="shared" si="212"/>
        <v>6</v>
      </c>
      <c r="DE183" s="129">
        <f t="shared" si="248"/>
        <v>39987</v>
      </c>
      <c r="DF183" s="161">
        <f t="shared" si="213"/>
        <v>0</v>
      </c>
      <c r="DG183" s="161">
        <f t="shared" si="214"/>
        <v>72.916666666666671</v>
      </c>
      <c r="DH183" s="161">
        <f t="shared" si="215"/>
        <v>0</v>
      </c>
      <c r="DI183" s="161">
        <f t="shared" si="216"/>
        <v>0</v>
      </c>
      <c r="DJ183" s="161">
        <f t="shared" si="217"/>
        <v>0</v>
      </c>
      <c r="DK183" s="161">
        <f t="shared" si="218"/>
        <v>0</v>
      </c>
      <c r="DL183" s="161">
        <f t="shared" si="219"/>
        <v>0</v>
      </c>
      <c r="DM183" s="161">
        <f t="shared" si="220"/>
        <v>0</v>
      </c>
      <c r="DN183" s="161">
        <f t="shared" si="221"/>
        <v>0</v>
      </c>
      <c r="DO183" s="161">
        <f t="shared" si="222"/>
        <v>0</v>
      </c>
      <c r="DP183" s="161">
        <f t="shared" si="223"/>
        <v>0</v>
      </c>
      <c r="DQ183" s="161">
        <f t="shared" si="224"/>
        <v>0</v>
      </c>
      <c r="DR183" s="161">
        <f t="shared" si="225"/>
        <v>0</v>
      </c>
      <c r="DS183" s="161">
        <f t="shared" si="226"/>
        <v>0</v>
      </c>
      <c r="DT183" s="161">
        <f t="shared" si="227"/>
        <v>0</v>
      </c>
      <c r="DU183" s="161">
        <f t="shared" si="228"/>
        <v>0</v>
      </c>
      <c r="DV183" s="161">
        <f t="shared" si="229"/>
        <v>0</v>
      </c>
      <c r="DW183" s="161">
        <f t="shared" si="230"/>
        <v>0</v>
      </c>
      <c r="DX183" s="161">
        <f t="shared" si="231"/>
        <v>0</v>
      </c>
      <c r="DY183" s="161">
        <f t="shared" si="232"/>
        <v>0</v>
      </c>
      <c r="DZ183" s="161">
        <f t="shared" si="233"/>
        <v>0</v>
      </c>
      <c r="EA183" s="161">
        <f t="shared" si="234"/>
        <v>0</v>
      </c>
      <c r="EB183" s="161">
        <f t="shared" si="235"/>
        <v>0</v>
      </c>
      <c r="EC183" s="161">
        <f t="shared" si="236"/>
        <v>0</v>
      </c>
      <c r="ED183" s="161">
        <f t="shared" si="237"/>
        <v>0</v>
      </c>
      <c r="EE183" s="161">
        <f t="shared" si="238"/>
        <v>0</v>
      </c>
      <c r="EF183" s="161">
        <f t="shared" si="239"/>
        <v>0</v>
      </c>
      <c r="EG183" s="161">
        <f t="shared" si="240"/>
        <v>0</v>
      </c>
      <c r="EH183" s="161">
        <f t="shared" si="241"/>
        <v>0</v>
      </c>
      <c r="EI183" s="161">
        <f t="shared" si="242"/>
        <v>0</v>
      </c>
      <c r="EJ183" s="161">
        <f t="shared" si="243"/>
        <v>0</v>
      </c>
      <c r="EK183" s="147">
        <f t="shared" si="175"/>
        <v>72.916666666666671</v>
      </c>
      <c r="EL183" s="149"/>
      <c r="EN183" s="146"/>
      <c r="EO183" s="146"/>
      <c r="EP183" s="139">
        <f t="shared" si="176"/>
        <v>0</v>
      </c>
      <c r="EQ183" s="139">
        <f t="shared" si="177"/>
        <v>8.4364583333333343</v>
      </c>
      <c r="ER183" s="139">
        <f t="shared" si="178"/>
        <v>0</v>
      </c>
      <c r="ES183" s="139">
        <f t="shared" si="179"/>
        <v>0</v>
      </c>
      <c r="ET183" s="139">
        <f t="shared" si="180"/>
        <v>0</v>
      </c>
      <c r="EU183" s="139">
        <f t="shared" si="181"/>
        <v>0</v>
      </c>
      <c r="EV183" s="139">
        <f t="shared" si="182"/>
        <v>0</v>
      </c>
      <c r="EW183" s="139">
        <f t="shared" si="183"/>
        <v>0</v>
      </c>
      <c r="EX183" s="139">
        <f t="shared" si="184"/>
        <v>0</v>
      </c>
      <c r="EY183" s="139">
        <f t="shared" si="185"/>
        <v>0</v>
      </c>
      <c r="EZ183" s="139">
        <f t="shared" si="186"/>
        <v>0</v>
      </c>
      <c r="FA183" s="139">
        <f t="shared" si="187"/>
        <v>0</v>
      </c>
      <c r="FB183" s="139">
        <f t="shared" si="188"/>
        <v>0</v>
      </c>
      <c r="FC183" s="139">
        <f t="shared" si="189"/>
        <v>0</v>
      </c>
      <c r="FD183" s="139">
        <f t="shared" si="190"/>
        <v>0</v>
      </c>
      <c r="FE183" s="139">
        <f t="shared" si="191"/>
        <v>0</v>
      </c>
      <c r="FF183" s="139">
        <f t="shared" si="192"/>
        <v>0</v>
      </c>
      <c r="FG183" s="139">
        <f t="shared" si="193"/>
        <v>0</v>
      </c>
      <c r="FH183" s="139">
        <f t="shared" si="194"/>
        <v>0</v>
      </c>
      <c r="FI183" s="139">
        <f t="shared" si="195"/>
        <v>0</v>
      </c>
      <c r="FJ183" s="139">
        <f t="shared" si="196"/>
        <v>0</v>
      </c>
      <c r="FK183" s="139">
        <f t="shared" si="197"/>
        <v>0</v>
      </c>
      <c r="FL183" s="139">
        <f t="shared" si="198"/>
        <v>0</v>
      </c>
      <c r="FM183" s="139">
        <f t="shared" si="199"/>
        <v>0</v>
      </c>
      <c r="FN183" s="139">
        <f t="shared" si="200"/>
        <v>0</v>
      </c>
      <c r="FO183" s="139">
        <f t="shared" si="201"/>
        <v>0</v>
      </c>
      <c r="FP183" s="139">
        <f t="shared" si="202"/>
        <v>0</v>
      </c>
      <c r="FQ183" s="139">
        <f t="shared" si="203"/>
        <v>0</v>
      </c>
      <c r="FR183" s="139">
        <f t="shared" si="204"/>
        <v>0</v>
      </c>
      <c r="FS183" s="139">
        <f t="shared" si="205"/>
        <v>0</v>
      </c>
      <c r="FT183" s="139">
        <f t="shared" si="206"/>
        <v>0</v>
      </c>
      <c r="FU183" s="148">
        <f t="shared" si="207"/>
        <v>8.4364583333333343</v>
      </c>
      <c r="FV183" s="149"/>
      <c r="FY183" s="211">
        <v>178</v>
      </c>
      <c r="FZ183">
        <v>14.274403643374573</v>
      </c>
      <c r="GA183">
        <v>10.416578481052014</v>
      </c>
      <c r="GB183">
        <v>5.197536500878142</v>
      </c>
      <c r="GC183">
        <v>3.4452382639395744</v>
      </c>
      <c r="GD183">
        <v>2.0211949679642545</v>
      </c>
      <c r="GE183">
        <v>2.9884348865565764</v>
      </c>
      <c r="GF183">
        <v>2.3526930937213151</v>
      </c>
      <c r="GG183">
        <v>3.1224979935299566</v>
      </c>
      <c r="GH183">
        <v>6.8746929238633419</v>
      </c>
      <c r="GI183">
        <v>6.0622042344050246</v>
      </c>
      <c r="GJ183"/>
      <c r="GK183">
        <v>14.325154408479724</v>
      </c>
      <c r="GL183">
        <v>8.8283313521204878</v>
      </c>
      <c r="GM183">
        <v>8.653888254332216</v>
      </c>
      <c r="GN183">
        <v>10.322869813292153</v>
      </c>
      <c r="GO183">
        <v>7.8360130479534815</v>
      </c>
      <c r="GP183">
        <v>5.721361985597623</v>
      </c>
      <c r="GQ183">
        <v>2.8806649533249269</v>
      </c>
      <c r="GR183">
        <v>4.3928177311027046</v>
      </c>
      <c r="GS183">
        <v>7.3314768753932098</v>
      </c>
      <c r="GT183">
        <v>8.2054395078967115</v>
      </c>
      <c r="GU183"/>
      <c r="GV183"/>
      <c r="GW183"/>
      <c r="GX183"/>
      <c r="GY183"/>
      <c r="GZ183"/>
      <c r="HA183"/>
      <c r="HB183"/>
      <c r="HC183"/>
    </row>
    <row r="184" spans="1:211" s="7" customFormat="1">
      <c r="A184" s="1"/>
      <c r="B184" s="76">
        <f t="shared" ref="B184:B207" ca="1" si="250">IF(C184="", "", RAND())</f>
        <v>0.39252445991732143</v>
      </c>
      <c r="C184">
        <v>10</v>
      </c>
      <c r="D184">
        <v>39987</v>
      </c>
      <c r="E184">
        <v>0</v>
      </c>
      <c r="F184">
        <v>49.942922374429216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53.106405638391735</v>
      </c>
      <c r="AO184">
        <v>6.258788908328988</v>
      </c>
      <c r="AP184">
        <v>3.2193092189176142</v>
      </c>
      <c r="AQ184">
        <v>47.656290586040164</v>
      </c>
      <c r="AR184">
        <v>6.9008892086161264</v>
      </c>
      <c r="AS184">
        <v>42.499955271146156</v>
      </c>
      <c r="AT184">
        <v>5.5234913771211636</v>
      </c>
      <c r="AU184">
        <v>-0.45281886424346318</v>
      </c>
      <c r="AV184"/>
      <c r="AW184"/>
      <c r="AX184" s="146"/>
      <c r="AY184" s="76">
        <f t="shared" ca="1" si="173"/>
        <v>3.7326476392608221E-2</v>
      </c>
      <c r="AZ184">
        <v>7</v>
      </c>
      <c r="BA184" s="129">
        <f t="shared" si="249"/>
        <v>39987</v>
      </c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8"/>
        <v>0.90758715036288673</v>
      </c>
      <c r="CL184" s="179">
        <f t="shared" si="209"/>
        <v>7</v>
      </c>
      <c r="CM184" s="180">
        <f t="shared" si="210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11"/>
        <v>9.6000000000000002E-2</v>
      </c>
      <c r="DB184" s="146"/>
      <c r="DC184" s="76">
        <f t="shared" ca="1" si="174"/>
        <v>0.84657554785250611</v>
      </c>
      <c r="DD184">
        <f t="shared" si="212"/>
        <v>7</v>
      </c>
      <c r="DE184" s="129">
        <f t="shared" si="248"/>
        <v>39987</v>
      </c>
      <c r="DF184" s="161">
        <f t="shared" si="213"/>
        <v>0</v>
      </c>
      <c r="DG184" s="161">
        <f t="shared" si="214"/>
        <v>0</v>
      </c>
      <c r="DH184" s="161">
        <f t="shared" si="215"/>
        <v>0</v>
      </c>
      <c r="DI184" s="161">
        <f t="shared" si="216"/>
        <v>0</v>
      </c>
      <c r="DJ184" s="161">
        <f t="shared" si="217"/>
        <v>0</v>
      </c>
      <c r="DK184" s="161">
        <f t="shared" si="218"/>
        <v>0</v>
      </c>
      <c r="DL184" s="161">
        <f t="shared" si="219"/>
        <v>0</v>
      </c>
      <c r="DM184" s="161">
        <f t="shared" si="220"/>
        <v>0</v>
      </c>
      <c r="DN184" s="161">
        <f t="shared" si="221"/>
        <v>0</v>
      </c>
      <c r="DO184" s="161">
        <f t="shared" si="222"/>
        <v>0</v>
      </c>
      <c r="DP184" s="161">
        <f t="shared" si="223"/>
        <v>0</v>
      </c>
      <c r="DQ184" s="161">
        <f t="shared" si="224"/>
        <v>0</v>
      </c>
      <c r="DR184" s="161">
        <f t="shared" si="225"/>
        <v>0</v>
      </c>
      <c r="DS184" s="161">
        <f t="shared" si="226"/>
        <v>0</v>
      </c>
      <c r="DT184" s="161">
        <f t="shared" si="227"/>
        <v>0</v>
      </c>
      <c r="DU184" s="161">
        <f t="shared" si="228"/>
        <v>0</v>
      </c>
      <c r="DV184" s="161">
        <f t="shared" si="229"/>
        <v>0</v>
      </c>
      <c r="DW184" s="161">
        <f t="shared" si="230"/>
        <v>0</v>
      </c>
      <c r="DX184" s="161">
        <f t="shared" si="231"/>
        <v>0</v>
      </c>
      <c r="DY184" s="161">
        <f t="shared" si="232"/>
        <v>0</v>
      </c>
      <c r="DZ184" s="161">
        <f t="shared" si="233"/>
        <v>0</v>
      </c>
      <c r="EA184" s="161">
        <f t="shared" si="234"/>
        <v>0</v>
      </c>
      <c r="EB184" s="161">
        <f t="shared" si="235"/>
        <v>0</v>
      </c>
      <c r="EC184" s="161">
        <f t="shared" si="236"/>
        <v>0</v>
      </c>
      <c r="ED184" s="161">
        <f t="shared" si="237"/>
        <v>0</v>
      </c>
      <c r="EE184" s="161">
        <f t="shared" si="238"/>
        <v>0</v>
      </c>
      <c r="EF184" s="161">
        <f t="shared" si="239"/>
        <v>0</v>
      </c>
      <c r="EG184" s="161">
        <f t="shared" si="240"/>
        <v>0</v>
      </c>
      <c r="EH184" s="161">
        <f t="shared" si="241"/>
        <v>0</v>
      </c>
      <c r="EI184" s="161">
        <f t="shared" si="242"/>
        <v>0</v>
      </c>
      <c r="EJ184" s="161">
        <f t="shared" si="243"/>
        <v>0</v>
      </c>
      <c r="EK184" s="147">
        <f t="shared" ref="EK184:EK207" si="251">IF(DF184="", "", SUM(DF184:EJ184))</f>
        <v>0</v>
      </c>
      <c r="EL184" s="149"/>
      <c r="EN184" s="146"/>
      <c r="EO184" s="146"/>
      <c r="EP184" s="139">
        <f t="shared" ref="EP184:EP207" si="252">IF(DF184="", "", DF184*G$36)</f>
        <v>0</v>
      </c>
      <c r="EQ184" s="139">
        <f t="shared" ref="EQ184:EQ207" si="253">IF(DG184="", "", DG184*H$36)</f>
        <v>0</v>
      </c>
      <c r="ER184" s="139">
        <f t="shared" ref="ER184:ER207" si="254">IF(DH184="", "", DH184*I$36)</f>
        <v>0</v>
      </c>
      <c r="ES184" s="139">
        <f t="shared" ref="ES184:ES207" si="255">IF(DI184="", "", DI184*J$36)</f>
        <v>0</v>
      </c>
      <c r="ET184" s="139">
        <f t="shared" ref="ET184:ET207" si="256">IF(DJ184="", "", DJ184*K$36)</f>
        <v>0</v>
      </c>
      <c r="EU184" s="139">
        <f t="shared" ref="EU184:EU207" si="257">IF(DK184="", "", DK184*L$36)</f>
        <v>0</v>
      </c>
      <c r="EV184" s="139">
        <f t="shared" ref="EV184:EV207" si="258">IF(DL184="", "", DL184*M$36)</f>
        <v>0</v>
      </c>
      <c r="EW184" s="139">
        <f t="shared" ref="EW184:EW207" si="259">IF(DM184="", "", DM184*N$36)</f>
        <v>0</v>
      </c>
      <c r="EX184" s="139">
        <f t="shared" ref="EX184:EX207" si="260">IF(DN184="", "", DN184*O$36)</f>
        <v>0</v>
      </c>
      <c r="EY184" s="139">
        <f t="shared" ref="EY184:EY207" si="261">IF(DO184="", "", DO184*P$36)</f>
        <v>0</v>
      </c>
      <c r="EZ184" s="139">
        <f t="shared" ref="EZ184:EZ207" si="262">IF(DP184="", "", DP184*Q$36)</f>
        <v>0</v>
      </c>
      <c r="FA184" s="139">
        <f t="shared" ref="FA184:FA207" si="263">IF(DQ184="", "", DQ184*R$36)</f>
        <v>0</v>
      </c>
      <c r="FB184" s="139">
        <f t="shared" ref="FB184:FB207" si="264">IF(DR184="", "", DR184*S$36)</f>
        <v>0</v>
      </c>
      <c r="FC184" s="139">
        <f t="shared" ref="FC184:FC207" si="265">IF(DS184="", "", DS184*T$36)</f>
        <v>0</v>
      </c>
      <c r="FD184" s="139">
        <f t="shared" ref="FD184:FD207" si="266">IF(DT184="", "", DT184*U$36)</f>
        <v>0</v>
      </c>
      <c r="FE184" s="139">
        <f t="shared" ref="FE184:FE207" si="267">IF(DU184="", "", DU184*V$36)</f>
        <v>0</v>
      </c>
      <c r="FF184" s="139">
        <f t="shared" ref="FF184:FF207" si="268">IF(DV184="", "", DV184*W$36)</f>
        <v>0</v>
      </c>
      <c r="FG184" s="139">
        <f t="shared" ref="FG184:FG207" si="269">IF(DW184="", "", DW184*X$36)</f>
        <v>0</v>
      </c>
      <c r="FH184" s="139">
        <f t="shared" ref="FH184:FH207" si="270">IF(DX184="", "", DX184*Y$36)</f>
        <v>0</v>
      </c>
      <c r="FI184" s="139">
        <f t="shared" ref="FI184:FI207" si="271">IF(DY184="", "", DY184*Z$36)</f>
        <v>0</v>
      </c>
      <c r="FJ184" s="139">
        <f t="shared" ref="FJ184:FJ207" si="272">IF(DZ184="", "", DZ184*AA$36)</f>
        <v>0</v>
      </c>
      <c r="FK184" s="139">
        <f t="shared" ref="FK184:FK207" si="273">IF(EA184="", "", EA184*AB$36)</f>
        <v>0</v>
      </c>
      <c r="FL184" s="139">
        <f t="shared" ref="FL184:FL207" si="274">IF(EB184="", "", EB184*AC$36)</f>
        <v>0</v>
      </c>
      <c r="FM184" s="139">
        <f t="shared" ref="FM184:FM207" si="275">IF(EC184="", "", EC184*AD$36)</f>
        <v>0</v>
      </c>
      <c r="FN184" s="139">
        <f t="shared" ref="FN184:FN207" si="276">IF(ED184="", "", ED184*AE$36)</f>
        <v>0</v>
      </c>
      <c r="FO184" s="139">
        <f t="shared" ref="FO184:FO207" si="277">IF(EE184="", "", EE184*AF$36)</f>
        <v>0</v>
      </c>
      <c r="FP184" s="139">
        <f t="shared" ref="FP184:FP207" si="278">IF(EF184="", "", EF184*AG$36)</f>
        <v>0</v>
      </c>
      <c r="FQ184" s="139">
        <f t="shared" ref="FQ184:FQ207" si="279">IF(EG184="", "", EG184*AH$36)</f>
        <v>0</v>
      </c>
      <c r="FR184" s="139">
        <f t="shared" ref="FR184:FR207" si="280">IF(EH184="", "", EH184*AI$36)</f>
        <v>0</v>
      </c>
      <c r="FS184" s="139">
        <f t="shared" ref="FS184:FS207" si="281">IF(EI184="", "", EI184*AJ$36)</f>
        <v>0</v>
      </c>
      <c r="FT184" s="139">
        <f t="shared" ref="FT184:FT207" si="282">IF(EJ184="", "", EJ184*AK$36)</f>
        <v>0</v>
      </c>
      <c r="FU184" s="148">
        <f t="shared" ref="FU184:FU207" si="283">IF(EP184="","",SUM(EP184:FT184))</f>
        <v>0</v>
      </c>
      <c r="FV184" s="149"/>
      <c r="FY184" s="211">
        <v>179</v>
      </c>
      <c r="FZ184">
        <v>16.525522064021587</v>
      </c>
      <c r="GA184">
        <v>13.023450564488007</v>
      </c>
      <c r="GB184">
        <v>5.7395356274058642</v>
      </c>
      <c r="GC184">
        <v>2.7102511499821018</v>
      </c>
      <c r="GD184">
        <v>1.8199956355057829</v>
      </c>
      <c r="GE184">
        <v>3.1013477411911277</v>
      </c>
      <c r="GF184">
        <v>1.333558936012982</v>
      </c>
      <c r="GG184">
        <v>1.0644446003007895</v>
      </c>
      <c r="GH184">
        <v>5.3096715387660929</v>
      </c>
      <c r="GI184">
        <v>5.9786704679916909</v>
      </c>
      <c r="GJ184"/>
      <c r="GK184">
        <v>16.577769977924952</v>
      </c>
      <c r="GL184">
        <v>11.037408768217649</v>
      </c>
      <c r="GM184">
        <v>9.5044697381328689</v>
      </c>
      <c r="GN184">
        <v>8.0648875438324428</v>
      </c>
      <c r="GO184">
        <v>7.0559050745315552</v>
      </c>
      <c r="GP184">
        <v>5.9375337740804568</v>
      </c>
      <c r="GQ184">
        <v>1.6318223607323339</v>
      </c>
      <c r="GR184">
        <v>1.4964056940656674</v>
      </c>
      <c r="GS184">
        <v>5.661364455725872</v>
      </c>
      <c r="GT184">
        <v>8.0862663214095161</v>
      </c>
      <c r="GU184"/>
      <c r="GV184"/>
      <c r="GW184"/>
      <c r="GX184"/>
      <c r="GY184"/>
      <c r="GZ184"/>
      <c r="HA184"/>
      <c r="HB184"/>
      <c r="HC184"/>
    </row>
    <row r="185" spans="1:211" s="7" customFormat="1">
      <c r="A185" s="1"/>
      <c r="B185" s="76">
        <f t="shared" ca="1" si="250"/>
        <v>0.86808198553127092</v>
      </c>
      <c r="C185">
        <v>6</v>
      </c>
      <c r="D185">
        <v>39987</v>
      </c>
      <c r="E185">
        <v>0</v>
      </c>
      <c r="F185">
        <v>72.916666666666671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64.478071628894014</v>
      </c>
      <c r="AO185">
        <v>7.3601428113842902</v>
      </c>
      <c r="AP185">
        <v>104.91832578249256</v>
      </c>
      <c r="AQ185">
        <v>53.582596352349604</v>
      </c>
      <c r="AR185">
        <v>7.718436848609743</v>
      </c>
      <c r="AS185">
        <v>46.395273102209892</v>
      </c>
      <c r="AT185" t="e">
        <v>#DIV/0!</v>
      </c>
      <c r="AU185" t="e">
        <v>#DIV/0!</v>
      </c>
      <c r="AV185"/>
      <c r="AW185"/>
      <c r="AX185" s="146"/>
      <c r="AY185" s="76">
        <f t="shared" ca="1" si="173"/>
        <v>0.5668594952623025</v>
      </c>
      <c r="AZ185">
        <v>8</v>
      </c>
      <c r="BA185" s="129">
        <f t="shared" si="249"/>
        <v>39987</v>
      </c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8"/>
        <v>0.32853739252968062</v>
      </c>
      <c r="CL185" s="179">
        <f t="shared" si="209"/>
        <v>8</v>
      </c>
      <c r="CM185" s="180">
        <f t="shared" si="210"/>
        <v>39987</v>
      </c>
      <c r="CN185">
        <v>0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11"/>
        <v>9.6000000000000002E-2</v>
      </c>
      <c r="DB185" s="146"/>
      <c r="DC185" s="76">
        <f t="shared" ca="1" si="174"/>
        <v>0.67155976966724751</v>
      </c>
      <c r="DD185">
        <f t="shared" si="212"/>
        <v>8</v>
      </c>
      <c r="DE185" s="129">
        <f t="shared" si="248"/>
        <v>39987</v>
      </c>
      <c r="DF185" s="161">
        <f t="shared" si="213"/>
        <v>0</v>
      </c>
      <c r="DG185" s="161">
        <f t="shared" si="214"/>
        <v>56.089743589743591</v>
      </c>
      <c r="DH185" s="161">
        <f t="shared" si="215"/>
        <v>0</v>
      </c>
      <c r="DI185" s="161">
        <f t="shared" si="216"/>
        <v>0</v>
      </c>
      <c r="DJ185" s="161">
        <f t="shared" si="217"/>
        <v>0</v>
      </c>
      <c r="DK185" s="161">
        <f t="shared" si="218"/>
        <v>0</v>
      </c>
      <c r="DL185" s="161">
        <f t="shared" si="219"/>
        <v>0</v>
      </c>
      <c r="DM185" s="161">
        <f t="shared" si="220"/>
        <v>0</v>
      </c>
      <c r="DN185" s="161">
        <f t="shared" si="221"/>
        <v>0</v>
      </c>
      <c r="DO185" s="161">
        <f t="shared" si="222"/>
        <v>0</v>
      </c>
      <c r="DP185" s="161">
        <f t="shared" si="223"/>
        <v>0</v>
      </c>
      <c r="DQ185" s="161">
        <f t="shared" si="224"/>
        <v>0</v>
      </c>
      <c r="DR185" s="161">
        <f t="shared" si="225"/>
        <v>0</v>
      </c>
      <c r="DS185" s="161">
        <f t="shared" si="226"/>
        <v>0</v>
      </c>
      <c r="DT185" s="161">
        <f t="shared" si="227"/>
        <v>0</v>
      </c>
      <c r="DU185" s="161">
        <f t="shared" si="228"/>
        <v>0</v>
      </c>
      <c r="DV185" s="161">
        <f t="shared" si="229"/>
        <v>0</v>
      </c>
      <c r="DW185" s="161">
        <f t="shared" si="230"/>
        <v>0</v>
      </c>
      <c r="DX185" s="161">
        <f t="shared" si="231"/>
        <v>0</v>
      </c>
      <c r="DY185" s="161">
        <f t="shared" si="232"/>
        <v>0</v>
      </c>
      <c r="DZ185" s="161">
        <f t="shared" si="233"/>
        <v>0</v>
      </c>
      <c r="EA185" s="161">
        <f t="shared" si="234"/>
        <v>0</v>
      </c>
      <c r="EB185" s="161">
        <f t="shared" si="235"/>
        <v>0</v>
      </c>
      <c r="EC185" s="161">
        <f t="shared" si="236"/>
        <v>0</v>
      </c>
      <c r="ED185" s="161">
        <f t="shared" si="237"/>
        <v>0</v>
      </c>
      <c r="EE185" s="161">
        <f t="shared" si="238"/>
        <v>0</v>
      </c>
      <c r="EF185" s="161">
        <f t="shared" si="239"/>
        <v>0</v>
      </c>
      <c r="EG185" s="161">
        <f t="shared" si="240"/>
        <v>0</v>
      </c>
      <c r="EH185" s="161">
        <f t="shared" si="241"/>
        <v>0</v>
      </c>
      <c r="EI185" s="161">
        <f t="shared" si="242"/>
        <v>0</v>
      </c>
      <c r="EJ185" s="161">
        <f t="shared" si="243"/>
        <v>0</v>
      </c>
      <c r="EK185" s="147">
        <f t="shared" si="251"/>
        <v>56.089743589743591</v>
      </c>
      <c r="EL185" s="149"/>
      <c r="EN185" s="146"/>
      <c r="EO185" s="146"/>
      <c r="EP185" s="139">
        <f t="shared" si="252"/>
        <v>0</v>
      </c>
      <c r="EQ185" s="139">
        <f t="shared" si="253"/>
        <v>6.4895833333333339</v>
      </c>
      <c r="ER185" s="139">
        <f t="shared" si="254"/>
        <v>0</v>
      </c>
      <c r="ES185" s="139">
        <f t="shared" si="255"/>
        <v>0</v>
      </c>
      <c r="ET185" s="139">
        <f t="shared" si="256"/>
        <v>0</v>
      </c>
      <c r="EU185" s="139">
        <f t="shared" si="257"/>
        <v>0</v>
      </c>
      <c r="EV185" s="139">
        <f t="shared" si="258"/>
        <v>0</v>
      </c>
      <c r="EW185" s="139">
        <f t="shared" si="259"/>
        <v>0</v>
      </c>
      <c r="EX185" s="139">
        <f t="shared" si="260"/>
        <v>0</v>
      </c>
      <c r="EY185" s="139">
        <f t="shared" si="261"/>
        <v>0</v>
      </c>
      <c r="EZ185" s="139">
        <f t="shared" si="262"/>
        <v>0</v>
      </c>
      <c r="FA185" s="139">
        <f t="shared" si="263"/>
        <v>0</v>
      </c>
      <c r="FB185" s="139">
        <f t="shared" si="264"/>
        <v>0</v>
      </c>
      <c r="FC185" s="139">
        <f t="shared" si="265"/>
        <v>0</v>
      </c>
      <c r="FD185" s="139">
        <f t="shared" si="266"/>
        <v>0</v>
      </c>
      <c r="FE185" s="139">
        <f t="shared" si="267"/>
        <v>0</v>
      </c>
      <c r="FF185" s="139">
        <f t="shared" si="268"/>
        <v>0</v>
      </c>
      <c r="FG185" s="139">
        <f t="shared" si="269"/>
        <v>0</v>
      </c>
      <c r="FH185" s="139">
        <f t="shared" si="270"/>
        <v>0</v>
      </c>
      <c r="FI185" s="139">
        <f t="shared" si="271"/>
        <v>0</v>
      </c>
      <c r="FJ185" s="139">
        <f t="shared" si="272"/>
        <v>0</v>
      </c>
      <c r="FK185" s="139">
        <f t="shared" si="273"/>
        <v>0</v>
      </c>
      <c r="FL185" s="139">
        <f t="shared" si="274"/>
        <v>0</v>
      </c>
      <c r="FM185" s="139">
        <f t="shared" si="275"/>
        <v>0</v>
      </c>
      <c r="FN185" s="139">
        <f t="shared" si="276"/>
        <v>0</v>
      </c>
      <c r="FO185" s="139">
        <f t="shared" si="277"/>
        <v>0</v>
      </c>
      <c r="FP185" s="139">
        <f t="shared" si="278"/>
        <v>0</v>
      </c>
      <c r="FQ185" s="139">
        <f t="shared" si="279"/>
        <v>0</v>
      </c>
      <c r="FR185" s="139">
        <f t="shared" si="280"/>
        <v>0</v>
      </c>
      <c r="FS185" s="139">
        <f t="shared" si="281"/>
        <v>0</v>
      </c>
      <c r="FT185" s="139">
        <f t="shared" si="282"/>
        <v>0</v>
      </c>
      <c r="FU185" s="148">
        <f t="shared" si="283"/>
        <v>6.4895833333333339</v>
      </c>
      <c r="FV185" s="149"/>
      <c r="FY185" s="211">
        <v>180</v>
      </c>
      <c r="FZ185">
        <v>11.645754918873566</v>
      </c>
      <c r="GA185">
        <v>10.969210453626383</v>
      </c>
      <c r="GB185">
        <v>6.3507356060229228</v>
      </c>
      <c r="GC185">
        <v>2.7888824704542308</v>
      </c>
      <c r="GD185">
        <v>1.402327655723441</v>
      </c>
      <c r="GE185">
        <v>2.030261806905413</v>
      </c>
      <c r="GF185">
        <v>1.8154988840858985</v>
      </c>
      <c r="GG185">
        <v>1.532184007852873</v>
      </c>
      <c r="GH185">
        <v>4.9081998217161553</v>
      </c>
      <c r="GI185">
        <v>5.1955773500462969</v>
      </c>
      <c r="GJ185"/>
      <c r="GK185">
        <v>11.684512565294735</v>
      </c>
      <c r="GL185">
        <v>9.2954762706433076</v>
      </c>
      <c r="GM185">
        <v>10.594985795119165</v>
      </c>
      <c r="GN185">
        <v>8.4257981933660293</v>
      </c>
      <c r="GO185">
        <v>5.445230264742599</v>
      </c>
      <c r="GP185">
        <v>3.8869385359852187</v>
      </c>
      <c r="GQ185">
        <v>2.2223894903619632</v>
      </c>
      <c r="GR185">
        <v>2.1546811570286302</v>
      </c>
      <c r="GS185">
        <v>5.2328542512959624</v>
      </c>
      <c r="GT185">
        <v>7.0359944733628845</v>
      </c>
      <c r="GU185"/>
      <c r="GV185"/>
      <c r="GW185"/>
      <c r="GX185"/>
      <c r="GY185"/>
      <c r="GZ185"/>
      <c r="HA185"/>
      <c r="HB185"/>
      <c r="HC185"/>
    </row>
    <row r="186" spans="1:211" s="7" customFormat="1">
      <c r="A186" s="1"/>
      <c r="B186" s="76">
        <f t="shared" ca="1" si="250"/>
        <v>0.1744654615885608</v>
      </c>
      <c r="C186">
        <v>9</v>
      </c>
      <c r="D186">
        <v>39987</v>
      </c>
      <c r="E186">
        <v>0</v>
      </c>
      <c r="F186">
        <v>140.22435897435898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61.340555627275954</v>
      </c>
      <c r="AO186">
        <v>6.7436078282632126</v>
      </c>
      <c r="AP186">
        <v>3.4682663663325251</v>
      </c>
      <c r="AQ186">
        <v>51.064338962139935</v>
      </c>
      <c r="AR186">
        <v>7.2084156510611699</v>
      </c>
      <c r="AS186">
        <v>44.603333850564844</v>
      </c>
      <c r="AT186">
        <v>5.7927390589335905</v>
      </c>
      <c r="AU186">
        <v>-4.1459051842991421</v>
      </c>
      <c r="AV186"/>
      <c r="AW186"/>
      <c r="AX186" s="146"/>
      <c r="AY186" s="76">
        <f t="shared" ca="1" si="173"/>
        <v>0.36450757660913435</v>
      </c>
      <c r="AZ186">
        <v>9</v>
      </c>
      <c r="BA186" s="129">
        <f t="shared" si="249"/>
        <v>39987</v>
      </c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8"/>
        <v>0.7288434531121486</v>
      </c>
      <c r="CL186" s="179">
        <f t="shared" si="209"/>
        <v>9</v>
      </c>
      <c r="CM186" s="180">
        <f t="shared" si="210"/>
        <v>39987</v>
      </c>
      <c r="CN186">
        <v>0</v>
      </c>
      <c r="CO186">
        <v>2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11"/>
        <v>9.6000000000000002E-2</v>
      </c>
      <c r="DB186" s="146"/>
      <c r="DC186" s="76">
        <f t="shared" ca="1" si="174"/>
        <v>0.15866012857010237</v>
      </c>
      <c r="DD186">
        <f t="shared" si="212"/>
        <v>9</v>
      </c>
      <c r="DE186" s="129">
        <f t="shared" si="248"/>
        <v>39987</v>
      </c>
      <c r="DF186" s="161">
        <f t="shared" si="213"/>
        <v>0</v>
      </c>
      <c r="DG186" s="161">
        <f t="shared" si="214"/>
        <v>140.22435897435898</v>
      </c>
      <c r="DH186" s="161">
        <f t="shared" si="215"/>
        <v>0</v>
      </c>
      <c r="DI186" s="161">
        <f t="shared" si="216"/>
        <v>0</v>
      </c>
      <c r="DJ186" s="161">
        <f t="shared" si="217"/>
        <v>0</v>
      </c>
      <c r="DK186" s="161">
        <f t="shared" si="218"/>
        <v>0</v>
      </c>
      <c r="DL186" s="161">
        <f t="shared" si="219"/>
        <v>0</v>
      </c>
      <c r="DM186" s="161">
        <f t="shared" si="220"/>
        <v>0</v>
      </c>
      <c r="DN186" s="161">
        <f t="shared" si="221"/>
        <v>0</v>
      </c>
      <c r="DO186" s="161">
        <f t="shared" si="222"/>
        <v>0</v>
      </c>
      <c r="DP186" s="161">
        <f t="shared" si="223"/>
        <v>0</v>
      </c>
      <c r="DQ186" s="161">
        <f t="shared" si="224"/>
        <v>0</v>
      </c>
      <c r="DR186" s="161">
        <f t="shared" si="225"/>
        <v>0</v>
      </c>
      <c r="DS186" s="161">
        <f t="shared" si="226"/>
        <v>0</v>
      </c>
      <c r="DT186" s="161">
        <f t="shared" si="227"/>
        <v>0</v>
      </c>
      <c r="DU186" s="161">
        <f t="shared" si="228"/>
        <v>0</v>
      </c>
      <c r="DV186" s="161">
        <f t="shared" si="229"/>
        <v>0</v>
      </c>
      <c r="DW186" s="161">
        <f t="shared" si="230"/>
        <v>0</v>
      </c>
      <c r="DX186" s="161">
        <f t="shared" si="231"/>
        <v>0</v>
      </c>
      <c r="DY186" s="161">
        <f t="shared" si="232"/>
        <v>0</v>
      </c>
      <c r="DZ186" s="161">
        <f t="shared" si="233"/>
        <v>0</v>
      </c>
      <c r="EA186" s="161">
        <f t="shared" si="234"/>
        <v>0</v>
      </c>
      <c r="EB186" s="161">
        <f t="shared" si="235"/>
        <v>0</v>
      </c>
      <c r="EC186" s="161">
        <f t="shared" si="236"/>
        <v>0</v>
      </c>
      <c r="ED186" s="161">
        <f t="shared" si="237"/>
        <v>0</v>
      </c>
      <c r="EE186" s="161">
        <f t="shared" si="238"/>
        <v>0</v>
      </c>
      <c r="EF186" s="161">
        <f t="shared" si="239"/>
        <v>0</v>
      </c>
      <c r="EG186" s="161">
        <f t="shared" si="240"/>
        <v>0</v>
      </c>
      <c r="EH186" s="161">
        <f t="shared" si="241"/>
        <v>0</v>
      </c>
      <c r="EI186" s="161">
        <f t="shared" si="242"/>
        <v>0</v>
      </c>
      <c r="EJ186" s="161">
        <f t="shared" si="243"/>
        <v>0</v>
      </c>
      <c r="EK186" s="147">
        <f t="shared" si="251"/>
        <v>140.22435897435898</v>
      </c>
      <c r="EL186" s="149"/>
      <c r="EN186" s="146"/>
      <c r="EO186" s="146"/>
      <c r="EP186" s="139">
        <f t="shared" si="252"/>
        <v>0</v>
      </c>
      <c r="EQ186" s="139">
        <f t="shared" si="253"/>
        <v>16.223958333333336</v>
      </c>
      <c r="ER186" s="139">
        <f t="shared" si="254"/>
        <v>0</v>
      </c>
      <c r="ES186" s="139">
        <f t="shared" si="255"/>
        <v>0</v>
      </c>
      <c r="ET186" s="139">
        <f t="shared" si="256"/>
        <v>0</v>
      </c>
      <c r="EU186" s="139">
        <f t="shared" si="257"/>
        <v>0</v>
      </c>
      <c r="EV186" s="139">
        <f t="shared" si="258"/>
        <v>0</v>
      </c>
      <c r="EW186" s="139">
        <f t="shared" si="259"/>
        <v>0</v>
      </c>
      <c r="EX186" s="139">
        <f t="shared" si="260"/>
        <v>0</v>
      </c>
      <c r="EY186" s="139">
        <f t="shared" si="261"/>
        <v>0</v>
      </c>
      <c r="EZ186" s="139">
        <f t="shared" si="262"/>
        <v>0</v>
      </c>
      <c r="FA186" s="139">
        <f t="shared" si="263"/>
        <v>0</v>
      </c>
      <c r="FB186" s="139">
        <f t="shared" si="264"/>
        <v>0</v>
      </c>
      <c r="FC186" s="139">
        <f t="shared" si="265"/>
        <v>0</v>
      </c>
      <c r="FD186" s="139">
        <f t="shared" si="266"/>
        <v>0</v>
      </c>
      <c r="FE186" s="139">
        <f t="shared" si="267"/>
        <v>0</v>
      </c>
      <c r="FF186" s="139">
        <f t="shared" si="268"/>
        <v>0</v>
      </c>
      <c r="FG186" s="139">
        <f t="shared" si="269"/>
        <v>0</v>
      </c>
      <c r="FH186" s="139">
        <f t="shared" si="270"/>
        <v>0</v>
      </c>
      <c r="FI186" s="139">
        <f t="shared" si="271"/>
        <v>0</v>
      </c>
      <c r="FJ186" s="139">
        <f t="shared" si="272"/>
        <v>0</v>
      </c>
      <c r="FK186" s="139">
        <f t="shared" si="273"/>
        <v>0</v>
      </c>
      <c r="FL186" s="139">
        <f t="shared" si="274"/>
        <v>0</v>
      </c>
      <c r="FM186" s="139">
        <f t="shared" si="275"/>
        <v>0</v>
      </c>
      <c r="FN186" s="139">
        <f t="shared" si="276"/>
        <v>0</v>
      </c>
      <c r="FO186" s="139">
        <f t="shared" si="277"/>
        <v>0</v>
      </c>
      <c r="FP186" s="139">
        <f t="shared" si="278"/>
        <v>0</v>
      </c>
      <c r="FQ186" s="139">
        <f t="shared" si="279"/>
        <v>0</v>
      </c>
      <c r="FR186" s="139">
        <f t="shared" si="280"/>
        <v>0</v>
      </c>
      <c r="FS186" s="139">
        <f t="shared" si="281"/>
        <v>0</v>
      </c>
      <c r="FT186" s="139">
        <f t="shared" si="282"/>
        <v>0</v>
      </c>
      <c r="FU186" s="148">
        <f t="shared" si="283"/>
        <v>16.223958333333336</v>
      </c>
      <c r="FV186" s="149"/>
      <c r="FY186" s="211">
        <v>181</v>
      </c>
      <c r="FZ186">
        <v>12.445344043343127</v>
      </c>
      <c r="GA186">
        <v>8.637359471328768</v>
      </c>
      <c r="GB186">
        <v>4.2275645411575997</v>
      </c>
      <c r="GC186">
        <v>2.2625465699748144</v>
      </c>
      <c r="GD186">
        <v>2.3434425095485634</v>
      </c>
      <c r="GE186">
        <v>3.4829173771995316</v>
      </c>
      <c r="GF186">
        <v>2.3457355970440794</v>
      </c>
      <c r="GG186">
        <v>1.9933900330970502</v>
      </c>
      <c r="GH186">
        <v>3.9817105574895315</v>
      </c>
      <c r="GI186">
        <v>5.2772799149062708</v>
      </c>
      <c r="GJ186"/>
      <c r="GK186">
        <v>12.499373214310484</v>
      </c>
      <c r="GL186">
        <v>7.317297162009563</v>
      </c>
      <c r="GM186">
        <v>7.0030547475456935</v>
      </c>
      <c r="GN186">
        <v>6.7398389934411087</v>
      </c>
      <c r="GO186">
        <v>9.0862040376404263</v>
      </c>
      <c r="GP186">
        <v>6.6680492757356653</v>
      </c>
      <c r="GQ186">
        <v>2.8698242705789996</v>
      </c>
      <c r="GR186">
        <v>2.8021159372456665</v>
      </c>
      <c r="GS186">
        <v>4.2435065413238</v>
      </c>
      <c r="GT186">
        <v>7.1403925622798807</v>
      </c>
      <c r="GU186"/>
      <c r="GV186"/>
      <c r="GW186"/>
      <c r="GX186"/>
      <c r="GY186"/>
      <c r="GZ186"/>
      <c r="HA186"/>
      <c r="HB186"/>
      <c r="HC186"/>
    </row>
    <row r="187" spans="1:211" s="7" customFormat="1">
      <c r="A187" s="1"/>
      <c r="B187" s="76">
        <f t="shared" ca="1" si="250"/>
        <v>0.76393142453473661</v>
      </c>
      <c r="C187">
        <v>4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55.895118321395913</v>
      </c>
      <c r="AO187">
        <v>6.5731849921935721</v>
      </c>
      <c r="AP187">
        <v>46.512577390445522</v>
      </c>
      <c r="AQ187">
        <v>49.827277215169637</v>
      </c>
      <c r="AR187">
        <v>7.0692763309572788</v>
      </c>
      <c r="AS187">
        <v>43.58197922278741</v>
      </c>
      <c r="AT187" t="e">
        <v>#DIV/0!</v>
      </c>
      <c r="AU187" t="e">
        <v>#DIV/0!</v>
      </c>
      <c r="AV187"/>
      <c r="AW187"/>
      <c r="AX187" s="146"/>
      <c r="AY187" s="76">
        <f t="shared" ca="1" si="173"/>
        <v>0.98207234615447003</v>
      </c>
      <c r="AZ187">
        <v>10</v>
      </c>
      <c r="BA187" s="129">
        <f t="shared" si="249"/>
        <v>39987</v>
      </c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8"/>
        <v>0.95713038594258149</v>
      </c>
      <c r="CL187" s="179">
        <f t="shared" si="209"/>
        <v>10</v>
      </c>
      <c r="CM187" s="180">
        <f t="shared" si="210"/>
        <v>39987</v>
      </c>
      <c r="CN187">
        <v>0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11"/>
        <v>9.6000000000000002E-2</v>
      </c>
      <c r="DB187" s="146"/>
      <c r="DC187" s="76">
        <f t="shared" ca="1" si="174"/>
        <v>0.94334851639786699</v>
      </c>
      <c r="DD187">
        <f t="shared" si="212"/>
        <v>10</v>
      </c>
      <c r="DE187" s="129">
        <f t="shared" si="248"/>
        <v>39987</v>
      </c>
      <c r="DF187" s="161">
        <f t="shared" si="213"/>
        <v>0</v>
      </c>
      <c r="DG187" s="161">
        <f t="shared" si="214"/>
        <v>49.942922374429216</v>
      </c>
      <c r="DH187" s="161">
        <f t="shared" si="215"/>
        <v>0</v>
      </c>
      <c r="DI187" s="161">
        <f t="shared" si="216"/>
        <v>0</v>
      </c>
      <c r="DJ187" s="161">
        <f t="shared" si="217"/>
        <v>0</v>
      </c>
      <c r="DK187" s="161">
        <f t="shared" si="218"/>
        <v>0</v>
      </c>
      <c r="DL187" s="161">
        <f t="shared" si="219"/>
        <v>0</v>
      </c>
      <c r="DM187" s="161">
        <f t="shared" si="220"/>
        <v>0</v>
      </c>
      <c r="DN187" s="161">
        <f t="shared" si="221"/>
        <v>0</v>
      </c>
      <c r="DO187" s="161">
        <f t="shared" si="222"/>
        <v>0</v>
      </c>
      <c r="DP187" s="161">
        <f t="shared" si="223"/>
        <v>0</v>
      </c>
      <c r="DQ187" s="161">
        <f t="shared" si="224"/>
        <v>0</v>
      </c>
      <c r="DR187" s="161">
        <f t="shared" si="225"/>
        <v>0</v>
      </c>
      <c r="DS187" s="161">
        <f t="shared" si="226"/>
        <v>0</v>
      </c>
      <c r="DT187" s="161">
        <f t="shared" si="227"/>
        <v>0</v>
      </c>
      <c r="DU187" s="161">
        <f t="shared" si="228"/>
        <v>0</v>
      </c>
      <c r="DV187" s="161">
        <f t="shared" si="229"/>
        <v>0</v>
      </c>
      <c r="DW187" s="161">
        <f t="shared" si="230"/>
        <v>0</v>
      </c>
      <c r="DX187" s="161">
        <f t="shared" si="231"/>
        <v>0</v>
      </c>
      <c r="DY187" s="161">
        <f t="shared" si="232"/>
        <v>0</v>
      </c>
      <c r="DZ187" s="161">
        <f t="shared" si="233"/>
        <v>0</v>
      </c>
      <c r="EA187" s="161">
        <f t="shared" si="234"/>
        <v>0</v>
      </c>
      <c r="EB187" s="161">
        <f t="shared" si="235"/>
        <v>0</v>
      </c>
      <c r="EC187" s="161">
        <f t="shared" si="236"/>
        <v>0</v>
      </c>
      <c r="ED187" s="161">
        <f t="shared" si="237"/>
        <v>0</v>
      </c>
      <c r="EE187" s="161">
        <f t="shared" si="238"/>
        <v>0</v>
      </c>
      <c r="EF187" s="161">
        <f t="shared" si="239"/>
        <v>0</v>
      </c>
      <c r="EG187" s="161">
        <f t="shared" si="240"/>
        <v>0</v>
      </c>
      <c r="EH187" s="161">
        <f t="shared" si="241"/>
        <v>0</v>
      </c>
      <c r="EI187" s="161">
        <f t="shared" si="242"/>
        <v>0</v>
      </c>
      <c r="EJ187" s="161">
        <f t="shared" si="243"/>
        <v>0</v>
      </c>
      <c r="EK187" s="147">
        <f t="shared" si="251"/>
        <v>49.942922374429216</v>
      </c>
      <c r="EL187" s="149"/>
      <c r="EN187" s="146"/>
      <c r="EO187" s="146"/>
      <c r="EP187" s="139">
        <f t="shared" si="252"/>
        <v>0</v>
      </c>
      <c r="EQ187" s="139">
        <f t="shared" si="253"/>
        <v>5.778396118721461</v>
      </c>
      <c r="ER187" s="139">
        <f t="shared" si="254"/>
        <v>0</v>
      </c>
      <c r="ES187" s="139">
        <f t="shared" si="255"/>
        <v>0</v>
      </c>
      <c r="ET187" s="139">
        <f t="shared" si="256"/>
        <v>0</v>
      </c>
      <c r="EU187" s="139">
        <f t="shared" si="257"/>
        <v>0</v>
      </c>
      <c r="EV187" s="139">
        <f t="shared" si="258"/>
        <v>0</v>
      </c>
      <c r="EW187" s="139">
        <f t="shared" si="259"/>
        <v>0</v>
      </c>
      <c r="EX187" s="139">
        <f t="shared" si="260"/>
        <v>0</v>
      </c>
      <c r="EY187" s="139">
        <f t="shared" si="261"/>
        <v>0</v>
      </c>
      <c r="EZ187" s="139">
        <f t="shared" si="262"/>
        <v>0</v>
      </c>
      <c r="FA187" s="139">
        <f t="shared" si="263"/>
        <v>0</v>
      </c>
      <c r="FB187" s="139">
        <f t="shared" si="264"/>
        <v>0</v>
      </c>
      <c r="FC187" s="139">
        <f t="shared" si="265"/>
        <v>0</v>
      </c>
      <c r="FD187" s="139">
        <f t="shared" si="266"/>
        <v>0</v>
      </c>
      <c r="FE187" s="139">
        <f t="shared" si="267"/>
        <v>0</v>
      </c>
      <c r="FF187" s="139">
        <f t="shared" si="268"/>
        <v>0</v>
      </c>
      <c r="FG187" s="139">
        <f t="shared" si="269"/>
        <v>0</v>
      </c>
      <c r="FH187" s="139">
        <f t="shared" si="270"/>
        <v>0</v>
      </c>
      <c r="FI187" s="139">
        <f t="shared" si="271"/>
        <v>0</v>
      </c>
      <c r="FJ187" s="139">
        <f t="shared" si="272"/>
        <v>0</v>
      </c>
      <c r="FK187" s="139">
        <f t="shared" si="273"/>
        <v>0</v>
      </c>
      <c r="FL187" s="139">
        <f t="shared" si="274"/>
        <v>0</v>
      </c>
      <c r="FM187" s="139">
        <f t="shared" si="275"/>
        <v>0</v>
      </c>
      <c r="FN187" s="139">
        <f t="shared" si="276"/>
        <v>0</v>
      </c>
      <c r="FO187" s="139">
        <f t="shared" si="277"/>
        <v>0</v>
      </c>
      <c r="FP187" s="139">
        <f t="shared" si="278"/>
        <v>0</v>
      </c>
      <c r="FQ187" s="139">
        <f t="shared" si="279"/>
        <v>0</v>
      </c>
      <c r="FR187" s="139">
        <f t="shared" si="280"/>
        <v>0</v>
      </c>
      <c r="FS187" s="139">
        <f t="shared" si="281"/>
        <v>0</v>
      </c>
      <c r="FT187" s="139">
        <f t="shared" si="282"/>
        <v>0</v>
      </c>
      <c r="FU187" s="148">
        <f t="shared" si="283"/>
        <v>5.778396118721461</v>
      </c>
      <c r="FV187" s="149"/>
      <c r="FY187" s="211">
        <v>182</v>
      </c>
      <c r="FZ187">
        <v>10.304298234255064</v>
      </c>
      <c r="GA187">
        <v>7.222105013237182</v>
      </c>
      <c r="GB187">
        <v>6.1602337096313509</v>
      </c>
      <c r="GC187">
        <v>3.4873376645094964</v>
      </c>
      <c r="GD187">
        <v>1.0602398766525973</v>
      </c>
      <c r="GE187">
        <v>0.82352361928571427</v>
      </c>
      <c r="GF187">
        <v>2.4305028388685068</v>
      </c>
      <c r="GG187">
        <v>2.4418645251988869</v>
      </c>
      <c r="GH187">
        <v>5.3010470275440236</v>
      </c>
      <c r="GI187">
        <v>4.9265922937586373</v>
      </c>
      <c r="GJ187"/>
      <c r="GK187">
        <v>10.337495312715141</v>
      </c>
      <c r="GL187">
        <v>6.1195576335259467</v>
      </c>
      <c r="GM187">
        <v>10.280197386491825</v>
      </c>
      <c r="GN187">
        <v>10.498263862253987</v>
      </c>
      <c r="GO187">
        <v>4.1101123718796693</v>
      </c>
      <c r="GP187">
        <v>1.5766369047619049</v>
      </c>
      <c r="GQ187">
        <v>2.976012678767761</v>
      </c>
      <c r="GR187">
        <v>3.4349247158047973</v>
      </c>
      <c r="GS187">
        <v>5.649519627839636</v>
      </c>
      <c r="GT187">
        <v>6.6706674755388065</v>
      </c>
      <c r="GU187"/>
      <c r="GV187"/>
      <c r="GW187"/>
      <c r="GX187"/>
      <c r="GY187"/>
      <c r="GZ187"/>
      <c r="HA187"/>
      <c r="HB187"/>
      <c r="HC187"/>
    </row>
    <row r="188" spans="1:211" s="7" customFormat="1">
      <c r="A188" s="128"/>
      <c r="B188" s="76" t="str">
        <f t="shared" ca="1" si="250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49.314020879247764</v>
      </c>
      <c r="AO188">
        <v>5.6073804572451422</v>
      </c>
      <c r="AP188">
        <v>2.9316610824788132</v>
      </c>
      <c r="AQ188">
        <v>38.685521351433415</v>
      </c>
      <c r="AR188">
        <v>6.086375658817456</v>
      </c>
      <c r="AS188">
        <v>38.358261848385709</v>
      </c>
      <c r="AT188">
        <v>4.876125734068208</v>
      </c>
      <c r="AU188">
        <v>0.49694084331355626</v>
      </c>
      <c r="AV188"/>
      <c r="AW188"/>
      <c r="AX188" s="128"/>
      <c r="AY188" s="76" t="str">
        <f t="shared" ca="1" si="173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8"/>
        <v/>
      </c>
      <c r="CL188" s="179" t="str">
        <f t="shared" si="209"/>
        <v/>
      </c>
      <c r="CM188" s="180" t="str">
        <f t="shared" si="210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1"/>
        <v/>
      </c>
      <c r="DB188" s="128"/>
      <c r="DC188" s="76" t="str">
        <f t="shared" ca="1" si="174"/>
        <v/>
      </c>
      <c r="DD188" t="str">
        <f t="shared" si="212"/>
        <v/>
      </c>
      <c r="DE188" s="129" t="str">
        <f t="shared" ref="DE188:DE197" si="284">IF((DD188)="", "", $C$14)</f>
        <v/>
      </c>
      <c r="DF188" s="161" t="str">
        <f t="shared" ref="DF188:DF207" si="285">IF($AZ188="", "", ((BB188*$CW188)+(CN188*$CX188))/$CZ188)</f>
        <v/>
      </c>
      <c r="DG188" s="161" t="str">
        <f t="shared" ref="DG188:DG207" si="286">IF($AZ188="", "", ((BC188*$CW188)+(CO188*$CX188))/$CZ188)</f>
        <v/>
      </c>
      <c r="DH188" s="161" t="str">
        <f t="shared" ref="DH188:DH207" si="287">IF($AZ188="", "", ((BD188*$CW188)+(CP188*$CX188))/$CZ188)</f>
        <v/>
      </c>
      <c r="DI188" s="161" t="str">
        <f t="shared" ref="DI188:DI207" si="288">IF($AZ188="", "", ((BE188*$CW188)+(CQ188*$CX188))/$CZ188)</f>
        <v/>
      </c>
      <c r="DJ188" s="161" t="str">
        <f t="shared" ref="DJ188:DJ207" si="289">IF($AZ188="", "", ((BF188*$CW188)+(CR188*$CX188))/$CZ188)</f>
        <v/>
      </c>
      <c r="DK188" s="161" t="str">
        <f t="shared" ref="DK188:DK207" si="290">IF($AZ188="", "", ((BG188*$CW188)+(CS188*$CX188))/$CZ188)</f>
        <v/>
      </c>
      <c r="DL188" s="161" t="str">
        <f t="shared" ref="DL188:DL207" si="291">IF($AZ188="", "", ((BH188*$CW188)+(CT188*$CX188))/$CZ188)</f>
        <v/>
      </c>
      <c r="DM188" s="161" t="str">
        <f t="shared" ref="DM188:DM207" si="292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3">IF($AZ188="", "", (BK187*$CW188)/$CZ188)</f>
        <v/>
      </c>
      <c r="DP188" s="161" t="str">
        <f t="shared" ref="DP188:DP193" si="294">IF($AZ188="", "", (BL187*$CW188)/$CZ188)</f>
        <v/>
      </c>
      <c r="DQ188" s="161" t="str">
        <f t="shared" ref="DQ188:DQ193" si="295">IF($AZ188="", "", (BM187*$CW188)/$CZ188)</f>
        <v/>
      </c>
      <c r="DR188" s="161" t="str">
        <f t="shared" ref="DR188:DR193" si="296">IF($AZ188="", "", (BN187*$CW188)/$CZ188)</f>
        <v/>
      </c>
      <c r="DS188" s="161" t="str">
        <f t="shared" ref="DS188:DS193" si="297">IF($AZ188="", "", (BO187*$CW188)/$CZ188)</f>
        <v/>
      </c>
      <c r="DT188" s="161" t="str">
        <f t="shared" ref="DT188:DT193" si="298">IF($AZ188="", "", (BP187*$CW188)/$CZ188)</f>
        <v/>
      </c>
      <c r="DU188" s="161" t="str">
        <f t="shared" ref="DU188:DU193" si="299">IF($AZ188="", "", (BQ187*$CW188)/$CZ188)</f>
        <v/>
      </c>
      <c r="DV188" s="161" t="str">
        <f t="shared" ref="DV188:DV193" si="300">IF($AZ188="", "", (BR187*$CW188)/$CZ188)</f>
        <v/>
      </c>
      <c r="DW188" s="161" t="str">
        <f t="shared" ref="DW188:DW193" si="301">IF($AZ188="", "", (BS187*$CW188)/$CZ188)</f>
        <v/>
      </c>
      <c r="DX188" s="161" t="str">
        <f t="shared" ref="DX188:DX193" si="302">IF($AZ188="", "", (BT187*$CW188)/$CZ188)</f>
        <v/>
      </c>
      <c r="DY188" s="161" t="str">
        <f t="shared" ref="DY188:DY193" si="303">IF($AZ188="", "", (BU187*$CW188)/$CZ188)</f>
        <v/>
      </c>
      <c r="DZ188" s="161" t="str">
        <f t="shared" ref="DZ188:DZ193" si="304">IF($AZ188="", "", (BV187*$CW188)/$CZ188)</f>
        <v/>
      </c>
      <c r="EA188" s="161" t="str">
        <f t="shared" ref="EA188:EA193" si="305">IF($AZ188="", "", (BW187*$CW188)/$CZ188)</f>
        <v/>
      </c>
      <c r="EB188" s="161" t="str">
        <f t="shared" ref="EB188:EB193" si="306">IF($AZ188="", "", (BX187*$CW188)/$CZ188)</f>
        <v/>
      </c>
      <c r="EC188" s="161" t="str">
        <f t="shared" ref="EC188:EC193" si="307">IF($AZ188="", "", (BY187*$CW188)/$CZ188)</f>
        <v/>
      </c>
      <c r="ED188" s="161" t="str">
        <f t="shared" ref="ED188:ED193" si="308">IF($AZ188="", "", (BZ187*$CW188)/$CZ188)</f>
        <v/>
      </c>
      <c r="EE188" s="161" t="str">
        <f t="shared" ref="EE188:EE193" si="309">IF($AZ188="", "", (CA187*$CW188)/$CZ188)</f>
        <v/>
      </c>
      <c r="EF188" s="161" t="str">
        <f t="shared" ref="EF188:EF193" si="310">IF($AZ188="", "", (CB187*$CW188)/$CZ188)</f>
        <v/>
      </c>
      <c r="EG188" s="161" t="str">
        <f t="shared" ref="EG188:EG193" si="311">IF($AZ188="", "", (CC187*$CW188)/$CZ188)</f>
        <v/>
      </c>
      <c r="EH188" s="161" t="str">
        <f t="shared" ref="EH188:EH193" si="312">IF($AZ188="", "", (CD187*$CW188)/$CZ188)</f>
        <v/>
      </c>
      <c r="EI188" s="161" t="str">
        <f t="shared" ref="EI188:EI193" si="313">IF($AZ188="", "", (CE187*$CW188)/$CZ188)</f>
        <v/>
      </c>
      <c r="EJ188" s="161" t="str">
        <f t="shared" ref="EJ188:EJ193" si="314">IF($AZ188="", "", (CF187*$CW188)/$CZ188)</f>
        <v/>
      </c>
      <c r="EK188" s="147" t="str">
        <f t="shared" si="251"/>
        <v/>
      </c>
      <c r="EL188" s="149"/>
      <c r="EN188" s="146"/>
      <c r="EO188" s="146"/>
      <c r="EP188" s="139" t="str">
        <f t="shared" si="252"/>
        <v/>
      </c>
      <c r="EQ188" s="139" t="str">
        <f t="shared" si="253"/>
        <v/>
      </c>
      <c r="ER188" s="139" t="str">
        <f t="shared" si="254"/>
        <v/>
      </c>
      <c r="ES188" s="139" t="str">
        <f t="shared" si="255"/>
        <v/>
      </c>
      <c r="ET188" s="139" t="str">
        <f t="shared" si="256"/>
        <v/>
      </c>
      <c r="EU188" s="139" t="str">
        <f t="shared" si="257"/>
        <v/>
      </c>
      <c r="EV188" s="139" t="str">
        <f t="shared" si="258"/>
        <v/>
      </c>
      <c r="EW188" s="139" t="str">
        <f t="shared" si="259"/>
        <v/>
      </c>
      <c r="EX188" s="139" t="str">
        <f t="shared" si="260"/>
        <v/>
      </c>
      <c r="EY188" s="139" t="str">
        <f t="shared" si="261"/>
        <v/>
      </c>
      <c r="EZ188" s="139" t="str">
        <f t="shared" si="262"/>
        <v/>
      </c>
      <c r="FA188" s="139" t="str">
        <f t="shared" si="263"/>
        <v/>
      </c>
      <c r="FB188" s="139" t="str">
        <f t="shared" si="264"/>
        <v/>
      </c>
      <c r="FC188" s="139" t="str">
        <f t="shared" si="265"/>
        <v/>
      </c>
      <c r="FD188" s="139" t="str">
        <f t="shared" si="266"/>
        <v/>
      </c>
      <c r="FE188" s="139" t="str">
        <f t="shared" si="267"/>
        <v/>
      </c>
      <c r="FF188" s="139" t="str">
        <f t="shared" si="268"/>
        <v/>
      </c>
      <c r="FG188" s="139" t="str">
        <f t="shared" si="269"/>
        <v/>
      </c>
      <c r="FH188" s="139" t="str">
        <f t="shared" si="270"/>
        <v/>
      </c>
      <c r="FI188" s="139" t="str">
        <f t="shared" si="271"/>
        <v/>
      </c>
      <c r="FJ188" s="139" t="str">
        <f t="shared" si="272"/>
        <v/>
      </c>
      <c r="FK188" s="139" t="str">
        <f t="shared" si="273"/>
        <v/>
      </c>
      <c r="FL188" s="139" t="str">
        <f t="shared" si="274"/>
        <v/>
      </c>
      <c r="FM188" s="139" t="str">
        <f t="shared" si="275"/>
        <v/>
      </c>
      <c r="FN188" s="139" t="str">
        <f t="shared" si="276"/>
        <v/>
      </c>
      <c r="FO188" s="139" t="str">
        <f t="shared" si="277"/>
        <v/>
      </c>
      <c r="FP188" s="139" t="str">
        <f t="shared" si="278"/>
        <v/>
      </c>
      <c r="FQ188" s="139" t="str">
        <f t="shared" si="279"/>
        <v/>
      </c>
      <c r="FR188" s="139" t="str">
        <f t="shared" si="280"/>
        <v/>
      </c>
      <c r="FS188" s="139" t="str">
        <f t="shared" si="281"/>
        <v/>
      </c>
      <c r="FT188" s="139" t="str">
        <f t="shared" si="282"/>
        <v/>
      </c>
      <c r="FU188" s="148" t="str">
        <f t="shared" si="283"/>
        <v/>
      </c>
      <c r="FV188" s="149"/>
      <c r="FY188" s="211">
        <v>183</v>
      </c>
      <c r="FZ188">
        <v>11.107820494778201</v>
      </c>
      <c r="GA188">
        <v>10.734234950335148</v>
      </c>
      <c r="GB188">
        <v>5.0672883166682778</v>
      </c>
      <c r="GC188">
        <v>2.5718829412952475</v>
      </c>
      <c r="GD188">
        <v>2.4706173751753124</v>
      </c>
      <c r="GE188">
        <v>4.2104474457709591</v>
      </c>
      <c r="GF188">
        <v>1.8863511325558551</v>
      </c>
      <c r="GG188">
        <v>1.5934002092972313</v>
      </c>
      <c r="GH188">
        <v>5.3751964905063065</v>
      </c>
      <c r="GI188">
        <v>5.4962881672678892</v>
      </c>
      <c r="GJ188"/>
      <c r="GK188">
        <v>11.140188225136788</v>
      </c>
      <c r="GL188">
        <v>9.093563362389288</v>
      </c>
      <c r="GM188">
        <v>8.3966481183162784</v>
      </c>
      <c r="GN188">
        <v>7.6729255664944978</v>
      </c>
      <c r="GO188">
        <v>9.5895306745683211</v>
      </c>
      <c r="GP188">
        <v>8.0609064185928059</v>
      </c>
      <c r="GQ188">
        <v>2.3068965330588709</v>
      </c>
      <c r="GR188">
        <v>2.2391881997255374</v>
      </c>
      <c r="GS188">
        <v>5.7287688399805425</v>
      </c>
      <c r="GT188">
        <v>7.4324064782121608</v>
      </c>
      <c r="GU188"/>
      <c r="GV188"/>
      <c r="GW188"/>
      <c r="GX188"/>
      <c r="GY188"/>
      <c r="GZ188"/>
      <c r="HA188"/>
      <c r="HB188"/>
      <c r="HC188"/>
    </row>
    <row r="189" spans="1:211" s="7" customFormat="1">
      <c r="A189" s="1"/>
      <c r="B189" s="76" t="str">
        <f t="shared" ca="1" si="250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78.241893085061463</v>
      </c>
      <c r="AO189">
        <v>9.1496938157712684</v>
      </c>
      <c r="AP189">
        <v>69.976401081635871</v>
      </c>
      <c r="AQ189">
        <v>67.718016141214378</v>
      </c>
      <c r="AR189">
        <v>9.6467925717413188</v>
      </c>
      <c r="AS189">
        <v>60.025382454280809</v>
      </c>
      <c r="AT189" t="e">
        <v>#DIV/0!</v>
      </c>
      <c r="AU189" t="e">
        <v>#DIV/0!</v>
      </c>
      <c r="AV189"/>
      <c r="AW189"/>
      <c r="AX189" s="146"/>
      <c r="AY189" s="76" t="str">
        <f t="shared" ca="1" si="173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8"/>
        <v/>
      </c>
      <c r="CL189" s="179" t="str">
        <f t="shared" si="209"/>
        <v/>
      </c>
      <c r="CM189" s="180" t="str">
        <f t="shared" si="210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1"/>
        <v/>
      </c>
      <c r="DB189" s="146"/>
      <c r="DC189" s="76" t="str">
        <f t="shared" ca="1" si="174"/>
        <v/>
      </c>
      <c r="DD189" t="str">
        <f t="shared" si="212"/>
        <v/>
      </c>
      <c r="DE189" s="129" t="str">
        <f t="shared" si="284"/>
        <v/>
      </c>
      <c r="DF189" s="161" t="str">
        <f t="shared" si="285"/>
        <v/>
      </c>
      <c r="DG189" s="161" t="str">
        <f t="shared" si="286"/>
        <v/>
      </c>
      <c r="DH189" s="161" t="str">
        <f t="shared" si="287"/>
        <v/>
      </c>
      <c r="DI189" s="161" t="str">
        <f t="shared" si="288"/>
        <v/>
      </c>
      <c r="DJ189" s="161" t="str">
        <f t="shared" si="289"/>
        <v/>
      </c>
      <c r="DK189" s="161" t="str">
        <f t="shared" si="290"/>
        <v/>
      </c>
      <c r="DL189" s="161" t="str">
        <f t="shared" si="291"/>
        <v/>
      </c>
      <c r="DM189" s="161" t="str">
        <f t="shared" si="292"/>
        <v/>
      </c>
      <c r="DN189" s="161" t="str">
        <f>IF($AZ189="", "", (BJ189*$CW189)/$CZ189)</f>
        <v/>
      </c>
      <c r="DO189" s="161" t="str">
        <f t="shared" si="293"/>
        <v/>
      </c>
      <c r="DP189" s="161" t="str">
        <f t="shared" si="294"/>
        <v/>
      </c>
      <c r="DQ189" s="161" t="str">
        <f t="shared" si="295"/>
        <v/>
      </c>
      <c r="DR189" s="161" t="str">
        <f t="shared" si="296"/>
        <v/>
      </c>
      <c r="DS189" s="161" t="str">
        <f t="shared" si="297"/>
        <v/>
      </c>
      <c r="DT189" s="161" t="str">
        <f t="shared" si="298"/>
        <v/>
      </c>
      <c r="DU189" s="161" t="str">
        <f t="shared" si="299"/>
        <v/>
      </c>
      <c r="DV189" s="161" t="str">
        <f t="shared" si="300"/>
        <v/>
      </c>
      <c r="DW189" s="161" t="str">
        <f t="shared" si="301"/>
        <v/>
      </c>
      <c r="DX189" s="161" t="str">
        <f t="shared" si="302"/>
        <v/>
      </c>
      <c r="DY189" s="161" t="str">
        <f t="shared" si="303"/>
        <v/>
      </c>
      <c r="DZ189" s="161" t="str">
        <f t="shared" si="304"/>
        <v/>
      </c>
      <c r="EA189" s="161" t="str">
        <f t="shared" si="305"/>
        <v/>
      </c>
      <c r="EB189" s="161" t="str">
        <f t="shared" si="306"/>
        <v/>
      </c>
      <c r="EC189" s="161" t="str">
        <f t="shared" si="307"/>
        <v/>
      </c>
      <c r="ED189" s="161" t="str">
        <f t="shared" si="308"/>
        <v/>
      </c>
      <c r="EE189" s="161" t="str">
        <f t="shared" si="309"/>
        <v/>
      </c>
      <c r="EF189" s="161" t="str">
        <f t="shared" si="310"/>
        <v/>
      </c>
      <c r="EG189" s="161" t="str">
        <f t="shared" si="311"/>
        <v/>
      </c>
      <c r="EH189" s="161" t="str">
        <f t="shared" si="312"/>
        <v/>
      </c>
      <c r="EI189" s="161" t="str">
        <f t="shared" si="313"/>
        <v/>
      </c>
      <c r="EJ189" s="161" t="str">
        <f t="shared" si="314"/>
        <v/>
      </c>
      <c r="EK189" s="147" t="str">
        <f t="shared" si="251"/>
        <v/>
      </c>
      <c r="EL189" s="149"/>
      <c r="EN189" s="146"/>
      <c r="EO189" s="146"/>
      <c r="EP189" s="139" t="str">
        <f t="shared" si="252"/>
        <v/>
      </c>
      <c r="EQ189" s="139" t="str">
        <f t="shared" si="253"/>
        <v/>
      </c>
      <c r="ER189" s="139" t="str">
        <f t="shared" si="254"/>
        <v/>
      </c>
      <c r="ES189" s="139" t="str">
        <f t="shared" si="255"/>
        <v/>
      </c>
      <c r="ET189" s="139" t="str">
        <f t="shared" si="256"/>
        <v/>
      </c>
      <c r="EU189" s="139" t="str">
        <f t="shared" si="257"/>
        <v/>
      </c>
      <c r="EV189" s="139" t="str">
        <f t="shared" si="258"/>
        <v/>
      </c>
      <c r="EW189" s="139" t="str">
        <f t="shared" si="259"/>
        <v/>
      </c>
      <c r="EX189" s="139" t="str">
        <f t="shared" si="260"/>
        <v/>
      </c>
      <c r="EY189" s="139" t="str">
        <f t="shared" si="261"/>
        <v/>
      </c>
      <c r="EZ189" s="139" t="str">
        <f t="shared" si="262"/>
        <v/>
      </c>
      <c r="FA189" s="139" t="str">
        <f t="shared" si="263"/>
        <v/>
      </c>
      <c r="FB189" s="139" t="str">
        <f t="shared" si="264"/>
        <v/>
      </c>
      <c r="FC189" s="139" t="str">
        <f t="shared" si="265"/>
        <v/>
      </c>
      <c r="FD189" s="139" t="str">
        <f t="shared" si="266"/>
        <v/>
      </c>
      <c r="FE189" s="139" t="str">
        <f t="shared" si="267"/>
        <v/>
      </c>
      <c r="FF189" s="139" t="str">
        <f t="shared" si="268"/>
        <v/>
      </c>
      <c r="FG189" s="139" t="str">
        <f t="shared" si="269"/>
        <v/>
      </c>
      <c r="FH189" s="139" t="str">
        <f t="shared" si="270"/>
        <v/>
      </c>
      <c r="FI189" s="139" t="str">
        <f t="shared" si="271"/>
        <v/>
      </c>
      <c r="FJ189" s="139" t="str">
        <f t="shared" si="272"/>
        <v/>
      </c>
      <c r="FK189" s="139" t="str">
        <f t="shared" si="273"/>
        <v/>
      </c>
      <c r="FL189" s="139" t="str">
        <f t="shared" si="274"/>
        <v/>
      </c>
      <c r="FM189" s="139" t="str">
        <f t="shared" si="275"/>
        <v/>
      </c>
      <c r="FN189" s="139" t="str">
        <f t="shared" si="276"/>
        <v/>
      </c>
      <c r="FO189" s="139" t="str">
        <f t="shared" si="277"/>
        <v/>
      </c>
      <c r="FP189" s="139" t="str">
        <f t="shared" si="278"/>
        <v/>
      </c>
      <c r="FQ189" s="139" t="str">
        <f t="shared" si="279"/>
        <v/>
      </c>
      <c r="FR189" s="139" t="str">
        <f t="shared" si="280"/>
        <v/>
      </c>
      <c r="FS189" s="139" t="str">
        <f t="shared" si="281"/>
        <v/>
      </c>
      <c r="FT189" s="139" t="str">
        <f t="shared" si="282"/>
        <v/>
      </c>
      <c r="FU189" s="148" t="str">
        <f t="shared" si="283"/>
        <v/>
      </c>
      <c r="FV189" s="149"/>
      <c r="FY189" s="211">
        <v>184</v>
      </c>
      <c r="FZ189">
        <v>10.402945995843957</v>
      </c>
      <c r="GA189">
        <v>7.4465892906588298</v>
      </c>
      <c r="GB189">
        <v>4.9690472629448257</v>
      </c>
      <c r="GC189">
        <v>3.1708866095691817</v>
      </c>
      <c r="GD189">
        <v>1.6411904617350186</v>
      </c>
      <c r="GE189">
        <v>2.0218021549452803</v>
      </c>
      <c r="GF189">
        <v>1.7602446225233985</v>
      </c>
      <c r="GG189">
        <v>1.9063755338945396</v>
      </c>
      <c r="GH189">
        <v>4.7826034967047804</v>
      </c>
      <c r="GI189">
        <v>4.7742882950009173</v>
      </c>
      <c r="GJ189"/>
      <c r="GK189">
        <v>10.448581733900467</v>
      </c>
      <c r="GL189">
        <v>6.311061727025181</v>
      </c>
      <c r="GM189">
        <v>8.2321694577992996</v>
      </c>
      <c r="GN189">
        <v>9.4427528407490247</v>
      </c>
      <c r="GO189">
        <v>6.3626257279091849</v>
      </c>
      <c r="GP189">
        <v>3.8707425226961822</v>
      </c>
      <c r="GQ189">
        <v>2.1546811570286302</v>
      </c>
      <c r="GR189">
        <v>2.6813015273990004</v>
      </c>
      <c r="GS189">
        <v>5.1005603732554512</v>
      </c>
      <c r="GT189">
        <v>6.4597236899786052</v>
      </c>
      <c r="GU189"/>
      <c r="GV189"/>
      <c r="GW189"/>
      <c r="GX189"/>
      <c r="GY189"/>
      <c r="GZ189"/>
      <c r="HA189"/>
      <c r="HB189"/>
      <c r="HC189"/>
    </row>
    <row r="190" spans="1:211" s="7" customFormat="1">
      <c r="A190" s="1"/>
      <c r="B190" s="76" t="str">
        <f t="shared" ca="1" si="250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49.208956554539213</v>
      </c>
      <c r="AO190">
        <v>5.6683011572363373</v>
      </c>
      <c r="AP190">
        <v>3.0830540636120505</v>
      </c>
      <c r="AQ190">
        <v>39.875591510028052</v>
      </c>
      <c r="AR190">
        <v>6.3472082863745953</v>
      </c>
      <c r="AS190">
        <v>40.911133953326448</v>
      </c>
      <c r="AT190">
        <v>5.0939981017434661</v>
      </c>
      <c r="AU190">
        <v>2.1302893367399189</v>
      </c>
      <c r="AV190"/>
      <c r="AW190"/>
      <c r="AX190" s="146"/>
      <c r="AY190" s="76" t="str">
        <f t="shared" ca="1" si="173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8"/>
        <v/>
      </c>
      <c r="CL190" s="179" t="str">
        <f t="shared" si="209"/>
        <v/>
      </c>
      <c r="CM190" s="180" t="str">
        <f t="shared" si="210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1"/>
        <v/>
      </c>
      <c r="DB190" s="146"/>
      <c r="DC190" s="76" t="str">
        <f t="shared" ca="1" si="174"/>
        <v/>
      </c>
      <c r="DD190" t="str">
        <f t="shared" si="212"/>
        <v/>
      </c>
      <c r="DE190" s="129" t="str">
        <f t="shared" si="284"/>
        <v/>
      </c>
      <c r="DF190" s="161" t="str">
        <f t="shared" si="285"/>
        <v/>
      </c>
      <c r="DG190" s="161" t="str">
        <f t="shared" si="286"/>
        <v/>
      </c>
      <c r="DH190" s="161" t="str">
        <f t="shared" si="287"/>
        <v/>
      </c>
      <c r="DI190" s="161" t="str">
        <f t="shared" si="288"/>
        <v/>
      </c>
      <c r="DJ190" s="161" t="str">
        <f t="shared" si="289"/>
        <v/>
      </c>
      <c r="DK190" s="161" t="str">
        <f t="shared" si="290"/>
        <v/>
      </c>
      <c r="DL190" s="161" t="str">
        <f t="shared" si="291"/>
        <v/>
      </c>
      <c r="DM190" s="161" t="str">
        <f t="shared" si="292"/>
        <v/>
      </c>
      <c r="DN190" s="161" t="str">
        <f>IF($AZ190="", "", (BJ190*$CW190)/$CZ190)</f>
        <v/>
      </c>
      <c r="DO190" s="161" t="str">
        <f t="shared" si="293"/>
        <v/>
      </c>
      <c r="DP190" s="161" t="str">
        <f t="shared" si="294"/>
        <v/>
      </c>
      <c r="DQ190" s="161" t="str">
        <f t="shared" si="295"/>
        <v/>
      </c>
      <c r="DR190" s="161" t="str">
        <f t="shared" si="296"/>
        <v/>
      </c>
      <c r="DS190" s="161" t="str">
        <f t="shared" si="297"/>
        <v/>
      </c>
      <c r="DT190" s="161" t="str">
        <f t="shared" si="298"/>
        <v/>
      </c>
      <c r="DU190" s="161" t="str">
        <f t="shared" si="299"/>
        <v/>
      </c>
      <c r="DV190" s="161" t="str">
        <f t="shared" si="300"/>
        <v/>
      </c>
      <c r="DW190" s="161" t="str">
        <f t="shared" si="301"/>
        <v/>
      </c>
      <c r="DX190" s="161" t="str">
        <f t="shared" si="302"/>
        <v/>
      </c>
      <c r="DY190" s="161" t="str">
        <f t="shared" si="303"/>
        <v/>
      </c>
      <c r="DZ190" s="161" t="str">
        <f t="shared" si="304"/>
        <v/>
      </c>
      <c r="EA190" s="161" t="str">
        <f t="shared" si="305"/>
        <v/>
      </c>
      <c r="EB190" s="161" t="str">
        <f t="shared" si="306"/>
        <v/>
      </c>
      <c r="EC190" s="161" t="str">
        <f t="shared" si="307"/>
        <v/>
      </c>
      <c r="ED190" s="161" t="str">
        <f t="shared" si="308"/>
        <v/>
      </c>
      <c r="EE190" s="161" t="str">
        <f t="shared" si="309"/>
        <v/>
      </c>
      <c r="EF190" s="161" t="str">
        <f t="shared" si="310"/>
        <v/>
      </c>
      <c r="EG190" s="161" t="str">
        <f t="shared" si="311"/>
        <v/>
      </c>
      <c r="EH190" s="161" t="str">
        <f t="shared" si="312"/>
        <v/>
      </c>
      <c r="EI190" s="161" t="str">
        <f t="shared" si="313"/>
        <v/>
      </c>
      <c r="EJ190" s="161" t="str">
        <f t="shared" si="314"/>
        <v/>
      </c>
      <c r="EK190" s="147" t="str">
        <f t="shared" si="251"/>
        <v/>
      </c>
      <c r="EL190" s="149"/>
      <c r="EN190" s="146"/>
      <c r="EO190" s="146"/>
      <c r="EP190" s="139" t="str">
        <f t="shared" si="252"/>
        <v/>
      </c>
      <c r="EQ190" s="139" t="str">
        <f t="shared" si="253"/>
        <v/>
      </c>
      <c r="ER190" s="139" t="str">
        <f t="shared" si="254"/>
        <v/>
      </c>
      <c r="ES190" s="139" t="str">
        <f t="shared" si="255"/>
        <v/>
      </c>
      <c r="ET190" s="139" t="str">
        <f t="shared" si="256"/>
        <v/>
      </c>
      <c r="EU190" s="139" t="str">
        <f t="shared" si="257"/>
        <v/>
      </c>
      <c r="EV190" s="139" t="str">
        <f t="shared" si="258"/>
        <v/>
      </c>
      <c r="EW190" s="139" t="str">
        <f t="shared" si="259"/>
        <v/>
      </c>
      <c r="EX190" s="139" t="str">
        <f t="shared" si="260"/>
        <v/>
      </c>
      <c r="EY190" s="139" t="str">
        <f t="shared" si="261"/>
        <v/>
      </c>
      <c r="EZ190" s="139" t="str">
        <f t="shared" si="262"/>
        <v/>
      </c>
      <c r="FA190" s="139" t="str">
        <f t="shared" si="263"/>
        <v/>
      </c>
      <c r="FB190" s="139" t="str">
        <f t="shared" si="264"/>
        <v/>
      </c>
      <c r="FC190" s="139" t="str">
        <f t="shared" si="265"/>
        <v/>
      </c>
      <c r="FD190" s="139" t="str">
        <f t="shared" si="266"/>
        <v/>
      </c>
      <c r="FE190" s="139" t="str">
        <f t="shared" si="267"/>
        <v/>
      </c>
      <c r="FF190" s="139" t="str">
        <f t="shared" si="268"/>
        <v/>
      </c>
      <c r="FG190" s="139" t="str">
        <f t="shared" si="269"/>
        <v/>
      </c>
      <c r="FH190" s="139" t="str">
        <f t="shared" si="270"/>
        <v/>
      </c>
      <c r="FI190" s="139" t="str">
        <f t="shared" si="271"/>
        <v/>
      </c>
      <c r="FJ190" s="139" t="str">
        <f t="shared" si="272"/>
        <v/>
      </c>
      <c r="FK190" s="139" t="str">
        <f t="shared" si="273"/>
        <v/>
      </c>
      <c r="FL190" s="139" t="str">
        <f t="shared" si="274"/>
        <v/>
      </c>
      <c r="FM190" s="139" t="str">
        <f t="shared" si="275"/>
        <v/>
      </c>
      <c r="FN190" s="139" t="str">
        <f t="shared" si="276"/>
        <v/>
      </c>
      <c r="FO190" s="139" t="str">
        <f t="shared" si="277"/>
        <v/>
      </c>
      <c r="FP190" s="139" t="str">
        <f t="shared" si="278"/>
        <v/>
      </c>
      <c r="FQ190" s="139" t="str">
        <f t="shared" si="279"/>
        <v/>
      </c>
      <c r="FR190" s="139" t="str">
        <f t="shared" si="280"/>
        <v/>
      </c>
      <c r="FS190" s="139" t="str">
        <f t="shared" si="281"/>
        <v/>
      </c>
      <c r="FT190" s="139" t="str">
        <f t="shared" si="282"/>
        <v/>
      </c>
      <c r="FU190" s="148" t="str">
        <f t="shared" si="283"/>
        <v/>
      </c>
      <c r="FV190" s="149"/>
      <c r="FY190" s="211">
        <v>185</v>
      </c>
      <c r="FZ190">
        <v>9.3052417862955021</v>
      </c>
      <c r="GA190">
        <v>10.272146064264438</v>
      </c>
      <c r="GB190">
        <v>5.8949547743922599</v>
      </c>
      <c r="GC190">
        <v>2.8793933203117725</v>
      </c>
      <c r="GD190">
        <v>2.0566174288849419</v>
      </c>
      <c r="GE190">
        <v>2.8732349602393983</v>
      </c>
      <c r="GF190">
        <v>3.644912761526268</v>
      </c>
      <c r="GG190">
        <v>3.0774347803215583</v>
      </c>
      <c r="GH190">
        <v>3.5439937395521683</v>
      </c>
      <c r="GI190">
        <v>5.2261033461877249</v>
      </c>
      <c r="GJ190"/>
      <c r="GK190">
        <v>9.33563635599862</v>
      </c>
      <c r="GL190">
        <v>8.7019397402299781</v>
      </c>
      <c r="GM190">
        <v>9.8045495859449243</v>
      </c>
      <c r="GN190">
        <v>8.6374204202865901</v>
      </c>
      <c r="GO190">
        <v>7.9741002862561512</v>
      </c>
      <c r="GP190">
        <v>5.500811595779961</v>
      </c>
      <c r="GQ190">
        <v>4.466460346215781</v>
      </c>
      <c r="GR190">
        <v>4.3310436795491141</v>
      </c>
      <c r="GS190">
        <v>3.7777476038257518</v>
      </c>
      <c r="GT190">
        <v>7.0716988356482453</v>
      </c>
      <c r="GU190"/>
      <c r="GV190"/>
      <c r="GW190"/>
      <c r="GX190"/>
      <c r="GY190"/>
      <c r="GZ190"/>
      <c r="HA190"/>
      <c r="HB190"/>
      <c r="HC190"/>
    </row>
    <row r="191" spans="1:211" s="7" customFormat="1">
      <c r="A191" s="1"/>
      <c r="B191" s="76" t="str">
        <f t="shared" ca="1" si="250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54.275039663199401</v>
      </c>
      <c r="AO191">
        <v>6.6100886547505509</v>
      </c>
      <c r="AP191">
        <v>57.514417269708744</v>
      </c>
      <c r="AQ191">
        <v>48.462040605421592</v>
      </c>
      <c r="AR191">
        <v>7.2297950049605264</v>
      </c>
      <c r="AS191">
        <v>43.451963674929807</v>
      </c>
      <c r="AT191" t="e">
        <v>#DIV/0!</v>
      </c>
      <c r="AU191" t="e">
        <v>#DIV/0!</v>
      </c>
      <c r="AV191"/>
      <c r="AW191"/>
      <c r="AX191" s="146"/>
      <c r="AY191" s="76" t="str">
        <f t="shared" ca="1" si="173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8"/>
        <v/>
      </c>
      <c r="CL191" s="179" t="str">
        <f t="shared" si="209"/>
        <v/>
      </c>
      <c r="CM191" s="180" t="str">
        <f t="shared" si="210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1"/>
        <v/>
      </c>
      <c r="DB191" s="146"/>
      <c r="DC191" s="76" t="str">
        <f t="shared" ca="1" si="174"/>
        <v/>
      </c>
      <c r="DD191" t="str">
        <f t="shared" si="212"/>
        <v/>
      </c>
      <c r="DE191" s="129" t="str">
        <f t="shared" si="284"/>
        <v/>
      </c>
      <c r="DF191" s="161" t="str">
        <f t="shared" si="285"/>
        <v/>
      </c>
      <c r="DG191" s="161" t="str">
        <f t="shared" si="286"/>
        <v/>
      </c>
      <c r="DH191" s="161" t="str">
        <f t="shared" si="287"/>
        <v/>
      </c>
      <c r="DI191" s="161" t="str">
        <f t="shared" si="288"/>
        <v/>
      </c>
      <c r="DJ191" s="161" t="str">
        <f t="shared" si="289"/>
        <v/>
      </c>
      <c r="DK191" s="161" t="str">
        <f t="shared" si="290"/>
        <v/>
      </c>
      <c r="DL191" s="161" t="str">
        <f t="shared" si="291"/>
        <v/>
      </c>
      <c r="DM191" s="161" t="str">
        <f t="shared" si="292"/>
        <v/>
      </c>
      <c r="DN191" s="161" t="str">
        <f>IF($AZ191="", "", (BJ191*$CW191)/$CZ191)</f>
        <v/>
      </c>
      <c r="DO191" s="161" t="str">
        <f t="shared" si="293"/>
        <v/>
      </c>
      <c r="DP191" s="161" t="str">
        <f t="shared" si="294"/>
        <v/>
      </c>
      <c r="DQ191" s="161" t="str">
        <f t="shared" si="295"/>
        <v/>
      </c>
      <c r="DR191" s="161" t="str">
        <f t="shared" si="296"/>
        <v/>
      </c>
      <c r="DS191" s="161" t="str">
        <f t="shared" si="297"/>
        <v/>
      </c>
      <c r="DT191" s="161" t="str">
        <f t="shared" si="298"/>
        <v/>
      </c>
      <c r="DU191" s="161" t="str">
        <f t="shared" si="299"/>
        <v/>
      </c>
      <c r="DV191" s="161" t="str">
        <f t="shared" si="300"/>
        <v/>
      </c>
      <c r="DW191" s="161" t="str">
        <f t="shared" si="301"/>
        <v/>
      </c>
      <c r="DX191" s="161" t="str">
        <f t="shared" si="302"/>
        <v/>
      </c>
      <c r="DY191" s="161" t="str">
        <f t="shared" si="303"/>
        <v/>
      </c>
      <c r="DZ191" s="161" t="str">
        <f t="shared" si="304"/>
        <v/>
      </c>
      <c r="EA191" s="161" t="str">
        <f t="shared" si="305"/>
        <v/>
      </c>
      <c r="EB191" s="161" t="str">
        <f t="shared" si="306"/>
        <v/>
      </c>
      <c r="EC191" s="161" t="str">
        <f t="shared" si="307"/>
        <v/>
      </c>
      <c r="ED191" s="161" t="str">
        <f t="shared" si="308"/>
        <v/>
      </c>
      <c r="EE191" s="161" t="str">
        <f t="shared" si="309"/>
        <v/>
      </c>
      <c r="EF191" s="161" t="str">
        <f t="shared" si="310"/>
        <v/>
      </c>
      <c r="EG191" s="161" t="str">
        <f t="shared" si="311"/>
        <v/>
      </c>
      <c r="EH191" s="161" t="str">
        <f t="shared" si="312"/>
        <v/>
      </c>
      <c r="EI191" s="161" t="str">
        <f t="shared" si="313"/>
        <v/>
      </c>
      <c r="EJ191" s="161" t="str">
        <f t="shared" si="314"/>
        <v/>
      </c>
      <c r="EK191" s="147" t="str">
        <f t="shared" si="251"/>
        <v/>
      </c>
      <c r="EL191" s="149"/>
      <c r="EN191" s="146"/>
      <c r="EO191" s="146"/>
      <c r="EP191" s="139" t="str">
        <f t="shared" si="252"/>
        <v/>
      </c>
      <c r="EQ191" s="139" t="str">
        <f t="shared" si="253"/>
        <v/>
      </c>
      <c r="ER191" s="139" t="str">
        <f t="shared" si="254"/>
        <v/>
      </c>
      <c r="ES191" s="139" t="str">
        <f t="shared" si="255"/>
        <v/>
      </c>
      <c r="ET191" s="139" t="str">
        <f t="shared" si="256"/>
        <v/>
      </c>
      <c r="EU191" s="139" t="str">
        <f t="shared" si="257"/>
        <v/>
      </c>
      <c r="EV191" s="139" t="str">
        <f t="shared" si="258"/>
        <v/>
      </c>
      <c r="EW191" s="139" t="str">
        <f t="shared" si="259"/>
        <v/>
      </c>
      <c r="EX191" s="139" t="str">
        <f t="shared" si="260"/>
        <v/>
      </c>
      <c r="EY191" s="139" t="str">
        <f t="shared" si="261"/>
        <v/>
      </c>
      <c r="EZ191" s="139" t="str">
        <f t="shared" si="262"/>
        <v/>
      </c>
      <c r="FA191" s="139" t="str">
        <f t="shared" si="263"/>
        <v/>
      </c>
      <c r="FB191" s="139" t="str">
        <f t="shared" si="264"/>
        <v/>
      </c>
      <c r="FC191" s="139" t="str">
        <f t="shared" si="265"/>
        <v/>
      </c>
      <c r="FD191" s="139" t="str">
        <f t="shared" si="266"/>
        <v/>
      </c>
      <c r="FE191" s="139" t="str">
        <f t="shared" si="267"/>
        <v/>
      </c>
      <c r="FF191" s="139" t="str">
        <f t="shared" si="268"/>
        <v/>
      </c>
      <c r="FG191" s="139" t="str">
        <f t="shared" si="269"/>
        <v/>
      </c>
      <c r="FH191" s="139" t="str">
        <f t="shared" si="270"/>
        <v/>
      </c>
      <c r="FI191" s="139" t="str">
        <f t="shared" si="271"/>
        <v/>
      </c>
      <c r="FJ191" s="139" t="str">
        <f t="shared" si="272"/>
        <v/>
      </c>
      <c r="FK191" s="139" t="str">
        <f t="shared" si="273"/>
        <v/>
      </c>
      <c r="FL191" s="139" t="str">
        <f t="shared" si="274"/>
        <v/>
      </c>
      <c r="FM191" s="139" t="str">
        <f t="shared" si="275"/>
        <v/>
      </c>
      <c r="FN191" s="139" t="str">
        <f t="shared" si="276"/>
        <v/>
      </c>
      <c r="FO191" s="139" t="str">
        <f t="shared" si="277"/>
        <v/>
      </c>
      <c r="FP191" s="139" t="str">
        <f t="shared" si="278"/>
        <v/>
      </c>
      <c r="FQ191" s="139" t="str">
        <f t="shared" si="279"/>
        <v/>
      </c>
      <c r="FR191" s="139" t="str">
        <f t="shared" si="280"/>
        <v/>
      </c>
      <c r="FS191" s="139" t="str">
        <f t="shared" si="281"/>
        <v/>
      </c>
      <c r="FT191" s="139" t="str">
        <f t="shared" si="282"/>
        <v/>
      </c>
      <c r="FU191" s="148" t="str">
        <f t="shared" si="283"/>
        <v/>
      </c>
      <c r="FV191" s="149"/>
      <c r="FY191" s="211">
        <v>186</v>
      </c>
      <c r="FZ191">
        <v>15.863556824522153</v>
      </c>
      <c r="GA191">
        <v>12.022759329886178</v>
      </c>
      <c r="GB191">
        <v>6.9133227883935167</v>
      </c>
      <c r="GC191">
        <v>4.0996615951057818</v>
      </c>
      <c r="GD191">
        <v>1.9612045606831967</v>
      </c>
      <c r="GE191">
        <v>2.7745936842309953</v>
      </c>
      <c r="GF191">
        <v>3.3787847481068836</v>
      </c>
      <c r="GG191">
        <v>2.9419356128170291</v>
      </c>
      <c r="GH191">
        <v>3.9067370219424924</v>
      </c>
      <c r="GI191">
        <v>6.4071555278310406</v>
      </c>
      <c r="GJ191"/>
      <c r="GK191">
        <v>15.915557356525106</v>
      </c>
      <c r="GL191">
        <v>10.187810703270713</v>
      </c>
      <c r="GM191">
        <v>11.569638760430045</v>
      </c>
      <c r="GN191">
        <v>12.391543144368413</v>
      </c>
      <c r="GO191">
        <v>7.6136458172180346</v>
      </c>
      <c r="GP191">
        <v>5.3119627607914213</v>
      </c>
      <c r="GQ191">
        <v>4.1403482286634459</v>
      </c>
      <c r="GR191">
        <v>4.1403482286634459</v>
      </c>
      <c r="GS191">
        <v>4.1636597996341651</v>
      </c>
      <c r="GT191">
        <v>8.6805699924941599</v>
      </c>
      <c r="GU191"/>
      <c r="GV191"/>
      <c r="GW191"/>
      <c r="GX191"/>
      <c r="GY191"/>
      <c r="GZ191"/>
      <c r="HA191"/>
      <c r="HB191"/>
      <c r="HC191"/>
    </row>
    <row r="192" spans="1:211" s="7" customFormat="1">
      <c r="A192" s="1"/>
      <c r="B192" s="76" t="str">
        <f t="shared" ca="1" si="250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58.789813016729511</v>
      </c>
      <c r="AO192">
        <v>7.3234803795829198</v>
      </c>
      <c r="AP192">
        <v>79.170879775754202</v>
      </c>
      <c r="AQ192">
        <v>49.175886341271003</v>
      </c>
      <c r="AR192">
        <v>7.6339816366195503</v>
      </c>
      <c r="AS192">
        <v>45.925856521723148</v>
      </c>
      <c r="AT192" t="e">
        <v>#DIV/0!</v>
      </c>
      <c r="AU192" t="e">
        <v>#DIV/0!</v>
      </c>
      <c r="AV192"/>
      <c r="AW192"/>
      <c r="AX192" s="146"/>
      <c r="AY192" s="76" t="str">
        <f t="shared" ca="1" si="173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8"/>
        <v/>
      </c>
      <c r="CL192" s="179" t="str">
        <f t="shared" si="209"/>
        <v/>
      </c>
      <c r="CM192" s="180" t="str">
        <f t="shared" si="210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1"/>
        <v/>
      </c>
      <c r="DB192" s="146"/>
      <c r="DC192" s="76" t="str">
        <f t="shared" ca="1" si="174"/>
        <v/>
      </c>
      <c r="DD192" t="str">
        <f t="shared" si="212"/>
        <v/>
      </c>
      <c r="DE192" s="129" t="str">
        <f t="shared" si="284"/>
        <v/>
      </c>
      <c r="DF192" s="161" t="str">
        <f t="shared" si="285"/>
        <v/>
      </c>
      <c r="DG192" s="161" t="str">
        <f t="shared" si="286"/>
        <v/>
      </c>
      <c r="DH192" s="161" t="str">
        <f t="shared" si="287"/>
        <v/>
      </c>
      <c r="DI192" s="161" t="str">
        <f t="shared" si="288"/>
        <v/>
      </c>
      <c r="DJ192" s="161" t="str">
        <f t="shared" si="289"/>
        <v/>
      </c>
      <c r="DK192" s="161" t="str">
        <f t="shared" si="290"/>
        <v/>
      </c>
      <c r="DL192" s="161" t="str">
        <f t="shared" si="291"/>
        <v/>
      </c>
      <c r="DM192" s="161" t="str">
        <f t="shared" si="292"/>
        <v/>
      </c>
      <c r="DN192" s="161" t="str">
        <f>IF($AZ192="", "", (BJ192*$CW192)/$CZ192)</f>
        <v/>
      </c>
      <c r="DO192" s="161" t="str">
        <f t="shared" si="293"/>
        <v/>
      </c>
      <c r="DP192" s="161" t="str">
        <f t="shared" si="294"/>
        <v/>
      </c>
      <c r="DQ192" s="161" t="str">
        <f t="shared" si="295"/>
        <v/>
      </c>
      <c r="DR192" s="161" t="str">
        <f t="shared" si="296"/>
        <v/>
      </c>
      <c r="DS192" s="161" t="str">
        <f t="shared" si="297"/>
        <v/>
      </c>
      <c r="DT192" s="161" t="str">
        <f t="shared" si="298"/>
        <v/>
      </c>
      <c r="DU192" s="161" t="str">
        <f t="shared" si="299"/>
        <v/>
      </c>
      <c r="DV192" s="161" t="str">
        <f t="shared" si="300"/>
        <v/>
      </c>
      <c r="DW192" s="161" t="str">
        <f t="shared" si="301"/>
        <v/>
      </c>
      <c r="DX192" s="161" t="str">
        <f t="shared" si="302"/>
        <v/>
      </c>
      <c r="DY192" s="161" t="str">
        <f t="shared" si="303"/>
        <v/>
      </c>
      <c r="DZ192" s="161" t="str">
        <f t="shared" si="304"/>
        <v/>
      </c>
      <c r="EA192" s="161" t="str">
        <f t="shared" si="305"/>
        <v/>
      </c>
      <c r="EB192" s="161" t="str">
        <f t="shared" si="306"/>
        <v/>
      </c>
      <c r="EC192" s="161" t="str">
        <f t="shared" si="307"/>
        <v/>
      </c>
      <c r="ED192" s="161" t="str">
        <f t="shared" si="308"/>
        <v/>
      </c>
      <c r="EE192" s="161" t="str">
        <f t="shared" si="309"/>
        <v/>
      </c>
      <c r="EF192" s="161" t="str">
        <f t="shared" si="310"/>
        <v/>
      </c>
      <c r="EG192" s="161" t="str">
        <f t="shared" si="311"/>
        <v/>
      </c>
      <c r="EH192" s="161" t="str">
        <f t="shared" si="312"/>
        <v/>
      </c>
      <c r="EI192" s="161" t="str">
        <f t="shared" si="313"/>
        <v/>
      </c>
      <c r="EJ192" s="161" t="str">
        <f t="shared" si="314"/>
        <v/>
      </c>
      <c r="EK192" s="147" t="str">
        <f t="shared" si="251"/>
        <v/>
      </c>
      <c r="EL192" s="149"/>
      <c r="EN192" s="146"/>
      <c r="EO192" s="146"/>
      <c r="EP192" s="139" t="str">
        <f t="shared" si="252"/>
        <v/>
      </c>
      <c r="EQ192" s="139" t="str">
        <f t="shared" si="253"/>
        <v/>
      </c>
      <c r="ER192" s="139" t="str">
        <f t="shared" si="254"/>
        <v/>
      </c>
      <c r="ES192" s="139" t="str">
        <f t="shared" si="255"/>
        <v/>
      </c>
      <c r="ET192" s="139" t="str">
        <f t="shared" si="256"/>
        <v/>
      </c>
      <c r="EU192" s="139" t="str">
        <f t="shared" si="257"/>
        <v/>
      </c>
      <c r="EV192" s="139" t="str">
        <f t="shared" si="258"/>
        <v/>
      </c>
      <c r="EW192" s="139" t="str">
        <f t="shared" si="259"/>
        <v/>
      </c>
      <c r="EX192" s="139" t="str">
        <f t="shared" si="260"/>
        <v/>
      </c>
      <c r="EY192" s="139" t="str">
        <f t="shared" si="261"/>
        <v/>
      </c>
      <c r="EZ192" s="139" t="str">
        <f t="shared" si="262"/>
        <v/>
      </c>
      <c r="FA192" s="139" t="str">
        <f t="shared" si="263"/>
        <v/>
      </c>
      <c r="FB192" s="139" t="str">
        <f t="shared" si="264"/>
        <v/>
      </c>
      <c r="FC192" s="139" t="str">
        <f t="shared" si="265"/>
        <v/>
      </c>
      <c r="FD192" s="139" t="str">
        <f t="shared" si="266"/>
        <v/>
      </c>
      <c r="FE192" s="139" t="str">
        <f t="shared" si="267"/>
        <v/>
      </c>
      <c r="FF192" s="139" t="str">
        <f t="shared" si="268"/>
        <v/>
      </c>
      <c r="FG192" s="139" t="str">
        <f t="shared" si="269"/>
        <v/>
      </c>
      <c r="FH192" s="139" t="str">
        <f t="shared" si="270"/>
        <v/>
      </c>
      <c r="FI192" s="139" t="str">
        <f t="shared" si="271"/>
        <v/>
      </c>
      <c r="FJ192" s="139" t="str">
        <f t="shared" si="272"/>
        <v/>
      </c>
      <c r="FK192" s="139" t="str">
        <f t="shared" si="273"/>
        <v/>
      </c>
      <c r="FL192" s="139" t="str">
        <f t="shared" si="274"/>
        <v/>
      </c>
      <c r="FM192" s="139" t="str">
        <f t="shared" si="275"/>
        <v/>
      </c>
      <c r="FN192" s="139" t="str">
        <f t="shared" si="276"/>
        <v/>
      </c>
      <c r="FO192" s="139" t="str">
        <f t="shared" si="277"/>
        <v/>
      </c>
      <c r="FP192" s="139" t="str">
        <f t="shared" si="278"/>
        <v/>
      </c>
      <c r="FQ192" s="139" t="str">
        <f t="shared" si="279"/>
        <v/>
      </c>
      <c r="FR192" s="139" t="str">
        <f t="shared" si="280"/>
        <v/>
      </c>
      <c r="FS192" s="139" t="str">
        <f t="shared" si="281"/>
        <v/>
      </c>
      <c r="FT192" s="139" t="str">
        <f t="shared" si="282"/>
        <v/>
      </c>
      <c r="FU192" s="148" t="str">
        <f t="shared" si="283"/>
        <v/>
      </c>
      <c r="FV192" s="149"/>
      <c r="FY192" s="211">
        <v>187</v>
      </c>
      <c r="FZ192">
        <v>15.613133809021118</v>
      </c>
      <c r="GA192">
        <v>19.147571441764136</v>
      </c>
      <c r="GB192">
        <v>9.2101558629825622</v>
      </c>
      <c r="GC192">
        <v>3.8611266389678178</v>
      </c>
      <c r="GD192">
        <v>1.4873901646336898</v>
      </c>
      <c r="GE192">
        <v>2.2054470995798323</v>
      </c>
      <c r="GF192">
        <v>3.0868460618591453</v>
      </c>
      <c r="GG192">
        <v>2.9642867518874225</v>
      </c>
      <c r="GH192">
        <v>3.6950061711091995</v>
      </c>
      <c r="GI192">
        <v>6.5712130162363955</v>
      </c>
      <c r="GJ192"/>
      <c r="GK192">
        <v>15.656875287849939</v>
      </c>
      <c r="GL192">
        <v>16.221576704895114</v>
      </c>
      <c r="GM192">
        <v>15.33144482031835</v>
      </c>
      <c r="GN192">
        <v>11.612088057286128</v>
      </c>
      <c r="GO192">
        <v>5.7662975163920196</v>
      </c>
      <c r="GP192">
        <v>4.2223309778456839</v>
      </c>
      <c r="GQ192">
        <v>3.7756628350150376</v>
      </c>
      <c r="GR192">
        <v>4.1668665387187405</v>
      </c>
      <c r="GS192">
        <v>3.9394709444247047</v>
      </c>
      <c r="GT192">
        <v>8.8939502808000093</v>
      </c>
      <c r="GU192"/>
      <c r="GV192"/>
      <c r="GW192"/>
      <c r="GX192"/>
      <c r="GY192"/>
      <c r="GZ192"/>
      <c r="HA192"/>
      <c r="HB192"/>
      <c r="HC192"/>
    </row>
    <row r="193" spans="1:211" s="7" customFormat="1">
      <c r="A193" s="1"/>
      <c r="B193" s="76" t="str">
        <f t="shared" ca="1" si="250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57.258389267796545</v>
      </c>
      <c r="AO193">
        <v>6.6807987999559675</v>
      </c>
      <c r="AP193">
        <v>9.2576516689409694</v>
      </c>
      <c r="AQ193">
        <v>51.449044766348692</v>
      </c>
      <c r="AR193">
        <v>6.9877915009603804</v>
      </c>
      <c r="AS193">
        <v>41.883456154883412</v>
      </c>
      <c r="AT193" t="e">
        <v>#DIV/0!</v>
      </c>
      <c r="AU193" t="e">
        <v>#DIV/0!</v>
      </c>
      <c r="AV193"/>
      <c r="AW193"/>
      <c r="AX193" s="146"/>
      <c r="AY193" s="76" t="str">
        <f t="shared" ca="1" si="173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8"/>
        <v/>
      </c>
      <c r="CL193" s="179" t="str">
        <f t="shared" si="209"/>
        <v/>
      </c>
      <c r="CM193" s="180" t="str">
        <f t="shared" si="210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1"/>
        <v/>
      </c>
      <c r="DB193" s="146"/>
      <c r="DC193" s="76" t="str">
        <f t="shared" ca="1" si="174"/>
        <v/>
      </c>
      <c r="DD193" t="str">
        <f t="shared" si="212"/>
        <v/>
      </c>
      <c r="DE193" s="129" t="str">
        <f t="shared" si="284"/>
        <v/>
      </c>
      <c r="DF193" s="161" t="str">
        <f t="shared" si="285"/>
        <v/>
      </c>
      <c r="DG193" s="161" t="str">
        <f t="shared" si="286"/>
        <v/>
      </c>
      <c r="DH193" s="161" t="str">
        <f t="shared" si="287"/>
        <v/>
      </c>
      <c r="DI193" s="161" t="str">
        <f t="shared" si="288"/>
        <v/>
      </c>
      <c r="DJ193" s="161" t="str">
        <f t="shared" si="289"/>
        <v/>
      </c>
      <c r="DK193" s="161" t="str">
        <f t="shared" si="290"/>
        <v/>
      </c>
      <c r="DL193" s="161" t="str">
        <f t="shared" si="291"/>
        <v/>
      </c>
      <c r="DM193" s="161" t="str">
        <f t="shared" si="292"/>
        <v/>
      </c>
      <c r="DN193" s="161" t="str">
        <f t="shared" ref="DN193:DN207" si="315">IF($AZ193="", "", (BJ193*$CW193)/$CZ193)</f>
        <v/>
      </c>
      <c r="DO193" s="161" t="str">
        <f t="shared" si="293"/>
        <v/>
      </c>
      <c r="DP193" s="161" t="str">
        <f t="shared" si="294"/>
        <v/>
      </c>
      <c r="DQ193" s="161" t="str">
        <f t="shared" si="295"/>
        <v/>
      </c>
      <c r="DR193" s="161" t="str">
        <f t="shared" si="296"/>
        <v/>
      </c>
      <c r="DS193" s="161" t="str">
        <f t="shared" si="297"/>
        <v/>
      </c>
      <c r="DT193" s="161" t="str">
        <f t="shared" si="298"/>
        <v/>
      </c>
      <c r="DU193" s="161" t="str">
        <f t="shared" si="299"/>
        <v/>
      </c>
      <c r="DV193" s="161" t="str">
        <f t="shared" si="300"/>
        <v/>
      </c>
      <c r="DW193" s="161" t="str">
        <f t="shared" si="301"/>
        <v/>
      </c>
      <c r="DX193" s="161" t="str">
        <f t="shared" si="302"/>
        <v/>
      </c>
      <c r="DY193" s="161" t="str">
        <f t="shared" si="303"/>
        <v/>
      </c>
      <c r="DZ193" s="161" t="str">
        <f t="shared" si="304"/>
        <v/>
      </c>
      <c r="EA193" s="161" t="str">
        <f t="shared" si="305"/>
        <v/>
      </c>
      <c r="EB193" s="161" t="str">
        <f t="shared" si="306"/>
        <v/>
      </c>
      <c r="EC193" s="161" t="str">
        <f t="shared" si="307"/>
        <v/>
      </c>
      <c r="ED193" s="161" t="str">
        <f t="shared" si="308"/>
        <v/>
      </c>
      <c r="EE193" s="161" t="str">
        <f t="shared" si="309"/>
        <v/>
      </c>
      <c r="EF193" s="161" t="str">
        <f t="shared" si="310"/>
        <v/>
      </c>
      <c r="EG193" s="161" t="str">
        <f t="shared" si="311"/>
        <v/>
      </c>
      <c r="EH193" s="161" t="str">
        <f t="shared" si="312"/>
        <v/>
      </c>
      <c r="EI193" s="161" t="str">
        <f t="shared" si="313"/>
        <v/>
      </c>
      <c r="EJ193" s="161" t="str">
        <f t="shared" si="314"/>
        <v/>
      </c>
      <c r="EK193" s="147" t="str">
        <f t="shared" si="251"/>
        <v/>
      </c>
      <c r="EL193" s="149"/>
      <c r="EN193" s="146"/>
      <c r="EO193" s="146"/>
      <c r="EP193" s="139" t="str">
        <f t="shared" si="252"/>
        <v/>
      </c>
      <c r="EQ193" s="139" t="str">
        <f t="shared" si="253"/>
        <v/>
      </c>
      <c r="ER193" s="139" t="str">
        <f t="shared" si="254"/>
        <v/>
      </c>
      <c r="ES193" s="139" t="str">
        <f t="shared" si="255"/>
        <v/>
      </c>
      <c r="ET193" s="139" t="str">
        <f t="shared" si="256"/>
        <v/>
      </c>
      <c r="EU193" s="139" t="str">
        <f t="shared" si="257"/>
        <v/>
      </c>
      <c r="EV193" s="139" t="str">
        <f t="shared" si="258"/>
        <v/>
      </c>
      <c r="EW193" s="139" t="str">
        <f t="shared" si="259"/>
        <v/>
      </c>
      <c r="EX193" s="139" t="str">
        <f t="shared" si="260"/>
        <v/>
      </c>
      <c r="EY193" s="139" t="str">
        <f t="shared" si="261"/>
        <v/>
      </c>
      <c r="EZ193" s="139" t="str">
        <f t="shared" si="262"/>
        <v/>
      </c>
      <c r="FA193" s="139" t="str">
        <f t="shared" si="263"/>
        <v/>
      </c>
      <c r="FB193" s="139" t="str">
        <f t="shared" si="264"/>
        <v/>
      </c>
      <c r="FC193" s="139" t="str">
        <f t="shared" si="265"/>
        <v/>
      </c>
      <c r="FD193" s="139" t="str">
        <f t="shared" si="266"/>
        <v/>
      </c>
      <c r="FE193" s="139" t="str">
        <f t="shared" si="267"/>
        <v/>
      </c>
      <c r="FF193" s="139" t="str">
        <f t="shared" si="268"/>
        <v/>
      </c>
      <c r="FG193" s="139" t="str">
        <f t="shared" si="269"/>
        <v/>
      </c>
      <c r="FH193" s="139" t="str">
        <f t="shared" si="270"/>
        <v/>
      </c>
      <c r="FI193" s="139" t="str">
        <f t="shared" si="271"/>
        <v/>
      </c>
      <c r="FJ193" s="139" t="str">
        <f t="shared" si="272"/>
        <v/>
      </c>
      <c r="FK193" s="139" t="str">
        <f t="shared" si="273"/>
        <v/>
      </c>
      <c r="FL193" s="139" t="str">
        <f t="shared" si="274"/>
        <v/>
      </c>
      <c r="FM193" s="139" t="str">
        <f t="shared" si="275"/>
        <v/>
      </c>
      <c r="FN193" s="139" t="str">
        <f t="shared" si="276"/>
        <v/>
      </c>
      <c r="FO193" s="139" t="str">
        <f t="shared" si="277"/>
        <v/>
      </c>
      <c r="FP193" s="139" t="str">
        <f t="shared" si="278"/>
        <v/>
      </c>
      <c r="FQ193" s="139" t="str">
        <f t="shared" si="279"/>
        <v/>
      </c>
      <c r="FR193" s="139" t="str">
        <f t="shared" si="280"/>
        <v/>
      </c>
      <c r="FS193" s="139" t="str">
        <f t="shared" si="281"/>
        <v/>
      </c>
      <c r="FT193" s="139" t="str">
        <f t="shared" si="282"/>
        <v/>
      </c>
      <c r="FU193" s="148" t="str">
        <f t="shared" si="283"/>
        <v/>
      </c>
      <c r="FV193" s="149"/>
      <c r="FY193" s="211">
        <v>188</v>
      </c>
      <c r="FZ193">
        <v>11.800426556595793</v>
      </c>
      <c r="GA193">
        <v>5.3569598953468001</v>
      </c>
      <c r="GB193">
        <v>2.9569254460668355</v>
      </c>
      <c r="GC193">
        <v>2.7324355486977643</v>
      </c>
      <c r="GD193">
        <v>1.8986573534845907</v>
      </c>
      <c r="GE193">
        <v>1.9932508295798321</v>
      </c>
      <c r="GF193">
        <v>2.4857571004310075</v>
      </c>
      <c r="GG193">
        <v>2.4418645251988869</v>
      </c>
      <c r="GH193">
        <v>5.271744824207639</v>
      </c>
      <c r="GI193">
        <v>4.846095371731229</v>
      </c>
      <c r="GJ193"/>
      <c r="GK193">
        <v>11.850932096675441</v>
      </c>
      <c r="GL193">
        <v>4.539996716994839</v>
      </c>
      <c r="GM193">
        <v>4.8951999732571121</v>
      </c>
      <c r="GN193">
        <v>8.1509754103836496</v>
      </c>
      <c r="GO193">
        <v>7.3821092517014755</v>
      </c>
      <c r="GP193">
        <v>3.8160809778456839</v>
      </c>
      <c r="GQ193">
        <v>3.043721012101094</v>
      </c>
      <c r="GR193">
        <v>3.4349247158047973</v>
      </c>
      <c r="GS193">
        <v>5.6205713633559675</v>
      </c>
      <c r="GT193">
        <v>6.5585067394182186</v>
      </c>
      <c r="GU193"/>
      <c r="GV193"/>
      <c r="GW193"/>
      <c r="GX193"/>
      <c r="GY193"/>
      <c r="GZ193"/>
      <c r="HA193"/>
      <c r="HB193"/>
      <c r="HC193"/>
    </row>
    <row r="194" spans="1:211" s="7" customFormat="1">
      <c r="A194" s="1"/>
      <c r="B194" s="76" t="str">
        <f t="shared" ca="1" si="250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61.568134994833414</v>
      </c>
      <c r="AO194">
        <v>7.8498017929493233</v>
      </c>
      <c r="AP194">
        <v>4.8364968211616404</v>
      </c>
      <c r="AQ194">
        <v>56.755474989284764</v>
      </c>
      <c r="AR194">
        <v>8.2054395078967115</v>
      </c>
      <c r="AS194">
        <v>54.421682066472243</v>
      </c>
      <c r="AT194">
        <v>6.6547303827776032</v>
      </c>
      <c r="AU194">
        <v>1.7924415064059183</v>
      </c>
      <c r="AV194"/>
      <c r="AW194"/>
      <c r="AX194" s="146"/>
      <c r="AY194" s="76" t="str">
        <f t="shared" ca="1" si="173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8"/>
        <v/>
      </c>
      <c r="CL194" s="179" t="str">
        <f t="shared" si="209"/>
        <v/>
      </c>
      <c r="CM194" s="180" t="str">
        <f t="shared" si="210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1"/>
        <v/>
      </c>
      <c r="DB194" s="146"/>
      <c r="DC194" s="76" t="str">
        <f t="shared" ca="1" si="174"/>
        <v/>
      </c>
      <c r="DD194" t="str">
        <f t="shared" si="212"/>
        <v/>
      </c>
      <c r="DE194" s="129" t="str">
        <f t="shared" si="284"/>
        <v/>
      </c>
      <c r="DF194" s="161" t="str">
        <f t="shared" si="285"/>
        <v/>
      </c>
      <c r="DG194" s="161" t="str">
        <f t="shared" si="286"/>
        <v/>
      </c>
      <c r="DH194" s="161" t="str">
        <f t="shared" si="287"/>
        <v/>
      </c>
      <c r="DI194" s="161" t="str">
        <f t="shared" si="288"/>
        <v/>
      </c>
      <c r="DJ194" s="161" t="str">
        <f t="shared" si="289"/>
        <v/>
      </c>
      <c r="DK194" s="161" t="str">
        <f t="shared" si="290"/>
        <v/>
      </c>
      <c r="DL194" s="161" t="str">
        <f t="shared" si="291"/>
        <v/>
      </c>
      <c r="DM194" s="161" t="str">
        <f t="shared" si="292"/>
        <v/>
      </c>
      <c r="DN194" s="161" t="str">
        <f t="shared" si="315"/>
        <v/>
      </c>
      <c r="DO194" s="161" t="str">
        <f t="shared" ref="DO194:DO206" si="316">IF($AZ194="", "", (BK193*$CW194)/$CZ194)</f>
        <v/>
      </c>
      <c r="DP194" s="161" t="str">
        <f t="shared" ref="DP194:DP206" si="317">IF($AZ194="", "", (BL193*$CW194)/$CZ194)</f>
        <v/>
      </c>
      <c r="DQ194" s="161" t="str">
        <f t="shared" ref="DQ194:DQ206" si="318">IF($AZ194="", "", (BM193*$CW194)/$CZ194)</f>
        <v/>
      </c>
      <c r="DR194" s="161" t="str">
        <f t="shared" ref="DR194:DR206" si="319">IF($AZ194="", "", (BN193*$CW194)/$CZ194)</f>
        <v/>
      </c>
      <c r="DS194" s="161" t="str">
        <f t="shared" ref="DS194:DS206" si="320">IF($AZ194="", "", (BO193*$CW194)/$CZ194)</f>
        <v/>
      </c>
      <c r="DT194" s="161" t="str">
        <f t="shared" ref="DT194:DT206" si="321">IF($AZ194="", "", (BP193*$CW194)/$CZ194)</f>
        <v/>
      </c>
      <c r="DU194" s="161" t="str">
        <f t="shared" ref="DU194:DU206" si="322">IF($AZ194="", "", (BQ193*$CW194)/$CZ194)</f>
        <v/>
      </c>
      <c r="DV194" s="161" t="str">
        <f t="shared" ref="DV194:DV206" si="323">IF($AZ194="", "", (BR193*$CW194)/$CZ194)</f>
        <v/>
      </c>
      <c r="DW194" s="161" t="str">
        <f t="shared" ref="DW194:DW206" si="324">IF($AZ194="", "", (BS193*$CW194)/$CZ194)</f>
        <v/>
      </c>
      <c r="DX194" s="161" t="str">
        <f t="shared" ref="DX194:DX206" si="325">IF($AZ194="", "", (BT193*$CW194)/$CZ194)</f>
        <v/>
      </c>
      <c r="DY194" s="161" t="str">
        <f t="shared" ref="DY194:DY206" si="326">IF($AZ194="", "", (BU193*$CW194)/$CZ194)</f>
        <v/>
      </c>
      <c r="DZ194" s="161" t="str">
        <f t="shared" ref="DZ194:DZ206" si="327">IF($AZ194="", "", (BV193*$CW194)/$CZ194)</f>
        <v/>
      </c>
      <c r="EA194" s="161" t="str">
        <f t="shared" ref="EA194:EA206" si="328">IF($AZ194="", "", (BW193*$CW194)/$CZ194)</f>
        <v/>
      </c>
      <c r="EB194" s="161" t="str">
        <f t="shared" ref="EB194:EB206" si="329">IF($AZ194="", "", (BX193*$CW194)/$CZ194)</f>
        <v/>
      </c>
      <c r="EC194" s="161" t="str">
        <f t="shared" ref="EC194:EC206" si="330">IF($AZ194="", "", (BY193*$CW194)/$CZ194)</f>
        <v/>
      </c>
      <c r="ED194" s="161" t="str">
        <f t="shared" ref="ED194:ED206" si="331">IF($AZ194="", "", (BZ193*$CW194)/$CZ194)</f>
        <v/>
      </c>
      <c r="EE194" s="161" t="str">
        <f t="shared" ref="EE194:EE206" si="332">IF($AZ194="", "", (CA193*$CW194)/$CZ194)</f>
        <v/>
      </c>
      <c r="EF194" s="161" t="str">
        <f t="shared" ref="EF194:EF206" si="333">IF($AZ194="", "", (CB193*$CW194)/$CZ194)</f>
        <v/>
      </c>
      <c r="EG194" s="161" t="str">
        <f t="shared" ref="EG194:EG206" si="334">IF($AZ194="", "", (CC193*$CW194)/$CZ194)</f>
        <v/>
      </c>
      <c r="EH194" s="161" t="str">
        <f t="shared" ref="EH194:EH206" si="335">IF($AZ194="", "", (CD193*$CW194)/$CZ194)</f>
        <v/>
      </c>
      <c r="EI194" s="161" t="str">
        <f t="shared" ref="EI194:EI206" si="336">IF($AZ194="", "", (CE193*$CW194)/$CZ194)</f>
        <v/>
      </c>
      <c r="EJ194" s="161" t="str">
        <f t="shared" ref="EJ194:EJ206" si="337">IF($AZ194="", "", (CF193*$CW194)/$CZ194)</f>
        <v/>
      </c>
      <c r="EK194" s="147" t="str">
        <f t="shared" si="251"/>
        <v/>
      </c>
      <c r="EL194" s="149"/>
      <c r="EN194" s="146"/>
      <c r="EO194" s="146"/>
      <c r="EP194" s="139" t="str">
        <f t="shared" si="252"/>
        <v/>
      </c>
      <c r="EQ194" s="139" t="str">
        <f t="shared" si="253"/>
        <v/>
      </c>
      <c r="ER194" s="139" t="str">
        <f t="shared" si="254"/>
        <v/>
      </c>
      <c r="ES194" s="139" t="str">
        <f t="shared" si="255"/>
        <v/>
      </c>
      <c r="ET194" s="139" t="str">
        <f t="shared" si="256"/>
        <v/>
      </c>
      <c r="EU194" s="139" t="str">
        <f t="shared" si="257"/>
        <v/>
      </c>
      <c r="EV194" s="139" t="str">
        <f t="shared" si="258"/>
        <v/>
      </c>
      <c r="EW194" s="139" t="str">
        <f t="shared" si="259"/>
        <v/>
      </c>
      <c r="EX194" s="139" t="str">
        <f t="shared" si="260"/>
        <v/>
      </c>
      <c r="EY194" s="139" t="str">
        <f t="shared" si="261"/>
        <v/>
      </c>
      <c r="EZ194" s="139" t="str">
        <f t="shared" si="262"/>
        <v/>
      </c>
      <c r="FA194" s="139" t="str">
        <f t="shared" si="263"/>
        <v/>
      </c>
      <c r="FB194" s="139" t="str">
        <f t="shared" si="264"/>
        <v/>
      </c>
      <c r="FC194" s="139" t="str">
        <f t="shared" si="265"/>
        <v/>
      </c>
      <c r="FD194" s="139" t="str">
        <f t="shared" si="266"/>
        <v/>
      </c>
      <c r="FE194" s="139" t="str">
        <f t="shared" si="267"/>
        <v/>
      </c>
      <c r="FF194" s="139" t="str">
        <f t="shared" si="268"/>
        <v/>
      </c>
      <c r="FG194" s="139" t="str">
        <f t="shared" si="269"/>
        <v/>
      </c>
      <c r="FH194" s="139" t="str">
        <f t="shared" si="270"/>
        <v/>
      </c>
      <c r="FI194" s="139" t="str">
        <f t="shared" si="271"/>
        <v/>
      </c>
      <c r="FJ194" s="139" t="str">
        <f t="shared" si="272"/>
        <v/>
      </c>
      <c r="FK194" s="139" t="str">
        <f t="shared" si="273"/>
        <v/>
      </c>
      <c r="FL194" s="139" t="str">
        <f t="shared" si="274"/>
        <v/>
      </c>
      <c r="FM194" s="139" t="str">
        <f t="shared" si="275"/>
        <v/>
      </c>
      <c r="FN194" s="139" t="str">
        <f t="shared" si="276"/>
        <v/>
      </c>
      <c r="FO194" s="139" t="str">
        <f t="shared" si="277"/>
        <v/>
      </c>
      <c r="FP194" s="139" t="str">
        <f t="shared" si="278"/>
        <v/>
      </c>
      <c r="FQ194" s="139" t="str">
        <f t="shared" si="279"/>
        <v/>
      </c>
      <c r="FR194" s="139" t="str">
        <f t="shared" si="280"/>
        <v/>
      </c>
      <c r="FS194" s="139" t="str">
        <f t="shared" si="281"/>
        <v/>
      </c>
      <c r="FT194" s="139" t="str">
        <f t="shared" si="282"/>
        <v/>
      </c>
      <c r="FU194" s="148" t="str">
        <f t="shared" si="283"/>
        <v/>
      </c>
      <c r="FV194" s="149"/>
      <c r="FY194" s="211">
        <v>189</v>
      </c>
      <c r="FZ194">
        <v>12.888086692990605</v>
      </c>
      <c r="GA194">
        <v>9.9773012252133242</v>
      </c>
      <c r="GB194">
        <v>4.7452722987350366</v>
      </c>
      <c r="GC194">
        <v>3.3464335646323558</v>
      </c>
      <c r="GD194">
        <v>2.0667180066764708</v>
      </c>
      <c r="GE194">
        <v>2.8800496798739501</v>
      </c>
      <c r="GF194">
        <v>1.2713471777732464</v>
      </c>
      <c r="GG194">
        <v>1.4321027440345502</v>
      </c>
      <c r="GH194">
        <v>8.3127248531460562</v>
      </c>
      <c r="GI194">
        <v>5.8023244125537454</v>
      </c>
      <c r="GJ194"/>
      <c r="GK194">
        <v>12.935039387813271</v>
      </c>
      <c r="GL194">
        <v>8.4538413314540382</v>
      </c>
      <c r="GM194">
        <v>7.8971648432313977</v>
      </c>
      <c r="GN194">
        <v>10.018608435073572</v>
      </c>
      <c r="GO194">
        <v>8.0132631461675583</v>
      </c>
      <c r="GP194">
        <v>5.5138583842627966</v>
      </c>
      <c r="GQ194">
        <v>1.5532733446530738</v>
      </c>
      <c r="GR194">
        <v>2.0121853816901107</v>
      </c>
      <c r="GS194">
        <v>8.8630330557387662</v>
      </c>
      <c r="GT194">
        <v>7.8523547555208131</v>
      </c>
      <c r="GU194"/>
      <c r="GV194"/>
      <c r="GW194"/>
      <c r="GX194"/>
      <c r="GY194"/>
      <c r="GZ194"/>
      <c r="HA194"/>
      <c r="HB194"/>
      <c r="HC194"/>
    </row>
    <row r="195" spans="1:211" s="7" customFormat="1">
      <c r="A195" s="1"/>
      <c r="B195" s="76" t="str">
        <f t="shared" ca="1" si="250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63.543080483638427</v>
      </c>
      <c r="AO195">
        <v>7.5053833708653297</v>
      </c>
      <c r="AP195">
        <v>68.448390956659694</v>
      </c>
      <c r="AQ195">
        <v>56.606448325666022</v>
      </c>
      <c r="AR195">
        <v>8.0862663214095214</v>
      </c>
      <c r="AS195">
        <v>51.58363123948957</v>
      </c>
      <c r="AT195" t="e">
        <v>#DIV/0!</v>
      </c>
      <c r="AU195" t="e">
        <v>#DIV/0!</v>
      </c>
      <c r="AV195"/>
      <c r="AW195"/>
      <c r="AX195" s="146"/>
      <c r="AY195" s="76" t="str">
        <f t="shared" ca="1" si="173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8"/>
        <v/>
      </c>
      <c r="CL195" s="179" t="str">
        <f t="shared" si="209"/>
        <v/>
      </c>
      <c r="CM195" s="180" t="str">
        <f t="shared" si="210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1"/>
        <v/>
      </c>
      <c r="DB195" s="146"/>
      <c r="DC195" s="76" t="str">
        <f t="shared" ca="1" si="174"/>
        <v/>
      </c>
      <c r="DD195" t="str">
        <f t="shared" si="212"/>
        <v/>
      </c>
      <c r="DE195" s="129" t="str">
        <f t="shared" si="284"/>
        <v/>
      </c>
      <c r="DF195" s="161" t="str">
        <f t="shared" si="285"/>
        <v/>
      </c>
      <c r="DG195" s="161" t="str">
        <f t="shared" si="286"/>
        <v/>
      </c>
      <c r="DH195" s="161" t="str">
        <f t="shared" si="287"/>
        <v/>
      </c>
      <c r="DI195" s="161" t="str">
        <f t="shared" si="288"/>
        <v/>
      </c>
      <c r="DJ195" s="161" t="str">
        <f t="shared" si="289"/>
        <v/>
      </c>
      <c r="DK195" s="161" t="str">
        <f t="shared" si="290"/>
        <v/>
      </c>
      <c r="DL195" s="161" t="str">
        <f t="shared" si="291"/>
        <v/>
      </c>
      <c r="DM195" s="161" t="str">
        <f t="shared" si="292"/>
        <v/>
      </c>
      <c r="DN195" s="161" t="str">
        <f t="shared" si="315"/>
        <v/>
      </c>
      <c r="DO195" s="161" t="str">
        <f t="shared" si="316"/>
        <v/>
      </c>
      <c r="DP195" s="161" t="str">
        <f t="shared" si="317"/>
        <v/>
      </c>
      <c r="DQ195" s="161" t="str">
        <f t="shared" si="318"/>
        <v/>
      </c>
      <c r="DR195" s="161" t="str">
        <f t="shared" si="319"/>
        <v/>
      </c>
      <c r="DS195" s="161" t="str">
        <f t="shared" si="320"/>
        <v/>
      </c>
      <c r="DT195" s="161" t="str">
        <f t="shared" si="321"/>
        <v/>
      </c>
      <c r="DU195" s="161" t="str">
        <f t="shared" si="322"/>
        <v/>
      </c>
      <c r="DV195" s="161" t="str">
        <f t="shared" si="323"/>
        <v/>
      </c>
      <c r="DW195" s="161" t="str">
        <f t="shared" si="324"/>
        <v/>
      </c>
      <c r="DX195" s="161" t="str">
        <f t="shared" si="325"/>
        <v/>
      </c>
      <c r="DY195" s="161" t="str">
        <f t="shared" si="326"/>
        <v/>
      </c>
      <c r="DZ195" s="161" t="str">
        <f t="shared" si="327"/>
        <v/>
      </c>
      <c r="EA195" s="161" t="str">
        <f t="shared" si="328"/>
        <v/>
      </c>
      <c r="EB195" s="161" t="str">
        <f t="shared" si="329"/>
        <v/>
      </c>
      <c r="EC195" s="161" t="str">
        <f t="shared" si="330"/>
        <v/>
      </c>
      <c r="ED195" s="161" t="str">
        <f t="shared" si="331"/>
        <v/>
      </c>
      <c r="EE195" s="161" t="str">
        <f t="shared" si="332"/>
        <v/>
      </c>
      <c r="EF195" s="161" t="str">
        <f t="shared" si="333"/>
        <v/>
      </c>
      <c r="EG195" s="161" t="str">
        <f t="shared" si="334"/>
        <v/>
      </c>
      <c r="EH195" s="161" t="str">
        <f t="shared" si="335"/>
        <v/>
      </c>
      <c r="EI195" s="161" t="str">
        <f t="shared" si="336"/>
        <v/>
      </c>
      <c r="EJ195" s="161" t="str">
        <f t="shared" si="337"/>
        <v/>
      </c>
      <c r="EK195" s="147" t="str">
        <f t="shared" si="251"/>
        <v/>
      </c>
      <c r="EL195" s="149"/>
      <c r="EN195" s="146"/>
      <c r="EO195" s="146"/>
      <c r="EP195" s="139" t="str">
        <f t="shared" si="252"/>
        <v/>
      </c>
      <c r="EQ195" s="139" t="str">
        <f t="shared" si="253"/>
        <v/>
      </c>
      <c r="ER195" s="139" t="str">
        <f t="shared" si="254"/>
        <v/>
      </c>
      <c r="ES195" s="139" t="str">
        <f t="shared" si="255"/>
        <v/>
      </c>
      <c r="ET195" s="139" t="str">
        <f t="shared" si="256"/>
        <v/>
      </c>
      <c r="EU195" s="139" t="str">
        <f t="shared" si="257"/>
        <v/>
      </c>
      <c r="EV195" s="139" t="str">
        <f t="shared" si="258"/>
        <v/>
      </c>
      <c r="EW195" s="139" t="str">
        <f t="shared" si="259"/>
        <v/>
      </c>
      <c r="EX195" s="139" t="str">
        <f t="shared" si="260"/>
        <v/>
      </c>
      <c r="EY195" s="139" t="str">
        <f t="shared" si="261"/>
        <v/>
      </c>
      <c r="EZ195" s="139" t="str">
        <f t="shared" si="262"/>
        <v/>
      </c>
      <c r="FA195" s="139" t="str">
        <f t="shared" si="263"/>
        <v/>
      </c>
      <c r="FB195" s="139" t="str">
        <f t="shared" si="264"/>
        <v/>
      </c>
      <c r="FC195" s="139" t="str">
        <f t="shared" si="265"/>
        <v/>
      </c>
      <c r="FD195" s="139" t="str">
        <f t="shared" si="266"/>
        <v/>
      </c>
      <c r="FE195" s="139" t="str">
        <f t="shared" si="267"/>
        <v/>
      </c>
      <c r="FF195" s="139" t="str">
        <f t="shared" si="268"/>
        <v/>
      </c>
      <c r="FG195" s="139" t="str">
        <f t="shared" si="269"/>
        <v/>
      </c>
      <c r="FH195" s="139" t="str">
        <f t="shared" si="270"/>
        <v/>
      </c>
      <c r="FI195" s="139" t="str">
        <f t="shared" si="271"/>
        <v/>
      </c>
      <c r="FJ195" s="139" t="str">
        <f t="shared" si="272"/>
        <v/>
      </c>
      <c r="FK195" s="139" t="str">
        <f t="shared" si="273"/>
        <v/>
      </c>
      <c r="FL195" s="139" t="str">
        <f t="shared" si="274"/>
        <v/>
      </c>
      <c r="FM195" s="139" t="str">
        <f t="shared" si="275"/>
        <v/>
      </c>
      <c r="FN195" s="139" t="str">
        <f t="shared" si="276"/>
        <v/>
      </c>
      <c r="FO195" s="139" t="str">
        <f t="shared" si="277"/>
        <v/>
      </c>
      <c r="FP195" s="139" t="str">
        <f t="shared" si="278"/>
        <v/>
      </c>
      <c r="FQ195" s="139" t="str">
        <f t="shared" si="279"/>
        <v/>
      </c>
      <c r="FR195" s="139" t="str">
        <f t="shared" si="280"/>
        <v/>
      </c>
      <c r="FS195" s="139" t="str">
        <f t="shared" si="281"/>
        <v/>
      </c>
      <c r="FT195" s="139" t="str">
        <f t="shared" si="282"/>
        <v/>
      </c>
      <c r="FU195" s="148" t="str">
        <f t="shared" si="283"/>
        <v/>
      </c>
      <c r="FV195" s="149"/>
      <c r="FY195" s="211">
        <v>190</v>
      </c>
      <c r="FZ195">
        <v>12.921291819562574</v>
      </c>
      <c r="GA195">
        <v>9.1807223797288486</v>
      </c>
      <c r="GB195">
        <v>5.5621386009602514</v>
      </c>
      <c r="GC195">
        <v>3.7474340660599053</v>
      </c>
      <c r="GD195">
        <v>2.1749336357494151</v>
      </c>
      <c r="GE195">
        <v>3.1013477411911281</v>
      </c>
      <c r="GF195">
        <v>0.53719420963541664</v>
      </c>
      <c r="GG195">
        <v>0.46773940755208332</v>
      </c>
      <c r="GH195">
        <v>2.5881283241133546</v>
      </c>
      <c r="GI195">
        <v>5.0363453952865935</v>
      </c>
      <c r="GJ195"/>
      <c r="GK195">
        <v>12.981916341226414</v>
      </c>
      <c r="GL195">
        <v>7.7802568636818537</v>
      </c>
      <c r="GM195">
        <v>9.2911329137707366</v>
      </c>
      <c r="GN195">
        <v>11.281812410109669</v>
      </c>
      <c r="GO195">
        <v>8.4415911071486445</v>
      </c>
      <c r="GP195">
        <v>5.9375337740804577</v>
      </c>
      <c r="GQ195">
        <v>0.65827546296296291</v>
      </c>
      <c r="GR195">
        <v>0.65827546296296291</v>
      </c>
      <c r="GS195">
        <v>2.7595135634793739</v>
      </c>
      <c r="GT195">
        <v>6.8264858777176274</v>
      </c>
      <c r="GU195"/>
      <c r="GV195"/>
      <c r="GW195"/>
      <c r="GX195"/>
      <c r="GY195"/>
      <c r="GZ195"/>
      <c r="HA195"/>
      <c r="HB195"/>
      <c r="HC195"/>
    </row>
    <row r="196" spans="1:211" s="7" customFormat="1">
      <c r="A196" s="1"/>
      <c r="B196" s="76" t="str">
        <f t="shared" ca="1" si="250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54.040306786739052</v>
      </c>
      <c r="AO196">
        <v>6.5978860997200499</v>
      </c>
      <c r="AP196">
        <v>64.622687051951218</v>
      </c>
      <c r="AQ196">
        <v>48.638632975307182</v>
      </c>
      <c r="AR196">
        <v>7.0359944733628854</v>
      </c>
      <c r="AS196">
        <v>43.461320554704386</v>
      </c>
      <c r="AT196" t="e">
        <v>#DIV/0!</v>
      </c>
      <c r="AU196" t="e">
        <v>#DIV/0!</v>
      </c>
      <c r="AV196"/>
      <c r="AW196"/>
      <c r="AX196" s="146"/>
      <c r="AY196" s="76" t="str">
        <f t="shared" ca="1" si="173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8"/>
        <v/>
      </c>
      <c r="CL196" s="179" t="str">
        <f t="shared" si="209"/>
        <v/>
      </c>
      <c r="CM196" s="180" t="str">
        <f t="shared" si="210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1"/>
        <v/>
      </c>
      <c r="DB196" s="146"/>
      <c r="DC196" s="76" t="str">
        <f t="shared" ca="1" si="174"/>
        <v/>
      </c>
      <c r="DD196" t="str">
        <f t="shared" si="212"/>
        <v/>
      </c>
      <c r="DE196" s="129" t="str">
        <f t="shared" si="284"/>
        <v/>
      </c>
      <c r="DF196" s="161" t="str">
        <f t="shared" si="285"/>
        <v/>
      </c>
      <c r="DG196" s="161" t="str">
        <f t="shared" si="286"/>
        <v/>
      </c>
      <c r="DH196" s="161" t="str">
        <f t="shared" si="287"/>
        <v/>
      </c>
      <c r="DI196" s="161" t="str">
        <f t="shared" si="288"/>
        <v/>
      </c>
      <c r="DJ196" s="161" t="str">
        <f t="shared" si="289"/>
        <v/>
      </c>
      <c r="DK196" s="161" t="str">
        <f t="shared" si="290"/>
        <v/>
      </c>
      <c r="DL196" s="161" t="str">
        <f t="shared" si="291"/>
        <v/>
      </c>
      <c r="DM196" s="161" t="str">
        <f t="shared" si="292"/>
        <v/>
      </c>
      <c r="DN196" s="161" t="str">
        <f t="shared" si="315"/>
        <v/>
      </c>
      <c r="DO196" s="161" t="str">
        <f t="shared" si="316"/>
        <v/>
      </c>
      <c r="DP196" s="161" t="str">
        <f t="shared" si="317"/>
        <v/>
      </c>
      <c r="DQ196" s="161" t="str">
        <f t="shared" si="318"/>
        <v/>
      </c>
      <c r="DR196" s="161" t="str">
        <f t="shared" si="319"/>
        <v/>
      </c>
      <c r="DS196" s="161" t="str">
        <f t="shared" si="320"/>
        <v/>
      </c>
      <c r="DT196" s="161" t="str">
        <f t="shared" si="321"/>
        <v/>
      </c>
      <c r="DU196" s="161" t="str">
        <f t="shared" si="322"/>
        <v/>
      </c>
      <c r="DV196" s="161" t="str">
        <f t="shared" si="323"/>
        <v/>
      </c>
      <c r="DW196" s="161" t="str">
        <f t="shared" si="324"/>
        <v/>
      </c>
      <c r="DX196" s="161" t="str">
        <f t="shared" si="325"/>
        <v/>
      </c>
      <c r="DY196" s="161" t="str">
        <f t="shared" si="326"/>
        <v/>
      </c>
      <c r="DZ196" s="161" t="str">
        <f t="shared" si="327"/>
        <v/>
      </c>
      <c r="EA196" s="161" t="str">
        <f t="shared" si="328"/>
        <v/>
      </c>
      <c r="EB196" s="161" t="str">
        <f t="shared" si="329"/>
        <v/>
      </c>
      <c r="EC196" s="161" t="str">
        <f t="shared" si="330"/>
        <v/>
      </c>
      <c r="ED196" s="161" t="str">
        <f t="shared" si="331"/>
        <v/>
      </c>
      <c r="EE196" s="161" t="str">
        <f t="shared" si="332"/>
        <v/>
      </c>
      <c r="EF196" s="161" t="str">
        <f t="shared" si="333"/>
        <v/>
      </c>
      <c r="EG196" s="161" t="str">
        <f t="shared" si="334"/>
        <v/>
      </c>
      <c r="EH196" s="161" t="str">
        <f t="shared" si="335"/>
        <v/>
      </c>
      <c r="EI196" s="161" t="str">
        <f t="shared" si="336"/>
        <v/>
      </c>
      <c r="EJ196" s="161" t="str">
        <f t="shared" si="337"/>
        <v/>
      </c>
      <c r="EK196" s="147" t="str">
        <f t="shared" si="251"/>
        <v/>
      </c>
      <c r="EL196" s="149"/>
      <c r="EN196" s="146"/>
      <c r="EO196" s="146"/>
      <c r="EP196" s="139" t="str">
        <f t="shared" si="252"/>
        <v/>
      </c>
      <c r="EQ196" s="139" t="str">
        <f t="shared" si="253"/>
        <v/>
      </c>
      <c r="ER196" s="139" t="str">
        <f t="shared" si="254"/>
        <v/>
      </c>
      <c r="ES196" s="139" t="str">
        <f t="shared" si="255"/>
        <v/>
      </c>
      <c r="ET196" s="139" t="str">
        <f t="shared" si="256"/>
        <v/>
      </c>
      <c r="EU196" s="139" t="str">
        <f t="shared" si="257"/>
        <v/>
      </c>
      <c r="EV196" s="139" t="str">
        <f t="shared" si="258"/>
        <v/>
      </c>
      <c r="EW196" s="139" t="str">
        <f t="shared" si="259"/>
        <v/>
      </c>
      <c r="EX196" s="139" t="str">
        <f t="shared" si="260"/>
        <v/>
      </c>
      <c r="EY196" s="139" t="str">
        <f t="shared" si="261"/>
        <v/>
      </c>
      <c r="EZ196" s="139" t="str">
        <f t="shared" si="262"/>
        <v/>
      </c>
      <c r="FA196" s="139" t="str">
        <f t="shared" si="263"/>
        <v/>
      </c>
      <c r="FB196" s="139" t="str">
        <f t="shared" si="264"/>
        <v/>
      </c>
      <c r="FC196" s="139" t="str">
        <f t="shared" si="265"/>
        <v/>
      </c>
      <c r="FD196" s="139" t="str">
        <f t="shared" si="266"/>
        <v/>
      </c>
      <c r="FE196" s="139" t="str">
        <f t="shared" si="267"/>
        <v/>
      </c>
      <c r="FF196" s="139" t="str">
        <f t="shared" si="268"/>
        <v/>
      </c>
      <c r="FG196" s="139" t="str">
        <f t="shared" si="269"/>
        <v/>
      </c>
      <c r="FH196" s="139" t="str">
        <f t="shared" si="270"/>
        <v/>
      </c>
      <c r="FI196" s="139" t="str">
        <f t="shared" si="271"/>
        <v/>
      </c>
      <c r="FJ196" s="139" t="str">
        <f t="shared" si="272"/>
        <v/>
      </c>
      <c r="FK196" s="139" t="str">
        <f t="shared" si="273"/>
        <v/>
      </c>
      <c r="FL196" s="139" t="str">
        <f t="shared" si="274"/>
        <v/>
      </c>
      <c r="FM196" s="139" t="str">
        <f t="shared" si="275"/>
        <v/>
      </c>
      <c r="FN196" s="139" t="str">
        <f t="shared" si="276"/>
        <v/>
      </c>
      <c r="FO196" s="139" t="str">
        <f t="shared" si="277"/>
        <v/>
      </c>
      <c r="FP196" s="139" t="str">
        <f t="shared" si="278"/>
        <v/>
      </c>
      <c r="FQ196" s="139" t="str">
        <f t="shared" si="279"/>
        <v/>
      </c>
      <c r="FR196" s="139" t="str">
        <f t="shared" si="280"/>
        <v/>
      </c>
      <c r="FS196" s="139" t="str">
        <f t="shared" si="281"/>
        <v/>
      </c>
      <c r="FT196" s="139" t="str">
        <f t="shared" si="282"/>
        <v/>
      </c>
      <c r="FU196" s="148" t="str">
        <f t="shared" si="283"/>
        <v/>
      </c>
      <c r="FV196" s="149"/>
      <c r="FY196" s="211">
        <v>191</v>
      </c>
      <c r="FZ196">
        <v>13.037677156841051</v>
      </c>
      <c r="GA196">
        <v>10.943574180137626</v>
      </c>
      <c r="GB196">
        <v>5.3969266916879617</v>
      </c>
      <c r="GC196">
        <v>3.3521631796226723</v>
      </c>
      <c r="GD196">
        <v>2.1531055322948514</v>
      </c>
      <c r="GE196">
        <v>3.3596567798338879</v>
      </c>
      <c r="GF196">
        <v>1.333558936012982</v>
      </c>
      <c r="GG196">
        <v>1.8128276523841229</v>
      </c>
      <c r="GH196">
        <v>6.3396661774800434</v>
      </c>
      <c r="GI196">
        <v>5.7366989758059272</v>
      </c>
      <c r="GJ196"/>
      <c r="GK196">
        <v>13.075261662736255</v>
      </c>
      <c r="GL196">
        <v>9.2728290163164875</v>
      </c>
      <c r="GM196">
        <v>9.0177643283397479</v>
      </c>
      <c r="GN196">
        <v>10.098279842805727</v>
      </c>
      <c r="GO196">
        <v>8.3482125553709885</v>
      </c>
      <c r="GP196">
        <v>6.4320667220376535</v>
      </c>
      <c r="GQ196">
        <v>1.6318223607323339</v>
      </c>
      <c r="GR196">
        <v>2.5496464348064078</v>
      </c>
      <c r="GS196">
        <v>6.7600533253700359</v>
      </c>
      <c r="GT196">
        <v>7.7666228465098719</v>
      </c>
      <c r="GU196"/>
      <c r="GV196"/>
      <c r="GW196"/>
      <c r="GX196"/>
      <c r="GY196"/>
      <c r="GZ196"/>
      <c r="HA196"/>
      <c r="HB196"/>
      <c r="HC196"/>
    </row>
    <row r="197" spans="1:211" s="7" customFormat="1">
      <c r="A197" s="1"/>
      <c r="B197" s="76" t="str">
        <f t="shared" ca="1" si="250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56.068638952886261</v>
      </c>
      <c r="AO197">
        <v>6.6369656742111305</v>
      </c>
      <c r="AP197">
        <v>51.061000053834093</v>
      </c>
      <c r="AQ197">
        <v>46.997290615089341</v>
      </c>
      <c r="AR197">
        <v>7.1403925622798781</v>
      </c>
      <c r="AS197">
        <v>46.039503415820235</v>
      </c>
      <c r="AT197" t="e">
        <v>#DIV/0!</v>
      </c>
      <c r="AU197" t="e">
        <v>#DIV/0!</v>
      </c>
      <c r="AV197"/>
      <c r="AW197"/>
      <c r="AX197" s="146"/>
      <c r="AY197" s="76" t="str">
        <f t="shared" ca="1" si="173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8"/>
        <v/>
      </c>
      <c r="CL197" s="179" t="str">
        <f t="shared" si="209"/>
        <v/>
      </c>
      <c r="CM197" s="180" t="str">
        <f t="shared" si="210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1"/>
        <v/>
      </c>
      <c r="DB197" s="146"/>
      <c r="DC197" s="76" t="str">
        <f t="shared" ca="1" si="174"/>
        <v/>
      </c>
      <c r="DD197" t="str">
        <f t="shared" si="212"/>
        <v/>
      </c>
      <c r="DE197" s="129" t="str">
        <f t="shared" si="284"/>
        <v/>
      </c>
      <c r="DF197" s="161" t="str">
        <f t="shared" si="285"/>
        <v/>
      </c>
      <c r="DG197" s="161" t="str">
        <f t="shared" si="286"/>
        <v/>
      </c>
      <c r="DH197" s="161" t="str">
        <f t="shared" si="287"/>
        <v/>
      </c>
      <c r="DI197" s="161" t="str">
        <f t="shared" si="288"/>
        <v/>
      </c>
      <c r="DJ197" s="161" t="str">
        <f t="shared" si="289"/>
        <v/>
      </c>
      <c r="DK197" s="161" t="str">
        <f t="shared" si="290"/>
        <v/>
      </c>
      <c r="DL197" s="161" t="str">
        <f t="shared" si="291"/>
        <v/>
      </c>
      <c r="DM197" s="161" t="str">
        <f t="shared" si="292"/>
        <v/>
      </c>
      <c r="DN197" s="161" t="str">
        <f t="shared" si="315"/>
        <v/>
      </c>
      <c r="DO197" s="161" t="str">
        <f t="shared" si="316"/>
        <v/>
      </c>
      <c r="DP197" s="161" t="str">
        <f t="shared" si="317"/>
        <v/>
      </c>
      <c r="DQ197" s="161" t="str">
        <f t="shared" si="318"/>
        <v/>
      </c>
      <c r="DR197" s="161" t="str">
        <f t="shared" si="319"/>
        <v/>
      </c>
      <c r="DS197" s="161" t="str">
        <f t="shared" si="320"/>
        <v/>
      </c>
      <c r="DT197" s="161" t="str">
        <f t="shared" si="321"/>
        <v/>
      </c>
      <c r="DU197" s="161" t="str">
        <f t="shared" si="322"/>
        <v/>
      </c>
      <c r="DV197" s="161" t="str">
        <f t="shared" si="323"/>
        <v/>
      </c>
      <c r="DW197" s="161" t="str">
        <f t="shared" si="324"/>
        <v/>
      </c>
      <c r="DX197" s="161" t="str">
        <f t="shared" si="325"/>
        <v/>
      </c>
      <c r="DY197" s="161" t="str">
        <f t="shared" si="326"/>
        <v/>
      </c>
      <c r="DZ197" s="161" t="str">
        <f t="shared" si="327"/>
        <v/>
      </c>
      <c r="EA197" s="161" t="str">
        <f t="shared" si="328"/>
        <v/>
      </c>
      <c r="EB197" s="161" t="str">
        <f t="shared" si="329"/>
        <v/>
      </c>
      <c r="EC197" s="161" t="str">
        <f t="shared" si="330"/>
        <v/>
      </c>
      <c r="ED197" s="161" t="str">
        <f t="shared" si="331"/>
        <v/>
      </c>
      <c r="EE197" s="161" t="str">
        <f t="shared" si="332"/>
        <v/>
      </c>
      <c r="EF197" s="161" t="str">
        <f t="shared" si="333"/>
        <v/>
      </c>
      <c r="EG197" s="161" t="str">
        <f t="shared" si="334"/>
        <v/>
      </c>
      <c r="EH197" s="161" t="str">
        <f t="shared" si="335"/>
        <v/>
      </c>
      <c r="EI197" s="161" t="str">
        <f t="shared" si="336"/>
        <v/>
      </c>
      <c r="EJ197" s="161" t="str">
        <f t="shared" si="337"/>
        <v/>
      </c>
      <c r="EK197" s="147" t="str">
        <f t="shared" si="251"/>
        <v/>
      </c>
      <c r="EL197" s="149"/>
      <c r="EN197" s="146"/>
      <c r="EO197" s="146"/>
      <c r="EP197" s="139" t="str">
        <f t="shared" si="252"/>
        <v/>
      </c>
      <c r="EQ197" s="139" t="str">
        <f t="shared" si="253"/>
        <v/>
      </c>
      <c r="ER197" s="139" t="str">
        <f t="shared" si="254"/>
        <v/>
      </c>
      <c r="ES197" s="139" t="str">
        <f t="shared" si="255"/>
        <v/>
      </c>
      <c r="ET197" s="139" t="str">
        <f t="shared" si="256"/>
        <v/>
      </c>
      <c r="EU197" s="139" t="str">
        <f t="shared" si="257"/>
        <v/>
      </c>
      <c r="EV197" s="139" t="str">
        <f t="shared" si="258"/>
        <v/>
      </c>
      <c r="EW197" s="139" t="str">
        <f t="shared" si="259"/>
        <v/>
      </c>
      <c r="EX197" s="139" t="str">
        <f t="shared" si="260"/>
        <v/>
      </c>
      <c r="EY197" s="139" t="str">
        <f t="shared" si="261"/>
        <v/>
      </c>
      <c r="EZ197" s="139" t="str">
        <f t="shared" si="262"/>
        <v/>
      </c>
      <c r="FA197" s="139" t="str">
        <f t="shared" si="263"/>
        <v/>
      </c>
      <c r="FB197" s="139" t="str">
        <f t="shared" si="264"/>
        <v/>
      </c>
      <c r="FC197" s="139" t="str">
        <f t="shared" si="265"/>
        <v/>
      </c>
      <c r="FD197" s="139" t="str">
        <f t="shared" si="266"/>
        <v/>
      </c>
      <c r="FE197" s="139" t="str">
        <f t="shared" si="267"/>
        <v/>
      </c>
      <c r="FF197" s="139" t="str">
        <f t="shared" si="268"/>
        <v/>
      </c>
      <c r="FG197" s="139" t="str">
        <f t="shared" si="269"/>
        <v/>
      </c>
      <c r="FH197" s="139" t="str">
        <f t="shared" si="270"/>
        <v/>
      </c>
      <c r="FI197" s="139" t="str">
        <f t="shared" si="271"/>
        <v/>
      </c>
      <c r="FJ197" s="139" t="str">
        <f t="shared" si="272"/>
        <v/>
      </c>
      <c r="FK197" s="139" t="str">
        <f t="shared" si="273"/>
        <v/>
      </c>
      <c r="FL197" s="139" t="str">
        <f t="shared" si="274"/>
        <v/>
      </c>
      <c r="FM197" s="139" t="str">
        <f t="shared" si="275"/>
        <v/>
      </c>
      <c r="FN197" s="139" t="str">
        <f t="shared" si="276"/>
        <v/>
      </c>
      <c r="FO197" s="139" t="str">
        <f t="shared" si="277"/>
        <v/>
      </c>
      <c r="FP197" s="139" t="str">
        <f t="shared" si="278"/>
        <v/>
      </c>
      <c r="FQ197" s="139" t="str">
        <f t="shared" si="279"/>
        <v/>
      </c>
      <c r="FR197" s="139" t="str">
        <f t="shared" si="280"/>
        <v/>
      </c>
      <c r="FS197" s="139" t="str">
        <f t="shared" si="281"/>
        <v/>
      </c>
      <c r="FT197" s="139" t="str">
        <f t="shared" si="282"/>
        <v/>
      </c>
      <c r="FU197" s="148" t="str">
        <f t="shared" si="283"/>
        <v/>
      </c>
      <c r="FV197" s="149"/>
      <c r="FY197" s="211">
        <v>192</v>
      </c>
      <c r="FZ197">
        <v>7.0549038342912294</v>
      </c>
      <c r="GA197">
        <v>8.2397886232888951</v>
      </c>
      <c r="GB197">
        <v>5.6770435651762803</v>
      </c>
      <c r="GC197">
        <v>1.9545360611288236</v>
      </c>
      <c r="GD197">
        <v>1.4776726637832731</v>
      </c>
      <c r="GE197">
        <v>2.2869259132225914</v>
      </c>
      <c r="GF197">
        <v>2.5635668455781992</v>
      </c>
      <c r="GG197">
        <v>2.5096141089511512</v>
      </c>
      <c r="GH197">
        <v>5.4203909019941241</v>
      </c>
      <c r="GI197">
        <v>4.6048892480775443</v>
      </c>
      <c r="GJ197"/>
      <c r="GK197">
        <v>7.0917400486667237</v>
      </c>
      <c r="GL197">
        <v>6.9801566451691084</v>
      </c>
      <c r="GM197">
        <v>9.3991030053802795</v>
      </c>
      <c r="GN197">
        <v>5.8224648354497033</v>
      </c>
      <c r="GO197">
        <v>5.7381087588710677</v>
      </c>
      <c r="GP197">
        <v>4.3783222591362128</v>
      </c>
      <c r="GQ197">
        <v>3.1390687375439281</v>
      </c>
      <c r="GR197">
        <v>3.5302724412476314</v>
      </c>
      <c r="GS197">
        <v>5.77882856271615</v>
      </c>
      <c r="GT197">
        <v>6.22936982263563</v>
      </c>
      <c r="GU197"/>
      <c r="GV197"/>
      <c r="GW197"/>
      <c r="GX197"/>
      <c r="GY197"/>
      <c r="GZ197"/>
      <c r="HA197"/>
      <c r="HB197"/>
      <c r="HC197"/>
    </row>
    <row r="198" spans="1:211" s="7" customFormat="1">
      <c r="A198" s="128"/>
      <c r="B198" s="76" t="str">
        <f t="shared" ca="1" si="250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51.245990638851481</v>
      </c>
      <c r="AO198">
        <v>6.1653387969579478</v>
      </c>
      <c r="AP198">
        <v>3.8042756183262472</v>
      </c>
      <c r="AQ198">
        <v>44.157744802941458</v>
      </c>
      <c r="AR198">
        <v>6.6706674755388056</v>
      </c>
      <c r="AS198">
        <v>39.469528564403923</v>
      </c>
      <c r="AT198">
        <v>5.2968665668605937</v>
      </c>
      <c r="AU198">
        <v>5.6638341155302845</v>
      </c>
      <c r="AV198"/>
      <c r="AW198"/>
      <c r="AX198" s="128"/>
      <c r="AY198" s="76" t="str">
        <f t="shared" ca="1" si="173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8"/>
        <v/>
      </c>
      <c r="CL198" s="179" t="str">
        <f t="shared" si="209"/>
        <v/>
      </c>
      <c r="CM198" s="180" t="str">
        <f t="shared" si="210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1"/>
        <v/>
      </c>
      <c r="DB198" s="128"/>
      <c r="DC198" s="76" t="str">
        <f t="shared" ca="1" si="174"/>
        <v/>
      </c>
      <c r="DD198" t="str">
        <f t="shared" si="212"/>
        <v/>
      </c>
      <c r="DE198" s="129" t="str">
        <f t="shared" ref="DE198:DE207" si="338">IF((DD198)="", "", $C$15)</f>
        <v/>
      </c>
      <c r="DF198" s="161" t="str">
        <f t="shared" si="285"/>
        <v/>
      </c>
      <c r="DG198" s="161" t="str">
        <f t="shared" si="286"/>
        <v/>
      </c>
      <c r="DH198" s="161" t="str">
        <f t="shared" si="287"/>
        <v/>
      </c>
      <c r="DI198" s="161" t="str">
        <f t="shared" si="288"/>
        <v/>
      </c>
      <c r="DJ198" s="161" t="str">
        <f t="shared" si="289"/>
        <v/>
      </c>
      <c r="DK198" s="161" t="str">
        <f t="shared" si="290"/>
        <v/>
      </c>
      <c r="DL198" s="161" t="str">
        <f t="shared" si="291"/>
        <v/>
      </c>
      <c r="DM198" s="161" t="str">
        <f t="shared" si="292"/>
        <v/>
      </c>
      <c r="DN198" s="161" t="str">
        <f t="shared" si="315"/>
        <v/>
      </c>
      <c r="DO198" s="161" t="str">
        <f t="shared" si="316"/>
        <v/>
      </c>
      <c r="DP198" s="161" t="str">
        <f t="shared" si="317"/>
        <v/>
      </c>
      <c r="DQ198" s="161" t="str">
        <f t="shared" si="318"/>
        <v/>
      </c>
      <c r="DR198" s="161" t="str">
        <f t="shared" si="319"/>
        <v/>
      </c>
      <c r="DS198" s="161" t="str">
        <f t="shared" si="320"/>
        <v/>
      </c>
      <c r="DT198" s="161" t="str">
        <f t="shared" si="321"/>
        <v/>
      </c>
      <c r="DU198" s="161" t="str">
        <f t="shared" si="322"/>
        <v/>
      </c>
      <c r="DV198" s="161" t="str">
        <f t="shared" si="323"/>
        <v/>
      </c>
      <c r="DW198" s="161" t="str">
        <f t="shared" si="324"/>
        <v/>
      </c>
      <c r="DX198" s="161" t="str">
        <f t="shared" si="325"/>
        <v/>
      </c>
      <c r="DY198" s="161" t="str">
        <f t="shared" si="326"/>
        <v/>
      </c>
      <c r="DZ198" s="161" t="str">
        <f t="shared" si="327"/>
        <v/>
      </c>
      <c r="EA198" s="161" t="str">
        <f t="shared" si="328"/>
        <v/>
      </c>
      <c r="EB198" s="161" t="str">
        <f t="shared" si="329"/>
        <v/>
      </c>
      <c r="EC198" s="161" t="str">
        <f t="shared" si="330"/>
        <v/>
      </c>
      <c r="ED198" s="161" t="str">
        <f t="shared" si="331"/>
        <v/>
      </c>
      <c r="EE198" s="161" t="str">
        <f t="shared" si="332"/>
        <v/>
      </c>
      <c r="EF198" s="161" t="str">
        <f t="shared" si="333"/>
        <v/>
      </c>
      <c r="EG198" s="161" t="str">
        <f t="shared" si="334"/>
        <v/>
      </c>
      <c r="EH198" s="161" t="str">
        <f t="shared" si="335"/>
        <v/>
      </c>
      <c r="EI198" s="161" t="str">
        <f t="shared" si="336"/>
        <v/>
      </c>
      <c r="EJ198" s="161" t="str">
        <f t="shared" si="337"/>
        <v/>
      </c>
      <c r="EK198" s="147" t="str">
        <f t="shared" si="251"/>
        <v/>
      </c>
      <c r="EL198" s="149"/>
      <c r="EN198" s="146"/>
      <c r="EO198" s="146"/>
      <c r="EP198" s="139" t="str">
        <f t="shared" si="252"/>
        <v/>
      </c>
      <c r="EQ198" s="139" t="str">
        <f t="shared" si="253"/>
        <v/>
      </c>
      <c r="ER198" s="139" t="str">
        <f t="shared" si="254"/>
        <v/>
      </c>
      <c r="ES198" s="139" t="str">
        <f t="shared" si="255"/>
        <v/>
      </c>
      <c r="ET198" s="139" t="str">
        <f t="shared" si="256"/>
        <v/>
      </c>
      <c r="EU198" s="139" t="str">
        <f t="shared" si="257"/>
        <v/>
      </c>
      <c r="EV198" s="139" t="str">
        <f t="shared" si="258"/>
        <v/>
      </c>
      <c r="EW198" s="139" t="str">
        <f t="shared" si="259"/>
        <v/>
      </c>
      <c r="EX198" s="139" t="str">
        <f t="shared" si="260"/>
        <v/>
      </c>
      <c r="EY198" s="139" t="str">
        <f t="shared" si="261"/>
        <v/>
      </c>
      <c r="EZ198" s="139" t="str">
        <f t="shared" si="262"/>
        <v/>
      </c>
      <c r="FA198" s="139" t="str">
        <f t="shared" si="263"/>
        <v/>
      </c>
      <c r="FB198" s="139" t="str">
        <f t="shared" si="264"/>
        <v/>
      </c>
      <c r="FC198" s="139" t="str">
        <f t="shared" si="265"/>
        <v/>
      </c>
      <c r="FD198" s="139" t="str">
        <f t="shared" si="266"/>
        <v/>
      </c>
      <c r="FE198" s="139" t="str">
        <f t="shared" si="267"/>
        <v/>
      </c>
      <c r="FF198" s="139" t="str">
        <f t="shared" si="268"/>
        <v/>
      </c>
      <c r="FG198" s="139" t="str">
        <f t="shared" si="269"/>
        <v/>
      </c>
      <c r="FH198" s="139" t="str">
        <f t="shared" si="270"/>
        <v/>
      </c>
      <c r="FI198" s="139" t="str">
        <f t="shared" si="271"/>
        <v/>
      </c>
      <c r="FJ198" s="139" t="str">
        <f t="shared" si="272"/>
        <v/>
      </c>
      <c r="FK198" s="139" t="str">
        <f t="shared" si="273"/>
        <v/>
      </c>
      <c r="FL198" s="139" t="str">
        <f t="shared" si="274"/>
        <v/>
      </c>
      <c r="FM198" s="139" t="str">
        <f t="shared" si="275"/>
        <v/>
      </c>
      <c r="FN198" s="139" t="str">
        <f t="shared" si="276"/>
        <v/>
      </c>
      <c r="FO198" s="139" t="str">
        <f t="shared" si="277"/>
        <v/>
      </c>
      <c r="FP198" s="139" t="str">
        <f t="shared" si="278"/>
        <v/>
      </c>
      <c r="FQ198" s="139" t="str">
        <f t="shared" si="279"/>
        <v/>
      </c>
      <c r="FR198" s="139" t="str">
        <f t="shared" si="280"/>
        <v/>
      </c>
      <c r="FS198" s="139" t="str">
        <f t="shared" si="281"/>
        <v/>
      </c>
      <c r="FT198" s="139" t="str">
        <f t="shared" si="282"/>
        <v/>
      </c>
      <c r="FU198" s="148" t="str">
        <f t="shared" si="283"/>
        <v/>
      </c>
      <c r="FV198" s="149"/>
      <c r="FY198" s="211">
        <v>193</v>
      </c>
      <c r="FZ198">
        <v>14.868440572961628</v>
      </c>
      <c r="GA198">
        <v>14.816901237639945</v>
      </c>
      <c r="GB198">
        <v>6.7355589854108793</v>
      </c>
      <c r="GC198">
        <v>2.6994544164146275</v>
      </c>
      <c r="GD198">
        <v>1.8140197861734562</v>
      </c>
      <c r="GE198">
        <v>2.5623974142309947</v>
      </c>
      <c r="GF198">
        <v>2.4530583224531992</v>
      </c>
      <c r="GG198">
        <v>2.1354225829094848</v>
      </c>
      <c r="GH198">
        <v>4.1007524249999996</v>
      </c>
      <c r="GI198">
        <v>5.9915980447046895</v>
      </c>
      <c r="GJ198"/>
      <c r="GK198">
        <v>14.929723800223409</v>
      </c>
      <c r="GL198">
        <v>12.554949613628093</v>
      </c>
      <c r="GM198">
        <v>11.232723473799485</v>
      </c>
      <c r="GN198">
        <v>8.1634647267762386</v>
      </c>
      <c r="GO198">
        <v>7.0437120167669356</v>
      </c>
      <c r="GP198">
        <v>4.9057127607914204</v>
      </c>
      <c r="GQ198">
        <v>3.0036520708772612</v>
      </c>
      <c r="GR198">
        <v>3.0036520708772612</v>
      </c>
      <c r="GS198">
        <v>4.375</v>
      </c>
      <c r="GT198">
        <v>8.1169622723334207</v>
      </c>
      <c r="GU198"/>
      <c r="GV198"/>
      <c r="GW198"/>
      <c r="GX198"/>
      <c r="GY198"/>
      <c r="GZ198"/>
      <c r="HA198"/>
      <c r="HB198"/>
      <c r="HC198"/>
    </row>
    <row r="199" spans="1:211" s="7" customFormat="1">
      <c r="A199" s="1"/>
      <c r="B199" s="76" t="str">
        <f t="shared" ca="1" si="250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61.531874644806237</v>
      </c>
      <c r="AO199">
        <v>7.1661022416475095</v>
      </c>
      <c r="AP199">
        <v>69.589450676796901</v>
      </c>
      <c r="AQ199">
        <v>50.513527523650424</v>
      </c>
      <c r="AR199">
        <v>7.4324064782121617</v>
      </c>
      <c r="AS199">
        <v>49.043853550110605</v>
      </c>
      <c r="AT199" t="e">
        <v>#DIV/0!</v>
      </c>
      <c r="AU199" t="e">
        <v>#DIV/0!</v>
      </c>
      <c r="AV199"/>
      <c r="AW199"/>
      <c r="AX199" s="146"/>
      <c r="AY199" s="76" t="str">
        <f t="shared" ca="1" si="173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8"/>
        <v/>
      </c>
      <c r="CL199" s="179" t="str">
        <f t="shared" si="209"/>
        <v/>
      </c>
      <c r="CM199" s="180" t="str">
        <f t="shared" si="210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1"/>
        <v/>
      </c>
      <c r="DB199" s="146"/>
      <c r="DC199" s="76" t="str">
        <f t="shared" ca="1" si="174"/>
        <v/>
      </c>
      <c r="DD199" t="str">
        <f t="shared" si="212"/>
        <v/>
      </c>
      <c r="DE199" s="129" t="str">
        <f t="shared" si="338"/>
        <v/>
      </c>
      <c r="DF199" s="161" t="str">
        <f t="shared" si="285"/>
        <v/>
      </c>
      <c r="DG199" s="161" t="str">
        <f t="shared" si="286"/>
        <v/>
      </c>
      <c r="DH199" s="161" t="str">
        <f t="shared" si="287"/>
        <v/>
      </c>
      <c r="DI199" s="161" t="str">
        <f t="shared" si="288"/>
        <v/>
      </c>
      <c r="DJ199" s="161" t="str">
        <f t="shared" si="289"/>
        <v/>
      </c>
      <c r="DK199" s="161" t="str">
        <f t="shared" si="290"/>
        <v/>
      </c>
      <c r="DL199" s="161" t="str">
        <f t="shared" si="291"/>
        <v/>
      </c>
      <c r="DM199" s="161" t="str">
        <f t="shared" si="292"/>
        <v/>
      </c>
      <c r="DN199" s="161" t="str">
        <f t="shared" si="315"/>
        <v/>
      </c>
      <c r="DO199" s="161" t="str">
        <f t="shared" si="316"/>
        <v/>
      </c>
      <c r="DP199" s="161" t="str">
        <f t="shared" si="317"/>
        <v/>
      </c>
      <c r="DQ199" s="161" t="str">
        <f t="shared" si="318"/>
        <v/>
      </c>
      <c r="DR199" s="161" t="str">
        <f t="shared" si="319"/>
        <v/>
      </c>
      <c r="DS199" s="161" t="str">
        <f t="shared" si="320"/>
        <v/>
      </c>
      <c r="DT199" s="161" t="str">
        <f t="shared" si="321"/>
        <v/>
      </c>
      <c r="DU199" s="161" t="str">
        <f t="shared" si="322"/>
        <v/>
      </c>
      <c r="DV199" s="161" t="str">
        <f t="shared" si="323"/>
        <v/>
      </c>
      <c r="DW199" s="161" t="str">
        <f t="shared" si="324"/>
        <v/>
      </c>
      <c r="DX199" s="161" t="str">
        <f t="shared" si="325"/>
        <v/>
      </c>
      <c r="DY199" s="161" t="str">
        <f t="shared" si="326"/>
        <v/>
      </c>
      <c r="DZ199" s="161" t="str">
        <f t="shared" si="327"/>
        <v/>
      </c>
      <c r="EA199" s="161" t="str">
        <f t="shared" si="328"/>
        <v/>
      </c>
      <c r="EB199" s="161" t="str">
        <f t="shared" si="329"/>
        <v/>
      </c>
      <c r="EC199" s="161" t="str">
        <f t="shared" si="330"/>
        <v/>
      </c>
      <c r="ED199" s="161" t="str">
        <f t="shared" si="331"/>
        <v/>
      </c>
      <c r="EE199" s="161" t="str">
        <f t="shared" si="332"/>
        <v/>
      </c>
      <c r="EF199" s="161" t="str">
        <f t="shared" si="333"/>
        <v/>
      </c>
      <c r="EG199" s="161" t="str">
        <f t="shared" si="334"/>
        <v/>
      </c>
      <c r="EH199" s="161" t="str">
        <f t="shared" si="335"/>
        <v/>
      </c>
      <c r="EI199" s="161" t="str">
        <f t="shared" si="336"/>
        <v/>
      </c>
      <c r="EJ199" s="161" t="str">
        <f t="shared" si="337"/>
        <v/>
      </c>
      <c r="EK199" s="147" t="str">
        <f t="shared" si="251"/>
        <v/>
      </c>
      <c r="EL199" s="149"/>
      <c r="EN199" s="146"/>
      <c r="EO199" s="146"/>
      <c r="EP199" s="139" t="str">
        <f t="shared" si="252"/>
        <v/>
      </c>
      <c r="EQ199" s="139" t="str">
        <f t="shared" si="253"/>
        <v/>
      </c>
      <c r="ER199" s="139" t="str">
        <f t="shared" si="254"/>
        <v/>
      </c>
      <c r="ES199" s="139" t="str">
        <f t="shared" si="255"/>
        <v/>
      </c>
      <c r="ET199" s="139" t="str">
        <f t="shared" si="256"/>
        <v/>
      </c>
      <c r="EU199" s="139" t="str">
        <f t="shared" si="257"/>
        <v/>
      </c>
      <c r="EV199" s="139" t="str">
        <f t="shared" si="258"/>
        <v/>
      </c>
      <c r="EW199" s="139" t="str">
        <f t="shared" si="259"/>
        <v/>
      </c>
      <c r="EX199" s="139" t="str">
        <f t="shared" si="260"/>
        <v/>
      </c>
      <c r="EY199" s="139" t="str">
        <f t="shared" si="261"/>
        <v/>
      </c>
      <c r="EZ199" s="139" t="str">
        <f t="shared" si="262"/>
        <v/>
      </c>
      <c r="FA199" s="139" t="str">
        <f t="shared" si="263"/>
        <v/>
      </c>
      <c r="FB199" s="139" t="str">
        <f t="shared" si="264"/>
        <v/>
      </c>
      <c r="FC199" s="139" t="str">
        <f t="shared" si="265"/>
        <v/>
      </c>
      <c r="FD199" s="139" t="str">
        <f t="shared" si="266"/>
        <v/>
      </c>
      <c r="FE199" s="139" t="str">
        <f t="shared" si="267"/>
        <v/>
      </c>
      <c r="FF199" s="139" t="str">
        <f t="shared" si="268"/>
        <v/>
      </c>
      <c r="FG199" s="139" t="str">
        <f t="shared" si="269"/>
        <v/>
      </c>
      <c r="FH199" s="139" t="str">
        <f t="shared" si="270"/>
        <v/>
      </c>
      <c r="FI199" s="139" t="str">
        <f t="shared" si="271"/>
        <v/>
      </c>
      <c r="FJ199" s="139" t="str">
        <f t="shared" si="272"/>
        <v/>
      </c>
      <c r="FK199" s="139" t="str">
        <f t="shared" si="273"/>
        <v/>
      </c>
      <c r="FL199" s="139" t="str">
        <f t="shared" si="274"/>
        <v/>
      </c>
      <c r="FM199" s="139" t="str">
        <f t="shared" si="275"/>
        <v/>
      </c>
      <c r="FN199" s="139" t="str">
        <f t="shared" si="276"/>
        <v/>
      </c>
      <c r="FO199" s="139" t="str">
        <f t="shared" si="277"/>
        <v/>
      </c>
      <c r="FP199" s="139" t="str">
        <f t="shared" si="278"/>
        <v/>
      </c>
      <c r="FQ199" s="139" t="str">
        <f t="shared" si="279"/>
        <v/>
      </c>
      <c r="FR199" s="139" t="str">
        <f t="shared" si="280"/>
        <v/>
      </c>
      <c r="FS199" s="139" t="str">
        <f t="shared" si="281"/>
        <v/>
      </c>
      <c r="FT199" s="139" t="str">
        <f t="shared" si="282"/>
        <v/>
      </c>
      <c r="FU199" s="148" t="str">
        <f t="shared" si="283"/>
        <v/>
      </c>
      <c r="FV199" s="149"/>
      <c r="FY199" s="211">
        <v>194</v>
      </c>
      <c r="FZ199">
        <v>13.902827991306514</v>
      </c>
      <c r="GA199">
        <v>10.272343120355583</v>
      </c>
      <c r="GB199">
        <v>6.0458302100798091</v>
      </c>
      <c r="GC199">
        <v>3.0710645957753107</v>
      </c>
      <c r="GD199">
        <v>1.9146757646532959</v>
      </c>
      <c r="GE199">
        <v>2.5136369202941178</v>
      </c>
      <c r="GF199">
        <v>1.2074524259805255</v>
      </c>
      <c r="GG199">
        <v>1.3774199248980978</v>
      </c>
      <c r="GH199">
        <v>4.1782108442076398</v>
      </c>
      <c r="GI199">
        <v>5.5207515089073071</v>
      </c>
      <c r="GJ199"/>
      <c r="GK199">
        <v>13.975538058390843</v>
      </c>
      <c r="GL199">
        <v>8.7032293959220137</v>
      </c>
      <c r="GM199">
        <v>10.050088335400341</v>
      </c>
      <c r="GN199">
        <v>9.2096756734461724</v>
      </c>
      <c r="GO199">
        <v>7.433240224748487</v>
      </c>
      <c r="GP199">
        <v>4.8123607397504458</v>
      </c>
      <c r="GQ199">
        <v>1.4796069847020934</v>
      </c>
      <c r="GR199">
        <v>1.9385190217391302</v>
      </c>
      <c r="GS199">
        <v>4.4539046966893014</v>
      </c>
      <c r="GT199">
        <v>7.4784756599862128</v>
      </c>
      <c r="GU199"/>
      <c r="GV199"/>
      <c r="GW199"/>
      <c r="GX199"/>
      <c r="GY199"/>
      <c r="GZ199"/>
      <c r="HA199"/>
      <c r="HB199"/>
      <c r="HC199"/>
    </row>
    <row r="200" spans="1:211" s="7" customFormat="1">
      <c r="A200" s="1"/>
      <c r="B200" s="76" t="str">
        <f t="shared" ca="1" si="250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50.097645186192622</v>
      </c>
      <c r="AO200">
        <v>6.1064200757741016</v>
      </c>
      <c r="AP200">
        <v>28.910398169057729</v>
      </c>
      <c r="AQ200">
        <v>42.875973723820721</v>
      </c>
      <c r="AR200">
        <v>6.4597236899786061</v>
      </c>
      <c r="AS200">
        <v>42.195561873942189</v>
      </c>
      <c r="AT200" t="e">
        <v>#DIV/0!</v>
      </c>
      <c r="AU200" t="e">
        <v>#DIV/0!</v>
      </c>
      <c r="AV200"/>
      <c r="AW200"/>
      <c r="AX200" s="146"/>
      <c r="AY200" s="76" t="str">
        <f t="shared" ca="1" si="173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8"/>
        <v/>
      </c>
      <c r="CL200" s="179" t="str">
        <f t="shared" si="209"/>
        <v/>
      </c>
      <c r="CM200" s="180" t="str">
        <f t="shared" si="210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1"/>
        <v/>
      </c>
      <c r="DB200" s="146"/>
      <c r="DC200" s="76" t="str">
        <f t="shared" ca="1" si="174"/>
        <v/>
      </c>
      <c r="DD200" t="str">
        <f t="shared" si="212"/>
        <v/>
      </c>
      <c r="DE200" s="129" t="str">
        <f t="shared" si="338"/>
        <v/>
      </c>
      <c r="DF200" s="161" t="str">
        <f t="shared" si="285"/>
        <v/>
      </c>
      <c r="DG200" s="161" t="str">
        <f t="shared" si="286"/>
        <v/>
      </c>
      <c r="DH200" s="161" t="str">
        <f t="shared" si="287"/>
        <v/>
      </c>
      <c r="DI200" s="161" t="str">
        <f t="shared" si="288"/>
        <v/>
      </c>
      <c r="DJ200" s="161" t="str">
        <f t="shared" si="289"/>
        <v/>
      </c>
      <c r="DK200" s="161" t="str">
        <f t="shared" si="290"/>
        <v/>
      </c>
      <c r="DL200" s="161" t="str">
        <f t="shared" si="291"/>
        <v/>
      </c>
      <c r="DM200" s="161" t="str">
        <f t="shared" si="292"/>
        <v/>
      </c>
      <c r="DN200" s="161" t="str">
        <f t="shared" si="315"/>
        <v/>
      </c>
      <c r="DO200" s="161" t="str">
        <f t="shared" si="316"/>
        <v/>
      </c>
      <c r="DP200" s="161" t="str">
        <f t="shared" si="317"/>
        <v/>
      </c>
      <c r="DQ200" s="161" t="str">
        <f t="shared" si="318"/>
        <v/>
      </c>
      <c r="DR200" s="161" t="str">
        <f t="shared" si="319"/>
        <v/>
      </c>
      <c r="DS200" s="161" t="str">
        <f t="shared" si="320"/>
        <v/>
      </c>
      <c r="DT200" s="161" t="str">
        <f t="shared" si="321"/>
        <v/>
      </c>
      <c r="DU200" s="161" t="str">
        <f t="shared" si="322"/>
        <v/>
      </c>
      <c r="DV200" s="161" t="str">
        <f t="shared" si="323"/>
        <v/>
      </c>
      <c r="DW200" s="161" t="str">
        <f t="shared" si="324"/>
        <v/>
      </c>
      <c r="DX200" s="161" t="str">
        <f t="shared" si="325"/>
        <v/>
      </c>
      <c r="DY200" s="161" t="str">
        <f t="shared" si="326"/>
        <v/>
      </c>
      <c r="DZ200" s="161" t="str">
        <f t="shared" si="327"/>
        <v/>
      </c>
      <c r="EA200" s="161" t="str">
        <f t="shared" si="328"/>
        <v/>
      </c>
      <c r="EB200" s="161" t="str">
        <f t="shared" si="329"/>
        <v/>
      </c>
      <c r="EC200" s="161" t="str">
        <f t="shared" si="330"/>
        <v/>
      </c>
      <c r="ED200" s="161" t="str">
        <f t="shared" si="331"/>
        <v/>
      </c>
      <c r="EE200" s="161" t="str">
        <f t="shared" si="332"/>
        <v/>
      </c>
      <c r="EF200" s="161" t="str">
        <f t="shared" si="333"/>
        <v/>
      </c>
      <c r="EG200" s="161" t="str">
        <f t="shared" si="334"/>
        <v/>
      </c>
      <c r="EH200" s="161" t="str">
        <f t="shared" si="335"/>
        <v/>
      </c>
      <c r="EI200" s="161" t="str">
        <f t="shared" si="336"/>
        <v/>
      </c>
      <c r="EJ200" s="161" t="str">
        <f t="shared" si="337"/>
        <v/>
      </c>
      <c r="EK200" s="147" t="str">
        <f t="shared" si="251"/>
        <v/>
      </c>
      <c r="EL200" s="149"/>
      <c r="EN200" s="146"/>
      <c r="EO200" s="146"/>
      <c r="EP200" s="139" t="str">
        <f t="shared" si="252"/>
        <v/>
      </c>
      <c r="EQ200" s="139" t="str">
        <f t="shared" si="253"/>
        <v/>
      </c>
      <c r="ER200" s="139" t="str">
        <f t="shared" si="254"/>
        <v/>
      </c>
      <c r="ES200" s="139" t="str">
        <f t="shared" si="255"/>
        <v/>
      </c>
      <c r="ET200" s="139" t="str">
        <f t="shared" si="256"/>
        <v/>
      </c>
      <c r="EU200" s="139" t="str">
        <f t="shared" si="257"/>
        <v/>
      </c>
      <c r="EV200" s="139" t="str">
        <f t="shared" si="258"/>
        <v/>
      </c>
      <c r="EW200" s="139" t="str">
        <f t="shared" si="259"/>
        <v/>
      </c>
      <c r="EX200" s="139" t="str">
        <f t="shared" si="260"/>
        <v/>
      </c>
      <c r="EY200" s="139" t="str">
        <f t="shared" si="261"/>
        <v/>
      </c>
      <c r="EZ200" s="139" t="str">
        <f t="shared" si="262"/>
        <v/>
      </c>
      <c r="FA200" s="139" t="str">
        <f t="shared" si="263"/>
        <v/>
      </c>
      <c r="FB200" s="139" t="str">
        <f t="shared" si="264"/>
        <v/>
      </c>
      <c r="FC200" s="139" t="str">
        <f t="shared" si="265"/>
        <v/>
      </c>
      <c r="FD200" s="139" t="str">
        <f t="shared" si="266"/>
        <v/>
      </c>
      <c r="FE200" s="139" t="str">
        <f t="shared" si="267"/>
        <v/>
      </c>
      <c r="FF200" s="139" t="str">
        <f t="shared" si="268"/>
        <v/>
      </c>
      <c r="FG200" s="139" t="str">
        <f t="shared" si="269"/>
        <v/>
      </c>
      <c r="FH200" s="139" t="str">
        <f t="shared" si="270"/>
        <v/>
      </c>
      <c r="FI200" s="139" t="str">
        <f t="shared" si="271"/>
        <v/>
      </c>
      <c r="FJ200" s="139" t="str">
        <f t="shared" si="272"/>
        <v/>
      </c>
      <c r="FK200" s="139" t="str">
        <f t="shared" si="273"/>
        <v/>
      </c>
      <c r="FL200" s="139" t="str">
        <f t="shared" si="274"/>
        <v/>
      </c>
      <c r="FM200" s="139" t="str">
        <f t="shared" si="275"/>
        <v/>
      </c>
      <c r="FN200" s="139" t="str">
        <f t="shared" si="276"/>
        <v/>
      </c>
      <c r="FO200" s="139" t="str">
        <f t="shared" si="277"/>
        <v/>
      </c>
      <c r="FP200" s="139" t="str">
        <f t="shared" si="278"/>
        <v/>
      </c>
      <c r="FQ200" s="139" t="str">
        <f t="shared" si="279"/>
        <v/>
      </c>
      <c r="FR200" s="139" t="str">
        <f t="shared" si="280"/>
        <v/>
      </c>
      <c r="FS200" s="139" t="str">
        <f t="shared" si="281"/>
        <v/>
      </c>
      <c r="FT200" s="139" t="str">
        <f t="shared" si="282"/>
        <v/>
      </c>
      <c r="FU200" s="148" t="str">
        <f t="shared" si="283"/>
        <v/>
      </c>
      <c r="FV200" s="149"/>
      <c r="FY200" s="211">
        <v>195</v>
      </c>
      <c r="FZ200">
        <v>16.099746016662824</v>
      </c>
      <c r="GA200">
        <v>11.750618000939802</v>
      </c>
      <c r="GB200">
        <v>6.2257429625465566</v>
      </c>
      <c r="GC200">
        <v>3.0785987852201631</v>
      </c>
      <c r="GD200">
        <v>1.6722540147675056</v>
      </c>
      <c r="GE200">
        <v>2.7739515448739498</v>
      </c>
      <c r="GF200">
        <v>0.7185549812303732</v>
      </c>
      <c r="GG200">
        <v>1.277338661079775</v>
      </c>
      <c r="GH200">
        <v>6.5494873555784849</v>
      </c>
      <c r="GI200">
        <v>6.0366620550041121</v>
      </c>
      <c r="GJ200"/>
      <c r="GK200">
        <v>16.181091443562764</v>
      </c>
      <c r="GL200">
        <v>9.9571931348041183</v>
      </c>
      <c r="GM200">
        <v>10.347636858621859</v>
      </c>
      <c r="GN200">
        <v>9.2275392686506148</v>
      </c>
      <c r="GO200">
        <v>6.4940451402383115</v>
      </c>
      <c r="GP200">
        <v>5.3107333842627966</v>
      </c>
      <c r="GQ200">
        <v>0.87819917232653688</v>
      </c>
      <c r="GR200">
        <v>1.796023246400611</v>
      </c>
      <c r="GS200">
        <v>6.9828204109679666</v>
      </c>
      <c r="GT200">
        <v>8.1767586051434886</v>
      </c>
      <c r="GU200"/>
      <c r="GV200"/>
      <c r="GW200"/>
      <c r="GX200"/>
      <c r="GY200"/>
      <c r="GZ200"/>
      <c r="HA200"/>
      <c r="HB200"/>
      <c r="HC200"/>
    </row>
    <row r="201" spans="1:211" s="7" customFormat="1">
      <c r="A201" s="1"/>
      <c r="B201" s="76" t="str">
        <f t="shared" ca="1" si="250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56.993174571633858</v>
      </c>
      <c r="AO201">
        <v>6.9601408449735116</v>
      </c>
      <c r="AP201">
        <v>48.022176063272795</v>
      </c>
      <c r="AQ201">
        <v>48.774032961976047</v>
      </c>
      <c r="AR201">
        <v>7.0716988356482453</v>
      </c>
      <c r="AS201">
        <v>45.649072311684002</v>
      </c>
      <c r="AT201" t="e">
        <v>#DIV/0!</v>
      </c>
      <c r="AU201" t="e">
        <v>#DIV/0!</v>
      </c>
      <c r="AV201"/>
      <c r="AW201"/>
      <c r="AX201" s="146"/>
      <c r="AY201" s="76" t="str">
        <f t="shared" ca="1" si="173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8"/>
        <v/>
      </c>
      <c r="CL201" s="179" t="str">
        <f t="shared" si="209"/>
        <v/>
      </c>
      <c r="CM201" s="180" t="str">
        <f t="shared" si="210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1"/>
        <v/>
      </c>
      <c r="DB201" s="146"/>
      <c r="DC201" s="76" t="str">
        <f t="shared" ca="1" si="174"/>
        <v/>
      </c>
      <c r="DD201" t="str">
        <f t="shared" si="212"/>
        <v/>
      </c>
      <c r="DE201" s="129" t="str">
        <f t="shared" si="338"/>
        <v/>
      </c>
      <c r="DF201" s="161" t="str">
        <f t="shared" si="285"/>
        <v/>
      </c>
      <c r="DG201" s="161" t="str">
        <f t="shared" si="286"/>
        <v/>
      </c>
      <c r="DH201" s="161" t="str">
        <f t="shared" si="287"/>
        <v/>
      </c>
      <c r="DI201" s="161" t="str">
        <f t="shared" si="288"/>
        <v/>
      </c>
      <c r="DJ201" s="161" t="str">
        <f t="shared" si="289"/>
        <v/>
      </c>
      <c r="DK201" s="161" t="str">
        <f t="shared" si="290"/>
        <v/>
      </c>
      <c r="DL201" s="161" t="str">
        <f t="shared" si="291"/>
        <v/>
      </c>
      <c r="DM201" s="161" t="str">
        <f t="shared" si="292"/>
        <v/>
      </c>
      <c r="DN201" s="161" t="str">
        <f t="shared" si="315"/>
        <v/>
      </c>
      <c r="DO201" s="161" t="str">
        <f t="shared" si="316"/>
        <v/>
      </c>
      <c r="DP201" s="161" t="str">
        <f t="shared" si="317"/>
        <v/>
      </c>
      <c r="DQ201" s="161" t="str">
        <f t="shared" si="318"/>
        <v/>
      </c>
      <c r="DR201" s="161" t="str">
        <f t="shared" si="319"/>
        <v/>
      </c>
      <c r="DS201" s="161" t="str">
        <f t="shared" si="320"/>
        <v/>
      </c>
      <c r="DT201" s="161" t="str">
        <f t="shared" si="321"/>
        <v/>
      </c>
      <c r="DU201" s="161" t="str">
        <f t="shared" si="322"/>
        <v/>
      </c>
      <c r="DV201" s="161" t="str">
        <f t="shared" si="323"/>
        <v/>
      </c>
      <c r="DW201" s="161" t="str">
        <f t="shared" si="324"/>
        <v/>
      </c>
      <c r="DX201" s="161" t="str">
        <f t="shared" si="325"/>
        <v/>
      </c>
      <c r="DY201" s="161" t="str">
        <f t="shared" si="326"/>
        <v/>
      </c>
      <c r="DZ201" s="161" t="str">
        <f t="shared" si="327"/>
        <v/>
      </c>
      <c r="EA201" s="161" t="str">
        <f t="shared" si="328"/>
        <v/>
      </c>
      <c r="EB201" s="161" t="str">
        <f t="shared" si="329"/>
        <v/>
      </c>
      <c r="EC201" s="161" t="str">
        <f t="shared" si="330"/>
        <v/>
      </c>
      <c r="ED201" s="161" t="str">
        <f t="shared" si="331"/>
        <v/>
      </c>
      <c r="EE201" s="161" t="str">
        <f t="shared" si="332"/>
        <v/>
      </c>
      <c r="EF201" s="161" t="str">
        <f t="shared" si="333"/>
        <v/>
      </c>
      <c r="EG201" s="161" t="str">
        <f t="shared" si="334"/>
        <v/>
      </c>
      <c r="EH201" s="161" t="str">
        <f t="shared" si="335"/>
        <v/>
      </c>
      <c r="EI201" s="161" t="str">
        <f t="shared" si="336"/>
        <v/>
      </c>
      <c r="EJ201" s="161" t="str">
        <f t="shared" si="337"/>
        <v/>
      </c>
      <c r="EK201" s="147" t="str">
        <f t="shared" si="251"/>
        <v/>
      </c>
      <c r="EL201" s="149"/>
      <c r="EN201" s="146"/>
      <c r="EO201" s="146"/>
      <c r="EP201" s="139" t="str">
        <f t="shared" si="252"/>
        <v/>
      </c>
      <c r="EQ201" s="139" t="str">
        <f t="shared" si="253"/>
        <v/>
      </c>
      <c r="ER201" s="139" t="str">
        <f t="shared" si="254"/>
        <v/>
      </c>
      <c r="ES201" s="139" t="str">
        <f t="shared" si="255"/>
        <v/>
      </c>
      <c r="ET201" s="139" t="str">
        <f t="shared" si="256"/>
        <v/>
      </c>
      <c r="EU201" s="139" t="str">
        <f t="shared" si="257"/>
        <v/>
      </c>
      <c r="EV201" s="139" t="str">
        <f t="shared" si="258"/>
        <v/>
      </c>
      <c r="EW201" s="139" t="str">
        <f t="shared" si="259"/>
        <v/>
      </c>
      <c r="EX201" s="139" t="str">
        <f t="shared" si="260"/>
        <v/>
      </c>
      <c r="EY201" s="139" t="str">
        <f t="shared" si="261"/>
        <v/>
      </c>
      <c r="EZ201" s="139" t="str">
        <f t="shared" si="262"/>
        <v/>
      </c>
      <c r="FA201" s="139" t="str">
        <f t="shared" si="263"/>
        <v/>
      </c>
      <c r="FB201" s="139" t="str">
        <f t="shared" si="264"/>
        <v/>
      </c>
      <c r="FC201" s="139" t="str">
        <f t="shared" si="265"/>
        <v/>
      </c>
      <c r="FD201" s="139" t="str">
        <f t="shared" si="266"/>
        <v/>
      </c>
      <c r="FE201" s="139" t="str">
        <f t="shared" si="267"/>
        <v/>
      </c>
      <c r="FF201" s="139" t="str">
        <f t="shared" si="268"/>
        <v/>
      </c>
      <c r="FG201" s="139" t="str">
        <f t="shared" si="269"/>
        <v/>
      </c>
      <c r="FH201" s="139" t="str">
        <f t="shared" si="270"/>
        <v/>
      </c>
      <c r="FI201" s="139" t="str">
        <f t="shared" si="271"/>
        <v/>
      </c>
      <c r="FJ201" s="139" t="str">
        <f t="shared" si="272"/>
        <v/>
      </c>
      <c r="FK201" s="139" t="str">
        <f t="shared" si="273"/>
        <v/>
      </c>
      <c r="FL201" s="139" t="str">
        <f t="shared" si="274"/>
        <v/>
      </c>
      <c r="FM201" s="139" t="str">
        <f t="shared" si="275"/>
        <v/>
      </c>
      <c r="FN201" s="139" t="str">
        <f t="shared" si="276"/>
        <v/>
      </c>
      <c r="FO201" s="139" t="str">
        <f t="shared" si="277"/>
        <v/>
      </c>
      <c r="FP201" s="139" t="str">
        <f t="shared" si="278"/>
        <v/>
      </c>
      <c r="FQ201" s="139" t="str">
        <f t="shared" si="279"/>
        <v/>
      </c>
      <c r="FR201" s="139" t="str">
        <f t="shared" si="280"/>
        <v/>
      </c>
      <c r="FS201" s="139" t="str">
        <f t="shared" si="281"/>
        <v/>
      </c>
      <c r="FT201" s="139" t="str">
        <f t="shared" si="282"/>
        <v/>
      </c>
      <c r="FU201" s="148" t="str">
        <f t="shared" si="283"/>
        <v/>
      </c>
      <c r="FV201" s="149"/>
      <c r="FY201" s="211">
        <v>196</v>
      </c>
      <c r="FZ201">
        <v>6.0646812765658282</v>
      </c>
      <c r="GA201">
        <v>4.3089136675189499</v>
      </c>
      <c r="GB201">
        <v>4.9811521483989196</v>
      </c>
      <c r="GC201">
        <v>3.0553111882422535</v>
      </c>
      <c r="GD201">
        <v>1.3624989777166265</v>
      </c>
      <c r="GE201">
        <v>1.6385875866112958</v>
      </c>
      <c r="GF201">
        <v>1.3266014393357464</v>
      </c>
      <c r="GG201">
        <v>1.4321027440345502</v>
      </c>
      <c r="GH201">
        <v>4.1320612245625563</v>
      </c>
      <c r="GI201">
        <v>3.7987012899627048</v>
      </c>
      <c r="GJ201"/>
      <c r="GK201">
        <v>6.0950900578160923</v>
      </c>
      <c r="GL201">
        <v>3.6510914889299428</v>
      </c>
      <c r="GM201">
        <v>8.291881218127612</v>
      </c>
      <c r="GN201">
        <v>9.1870047590289801</v>
      </c>
      <c r="GO201">
        <v>5.3135011593994159</v>
      </c>
      <c r="GP201">
        <v>3.1370777962347733</v>
      </c>
      <c r="GQ201">
        <v>1.620981677986407</v>
      </c>
      <c r="GR201">
        <v>2.0121853816901107</v>
      </c>
      <c r="GS201">
        <v>4.4062298840319816</v>
      </c>
      <c r="GT201">
        <v>5.1455367994723016</v>
      </c>
      <c r="GU201"/>
      <c r="GV201"/>
      <c r="GW201"/>
      <c r="GX201"/>
      <c r="GY201"/>
      <c r="GZ201"/>
      <c r="HA201"/>
      <c r="HB201"/>
      <c r="HC201"/>
    </row>
    <row r="202" spans="1:211" s="7" customFormat="1">
      <c r="A202" s="1"/>
      <c r="B202" s="76" t="str">
        <f t="shared" ca="1" si="250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66.036670029472845</v>
      </c>
      <c r="AO202">
        <v>8.4115084792058941</v>
      </c>
      <c r="AP202">
        <v>100.63778603434534</v>
      </c>
      <c r="AQ202">
        <v>60.269711693519255</v>
      </c>
      <c r="AR202">
        <v>8.6805699924941582</v>
      </c>
      <c r="AS202">
        <v>52.688928962334344</v>
      </c>
      <c r="AT202" t="e">
        <v>#DIV/0!</v>
      </c>
      <c r="AU202" t="e">
        <v>#DIV/0!</v>
      </c>
      <c r="AV202"/>
      <c r="AW202"/>
      <c r="AX202" s="146"/>
      <c r="AY202" s="76" t="str">
        <f t="shared" ca="1" si="173"/>
        <v/>
      </c>
      <c r="AZ202"/>
      <c r="BA202" s="129" t="s">
        <v>104</v>
      </c>
      <c r="BB202"/>
      <c r="BC202"/>
      <c r="BD202"/>
      <c r="BE202" s="187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8"/>
        <v/>
      </c>
      <c r="CL202" s="179" t="str">
        <f t="shared" si="209"/>
        <v/>
      </c>
      <c r="CM202" s="180" t="str">
        <f t="shared" si="210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1"/>
        <v/>
      </c>
      <c r="DB202" s="146"/>
      <c r="DC202" s="76" t="str">
        <f t="shared" ca="1" si="174"/>
        <v/>
      </c>
      <c r="DD202" t="str">
        <f t="shared" si="212"/>
        <v/>
      </c>
      <c r="DE202" s="129" t="str">
        <f t="shared" si="338"/>
        <v/>
      </c>
      <c r="DF202" s="161" t="str">
        <f t="shared" si="285"/>
        <v/>
      </c>
      <c r="DG202" s="161" t="str">
        <f t="shared" si="286"/>
        <v/>
      </c>
      <c r="DH202" s="161" t="str">
        <f t="shared" si="287"/>
        <v/>
      </c>
      <c r="DI202" s="161" t="str">
        <f t="shared" si="288"/>
        <v/>
      </c>
      <c r="DJ202" s="161" t="str">
        <f t="shared" si="289"/>
        <v/>
      </c>
      <c r="DK202" s="161" t="str">
        <f t="shared" si="290"/>
        <v/>
      </c>
      <c r="DL202" s="161" t="str">
        <f t="shared" si="291"/>
        <v/>
      </c>
      <c r="DM202" s="161" t="str">
        <f t="shared" si="292"/>
        <v/>
      </c>
      <c r="DN202" s="161" t="str">
        <f t="shared" si="315"/>
        <v/>
      </c>
      <c r="DO202" s="161" t="str">
        <f t="shared" si="316"/>
        <v/>
      </c>
      <c r="DP202" s="161" t="str">
        <f t="shared" si="317"/>
        <v/>
      </c>
      <c r="DQ202" s="161" t="str">
        <f t="shared" si="318"/>
        <v/>
      </c>
      <c r="DR202" s="161" t="str">
        <f t="shared" si="319"/>
        <v/>
      </c>
      <c r="DS202" s="161" t="str">
        <f t="shared" si="320"/>
        <v/>
      </c>
      <c r="DT202" s="161" t="str">
        <f t="shared" si="321"/>
        <v/>
      </c>
      <c r="DU202" s="161" t="str">
        <f t="shared" si="322"/>
        <v/>
      </c>
      <c r="DV202" s="161" t="str">
        <f t="shared" si="323"/>
        <v/>
      </c>
      <c r="DW202" s="161" t="str">
        <f t="shared" si="324"/>
        <v/>
      </c>
      <c r="DX202" s="161" t="str">
        <f t="shared" si="325"/>
        <v/>
      </c>
      <c r="DY202" s="161" t="str">
        <f t="shared" si="326"/>
        <v/>
      </c>
      <c r="DZ202" s="161" t="str">
        <f t="shared" si="327"/>
        <v/>
      </c>
      <c r="EA202" s="161" t="str">
        <f t="shared" si="328"/>
        <v/>
      </c>
      <c r="EB202" s="161" t="str">
        <f t="shared" si="329"/>
        <v/>
      </c>
      <c r="EC202" s="161" t="str">
        <f t="shared" si="330"/>
        <v/>
      </c>
      <c r="ED202" s="161" t="str">
        <f t="shared" si="331"/>
        <v/>
      </c>
      <c r="EE202" s="161" t="str">
        <f t="shared" si="332"/>
        <v/>
      </c>
      <c r="EF202" s="161" t="str">
        <f t="shared" si="333"/>
        <v/>
      </c>
      <c r="EG202" s="161" t="str">
        <f t="shared" si="334"/>
        <v/>
      </c>
      <c r="EH202" s="161" t="str">
        <f t="shared" si="335"/>
        <v/>
      </c>
      <c r="EI202" s="161" t="str">
        <f t="shared" si="336"/>
        <v/>
      </c>
      <c r="EJ202" s="161" t="str">
        <f t="shared" si="337"/>
        <v/>
      </c>
      <c r="EK202" s="147" t="str">
        <f t="shared" si="251"/>
        <v/>
      </c>
      <c r="EL202" s="149"/>
      <c r="EN202" s="146"/>
      <c r="EO202" s="146"/>
      <c r="EP202" s="139" t="str">
        <f t="shared" si="252"/>
        <v/>
      </c>
      <c r="EQ202" s="139" t="str">
        <f t="shared" si="253"/>
        <v/>
      </c>
      <c r="ER202" s="139" t="str">
        <f t="shared" si="254"/>
        <v/>
      </c>
      <c r="ES202" s="139" t="str">
        <f t="shared" si="255"/>
        <v/>
      </c>
      <c r="ET202" s="139" t="str">
        <f t="shared" si="256"/>
        <v/>
      </c>
      <c r="EU202" s="139" t="str">
        <f t="shared" si="257"/>
        <v/>
      </c>
      <c r="EV202" s="139" t="str">
        <f t="shared" si="258"/>
        <v/>
      </c>
      <c r="EW202" s="139" t="str">
        <f t="shared" si="259"/>
        <v/>
      </c>
      <c r="EX202" s="139" t="str">
        <f t="shared" si="260"/>
        <v/>
      </c>
      <c r="EY202" s="139" t="str">
        <f t="shared" si="261"/>
        <v/>
      </c>
      <c r="EZ202" s="139" t="str">
        <f t="shared" si="262"/>
        <v/>
      </c>
      <c r="FA202" s="139" t="str">
        <f t="shared" si="263"/>
        <v/>
      </c>
      <c r="FB202" s="139" t="str">
        <f t="shared" si="264"/>
        <v/>
      </c>
      <c r="FC202" s="139" t="str">
        <f t="shared" si="265"/>
        <v/>
      </c>
      <c r="FD202" s="139" t="str">
        <f t="shared" si="266"/>
        <v/>
      </c>
      <c r="FE202" s="139" t="str">
        <f t="shared" si="267"/>
        <v/>
      </c>
      <c r="FF202" s="139" t="str">
        <f t="shared" si="268"/>
        <v/>
      </c>
      <c r="FG202" s="139" t="str">
        <f t="shared" si="269"/>
        <v/>
      </c>
      <c r="FH202" s="139" t="str">
        <f t="shared" si="270"/>
        <v/>
      </c>
      <c r="FI202" s="139" t="str">
        <f t="shared" si="271"/>
        <v/>
      </c>
      <c r="FJ202" s="139" t="str">
        <f t="shared" si="272"/>
        <v/>
      </c>
      <c r="FK202" s="139" t="str">
        <f t="shared" si="273"/>
        <v/>
      </c>
      <c r="FL202" s="139" t="str">
        <f t="shared" si="274"/>
        <v/>
      </c>
      <c r="FM202" s="139" t="str">
        <f t="shared" si="275"/>
        <v/>
      </c>
      <c r="FN202" s="139" t="str">
        <f t="shared" si="276"/>
        <v/>
      </c>
      <c r="FO202" s="139" t="str">
        <f t="shared" si="277"/>
        <v/>
      </c>
      <c r="FP202" s="139" t="str">
        <f t="shared" si="278"/>
        <v/>
      </c>
      <c r="FQ202" s="139" t="str">
        <f t="shared" si="279"/>
        <v/>
      </c>
      <c r="FR202" s="139" t="str">
        <f t="shared" si="280"/>
        <v/>
      </c>
      <c r="FS202" s="139" t="str">
        <f t="shared" si="281"/>
        <v/>
      </c>
      <c r="FT202" s="139" t="str">
        <f t="shared" si="282"/>
        <v/>
      </c>
      <c r="FU202" s="148" t="str">
        <f t="shared" si="283"/>
        <v/>
      </c>
      <c r="FV202" s="149"/>
      <c r="FY202" s="211">
        <v>197</v>
      </c>
      <c r="FZ202">
        <v>6.5710932804722315</v>
      </c>
      <c r="GA202">
        <v>8.7103702693893261</v>
      </c>
      <c r="GB202">
        <v>6.79776291554243</v>
      </c>
      <c r="GC202">
        <v>3.1836105764568474</v>
      </c>
      <c r="GD202">
        <v>3.0371664905331546</v>
      </c>
      <c r="GE202">
        <v>4.2636180924936484</v>
      </c>
      <c r="GF202">
        <v>2.3043963288360505</v>
      </c>
      <c r="GG202">
        <v>2.3806483237545284</v>
      </c>
      <c r="GH202">
        <v>4.3945857362273113</v>
      </c>
      <c r="GI202">
        <v>5.502039685100697</v>
      </c>
      <c r="GJ202"/>
      <c r="GK202">
        <v>6.6106323012463184</v>
      </c>
      <c r="GL202">
        <v>7.3781952417113494</v>
      </c>
      <c r="GM202">
        <v>11.374266579654829</v>
      </c>
      <c r="GN202">
        <v>9.6769715519320663</v>
      </c>
      <c r="GO202">
        <v>11.796438289341902</v>
      </c>
      <c r="GP202">
        <v>8.1627016821527754</v>
      </c>
      <c r="GQ202">
        <v>2.8237973027375198</v>
      </c>
      <c r="GR202">
        <v>3.3504176731078901</v>
      </c>
      <c r="GS202">
        <v>4.6836637914196499</v>
      </c>
      <c r="GT202">
        <v>7.4577596528800436</v>
      </c>
      <c r="GU202"/>
      <c r="GV202"/>
      <c r="GW202"/>
      <c r="GX202"/>
      <c r="GY202"/>
      <c r="GZ202"/>
      <c r="HA202"/>
      <c r="HB202"/>
      <c r="HC202"/>
    </row>
    <row r="203" spans="1:211" s="7" customFormat="1">
      <c r="A203" s="1"/>
      <c r="B203" s="76" t="str">
        <f t="shared" ca="1" si="250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77.881499308892998</v>
      </c>
      <c r="AO203">
        <v>8.9586563963545736</v>
      </c>
      <c r="AP203">
        <v>6.6897698530996426</v>
      </c>
      <c r="AQ203">
        <v>67.842177018041312</v>
      </c>
      <c r="AR203">
        <v>8.8939502808000128</v>
      </c>
      <c r="AS203">
        <v>54.798717732701434</v>
      </c>
      <c r="AT203">
        <v>7.0629298763678987</v>
      </c>
      <c r="AU203">
        <v>2.7887452035023959</v>
      </c>
      <c r="AV203"/>
      <c r="AW203"/>
      <c r="AX203" s="146"/>
      <c r="AY203" s="76" t="str">
        <f t="shared" ca="1" si="173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8"/>
        <v/>
      </c>
      <c r="CL203" s="179" t="str">
        <f t="shared" si="209"/>
        <v/>
      </c>
      <c r="CM203" s="180" t="str">
        <f t="shared" si="210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1"/>
        <v/>
      </c>
      <c r="DB203" s="146"/>
      <c r="DC203" s="76" t="str">
        <f t="shared" ca="1" si="174"/>
        <v/>
      </c>
      <c r="DD203" t="str">
        <f t="shared" si="212"/>
        <v/>
      </c>
      <c r="DE203" s="129" t="str">
        <f t="shared" si="338"/>
        <v/>
      </c>
      <c r="DF203" s="161" t="str">
        <f t="shared" si="285"/>
        <v/>
      </c>
      <c r="DG203" s="161" t="str">
        <f t="shared" si="286"/>
        <v/>
      </c>
      <c r="DH203" s="161" t="str">
        <f t="shared" si="287"/>
        <v/>
      </c>
      <c r="DI203" s="161" t="str">
        <f t="shared" si="288"/>
        <v/>
      </c>
      <c r="DJ203" s="161" t="str">
        <f t="shared" si="289"/>
        <v/>
      </c>
      <c r="DK203" s="161" t="str">
        <f t="shared" si="290"/>
        <v/>
      </c>
      <c r="DL203" s="161" t="str">
        <f t="shared" si="291"/>
        <v/>
      </c>
      <c r="DM203" s="161" t="str">
        <f t="shared" si="292"/>
        <v/>
      </c>
      <c r="DN203" s="161" t="str">
        <f t="shared" si="315"/>
        <v/>
      </c>
      <c r="DO203" s="161" t="str">
        <f t="shared" si="316"/>
        <v/>
      </c>
      <c r="DP203" s="161" t="str">
        <f t="shared" si="317"/>
        <v/>
      </c>
      <c r="DQ203" s="161" t="str">
        <f t="shared" si="318"/>
        <v/>
      </c>
      <c r="DR203" s="161" t="str">
        <f t="shared" si="319"/>
        <v/>
      </c>
      <c r="DS203" s="161" t="str">
        <f t="shared" si="320"/>
        <v/>
      </c>
      <c r="DT203" s="161" t="str">
        <f t="shared" si="321"/>
        <v/>
      </c>
      <c r="DU203" s="161" t="str">
        <f t="shared" si="322"/>
        <v/>
      </c>
      <c r="DV203" s="161" t="str">
        <f t="shared" si="323"/>
        <v/>
      </c>
      <c r="DW203" s="161" t="str">
        <f t="shared" si="324"/>
        <v/>
      </c>
      <c r="DX203" s="161" t="str">
        <f t="shared" si="325"/>
        <v/>
      </c>
      <c r="DY203" s="161" t="str">
        <f t="shared" si="326"/>
        <v/>
      </c>
      <c r="DZ203" s="161" t="str">
        <f t="shared" si="327"/>
        <v/>
      </c>
      <c r="EA203" s="161" t="str">
        <f t="shared" si="328"/>
        <v/>
      </c>
      <c r="EB203" s="161" t="str">
        <f t="shared" si="329"/>
        <v/>
      </c>
      <c r="EC203" s="161" t="str">
        <f t="shared" si="330"/>
        <v/>
      </c>
      <c r="ED203" s="161" t="str">
        <f t="shared" si="331"/>
        <v/>
      </c>
      <c r="EE203" s="161" t="str">
        <f t="shared" si="332"/>
        <v/>
      </c>
      <c r="EF203" s="161" t="str">
        <f t="shared" si="333"/>
        <v/>
      </c>
      <c r="EG203" s="161" t="str">
        <f t="shared" si="334"/>
        <v/>
      </c>
      <c r="EH203" s="161" t="str">
        <f t="shared" si="335"/>
        <v/>
      </c>
      <c r="EI203" s="161" t="str">
        <f t="shared" si="336"/>
        <v/>
      </c>
      <c r="EJ203" s="161" t="str">
        <f t="shared" si="337"/>
        <v/>
      </c>
      <c r="EK203" s="147" t="str">
        <f t="shared" si="251"/>
        <v/>
      </c>
      <c r="EL203" s="149"/>
      <c r="EN203" s="146"/>
      <c r="EO203" s="146"/>
      <c r="EP203" s="139" t="str">
        <f t="shared" si="252"/>
        <v/>
      </c>
      <c r="EQ203" s="139" t="str">
        <f t="shared" si="253"/>
        <v/>
      </c>
      <c r="ER203" s="139" t="str">
        <f t="shared" si="254"/>
        <v/>
      </c>
      <c r="ES203" s="139" t="str">
        <f t="shared" si="255"/>
        <v/>
      </c>
      <c r="ET203" s="139" t="str">
        <f t="shared" si="256"/>
        <v/>
      </c>
      <c r="EU203" s="139" t="str">
        <f t="shared" si="257"/>
        <v/>
      </c>
      <c r="EV203" s="139" t="str">
        <f t="shared" si="258"/>
        <v/>
      </c>
      <c r="EW203" s="139" t="str">
        <f t="shared" si="259"/>
        <v/>
      </c>
      <c r="EX203" s="139" t="str">
        <f t="shared" si="260"/>
        <v/>
      </c>
      <c r="EY203" s="139" t="str">
        <f t="shared" si="261"/>
        <v/>
      </c>
      <c r="EZ203" s="139" t="str">
        <f t="shared" si="262"/>
        <v/>
      </c>
      <c r="FA203" s="139" t="str">
        <f t="shared" si="263"/>
        <v/>
      </c>
      <c r="FB203" s="139" t="str">
        <f t="shared" si="264"/>
        <v/>
      </c>
      <c r="FC203" s="139" t="str">
        <f t="shared" si="265"/>
        <v/>
      </c>
      <c r="FD203" s="139" t="str">
        <f t="shared" si="266"/>
        <v/>
      </c>
      <c r="FE203" s="139" t="str">
        <f t="shared" si="267"/>
        <v/>
      </c>
      <c r="FF203" s="139" t="str">
        <f t="shared" si="268"/>
        <v/>
      </c>
      <c r="FG203" s="139" t="str">
        <f t="shared" si="269"/>
        <v/>
      </c>
      <c r="FH203" s="139" t="str">
        <f t="shared" si="270"/>
        <v/>
      </c>
      <c r="FI203" s="139" t="str">
        <f t="shared" si="271"/>
        <v/>
      </c>
      <c r="FJ203" s="139" t="str">
        <f t="shared" si="272"/>
        <v/>
      </c>
      <c r="FK203" s="139" t="str">
        <f t="shared" si="273"/>
        <v/>
      </c>
      <c r="FL203" s="139" t="str">
        <f t="shared" si="274"/>
        <v/>
      </c>
      <c r="FM203" s="139" t="str">
        <f t="shared" si="275"/>
        <v/>
      </c>
      <c r="FN203" s="139" t="str">
        <f t="shared" si="276"/>
        <v/>
      </c>
      <c r="FO203" s="139" t="str">
        <f t="shared" si="277"/>
        <v/>
      </c>
      <c r="FP203" s="139" t="str">
        <f t="shared" si="278"/>
        <v/>
      </c>
      <c r="FQ203" s="139" t="str">
        <f t="shared" si="279"/>
        <v/>
      </c>
      <c r="FR203" s="139" t="str">
        <f t="shared" si="280"/>
        <v/>
      </c>
      <c r="FS203" s="139" t="str">
        <f t="shared" si="281"/>
        <v/>
      </c>
      <c r="FT203" s="139" t="str">
        <f t="shared" si="282"/>
        <v/>
      </c>
      <c r="FU203" s="148" t="str">
        <f t="shared" si="283"/>
        <v/>
      </c>
      <c r="FV203" s="149"/>
      <c r="FY203" s="211">
        <v>198</v>
      </c>
      <c r="FZ203">
        <v>10.941226548856271</v>
      </c>
      <c r="GA203">
        <v>9.4932191936664356</v>
      </c>
      <c r="GB203">
        <v>5.7830372788248319</v>
      </c>
      <c r="GC203">
        <v>3.3600204190548544</v>
      </c>
      <c r="GD203">
        <v>1.8513728522851296</v>
      </c>
      <c r="GE203">
        <v>1.9140590876196988</v>
      </c>
      <c r="GF203">
        <v>1.2074524259805255</v>
      </c>
      <c r="GG203">
        <v>1.003228398856431</v>
      </c>
      <c r="GH203">
        <v>4.7568291222792869</v>
      </c>
      <c r="GI203">
        <v>5.0729521663530921</v>
      </c>
      <c r="GJ203"/>
      <c r="GK203">
        <v>10.995777204298514</v>
      </c>
      <c r="GL203">
        <v>8.0418777798096261</v>
      </c>
      <c r="GM203">
        <v>9.6188374726180559</v>
      </c>
      <c r="GN203">
        <v>10.077443755553565</v>
      </c>
      <c r="GO203">
        <v>7.1870524166724543</v>
      </c>
      <c r="GP203">
        <v>3.6644682978899801</v>
      </c>
      <c r="GQ203">
        <v>1.4796069847020934</v>
      </c>
      <c r="GR203">
        <v>1.4118986513687599</v>
      </c>
      <c r="GS203">
        <v>5.0678154487114684</v>
      </c>
      <c r="GT203">
        <v>6.8698179054005175</v>
      </c>
      <c r="GU203"/>
      <c r="GV203"/>
      <c r="GW203"/>
      <c r="GX203"/>
      <c r="GY203"/>
      <c r="GZ203"/>
      <c r="HA203"/>
      <c r="HB203"/>
      <c r="HC203"/>
    </row>
    <row r="204" spans="1:211" s="7" customFormat="1">
      <c r="A204" s="1"/>
      <c r="B204" s="76" t="str">
        <f t="shared" ca="1" si="250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49.396547558631248</v>
      </c>
      <c r="AO204">
        <v>5.9293018257538295</v>
      </c>
      <c r="AP204">
        <v>3.8576847269597478</v>
      </c>
      <c r="AQ204">
        <v>41.784117451340386</v>
      </c>
      <c r="AR204">
        <v>6.5585067394182186</v>
      </c>
      <c r="AS204">
        <v>43.101564129925421</v>
      </c>
      <c r="AT204">
        <v>5.2802352672440405</v>
      </c>
      <c r="AU204">
        <v>8.2680322725412463</v>
      </c>
      <c r="AV204"/>
      <c r="AW204"/>
      <c r="AX204" s="146"/>
      <c r="AY204" s="76" t="str">
        <f t="shared" ca="1" si="173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8"/>
        <v/>
      </c>
      <c r="CL204" s="179" t="str">
        <f t="shared" si="209"/>
        <v/>
      </c>
      <c r="CM204" s="180" t="str">
        <f t="shared" si="210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1"/>
        <v/>
      </c>
      <c r="DB204" s="146"/>
      <c r="DC204" s="76" t="str">
        <f t="shared" ca="1" si="174"/>
        <v/>
      </c>
      <c r="DD204" t="str">
        <f t="shared" si="212"/>
        <v/>
      </c>
      <c r="DE204" s="129" t="str">
        <f t="shared" si="338"/>
        <v/>
      </c>
      <c r="DF204" s="161" t="str">
        <f t="shared" si="285"/>
        <v/>
      </c>
      <c r="DG204" s="161" t="str">
        <f t="shared" si="286"/>
        <v/>
      </c>
      <c r="DH204" s="161" t="str">
        <f t="shared" si="287"/>
        <v/>
      </c>
      <c r="DI204" s="161" t="str">
        <f t="shared" si="288"/>
        <v/>
      </c>
      <c r="DJ204" s="161" t="str">
        <f t="shared" si="289"/>
        <v/>
      </c>
      <c r="DK204" s="161" t="str">
        <f t="shared" si="290"/>
        <v/>
      </c>
      <c r="DL204" s="161" t="str">
        <f t="shared" si="291"/>
        <v/>
      </c>
      <c r="DM204" s="161" t="str">
        <f t="shared" si="292"/>
        <v/>
      </c>
      <c r="DN204" s="161" t="str">
        <f t="shared" si="315"/>
        <v/>
      </c>
      <c r="DO204" s="161" t="str">
        <f t="shared" si="316"/>
        <v/>
      </c>
      <c r="DP204" s="161" t="str">
        <f t="shared" si="317"/>
        <v/>
      </c>
      <c r="DQ204" s="161" t="str">
        <f t="shared" si="318"/>
        <v/>
      </c>
      <c r="DR204" s="161" t="str">
        <f t="shared" si="319"/>
        <v/>
      </c>
      <c r="DS204" s="161" t="str">
        <f t="shared" si="320"/>
        <v/>
      </c>
      <c r="DT204" s="161" t="str">
        <f t="shared" si="321"/>
        <v/>
      </c>
      <c r="DU204" s="161" t="str">
        <f t="shared" si="322"/>
        <v/>
      </c>
      <c r="DV204" s="161" t="str">
        <f t="shared" si="323"/>
        <v/>
      </c>
      <c r="DW204" s="161" t="str">
        <f t="shared" si="324"/>
        <v/>
      </c>
      <c r="DX204" s="161" t="str">
        <f t="shared" si="325"/>
        <v/>
      </c>
      <c r="DY204" s="161" t="str">
        <f t="shared" si="326"/>
        <v/>
      </c>
      <c r="DZ204" s="161" t="str">
        <f t="shared" si="327"/>
        <v/>
      </c>
      <c r="EA204" s="161" t="str">
        <f t="shared" si="328"/>
        <v/>
      </c>
      <c r="EB204" s="161" t="str">
        <f t="shared" si="329"/>
        <v/>
      </c>
      <c r="EC204" s="161" t="str">
        <f t="shared" si="330"/>
        <v/>
      </c>
      <c r="ED204" s="161" t="str">
        <f t="shared" si="331"/>
        <v/>
      </c>
      <c r="EE204" s="161" t="str">
        <f t="shared" si="332"/>
        <v/>
      </c>
      <c r="EF204" s="161" t="str">
        <f t="shared" si="333"/>
        <v/>
      </c>
      <c r="EG204" s="161" t="str">
        <f t="shared" si="334"/>
        <v/>
      </c>
      <c r="EH204" s="161" t="str">
        <f t="shared" si="335"/>
        <v/>
      </c>
      <c r="EI204" s="161" t="str">
        <f t="shared" si="336"/>
        <v/>
      </c>
      <c r="EJ204" s="161" t="str">
        <f t="shared" si="337"/>
        <v/>
      </c>
      <c r="EK204" s="147" t="str">
        <f t="shared" si="251"/>
        <v/>
      </c>
      <c r="EL204" s="149"/>
      <c r="EN204" s="146"/>
      <c r="EO204" s="146"/>
      <c r="EP204" s="139" t="str">
        <f t="shared" si="252"/>
        <v/>
      </c>
      <c r="EQ204" s="139" t="str">
        <f t="shared" si="253"/>
        <v/>
      </c>
      <c r="ER204" s="139" t="str">
        <f t="shared" si="254"/>
        <v/>
      </c>
      <c r="ES204" s="139" t="str">
        <f t="shared" si="255"/>
        <v/>
      </c>
      <c r="ET204" s="139" t="str">
        <f t="shared" si="256"/>
        <v/>
      </c>
      <c r="EU204" s="139" t="str">
        <f t="shared" si="257"/>
        <v/>
      </c>
      <c r="EV204" s="139" t="str">
        <f t="shared" si="258"/>
        <v/>
      </c>
      <c r="EW204" s="139" t="str">
        <f t="shared" si="259"/>
        <v/>
      </c>
      <c r="EX204" s="139" t="str">
        <f t="shared" si="260"/>
        <v/>
      </c>
      <c r="EY204" s="139" t="str">
        <f t="shared" si="261"/>
        <v/>
      </c>
      <c r="EZ204" s="139" t="str">
        <f t="shared" si="262"/>
        <v/>
      </c>
      <c r="FA204" s="139" t="str">
        <f t="shared" si="263"/>
        <v/>
      </c>
      <c r="FB204" s="139" t="str">
        <f t="shared" si="264"/>
        <v/>
      </c>
      <c r="FC204" s="139" t="str">
        <f t="shared" si="265"/>
        <v/>
      </c>
      <c r="FD204" s="139" t="str">
        <f t="shared" si="266"/>
        <v/>
      </c>
      <c r="FE204" s="139" t="str">
        <f t="shared" si="267"/>
        <v/>
      </c>
      <c r="FF204" s="139" t="str">
        <f t="shared" si="268"/>
        <v/>
      </c>
      <c r="FG204" s="139" t="str">
        <f t="shared" si="269"/>
        <v/>
      </c>
      <c r="FH204" s="139" t="str">
        <f t="shared" si="270"/>
        <v/>
      </c>
      <c r="FI204" s="139" t="str">
        <f t="shared" si="271"/>
        <v/>
      </c>
      <c r="FJ204" s="139" t="str">
        <f t="shared" si="272"/>
        <v/>
      </c>
      <c r="FK204" s="139" t="str">
        <f t="shared" si="273"/>
        <v/>
      </c>
      <c r="FL204" s="139" t="str">
        <f t="shared" si="274"/>
        <v/>
      </c>
      <c r="FM204" s="139" t="str">
        <f t="shared" si="275"/>
        <v/>
      </c>
      <c r="FN204" s="139" t="str">
        <f t="shared" si="276"/>
        <v/>
      </c>
      <c r="FO204" s="139" t="str">
        <f t="shared" si="277"/>
        <v/>
      </c>
      <c r="FP204" s="139" t="str">
        <f t="shared" si="278"/>
        <v/>
      </c>
      <c r="FQ204" s="139" t="str">
        <f t="shared" si="279"/>
        <v/>
      </c>
      <c r="FR204" s="139" t="str">
        <f t="shared" si="280"/>
        <v/>
      </c>
      <c r="FS204" s="139" t="str">
        <f t="shared" si="281"/>
        <v/>
      </c>
      <c r="FT204" s="139" t="str">
        <f t="shared" si="282"/>
        <v/>
      </c>
      <c r="FU204" s="148" t="str">
        <f t="shared" si="283"/>
        <v/>
      </c>
      <c r="FV204" s="149"/>
      <c r="FY204" s="211">
        <v>199</v>
      </c>
      <c r="FZ204">
        <v>18.947989784862433</v>
      </c>
      <c r="GA204">
        <v>16.399022534083141</v>
      </c>
      <c r="GB204">
        <v>5.0164121593953146</v>
      </c>
      <c r="GC204">
        <v>2.9571481648383</v>
      </c>
      <c r="GD204">
        <v>1.4091846570921616</v>
      </c>
      <c r="GE204">
        <v>1.9510700649452803</v>
      </c>
      <c r="GF204">
        <v>1.7376891389387068</v>
      </c>
      <c r="GG204">
        <v>1.838625950142275</v>
      </c>
      <c r="GH204">
        <v>4.2759460979841997</v>
      </c>
      <c r="GI204">
        <v>5.8370026264924864</v>
      </c>
      <c r="GJ204"/>
      <c r="GK204">
        <v>19.011058928343346</v>
      </c>
      <c r="GL204">
        <v>13.897069948283839</v>
      </c>
      <c r="GM204">
        <v>8.3468952531356475</v>
      </c>
      <c r="GN204">
        <v>8.8610500646568013</v>
      </c>
      <c r="GO204">
        <v>5.4630721564806137</v>
      </c>
      <c r="GP204">
        <v>3.7353258560295153</v>
      </c>
      <c r="GQ204">
        <v>2.1270417649191296</v>
      </c>
      <c r="GR204">
        <v>2.5859538019561663</v>
      </c>
      <c r="GS204">
        <v>4.5592626110913717</v>
      </c>
      <c r="GT204">
        <v>7.901466142794022</v>
      </c>
      <c r="GU204"/>
      <c r="GV204"/>
      <c r="GW204"/>
      <c r="GX204"/>
      <c r="GY204"/>
      <c r="GZ204"/>
      <c r="HA204"/>
      <c r="HB204"/>
      <c r="HC204"/>
    </row>
    <row r="205" spans="1:211" s="7" customFormat="1">
      <c r="A205" s="1"/>
      <c r="B205" s="76" t="str">
        <f t="shared" ca="1" si="250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62.730891358767849</v>
      </c>
      <c r="AO205">
        <v>7.3112622065605395</v>
      </c>
      <c r="AP205">
        <v>4.4101588496898767</v>
      </c>
      <c r="AQ205">
        <v>52.722360655629345</v>
      </c>
      <c r="AR205">
        <v>7.8523547555208157</v>
      </c>
      <c r="AS205">
        <v>47.012724580616201</v>
      </c>
      <c r="AT205">
        <v>6.2736964142732896</v>
      </c>
      <c r="AU205">
        <v>-3.5983284958072783</v>
      </c>
      <c r="AV205"/>
      <c r="AW205"/>
      <c r="AX205" s="146"/>
      <c r="AY205" s="76" t="str">
        <f t="shared" ca="1" si="173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8"/>
        <v/>
      </c>
      <c r="CL205" s="179" t="str">
        <f t="shared" si="209"/>
        <v/>
      </c>
      <c r="CM205" s="180" t="str">
        <f t="shared" si="210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1"/>
        <v/>
      </c>
      <c r="DB205" s="146"/>
      <c r="DC205" s="76" t="str">
        <f t="shared" ca="1" si="174"/>
        <v/>
      </c>
      <c r="DD205" t="str">
        <f t="shared" si="212"/>
        <v/>
      </c>
      <c r="DE205" s="129" t="str">
        <f t="shared" si="338"/>
        <v/>
      </c>
      <c r="DF205" s="161" t="str">
        <f t="shared" si="285"/>
        <v/>
      </c>
      <c r="DG205" s="161" t="str">
        <f t="shared" si="286"/>
        <v/>
      </c>
      <c r="DH205" s="161" t="str">
        <f t="shared" si="287"/>
        <v/>
      </c>
      <c r="DI205" s="161" t="str">
        <f t="shared" si="288"/>
        <v/>
      </c>
      <c r="DJ205" s="161" t="str">
        <f t="shared" si="289"/>
        <v/>
      </c>
      <c r="DK205" s="161" t="str">
        <f t="shared" si="290"/>
        <v/>
      </c>
      <c r="DL205" s="161" t="str">
        <f t="shared" si="291"/>
        <v/>
      </c>
      <c r="DM205" s="161" t="str">
        <f t="shared" si="292"/>
        <v/>
      </c>
      <c r="DN205" s="161" t="str">
        <f t="shared" si="315"/>
        <v/>
      </c>
      <c r="DO205" s="161" t="str">
        <f t="shared" si="316"/>
        <v/>
      </c>
      <c r="DP205" s="161" t="str">
        <f t="shared" si="317"/>
        <v/>
      </c>
      <c r="DQ205" s="161" t="str">
        <f t="shared" si="318"/>
        <v/>
      </c>
      <c r="DR205" s="161" t="str">
        <f t="shared" si="319"/>
        <v/>
      </c>
      <c r="DS205" s="161" t="str">
        <f t="shared" si="320"/>
        <v/>
      </c>
      <c r="DT205" s="161" t="str">
        <f t="shared" si="321"/>
        <v/>
      </c>
      <c r="DU205" s="161" t="str">
        <f t="shared" si="322"/>
        <v/>
      </c>
      <c r="DV205" s="161" t="str">
        <f t="shared" si="323"/>
        <v/>
      </c>
      <c r="DW205" s="161" t="str">
        <f t="shared" si="324"/>
        <v/>
      </c>
      <c r="DX205" s="161" t="str">
        <f t="shared" si="325"/>
        <v/>
      </c>
      <c r="DY205" s="161" t="str">
        <f t="shared" si="326"/>
        <v/>
      </c>
      <c r="DZ205" s="161" t="str">
        <f t="shared" si="327"/>
        <v/>
      </c>
      <c r="EA205" s="161" t="str">
        <f t="shared" si="328"/>
        <v/>
      </c>
      <c r="EB205" s="161" t="str">
        <f t="shared" si="329"/>
        <v/>
      </c>
      <c r="EC205" s="161" t="str">
        <f t="shared" si="330"/>
        <v/>
      </c>
      <c r="ED205" s="161" t="str">
        <f t="shared" si="331"/>
        <v/>
      </c>
      <c r="EE205" s="161" t="str">
        <f t="shared" si="332"/>
        <v/>
      </c>
      <c r="EF205" s="161" t="str">
        <f t="shared" si="333"/>
        <v/>
      </c>
      <c r="EG205" s="161" t="str">
        <f t="shared" si="334"/>
        <v/>
      </c>
      <c r="EH205" s="161" t="str">
        <f t="shared" si="335"/>
        <v/>
      </c>
      <c r="EI205" s="161" t="str">
        <f t="shared" si="336"/>
        <v/>
      </c>
      <c r="EJ205" s="161" t="str">
        <f t="shared" si="337"/>
        <v/>
      </c>
      <c r="EK205" s="147" t="str">
        <f t="shared" si="251"/>
        <v/>
      </c>
      <c r="EL205" s="149"/>
      <c r="EN205" s="146"/>
      <c r="EO205" s="146"/>
      <c r="EP205" s="139" t="str">
        <f t="shared" si="252"/>
        <v/>
      </c>
      <c r="EQ205" s="139" t="str">
        <f t="shared" si="253"/>
        <v/>
      </c>
      <c r="ER205" s="139" t="str">
        <f t="shared" si="254"/>
        <v/>
      </c>
      <c r="ES205" s="139" t="str">
        <f t="shared" si="255"/>
        <v/>
      </c>
      <c r="ET205" s="139" t="str">
        <f t="shared" si="256"/>
        <v/>
      </c>
      <c r="EU205" s="139" t="str">
        <f t="shared" si="257"/>
        <v/>
      </c>
      <c r="EV205" s="139" t="str">
        <f t="shared" si="258"/>
        <v/>
      </c>
      <c r="EW205" s="139" t="str">
        <f t="shared" si="259"/>
        <v/>
      </c>
      <c r="EX205" s="139" t="str">
        <f t="shared" si="260"/>
        <v/>
      </c>
      <c r="EY205" s="139" t="str">
        <f t="shared" si="261"/>
        <v/>
      </c>
      <c r="EZ205" s="139" t="str">
        <f t="shared" si="262"/>
        <v/>
      </c>
      <c r="FA205" s="139" t="str">
        <f t="shared" si="263"/>
        <v/>
      </c>
      <c r="FB205" s="139" t="str">
        <f t="shared" si="264"/>
        <v/>
      </c>
      <c r="FC205" s="139" t="str">
        <f t="shared" si="265"/>
        <v/>
      </c>
      <c r="FD205" s="139" t="str">
        <f t="shared" si="266"/>
        <v/>
      </c>
      <c r="FE205" s="139" t="str">
        <f t="shared" si="267"/>
        <v/>
      </c>
      <c r="FF205" s="139" t="str">
        <f t="shared" si="268"/>
        <v/>
      </c>
      <c r="FG205" s="139" t="str">
        <f t="shared" si="269"/>
        <v/>
      </c>
      <c r="FH205" s="139" t="str">
        <f t="shared" si="270"/>
        <v/>
      </c>
      <c r="FI205" s="139" t="str">
        <f t="shared" si="271"/>
        <v/>
      </c>
      <c r="FJ205" s="139" t="str">
        <f t="shared" si="272"/>
        <v/>
      </c>
      <c r="FK205" s="139" t="str">
        <f t="shared" si="273"/>
        <v/>
      </c>
      <c r="FL205" s="139" t="str">
        <f t="shared" si="274"/>
        <v/>
      </c>
      <c r="FM205" s="139" t="str">
        <f t="shared" si="275"/>
        <v/>
      </c>
      <c r="FN205" s="139" t="str">
        <f t="shared" si="276"/>
        <v/>
      </c>
      <c r="FO205" s="139" t="str">
        <f t="shared" si="277"/>
        <v/>
      </c>
      <c r="FP205" s="139" t="str">
        <f t="shared" si="278"/>
        <v/>
      </c>
      <c r="FQ205" s="139" t="str">
        <f t="shared" si="279"/>
        <v/>
      </c>
      <c r="FR205" s="139" t="str">
        <f t="shared" si="280"/>
        <v/>
      </c>
      <c r="FS205" s="139" t="str">
        <f t="shared" si="281"/>
        <v/>
      </c>
      <c r="FT205" s="139" t="str">
        <f t="shared" si="282"/>
        <v/>
      </c>
      <c r="FU205" s="148" t="str">
        <f t="shared" si="283"/>
        <v/>
      </c>
      <c r="FV205" s="149"/>
      <c r="FY205" s="211">
        <v>200</v>
      </c>
      <c r="FZ205">
        <v>12.329808639376257</v>
      </c>
      <c r="GA205">
        <v>11.24923495262253</v>
      </c>
      <c r="GB205">
        <v>6.8640476347985677</v>
      </c>
      <c r="GC205">
        <v>3.7666584550666213</v>
      </c>
      <c r="GD205">
        <v>1.5480922241918103</v>
      </c>
      <c r="GE205">
        <v>1.7885114185714286</v>
      </c>
      <c r="GF205">
        <v>5.5254261562500004E-2</v>
      </c>
      <c r="GG205">
        <v>0.74838305208333333</v>
      </c>
      <c r="GH205">
        <v>6.2096020917770849</v>
      </c>
      <c r="GI205">
        <v>5.3942741484492513</v>
      </c>
      <c r="GJ205"/>
      <c r="GK205">
        <v>12.370399609440812</v>
      </c>
      <c r="GL205">
        <v>9.5312223189797702</v>
      </c>
      <c r="GM205">
        <v>11.449548532216577</v>
      </c>
      <c r="GN205">
        <v>11.35419401653385</v>
      </c>
      <c r="GO205">
        <v>6.022122788592605</v>
      </c>
      <c r="GP205">
        <v>3.4241071428571428</v>
      </c>
      <c r="GQ205">
        <v>6.7708333333333329E-2</v>
      </c>
      <c r="GR205">
        <v>1.0532407407407407</v>
      </c>
      <c r="GS205">
        <v>6.6211500670596726</v>
      </c>
      <c r="GT205">
        <v>7.3061858661286001</v>
      </c>
      <c r="GU205"/>
      <c r="GV205"/>
      <c r="GW205"/>
      <c r="GX205"/>
      <c r="GY205"/>
      <c r="GZ205"/>
      <c r="HA205"/>
      <c r="HB205"/>
      <c r="HC205"/>
    </row>
    <row r="206" spans="1:211" s="7" customFormat="1">
      <c r="A206" s="1"/>
      <c r="B206" s="76" t="str">
        <f t="shared" ca="1" si="250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51.974971526293757</v>
      </c>
      <c r="AO206">
        <v>6.6616793777140701</v>
      </c>
      <c r="AP206">
        <v>43.674855093590921</v>
      </c>
      <c r="AQ206">
        <v>45.317275579839574</v>
      </c>
      <c r="AR206">
        <v>6.8264858777176265</v>
      </c>
      <c r="AS206">
        <v>40.891831139475478</v>
      </c>
      <c r="AT206" t="e">
        <v>#DIV/0!</v>
      </c>
      <c r="AU206" t="e">
        <v>#DIV/0!</v>
      </c>
      <c r="AV206"/>
      <c r="AW206"/>
      <c r="AX206" s="146"/>
      <c r="AY206" s="76" t="str">
        <f t="shared" ca="1" si="173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8"/>
        <v/>
      </c>
      <c r="CL206" s="179" t="str">
        <f t="shared" si="209"/>
        <v/>
      </c>
      <c r="CM206" s="180" t="str">
        <f t="shared" si="210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1"/>
        <v/>
      </c>
      <c r="DB206" s="146"/>
      <c r="DC206" s="76" t="str">
        <f t="shared" ca="1" si="174"/>
        <v/>
      </c>
      <c r="DD206" t="str">
        <f t="shared" si="212"/>
        <v/>
      </c>
      <c r="DE206" s="129" t="str">
        <f t="shared" si="338"/>
        <v/>
      </c>
      <c r="DF206" s="161" t="str">
        <f t="shared" si="285"/>
        <v/>
      </c>
      <c r="DG206" s="161" t="str">
        <f t="shared" si="286"/>
        <v/>
      </c>
      <c r="DH206" s="161" t="str">
        <f t="shared" si="287"/>
        <v/>
      </c>
      <c r="DI206" s="161" t="str">
        <f t="shared" si="288"/>
        <v/>
      </c>
      <c r="DJ206" s="161" t="str">
        <f t="shared" si="289"/>
        <v/>
      </c>
      <c r="DK206" s="161" t="str">
        <f t="shared" si="290"/>
        <v/>
      </c>
      <c r="DL206" s="161" t="str">
        <f t="shared" si="291"/>
        <v/>
      </c>
      <c r="DM206" s="161" t="str">
        <f t="shared" si="292"/>
        <v/>
      </c>
      <c r="DN206" s="161" t="str">
        <f t="shared" si="315"/>
        <v/>
      </c>
      <c r="DO206" s="161" t="str">
        <f t="shared" si="316"/>
        <v/>
      </c>
      <c r="DP206" s="161" t="str">
        <f t="shared" si="317"/>
        <v/>
      </c>
      <c r="DQ206" s="161" t="str">
        <f t="shared" si="318"/>
        <v/>
      </c>
      <c r="DR206" s="161" t="str">
        <f t="shared" si="319"/>
        <v/>
      </c>
      <c r="DS206" s="161" t="str">
        <f t="shared" si="320"/>
        <v/>
      </c>
      <c r="DT206" s="161" t="str">
        <f t="shared" si="321"/>
        <v/>
      </c>
      <c r="DU206" s="161" t="str">
        <f t="shared" si="322"/>
        <v/>
      </c>
      <c r="DV206" s="161" t="str">
        <f t="shared" si="323"/>
        <v/>
      </c>
      <c r="DW206" s="161" t="str">
        <f t="shared" si="324"/>
        <v/>
      </c>
      <c r="DX206" s="161" t="str">
        <f t="shared" si="325"/>
        <v/>
      </c>
      <c r="DY206" s="161" t="str">
        <f t="shared" si="326"/>
        <v/>
      </c>
      <c r="DZ206" s="161" t="str">
        <f t="shared" si="327"/>
        <v/>
      </c>
      <c r="EA206" s="161" t="str">
        <f t="shared" si="328"/>
        <v/>
      </c>
      <c r="EB206" s="161" t="str">
        <f t="shared" si="329"/>
        <v/>
      </c>
      <c r="EC206" s="161" t="str">
        <f t="shared" si="330"/>
        <v/>
      </c>
      <c r="ED206" s="161" t="str">
        <f t="shared" si="331"/>
        <v/>
      </c>
      <c r="EE206" s="161" t="str">
        <f t="shared" si="332"/>
        <v/>
      </c>
      <c r="EF206" s="161" t="str">
        <f t="shared" si="333"/>
        <v/>
      </c>
      <c r="EG206" s="161" t="str">
        <f t="shared" si="334"/>
        <v/>
      </c>
      <c r="EH206" s="161" t="str">
        <f t="shared" si="335"/>
        <v/>
      </c>
      <c r="EI206" s="161" t="str">
        <f t="shared" si="336"/>
        <v/>
      </c>
      <c r="EJ206" s="161" t="str">
        <f t="shared" si="337"/>
        <v/>
      </c>
      <c r="EK206" s="147" t="str">
        <f t="shared" si="251"/>
        <v/>
      </c>
      <c r="EL206" s="149"/>
      <c r="EN206" s="146"/>
      <c r="EO206" s="146"/>
      <c r="EP206" s="139" t="str">
        <f t="shared" si="252"/>
        <v/>
      </c>
      <c r="EQ206" s="139" t="str">
        <f t="shared" si="253"/>
        <v/>
      </c>
      <c r="ER206" s="139" t="str">
        <f t="shared" si="254"/>
        <v/>
      </c>
      <c r="ES206" s="139" t="str">
        <f t="shared" si="255"/>
        <v/>
      </c>
      <c r="ET206" s="139" t="str">
        <f t="shared" si="256"/>
        <v/>
      </c>
      <c r="EU206" s="139" t="str">
        <f t="shared" si="257"/>
        <v/>
      </c>
      <c r="EV206" s="139" t="str">
        <f t="shared" si="258"/>
        <v/>
      </c>
      <c r="EW206" s="139" t="str">
        <f t="shared" si="259"/>
        <v/>
      </c>
      <c r="EX206" s="139" t="str">
        <f t="shared" si="260"/>
        <v/>
      </c>
      <c r="EY206" s="139" t="str">
        <f t="shared" si="261"/>
        <v/>
      </c>
      <c r="EZ206" s="139" t="str">
        <f t="shared" si="262"/>
        <v/>
      </c>
      <c r="FA206" s="139" t="str">
        <f t="shared" si="263"/>
        <v/>
      </c>
      <c r="FB206" s="139" t="str">
        <f t="shared" si="264"/>
        <v/>
      </c>
      <c r="FC206" s="139" t="str">
        <f t="shared" si="265"/>
        <v/>
      </c>
      <c r="FD206" s="139" t="str">
        <f t="shared" si="266"/>
        <v/>
      </c>
      <c r="FE206" s="139" t="str">
        <f t="shared" si="267"/>
        <v/>
      </c>
      <c r="FF206" s="139" t="str">
        <f t="shared" si="268"/>
        <v/>
      </c>
      <c r="FG206" s="139" t="str">
        <f t="shared" si="269"/>
        <v/>
      </c>
      <c r="FH206" s="139" t="str">
        <f t="shared" si="270"/>
        <v/>
      </c>
      <c r="FI206" s="139" t="str">
        <f t="shared" si="271"/>
        <v/>
      </c>
      <c r="FJ206" s="139" t="str">
        <f t="shared" si="272"/>
        <v/>
      </c>
      <c r="FK206" s="139" t="str">
        <f t="shared" si="273"/>
        <v/>
      </c>
      <c r="FL206" s="139" t="str">
        <f t="shared" si="274"/>
        <v/>
      </c>
      <c r="FM206" s="139" t="str">
        <f t="shared" si="275"/>
        <v/>
      </c>
      <c r="FN206" s="139" t="str">
        <f t="shared" si="276"/>
        <v/>
      </c>
      <c r="FO206" s="139" t="str">
        <f t="shared" si="277"/>
        <v/>
      </c>
      <c r="FP206" s="139" t="str">
        <f t="shared" si="278"/>
        <v/>
      </c>
      <c r="FQ206" s="139" t="str">
        <f t="shared" si="279"/>
        <v/>
      </c>
      <c r="FR206" s="139" t="str">
        <f t="shared" si="280"/>
        <v/>
      </c>
      <c r="FS206" s="139" t="str">
        <f t="shared" si="281"/>
        <v/>
      </c>
      <c r="FT206" s="139" t="str">
        <f t="shared" si="282"/>
        <v/>
      </c>
      <c r="FU206" s="148" t="str">
        <f t="shared" si="283"/>
        <v/>
      </c>
      <c r="FV206" s="149"/>
      <c r="FY206" s="211">
        <v>201</v>
      </c>
      <c r="FZ206">
        <v>7.0484825884457898</v>
      </c>
      <c r="GA206">
        <v>5.3274448584294527</v>
      </c>
      <c r="GB206">
        <v>5.7608481690999707</v>
      </c>
      <c r="GC206">
        <v>3.2929655308941062</v>
      </c>
      <c r="GD206">
        <v>1.1163779255006989</v>
      </c>
      <c r="GE206">
        <v>1.1343611652941177</v>
      </c>
      <c r="GF206">
        <v>2.912442786941424</v>
      </c>
      <c r="GG206">
        <v>2.535412406709304</v>
      </c>
      <c r="GH206">
        <v>4.7453955511502128</v>
      </c>
      <c r="GI206">
        <v>4.3792138329366823</v>
      </c>
      <c r="GJ206"/>
      <c r="GK206">
        <v>7.0732191594563636</v>
      </c>
      <c r="GL206">
        <v>4.5142784493502948</v>
      </c>
      <c r="GM206">
        <v>9.6174901431982249</v>
      </c>
      <c r="GN206">
        <v>9.9267674137657611</v>
      </c>
      <c r="GO206">
        <v>4.3387528528688186</v>
      </c>
      <c r="GP206">
        <v>2.1717357397504458</v>
      </c>
      <c r="GQ206">
        <v>3.5665798083973907</v>
      </c>
      <c r="GR206">
        <v>3.5665798083973907</v>
      </c>
      <c r="GS206">
        <v>5.0580756747934359</v>
      </c>
      <c r="GT206">
        <v>5.9308235277428469</v>
      </c>
      <c r="GU206"/>
      <c r="GV206"/>
      <c r="GW206"/>
      <c r="GX206"/>
      <c r="GY206"/>
      <c r="GZ206"/>
      <c r="HA206"/>
      <c r="HB206"/>
      <c r="HC206"/>
    </row>
    <row r="207" spans="1:211" s="7" customFormat="1">
      <c r="A207" s="1"/>
      <c r="B207" s="76" t="str">
        <f t="shared" ca="1" si="250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61.282109041871976</v>
      </c>
      <c r="AO207">
        <v>7.4952559095025517</v>
      </c>
      <c r="AP207">
        <v>4.4225047862649269</v>
      </c>
      <c r="AQ207">
        <v>53.46585526210113</v>
      </c>
      <c r="AR207">
        <v>7.7666228465098746</v>
      </c>
      <c r="AS207">
        <v>47.81214298570216</v>
      </c>
      <c r="AT207">
        <v>6.1980731507977822</v>
      </c>
      <c r="AU207">
        <v>1.2794237577760459</v>
      </c>
      <c r="AV207"/>
      <c r="AW207"/>
      <c r="AX207" s="146"/>
      <c r="AY207" s="76" t="str">
        <f t="shared" ca="1" si="173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8"/>
        <v/>
      </c>
      <c r="CL207" s="179" t="str">
        <f t="shared" si="209"/>
        <v/>
      </c>
      <c r="CM207" s="180" t="str">
        <f t="shared" si="210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1"/>
        <v/>
      </c>
      <c r="DB207" s="146"/>
      <c r="DC207" s="76" t="str">
        <f t="shared" ca="1" si="174"/>
        <v/>
      </c>
      <c r="DD207" t="str">
        <f t="shared" si="212"/>
        <v/>
      </c>
      <c r="DE207" s="129" t="str">
        <f t="shared" si="338"/>
        <v/>
      </c>
      <c r="DF207" s="161" t="str">
        <f t="shared" si="285"/>
        <v/>
      </c>
      <c r="DG207" s="161" t="str">
        <f t="shared" si="286"/>
        <v/>
      </c>
      <c r="DH207" s="161" t="str">
        <f t="shared" si="287"/>
        <v/>
      </c>
      <c r="DI207" s="161" t="str">
        <f t="shared" si="288"/>
        <v/>
      </c>
      <c r="DJ207" s="161" t="str">
        <f t="shared" si="289"/>
        <v/>
      </c>
      <c r="DK207" s="161" t="str">
        <f t="shared" si="290"/>
        <v/>
      </c>
      <c r="DL207" s="161" t="str">
        <f t="shared" si="291"/>
        <v/>
      </c>
      <c r="DM207" s="161" t="str">
        <f t="shared" si="292"/>
        <v/>
      </c>
      <c r="DN207" s="161" t="str">
        <f t="shared" si="315"/>
        <v/>
      </c>
      <c r="DO207" s="161" t="str">
        <f t="shared" ref="DO207:EJ207" si="339">IF($AZ207="", "", (BK207*$CW207)/$CZ207)</f>
        <v/>
      </c>
      <c r="DP207" s="161" t="str">
        <f t="shared" si="339"/>
        <v/>
      </c>
      <c r="DQ207" s="161" t="str">
        <f t="shared" si="339"/>
        <v/>
      </c>
      <c r="DR207" s="161" t="str">
        <f t="shared" si="339"/>
        <v/>
      </c>
      <c r="DS207" s="161" t="str">
        <f t="shared" si="339"/>
        <v/>
      </c>
      <c r="DT207" s="161" t="str">
        <f t="shared" si="339"/>
        <v/>
      </c>
      <c r="DU207" s="161" t="str">
        <f t="shared" si="339"/>
        <v/>
      </c>
      <c r="DV207" s="161" t="str">
        <f t="shared" si="339"/>
        <v/>
      </c>
      <c r="DW207" s="161" t="str">
        <f t="shared" si="339"/>
        <v/>
      </c>
      <c r="DX207" s="161" t="str">
        <f t="shared" si="339"/>
        <v/>
      </c>
      <c r="DY207" s="161" t="str">
        <f t="shared" si="339"/>
        <v/>
      </c>
      <c r="DZ207" s="161" t="str">
        <f t="shared" si="339"/>
        <v/>
      </c>
      <c r="EA207" s="161" t="str">
        <f t="shared" si="339"/>
        <v/>
      </c>
      <c r="EB207" s="161" t="str">
        <f t="shared" si="339"/>
        <v/>
      </c>
      <c r="EC207" s="161" t="str">
        <f t="shared" si="339"/>
        <v/>
      </c>
      <c r="ED207" s="161" t="str">
        <f t="shared" si="339"/>
        <v/>
      </c>
      <c r="EE207" s="161" t="str">
        <f t="shared" si="339"/>
        <v/>
      </c>
      <c r="EF207" s="161" t="str">
        <f t="shared" si="339"/>
        <v/>
      </c>
      <c r="EG207" s="161" t="str">
        <f t="shared" si="339"/>
        <v/>
      </c>
      <c r="EH207" s="161" t="str">
        <f t="shared" si="339"/>
        <v/>
      </c>
      <c r="EI207" s="161" t="str">
        <f t="shared" si="339"/>
        <v/>
      </c>
      <c r="EJ207" s="161" t="str">
        <f t="shared" si="339"/>
        <v/>
      </c>
      <c r="EK207" s="147" t="str">
        <f t="shared" si="251"/>
        <v/>
      </c>
      <c r="EL207" s="149"/>
      <c r="EN207" s="146"/>
      <c r="EO207" s="146"/>
      <c r="EP207" s="139" t="str">
        <f t="shared" si="252"/>
        <v/>
      </c>
      <c r="EQ207" s="139" t="str">
        <f t="shared" si="253"/>
        <v/>
      </c>
      <c r="ER207" s="139" t="str">
        <f t="shared" si="254"/>
        <v/>
      </c>
      <c r="ES207" s="139" t="str">
        <f t="shared" si="255"/>
        <v/>
      </c>
      <c r="ET207" s="139" t="str">
        <f t="shared" si="256"/>
        <v/>
      </c>
      <c r="EU207" s="139" t="str">
        <f t="shared" si="257"/>
        <v/>
      </c>
      <c r="EV207" s="139" t="str">
        <f t="shared" si="258"/>
        <v/>
      </c>
      <c r="EW207" s="139" t="str">
        <f t="shared" si="259"/>
        <v/>
      </c>
      <c r="EX207" s="139" t="str">
        <f t="shared" si="260"/>
        <v/>
      </c>
      <c r="EY207" s="139" t="str">
        <f t="shared" si="261"/>
        <v/>
      </c>
      <c r="EZ207" s="139" t="str">
        <f t="shared" si="262"/>
        <v/>
      </c>
      <c r="FA207" s="139" t="str">
        <f t="shared" si="263"/>
        <v/>
      </c>
      <c r="FB207" s="139" t="str">
        <f t="shared" si="264"/>
        <v/>
      </c>
      <c r="FC207" s="139" t="str">
        <f t="shared" si="265"/>
        <v/>
      </c>
      <c r="FD207" s="139" t="str">
        <f t="shared" si="266"/>
        <v/>
      </c>
      <c r="FE207" s="139" t="str">
        <f t="shared" si="267"/>
        <v/>
      </c>
      <c r="FF207" s="139" t="str">
        <f t="shared" si="268"/>
        <v/>
      </c>
      <c r="FG207" s="139" t="str">
        <f t="shared" si="269"/>
        <v/>
      </c>
      <c r="FH207" s="139" t="str">
        <f t="shared" si="270"/>
        <v/>
      </c>
      <c r="FI207" s="139" t="str">
        <f t="shared" si="271"/>
        <v/>
      </c>
      <c r="FJ207" s="139" t="str">
        <f t="shared" si="272"/>
        <v/>
      </c>
      <c r="FK207" s="139" t="str">
        <f t="shared" si="273"/>
        <v/>
      </c>
      <c r="FL207" s="139" t="str">
        <f t="shared" si="274"/>
        <v/>
      </c>
      <c r="FM207" s="139" t="str">
        <f t="shared" si="275"/>
        <v/>
      </c>
      <c r="FN207" s="139" t="str">
        <f t="shared" si="276"/>
        <v/>
      </c>
      <c r="FO207" s="139" t="str">
        <f t="shared" si="277"/>
        <v/>
      </c>
      <c r="FP207" s="139" t="str">
        <f t="shared" si="278"/>
        <v/>
      </c>
      <c r="FQ207" s="139" t="str">
        <f t="shared" si="279"/>
        <v/>
      </c>
      <c r="FR207" s="139" t="str">
        <f t="shared" si="280"/>
        <v/>
      </c>
      <c r="FS207" s="139" t="str">
        <f t="shared" si="281"/>
        <v/>
      </c>
      <c r="FT207" s="139" t="str">
        <f t="shared" si="282"/>
        <v/>
      </c>
      <c r="FU207" s="148" t="str">
        <f t="shared" si="283"/>
        <v/>
      </c>
      <c r="FV207" s="149"/>
      <c r="FY207" s="211">
        <v>202</v>
      </c>
      <c r="FZ207">
        <v>15.192537960418182</v>
      </c>
      <c r="GA207">
        <v>14.762692053623359</v>
      </c>
      <c r="GB207">
        <v>4.9552401140015787</v>
      </c>
      <c r="GC207">
        <v>2.9763903741812179</v>
      </c>
      <c r="GD207">
        <v>1.8372186629331968</v>
      </c>
      <c r="GE207">
        <v>2.4108286499452811</v>
      </c>
      <c r="GF207">
        <v>0.59244847119791655</v>
      </c>
      <c r="GG207">
        <v>0.84193093359375004</v>
      </c>
      <c r="GH207">
        <v>3.4321442543836684</v>
      </c>
      <c r="GI207">
        <v>5.1692711699132481</v>
      </c>
      <c r="GJ207"/>
      <c r="GK207">
        <v>15.236859244566462</v>
      </c>
      <c r="GL207">
        <v>12.509968301904731</v>
      </c>
      <c r="GM207">
        <v>8.2031781068180774</v>
      </c>
      <c r="GN207">
        <v>8.8628207254557605</v>
      </c>
      <c r="GO207">
        <v>7.1329166505513681</v>
      </c>
      <c r="GP207">
        <v>4.6155341893628501</v>
      </c>
      <c r="GQ207">
        <v>0.72598379629629617</v>
      </c>
      <c r="GR207">
        <v>1.1848958333333333</v>
      </c>
      <c r="GS207">
        <v>3.6596451286437173</v>
      </c>
      <c r="GT207">
        <v>6.991716585375185</v>
      </c>
      <c r="GU207"/>
      <c r="GV207"/>
      <c r="GW207"/>
      <c r="GX207"/>
      <c r="GY207"/>
      <c r="GZ207"/>
      <c r="HA207"/>
      <c r="HB207"/>
      <c r="HC207"/>
    </row>
    <row r="208" spans="1:211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51.752579092693317</v>
      </c>
      <c r="AO208">
        <v>5.8087435116816435</v>
      </c>
      <c r="AP208">
        <v>2.1246375969077906</v>
      </c>
      <c r="AQ208">
        <v>41.789331765492108</v>
      </c>
      <c r="AR208">
        <v>6.2293698226356282</v>
      </c>
      <c r="AS208">
        <v>39.062475049541696</v>
      </c>
      <c r="AT208">
        <v>4.9801805478591747</v>
      </c>
      <c r="AU208">
        <v>2.1522587053981619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9.3145819158207406</v>
      </c>
      <c r="GA208">
        <v>10.332638292232176</v>
      </c>
      <c r="GB208">
        <v>5.7815222321946926</v>
      </c>
      <c r="GC208">
        <v>2.1615049767861421</v>
      </c>
      <c r="GD208">
        <v>1.731995331030473</v>
      </c>
      <c r="GE208">
        <v>2.5977634592309951</v>
      </c>
      <c r="GF208">
        <v>2.9054852902641888</v>
      </c>
      <c r="GG208">
        <v>3.6514536025263982</v>
      </c>
      <c r="GH208">
        <v>5.1093748821937899</v>
      </c>
      <c r="GI208">
        <v>5.1236270363357006</v>
      </c>
      <c r="GJ208"/>
      <c r="GK208">
        <v>9.3396007721850687</v>
      </c>
      <c r="GL208">
        <v>8.7532972426816116</v>
      </c>
      <c r="GM208">
        <v>9.5748901527720367</v>
      </c>
      <c r="GN208">
        <v>6.4374187606492193</v>
      </c>
      <c r="GO208">
        <v>6.7139583378840921</v>
      </c>
      <c r="GP208">
        <v>4.9734210941247534</v>
      </c>
      <c r="GQ208">
        <v>3.5557391256514634</v>
      </c>
      <c r="GR208">
        <v>5.1356002367625742</v>
      </c>
      <c r="GS208">
        <v>5.4490445451835452</v>
      </c>
      <c r="GT208">
        <v>6.9266465867352407</v>
      </c>
      <c r="GU208"/>
      <c r="GV208"/>
      <c r="GW208"/>
      <c r="GX208"/>
      <c r="GY208"/>
      <c r="GZ208"/>
      <c r="HA208"/>
      <c r="HB208"/>
      <c r="HC208"/>
    </row>
    <row r="209" spans="1:211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61.296381453610863</v>
      </c>
      <c r="AO209">
        <v>7.732955280607352</v>
      </c>
      <c r="AP209">
        <v>90.726662882882351</v>
      </c>
      <c r="AQ209">
        <v>58.177603787898889</v>
      </c>
      <c r="AR209">
        <v>8.1169622723334207</v>
      </c>
      <c r="AS209">
        <v>50.533955632742426</v>
      </c>
      <c r="AT209" t="e">
        <v>#DIV/0!</v>
      </c>
      <c r="AU209" t="e">
        <v>#DIV/0!</v>
      </c>
      <c r="AV209"/>
      <c r="AW209"/>
      <c r="FY209" s="211">
        <v>204</v>
      </c>
      <c r="FZ209">
        <v>11.507165850672845</v>
      </c>
      <c r="GA209">
        <v>12.682027172539756</v>
      </c>
      <c r="GB209">
        <v>4.338429694562393</v>
      </c>
      <c r="GC209">
        <v>2.7392351777356683</v>
      </c>
      <c r="GD209">
        <v>1.9754048235214878</v>
      </c>
      <c r="GE209">
        <v>2.0218021549452803</v>
      </c>
      <c r="GF209">
        <v>2.3526930937213151</v>
      </c>
      <c r="GG209">
        <v>2.3741149414466225</v>
      </c>
      <c r="GH209">
        <v>6.3918472622244131</v>
      </c>
      <c r="GI209">
        <v>5.342616535038105</v>
      </c>
      <c r="GJ209"/>
      <c r="GK209">
        <v>11.539574962545229</v>
      </c>
      <c r="GL209">
        <v>10.74525893493937</v>
      </c>
      <c r="GM209">
        <v>7.1853170094099337</v>
      </c>
      <c r="GN209">
        <v>8.2110468669532004</v>
      </c>
      <c r="GO209">
        <v>7.7206130585492758</v>
      </c>
      <c r="GP209">
        <v>3.8707425226961814</v>
      </c>
      <c r="GQ209">
        <v>2.8806649533249269</v>
      </c>
      <c r="GR209">
        <v>3.3395769903619632</v>
      </c>
      <c r="GS209">
        <v>6.8141669953460431</v>
      </c>
      <c r="GT209">
        <v>7.2280673958350832</v>
      </c>
      <c r="GU209"/>
      <c r="GV209"/>
      <c r="GW209"/>
      <c r="GX209"/>
      <c r="GY209"/>
      <c r="GZ209"/>
      <c r="HA209"/>
      <c r="HB209"/>
      <c r="HC209"/>
    </row>
    <row r="210" spans="1:211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56.571408357268311</v>
      </c>
      <c r="AO210">
        <v>6.9534638790775034</v>
      </c>
      <c r="AP210">
        <v>3.4858027095745139</v>
      </c>
      <c r="AQ210">
        <v>50.004213306458205</v>
      </c>
      <c r="AR210">
        <v>7.4784756599862128</v>
      </c>
      <c r="AS210">
        <v>48.284524728988579</v>
      </c>
      <c r="AT210">
        <v>5.9785525822324646</v>
      </c>
      <c r="AU210">
        <v>7.9584207380391945</v>
      </c>
      <c r="AV210"/>
      <c r="AW210"/>
      <c r="FY210" s="211">
        <v>205</v>
      </c>
      <c r="FZ210">
        <v>11.070667852239602</v>
      </c>
      <c r="GA210">
        <v>12.206804653013739</v>
      </c>
      <c r="GB210">
        <v>8.0858476687904162</v>
      </c>
      <c r="GC210">
        <v>3.5692394775124781</v>
      </c>
      <c r="GD210">
        <v>2.8105077746725131</v>
      </c>
      <c r="GE210">
        <v>4.5212849917793632</v>
      </c>
      <c r="GF210">
        <v>2.3043963288360505</v>
      </c>
      <c r="GG210">
        <v>2.3806483237545284</v>
      </c>
      <c r="GH210">
        <v>4.1823773415392651</v>
      </c>
      <c r="GI210">
        <v>6.3121769742974854</v>
      </c>
      <c r="GJ210"/>
      <c r="GK210">
        <v>11.106897544628286</v>
      </c>
      <c r="GL210">
        <v>10.341134370202578</v>
      </c>
      <c r="GM210">
        <v>13.387565287136702</v>
      </c>
      <c r="GN210">
        <v>10.619931967696244</v>
      </c>
      <c r="GO210">
        <v>10.897151086914681</v>
      </c>
      <c r="GP210">
        <v>8.6560052535813483</v>
      </c>
      <c r="GQ210">
        <v>2.8237973027375198</v>
      </c>
      <c r="GR210">
        <v>3.3504176731078901</v>
      </c>
      <c r="GS210">
        <v>4.4565070109907294</v>
      </c>
      <c r="GT210">
        <v>8.5343836464815848</v>
      </c>
      <c r="GU210"/>
      <c r="GV210"/>
      <c r="GW210"/>
      <c r="GX210"/>
      <c r="GY210"/>
      <c r="GZ210"/>
      <c r="HA210"/>
      <c r="HB210"/>
      <c r="HC210"/>
    </row>
    <row r="211" spans="1:211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62.516127699459922</v>
      </c>
      <c r="AO211">
        <v>7.535204066497907</v>
      </c>
      <c r="AP211">
        <v>4.4291243422994482</v>
      </c>
      <c r="AQ211">
        <v>56.182954377903556</v>
      </c>
      <c r="AR211">
        <v>8.1767586051434886</v>
      </c>
      <c r="AS211">
        <v>48.529730883978559</v>
      </c>
      <c r="AT211">
        <v>6.5173007320910754</v>
      </c>
      <c r="AU211">
        <v>4.0727600086340416</v>
      </c>
      <c r="AV211"/>
      <c r="AW211"/>
      <c r="BA211" s="191"/>
      <c r="BB211" s="191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DE211" s="183" t="s">
        <v>139</v>
      </c>
      <c r="DF211" s="182" t="s">
        <v>83</v>
      </c>
      <c r="DG211" s="181">
        <v>1</v>
      </c>
      <c r="DH211" s="181">
        <v>2</v>
      </c>
      <c r="DI211" s="181">
        <v>3</v>
      </c>
      <c r="DJ211" s="181">
        <v>4</v>
      </c>
      <c r="DK211" s="181">
        <v>5</v>
      </c>
      <c r="DL211" s="181">
        <v>6</v>
      </c>
      <c r="DM211" s="181">
        <v>7</v>
      </c>
      <c r="DN211" s="181">
        <v>8</v>
      </c>
      <c r="DO211" s="181">
        <v>9</v>
      </c>
      <c r="DP211" s="181">
        <v>10</v>
      </c>
      <c r="DQ211" s="181">
        <v>11</v>
      </c>
      <c r="DR211" s="181">
        <v>12</v>
      </c>
      <c r="DS211" s="181">
        <v>13</v>
      </c>
      <c r="DT211" s="181">
        <v>14</v>
      </c>
      <c r="DU211" s="181">
        <v>15</v>
      </c>
      <c r="DV211" s="181">
        <v>16</v>
      </c>
      <c r="DW211" s="181">
        <v>17</v>
      </c>
      <c r="DX211" s="181">
        <v>18</v>
      </c>
      <c r="DY211" s="181">
        <v>19</v>
      </c>
      <c r="DZ211" s="181">
        <v>20</v>
      </c>
      <c r="EA211" s="181">
        <v>21</v>
      </c>
      <c r="EB211" s="181">
        <v>22</v>
      </c>
      <c r="EC211" s="181">
        <v>23</v>
      </c>
      <c r="ED211" s="181">
        <v>24</v>
      </c>
      <c r="EE211" s="181">
        <v>25</v>
      </c>
      <c r="EF211" s="181">
        <v>26</v>
      </c>
      <c r="EG211" s="181">
        <v>27</v>
      </c>
      <c r="EH211" s="181">
        <v>28</v>
      </c>
      <c r="EI211" s="181">
        <v>29</v>
      </c>
      <c r="EJ211" s="181">
        <v>30</v>
      </c>
      <c r="FY211" s="211">
        <v>206</v>
      </c>
      <c r="FZ211">
        <v>13.062983685641891</v>
      </c>
      <c r="GA211">
        <v>11.984102253995035</v>
      </c>
      <c r="GB211">
        <v>5.1402695998207273</v>
      </c>
      <c r="GC211">
        <v>3.2233598696099253</v>
      </c>
      <c r="GD211">
        <v>1.551569117924614</v>
      </c>
      <c r="GE211">
        <v>1.701862817619699</v>
      </c>
      <c r="GF211">
        <v>3.0455067936511155</v>
      </c>
      <c r="GG211">
        <v>2.6031619904615688</v>
      </c>
      <c r="GH211">
        <v>2.673549490059056</v>
      </c>
      <c r="GI211">
        <v>5.0598371684359096</v>
      </c>
      <c r="GJ211"/>
      <c r="GK211">
        <v>13.098217931257063</v>
      </c>
      <c r="GL211">
        <v>10.153390799126155</v>
      </c>
      <c r="GM211">
        <v>8.5186320269315523</v>
      </c>
      <c r="GN211">
        <v>9.6050350796730353</v>
      </c>
      <c r="GO211">
        <v>6.0158819883661714</v>
      </c>
      <c r="GP211">
        <v>3.2582182978899805</v>
      </c>
      <c r="GQ211">
        <v>3.7296358671735579</v>
      </c>
      <c r="GR211">
        <v>3.6619275338402248</v>
      </c>
      <c r="GS211">
        <v>2.8512630901641396</v>
      </c>
      <c r="GT211">
        <v>6.8427261807784978</v>
      </c>
      <c r="GU211"/>
      <c r="GV211"/>
      <c r="GW211"/>
      <c r="GX211"/>
      <c r="GY211"/>
      <c r="GZ211"/>
      <c r="HA211"/>
      <c r="HB211"/>
      <c r="HC211"/>
    </row>
    <row r="212" spans="1:211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38.958361875182</v>
      </c>
      <c r="AO212">
        <v>4.8860580222717616</v>
      </c>
      <c r="AP212">
        <v>5.2714068397835323</v>
      </c>
      <c r="AQ212">
        <v>32.100611542949437</v>
      </c>
      <c r="AR212">
        <v>5.1455367994723007</v>
      </c>
      <c r="AS212">
        <v>32.48201423948742</v>
      </c>
      <c r="AT212">
        <v>4.1150317288139471</v>
      </c>
      <c r="AU212">
        <v>3.7035482046607382</v>
      </c>
      <c r="AV212"/>
      <c r="AW212"/>
      <c r="BA212" s="194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3"/>
      <c r="CH212" s="193"/>
      <c r="CI212" s="193"/>
      <c r="CJ212" s="193"/>
      <c r="CK212" s="193"/>
      <c r="CL212" s="193"/>
      <c r="CM212" s="191"/>
      <c r="CN212" s="191"/>
      <c r="CO212" s="192"/>
      <c r="CP212" s="192"/>
      <c r="CQ212" s="192"/>
      <c r="CR212" s="192"/>
      <c r="CS212" s="192"/>
      <c r="CT212" s="192"/>
      <c r="CU212" s="192"/>
      <c r="DE212" s="186">
        <f>DE88</f>
        <v>39646</v>
      </c>
      <c r="DF212" s="181">
        <f t="shared" ref="DF212:EJ212" si="340">AVERAGE(DF88:DF97)</f>
        <v>11.458333333333332</v>
      </c>
      <c r="DG212" s="181">
        <f t="shared" si="340"/>
        <v>53.125</v>
      </c>
      <c r="DH212" s="181">
        <f t="shared" si="340"/>
        <v>10.416666666666666</v>
      </c>
      <c r="DI212" s="181">
        <f t="shared" si="340"/>
        <v>0</v>
      </c>
      <c r="DJ212" s="181">
        <f t="shared" si="340"/>
        <v>0</v>
      </c>
      <c r="DK212" s="181">
        <f t="shared" ref="DK212:DQ212" si="341">AVERAGE(DK88:DK97)</f>
        <v>0</v>
      </c>
      <c r="DL212" s="181">
        <f t="shared" si="341"/>
        <v>0</v>
      </c>
      <c r="DM212" s="181">
        <f t="shared" si="341"/>
        <v>0</v>
      </c>
      <c r="DN212" s="181">
        <f t="shared" si="341"/>
        <v>0</v>
      </c>
      <c r="DO212" s="181">
        <f t="shared" si="341"/>
        <v>0</v>
      </c>
      <c r="DP212" s="181">
        <f t="shared" si="341"/>
        <v>0</v>
      </c>
      <c r="DQ212" s="181">
        <f t="shared" si="341"/>
        <v>0</v>
      </c>
      <c r="DR212" s="181">
        <f t="shared" si="340"/>
        <v>0</v>
      </c>
      <c r="DS212" s="181">
        <f t="shared" si="340"/>
        <v>0</v>
      </c>
      <c r="DT212" s="181">
        <f t="shared" si="340"/>
        <v>0</v>
      </c>
      <c r="DU212" s="181">
        <f t="shared" si="340"/>
        <v>0</v>
      </c>
      <c r="DV212" s="181">
        <f t="shared" si="340"/>
        <v>0</v>
      </c>
      <c r="DW212" s="181">
        <f t="shared" si="340"/>
        <v>0</v>
      </c>
      <c r="DX212" s="181">
        <f t="shared" si="340"/>
        <v>0</v>
      </c>
      <c r="DY212" s="181">
        <f t="shared" si="340"/>
        <v>0</v>
      </c>
      <c r="DZ212" s="181">
        <f t="shared" si="340"/>
        <v>0</v>
      </c>
      <c r="EA212" s="181">
        <f t="shared" si="340"/>
        <v>0</v>
      </c>
      <c r="EB212" s="181">
        <f t="shared" si="340"/>
        <v>0</v>
      </c>
      <c r="EC212" s="181">
        <f t="shared" si="340"/>
        <v>0</v>
      </c>
      <c r="ED212" s="181">
        <f t="shared" si="340"/>
        <v>0</v>
      </c>
      <c r="EE212" s="181">
        <f t="shared" si="340"/>
        <v>0</v>
      </c>
      <c r="EF212" s="181">
        <f t="shared" si="340"/>
        <v>0</v>
      </c>
      <c r="EG212" s="181">
        <f t="shared" si="340"/>
        <v>0</v>
      </c>
      <c r="EH212" s="181">
        <f t="shared" si="340"/>
        <v>0</v>
      </c>
      <c r="EI212" s="181">
        <f t="shared" si="340"/>
        <v>0</v>
      </c>
      <c r="EJ212" s="181">
        <f t="shared" si="340"/>
        <v>0</v>
      </c>
      <c r="FY212" s="211">
        <v>207</v>
      </c>
      <c r="FZ212">
        <v>7.2224941581662794</v>
      </c>
      <c r="GA212">
        <v>2.4915201466840218</v>
      </c>
      <c r="GB212">
        <v>4.2906533270047458</v>
      </c>
      <c r="GC212">
        <v>2.868711724915971</v>
      </c>
      <c r="GD212">
        <v>1.2189771255852211</v>
      </c>
      <c r="GE212">
        <v>1.6402325189368772</v>
      </c>
      <c r="GF212">
        <v>1.2783046744504822</v>
      </c>
      <c r="GG212">
        <v>1.4386361263424563</v>
      </c>
      <c r="GH212">
        <v>2.6902441618913233</v>
      </c>
      <c r="GI212">
        <v>3.4801743663024598</v>
      </c>
      <c r="GJ212"/>
      <c r="GK212">
        <v>7.2628584359380204</v>
      </c>
      <c r="GL212">
        <v>2.1114403088370115</v>
      </c>
      <c r="GM212">
        <v>7.1464516300593628</v>
      </c>
      <c r="GN212">
        <v>8.6073675527015467</v>
      </c>
      <c r="GO212">
        <v>4.7365596103498238</v>
      </c>
      <c r="GP212">
        <v>3.1402270210409746</v>
      </c>
      <c r="GQ212">
        <v>1.5641140273990009</v>
      </c>
      <c r="GR212">
        <v>2.0230260644360376</v>
      </c>
      <c r="GS212">
        <v>2.8679878748995624</v>
      </c>
      <c r="GT212">
        <v>4.7155943157291542</v>
      </c>
      <c r="GU212"/>
      <c r="GV212"/>
      <c r="GW212"/>
      <c r="GX212"/>
      <c r="GY212"/>
      <c r="GZ212"/>
      <c r="HA212"/>
      <c r="HB212"/>
      <c r="HC212"/>
    </row>
    <row r="213" spans="1:211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57.24001357115727</v>
      </c>
      <c r="AO213">
        <v>7.3314844066184346</v>
      </c>
      <c r="AP213">
        <v>41.245013234441736</v>
      </c>
      <c r="AQ213">
        <v>47.145291698806226</v>
      </c>
      <c r="AR213">
        <v>7.4577596528800427</v>
      </c>
      <c r="AS213">
        <v>44.751973456879703</v>
      </c>
      <c r="AT213" t="e">
        <v>#DIV/0!</v>
      </c>
      <c r="AU213" t="e">
        <v>#DIV/0!</v>
      </c>
      <c r="AV213"/>
      <c r="AW213"/>
      <c r="BA213" s="194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3"/>
      <c r="CH213" s="193"/>
      <c r="CI213" s="193"/>
      <c r="CJ213" s="193"/>
      <c r="CK213" s="193"/>
      <c r="CL213" s="193"/>
      <c r="CM213" s="196"/>
      <c r="CN213" s="192"/>
      <c r="CO213" s="192"/>
      <c r="CP213" s="192"/>
      <c r="CQ213" s="192"/>
      <c r="CR213" s="192"/>
      <c r="CS213" s="192"/>
      <c r="CT213" s="192"/>
      <c r="CU213" s="192"/>
      <c r="DE213" s="186">
        <f>DE98</f>
        <v>39673</v>
      </c>
      <c r="DF213" s="184">
        <f t="shared" ref="DF213:EJ213" si="342">AVERAGE(DF98:DF107)</f>
        <v>17.42238562091503</v>
      </c>
      <c r="DG213" s="184">
        <f t="shared" si="342"/>
        <v>98.398109243697476</v>
      </c>
      <c r="DH213" s="184">
        <f t="shared" si="342"/>
        <v>0</v>
      </c>
      <c r="DI213" s="184">
        <f t="shared" si="342"/>
        <v>0</v>
      </c>
      <c r="DJ213" s="184">
        <f t="shared" si="342"/>
        <v>0</v>
      </c>
      <c r="DK213" s="184">
        <f t="shared" ref="DK213:DQ213" si="343">AVERAGE(DK98:DK107)</f>
        <v>0</v>
      </c>
      <c r="DL213" s="184">
        <f t="shared" si="343"/>
        <v>0</v>
      </c>
      <c r="DM213" s="184">
        <f t="shared" si="343"/>
        <v>0</v>
      </c>
      <c r="DN213" s="184">
        <f t="shared" si="343"/>
        <v>0</v>
      </c>
      <c r="DO213" s="184">
        <f t="shared" si="343"/>
        <v>0</v>
      </c>
      <c r="DP213" s="184">
        <f t="shared" si="343"/>
        <v>0</v>
      </c>
      <c r="DQ213" s="184">
        <f t="shared" si="343"/>
        <v>0</v>
      </c>
      <c r="DR213" s="184">
        <f t="shared" si="342"/>
        <v>0</v>
      </c>
      <c r="DS213" s="184">
        <f t="shared" si="342"/>
        <v>0</v>
      </c>
      <c r="DT213" s="184">
        <f t="shared" si="342"/>
        <v>0</v>
      </c>
      <c r="DU213" s="184">
        <f t="shared" si="342"/>
        <v>0</v>
      </c>
      <c r="DV213" s="184">
        <f t="shared" si="342"/>
        <v>0</v>
      </c>
      <c r="DW213" s="184">
        <f t="shared" si="342"/>
        <v>0</v>
      </c>
      <c r="DX213" s="184">
        <f t="shared" si="342"/>
        <v>0</v>
      </c>
      <c r="DY213" s="184">
        <f t="shared" si="342"/>
        <v>0</v>
      </c>
      <c r="DZ213" s="184">
        <f t="shared" si="342"/>
        <v>0</v>
      </c>
      <c r="EA213" s="184">
        <f t="shared" si="342"/>
        <v>0</v>
      </c>
      <c r="EB213" s="184">
        <f t="shared" si="342"/>
        <v>0</v>
      </c>
      <c r="EC213" s="184">
        <f t="shared" si="342"/>
        <v>0</v>
      </c>
      <c r="ED213" s="184">
        <f t="shared" si="342"/>
        <v>0</v>
      </c>
      <c r="EE213" s="184">
        <f t="shared" si="342"/>
        <v>0</v>
      </c>
      <c r="EF213" s="184">
        <f t="shared" si="342"/>
        <v>0</v>
      </c>
      <c r="EG213" s="184">
        <f t="shared" si="342"/>
        <v>0</v>
      </c>
      <c r="EH213" s="184">
        <f t="shared" si="342"/>
        <v>0</v>
      </c>
      <c r="EI213" s="184">
        <f t="shared" si="342"/>
        <v>0</v>
      </c>
      <c r="EJ213" s="184">
        <f t="shared" si="342"/>
        <v>0</v>
      </c>
      <c r="FY213" s="211">
        <v>208</v>
      </c>
      <c r="FZ213">
        <v>11.380263916777203</v>
      </c>
      <c r="GA213">
        <v>12.08575052009153</v>
      </c>
      <c r="GB213">
        <v>4.9097531772166816</v>
      </c>
      <c r="GC213">
        <v>2.4758200872214196</v>
      </c>
      <c r="GD213">
        <v>1.8504287242836137</v>
      </c>
      <c r="GE213">
        <v>2.7284809155882352</v>
      </c>
      <c r="GF213">
        <v>2.5496518522237288</v>
      </c>
      <c r="GG213">
        <v>2.8707388703770063</v>
      </c>
      <c r="GH213">
        <v>6.840835783145196</v>
      </c>
      <c r="GI213">
        <v>5.4941826382013508</v>
      </c>
      <c r="GJ213"/>
      <c r="GK213">
        <v>11.422925818484078</v>
      </c>
      <c r="GL213">
        <v>10.240755140751737</v>
      </c>
      <c r="GM213">
        <v>8.1655596075100387</v>
      </c>
      <c r="GN213">
        <v>7.4231567079966094</v>
      </c>
      <c r="GO213">
        <v>7.1746470747389868</v>
      </c>
      <c r="GP213">
        <v>5.2236798128342246</v>
      </c>
      <c r="GQ213">
        <v>3.1173873720520748</v>
      </c>
      <c r="GR213">
        <v>4.0352114461261488</v>
      </c>
      <c r="GS213">
        <v>7.2924262473879509</v>
      </c>
      <c r="GT213">
        <v>7.4345892240346254</v>
      </c>
      <c r="GU213"/>
      <c r="GV213"/>
      <c r="GW213"/>
      <c r="GX213"/>
      <c r="GY213"/>
      <c r="GZ213"/>
      <c r="HA213"/>
      <c r="HB213"/>
      <c r="HC213"/>
    </row>
    <row r="214" spans="1:211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53.286473914519583</v>
      </c>
      <c r="AO214">
        <v>6.4414595917025039</v>
      </c>
      <c r="AP214">
        <v>62.93724206343952</v>
      </c>
      <c r="AQ214">
        <v>45.383397493776556</v>
      </c>
      <c r="AR214">
        <v>6.8698179054005175</v>
      </c>
      <c r="AS214">
        <v>42.428159674709995</v>
      </c>
      <c r="AT214" t="e">
        <v>#DIV/0!</v>
      </c>
      <c r="AU214" t="e">
        <v>#DIV/0!</v>
      </c>
      <c r="AV214"/>
      <c r="AW214"/>
      <c r="BA214" s="194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3"/>
      <c r="CH214" s="193"/>
      <c r="CI214" s="193"/>
      <c r="CJ214" s="193"/>
      <c r="CK214" s="193"/>
      <c r="CL214" s="193"/>
      <c r="CM214" s="196"/>
      <c r="CN214" s="192"/>
      <c r="CO214" s="192"/>
      <c r="CP214" s="192"/>
      <c r="CQ214" s="192"/>
      <c r="CR214" s="192"/>
      <c r="CS214" s="192"/>
      <c r="CT214" s="192"/>
      <c r="CU214" s="192"/>
      <c r="DE214" s="186">
        <f>DE108</f>
        <v>39714</v>
      </c>
      <c r="DF214" s="181">
        <f t="shared" ref="DF214:EJ214" si="344">AVERAGE(DF108:DF117)</f>
        <v>23.902529761904763</v>
      </c>
      <c r="DG214" s="181">
        <f t="shared" si="344"/>
        <v>34.914434523809526</v>
      </c>
      <c r="DH214" s="181">
        <f t="shared" si="344"/>
        <v>0</v>
      </c>
      <c r="DI214" s="181">
        <f t="shared" si="344"/>
        <v>0</v>
      </c>
      <c r="DJ214" s="181">
        <f t="shared" si="344"/>
        <v>0</v>
      </c>
      <c r="DK214" s="181">
        <f t="shared" si="344"/>
        <v>0</v>
      </c>
      <c r="DL214" s="181">
        <f t="shared" si="344"/>
        <v>0</v>
      </c>
      <c r="DM214" s="181">
        <f t="shared" si="344"/>
        <v>0</v>
      </c>
      <c r="DN214" s="181">
        <f t="shared" si="344"/>
        <v>0</v>
      </c>
      <c r="DO214" s="181">
        <f t="shared" si="344"/>
        <v>0</v>
      </c>
      <c r="DP214" s="181">
        <f t="shared" si="344"/>
        <v>0</v>
      </c>
      <c r="DQ214" s="181">
        <f t="shared" si="344"/>
        <v>0</v>
      </c>
      <c r="DR214" s="181">
        <f t="shared" si="344"/>
        <v>0</v>
      </c>
      <c r="DS214" s="181">
        <f t="shared" si="344"/>
        <v>0</v>
      </c>
      <c r="DT214" s="181">
        <f t="shared" si="344"/>
        <v>0</v>
      </c>
      <c r="DU214" s="181">
        <f t="shared" si="344"/>
        <v>0</v>
      </c>
      <c r="DV214" s="181">
        <f t="shared" si="344"/>
        <v>0</v>
      </c>
      <c r="DW214" s="181">
        <f t="shared" si="344"/>
        <v>0</v>
      </c>
      <c r="DX214" s="181">
        <f t="shared" si="344"/>
        <v>0</v>
      </c>
      <c r="DY214" s="181">
        <f t="shared" si="344"/>
        <v>0</v>
      </c>
      <c r="DZ214" s="181">
        <f t="shared" si="344"/>
        <v>0</v>
      </c>
      <c r="EA214" s="181">
        <f t="shared" si="344"/>
        <v>0</v>
      </c>
      <c r="EB214" s="181">
        <f t="shared" si="344"/>
        <v>0</v>
      </c>
      <c r="EC214" s="181">
        <f t="shared" si="344"/>
        <v>0</v>
      </c>
      <c r="ED214" s="181">
        <f t="shared" si="344"/>
        <v>0</v>
      </c>
      <c r="EE214" s="181">
        <f t="shared" si="344"/>
        <v>0</v>
      </c>
      <c r="EF214" s="181">
        <f t="shared" si="344"/>
        <v>0</v>
      </c>
      <c r="EG214" s="181">
        <f t="shared" si="344"/>
        <v>0</v>
      </c>
      <c r="EH214" s="181">
        <f t="shared" si="344"/>
        <v>0</v>
      </c>
      <c r="EI214" s="181">
        <f t="shared" si="344"/>
        <v>0</v>
      </c>
      <c r="EJ214" s="181">
        <f t="shared" si="344"/>
        <v>0</v>
      </c>
      <c r="FY214" s="211">
        <v>209</v>
      </c>
      <c r="FZ214">
        <v>10.813985805611276</v>
      </c>
      <c r="GA214">
        <v>10.613406615703123</v>
      </c>
      <c r="GB214">
        <v>7.6066117607021067</v>
      </c>
      <c r="GC214">
        <v>4.2139609262312892</v>
      </c>
      <c r="GD214">
        <v>1.4981443787471305</v>
      </c>
      <c r="GE214">
        <v>1.1771840692857143</v>
      </c>
      <c r="GF214">
        <v>0.66330071966787318</v>
      </c>
      <c r="GG214">
        <v>0.90314713503810828</v>
      </c>
      <c r="GH214">
        <v>5.7947216835247231</v>
      </c>
      <c r="GI214">
        <v>5.3660177367155448</v>
      </c>
      <c r="GJ214"/>
      <c r="GK214">
        <v>10.846645256677803</v>
      </c>
      <c r="GL214">
        <v>8.9921262146059693</v>
      </c>
      <c r="GM214">
        <v>12.635487429218355</v>
      </c>
      <c r="GN214">
        <v>12.628398000418819</v>
      </c>
      <c r="GO214">
        <v>5.838693473139549</v>
      </c>
      <c r="GP214">
        <v>2.2537202380952381</v>
      </c>
      <c r="GQ214">
        <v>0.81049083899320351</v>
      </c>
      <c r="GR214">
        <v>1.2694028760302405</v>
      </c>
      <c r="GS214">
        <v>6.1746487783964978</v>
      </c>
      <c r="GT214">
        <v>7.261193155285083</v>
      </c>
      <c r="GU214"/>
      <c r="GV214"/>
      <c r="GW214"/>
      <c r="GX214"/>
      <c r="GY214"/>
      <c r="GZ214"/>
      <c r="HA214"/>
      <c r="HB214"/>
      <c r="HC214"/>
    </row>
    <row r="215" spans="1:211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63.30951289216496</v>
      </c>
      <c r="AO215">
        <v>7.6488196527690446</v>
      </c>
      <c r="AP215">
        <v>3.7816879627820823</v>
      </c>
      <c r="AQ215">
        <v>60.370091178774295</v>
      </c>
      <c r="AR215">
        <v>7.9014661427940212</v>
      </c>
      <c r="AS215">
        <v>49.355775964534317</v>
      </c>
      <c r="AT215">
        <v>6.3383611120493262</v>
      </c>
      <c r="AU215">
        <v>0.49086752138515699</v>
      </c>
      <c r="AV215"/>
      <c r="AW215"/>
      <c r="BA215" s="194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3"/>
      <c r="CH215" s="193"/>
      <c r="CI215" s="193"/>
      <c r="CJ215" s="193"/>
      <c r="CK215" s="193"/>
      <c r="CL215" s="193"/>
      <c r="CM215" s="196"/>
      <c r="CN215" s="192"/>
      <c r="CO215" s="192"/>
      <c r="CP215" s="192"/>
      <c r="CQ215" s="192"/>
      <c r="CR215" s="192"/>
      <c r="CS215" s="192"/>
      <c r="CT215" s="192"/>
      <c r="CU215" s="192"/>
      <c r="DE215" s="186">
        <f>DE118</f>
        <v>39747</v>
      </c>
      <c r="DF215" s="181">
        <f t="shared" ref="DF215:EJ215" si="345">AVERAGE(DF118:DF127)</f>
        <v>32.180059523809526</v>
      </c>
      <c r="DG215" s="181">
        <f t="shared" ref="DG215:DH215" si="346">AVERAGE(DG118:DG127)</f>
        <v>75.338088154136287</v>
      </c>
      <c r="DH215" s="181">
        <f t="shared" si="346"/>
        <v>6.510416666666667</v>
      </c>
      <c r="DI215" s="181">
        <f t="shared" si="345"/>
        <v>0</v>
      </c>
      <c r="DJ215" s="181">
        <f t="shared" si="345"/>
        <v>0</v>
      </c>
      <c r="DK215" s="181">
        <f t="shared" si="345"/>
        <v>0</v>
      </c>
      <c r="DL215" s="181">
        <f t="shared" si="345"/>
        <v>0</v>
      </c>
      <c r="DM215" s="181">
        <f t="shared" si="345"/>
        <v>0</v>
      </c>
      <c r="DN215" s="181">
        <f t="shared" si="345"/>
        <v>0</v>
      </c>
      <c r="DO215" s="181">
        <f t="shared" si="345"/>
        <v>0</v>
      </c>
      <c r="DP215" s="181">
        <f t="shared" si="345"/>
        <v>0</v>
      </c>
      <c r="DQ215" s="181">
        <f t="shared" si="345"/>
        <v>0</v>
      </c>
      <c r="DR215" s="181">
        <f t="shared" si="345"/>
        <v>0</v>
      </c>
      <c r="DS215" s="181">
        <f t="shared" si="345"/>
        <v>0</v>
      </c>
      <c r="DT215" s="181">
        <f t="shared" si="345"/>
        <v>0</v>
      </c>
      <c r="DU215" s="181">
        <f t="shared" si="345"/>
        <v>0</v>
      </c>
      <c r="DV215" s="181">
        <f t="shared" si="345"/>
        <v>0</v>
      </c>
      <c r="DW215" s="181">
        <f t="shared" si="345"/>
        <v>0</v>
      </c>
      <c r="DX215" s="181">
        <f t="shared" si="345"/>
        <v>0</v>
      </c>
      <c r="DY215" s="181">
        <f t="shared" si="345"/>
        <v>0</v>
      </c>
      <c r="DZ215" s="181">
        <f t="shared" si="345"/>
        <v>0</v>
      </c>
      <c r="EA215" s="181">
        <f t="shared" si="345"/>
        <v>0</v>
      </c>
      <c r="EB215" s="181">
        <f t="shared" si="345"/>
        <v>0</v>
      </c>
      <c r="EC215" s="181">
        <f t="shared" si="345"/>
        <v>0</v>
      </c>
      <c r="ED215" s="181">
        <f t="shared" si="345"/>
        <v>0</v>
      </c>
      <c r="EE215" s="181">
        <f t="shared" si="345"/>
        <v>0</v>
      </c>
      <c r="EF215" s="181">
        <f t="shared" si="345"/>
        <v>0</v>
      </c>
      <c r="EG215" s="181">
        <f t="shared" si="345"/>
        <v>0</v>
      </c>
      <c r="EH215" s="181">
        <f t="shared" si="345"/>
        <v>0</v>
      </c>
      <c r="EI215" s="181">
        <f t="shared" si="345"/>
        <v>0</v>
      </c>
      <c r="EJ215" s="181">
        <f t="shared" si="345"/>
        <v>0</v>
      </c>
      <c r="FY215" s="211">
        <v>210</v>
      </c>
      <c r="FZ215">
        <v>12.910204734209039</v>
      </c>
      <c r="GA215">
        <v>8.6374002699321384</v>
      </c>
      <c r="GB215">
        <v>4.3761438385675957</v>
      </c>
      <c r="GC215">
        <v>2.7279343651168499</v>
      </c>
      <c r="GD215">
        <v>1.4277185322131281</v>
      </c>
      <c r="GE215">
        <v>1.6486921708970099</v>
      </c>
      <c r="GF215">
        <v>2.4235453421912716</v>
      </c>
      <c r="GG215">
        <v>2.8095226689326482</v>
      </c>
      <c r="GH215">
        <v>2.8454230907799816</v>
      </c>
      <c r="GI215">
        <v>4.6958780023354354</v>
      </c>
      <c r="GJ215"/>
      <c r="GK215">
        <v>12.953526590653658</v>
      </c>
      <c r="GL215">
        <v>7.3198234644336209</v>
      </c>
      <c r="GM215">
        <v>7.2902123804903072</v>
      </c>
      <c r="GN215">
        <v>8.1952749094406414</v>
      </c>
      <c r="GO215">
        <v>5.545910385543622</v>
      </c>
      <c r="GP215">
        <v>3.156423034330011</v>
      </c>
      <c r="GQ215">
        <v>2.9651719960218337</v>
      </c>
      <c r="GR215">
        <v>3.9507044034292411</v>
      </c>
      <c r="GS215">
        <v>3.0323135297999451</v>
      </c>
      <c r="GT215">
        <v>6.3574269765018734</v>
      </c>
      <c r="GU215"/>
      <c r="GV215"/>
      <c r="GW215"/>
      <c r="GX215"/>
      <c r="GY215"/>
      <c r="GZ215"/>
      <c r="HA215"/>
      <c r="HB215"/>
      <c r="HC215"/>
    </row>
    <row r="216" spans="1:211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55.464656088242961</v>
      </c>
      <c r="AO216">
        <v>6.9199879415883103</v>
      </c>
      <c r="AP216">
        <v>17.408573036499682</v>
      </c>
      <c r="AQ216">
        <v>49.95386687849939</v>
      </c>
      <c r="AR216">
        <v>7.3061858661286028</v>
      </c>
      <c r="AS216">
        <v>44.664449655378291</v>
      </c>
      <c r="AT216" t="e">
        <v>#DIV/0!</v>
      </c>
      <c r="AU216" t="e">
        <v>#DIV/0!</v>
      </c>
      <c r="AV216"/>
      <c r="AW216"/>
      <c r="BA216" s="194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3"/>
      <c r="CH216" s="193"/>
      <c r="CI216" s="193"/>
      <c r="CJ216" s="193"/>
      <c r="CK216" s="193"/>
      <c r="CL216" s="193"/>
      <c r="CM216" s="196"/>
      <c r="CN216" s="192"/>
      <c r="CO216" s="192"/>
      <c r="CP216" s="192"/>
      <c r="CQ216" s="192"/>
      <c r="CR216" s="192"/>
      <c r="CS216" s="192"/>
      <c r="CT216" s="192"/>
      <c r="CU216" s="192"/>
      <c r="DE216" s="186">
        <f>DE128</f>
        <v>39775</v>
      </c>
      <c r="DF216" s="181">
        <f t="shared" ref="DF216:EJ216" si="347">AVERAGE(DF128:DF137)</f>
        <v>3.3564814814814818</v>
      </c>
      <c r="DG216" s="181">
        <f t="shared" ref="DG216:DH216" si="348">AVERAGE(DG128:DG137)</f>
        <v>32.098214285714285</v>
      </c>
      <c r="DH216" s="181">
        <f t="shared" si="348"/>
        <v>1.0416666666666665</v>
      </c>
      <c r="DI216" s="181">
        <f t="shared" si="347"/>
        <v>0</v>
      </c>
      <c r="DJ216" s="181">
        <f t="shared" si="347"/>
        <v>0</v>
      </c>
      <c r="DK216" s="181">
        <f t="shared" si="347"/>
        <v>0</v>
      </c>
      <c r="DL216" s="181">
        <f t="shared" si="347"/>
        <v>0</v>
      </c>
      <c r="DM216" s="181">
        <f t="shared" si="347"/>
        <v>0</v>
      </c>
      <c r="DN216" s="181">
        <f t="shared" si="347"/>
        <v>0</v>
      </c>
      <c r="DO216" s="181">
        <f t="shared" si="347"/>
        <v>0</v>
      </c>
      <c r="DP216" s="181">
        <f t="shared" si="347"/>
        <v>0</v>
      </c>
      <c r="DQ216" s="181">
        <f t="shared" si="347"/>
        <v>0</v>
      </c>
      <c r="DR216" s="181">
        <f t="shared" si="347"/>
        <v>0</v>
      </c>
      <c r="DS216" s="181">
        <f t="shared" si="347"/>
        <v>0</v>
      </c>
      <c r="DT216" s="181">
        <f t="shared" si="347"/>
        <v>0</v>
      </c>
      <c r="DU216" s="181">
        <f t="shared" si="347"/>
        <v>0</v>
      </c>
      <c r="DV216" s="181">
        <f t="shared" si="347"/>
        <v>0</v>
      </c>
      <c r="DW216" s="181">
        <f t="shared" si="347"/>
        <v>0</v>
      </c>
      <c r="DX216" s="181">
        <f t="shared" si="347"/>
        <v>0</v>
      </c>
      <c r="DY216" s="181">
        <f t="shared" si="347"/>
        <v>0</v>
      </c>
      <c r="DZ216" s="181">
        <f t="shared" si="347"/>
        <v>0</v>
      </c>
      <c r="EA216" s="181">
        <f t="shared" si="347"/>
        <v>0</v>
      </c>
      <c r="EB216" s="181">
        <f t="shared" si="347"/>
        <v>0</v>
      </c>
      <c r="EC216" s="181">
        <f t="shared" si="347"/>
        <v>0</v>
      </c>
      <c r="ED216" s="181">
        <f t="shared" si="347"/>
        <v>0</v>
      </c>
      <c r="EE216" s="181">
        <f t="shared" si="347"/>
        <v>0</v>
      </c>
      <c r="EF216" s="181">
        <f t="shared" si="347"/>
        <v>0</v>
      </c>
      <c r="EG216" s="181">
        <f t="shared" si="347"/>
        <v>0</v>
      </c>
      <c r="EH216" s="181">
        <f t="shared" si="347"/>
        <v>0</v>
      </c>
      <c r="EI216" s="181">
        <f t="shared" si="347"/>
        <v>0</v>
      </c>
      <c r="EJ216" s="181">
        <f t="shared" si="347"/>
        <v>0</v>
      </c>
      <c r="FY216" s="211">
        <v>211</v>
      </c>
      <c r="FZ216">
        <v>18.106826847482669</v>
      </c>
      <c r="GA216">
        <v>13.688658594190661</v>
      </c>
      <c r="GB216">
        <v>5.2453747065249479</v>
      </c>
      <c r="GC216">
        <v>3.1404500735413259</v>
      </c>
      <c r="GD216">
        <v>2.164140479857112</v>
      </c>
      <c r="GE216">
        <v>3.3168338758422911</v>
      </c>
      <c r="GF216">
        <v>1.2074524259805255</v>
      </c>
      <c r="GG216">
        <v>1.7516114509397644</v>
      </c>
      <c r="GH216">
        <v>4.2968720913546727</v>
      </c>
      <c r="GI216">
        <v>6.1115772438431764</v>
      </c>
      <c r="GJ216"/>
      <c r="GK216">
        <v>18.168189769155326</v>
      </c>
      <c r="GL216">
        <v>11.598900576341121</v>
      </c>
      <c r="GM216">
        <v>8.7688362607414465</v>
      </c>
      <c r="GN216">
        <v>9.4719996462428711</v>
      </c>
      <c r="GO216">
        <v>8.3902541193820532</v>
      </c>
      <c r="GP216">
        <v>6.3500822236928602</v>
      </c>
      <c r="GQ216">
        <v>1.4796069847020934</v>
      </c>
      <c r="GR216">
        <v>2.4651393921095006</v>
      </c>
      <c r="GS216">
        <v>4.5832900800828247</v>
      </c>
      <c r="GT216">
        <v>8.2780354428127492</v>
      </c>
      <c r="GU216"/>
      <c r="GV216"/>
      <c r="GW216"/>
      <c r="GX216"/>
      <c r="GY216"/>
      <c r="GZ216"/>
      <c r="HA216"/>
      <c r="HB216"/>
      <c r="HC216"/>
    </row>
    <row r="217" spans="1:211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46.345209841064197</v>
      </c>
      <c r="AO217">
        <v>5.5764302577720972</v>
      </c>
      <c r="AP217">
        <v>103.16862559104683</v>
      </c>
      <c r="AQ217">
        <v>38.252944815401762</v>
      </c>
      <c r="AR217">
        <v>5.9308235277428452</v>
      </c>
      <c r="AS217">
        <v>34.905308458827818</v>
      </c>
      <c r="AT217" t="e">
        <v>#DIV/0!</v>
      </c>
      <c r="AU217" t="e">
        <v>#DIV/0!</v>
      </c>
      <c r="AV217"/>
      <c r="AW217"/>
      <c r="BA217" s="194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3"/>
      <c r="CH217" s="193"/>
      <c r="CI217" s="193"/>
      <c r="CJ217" s="193"/>
      <c r="CK217" s="193"/>
      <c r="CL217" s="193"/>
      <c r="CM217" s="196"/>
      <c r="CN217" s="192"/>
      <c r="CO217" s="192"/>
      <c r="CP217" s="192"/>
      <c r="CQ217" s="192"/>
      <c r="CR217" s="192"/>
      <c r="CS217" s="192"/>
      <c r="CT217" s="192"/>
      <c r="CU217" s="192"/>
      <c r="DE217" s="186">
        <f>DE138</f>
        <v>39799</v>
      </c>
      <c r="DF217" s="181">
        <f t="shared" ref="DF217:EJ217" si="349">AVERAGE(DF138:DF147)</f>
        <v>0</v>
      </c>
      <c r="DG217" s="181">
        <f t="shared" ref="DG217:DH217" si="350">AVERAGE(DG138:DG147)</f>
        <v>68.132387733105929</v>
      </c>
      <c r="DH217" s="181">
        <f t="shared" si="350"/>
        <v>0</v>
      </c>
      <c r="DI217" s="181">
        <f t="shared" si="349"/>
        <v>0</v>
      </c>
      <c r="DJ217" s="181">
        <f t="shared" si="349"/>
        <v>0</v>
      </c>
      <c r="DK217" s="181">
        <f t="shared" si="349"/>
        <v>0</v>
      </c>
      <c r="DL217" s="181">
        <f t="shared" si="349"/>
        <v>0</v>
      </c>
      <c r="DM217" s="181">
        <f t="shared" si="349"/>
        <v>0</v>
      </c>
      <c r="DN217" s="181">
        <f t="shared" si="349"/>
        <v>0</v>
      </c>
      <c r="DO217" s="181">
        <f t="shared" si="349"/>
        <v>0</v>
      </c>
      <c r="DP217" s="181">
        <f t="shared" si="349"/>
        <v>0</v>
      </c>
      <c r="DQ217" s="181">
        <f t="shared" si="349"/>
        <v>0</v>
      </c>
      <c r="DR217" s="181">
        <f t="shared" si="349"/>
        <v>0</v>
      </c>
      <c r="DS217" s="181">
        <f t="shared" si="349"/>
        <v>0</v>
      </c>
      <c r="DT217" s="181">
        <f t="shared" si="349"/>
        <v>0</v>
      </c>
      <c r="DU217" s="181">
        <f t="shared" si="349"/>
        <v>0</v>
      </c>
      <c r="DV217" s="181">
        <f t="shared" si="349"/>
        <v>0</v>
      </c>
      <c r="DW217" s="181">
        <f t="shared" si="349"/>
        <v>0</v>
      </c>
      <c r="DX217" s="181">
        <f t="shared" si="349"/>
        <v>0</v>
      </c>
      <c r="DY217" s="181">
        <f t="shared" si="349"/>
        <v>0</v>
      </c>
      <c r="DZ217" s="181">
        <f t="shared" si="349"/>
        <v>0</v>
      </c>
      <c r="EA217" s="181">
        <f t="shared" si="349"/>
        <v>0</v>
      </c>
      <c r="EB217" s="181">
        <f t="shared" si="349"/>
        <v>0</v>
      </c>
      <c r="EC217" s="181">
        <f t="shared" si="349"/>
        <v>0</v>
      </c>
      <c r="ED217" s="181">
        <f t="shared" si="349"/>
        <v>0</v>
      </c>
      <c r="EE217" s="181">
        <f t="shared" si="349"/>
        <v>0</v>
      </c>
      <c r="EF217" s="181">
        <f t="shared" si="349"/>
        <v>0</v>
      </c>
      <c r="EG217" s="181">
        <f t="shared" si="349"/>
        <v>0</v>
      </c>
      <c r="EH217" s="181">
        <f t="shared" si="349"/>
        <v>0</v>
      </c>
      <c r="EI217" s="181">
        <f t="shared" si="349"/>
        <v>0</v>
      </c>
      <c r="EJ217" s="181">
        <f t="shared" si="349"/>
        <v>0</v>
      </c>
      <c r="FY217" s="211">
        <v>212</v>
      </c>
      <c r="FZ217">
        <v>12.62231381142259</v>
      </c>
      <c r="GA217">
        <v>9.3722425665763289</v>
      </c>
      <c r="GB217">
        <v>6.4618759627605575</v>
      </c>
      <c r="GC217">
        <v>3.5055301837916391</v>
      </c>
      <c r="GD217">
        <v>2.2578273169969734</v>
      </c>
      <c r="GE217">
        <v>3.5290301458422908</v>
      </c>
      <c r="GF217">
        <v>3.5118487548165764</v>
      </c>
      <c r="GG217">
        <v>3.7580682486526267</v>
      </c>
      <c r="GH217">
        <v>4.9996860417104187</v>
      </c>
      <c r="GI217">
        <v>6.1784837687562231</v>
      </c>
      <c r="GJ217"/>
      <c r="GK217">
        <v>12.676911988463404</v>
      </c>
      <c r="GL217">
        <v>7.9413744115087406</v>
      </c>
      <c r="GM217">
        <v>10.740663520805896</v>
      </c>
      <c r="GN217">
        <v>10.508369195586669</v>
      </c>
      <c r="GO217">
        <v>8.771738556495901</v>
      </c>
      <c r="GP217">
        <v>6.7563322236928602</v>
      </c>
      <c r="GQ217">
        <v>4.3034042874396139</v>
      </c>
      <c r="GR217">
        <v>5.2889366948470204</v>
      </c>
      <c r="GS217">
        <v>5.3250711749865145</v>
      </c>
      <c r="GT217">
        <v>8.3635579056382667</v>
      </c>
      <c r="GU217"/>
      <c r="GV217"/>
      <c r="GW217"/>
      <c r="GX217"/>
      <c r="GY217"/>
      <c r="GZ217"/>
      <c r="HA217"/>
      <c r="HB217"/>
      <c r="HC217"/>
    </row>
    <row r="218" spans="1:211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60.363238116501329</v>
      </c>
      <c r="AO218">
        <v>6.912351856230778</v>
      </c>
      <c r="AP218">
        <v>2.7451335490463871</v>
      </c>
      <c r="AQ218">
        <v>52.170702644191394</v>
      </c>
      <c r="AR218">
        <v>6.9917165853751833</v>
      </c>
      <c r="AS218">
        <v>44.951612767507889</v>
      </c>
      <c r="AT218">
        <v>5.6253583422111975</v>
      </c>
      <c r="AU218">
        <v>2.9467682234990678</v>
      </c>
      <c r="AV218"/>
      <c r="AW218"/>
      <c r="BA218" s="194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3"/>
      <c r="CH218" s="193"/>
      <c r="CI218" s="193"/>
      <c r="CJ218" s="193"/>
      <c r="CK218" s="193"/>
      <c r="CL218" s="193"/>
      <c r="CM218" s="196"/>
      <c r="CN218" s="192"/>
      <c r="CO218" s="192"/>
      <c r="CP218" s="192"/>
      <c r="CQ218" s="192"/>
      <c r="CR218" s="192"/>
      <c r="CS218" s="192"/>
      <c r="CT218" s="192"/>
      <c r="CU218" s="192"/>
      <c r="DE218" s="186">
        <f>DE149</f>
        <v>39847</v>
      </c>
      <c r="DF218" s="181">
        <f t="shared" ref="DF218:EJ218" si="351">AVERAGE(DF148:DF157)</f>
        <v>0</v>
      </c>
      <c r="DG218" s="181">
        <f t="shared" ref="DG218:DH218" si="352">AVERAGE(DG148:DG157)</f>
        <v>1.0416666666666665</v>
      </c>
      <c r="DH218" s="181">
        <f t="shared" si="352"/>
        <v>0</v>
      </c>
      <c r="DI218" s="181">
        <f t="shared" si="351"/>
        <v>0</v>
      </c>
      <c r="DJ218" s="181">
        <f t="shared" si="351"/>
        <v>0</v>
      </c>
      <c r="DK218" s="181">
        <f t="shared" si="351"/>
        <v>0</v>
      </c>
      <c r="DL218" s="181">
        <f t="shared" si="351"/>
        <v>0</v>
      </c>
      <c r="DM218" s="181">
        <f t="shared" si="351"/>
        <v>0</v>
      </c>
      <c r="DN218" s="181">
        <f t="shared" si="351"/>
        <v>0</v>
      </c>
      <c r="DO218" s="181">
        <f t="shared" si="351"/>
        <v>0</v>
      </c>
      <c r="DP218" s="181">
        <f t="shared" si="351"/>
        <v>0</v>
      </c>
      <c r="DQ218" s="181">
        <f t="shared" si="351"/>
        <v>0</v>
      </c>
      <c r="DR218" s="181">
        <f t="shared" si="351"/>
        <v>0</v>
      </c>
      <c r="DS218" s="181">
        <f t="shared" si="351"/>
        <v>0</v>
      </c>
      <c r="DT218" s="181">
        <f t="shared" si="351"/>
        <v>0</v>
      </c>
      <c r="DU218" s="181">
        <f t="shared" si="351"/>
        <v>0</v>
      </c>
      <c r="DV218" s="181">
        <f t="shared" si="351"/>
        <v>0</v>
      </c>
      <c r="DW218" s="181">
        <f t="shared" si="351"/>
        <v>0</v>
      </c>
      <c r="DX218" s="181">
        <f t="shared" si="351"/>
        <v>0</v>
      </c>
      <c r="DY218" s="181">
        <f t="shared" si="351"/>
        <v>0</v>
      </c>
      <c r="DZ218" s="181">
        <f t="shared" si="351"/>
        <v>0</v>
      </c>
      <c r="EA218" s="181">
        <f t="shared" si="351"/>
        <v>0</v>
      </c>
      <c r="EB218" s="181">
        <f t="shared" si="351"/>
        <v>0</v>
      </c>
      <c r="EC218" s="181">
        <f t="shared" si="351"/>
        <v>0</v>
      </c>
      <c r="ED218" s="181">
        <f t="shared" si="351"/>
        <v>0</v>
      </c>
      <c r="EE218" s="181">
        <f t="shared" si="351"/>
        <v>0</v>
      </c>
      <c r="EF218" s="181">
        <f t="shared" si="351"/>
        <v>0</v>
      </c>
      <c r="EG218" s="181">
        <f t="shared" si="351"/>
        <v>0</v>
      </c>
      <c r="EH218" s="181">
        <f t="shared" si="351"/>
        <v>0</v>
      </c>
      <c r="EI218" s="181">
        <f t="shared" si="351"/>
        <v>0</v>
      </c>
      <c r="EJ218" s="181">
        <f t="shared" si="351"/>
        <v>0</v>
      </c>
      <c r="FY218" s="211">
        <v>213</v>
      </c>
      <c r="FZ218">
        <v>15.532052698672487</v>
      </c>
      <c r="GA218">
        <v>10.86776471700357</v>
      </c>
      <c r="GB218">
        <v>4.9410833194413639</v>
      </c>
      <c r="GC218">
        <v>3.614520546664548</v>
      </c>
      <c r="GD218">
        <v>2.1490426470336135</v>
      </c>
      <c r="GE218">
        <v>2.98614781487395</v>
      </c>
      <c r="GF218">
        <v>5.5254261562500004E-2</v>
      </c>
      <c r="GG218">
        <v>0</v>
      </c>
      <c r="GH218">
        <v>4.5683145579147553</v>
      </c>
      <c r="GI218">
        <v>5.4807481139777972</v>
      </c>
      <c r="GJ218"/>
      <c r="GK218">
        <v>15.584675213920814</v>
      </c>
      <c r="GL218">
        <v>9.2110754555240248</v>
      </c>
      <c r="GM218">
        <v>8.2624370722989333</v>
      </c>
      <c r="GN218">
        <v>10.877913262775124</v>
      </c>
      <c r="GO218">
        <v>8.3324595747389871</v>
      </c>
      <c r="GP218">
        <v>5.7169833842627966</v>
      </c>
      <c r="GQ218">
        <v>6.7708333333333329E-2</v>
      </c>
      <c r="GR218">
        <v>0</v>
      </c>
      <c r="GS218">
        <v>4.8711839073876684</v>
      </c>
      <c r="GT218">
        <v>7.4236928203359485</v>
      </c>
      <c r="GU218"/>
      <c r="GV218"/>
      <c r="GW218"/>
      <c r="GX218"/>
      <c r="GY218"/>
      <c r="GZ218"/>
      <c r="HA218"/>
      <c r="HB218"/>
      <c r="HC218"/>
    </row>
    <row r="219" spans="1:211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58.274486111171413</v>
      </c>
      <c r="AO219">
        <v>6.6859616854629609</v>
      </c>
      <c r="AP219">
        <v>45.790484544614465</v>
      </c>
      <c r="AQ219">
        <v>48.709947018615289</v>
      </c>
      <c r="AR219">
        <v>6.9266465867352407</v>
      </c>
      <c r="AS219">
        <v>44.42205394699554</v>
      </c>
      <c r="AT219" t="e">
        <v>#DIV/0!</v>
      </c>
      <c r="AU219" t="e">
        <v>#DIV/0!</v>
      </c>
      <c r="AV219"/>
      <c r="AW219"/>
      <c r="BA219" s="194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3"/>
      <c r="CH219" s="193"/>
      <c r="CI219" s="193"/>
      <c r="CJ219" s="193"/>
      <c r="CK219" s="193"/>
      <c r="CL219" s="193"/>
      <c r="CM219" s="196"/>
      <c r="CN219" s="192"/>
      <c r="CO219" s="192"/>
      <c r="CP219" s="192"/>
      <c r="CQ219" s="192"/>
      <c r="CR219" s="192"/>
      <c r="CS219" s="192"/>
      <c r="CT219" s="192"/>
      <c r="CU219" s="192"/>
      <c r="DE219" s="186">
        <f>DE158</f>
        <v>39910</v>
      </c>
      <c r="DF219" s="181">
        <f t="shared" ref="DF219:EJ219" si="353">AVERAGE(DF158:DF167)</f>
        <v>8.6805555555555554</v>
      </c>
      <c r="DG219" s="181">
        <f t="shared" si="353"/>
        <v>30.402073268921093</v>
      </c>
      <c r="DH219" s="181">
        <f t="shared" si="353"/>
        <v>0</v>
      </c>
      <c r="DI219" s="181">
        <f t="shared" ref="DI219" si="354">AVERAGE(DI158:DI167)</f>
        <v>0</v>
      </c>
      <c r="DJ219" s="181">
        <f t="shared" si="353"/>
        <v>0</v>
      </c>
      <c r="DK219" s="181">
        <f t="shared" si="353"/>
        <v>0</v>
      </c>
      <c r="DL219" s="181">
        <f t="shared" si="353"/>
        <v>0</v>
      </c>
      <c r="DM219" s="181">
        <f t="shared" si="353"/>
        <v>0</v>
      </c>
      <c r="DN219" s="181">
        <f t="shared" si="353"/>
        <v>0</v>
      </c>
      <c r="DO219" s="181">
        <f t="shared" si="353"/>
        <v>0</v>
      </c>
      <c r="DP219" s="181">
        <f t="shared" si="353"/>
        <v>0</v>
      </c>
      <c r="DQ219" s="181">
        <f t="shared" si="353"/>
        <v>0</v>
      </c>
      <c r="DR219" s="181">
        <f t="shared" si="353"/>
        <v>0</v>
      </c>
      <c r="DS219" s="181">
        <f t="shared" si="353"/>
        <v>0</v>
      </c>
      <c r="DT219" s="181">
        <f t="shared" si="353"/>
        <v>0</v>
      </c>
      <c r="DU219" s="181">
        <f t="shared" si="353"/>
        <v>0</v>
      </c>
      <c r="DV219" s="181">
        <f t="shared" si="353"/>
        <v>0</v>
      </c>
      <c r="DW219" s="181">
        <f t="shared" si="353"/>
        <v>0</v>
      </c>
      <c r="DX219" s="181">
        <f t="shared" si="353"/>
        <v>0</v>
      </c>
      <c r="DY219" s="181">
        <f t="shared" si="353"/>
        <v>0</v>
      </c>
      <c r="DZ219" s="181">
        <f t="shared" si="353"/>
        <v>0</v>
      </c>
      <c r="EA219" s="181">
        <f t="shared" si="353"/>
        <v>0</v>
      </c>
      <c r="EB219" s="181">
        <f t="shared" si="353"/>
        <v>0</v>
      </c>
      <c r="EC219" s="181">
        <f t="shared" si="353"/>
        <v>0</v>
      </c>
      <c r="ED219" s="181">
        <f t="shared" si="353"/>
        <v>0</v>
      </c>
      <c r="EE219" s="181">
        <f t="shared" si="353"/>
        <v>0</v>
      </c>
      <c r="EF219" s="181">
        <f t="shared" si="353"/>
        <v>0</v>
      </c>
      <c r="EG219" s="181">
        <f t="shared" si="353"/>
        <v>0</v>
      </c>
      <c r="EH219" s="181">
        <f t="shared" si="353"/>
        <v>0</v>
      </c>
      <c r="EI219" s="181">
        <f t="shared" si="353"/>
        <v>0</v>
      </c>
      <c r="EJ219" s="181">
        <f t="shared" si="353"/>
        <v>0</v>
      </c>
      <c r="FY219" s="211">
        <v>214</v>
      </c>
      <c r="FZ219">
        <v>8.3418283746151385</v>
      </c>
      <c r="GA219">
        <v>8.942992747438204</v>
      </c>
      <c r="GB219">
        <v>6.5016466077690405</v>
      </c>
      <c r="GC219">
        <v>2.8592082019301786</v>
      </c>
      <c r="GD219">
        <v>1.3963379080246903</v>
      </c>
      <c r="GE219">
        <v>1.3910252716112961</v>
      </c>
      <c r="GF219">
        <v>2.4009898586065801</v>
      </c>
      <c r="GG219">
        <v>2.367581559138717</v>
      </c>
      <c r="GH219">
        <v>6.1053047439897385</v>
      </c>
      <c r="GI219">
        <v>5.0287485103118792</v>
      </c>
      <c r="GJ219"/>
      <c r="GK219">
        <v>8.3874054504223743</v>
      </c>
      <c r="GL219">
        <v>7.5770496696654295</v>
      </c>
      <c r="GM219">
        <v>10.771107467340453</v>
      </c>
      <c r="GN219">
        <v>8.5171165981261208</v>
      </c>
      <c r="GO219">
        <v>5.4132615966858708</v>
      </c>
      <c r="GP219">
        <v>2.6631194629014403</v>
      </c>
      <c r="GQ219">
        <v>2.9375326039123331</v>
      </c>
      <c r="GR219">
        <v>3.3287363076160368</v>
      </c>
      <c r="GS219">
        <v>6.5073708578211233</v>
      </c>
      <c r="GT219">
        <v>6.8033355952364314</v>
      </c>
      <c r="GU219"/>
      <c r="GV219"/>
      <c r="GW219"/>
      <c r="GX219"/>
      <c r="GY219"/>
      <c r="GZ219"/>
      <c r="HA219"/>
      <c r="HB219"/>
      <c r="HC219"/>
    </row>
    <row r="220" spans="1:211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59.700319697422856</v>
      </c>
      <c r="AO220">
        <v>6.9535029689961192</v>
      </c>
      <c r="AP220">
        <v>3.7490100044325407</v>
      </c>
      <c r="AQ220">
        <v>51.725336706407887</v>
      </c>
      <c r="AR220">
        <v>7.228067395835085</v>
      </c>
      <c r="AS220">
        <v>46.758982518503871</v>
      </c>
      <c r="AT220">
        <v>5.7899621627487763</v>
      </c>
      <c r="AU220">
        <v>-2.2926925482980067</v>
      </c>
      <c r="AV220"/>
      <c r="AW220"/>
      <c r="BA220" s="194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3"/>
      <c r="CH220" s="193"/>
      <c r="CI220" s="193"/>
      <c r="CJ220" s="193"/>
      <c r="CK220" s="193"/>
      <c r="CL220" s="193"/>
      <c r="CM220" s="196"/>
      <c r="CN220" s="192"/>
      <c r="CO220" s="192"/>
      <c r="CP220" s="192"/>
      <c r="CQ220" s="192"/>
      <c r="CR220" s="192"/>
      <c r="CS220" s="192"/>
      <c r="CT220" s="192"/>
      <c r="CU220" s="192"/>
      <c r="DE220" s="186">
        <f>DE168</f>
        <v>39949</v>
      </c>
      <c r="DF220" s="181">
        <f t="shared" ref="DF220:EJ220" si="355">AVERAGE(DF168:DF177)</f>
        <v>0</v>
      </c>
      <c r="DG220" s="181">
        <f t="shared" si="355"/>
        <v>8.1018518518518512</v>
      </c>
      <c r="DH220" s="181">
        <f t="shared" si="355"/>
        <v>0</v>
      </c>
      <c r="DI220" s="181">
        <f t="shared" ref="DI220" si="356">AVERAGE(DI168:DI177)</f>
        <v>0</v>
      </c>
      <c r="DJ220" s="181">
        <f t="shared" si="355"/>
        <v>0</v>
      </c>
      <c r="DK220" s="181">
        <f t="shared" si="355"/>
        <v>0</v>
      </c>
      <c r="DL220" s="181">
        <f t="shared" si="355"/>
        <v>0</v>
      </c>
      <c r="DM220" s="181">
        <f t="shared" si="355"/>
        <v>0</v>
      </c>
      <c r="DN220" s="181">
        <f t="shared" si="355"/>
        <v>0</v>
      </c>
      <c r="DO220" s="181">
        <f t="shared" si="355"/>
        <v>0</v>
      </c>
      <c r="DP220" s="181">
        <f t="shared" si="355"/>
        <v>0</v>
      </c>
      <c r="DQ220" s="181">
        <f t="shared" si="355"/>
        <v>0</v>
      </c>
      <c r="DR220" s="181">
        <f t="shared" si="355"/>
        <v>0</v>
      </c>
      <c r="DS220" s="181">
        <f t="shared" si="355"/>
        <v>0</v>
      </c>
      <c r="DT220" s="181">
        <f t="shared" si="355"/>
        <v>0</v>
      </c>
      <c r="DU220" s="181">
        <f t="shared" si="355"/>
        <v>0</v>
      </c>
      <c r="DV220" s="181">
        <f t="shared" si="355"/>
        <v>0</v>
      </c>
      <c r="DW220" s="181">
        <f t="shared" si="355"/>
        <v>0</v>
      </c>
      <c r="DX220" s="181">
        <f t="shared" si="355"/>
        <v>0</v>
      </c>
      <c r="DY220" s="181">
        <f t="shared" si="355"/>
        <v>0</v>
      </c>
      <c r="DZ220" s="181">
        <f t="shared" si="355"/>
        <v>0</v>
      </c>
      <c r="EA220" s="181">
        <f t="shared" si="355"/>
        <v>0</v>
      </c>
      <c r="EB220" s="181">
        <f t="shared" si="355"/>
        <v>0</v>
      </c>
      <c r="EC220" s="181">
        <f t="shared" si="355"/>
        <v>0</v>
      </c>
      <c r="ED220" s="181">
        <f t="shared" si="355"/>
        <v>0</v>
      </c>
      <c r="EE220" s="181">
        <f t="shared" si="355"/>
        <v>0</v>
      </c>
      <c r="EF220" s="181">
        <f t="shared" si="355"/>
        <v>0</v>
      </c>
      <c r="EG220" s="181">
        <f t="shared" si="355"/>
        <v>0</v>
      </c>
      <c r="EH220" s="181">
        <f t="shared" si="355"/>
        <v>0</v>
      </c>
      <c r="EI220" s="181">
        <f t="shared" si="355"/>
        <v>0</v>
      </c>
      <c r="EJ220" s="181">
        <f t="shared" si="355"/>
        <v>0</v>
      </c>
      <c r="FY220" s="211">
        <v>215</v>
      </c>
      <c r="FZ220">
        <v>17.678685590371018</v>
      </c>
      <c r="GA220">
        <v>15.633259284963067</v>
      </c>
      <c r="GB220">
        <v>6.3436850813595758</v>
      </c>
      <c r="GC220">
        <v>2.9400744250759017</v>
      </c>
      <c r="GD220">
        <v>1.534350295329068</v>
      </c>
      <c r="GE220">
        <v>2.7739515448739493</v>
      </c>
      <c r="GF220">
        <v>3.1785708003608084</v>
      </c>
      <c r="GG220">
        <v>3.0451031002555</v>
      </c>
      <c r="GH220">
        <v>2.9792186016827986</v>
      </c>
      <c r="GI220">
        <v>6.1023223956773629</v>
      </c>
      <c r="GJ220"/>
      <c r="GK220">
        <v>17.755317308228541</v>
      </c>
      <c r="GL220">
        <v>13.246172987384529</v>
      </c>
      <c r="GM220">
        <v>10.546150077701983</v>
      </c>
      <c r="GN220">
        <v>8.8123179215510188</v>
      </c>
      <c r="GO220">
        <v>5.9483755180472278</v>
      </c>
      <c r="GP220">
        <v>5.3107333842627957</v>
      </c>
      <c r="GQ220">
        <v>3.8926919259497259</v>
      </c>
      <c r="GR220">
        <v>4.2838956296534292</v>
      </c>
      <c r="GS220">
        <v>3.1767589338497442</v>
      </c>
      <c r="GT220">
        <v>8.2638587527554446</v>
      </c>
      <c r="GU220"/>
      <c r="GV220"/>
      <c r="GW220"/>
      <c r="GX220"/>
      <c r="GY220"/>
      <c r="GZ220"/>
      <c r="HA220"/>
      <c r="HB220"/>
      <c r="HC220"/>
    </row>
    <row r="221" spans="1:211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74.489360684497626</v>
      </c>
      <c r="AO221">
        <v>8.4173791143477565</v>
      </c>
      <c r="AP221">
        <v>36.837446585276055</v>
      </c>
      <c r="AQ221">
        <v>57.443951386435437</v>
      </c>
      <c r="AR221">
        <v>8.5343836464815812</v>
      </c>
      <c r="AS221">
        <v>54.597784098657606</v>
      </c>
      <c r="AT221" t="e">
        <v>#DIV/0!</v>
      </c>
      <c r="AU221" t="e">
        <v>#DIV/0!</v>
      </c>
      <c r="AV221"/>
      <c r="AW221"/>
      <c r="BA221" s="194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3"/>
      <c r="CH221" s="193"/>
      <c r="CI221" s="193"/>
      <c r="CJ221" s="193"/>
      <c r="CK221" s="193"/>
      <c r="CL221" s="193"/>
      <c r="CM221" s="196"/>
      <c r="CN221" s="192"/>
      <c r="CO221" s="192"/>
      <c r="CP221" s="192"/>
      <c r="CQ221" s="192"/>
      <c r="CR221" s="192"/>
      <c r="CS221" s="192"/>
      <c r="CT221" s="192"/>
      <c r="CU221" s="192"/>
      <c r="DE221" s="186">
        <f>DE178</f>
        <v>39987</v>
      </c>
      <c r="DF221" s="181">
        <f t="shared" ref="DF221:EJ221" si="357">AVERAGE(DF178:DF187)</f>
        <v>26.661413186235883</v>
      </c>
      <c r="DG221" s="181">
        <f t="shared" si="357"/>
        <v>66.005479877619933</v>
      </c>
      <c r="DH221" s="181">
        <f t="shared" si="357"/>
        <v>0</v>
      </c>
      <c r="DI221" s="181">
        <f t="shared" si="357"/>
        <v>0</v>
      </c>
      <c r="DJ221" s="181">
        <f t="shared" si="357"/>
        <v>0</v>
      </c>
      <c r="DK221" s="181">
        <f t="shared" si="357"/>
        <v>0</v>
      </c>
      <c r="DL221" s="181">
        <f t="shared" si="357"/>
        <v>0</v>
      </c>
      <c r="DM221" s="181">
        <f t="shared" si="357"/>
        <v>0</v>
      </c>
      <c r="DN221" s="181">
        <f t="shared" si="357"/>
        <v>0</v>
      </c>
      <c r="DO221" s="181">
        <f t="shared" si="357"/>
        <v>0</v>
      </c>
      <c r="DP221" s="181">
        <f t="shared" si="357"/>
        <v>0</v>
      </c>
      <c r="DQ221" s="181">
        <f t="shared" si="357"/>
        <v>0</v>
      </c>
      <c r="DR221" s="181">
        <f t="shared" si="357"/>
        <v>0</v>
      </c>
      <c r="DS221" s="181">
        <f t="shared" si="357"/>
        <v>0</v>
      </c>
      <c r="DT221" s="181">
        <f t="shared" si="357"/>
        <v>0</v>
      </c>
      <c r="DU221" s="181">
        <f t="shared" si="357"/>
        <v>0</v>
      </c>
      <c r="DV221" s="181">
        <f t="shared" si="357"/>
        <v>0</v>
      </c>
      <c r="DW221" s="181">
        <f t="shared" si="357"/>
        <v>0</v>
      </c>
      <c r="DX221" s="181">
        <f t="shared" si="357"/>
        <v>0</v>
      </c>
      <c r="DY221" s="181">
        <f t="shared" si="357"/>
        <v>0</v>
      </c>
      <c r="DZ221" s="181">
        <f t="shared" si="357"/>
        <v>0</v>
      </c>
      <c r="EA221" s="181">
        <f t="shared" si="357"/>
        <v>0</v>
      </c>
      <c r="EB221" s="181">
        <f t="shared" si="357"/>
        <v>0</v>
      </c>
      <c r="EC221" s="181">
        <f t="shared" si="357"/>
        <v>0</v>
      </c>
      <c r="ED221" s="181">
        <f t="shared" si="357"/>
        <v>0</v>
      </c>
      <c r="EE221" s="181">
        <f t="shared" si="357"/>
        <v>0</v>
      </c>
      <c r="EF221" s="181">
        <f t="shared" si="357"/>
        <v>0</v>
      </c>
      <c r="EG221" s="181">
        <f t="shared" si="357"/>
        <v>0</v>
      </c>
      <c r="EH221" s="181">
        <f t="shared" si="357"/>
        <v>0</v>
      </c>
      <c r="EI221" s="181">
        <f t="shared" si="357"/>
        <v>0</v>
      </c>
      <c r="EJ221" s="181">
        <f t="shared" si="357"/>
        <v>0</v>
      </c>
      <c r="FY221" s="211">
        <v>216</v>
      </c>
      <c r="FZ221">
        <v>12.780586836194502</v>
      </c>
      <c r="GA221">
        <v>9.066770885152879</v>
      </c>
      <c r="GB221">
        <v>3.8022332365077571</v>
      </c>
      <c r="GC221">
        <v>2.2660082447246879</v>
      </c>
      <c r="GD221">
        <v>1.3658448289390106</v>
      </c>
      <c r="GE221">
        <v>1.9225187395798322</v>
      </c>
      <c r="GF221">
        <v>3.093803558536381</v>
      </c>
      <c r="GG221">
        <v>2.9708201341953293</v>
      </c>
      <c r="GH221">
        <v>4.7867699940364057</v>
      </c>
      <c r="GI221">
        <v>4.928085834975195</v>
      </c>
      <c r="GJ221"/>
      <c r="GK221">
        <v>12.826874116699376</v>
      </c>
      <c r="GL221">
        <v>7.684573631787087</v>
      </c>
      <c r="GM221">
        <v>6.3372895035682264</v>
      </c>
      <c r="GN221">
        <v>6.816006071064896</v>
      </c>
      <c r="GO221">
        <v>5.3052640342722981</v>
      </c>
      <c r="GP221">
        <v>3.6806643111790178</v>
      </c>
      <c r="GQ221">
        <v>3.7865035177609645</v>
      </c>
      <c r="GR221">
        <v>4.1777072214646678</v>
      </c>
      <c r="GS221">
        <v>5.103162687556881</v>
      </c>
      <c r="GT221">
        <v>6.6718187719715489</v>
      </c>
      <c r="GU221"/>
      <c r="GV221"/>
      <c r="GW221"/>
      <c r="GX221"/>
      <c r="GY221"/>
      <c r="GZ221"/>
      <c r="HA221"/>
      <c r="HB221"/>
      <c r="HC221"/>
    </row>
    <row r="222" spans="1:211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56.417290722030259</v>
      </c>
      <c r="AO222">
        <v>6.7734928795200373</v>
      </c>
      <c r="AP222">
        <v>36.69759248678502</v>
      </c>
      <c r="AQ222">
        <v>50.046202787219549</v>
      </c>
      <c r="AR222">
        <v>6.8427261807784987</v>
      </c>
      <c r="AS222">
        <v>44.689633712384435</v>
      </c>
      <c r="AT222" t="e">
        <v>#DIV/0!</v>
      </c>
      <c r="AU222" t="e">
        <v>#DIV/0!</v>
      </c>
      <c r="AV222"/>
      <c r="AW222"/>
      <c r="BA222" s="194"/>
      <c r="BB222" s="192"/>
      <c r="BC222" s="197"/>
      <c r="BD222" s="197"/>
      <c r="BE222" s="197"/>
      <c r="BF222" s="197"/>
      <c r="BG222" s="197"/>
      <c r="BH222" s="197"/>
      <c r="BI222" s="197"/>
      <c r="BJ222" s="197"/>
      <c r="BK222" s="197"/>
      <c r="BL222" s="197"/>
      <c r="BM222" s="197"/>
      <c r="BN222" s="197"/>
      <c r="BO222" s="197"/>
      <c r="BP222" s="197"/>
      <c r="BQ222" s="197"/>
      <c r="BR222" s="197"/>
      <c r="BS222" s="197"/>
      <c r="BT222" s="197"/>
      <c r="BU222" s="197"/>
      <c r="BV222" s="197"/>
      <c r="BW222" s="192"/>
      <c r="BX222" s="197"/>
      <c r="BY222" s="192"/>
      <c r="BZ222" s="192"/>
      <c r="CA222" s="192"/>
      <c r="CB222" s="192"/>
      <c r="CC222" s="192"/>
      <c r="CD222" s="192"/>
      <c r="CE222" s="192"/>
      <c r="CF222" s="192"/>
      <c r="CG222" s="193"/>
      <c r="CH222" s="193"/>
      <c r="CI222" s="193"/>
      <c r="CJ222" s="193"/>
      <c r="CK222" s="193"/>
      <c r="CL222" s="193"/>
      <c r="CM222" s="196"/>
      <c r="CN222" s="192"/>
      <c r="CO222" s="192"/>
      <c r="CP222" s="192"/>
      <c r="CQ222" s="192"/>
      <c r="CR222" s="192"/>
      <c r="CS222" s="192"/>
      <c r="CT222" s="192"/>
      <c r="CU222" s="192"/>
      <c r="DE222" s="186"/>
      <c r="DF222" s="181"/>
      <c r="DG222" s="185"/>
      <c r="DH222" s="185"/>
      <c r="DI222" s="185"/>
      <c r="DJ222" s="185"/>
      <c r="DK222" s="185"/>
      <c r="DL222" s="185"/>
      <c r="DM222" s="185"/>
      <c r="DN222" s="185"/>
      <c r="DO222" s="185"/>
      <c r="DP222" s="185"/>
      <c r="DQ222" s="185"/>
      <c r="DR222" s="185"/>
      <c r="DS222" s="185"/>
      <c r="DT222" s="185"/>
      <c r="DU222" s="185"/>
      <c r="DV222" s="185"/>
      <c r="DW222" s="185"/>
      <c r="DX222" s="185"/>
      <c r="DY222" s="185"/>
      <c r="DZ222" s="185"/>
      <c r="EA222" s="181"/>
      <c r="EB222" s="185"/>
      <c r="EC222" s="181"/>
      <c r="ED222" s="181"/>
      <c r="EE222" s="181"/>
      <c r="EF222" s="181"/>
      <c r="EG222" s="181"/>
      <c r="EH222" s="181"/>
      <c r="EI222" s="181"/>
      <c r="EJ222" s="181"/>
      <c r="FY222" s="211">
        <v>217</v>
      </c>
      <c r="FZ222">
        <v>13.47701751393976</v>
      </c>
      <c r="GA222">
        <v>15.395586381335173</v>
      </c>
      <c r="GB222">
        <v>7.5157168320684153</v>
      </c>
      <c r="GC222">
        <v>3.9875690666556944</v>
      </c>
      <c r="GD222">
        <v>1.5613778779210463</v>
      </c>
      <c r="GE222">
        <v>1.5425940358970101</v>
      </c>
      <c r="GF222">
        <v>2.5013550873384638</v>
      </c>
      <c r="GG222">
        <v>2.1288892006015789</v>
      </c>
      <c r="GH222">
        <v>5.0848025275171862</v>
      </c>
      <c r="GI222">
        <v>5.994976241448434</v>
      </c>
      <c r="GJ222"/>
      <c r="GK222">
        <v>13.509537016093521</v>
      </c>
      <c r="GL222">
        <v>13.044886361292983</v>
      </c>
      <c r="GM222">
        <v>12.48619422581447</v>
      </c>
      <c r="GN222">
        <v>11.946760302944179</v>
      </c>
      <c r="GO222">
        <v>6.0736351086369025</v>
      </c>
      <c r="GP222">
        <v>2.953298034330011</v>
      </c>
      <c r="GQ222">
        <v>3.0605197214646678</v>
      </c>
      <c r="GR222">
        <v>2.9928113881313347</v>
      </c>
      <c r="GS222">
        <v>5.4229696832503791</v>
      </c>
      <c r="GT222">
        <v>8.1105711510519889</v>
      </c>
      <c r="GU222"/>
      <c r="GV222"/>
      <c r="GW222"/>
      <c r="GX222"/>
      <c r="GY222"/>
      <c r="GZ222"/>
      <c r="HA222"/>
      <c r="HB222"/>
      <c r="HC222"/>
    </row>
    <row r="223" spans="1:211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35.563528910503621</v>
      </c>
      <c r="AO223">
        <v>4.4175626841390496</v>
      </c>
      <c r="AP223">
        <v>1.9007445310014939</v>
      </c>
      <c r="AQ223">
        <v>28.619948330279836</v>
      </c>
      <c r="AR223">
        <v>4.7155943157291533</v>
      </c>
      <c r="AS223">
        <v>28.559135554749371</v>
      </c>
      <c r="AT223">
        <v>3.7333729801766626</v>
      </c>
      <c r="AU223">
        <v>5.7175059153080738</v>
      </c>
      <c r="AV223"/>
      <c r="AW223"/>
      <c r="BA223" s="194"/>
      <c r="BB223" s="192"/>
      <c r="BC223" s="197"/>
      <c r="BD223" s="197"/>
      <c r="BE223" s="197"/>
      <c r="BF223" s="197"/>
      <c r="BG223" s="197"/>
      <c r="BH223" s="197"/>
      <c r="BI223" s="197"/>
      <c r="BJ223" s="197"/>
      <c r="BK223" s="197"/>
      <c r="BL223" s="197"/>
      <c r="BM223" s="197"/>
      <c r="BN223" s="197"/>
      <c r="BO223" s="197"/>
      <c r="BP223" s="197"/>
      <c r="BQ223" s="197"/>
      <c r="BR223" s="197"/>
      <c r="BS223" s="197"/>
      <c r="BT223" s="197"/>
      <c r="BU223" s="197"/>
      <c r="BV223" s="197"/>
      <c r="BW223" s="192"/>
      <c r="BX223" s="197"/>
      <c r="BY223" s="192"/>
      <c r="BZ223" s="192"/>
      <c r="CA223" s="192"/>
      <c r="CB223" s="192"/>
      <c r="CC223" s="192"/>
      <c r="CD223" s="192"/>
      <c r="CE223" s="192"/>
      <c r="CF223" s="192"/>
      <c r="CG223" s="193"/>
      <c r="CH223" s="193"/>
      <c r="CI223" s="193"/>
      <c r="CJ223" s="193"/>
      <c r="CK223" s="193"/>
      <c r="CL223" s="193"/>
      <c r="CM223" s="192"/>
      <c r="CN223" s="192"/>
      <c r="CO223" s="192"/>
      <c r="CP223" s="192"/>
      <c r="CQ223" s="192"/>
      <c r="CR223" s="192"/>
      <c r="CS223" s="192"/>
      <c r="CT223" s="192"/>
      <c r="CU223" s="192"/>
      <c r="DE223" s="186"/>
      <c r="DF223" s="181"/>
      <c r="DG223" s="185"/>
      <c r="DH223" s="185"/>
      <c r="DI223" s="185"/>
      <c r="DJ223" s="185"/>
      <c r="DK223" s="185"/>
      <c r="DL223" s="185"/>
      <c r="DM223" s="185"/>
      <c r="DN223" s="185"/>
      <c r="DO223" s="185"/>
      <c r="DP223" s="185"/>
      <c r="DQ223" s="185"/>
      <c r="DR223" s="185"/>
      <c r="DS223" s="185"/>
      <c r="DT223" s="185"/>
      <c r="DU223" s="185"/>
      <c r="DV223" s="185"/>
      <c r="DW223" s="185"/>
      <c r="DX223" s="185"/>
      <c r="DY223" s="185"/>
      <c r="DZ223" s="185"/>
      <c r="EA223" s="181"/>
      <c r="EB223" s="185"/>
      <c r="EC223" s="181"/>
      <c r="ED223" s="181"/>
      <c r="EE223" s="181"/>
      <c r="EF223" s="181"/>
      <c r="EG223" s="181"/>
      <c r="EH223" s="181"/>
      <c r="EI223" s="181"/>
      <c r="EJ223" s="181"/>
      <c r="FY223" s="211">
        <v>218</v>
      </c>
      <c r="FZ223">
        <v>11.426464254516324</v>
      </c>
      <c r="GA223">
        <v>9.7363396167910192</v>
      </c>
      <c r="GB223">
        <v>7.2585934094923044</v>
      </c>
      <c r="GC223">
        <v>4.3965128841392422</v>
      </c>
      <c r="GD223">
        <v>1.8549195368012372</v>
      </c>
      <c r="GE223">
        <v>2.5708570661911279</v>
      </c>
      <c r="GF223">
        <v>2.4787996037537718</v>
      </c>
      <c r="GG223">
        <v>3.1837141949743142</v>
      </c>
      <c r="GH223">
        <v>9.0759636586570487</v>
      </c>
      <c r="GI223">
        <v>6.4246777208210677</v>
      </c>
      <c r="GJ223"/>
      <c r="GK223">
        <v>11.458347219323571</v>
      </c>
      <c r="GL223">
        <v>8.2518265243008297</v>
      </c>
      <c r="GM223">
        <v>12.136086815109508</v>
      </c>
      <c r="GN223">
        <v>13.258865903272238</v>
      </c>
      <c r="GO223">
        <v>7.1905710178397948</v>
      </c>
      <c r="GP223">
        <v>4.9219087740804568</v>
      </c>
      <c r="GQ223">
        <v>3.0328803293551672</v>
      </c>
      <c r="GR223">
        <v>4.4773247737996105</v>
      </c>
      <c r="GS223">
        <v>9.6769853337392338</v>
      </c>
      <c r="GT223">
        <v>8.6989741430734551</v>
      </c>
      <c r="GU223"/>
      <c r="GV223"/>
      <c r="GW223"/>
      <c r="GX223"/>
      <c r="GY223"/>
      <c r="GZ223"/>
      <c r="HA223"/>
      <c r="HB223"/>
      <c r="HC223"/>
    </row>
    <row r="224" spans="1:211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63.1077014517086</v>
      </c>
      <c r="AO224">
        <v>7.1530338451916462</v>
      </c>
      <c r="AP224">
        <v>3.7780528992078013</v>
      </c>
      <c r="AQ224">
        <v>53.185906485125962</v>
      </c>
      <c r="AR224">
        <v>7.4345892240346272</v>
      </c>
      <c r="AS224">
        <v>41.711782363743502</v>
      </c>
      <c r="AT224">
        <v>5.9156812481799692</v>
      </c>
      <c r="AU224">
        <v>-3.0489553453900013</v>
      </c>
      <c r="AV224"/>
      <c r="AW224"/>
      <c r="BA224" s="198"/>
      <c r="BB224" s="193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3"/>
      <c r="BX224" s="199"/>
      <c r="BY224" s="193"/>
      <c r="BZ224" s="193"/>
      <c r="CA224" s="193"/>
      <c r="CB224" s="193"/>
      <c r="CC224" s="193"/>
      <c r="CD224" s="193"/>
      <c r="CE224" s="193"/>
      <c r="CF224" s="193"/>
      <c r="CG224" s="193"/>
      <c r="CH224" s="193"/>
      <c r="CI224" s="193"/>
      <c r="CJ224" s="193"/>
      <c r="CK224" s="193"/>
      <c r="CL224" s="193"/>
      <c r="CM224" s="192"/>
      <c r="CN224" s="192"/>
      <c r="CO224" s="192"/>
      <c r="CP224" s="192"/>
      <c r="CQ224" s="192"/>
      <c r="CR224" s="192"/>
      <c r="CS224" s="192"/>
      <c r="CT224" s="192"/>
      <c r="CU224" s="192"/>
      <c r="DE224" s="183" t="s">
        <v>139</v>
      </c>
      <c r="DH224" s="203" t="s">
        <v>142</v>
      </c>
      <c r="FY224" s="211">
        <v>219</v>
      </c>
      <c r="FZ224">
        <v>12.347428985208751</v>
      </c>
      <c r="GA224">
        <v>13.021968388920945</v>
      </c>
      <c r="GB224">
        <v>7.4755590431563981</v>
      </c>
      <c r="GC224">
        <v>3.3802352335534955</v>
      </c>
      <c r="GD224">
        <v>1.8156464211521386</v>
      </c>
      <c r="GE224">
        <v>2.2778241219054141</v>
      </c>
      <c r="GF224">
        <v>2.5340538653162721</v>
      </c>
      <c r="GG224">
        <v>2.4353311428909818</v>
      </c>
      <c r="GH224">
        <v>5.1692260135826391</v>
      </c>
      <c r="GI224">
        <v>5.9866931717735605</v>
      </c>
      <c r="GJ224"/>
      <c r="GK224">
        <v>12.410323391081654</v>
      </c>
      <c r="GL224">
        <v>11.032916791856122</v>
      </c>
      <c r="GM224">
        <v>12.500024407471464</v>
      </c>
      <c r="GN224">
        <v>10.262210621636736</v>
      </c>
      <c r="GO224">
        <v>7.0595077531492523</v>
      </c>
      <c r="GP224">
        <v>4.3608968693185526</v>
      </c>
      <c r="GQ224">
        <v>3.1005886626885006</v>
      </c>
      <c r="GR224">
        <v>3.4240840330588713</v>
      </c>
      <c r="GS224">
        <v>5.5111963633559675</v>
      </c>
      <c r="GT224">
        <v>8.1163281155493685</v>
      </c>
      <c r="GU224"/>
      <c r="GV224"/>
      <c r="GW224"/>
      <c r="GX224"/>
      <c r="GY224"/>
      <c r="GZ224"/>
      <c r="HA224"/>
      <c r="HB224"/>
      <c r="HC224"/>
    </row>
    <row r="225" spans="1:211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60.692118396845011</v>
      </c>
      <c r="AO225">
        <v>6.8710806260860746</v>
      </c>
      <c r="AP225">
        <v>4.8845005173252147</v>
      </c>
      <c r="AQ225">
        <v>48.650480831226886</v>
      </c>
      <c r="AR225">
        <v>7.2611931552850812</v>
      </c>
      <c r="AS225">
        <v>43.204183311417928</v>
      </c>
      <c r="AT225">
        <v>5.7631597168621829</v>
      </c>
      <c r="AU225">
        <v>3.2112123683733591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6">
        <v>39646</v>
      </c>
      <c r="DF225" s="204"/>
      <c r="DG225" s="204">
        <f>((DG212*$H$372)+(DH212*$I$372)+(DI212*$J$372)+(DJ212*$K$372)+(DK212*$L$372)+(DL212*$M$372)+(DM212*$N$372)+(DN212*$O$372)+(DO212*$P$372)+(DP212*$Q$372)+(DQ212*$R$372)+(DR212*$S$372)+(DS212*$T$372)+(DT212*$U$372))/SUM(DG212:DT212)</f>
        <v>0.15667231461153622</v>
      </c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FY225" s="211">
        <v>220</v>
      </c>
      <c r="FZ225">
        <v>11.51429104014669</v>
      </c>
      <c r="GA225">
        <v>7.4040156344711194</v>
      </c>
      <c r="GB225">
        <v>6.0343596250956919</v>
      </c>
      <c r="GC225">
        <v>3.5377464831692071</v>
      </c>
      <c r="GD225">
        <v>1.0661052897182122</v>
      </c>
      <c r="GE225">
        <v>0.88744098965116269</v>
      </c>
      <c r="GF225">
        <v>1.8637956489711629</v>
      </c>
      <c r="GG225">
        <v>1.5256506255449667</v>
      </c>
      <c r="GH225">
        <v>1.5506261300324957</v>
      </c>
      <c r="GI225">
        <v>4.382633485468892</v>
      </c>
      <c r="GJ225"/>
      <c r="GK225">
        <v>11.582969522333155</v>
      </c>
      <c r="GL225">
        <v>6.2746951160169617</v>
      </c>
      <c r="GM225">
        <v>10.072365464825982</v>
      </c>
      <c r="GN225">
        <v>10.648473113202435</v>
      </c>
      <c r="GO225">
        <v>4.1328542738730256</v>
      </c>
      <c r="GP225">
        <v>1.6990067829457363</v>
      </c>
      <c r="GQ225">
        <v>2.2792571409493698</v>
      </c>
      <c r="GR225">
        <v>2.1438404742827033</v>
      </c>
      <c r="GS225">
        <v>1.6521551757620685</v>
      </c>
      <c r="GT225">
        <v>5.943920315548719</v>
      </c>
      <c r="GU225"/>
      <c r="GV225"/>
      <c r="GW225"/>
      <c r="GX225"/>
      <c r="GY225"/>
      <c r="GZ225"/>
      <c r="HA225"/>
      <c r="HB225"/>
      <c r="HC225"/>
    </row>
    <row r="226" spans="1:211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48.719581136334398</v>
      </c>
      <c r="AO226">
        <v>6.0766787670644744</v>
      </c>
      <c r="AP226">
        <v>4.3736751789637616</v>
      </c>
      <c r="AQ226">
        <v>44.502463015175096</v>
      </c>
      <c r="AR226">
        <v>6.3574269765018752</v>
      </c>
      <c r="AS226">
        <v>40.600091518353814</v>
      </c>
      <c r="AT226">
        <v>5.1247206194212769</v>
      </c>
      <c r="AU226">
        <v>9.1482957988933542</v>
      </c>
      <c r="AV226"/>
      <c r="AW226"/>
      <c r="DE226" s="186">
        <f>DE101</f>
        <v>39673</v>
      </c>
      <c r="DF226" s="204"/>
      <c r="DG226" s="204">
        <f t="shared" ref="DG226:DG234" si="358">((DG213*$H$372)+(DH213*$I$372)+(DI213*$J$372)+(DJ213*$K$372)+(DK213*$L$372)+(DL213*$M$372)+(DM213*$N$372)+(DN213*$O$372)+(DO213*$P$372)+(DP213*$Q$372)+(DQ213*$R$372)+(DR213*$S$372)+(DS213*$T$372)+(DT213*$U$372))/SUM(DG213:DT213)</f>
        <v>0.11570000000000001</v>
      </c>
      <c r="DH226" s="204">
        <f>(LN(DG226/DG225))/(DE213-DE212)</f>
        <v>-1.1227993403647614E-2</v>
      </c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FY226" s="211">
        <v>221</v>
      </c>
      <c r="FZ226">
        <v>14.082643943111432</v>
      </c>
      <c r="GA226">
        <v>11.814518483960994</v>
      </c>
      <c r="GB226">
        <v>4.5838315809099477</v>
      </c>
      <c r="GC226">
        <v>2.3563103947864548</v>
      </c>
      <c r="GD226">
        <v>2.3085773146901372</v>
      </c>
      <c r="GE226">
        <v>3.7321246245251118</v>
      </c>
      <c r="GF226">
        <v>0.7185549812303732</v>
      </c>
      <c r="GG226">
        <v>1.277338661079775</v>
      </c>
      <c r="GH226">
        <v>5.2674479348831795</v>
      </c>
      <c r="GI226">
        <v>5.4948715603979208</v>
      </c>
      <c r="GJ226"/>
      <c r="GK226">
        <v>14.147963188357306</v>
      </c>
      <c r="GL226">
        <v>10.010692612859495</v>
      </c>
      <c r="GM226">
        <v>7.5913906790012389</v>
      </c>
      <c r="GN226">
        <v>7.0126498837859286</v>
      </c>
      <c r="GO226">
        <v>8.9495333633488237</v>
      </c>
      <c r="GP226">
        <v>7.1451568338751983</v>
      </c>
      <c r="GQ226">
        <v>0.87819917232653688</v>
      </c>
      <c r="GR226">
        <v>1.796023246400611</v>
      </c>
      <c r="GS226">
        <v>5.6147598989134462</v>
      </c>
      <c r="GT226">
        <v>7.4363692603894691</v>
      </c>
      <c r="GU226"/>
      <c r="GV226"/>
      <c r="GW226"/>
      <c r="GX226"/>
      <c r="GY226"/>
      <c r="GZ226"/>
      <c r="HA226"/>
      <c r="HB226"/>
      <c r="HC226"/>
    </row>
    <row r="227" spans="1:211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61.855986611413286</v>
      </c>
      <c r="AO227">
        <v>7.9554334495262848</v>
      </c>
      <c r="AP227">
        <v>5.5521078175328071</v>
      </c>
      <c r="AQ227">
        <v>59.029797789557144</v>
      </c>
      <c r="AR227">
        <v>8.2780354428127492</v>
      </c>
      <c r="AS227">
        <v>52.536432729983233</v>
      </c>
      <c r="AT227">
        <v>6.6626211865282512</v>
      </c>
      <c r="AU227">
        <v>6.019379355385956</v>
      </c>
      <c r="AV227"/>
      <c r="AW227"/>
      <c r="DE227" s="186">
        <f>DE111</f>
        <v>39714</v>
      </c>
      <c r="DF227" s="204"/>
      <c r="DG227" s="204">
        <f t="shared" si="358"/>
        <v>0.11570000000000001</v>
      </c>
      <c r="DH227" s="204">
        <f t="shared" ref="DH227:DH234" si="359">(LN(DG227/DG226))/(DE214-DE213)</f>
        <v>0</v>
      </c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FY227" s="211">
        <v>222</v>
      </c>
      <c r="FZ227">
        <v>9.3418348255031844</v>
      </c>
      <c r="GA227">
        <v>7.9036772705189149</v>
      </c>
      <c r="GB227">
        <v>6.6801537152770294</v>
      </c>
      <c r="GC227">
        <v>3.2133276960667403</v>
      </c>
      <c r="GD227">
        <v>2.4876374457707335</v>
      </c>
      <c r="GE227">
        <v>3.9265162928024231</v>
      </c>
      <c r="GF227">
        <v>1.0743884192708333</v>
      </c>
      <c r="GG227">
        <v>0.93547881510416664</v>
      </c>
      <c r="GH227">
        <v>1.9151911648878233</v>
      </c>
      <c r="GI227">
        <v>4.9498454392037923</v>
      </c>
      <c r="GJ227"/>
      <c r="GK227">
        <v>9.3853226658678182</v>
      </c>
      <c r="GL227">
        <v>6.6958608702475875</v>
      </c>
      <c r="GM227">
        <v>11.139246934953412</v>
      </c>
      <c r="GN227">
        <v>9.6817632338611439</v>
      </c>
      <c r="GO227">
        <v>9.6445453707663287</v>
      </c>
      <c r="GP227">
        <v>7.5173199036485627</v>
      </c>
      <c r="GQ227">
        <v>1.3165509259259258</v>
      </c>
      <c r="GR227">
        <v>1.3165509259259258</v>
      </c>
      <c r="GS227">
        <v>2.0421877476983861</v>
      </c>
      <c r="GT227">
        <v>6.7055707290423738</v>
      </c>
      <c r="GU227"/>
      <c r="GV227"/>
      <c r="GW227"/>
      <c r="GX227"/>
      <c r="GY227"/>
      <c r="GZ227"/>
      <c r="HA227"/>
      <c r="HB227"/>
      <c r="HC227"/>
    </row>
    <row r="228" spans="1:211" s="7" customFormat="1">
      <c r="A228" s="9" t="s">
        <v>60</v>
      </c>
      <c r="B228">
        <v>0.2418741155083346</v>
      </c>
      <c r="C228">
        <v>6</v>
      </c>
      <c r="D228">
        <v>39646</v>
      </c>
      <c r="E228">
        <v>20.833333333333332</v>
      </c>
      <c r="F228">
        <v>41.666666666666664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67.890108418683809</v>
      </c>
      <c r="AO228">
        <v>8.0676359959464889</v>
      </c>
      <c r="AP228">
        <v>3.0987440858197459</v>
      </c>
      <c r="AQ228">
        <v>56.196906801326229</v>
      </c>
      <c r="AR228">
        <v>8.363557905638265</v>
      </c>
      <c r="AS228">
        <v>49.240464292670048</v>
      </c>
      <c r="AT228">
        <v>6.692226691701574</v>
      </c>
      <c r="AU228">
        <v>3.6086535841033225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6">
        <f>DE121</f>
        <v>39747</v>
      </c>
      <c r="DF228" s="204"/>
      <c r="DG228" s="204">
        <f t="shared" si="358"/>
        <v>0.13558009099332324</v>
      </c>
      <c r="DH228" s="204">
        <f t="shared" si="359"/>
        <v>4.8049063316411653E-3</v>
      </c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FY228" s="211">
        <v>223</v>
      </c>
      <c r="FZ228">
        <v>11.954126751131021</v>
      </c>
      <c r="GA228">
        <v>12.220710853142894</v>
      </c>
      <c r="GB228">
        <v>6.343393987201587</v>
      </c>
      <c r="GC228">
        <v>3.403694985494623</v>
      </c>
      <c r="GD228">
        <v>1.3727796109210464</v>
      </c>
      <c r="GE228">
        <v>1.0626262823255814</v>
      </c>
      <c r="GF228">
        <v>2.1487768385416666</v>
      </c>
      <c r="GG228">
        <v>2.2451491562499992</v>
      </c>
      <c r="GH228">
        <v>4.396452193659508</v>
      </c>
      <c r="GI228">
        <v>5.1984040915575003</v>
      </c>
      <c r="GJ228"/>
      <c r="GK228">
        <v>11.994518768628835</v>
      </c>
      <c r="GL228">
        <v>10.354370662343443</v>
      </c>
      <c r="GM228">
        <v>10.499573701010764</v>
      </c>
      <c r="GN228">
        <v>10.143142437889253</v>
      </c>
      <c r="GO228">
        <v>5.3423851086369023</v>
      </c>
      <c r="GP228">
        <v>2.0343992248062017</v>
      </c>
      <c r="GQ228">
        <v>2.6331018518518516</v>
      </c>
      <c r="GR228">
        <v>3.1597222222222214</v>
      </c>
      <c r="GS228">
        <v>4.6853693941418255</v>
      </c>
      <c r="GT228">
        <v>7.0309897648540343</v>
      </c>
      <c r="GU228"/>
      <c r="GV228"/>
      <c r="GW228"/>
      <c r="GX228"/>
      <c r="GY228"/>
      <c r="GZ228"/>
      <c r="HA228"/>
      <c r="HB228"/>
      <c r="HC228"/>
    </row>
    <row r="229" spans="1:211" s="7" customFormat="1">
      <c r="A229" s="90"/>
      <c r="B229">
        <v>0.16546140650351937</v>
      </c>
      <c r="C229">
        <v>10</v>
      </c>
      <c r="D229">
        <v>39646</v>
      </c>
      <c r="E229">
        <v>0</v>
      </c>
      <c r="F229">
        <v>156.25</v>
      </c>
      <c r="G229">
        <v>20.833333333333332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55.00619220818983</v>
      </c>
      <c r="AO229">
        <v>7.0348129024577633</v>
      </c>
      <c r="AP229">
        <v>57.444102286441201</v>
      </c>
      <c r="AQ229">
        <v>50.194928677144588</v>
      </c>
      <c r="AR229">
        <v>7.4236928203359493</v>
      </c>
      <c r="AS229">
        <v>45.745883173605371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6">
        <f>DE131</f>
        <v>39775</v>
      </c>
      <c r="DF229" s="204"/>
      <c r="DG229" s="204">
        <f t="shared" si="358"/>
        <v>0.12355593998164617</v>
      </c>
      <c r="DH229" s="204">
        <f t="shared" si="359"/>
        <v>-3.3167333682884745E-3</v>
      </c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FY229" s="211">
        <v>224</v>
      </c>
      <c r="FZ229">
        <v>13.265523987573186</v>
      </c>
      <c r="GA229">
        <v>9.6864607927833895</v>
      </c>
      <c r="GB229">
        <v>5.1356622971215851</v>
      </c>
      <c r="GC229">
        <v>2.967020877882069</v>
      </c>
      <c r="GD229">
        <v>0.81994578025337261</v>
      </c>
      <c r="GE229">
        <v>0.74268694500000021</v>
      </c>
      <c r="GF229">
        <v>3.1163590421210725</v>
      </c>
      <c r="GG229">
        <v>3.0385697179475937</v>
      </c>
      <c r="GH229">
        <v>4.3400606501959942</v>
      </c>
      <c r="GI229">
        <v>4.9470702450933928</v>
      </c>
      <c r="GJ229"/>
      <c r="GK229">
        <v>13.319572256473212</v>
      </c>
      <c r="GL229">
        <v>8.2078003892302362</v>
      </c>
      <c r="GM229">
        <v>8.5471552207508807</v>
      </c>
      <c r="GN229">
        <v>8.901121381330821</v>
      </c>
      <c r="GO229">
        <v>3.1879114997348537</v>
      </c>
      <c r="GP229">
        <v>1.4218750000000002</v>
      </c>
      <c r="GQ229">
        <v>3.8141429098704651</v>
      </c>
      <c r="GR229">
        <v>4.2730549469075019</v>
      </c>
      <c r="GS229">
        <v>4.624876593502008</v>
      </c>
      <c r="GT229">
        <v>6.698731696066285</v>
      </c>
      <c r="GU229"/>
      <c r="GV229"/>
      <c r="GW229"/>
      <c r="GX229"/>
      <c r="GY229"/>
      <c r="GZ229"/>
      <c r="HA229"/>
      <c r="HB229"/>
      <c r="HC229"/>
    </row>
    <row r="230" spans="1:211" s="7" customFormat="1">
      <c r="A230" s="77"/>
      <c r="B230">
        <v>0.94677509747594701</v>
      </c>
      <c r="C230">
        <v>3</v>
      </c>
      <c r="D230">
        <v>39646</v>
      </c>
      <c r="E230">
        <v>0</v>
      </c>
      <c r="F230">
        <v>104.16666666666667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54.074398941167679</v>
      </c>
      <c r="AO230">
        <v>6.2906035609727615</v>
      </c>
      <c r="AP230">
        <v>3.5297656682120562</v>
      </c>
      <c r="AQ230">
        <v>45.335663783435464</v>
      </c>
      <c r="AR230">
        <v>6.8033355952364323</v>
      </c>
      <c r="AS230">
        <v>43.73170786647222</v>
      </c>
      <c r="AT230">
        <v>5.4692806777812679</v>
      </c>
      <c r="AU230">
        <v>2.7078630406926738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6">
        <f>DE141</f>
        <v>39799</v>
      </c>
      <c r="DF230" s="204"/>
      <c r="DG230" s="204">
        <f t="shared" si="358"/>
        <v>0.11570000000000001</v>
      </c>
      <c r="DH230" s="204">
        <f t="shared" si="359"/>
        <v>-2.7372239430033837E-3</v>
      </c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FY230" s="211">
        <v>225</v>
      </c>
      <c r="FZ230">
        <v>10.271330457251997</v>
      </c>
      <c r="GA230">
        <v>5.5957166348005067</v>
      </c>
      <c r="GB230">
        <v>4.9234414147851062</v>
      </c>
      <c r="GC230">
        <v>2.6572710452611252</v>
      </c>
      <c r="GD230">
        <v>2.0713496621799692</v>
      </c>
      <c r="GE230">
        <v>2.95078176987395</v>
      </c>
      <c r="GF230">
        <v>2.3457355970440794</v>
      </c>
      <c r="GG230">
        <v>1.9933900330970502</v>
      </c>
      <c r="GH230">
        <v>4.8099862805051687</v>
      </c>
      <c r="GI230">
        <v>5.1020840370233147</v>
      </c>
      <c r="GJ230"/>
      <c r="GK230">
        <v>10.335381064320085</v>
      </c>
      <c r="GL230">
        <v>4.7405337682176487</v>
      </c>
      <c r="GM230">
        <v>8.1555024095768136</v>
      </c>
      <c r="GN230">
        <v>7.9322527839191768</v>
      </c>
      <c r="GO230">
        <v>8.0516872533566843</v>
      </c>
      <c r="GP230">
        <v>5.6492750509294627</v>
      </c>
      <c r="GQ230">
        <v>2.8698242705789996</v>
      </c>
      <c r="GR230">
        <v>2.8021159372456665</v>
      </c>
      <c r="GS230">
        <v>5.1307200014425423</v>
      </c>
      <c r="GT230">
        <v>6.9086229998550248</v>
      </c>
      <c r="GU230"/>
      <c r="GV230"/>
      <c r="GW230"/>
      <c r="GX230"/>
      <c r="GY230"/>
      <c r="GZ230"/>
      <c r="HA230"/>
      <c r="HB230"/>
      <c r="HC230"/>
    </row>
    <row r="231" spans="1:211" s="7" customFormat="1">
      <c r="A231" s="77"/>
      <c r="B231">
        <v>0.15395850833968794</v>
      </c>
      <c r="C231">
        <v>5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66.441979150242759</v>
      </c>
      <c r="AO231">
        <v>8.1236272439384436</v>
      </c>
      <c r="AP231">
        <v>5.3321401543390259</v>
      </c>
      <c r="AQ231">
        <v>62.209221119949049</v>
      </c>
      <c r="AR231">
        <v>8.2638587527554428</v>
      </c>
      <c r="AS231">
        <v>50.467033459130121</v>
      </c>
      <c r="AT231">
        <v>6.6318459536964092</v>
      </c>
      <c r="AU231">
        <v>1.649647583102265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6">
        <f>DE151</f>
        <v>39847</v>
      </c>
      <c r="DF231" s="204"/>
      <c r="DG231" s="204">
        <f t="shared" si="358"/>
        <v>0.11570000000000001</v>
      </c>
      <c r="DH231" s="204">
        <f t="shared" si="359"/>
        <v>0</v>
      </c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FY231" s="211">
        <v>226</v>
      </c>
      <c r="FZ231">
        <v>10.525358684862706</v>
      </c>
      <c r="GA231">
        <v>11.916218005337695</v>
      </c>
      <c r="GB231">
        <v>6.2815429826327343</v>
      </c>
      <c r="GC231">
        <v>2.8796307585051344</v>
      </c>
      <c r="GD231">
        <v>2.7031280255688688</v>
      </c>
      <c r="GE231">
        <v>4.4859189467793641</v>
      </c>
      <c r="GF231">
        <v>1.223050412887982</v>
      </c>
      <c r="GG231">
        <v>1.4386361263424563</v>
      </c>
      <c r="GH231">
        <v>4.7843088295709935</v>
      </c>
      <c r="GI231">
        <v>5.6279320517822766</v>
      </c>
      <c r="GJ231"/>
      <c r="GK231">
        <v>10.570894150223735</v>
      </c>
      <c r="GL231">
        <v>10.098303651595691</v>
      </c>
      <c r="GM231">
        <v>10.400982835731238</v>
      </c>
      <c r="GN231">
        <v>8.586481183838421</v>
      </c>
      <c r="GO231">
        <v>10.501274598865713</v>
      </c>
      <c r="GP231">
        <v>8.5882969202480162</v>
      </c>
      <c r="GQ231">
        <v>1.4964056940656674</v>
      </c>
      <c r="GR231">
        <v>2.0230260644360376</v>
      </c>
      <c r="GS231">
        <v>5.098834926835341</v>
      </c>
      <c r="GT231">
        <v>7.613678441144339</v>
      </c>
      <c r="GU231"/>
      <c r="GV231"/>
      <c r="GW231"/>
      <c r="GX231"/>
      <c r="GY231"/>
      <c r="GZ231"/>
      <c r="HA231"/>
      <c r="HB231"/>
      <c r="HC231"/>
    </row>
    <row r="232" spans="1:211" s="7" customFormat="1">
      <c r="A232" s="77"/>
      <c r="B232">
        <v>0.14963562416131482</v>
      </c>
      <c r="C232">
        <v>2</v>
      </c>
      <c r="D232">
        <v>39646</v>
      </c>
      <c r="E232">
        <v>20.833333333333332</v>
      </c>
      <c r="F232">
        <v>41.666666666666664</v>
      </c>
      <c r="G232">
        <v>20.833333333333332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50.406894816119959</v>
      </c>
      <c r="AO232">
        <v>6.2389863867324955</v>
      </c>
      <c r="AP232">
        <v>3.8397822189274788</v>
      </c>
      <c r="AQ232">
        <v>46.983442292841971</v>
      </c>
      <c r="AR232">
        <v>6.6718187719715472</v>
      </c>
      <c r="AS232">
        <v>41.534240965645182</v>
      </c>
      <c r="AT232">
        <v>5.3545780088639399</v>
      </c>
      <c r="AU232">
        <v>5.0059738785623393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6">
        <f>DE162</f>
        <v>39910</v>
      </c>
      <c r="DF232" s="204"/>
      <c r="DG232" s="204">
        <f t="shared" si="358"/>
        <v>0.11570000000000001</v>
      </c>
      <c r="DH232" s="204">
        <f t="shared" si="359"/>
        <v>0</v>
      </c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FY232" s="211">
        <v>227</v>
      </c>
      <c r="FZ232">
        <v>9.5955084736879037</v>
      </c>
      <c r="GA232">
        <v>9.1650055589977057</v>
      </c>
      <c r="GB232">
        <v>6.3373703270078492</v>
      </c>
      <c r="GC232">
        <v>3.0261271964557759</v>
      </c>
      <c r="GD232">
        <v>1.3446357925000003</v>
      </c>
      <c r="GE232">
        <v>1.6470472385714283</v>
      </c>
      <c r="GF232">
        <v>2.9676970485039238</v>
      </c>
      <c r="GG232">
        <v>2.9096039327509708</v>
      </c>
      <c r="GH232">
        <v>7.4251181347670663</v>
      </c>
      <c r="GI232">
        <v>5.4579371456016146</v>
      </c>
      <c r="GJ232"/>
      <c r="GK232">
        <v>9.63373792806971</v>
      </c>
      <c r="GL232">
        <v>7.7656076231426878</v>
      </c>
      <c r="GM232">
        <v>10.528596364042146</v>
      </c>
      <c r="GN232">
        <v>9.0598637408994609</v>
      </c>
      <c r="GO232">
        <v>5.2135416666666679</v>
      </c>
      <c r="GP232">
        <v>3.1532738095238093</v>
      </c>
      <c r="GQ232">
        <v>3.6342881417307238</v>
      </c>
      <c r="GR232">
        <v>4.093200178767761</v>
      </c>
      <c r="GS232">
        <v>7.9142226988073192</v>
      </c>
      <c r="GT232">
        <v>7.3848773598633137</v>
      </c>
      <c r="GU232"/>
      <c r="GV232"/>
      <c r="GW232"/>
      <c r="GX232"/>
      <c r="GY232"/>
      <c r="GZ232"/>
      <c r="HA232"/>
      <c r="HB232"/>
      <c r="HC232"/>
    </row>
    <row r="233" spans="1:211" s="7" customFormat="1">
      <c r="A233" s="77"/>
      <c r="B233">
        <v>0.69200862044570721</v>
      </c>
      <c r="C233">
        <v>3</v>
      </c>
      <c r="D233">
        <v>39646</v>
      </c>
      <c r="E233">
        <v>0</v>
      </c>
      <c r="F233">
        <v>104.16666666666667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68.717901064390205</v>
      </c>
      <c r="AO233">
        <v>7.9601182993010422</v>
      </c>
      <c r="AP233">
        <v>67.1533848798219</v>
      </c>
      <c r="AQ233">
        <v>59.189884764722756</v>
      </c>
      <c r="AR233">
        <v>8.1105711510519889</v>
      </c>
      <c r="AS233">
        <v>50.731905038226643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6">
        <f>DE171</f>
        <v>39949</v>
      </c>
      <c r="DF233" s="204"/>
      <c r="DG233" s="204">
        <f t="shared" si="358"/>
        <v>0.11570000000000001</v>
      </c>
      <c r="DH233" s="204">
        <f t="shared" si="359"/>
        <v>0</v>
      </c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FY233" s="211">
        <v>228</v>
      </c>
      <c r="FZ233">
        <v>13.789329542596249</v>
      </c>
      <c r="GA233">
        <v>12.696027918199643</v>
      </c>
      <c r="GB233">
        <v>5.6593959574717712</v>
      </c>
      <c r="GC233">
        <v>3.1515607679690159</v>
      </c>
      <c r="GD233">
        <v>1.6913374367688765</v>
      </c>
      <c r="GE233">
        <v>2.4300350255481731</v>
      </c>
      <c r="GF233">
        <v>1.8793936358786199</v>
      </c>
      <c r="GG233">
        <v>2.3352498790726584</v>
      </c>
      <c r="GH233">
        <v>5.2047884871669989</v>
      </c>
      <c r="GI233">
        <v>5.566550252367696</v>
      </c>
      <c r="GJ233"/>
      <c r="GK233">
        <v>13.835568619842448</v>
      </c>
      <c r="GL233">
        <v>10.759291488551051</v>
      </c>
      <c r="GM233">
        <v>9.4506934646518292</v>
      </c>
      <c r="GN233">
        <v>9.4977088511235195</v>
      </c>
      <c r="GO233">
        <v>6.5570600462982744</v>
      </c>
      <c r="GP233">
        <v>4.6523048172757484</v>
      </c>
      <c r="GQ233">
        <v>2.2960558503129445</v>
      </c>
      <c r="GR233">
        <v>3.2815882577203515</v>
      </c>
      <c r="GS233">
        <v>5.5485215449411172</v>
      </c>
      <c r="GT233">
        <v>7.5375799052093235</v>
      </c>
      <c r="GU233"/>
      <c r="GV233"/>
      <c r="GW233"/>
      <c r="GX233"/>
      <c r="GY233"/>
      <c r="GZ233"/>
      <c r="HA233"/>
      <c r="HB233"/>
      <c r="HC233"/>
    </row>
    <row r="234" spans="1:211" s="7" customFormat="1">
      <c r="A234" s="77"/>
      <c r="B234">
        <v>0.70372908925155175</v>
      </c>
      <c r="C234">
        <v>5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68.607635059087258</v>
      </c>
      <c r="AO234">
        <v>8.3103770833893869</v>
      </c>
      <c r="AP234">
        <v>6.6381286354224942</v>
      </c>
      <c r="AQ234">
        <v>58.406841946137462</v>
      </c>
      <c r="AR234">
        <v>8.6989741430734568</v>
      </c>
      <c r="AS234">
        <v>56.592535713455746</v>
      </c>
      <c r="AT234">
        <v>6.9087400221987503</v>
      </c>
      <c r="AU234">
        <v>-0.5168304385850373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6">
        <f>DE181</f>
        <v>39987</v>
      </c>
      <c r="DF234" s="204"/>
      <c r="DG234" s="204">
        <f t="shared" si="358"/>
        <v>0.11570000000000001</v>
      </c>
      <c r="DH234" s="204">
        <f t="shared" si="359"/>
        <v>0</v>
      </c>
      <c r="DI234" s="204"/>
      <c r="DJ234" s="204"/>
      <c r="DK234" s="204"/>
      <c r="DL234" s="204"/>
      <c r="DM234" s="204"/>
      <c r="DN234" s="204"/>
      <c r="DO234" s="204"/>
      <c r="DP234" s="204"/>
      <c r="DQ234" s="204"/>
      <c r="DR234" s="204"/>
      <c r="DS234" s="204"/>
      <c r="DT234" s="204"/>
      <c r="DU234" s="204"/>
      <c r="DV234" s="204"/>
      <c r="DW234" s="204"/>
      <c r="DX234" s="204"/>
      <c r="DY234" s="204"/>
      <c r="DZ234" s="204"/>
      <c r="EA234" s="204"/>
      <c r="EB234" s="204"/>
      <c r="EC234" s="204"/>
      <c r="ED234" s="204"/>
      <c r="EE234" s="204"/>
      <c r="EF234" s="204"/>
      <c r="EG234" s="204"/>
      <c r="EH234" s="204"/>
      <c r="EI234" s="204"/>
      <c r="EJ234" s="204"/>
      <c r="FY234" s="211">
        <v>229</v>
      </c>
      <c r="FZ234">
        <v>14.413932159650711</v>
      </c>
      <c r="GA234">
        <v>11.476320702842211</v>
      </c>
      <c r="GB234">
        <v>3.9798084173437807</v>
      </c>
      <c r="GC234">
        <v>3.04688371252296</v>
      </c>
      <c r="GD234">
        <v>1.9592241010041973</v>
      </c>
      <c r="GE234">
        <v>2.0740875038655466</v>
      </c>
      <c r="GF234">
        <v>2.4009898586065801</v>
      </c>
      <c r="GG234">
        <v>2.367581559138717</v>
      </c>
      <c r="GH234">
        <v>5.8205616257364703</v>
      </c>
      <c r="GI234">
        <v>5.5914630191988977</v>
      </c>
      <c r="GJ234"/>
      <c r="GK234">
        <v>14.460857226641904</v>
      </c>
      <c r="GL234">
        <v>9.7248067417296191</v>
      </c>
      <c r="GM234">
        <v>6.5940974188419714</v>
      </c>
      <c r="GN234">
        <v>9.1045483406957164</v>
      </c>
      <c r="GO234">
        <v>7.6271769600579455</v>
      </c>
      <c r="GP234">
        <v>3.970842882607589</v>
      </c>
      <c r="GQ234">
        <v>2.9375326039123331</v>
      </c>
      <c r="GR234">
        <v>3.3287363076160368</v>
      </c>
      <c r="GS234">
        <v>6.2059024831269722</v>
      </c>
      <c r="GT234">
        <v>7.5651133385162241</v>
      </c>
      <c r="GU234"/>
      <c r="GV234"/>
      <c r="GW234"/>
      <c r="GX234"/>
      <c r="GY234"/>
      <c r="GZ234"/>
      <c r="HA234"/>
      <c r="HB234"/>
      <c r="HC234"/>
    </row>
    <row r="235" spans="1:211" s="7" customFormat="1">
      <c r="A235" s="77"/>
      <c r="B235">
        <v>0.34243920154481389</v>
      </c>
      <c r="C235">
        <v>3</v>
      </c>
      <c r="D235">
        <v>39646</v>
      </c>
      <c r="E235">
        <v>0</v>
      </c>
      <c r="F235">
        <v>104.16666666666667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61.309181184211091</v>
      </c>
      <c r="AO235">
        <v>7.7778077009166493</v>
      </c>
      <c r="AP235">
        <v>7.9149086293879627</v>
      </c>
      <c r="AQ235">
        <v>56.443966387460591</v>
      </c>
      <c r="AR235">
        <v>8.1163281155493721</v>
      </c>
      <c r="AS235">
        <v>47.611781954226849</v>
      </c>
      <c r="AT235">
        <v>6.4129804402758603</v>
      </c>
      <c r="AU235">
        <v>3.5042150882900245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4"/>
      <c r="DG235" s="204"/>
      <c r="DH235" s="204"/>
      <c r="DI235" s="204"/>
      <c r="DJ235" s="204"/>
      <c r="DK235" s="204"/>
      <c r="DL235" s="204"/>
      <c r="DM235" s="204"/>
      <c r="DN235" s="204"/>
      <c r="DO235" s="204"/>
      <c r="DP235" s="204"/>
      <c r="DQ235" s="204"/>
      <c r="DR235" s="204"/>
      <c r="DS235" s="204"/>
      <c r="DT235" s="204"/>
      <c r="DU235" s="204"/>
      <c r="DV235" s="204"/>
      <c r="DW235" s="204"/>
      <c r="DX235" s="204"/>
      <c r="DY235" s="204"/>
      <c r="DZ235" s="204"/>
      <c r="EA235" s="204"/>
      <c r="EB235" s="204"/>
      <c r="EC235" s="204"/>
      <c r="ED235" s="204"/>
      <c r="EE235" s="204"/>
      <c r="EF235" s="204"/>
      <c r="EG235" s="204"/>
      <c r="EH235" s="204"/>
      <c r="EI235" s="204"/>
      <c r="EJ235" s="204"/>
      <c r="FY235" s="211">
        <v>230</v>
      </c>
      <c r="FZ235">
        <v>10.605894241241089</v>
      </c>
      <c r="GA235">
        <v>9.7445132788234083</v>
      </c>
      <c r="GB235">
        <v>7.2544733906959395</v>
      </c>
      <c r="GC235">
        <v>4.0322028786672313</v>
      </c>
      <c r="GD235">
        <v>1.2842144703871887</v>
      </c>
      <c r="GE235">
        <v>1.5941197502941178</v>
      </c>
      <c r="GF235">
        <v>1.2160929162107463</v>
      </c>
      <c r="GG235">
        <v>2.1804857961178832</v>
      </c>
      <c r="GH235">
        <v>5.7595503231898002</v>
      </c>
      <c r="GI235">
        <v>5.2195181297814637</v>
      </c>
      <c r="GJ235"/>
      <c r="GK235">
        <v>10.641882803137126</v>
      </c>
      <c r="GL235">
        <v>8.2575147865134984</v>
      </c>
      <c r="GM235">
        <v>12.050762185996474</v>
      </c>
      <c r="GN235">
        <v>12.072362393943004</v>
      </c>
      <c r="GO235">
        <v>4.9989924569144799</v>
      </c>
      <c r="GP235">
        <v>3.0519440730837792</v>
      </c>
      <c r="GQ235">
        <v>1.4855650113197405</v>
      </c>
      <c r="GR235">
        <v>3.0654261224308517</v>
      </c>
      <c r="GS235">
        <v>6.1408591882520973</v>
      </c>
      <c r="GT235">
        <v>7.0636123291239823</v>
      </c>
      <c r="GU235"/>
      <c r="GV235"/>
      <c r="GW235"/>
      <c r="GX235"/>
      <c r="GY235"/>
      <c r="GZ235"/>
      <c r="HA235"/>
      <c r="HB235"/>
      <c r="HC235"/>
    </row>
    <row r="236" spans="1:211" s="7" customFormat="1">
      <c r="A236" s="77"/>
      <c r="B236">
        <v>0.16423379646628344</v>
      </c>
      <c r="C236">
        <v>9</v>
      </c>
      <c r="D236">
        <v>39646</v>
      </c>
      <c r="E236">
        <v>31.25</v>
      </c>
      <c r="F236">
        <v>10.416666666666666</v>
      </c>
      <c r="G236">
        <v>10.416666666666666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44.896481208909954</v>
      </c>
      <c r="AO236">
        <v>5.6429537379740156</v>
      </c>
      <c r="AP236">
        <v>21.93702871082516</v>
      </c>
      <c r="AQ236">
        <v>39.766664952269615</v>
      </c>
      <c r="AR236">
        <v>5.9439203155487199</v>
      </c>
      <c r="AS236">
        <v>33.677275944401629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4"/>
      <c r="DG236" s="204"/>
      <c r="DH236" s="204"/>
      <c r="DI236" s="204"/>
      <c r="DJ236" s="204"/>
      <c r="DK236" s="204"/>
      <c r="DL236" s="204"/>
      <c r="DM236" s="204"/>
      <c r="DN236" s="204"/>
      <c r="DO236" s="204"/>
      <c r="DP236" s="204"/>
      <c r="DQ236" s="204"/>
      <c r="DR236" s="204"/>
      <c r="DS236" s="204"/>
      <c r="DT236" s="204"/>
      <c r="DU236" s="204"/>
      <c r="DV236" s="204"/>
      <c r="DW236" s="204"/>
      <c r="DX236" s="204"/>
      <c r="DY236" s="204"/>
      <c r="DZ236" s="204"/>
      <c r="EA236" s="204"/>
      <c r="EB236" s="204"/>
      <c r="EC236" s="204"/>
      <c r="ED236" s="204"/>
      <c r="EE236" s="204"/>
      <c r="EF236" s="204"/>
      <c r="EG236" s="204"/>
      <c r="EH236" s="204"/>
      <c r="EI236" s="204"/>
      <c r="EJ236" s="204"/>
      <c r="FY236" s="211">
        <v>231</v>
      </c>
      <c r="FZ236">
        <v>11.950977578227789</v>
      </c>
      <c r="GA236">
        <v>10.114458326019275</v>
      </c>
      <c r="GB236">
        <v>4.7434688664010709</v>
      </c>
      <c r="GC236">
        <v>2.8461273882711193</v>
      </c>
      <c r="GD236">
        <v>1.2863302421047014</v>
      </c>
      <c r="GE236">
        <v>1.3825656196511626</v>
      </c>
      <c r="GF236">
        <v>1.2783046744504822</v>
      </c>
      <c r="GG236">
        <v>1.8128276523841229</v>
      </c>
      <c r="GH236">
        <v>4.1530095704166277</v>
      </c>
      <c r="GI236">
        <v>4.558622994890265</v>
      </c>
      <c r="GJ236"/>
      <c r="GK236">
        <v>11.992505673643592</v>
      </c>
      <c r="GL236">
        <v>8.5717519800777069</v>
      </c>
      <c r="GM236">
        <v>7.8495225214398499</v>
      </c>
      <c r="GN236">
        <v>8.4718486240869346</v>
      </c>
      <c r="GO236">
        <v>4.996218877918686</v>
      </c>
      <c r="GP236">
        <v>2.646923449612403</v>
      </c>
      <c r="GQ236">
        <v>1.5641140273990009</v>
      </c>
      <c r="GR236">
        <v>2.5496464348064078</v>
      </c>
      <c r="GS236">
        <v>4.429049966320572</v>
      </c>
      <c r="GT236">
        <v>6.1662822133443402</v>
      </c>
      <c r="GU236"/>
      <c r="GV236"/>
      <c r="GW236"/>
      <c r="GX236"/>
      <c r="GY236"/>
      <c r="GZ236"/>
      <c r="HA236"/>
      <c r="HB236"/>
      <c r="HC236"/>
    </row>
    <row r="237" spans="1:211" s="7" customFormat="1">
      <c r="A237" s="77"/>
      <c r="B237">
        <v>0.90896414162565087</v>
      </c>
      <c r="C237">
        <v>4</v>
      </c>
      <c r="D237">
        <v>39646</v>
      </c>
      <c r="E237">
        <v>0</v>
      </c>
      <c r="F237">
        <v>52.083333333333336</v>
      </c>
      <c r="G237">
        <v>31.25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60.09503850782535</v>
      </c>
      <c r="AO237">
        <v>7.0582738139258057</v>
      </c>
      <c r="AP237">
        <v>2.9927303134198477</v>
      </c>
      <c r="AQ237">
        <v>51.636219479575324</v>
      </c>
      <c r="AR237">
        <v>7.4363692603894709</v>
      </c>
      <c r="AS237">
        <v>46.451454774729996</v>
      </c>
      <c r="AT237">
        <v>5.9844787716207009</v>
      </c>
      <c r="AU237">
        <v>1.2160356726586805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4"/>
      <c r="DG237" s="204"/>
      <c r="DH237" s="204"/>
      <c r="DI237" s="204"/>
      <c r="DJ237" s="204"/>
      <c r="DK237" s="204"/>
      <c r="DL237" s="204"/>
      <c r="DM237" s="204"/>
      <c r="DN237" s="204"/>
      <c r="DO237" s="204"/>
      <c r="DP237" s="204"/>
      <c r="DQ237" s="204"/>
      <c r="DR237" s="204"/>
      <c r="DS237" s="204"/>
      <c r="DT237" s="204"/>
      <c r="DU237" s="204"/>
      <c r="DV237" s="204"/>
      <c r="DW237" s="204"/>
      <c r="DX237" s="204"/>
      <c r="DY237" s="204"/>
      <c r="DZ237" s="204"/>
      <c r="EA237" s="204"/>
      <c r="EB237" s="204"/>
      <c r="EC237" s="204"/>
      <c r="ED237" s="204"/>
      <c r="EE237" s="204"/>
      <c r="EF237" s="204"/>
      <c r="EG237" s="204"/>
      <c r="EH237" s="204"/>
      <c r="EI237" s="204"/>
      <c r="EJ237" s="204"/>
      <c r="FY237" s="211">
        <v>232</v>
      </c>
      <c r="FZ237">
        <v>13.500832641454245</v>
      </c>
      <c r="GA237">
        <v>11.139085961466623</v>
      </c>
      <c r="GB237">
        <v>3.9297243216681466</v>
      </c>
      <c r="GC237">
        <v>2.5136091331122894</v>
      </c>
      <c r="GD237">
        <v>1.9520436354131627</v>
      </c>
      <c r="GE237">
        <v>2.9683432131512606</v>
      </c>
      <c r="GF237">
        <v>1.8933086292330903</v>
      </c>
      <c r="GG237">
        <v>1.5999335916051376</v>
      </c>
      <c r="GH237">
        <v>6.4246530148736518</v>
      </c>
      <c r="GI237">
        <v>5.4446735925652199</v>
      </c>
      <c r="GJ237"/>
      <c r="GK237">
        <v>13.544700539308783</v>
      </c>
      <c r="GL237">
        <v>9.4377458702208461</v>
      </c>
      <c r="GM237">
        <v>6.5509313151059532</v>
      </c>
      <c r="GN237">
        <v>7.5657991535984745</v>
      </c>
      <c r="GO237">
        <v>7.5891032993205245</v>
      </c>
      <c r="GP237">
        <v>5.6828964540361602</v>
      </c>
      <c r="GQ237">
        <v>2.3177372158047973</v>
      </c>
      <c r="GR237">
        <v>2.2500288824714643</v>
      </c>
      <c r="GS237">
        <v>6.8485510937246987</v>
      </c>
      <c r="GT237">
        <v>7.370204692652953</v>
      </c>
      <c r="GU237"/>
      <c r="GV237"/>
      <c r="GW237"/>
      <c r="GX237"/>
      <c r="GY237"/>
      <c r="GZ237"/>
      <c r="HA237"/>
      <c r="HB237"/>
      <c r="HC237"/>
    </row>
    <row r="238" spans="1:211" s="7" customFormat="1">
      <c r="A238" s="77"/>
      <c r="B238">
        <v>0.87423225351329137</v>
      </c>
      <c r="C238">
        <v>9</v>
      </c>
      <c r="D238">
        <v>39673</v>
      </c>
      <c r="E238">
        <v>0</v>
      </c>
      <c r="F238">
        <v>31.25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52.798613011065164</v>
      </c>
      <c r="AO238">
        <v>6.544491930793745</v>
      </c>
      <c r="AP238">
        <v>43.797356399186334</v>
      </c>
      <c r="AQ238">
        <v>42.428051084405645</v>
      </c>
      <c r="AR238">
        <v>6.7055707290423747</v>
      </c>
      <c r="AS238">
        <v>43.34417668490547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4"/>
      <c r="DG238" s="204"/>
      <c r="DH238" s="204"/>
      <c r="DI238" s="204"/>
      <c r="DJ238" s="204"/>
      <c r="DK238" s="204"/>
      <c r="DL238" s="204"/>
      <c r="DM238" s="204"/>
      <c r="DN238" s="204"/>
      <c r="DO238" s="204"/>
      <c r="DP238" s="204"/>
      <c r="DQ238" s="204"/>
      <c r="DR238" s="204"/>
      <c r="DS238" s="204"/>
      <c r="DT238" s="204"/>
      <c r="DU238" s="204"/>
      <c r="DV238" s="204"/>
      <c r="DW238" s="204"/>
      <c r="DX238" s="204"/>
      <c r="DY238" s="204"/>
      <c r="DZ238" s="204"/>
      <c r="EA238" s="204"/>
      <c r="EB238" s="204"/>
      <c r="EC238" s="204"/>
      <c r="ED238" s="204"/>
      <c r="EE238" s="204"/>
      <c r="EF238" s="204"/>
      <c r="EG238" s="204"/>
      <c r="EH238" s="204"/>
      <c r="EI238" s="204"/>
      <c r="EJ238" s="204"/>
      <c r="FY238" s="211">
        <v>233</v>
      </c>
      <c r="FZ238">
        <v>13.425479388175711</v>
      </c>
      <c r="GA238">
        <v>10.620590987440425</v>
      </c>
      <c r="GB238">
        <v>4.2148900290185347</v>
      </c>
      <c r="GC238">
        <v>2.9427948976901228</v>
      </c>
      <c r="GD238">
        <v>2.2341135233629261</v>
      </c>
      <c r="GE238">
        <v>2.8891514711911284</v>
      </c>
      <c r="GF238">
        <v>1.8154988840858985</v>
      </c>
      <c r="GG238">
        <v>1.9063755338945396</v>
      </c>
      <c r="GH238">
        <v>7.73513573110748</v>
      </c>
      <c r="GI238">
        <v>5.8533744185041234</v>
      </c>
      <c r="GJ238"/>
      <c r="GK238">
        <v>13.471440727328702</v>
      </c>
      <c r="GL238">
        <v>8.9993603131581885</v>
      </c>
      <c r="GM238">
        <v>6.9818124857979571</v>
      </c>
      <c r="GN238">
        <v>8.7630803925572067</v>
      </c>
      <c r="GO238">
        <v>8.661559836436318</v>
      </c>
      <c r="GP238">
        <v>5.5312837740804577</v>
      </c>
      <c r="GQ238">
        <v>2.2223894903619632</v>
      </c>
      <c r="GR238">
        <v>2.6813015273990004</v>
      </c>
      <c r="GS238">
        <v>8.2466754595288574</v>
      </c>
      <c r="GT238">
        <v>7.9167755998907596</v>
      </c>
      <c r="GU238"/>
      <c r="GV238"/>
      <c r="GW238"/>
      <c r="GX238"/>
      <c r="GY238"/>
      <c r="GZ238"/>
      <c r="HA238"/>
      <c r="HB238"/>
      <c r="HC238"/>
    </row>
    <row r="239" spans="1:211" s="7" customFormat="1">
      <c r="A239" s="77" t="s">
        <v>61</v>
      </c>
      <c r="B239">
        <v>0.66266809280965289</v>
      </c>
      <c r="C239">
        <v>5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61.174311796589919</v>
      </c>
      <c r="AO239">
        <v>6.7877573136385339</v>
      </c>
      <c r="AP239">
        <v>34.786763932556703</v>
      </c>
      <c r="AQ239">
        <v>50.346114750225418</v>
      </c>
      <c r="AR239">
        <v>7.030989764854036</v>
      </c>
      <c r="AS239">
        <v>40.896588820028875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3" t="s">
        <v>139</v>
      </c>
      <c r="DF239" s="182" t="s">
        <v>83</v>
      </c>
      <c r="DG239" s="181">
        <v>1</v>
      </c>
      <c r="DH239" s="181">
        <v>2</v>
      </c>
      <c r="DI239" s="181">
        <v>3</v>
      </c>
      <c r="DJ239" s="181">
        <v>4</v>
      </c>
      <c r="DK239" s="181">
        <v>5</v>
      </c>
      <c r="DL239" s="181">
        <v>6</v>
      </c>
      <c r="DM239" s="181">
        <v>7</v>
      </c>
      <c r="DN239" s="181">
        <v>8</v>
      </c>
      <c r="DO239" s="181">
        <v>9</v>
      </c>
      <c r="DP239" s="181">
        <v>10</v>
      </c>
      <c r="DQ239" s="181">
        <v>11</v>
      </c>
      <c r="DR239" s="181">
        <v>12</v>
      </c>
      <c r="DS239" s="181">
        <v>13</v>
      </c>
      <c r="DT239" s="181">
        <v>14</v>
      </c>
      <c r="DU239" s="181">
        <v>15</v>
      </c>
      <c r="DV239" s="181">
        <v>16</v>
      </c>
      <c r="DW239" s="181">
        <v>17</v>
      </c>
      <c r="DX239" s="181">
        <v>18</v>
      </c>
      <c r="DY239" s="181">
        <v>19</v>
      </c>
      <c r="DZ239" s="181">
        <v>20</v>
      </c>
      <c r="EA239" s="181">
        <v>21</v>
      </c>
      <c r="EB239" s="181">
        <v>22</v>
      </c>
      <c r="EC239" s="181">
        <v>23</v>
      </c>
      <c r="ED239" s="181">
        <v>24</v>
      </c>
      <c r="EE239" s="181">
        <v>25</v>
      </c>
      <c r="EF239" s="181">
        <v>26</v>
      </c>
      <c r="EG239" s="181">
        <v>27</v>
      </c>
      <c r="EH239" s="181">
        <v>28</v>
      </c>
      <c r="EI239" s="181">
        <v>29</v>
      </c>
      <c r="EJ239" s="181">
        <v>30</v>
      </c>
      <c r="FY239" s="211">
        <v>234</v>
      </c>
      <c r="FZ239">
        <v>11.448144461501361</v>
      </c>
      <c r="GA239">
        <v>10.77636310287604</v>
      </c>
      <c r="GB239">
        <v>5.4950017735908885</v>
      </c>
      <c r="GC239">
        <v>2.9429514901422071</v>
      </c>
      <c r="GD239">
        <v>2.6395621660608595</v>
      </c>
      <c r="GE239">
        <v>4.2545163011764702</v>
      </c>
      <c r="GF239">
        <v>2.4009898586065801</v>
      </c>
      <c r="GG239">
        <v>2.7417730851803834</v>
      </c>
      <c r="GH239">
        <v>7.1888686374458288</v>
      </c>
      <c r="GI239">
        <v>6.1274458618698189</v>
      </c>
      <c r="GJ239"/>
      <c r="GK239">
        <v>11.493886383983403</v>
      </c>
      <c r="GL239">
        <v>9.1296184687547974</v>
      </c>
      <c r="GM239">
        <v>9.1013469794704474</v>
      </c>
      <c r="GN239">
        <v>8.7727220580371732</v>
      </c>
      <c r="GO239">
        <v>10.24383434876173</v>
      </c>
      <c r="GP239">
        <v>8.1452762923351152</v>
      </c>
      <c r="GQ239">
        <v>2.9375326039123331</v>
      </c>
      <c r="GR239">
        <v>3.855356677986407</v>
      </c>
      <c r="GS239">
        <v>7.6651026647121201</v>
      </c>
      <c r="GT239">
        <v>8.2883405961680072</v>
      </c>
      <c r="GU239"/>
      <c r="GV239"/>
      <c r="GW239"/>
      <c r="GX239"/>
      <c r="GY239"/>
      <c r="GZ239"/>
      <c r="HA239"/>
      <c r="HB239"/>
      <c r="HC239"/>
    </row>
    <row r="240" spans="1:211" s="7" customFormat="1">
      <c r="A240" s="77" t="s">
        <v>62</v>
      </c>
      <c r="B240">
        <v>0.90954739636149218</v>
      </c>
      <c r="C240">
        <v>2</v>
      </c>
      <c r="D240">
        <v>39673</v>
      </c>
      <c r="E240">
        <v>0</v>
      </c>
      <c r="F240">
        <v>62.5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53.277416899083356</v>
      </c>
      <c r="AO240">
        <v>6.2996241893866252</v>
      </c>
      <c r="AP240">
        <v>2.7877844971688699</v>
      </c>
      <c r="AQ240">
        <v>48.059360335971661</v>
      </c>
      <c r="AR240">
        <v>6.6987316960662842</v>
      </c>
      <c r="AS240">
        <v>41.152463710183262</v>
      </c>
      <c r="AT240">
        <v>5.309126348145397</v>
      </c>
      <c r="AU240">
        <v>3.5490466877623437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6">
        <v>39646</v>
      </c>
      <c r="DF240" s="181">
        <v>0</v>
      </c>
      <c r="DG240" s="181">
        <v>2.083333333333333</v>
      </c>
      <c r="DH240" s="181">
        <v>21.875</v>
      </c>
      <c r="DI240" s="181">
        <v>45.833333333333329</v>
      </c>
      <c r="DJ240" s="181">
        <v>31.25</v>
      </c>
      <c r="DK240" s="181">
        <v>6.2499999999999991</v>
      </c>
      <c r="DL240" s="181">
        <v>16.666666666666668</v>
      </c>
      <c r="DM240" s="181">
        <v>4.1666666666666661</v>
      </c>
      <c r="DN240" s="181">
        <v>4.1666666666666661</v>
      </c>
      <c r="DO240" s="181">
        <v>0</v>
      </c>
      <c r="DP240" s="181">
        <v>0</v>
      </c>
      <c r="DQ240" s="181">
        <v>0</v>
      </c>
      <c r="DR240" s="181">
        <v>0</v>
      </c>
      <c r="DS240" s="181">
        <v>0</v>
      </c>
      <c r="DT240" s="181">
        <v>0</v>
      </c>
      <c r="DU240" s="181">
        <v>0</v>
      </c>
      <c r="DV240" s="181">
        <v>0</v>
      </c>
      <c r="DW240" s="181">
        <v>0</v>
      </c>
      <c r="DX240" s="181">
        <v>0</v>
      </c>
      <c r="DY240" s="181">
        <v>0</v>
      </c>
      <c r="DZ240" s="181">
        <v>0</v>
      </c>
      <c r="EA240" s="181">
        <v>0</v>
      </c>
      <c r="EB240" s="181">
        <v>0</v>
      </c>
      <c r="EC240" s="181">
        <v>0</v>
      </c>
      <c r="ED240" s="181">
        <v>0</v>
      </c>
      <c r="EE240" s="181">
        <v>0</v>
      </c>
      <c r="EF240" s="181">
        <v>0</v>
      </c>
      <c r="EG240" s="181">
        <v>0</v>
      </c>
      <c r="EH240" s="181">
        <v>0</v>
      </c>
      <c r="EI240" s="181">
        <v>0</v>
      </c>
      <c r="EJ240" s="181">
        <v>0</v>
      </c>
      <c r="FY240" s="211">
        <v>235</v>
      </c>
      <c r="FZ240">
        <v>17.304127864789056</v>
      </c>
      <c r="GA240">
        <v>15.477635461985539</v>
      </c>
      <c r="GB240">
        <v>5.7893281141323314</v>
      </c>
      <c r="GC240">
        <v>2.6240003783313561</v>
      </c>
      <c r="GD240">
        <v>1.5224434047350188</v>
      </c>
      <c r="GE240">
        <v>2.0571681999452807</v>
      </c>
      <c r="GF240">
        <v>1.7602446225233985</v>
      </c>
      <c r="GG240">
        <v>1.9063755338945396</v>
      </c>
      <c r="GH240">
        <v>2.3698437593588282</v>
      </c>
      <c r="GI240">
        <v>5.5513770649845942</v>
      </c>
      <c r="GJ240"/>
      <c r="GK240">
        <v>17.353771995849506</v>
      </c>
      <c r="GL240">
        <v>13.11498105230549</v>
      </c>
      <c r="GM240">
        <v>9.6246969601935177</v>
      </c>
      <c r="GN240">
        <v>7.8683293305298188</v>
      </c>
      <c r="GO240">
        <v>5.9022090612425187</v>
      </c>
      <c r="GP240">
        <v>3.9384508560295157</v>
      </c>
      <c r="GQ240">
        <v>2.1546811570286302</v>
      </c>
      <c r="GR240">
        <v>2.6813015273990004</v>
      </c>
      <c r="GS240">
        <v>2.5283326991374939</v>
      </c>
      <c r="GT240">
        <v>7.5127383746903345</v>
      </c>
      <c r="GU240"/>
      <c r="GV240"/>
      <c r="GW240"/>
      <c r="GX240"/>
      <c r="GY240"/>
      <c r="GZ240"/>
      <c r="HA240"/>
      <c r="HB240"/>
      <c r="HC240"/>
    </row>
    <row r="241" spans="1:211" s="7" customFormat="1">
      <c r="A241" s="77"/>
      <c r="B241">
        <v>0.33768008890334689</v>
      </c>
      <c r="C241">
        <v>5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50.754755407021712</v>
      </c>
      <c r="AO241">
        <v>6.2575915539442102</v>
      </c>
      <c r="AP241">
        <v>63.479156791416145</v>
      </c>
      <c r="AQ241">
        <v>42.721086931822271</v>
      </c>
      <c r="AR241">
        <v>6.9086229998550248</v>
      </c>
      <c r="AS241">
        <v>43.299231898704932</v>
      </c>
      <c r="AT241" t="e">
        <v>#DIV/0!</v>
      </c>
      <c r="AU241" t="e">
        <v>#DIV/0!</v>
      </c>
      <c r="AV241"/>
      <c r="AW241"/>
      <c r="DE241" s="186">
        <v>39673</v>
      </c>
      <c r="DF241" s="184">
        <v>0</v>
      </c>
      <c r="DG241" s="184">
        <v>1.0416666666666665</v>
      </c>
      <c r="DH241" s="184">
        <v>31.354166666666668</v>
      </c>
      <c r="DI241" s="184">
        <v>17.916666666666668</v>
      </c>
      <c r="DJ241" s="184">
        <v>29.464285714285715</v>
      </c>
      <c r="DK241" s="184">
        <v>41.041666666666671</v>
      </c>
      <c r="DL241" s="184">
        <v>21.666666666666664</v>
      </c>
      <c r="DM241" s="184">
        <v>20.625</v>
      </c>
      <c r="DN241" s="184">
        <v>7.2916666666666661</v>
      </c>
      <c r="DO241" s="184">
        <v>7.2916666666666661</v>
      </c>
      <c r="DP241" s="184">
        <v>0</v>
      </c>
      <c r="DQ241" s="184">
        <v>0</v>
      </c>
      <c r="DR241" s="184">
        <v>0</v>
      </c>
      <c r="DS241" s="184">
        <v>0</v>
      </c>
      <c r="DT241" s="184">
        <v>0</v>
      </c>
      <c r="DU241" s="184">
        <v>0</v>
      </c>
      <c r="DV241" s="184">
        <v>0</v>
      </c>
      <c r="DW241" s="184">
        <v>0</v>
      </c>
      <c r="DX241" s="184">
        <v>0</v>
      </c>
      <c r="DY241" s="184">
        <v>0</v>
      </c>
      <c r="DZ241" s="184">
        <v>0</v>
      </c>
      <c r="EA241" s="184">
        <v>0</v>
      </c>
      <c r="EB241" s="184">
        <v>0</v>
      </c>
      <c r="EC241" s="184">
        <v>0</v>
      </c>
      <c r="ED241" s="184">
        <v>0</v>
      </c>
      <c r="EE241" s="184">
        <v>0</v>
      </c>
      <c r="EF241" s="184">
        <v>0</v>
      </c>
      <c r="EG241" s="184">
        <v>0</v>
      </c>
      <c r="EH241" s="184">
        <v>0</v>
      </c>
      <c r="EI241" s="184">
        <v>0</v>
      </c>
      <c r="EJ241" s="184">
        <v>0</v>
      </c>
      <c r="FY241" s="211">
        <v>236</v>
      </c>
      <c r="FZ241">
        <v>7.7998712997023878</v>
      </c>
      <c r="GA241">
        <v>6.1987834106194271</v>
      </c>
      <c r="GB241">
        <v>5.3332347035437264</v>
      </c>
      <c r="GC241">
        <v>3.1411988575326748</v>
      </c>
      <c r="GD241">
        <v>1.5326132887799004</v>
      </c>
      <c r="GE241">
        <v>1.9332654632225914</v>
      </c>
      <c r="GF241">
        <v>2.5566093489009645</v>
      </c>
      <c r="GG241">
        <v>2.1288892006015789</v>
      </c>
      <c r="GH241">
        <v>3.5388727776429523</v>
      </c>
      <c r="GI241">
        <v>4.3638607641370335</v>
      </c>
      <c r="GJ241"/>
      <c r="GK241">
        <v>7.8288553480860283</v>
      </c>
      <c r="GL241">
        <v>5.2522068534254007</v>
      </c>
      <c r="GM241">
        <v>8.8361331908239862</v>
      </c>
      <c r="GN241">
        <v>9.3549558482731499</v>
      </c>
      <c r="GO241">
        <v>5.9423847591362131</v>
      </c>
      <c r="GP241">
        <v>3.7012389258028793</v>
      </c>
      <c r="GQ241">
        <v>3.1282280547980017</v>
      </c>
      <c r="GR241">
        <v>2.9928113881313347</v>
      </c>
      <c r="GS241">
        <v>3.7713386098345021</v>
      </c>
      <c r="GT241">
        <v>5.9013879925357449</v>
      </c>
      <c r="GU241"/>
      <c r="GV241"/>
      <c r="GW241"/>
      <c r="GX241"/>
      <c r="GY241"/>
      <c r="GZ241"/>
      <c r="HA241"/>
      <c r="HB241"/>
      <c r="HC241"/>
    </row>
    <row r="242" spans="1:211" s="7" customFormat="1">
      <c r="A242" s="1"/>
      <c r="B242">
        <v>0.12929259307085528</v>
      </c>
      <c r="C242">
        <v>5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64.442565795055131</v>
      </c>
      <c r="AO242">
        <v>7.4978178466984202</v>
      </c>
      <c r="AP242">
        <v>21.184474992539972</v>
      </c>
      <c r="AQ242">
        <v>51.86572482427021</v>
      </c>
      <c r="AR242">
        <v>7.613678441144339</v>
      </c>
      <c r="AS242">
        <v>48.02162729877714</v>
      </c>
      <c r="AT242" t="e">
        <v>#DIV/0!</v>
      </c>
      <c r="AU242" t="e">
        <v>#DIV/0!</v>
      </c>
      <c r="AV242"/>
      <c r="AW242"/>
      <c r="BI242" s="162"/>
      <c r="DE242" s="186">
        <v>39714</v>
      </c>
      <c r="DF242" s="181">
        <v>9.765625</v>
      </c>
      <c r="DG242" s="181">
        <v>71.52157738095238</v>
      </c>
      <c r="DH242" s="181">
        <v>83.705357142857139</v>
      </c>
      <c r="DI242" s="181">
        <v>68.804603494623649</v>
      </c>
      <c r="DJ242" s="181">
        <v>24.348958333333332</v>
      </c>
      <c r="DK242" s="181">
        <v>0</v>
      </c>
      <c r="DL242" s="181">
        <v>3.125</v>
      </c>
      <c r="DM242" s="181">
        <v>8.3333333333333321</v>
      </c>
      <c r="DN242" s="181">
        <v>10.416666666666666</v>
      </c>
      <c r="DO242" s="181">
        <v>5.208333333333333</v>
      </c>
      <c r="DP242" s="181">
        <v>1.0416666666666665</v>
      </c>
      <c r="DQ242" s="181">
        <v>0</v>
      </c>
      <c r="DR242" s="181">
        <v>0</v>
      </c>
      <c r="DS242" s="181">
        <v>0</v>
      </c>
      <c r="DT242" s="181">
        <v>0</v>
      </c>
      <c r="DU242" s="181">
        <v>0</v>
      </c>
      <c r="DV242" s="181">
        <v>0</v>
      </c>
      <c r="DW242" s="181">
        <v>0</v>
      </c>
      <c r="DX242" s="181">
        <v>0</v>
      </c>
      <c r="DY242" s="181">
        <v>0</v>
      </c>
      <c r="DZ242" s="181">
        <v>0</v>
      </c>
      <c r="EA242" s="181">
        <v>0</v>
      </c>
      <c r="EB242" s="181">
        <v>0</v>
      </c>
      <c r="EC242" s="181">
        <v>0</v>
      </c>
      <c r="ED242" s="181">
        <v>0</v>
      </c>
      <c r="EE242" s="181">
        <v>0</v>
      </c>
      <c r="EF242" s="181">
        <v>0</v>
      </c>
      <c r="EG242" s="181">
        <v>0</v>
      </c>
      <c r="EH242" s="181">
        <v>0</v>
      </c>
      <c r="EI242" s="181">
        <v>0</v>
      </c>
      <c r="EJ242" s="181">
        <v>0</v>
      </c>
      <c r="FY242" s="211">
        <v>237</v>
      </c>
      <c r="FZ242">
        <v>14.950999035235945</v>
      </c>
      <c r="GA242">
        <v>15.860732564343241</v>
      </c>
      <c r="GB242">
        <v>6.6988038529678198</v>
      </c>
      <c r="GC242">
        <v>3.1936719222670167</v>
      </c>
      <c r="GD242">
        <v>1.3229924338201451</v>
      </c>
      <c r="GE242">
        <v>1.6032215416112958</v>
      </c>
      <c r="GF242">
        <v>0.67025821634510852</v>
      </c>
      <c r="GG242">
        <v>1.2838720433876809</v>
      </c>
      <c r="GH242">
        <v>7.3474415864735665</v>
      </c>
      <c r="GI242">
        <v>5.8967894625801547</v>
      </c>
      <c r="GJ242"/>
      <c r="GK242">
        <v>15.007323669834507</v>
      </c>
      <c r="GL242">
        <v>13.439136715884141</v>
      </c>
      <c r="GM242">
        <v>11.094697654962861</v>
      </c>
      <c r="GN242">
        <v>9.5056927136205278</v>
      </c>
      <c r="GO242">
        <v>5.1281358733274454</v>
      </c>
      <c r="GP242">
        <v>3.0693694629014399</v>
      </c>
      <c r="GQ242">
        <v>0.82133152173913027</v>
      </c>
      <c r="GR242">
        <v>1.8068639291465376</v>
      </c>
      <c r="GS242">
        <v>7.8325785569586168</v>
      </c>
      <c r="GT242">
        <v>7.9768134553645131</v>
      </c>
      <c r="GU242"/>
      <c r="GV242"/>
      <c r="GW242"/>
      <c r="GX242"/>
      <c r="GY242"/>
      <c r="GZ242"/>
      <c r="HA242"/>
      <c r="HB242"/>
      <c r="HC242"/>
    </row>
    <row r="243" spans="1:211" s="7" customFormat="1">
      <c r="A243" s="1"/>
      <c r="B243">
        <v>0.57978215174518422</v>
      </c>
      <c r="C243">
        <v>6</v>
      </c>
      <c r="D243">
        <v>39673</v>
      </c>
      <c r="E243">
        <v>31.25</v>
      </c>
      <c r="F243">
        <v>62.5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60.293022322956119</v>
      </c>
      <c r="AO243">
        <v>6.8381209511513585</v>
      </c>
      <c r="AP243">
        <v>3.7672248284403254</v>
      </c>
      <c r="AQ243">
        <v>49.876050848844237</v>
      </c>
      <c r="AR243">
        <v>7.384877359863312</v>
      </c>
      <c r="AS243">
        <v>46.506118523751354</v>
      </c>
      <c r="AT243">
        <v>5.8826497078541031</v>
      </c>
      <c r="AU243">
        <v>0.72770170748463947</v>
      </c>
      <c r="AV243"/>
      <c r="AW243"/>
      <c r="DE243" s="186">
        <v>39747</v>
      </c>
      <c r="DF243" s="181">
        <v>0</v>
      </c>
      <c r="DG243" s="181">
        <v>97.276840137831527</v>
      </c>
      <c r="DH243" s="181">
        <v>154.3893277460088</v>
      </c>
      <c r="DI243" s="181">
        <v>34.151785714285708</v>
      </c>
      <c r="DJ243" s="181">
        <v>45.770202020202014</v>
      </c>
      <c r="DK243" s="181">
        <v>37.168560606060609</v>
      </c>
      <c r="DL243" s="181">
        <v>7.7651515151515156</v>
      </c>
      <c r="DM243" s="181">
        <v>2.8409090909090908</v>
      </c>
      <c r="DN243" s="181">
        <v>0</v>
      </c>
      <c r="DO243" s="181">
        <v>0</v>
      </c>
      <c r="DP243" s="181">
        <v>0</v>
      </c>
      <c r="DQ243" s="181">
        <v>0</v>
      </c>
      <c r="DR243" s="181">
        <v>0</v>
      </c>
      <c r="DS243" s="181">
        <v>0</v>
      </c>
      <c r="DT243" s="181">
        <v>0</v>
      </c>
      <c r="DU243" s="181">
        <v>0</v>
      </c>
      <c r="DV243" s="181">
        <v>0</v>
      </c>
      <c r="DW243" s="181">
        <v>0</v>
      </c>
      <c r="DX243" s="181">
        <v>0</v>
      </c>
      <c r="DY243" s="181">
        <v>0</v>
      </c>
      <c r="DZ243" s="181">
        <v>0</v>
      </c>
      <c r="EA243" s="181">
        <v>0</v>
      </c>
      <c r="EB243" s="181">
        <v>0</v>
      </c>
      <c r="EC243" s="181">
        <v>0</v>
      </c>
      <c r="ED243" s="181">
        <v>0</v>
      </c>
      <c r="EE243" s="181">
        <v>0</v>
      </c>
      <c r="EF243" s="181">
        <v>0</v>
      </c>
      <c r="EG243" s="181">
        <v>0</v>
      </c>
      <c r="EH243" s="181">
        <v>0</v>
      </c>
      <c r="EI243" s="181">
        <v>0</v>
      </c>
      <c r="EJ243" s="181">
        <v>0</v>
      </c>
      <c r="FY243" s="211">
        <v>238</v>
      </c>
      <c r="FZ243">
        <v>17.973493112888523</v>
      </c>
      <c r="GA243">
        <v>15.506925946436271</v>
      </c>
      <c r="GB243">
        <v>5.702980656759892</v>
      </c>
      <c r="GC243">
        <v>3.5626367928161535</v>
      </c>
      <c r="GD243">
        <v>1.863647153053094</v>
      </c>
      <c r="GE243">
        <v>2.4809186005882347</v>
      </c>
      <c r="GF243">
        <v>2.4857571004310075</v>
      </c>
      <c r="GG243">
        <v>3.190247577282221</v>
      </c>
      <c r="GH243">
        <v>5.8278961969398004</v>
      </c>
      <c r="GI243">
        <v>6.5047365804677915</v>
      </c>
      <c r="GJ243"/>
      <c r="GK243">
        <v>18.027726692567562</v>
      </c>
      <c r="GL243">
        <v>13.140768869250582</v>
      </c>
      <c r="GM243">
        <v>9.5239392296356673</v>
      </c>
      <c r="GN243">
        <v>10.721974586621043</v>
      </c>
      <c r="GO243">
        <v>7.2244105089745156</v>
      </c>
      <c r="GP243">
        <v>4.7497214795008906</v>
      </c>
      <c r="GQ243">
        <v>3.043721012101094</v>
      </c>
      <c r="GR243">
        <v>4.4881654565455387</v>
      </c>
      <c r="GS243">
        <v>6.2137758549187643</v>
      </c>
      <c r="GT243">
        <v>8.8067146596395212</v>
      </c>
      <c r="GU243"/>
      <c r="GV243"/>
      <c r="GW243"/>
      <c r="GX243"/>
      <c r="GY243"/>
      <c r="GZ243"/>
      <c r="HA243"/>
      <c r="HB243"/>
      <c r="HC243"/>
    </row>
    <row r="244" spans="1:211" s="7" customFormat="1">
      <c r="A244" s="1"/>
      <c r="B244">
        <v>0.54986104714743789</v>
      </c>
      <c r="C244">
        <v>4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61.451304879148246</v>
      </c>
      <c r="AO244">
        <v>7.3416372845926618</v>
      </c>
      <c r="AP244">
        <v>4.5120925813823742</v>
      </c>
      <c r="AQ244">
        <v>54.403668903039701</v>
      </c>
      <c r="AR244">
        <v>7.5375799052093253</v>
      </c>
      <c r="AS244">
        <v>48.263357984334164</v>
      </c>
      <c r="AT244">
        <v>5.9807141239363553</v>
      </c>
      <c r="AU244">
        <v>1.6090725624209545</v>
      </c>
      <c r="AV244"/>
      <c r="AW244"/>
      <c r="DE244" s="186">
        <v>39775</v>
      </c>
      <c r="DF244" s="181">
        <v>0</v>
      </c>
      <c r="DG244" s="181">
        <v>31.99404761904762</v>
      </c>
      <c r="DH244" s="181">
        <v>161.89814814814815</v>
      </c>
      <c r="DI244" s="181">
        <v>3.125</v>
      </c>
      <c r="DJ244" s="181">
        <v>34.880050505050505</v>
      </c>
      <c r="DK244" s="181">
        <v>77.639374514374509</v>
      </c>
      <c r="DL244" s="181">
        <v>62.912781662781661</v>
      </c>
      <c r="DM244" s="181">
        <v>10.858585858585858</v>
      </c>
      <c r="DN244" s="181">
        <v>1.0416666666666665</v>
      </c>
      <c r="DO244" s="181">
        <v>0</v>
      </c>
      <c r="DP244" s="181">
        <v>0</v>
      </c>
      <c r="DQ244" s="181">
        <v>0</v>
      </c>
      <c r="DR244" s="181">
        <v>0</v>
      </c>
      <c r="DS244" s="181">
        <v>0</v>
      </c>
      <c r="DT244" s="181">
        <v>0</v>
      </c>
      <c r="DU244" s="181">
        <v>0</v>
      </c>
      <c r="DV244" s="181">
        <v>0</v>
      </c>
      <c r="DW244" s="181">
        <v>0</v>
      </c>
      <c r="DX244" s="181">
        <v>0</v>
      </c>
      <c r="DY244" s="181">
        <v>0</v>
      </c>
      <c r="DZ244" s="181">
        <v>0</v>
      </c>
      <c r="EA244" s="181">
        <v>0</v>
      </c>
      <c r="EB244" s="181">
        <v>0</v>
      </c>
      <c r="EC244" s="181">
        <v>0</v>
      </c>
      <c r="ED244" s="181">
        <v>0</v>
      </c>
      <c r="EE244" s="181">
        <v>0</v>
      </c>
      <c r="EF244" s="181">
        <v>0</v>
      </c>
      <c r="EG244" s="181">
        <v>0</v>
      </c>
      <c r="EH244" s="181">
        <v>0</v>
      </c>
      <c r="EI244" s="181">
        <v>0</v>
      </c>
      <c r="EJ244" s="181">
        <v>0</v>
      </c>
      <c r="FY244" s="211">
        <v>239</v>
      </c>
      <c r="FZ244">
        <v>10.510532932507456</v>
      </c>
      <c r="GA244">
        <v>9.6996494189896367</v>
      </c>
      <c r="GB244">
        <v>5.603656739650285</v>
      </c>
      <c r="GC244">
        <v>3.361628091583384</v>
      </c>
      <c r="GD244">
        <v>2.398965760909205</v>
      </c>
      <c r="GE244">
        <v>3.0837862979138175</v>
      </c>
      <c r="GF244">
        <v>1.822456380763134</v>
      </c>
      <c r="GG244">
        <v>1.9129089162024455</v>
      </c>
      <c r="GH244">
        <v>6.921060672594284</v>
      </c>
      <c r="GI244">
        <v>5.7362641254263282</v>
      </c>
      <c r="GJ244"/>
      <c r="GK244">
        <v>10.545885639866379</v>
      </c>
      <c r="GL244">
        <v>8.2175829218225473</v>
      </c>
      <c r="GM244">
        <v>9.35592495784093</v>
      </c>
      <c r="GN244">
        <v>10.143654182408266</v>
      </c>
      <c r="GO244">
        <v>9.3219495734009818</v>
      </c>
      <c r="GP244">
        <v>5.9039123709737611</v>
      </c>
      <c r="GQ244">
        <v>2.2332301731078905</v>
      </c>
      <c r="GR244">
        <v>2.6921422101449273</v>
      </c>
      <c r="GS244">
        <v>7.3818911332099271</v>
      </c>
      <c r="GT244">
        <v>7.7677762954852225</v>
      </c>
      <c r="GU244"/>
      <c r="GV244"/>
      <c r="GW244"/>
      <c r="GX244"/>
      <c r="GY244"/>
      <c r="GZ244"/>
      <c r="HA244"/>
      <c r="HB244"/>
      <c r="HC244"/>
    </row>
    <row r="245" spans="1:211" s="7" customFormat="1">
      <c r="A245" s="1"/>
      <c r="B245">
        <v>0.97528320286794834</v>
      </c>
      <c r="C245">
        <v>5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59.575174311746466</v>
      </c>
      <c r="AO245">
        <v>7.1519614303746311</v>
      </c>
      <c r="AP245">
        <v>4.4690247130113443</v>
      </c>
      <c r="AQ245">
        <v>53.130852659910076</v>
      </c>
      <c r="AR245">
        <v>7.5651133385162268</v>
      </c>
      <c r="AS245">
        <v>49.857347884715068</v>
      </c>
      <c r="AT245">
        <v>6.1050599430159558</v>
      </c>
      <c r="AU245">
        <v>1.9845242280422166</v>
      </c>
      <c r="AV245"/>
      <c r="AW245"/>
      <c r="DE245" s="186">
        <v>39799</v>
      </c>
      <c r="DF245" s="181">
        <v>15.064102564102564</v>
      </c>
      <c r="DG245" s="181">
        <v>209.39123172579056</v>
      </c>
      <c r="DH245" s="181">
        <v>200.49856664083748</v>
      </c>
      <c r="DI245" s="181">
        <v>14.631782945736433</v>
      </c>
      <c r="DJ245" s="181">
        <v>14.08672480620155</v>
      </c>
      <c r="DK245" s="181">
        <v>56.189582476347177</v>
      </c>
      <c r="DL245" s="181">
        <v>55.863927738927735</v>
      </c>
      <c r="DM245" s="181">
        <v>12.762237762237762</v>
      </c>
      <c r="DN245" s="181">
        <v>0</v>
      </c>
      <c r="DO245" s="181">
        <v>0</v>
      </c>
      <c r="DP245" s="181">
        <v>0</v>
      </c>
      <c r="DQ245" s="181">
        <v>0</v>
      </c>
      <c r="DR245" s="181">
        <v>0</v>
      </c>
      <c r="DS245" s="181">
        <v>0</v>
      </c>
      <c r="DT245" s="181">
        <v>0</v>
      </c>
      <c r="DU245" s="181">
        <v>0</v>
      </c>
      <c r="DV245" s="181">
        <v>0</v>
      </c>
      <c r="DW245" s="181">
        <v>0</v>
      </c>
      <c r="DX245" s="181">
        <v>0</v>
      </c>
      <c r="DY245" s="181">
        <v>0</v>
      </c>
      <c r="DZ245" s="181">
        <v>0</v>
      </c>
      <c r="EA245" s="181">
        <v>0</v>
      </c>
      <c r="EB245" s="181">
        <v>0</v>
      </c>
      <c r="EC245" s="181">
        <v>0</v>
      </c>
      <c r="ED245" s="181">
        <v>0</v>
      </c>
      <c r="EE245" s="181">
        <v>0</v>
      </c>
      <c r="EF245" s="181">
        <v>0</v>
      </c>
      <c r="EG245" s="181">
        <v>0</v>
      </c>
      <c r="EH245" s="181">
        <v>0</v>
      </c>
      <c r="EI245" s="181">
        <v>0</v>
      </c>
      <c r="EJ245" s="181">
        <v>0</v>
      </c>
      <c r="FY245" s="211">
        <v>240</v>
      </c>
      <c r="FZ245">
        <v>16.549982484570805</v>
      </c>
      <c r="GA245">
        <v>15.259949272964267</v>
      </c>
      <c r="GB245">
        <v>6.6129313362924327</v>
      </c>
      <c r="GC245">
        <v>3.2532322888961378</v>
      </c>
      <c r="GD245">
        <v>1.9361414621066839</v>
      </c>
      <c r="GE245">
        <v>2.5253864369054133</v>
      </c>
      <c r="GF245">
        <v>2.4009898586065801</v>
      </c>
      <c r="GG245">
        <v>1.9933900330970502</v>
      </c>
      <c r="GH245">
        <v>4.6747272850171857</v>
      </c>
      <c r="GI245">
        <v>6.3598470102090152</v>
      </c>
      <c r="GJ245"/>
      <c r="GK245">
        <v>16.629642950178802</v>
      </c>
      <c r="GL245">
        <v>12.93034338257678</v>
      </c>
      <c r="GM245">
        <v>10.99086007563985</v>
      </c>
      <c r="GN245">
        <v>9.7644895537386667</v>
      </c>
      <c r="GO245">
        <v>7.5274459765076775</v>
      </c>
      <c r="GP245">
        <v>4.8348552026518847</v>
      </c>
      <c r="GQ245">
        <v>2.9375326039123331</v>
      </c>
      <c r="GR245">
        <v>2.8021159372456665</v>
      </c>
      <c r="GS245">
        <v>4.9854696832503791</v>
      </c>
      <c r="GT245">
        <v>8.6141902578978105</v>
      </c>
      <c r="GU245"/>
      <c r="GV245"/>
      <c r="GW245"/>
      <c r="GX245"/>
      <c r="GY245"/>
      <c r="GZ245"/>
      <c r="HA245"/>
      <c r="HB245"/>
      <c r="HC245"/>
    </row>
    <row r="246" spans="1:211" s="7" customFormat="1">
      <c r="A246" s="1"/>
      <c r="B246">
        <v>0.83653957536268342</v>
      </c>
      <c r="C246">
        <v>1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60.36989918693515</v>
      </c>
      <c r="AO246">
        <v>6.8828921350715033</v>
      </c>
      <c r="AP246">
        <v>22.177783247038722</v>
      </c>
      <c r="AQ246">
        <v>48.891065175408869</v>
      </c>
      <c r="AR246">
        <v>7.0636123291239832</v>
      </c>
      <c r="AS246">
        <v>41.921891533627573</v>
      </c>
      <c r="AT246" t="e">
        <v>#DIV/0!</v>
      </c>
      <c r="AU246" t="e">
        <v>#DIV/0!</v>
      </c>
      <c r="AV246"/>
      <c r="AW246"/>
      <c r="DE246" s="186">
        <v>39847</v>
      </c>
      <c r="DF246" s="181">
        <v>0</v>
      </c>
      <c r="DG246" s="181">
        <v>48.415798611111114</v>
      </c>
      <c r="DH246" s="181">
        <v>46.6796875</v>
      </c>
      <c r="DI246" s="181">
        <v>1.0416666666666665</v>
      </c>
      <c r="DJ246" s="181">
        <v>4.6875</v>
      </c>
      <c r="DK246" s="181">
        <v>19.010416666666664</v>
      </c>
      <c r="DL246" s="181">
        <v>29.861111111111107</v>
      </c>
      <c r="DM246" s="181">
        <v>40.885416666666671</v>
      </c>
      <c r="DN246" s="181">
        <v>11.458333333333334</v>
      </c>
      <c r="DO246" s="181">
        <v>5.2083333333333339</v>
      </c>
      <c r="DP246" s="181">
        <v>0</v>
      </c>
      <c r="DQ246" s="181">
        <v>0</v>
      </c>
      <c r="DR246" s="181">
        <v>0</v>
      </c>
      <c r="DS246" s="181">
        <v>0</v>
      </c>
      <c r="DT246" s="181">
        <v>0</v>
      </c>
      <c r="DU246" s="181">
        <v>0</v>
      </c>
      <c r="DV246" s="181">
        <v>0</v>
      </c>
      <c r="DW246" s="181">
        <v>0</v>
      </c>
      <c r="DX246" s="181">
        <v>0</v>
      </c>
      <c r="DY246" s="181">
        <v>0</v>
      </c>
      <c r="DZ246" s="181">
        <v>0</v>
      </c>
      <c r="EA246" s="181">
        <v>0</v>
      </c>
      <c r="EB246" s="181">
        <v>0</v>
      </c>
      <c r="EC246" s="181">
        <v>0</v>
      </c>
      <c r="ED246" s="181">
        <v>0</v>
      </c>
      <c r="EE246" s="181">
        <v>0</v>
      </c>
      <c r="EF246" s="181">
        <v>0</v>
      </c>
      <c r="EG246" s="181">
        <v>0</v>
      </c>
      <c r="EH246" s="181">
        <v>0</v>
      </c>
      <c r="EI246" s="181">
        <v>0</v>
      </c>
      <c r="EJ246" s="181">
        <v>0</v>
      </c>
      <c r="FY246" s="211">
        <v>241</v>
      </c>
      <c r="FZ246">
        <v>9.5194870969525383</v>
      </c>
      <c r="GA246">
        <v>11.478659180033087</v>
      </c>
      <c r="GB246">
        <v>7.0593450325877649</v>
      </c>
      <c r="GC246">
        <v>2.0891055523564082</v>
      </c>
      <c r="GD246">
        <v>1.3620934838863636</v>
      </c>
      <c r="GE246">
        <v>2.0815443628571435</v>
      </c>
      <c r="GF246">
        <v>1.8551551587409418</v>
      </c>
      <c r="GG246">
        <v>1.4709678064085145</v>
      </c>
      <c r="GH246">
        <v>4.8492801792893836</v>
      </c>
      <c r="GI246">
        <v>5.028178746246402</v>
      </c>
      <c r="GJ246"/>
      <c r="GK246">
        <v>9.5609605098999157</v>
      </c>
      <c r="GL246">
        <v>9.7249680836448373</v>
      </c>
      <c r="GM246">
        <v>11.768279748781234</v>
      </c>
      <c r="GN246">
        <v>6.3357023522039757</v>
      </c>
      <c r="GO246">
        <v>5.2789978299247222</v>
      </c>
      <c r="GP246">
        <v>3.9851190476190483</v>
      </c>
      <c r="GQ246">
        <v>2.2732991143317229</v>
      </c>
      <c r="GR246">
        <v>2.0701741143317229</v>
      </c>
      <c r="GS246">
        <v>5.1735873287671232</v>
      </c>
      <c r="GT246">
        <v>6.8110249063409443</v>
      </c>
      <c r="GU246"/>
      <c r="GV246"/>
      <c r="GW246"/>
      <c r="GX246"/>
      <c r="GY246"/>
      <c r="GZ246"/>
      <c r="HA246"/>
      <c r="HB246"/>
      <c r="HC246"/>
    </row>
    <row r="247" spans="1:211" s="7" customFormat="1">
      <c r="A247" s="77" t="s">
        <v>61</v>
      </c>
      <c r="B247">
        <v>0.35078673989634024</v>
      </c>
      <c r="C247">
        <v>10</v>
      </c>
      <c r="D247">
        <v>39673</v>
      </c>
      <c r="E247">
        <v>0</v>
      </c>
      <c r="F247">
        <v>148.80952380952382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52.630658675914695</v>
      </c>
      <c r="AO247">
        <v>5.9237863768649479</v>
      </c>
      <c r="AP247">
        <v>3.8399859271927013</v>
      </c>
      <c r="AQ247">
        <v>44.126692912816615</v>
      </c>
      <c r="AR247">
        <v>6.1662822133443402</v>
      </c>
      <c r="AS247">
        <v>38.343053539041883</v>
      </c>
      <c r="AT247">
        <v>4.9534943918128533</v>
      </c>
      <c r="AU247">
        <v>5.6828185368944624</v>
      </c>
      <c r="AV247"/>
      <c r="AW247"/>
      <c r="DE247" s="186">
        <v>39910</v>
      </c>
      <c r="DF247" s="181">
        <v>0</v>
      </c>
      <c r="DG247" s="181">
        <v>28.935185185185183</v>
      </c>
      <c r="DH247" s="181">
        <v>49.768518518518519</v>
      </c>
      <c r="DI247" s="181">
        <v>0</v>
      </c>
      <c r="DJ247" s="181">
        <v>0</v>
      </c>
      <c r="DK247" s="181">
        <v>10.416666666666668</v>
      </c>
      <c r="DL247" s="181">
        <v>16.666666666666668</v>
      </c>
      <c r="DM247" s="181">
        <v>27.604166666666664</v>
      </c>
      <c r="DN247" s="181">
        <v>8.9583333333333321</v>
      </c>
      <c r="DO247" s="181">
        <v>0</v>
      </c>
      <c r="DP247" s="181">
        <v>0</v>
      </c>
      <c r="DQ247" s="181">
        <v>0</v>
      </c>
      <c r="DR247" s="181">
        <v>0</v>
      </c>
      <c r="DS247" s="181">
        <v>0</v>
      </c>
      <c r="DT247" s="181">
        <v>0</v>
      </c>
      <c r="DU247" s="181">
        <v>0</v>
      </c>
      <c r="DV247" s="181">
        <v>0</v>
      </c>
      <c r="DW247" s="181">
        <v>0</v>
      </c>
      <c r="DX247" s="181">
        <v>0</v>
      </c>
      <c r="DY247" s="181">
        <v>0</v>
      </c>
      <c r="DZ247" s="181">
        <v>0</v>
      </c>
      <c r="EA247" s="181">
        <v>0</v>
      </c>
      <c r="EB247" s="181">
        <v>0</v>
      </c>
      <c r="EC247" s="181">
        <v>0</v>
      </c>
      <c r="ED247" s="181">
        <v>0</v>
      </c>
      <c r="EE247" s="181">
        <v>0</v>
      </c>
      <c r="EF247" s="181">
        <v>0</v>
      </c>
      <c r="EG247" s="181">
        <v>0</v>
      </c>
      <c r="EH247" s="181">
        <v>0</v>
      </c>
      <c r="EI247" s="181">
        <v>0</v>
      </c>
      <c r="EJ247" s="181">
        <v>0</v>
      </c>
      <c r="FY247" s="211">
        <v>242</v>
      </c>
      <c r="FZ247">
        <v>17.212471837781976</v>
      </c>
      <c r="GA247">
        <v>15.692728143238464</v>
      </c>
      <c r="GB247">
        <v>4.8254690137843639</v>
      </c>
      <c r="GC247">
        <v>2.055445533066055</v>
      </c>
      <c r="GD247">
        <v>1.2223927675909092</v>
      </c>
      <c r="GE247">
        <v>1.9299755985714286</v>
      </c>
      <c r="GF247">
        <v>2.3596505903985503</v>
      </c>
      <c r="GG247">
        <v>2.3806483237545284</v>
      </c>
      <c r="GH247">
        <v>5.3643591160749837</v>
      </c>
      <c r="GI247">
        <v>5.7108000588353409</v>
      </c>
      <c r="GJ247"/>
      <c r="GK247">
        <v>17.266292391895995</v>
      </c>
      <c r="GL247">
        <v>13.297235525533992</v>
      </c>
      <c r="GM247">
        <v>8.0320784156475078</v>
      </c>
      <c r="GN247">
        <v>6.17872466465532</v>
      </c>
      <c r="GO247">
        <v>4.7380818866164818</v>
      </c>
      <c r="GP247">
        <v>3.6949404761904763</v>
      </c>
      <c r="GQ247">
        <v>2.8915056360708529</v>
      </c>
      <c r="GR247">
        <v>3.3504176731078901</v>
      </c>
      <c r="GS247">
        <v>5.7195202837667889</v>
      </c>
      <c r="GT247">
        <v>7.729495722799526</v>
      </c>
      <c r="GU247"/>
      <c r="GV247"/>
      <c r="GW247"/>
      <c r="GX247"/>
      <c r="GY247"/>
      <c r="GZ247"/>
      <c r="HA247"/>
      <c r="HB247"/>
      <c r="HC247"/>
    </row>
    <row r="248" spans="1:211" s="7" customFormat="1">
      <c r="A248" s="77" t="s">
        <v>62</v>
      </c>
      <c r="B248">
        <v>0.38524537260555469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57.058091344583787</v>
      </c>
      <c r="AO248">
        <v>6.9157698516244652</v>
      </c>
      <c r="AP248">
        <v>82.378373922625101</v>
      </c>
      <c r="AQ248">
        <v>51.366207734542826</v>
      </c>
      <c r="AR248">
        <v>7.3702046926529521</v>
      </c>
      <c r="AS248">
        <v>47.092974954776309</v>
      </c>
      <c r="AT248" t="e">
        <v>#DIV/0!</v>
      </c>
      <c r="AU248" t="e">
        <v>#DIV/0!</v>
      </c>
      <c r="AV248"/>
      <c r="AW248"/>
      <c r="DE248" s="186">
        <v>39949</v>
      </c>
      <c r="DF248" s="181">
        <v>0</v>
      </c>
      <c r="DG248" s="181">
        <v>0</v>
      </c>
      <c r="DH248" s="181">
        <v>0</v>
      </c>
      <c r="DI248" s="181">
        <v>1.0416666666666665</v>
      </c>
      <c r="DJ248" s="181">
        <v>1.0416666666666665</v>
      </c>
      <c r="DK248" s="181">
        <v>4.1666666666666661</v>
      </c>
      <c r="DL248" s="181">
        <v>9.3750000000000018</v>
      </c>
      <c r="DM248" s="181">
        <v>11.458333333333332</v>
      </c>
      <c r="DN248" s="181">
        <v>14.583333333333334</v>
      </c>
      <c r="DO248" s="181">
        <v>8.3333333333333321</v>
      </c>
      <c r="DP248" s="181">
        <v>5.208333333333333</v>
      </c>
      <c r="DQ248" s="181">
        <v>0</v>
      </c>
      <c r="DR248" s="181">
        <v>0</v>
      </c>
      <c r="DS248" s="181">
        <v>0</v>
      </c>
      <c r="DT248" s="181">
        <v>0</v>
      </c>
      <c r="DU248" s="181">
        <v>0</v>
      </c>
      <c r="DV248" s="181">
        <v>0</v>
      </c>
      <c r="DW248" s="181">
        <v>0</v>
      </c>
      <c r="DX248" s="181">
        <v>0</v>
      </c>
      <c r="DY248" s="181">
        <v>0</v>
      </c>
      <c r="DZ248" s="181">
        <v>0</v>
      </c>
      <c r="EA248" s="181">
        <v>0</v>
      </c>
      <c r="EB248" s="181">
        <v>0</v>
      </c>
      <c r="EC248" s="181">
        <v>0</v>
      </c>
      <c r="ED248" s="181">
        <v>0</v>
      </c>
      <c r="EE248" s="181">
        <v>0</v>
      </c>
      <c r="EF248" s="181">
        <v>0</v>
      </c>
      <c r="EG248" s="181">
        <v>0</v>
      </c>
      <c r="EH248" s="181">
        <v>0</v>
      </c>
      <c r="EI248" s="181">
        <v>0</v>
      </c>
      <c r="EJ248" s="181">
        <v>0</v>
      </c>
      <c r="FY248" s="211">
        <v>243</v>
      </c>
      <c r="FZ248">
        <v>11.58185771028762</v>
      </c>
      <c r="GA248">
        <v>9.2125063530346623</v>
      </c>
      <c r="GB248">
        <v>6.4550108175282759</v>
      </c>
      <c r="GC248">
        <v>3.7105125701047759</v>
      </c>
      <c r="GD248">
        <v>1.2565141390488268</v>
      </c>
      <c r="GE248">
        <v>1.1872886535714289</v>
      </c>
      <c r="GF248">
        <v>4.2460017229544054</v>
      </c>
      <c r="GG248">
        <v>3.5998570070100926</v>
      </c>
      <c r="GH248">
        <v>4.7326255283685228</v>
      </c>
      <c r="GI248">
        <v>5.5357762976977698</v>
      </c>
      <c r="GJ248"/>
      <c r="GK248">
        <v>11.625321791278635</v>
      </c>
      <c r="GL248">
        <v>7.8059577448420745</v>
      </c>
      <c r="GM248">
        <v>10.686826435798919</v>
      </c>
      <c r="GN248">
        <v>11.045929411295935</v>
      </c>
      <c r="GO248">
        <v>4.8798691097097615</v>
      </c>
      <c r="GP248">
        <v>2.2730654761904767</v>
      </c>
      <c r="GQ248">
        <v>5.1984021691297233</v>
      </c>
      <c r="GR248">
        <v>5.0629855024630572</v>
      </c>
      <c r="GS248">
        <v>5.0464835649219149</v>
      </c>
      <c r="GT248">
        <v>7.4873806141677903</v>
      </c>
      <c r="GU248"/>
      <c r="GV248"/>
      <c r="GW248"/>
      <c r="GX248"/>
      <c r="GY248"/>
      <c r="GZ248"/>
      <c r="HA248"/>
      <c r="HB248"/>
      <c r="HC248"/>
    </row>
    <row r="249" spans="1:211" s="7" customFormat="1">
      <c r="A249" s="1"/>
      <c r="B249">
        <v>0.51461860910501311</v>
      </c>
      <c r="C249">
        <v>1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62.203327475612639</v>
      </c>
      <c r="AO249">
        <v>7.3475679606539401</v>
      </c>
      <c r="AP249">
        <v>3.3683547582770377</v>
      </c>
      <c r="AQ249">
        <v>53.637404864470888</v>
      </c>
      <c r="AR249">
        <v>7.9167755998907587</v>
      </c>
      <c r="AS249">
        <v>49.027618973047353</v>
      </c>
      <c r="AT249">
        <v>6.4084280209454789</v>
      </c>
      <c r="AU249">
        <v>-1.08520140473893</v>
      </c>
      <c r="AV249"/>
      <c r="AW249"/>
      <c r="DE249" s="186">
        <v>39987</v>
      </c>
      <c r="DF249" s="181">
        <v>0</v>
      </c>
      <c r="DG249" s="181">
        <v>0</v>
      </c>
      <c r="DH249" s="181">
        <v>7.7570921985815602</v>
      </c>
      <c r="DI249" s="181">
        <v>42.102730973646274</v>
      </c>
      <c r="DJ249" s="181">
        <v>0</v>
      </c>
      <c r="DK249" s="181">
        <v>7.7570921985815602</v>
      </c>
      <c r="DL249" s="181">
        <v>1.0416666666666665</v>
      </c>
      <c r="DM249" s="181">
        <v>1.0416666666666665</v>
      </c>
      <c r="DN249" s="181">
        <v>3.125</v>
      </c>
      <c r="DO249" s="181">
        <v>1.0416666666666665</v>
      </c>
      <c r="DP249" s="181">
        <v>0</v>
      </c>
      <c r="DQ249" s="181">
        <v>0</v>
      </c>
      <c r="DR249" s="181">
        <v>0</v>
      </c>
      <c r="DS249" s="181">
        <v>0</v>
      </c>
      <c r="DT249" s="181">
        <v>0</v>
      </c>
      <c r="DU249" s="181">
        <v>0</v>
      </c>
      <c r="DV249" s="181">
        <v>0</v>
      </c>
      <c r="DW249" s="181">
        <v>0</v>
      </c>
      <c r="DX249" s="181">
        <v>0</v>
      </c>
      <c r="DY249" s="181">
        <v>0</v>
      </c>
      <c r="DZ249" s="181">
        <v>0</v>
      </c>
      <c r="EA249" s="181">
        <v>0</v>
      </c>
      <c r="EB249" s="181">
        <v>0</v>
      </c>
      <c r="EC249" s="181">
        <v>0</v>
      </c>
      <c r="ED249" s="181">
        <v>0</v>
      </c>
      <c r="EE249" s="181">
        <v>0</v>
      </c>
      <c r="EF249" s="181">
        <v>0</v>
      </c>
      <c r="EG249" s="181">
        <v>0</v>
      </c>
      <c r="EH249" s="181">
        <v>0</v>
      </c>
      <c r="EI249" s="181">
        <v>0</v>
      </c>
      <c r="EJ249" s="181">
        <v>0</v>
      </c>
      <c r="FY249" s="211">
        <v>244</v>
      </c>
      <c r="FZ249">
        <v>7.7499656802367136</v>
      </c>
      <c r="GA249">
        <v>7.591930510174004</v>
      </c>
      <c r="GB249">
        <v>7.2124068622408286</v>
      </c>
      <c r="GC249">
        <v>3.2994829563824766</v>
      </c>
      <c r="GD249">
        <v>1.8054685472772456</v>
      </c>
      <c r="GE249">
        <v>2.8093175898739493</v>
      </c>
      <c r="GF249">
        <v>1.223050412887982</v>
      </c>
      <c r="GG249">
        <v>1.0644446003007895</v>
      </c>
      <c r="GH249">
        <v>4.7121122546462217</v>
      </c>
      <c r="GI249">
        <v>4.9201209643136963</v>
      </c>
      <c r="GJ249"/>
      <c r="GK249">
        <v>7.7849163879293029</v>
      </c>
      <c r="GL249">
        <v>6.4323810325480695</v>
      </c>
      <c r="GM249">
        <v>11.983320662596078</v>
      </c>
      <c r="GN249">
        <v>9.8872118885121765</v>
      </c>
      <c r="GO249">
        <v>7.0098122740227424</v>
      </c>
      <c r="GP249">
        <v>5.3784417175961288</v>
      </c>
      <c r="GQ249">
        <v>1.4964056940656674</v>
      </c>
      <c r="GR249">
        <v>1.4964056940656674</v>
      </c>
      <c r="GS249">
        <v>5.020723651195321</v>
      </c>
      <c r="GT249">
        <v>6.6590357339618222</v>
      </c>
      <c r="GU249"/>
      <c r="GV249"/>
      <c r="GW249"/>
      <c r="GX249"/>
      <c r="GY249"/>
      <c r="GZ249"/>
      <c r="HA249"/>
      <c r="HB249"/>
      <c r="HC249"/>
    </row>
    <row r="250" spans="1:211" s="7" customFormat="1">
      <c r="A250" s="1"/>
      <c r="B250">
        <v>0.47237315718706352</v>
      </c>
      <c r="C250">
        <v>6</v>
      </c>
      <c r="D250">
        <v>39714</v>
      </c>
      <c r="E250">
        <v>52.083333333333336</v>
      </c>
      <c r="F250">
        <v>52.083333333333336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68.140216490845717</v>
      </c>
      <c r="AO250">
        <v>7.9633017074121542</v>
      </c>
      <c r="AP250">
        <v>4.7073543086248293</v>
      </c>
      <c r="AQ250">
        <v>56.01561673845044</v>
      </c>
      <c r="AR250">
        <v>8.2883405961680072</v>
      </c>
      <c r="AS250">
        <v>56.266770085147307</v>
      </c>
      <c r="AT250">
        <v>6.6916114931989616</v>
      </c>
      <c r="AU250">
        <v>-0.96149553621661532</v>
      </c>
      <c r="AV250"/>
      <c r="AW250"/>
      <c r="DE250" s="186"/>
      <c r="DF250" s="181"/>
      <c r="DG250" s="185"/>
      <c r="DH250" s="185"/>
      <c r="DI250" s="185"/>
      <c r="DJ250" s="185"/>
      <c r="DK250" s="185"/>
      <c r="DL250" s="185"/>
      <c r="DM250" s="185"/>
      <c r="DN250" s="185"/>
      <c r="DO250" s="185"/>
      <c r="DP250" s="185"/>
      <c r="DQ250" s="185"/>
      <c r="DR250" s="185"/>
      <c r="DS250" s="185"/>
      <c r="DT250" s="185"/>
      <c r="DU250" s="185"/>
      <c r="DV250" s="185"/>
      <c r="DW250" s="185"/>
      <c r="DX250" s="185"/>
      <c r="DY250" s="185"/>
      <c r="DZ250" s="185"/>
      <c r="EA250" s="181"/>
      <c r="EB250" s="185"/>
      <c r="EC250" s="181"/>
      <c r="ED250" s="181"/>
      <c r="EE250" s="181"/>
      <c r="EF250" s="181"/>
      <c r="EG250" s="181"/>
      <c r="EH250" s="181"/>
      <c r="EI250" s="181"/>
      <c r="EJ250" s="181"/>
      <c r="FY250" s="211">
        <v>245</v>
      </c>
      <c r="FZ250">
        <v>8.9310621847420677</v>
      </c>
      <c r="GA250">
        <v>11.550259079240805</v>
      </c>
      <c r="GB250">
        <v>9.2112720860693873</v>
      </c>
      <c r="GC250">
        <v>3.7204163844650844</v>
      </c>
      <c r="GD250">
        <v>0.86391948007027097</v>
      </c>
      <c r="GE250">
        <v>0.88579605732558131</v>
      </c>
      <c r="GF250">
        <v>0.7185549812303732</v>
      </c>
      <c r="GG250">
        <v>0.90314713503810828</v>
      </c>
      <c r="GH250">
        <v>4.550836292872023</v>
      </c>
      <c r="GI250">
        <v>4.9255553609880529</v>
      </c>
      <c r="GJ250"/>
      <c r="GK250">
        <v>8.9690298178743291</v>
      </c>
      <c r="GL250">
        <v>9.7861918932946885</v>
      </c>
      <c r="GM250">
        <v>15.247910846069022</v>
      </c>
      <c r="GN250">
        <v>11.072188446845088</v>
      </c>
      <c r="GO250">
        <v>3.3598984807817169</v>
      </c>
      <c r="GP250">
        <v>1.6958575581395348</v>
      </c>
      <c r="GQ250">
        <v>0.87819917232653688</v>
      </c>
      <c r="GR250">
        <v>1.2694028760302405</v>
      </c>
      <c r="GS250">
        <v>4.8514503587897586</v>
      </c>
      <c r="GT250">
        <v>6.6612977351682714</v>
      </c>
      <c r="GU250"/>
      <c r="GV250"/>
      <c r="GW250"/>
      <c r="GX250"/>
      <c r="GY250"/>
      <c r="GZ250"/>
      <c r="HA250"/>
      <c r="HB250"/>
      <c r="HC250"/>
    </row>
    <row r="251" spans="1:211" s="7" customFormat="1">
      <c r="A251" s="1"/>
      <c r="B251">
        <v>0.28343776418039202</v>
      </c>
      <c r="C251">
        <v>10</v>
      </c>
      <c r="D251">
        <v>39714</v>
      </c>
      <c r="E251">
        <v>89.285714285714278</v>
      </c>
      <c r="F251">
        <v>188.98809523809524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60.588087452391392</v>
      </c>
      <c r="AO251">
        <v>7.2679493014405825</v>
      </c>
      <c r="AP251">
        <v>28.517497153753656</v>
      </c>
      <c r="AQ251">
        <v>56.362544404679952</v>
      </c>
      <c r="AR251">
        <v>7.5127383746903309</v>
      </c>
      <c r="AS251">
        <v>46.59014655505176</v>
      </c>
      <c r="AT251" t="e">
        <v>#DIV/0!</v>
      </c>
      <c r="AU251" t="e">
        <v>#DIV/0!</v>
      </c>
      <c r="AV251"/>
      <c r="AW251"/>
      <c r="DE251" s="186"/>
      <c r="DF251" s="181"/>
      <c r="DG251" s="185"/>
      <c r="DH251" s="185"/>
      <c r="DI251" s="185"/>
      <c r="DJ251" s="185"/>
      <c r="DK251" s="185"/>
      <c r="DL251" s="185"/>
      <c r="DM251" s="185"/>
      <c r="DN251" s="185"/>
      <c r="DO251" s="185"/>
      <c r="DP251" s="185"/>
      <c r="DQ251" s="185"/>
      <c r="DR251" s="185"/>
      <c r="DS251" s="185"/>
      <c r="DT251" s="185"/>
      <c r="DU251" s="185"/>
      <c r="DV251" s="185"/>
      <c r="DW251" s="185"/>
      <c r="DX251" s="185"/>
      <c r="DY251" s="185"/>
      <c r="DZ251" s="185"/>
      <c r="EA251" s="181"/>
      <c r="EB251" s="185"/>
      <c r="EC251" s="181"/>
      <c r="ED251" s="181"/>
      <c r="EE251" s="181"/>
      <c r="EF251" s="181"/>
      <c r="EG251" s="181"/>
      <c r="EH251" s="181"/>
      <c r="EI251" s="181"/>
      <c r="EJ251" s="181"/>
      <c r="FY251" s="211">
        <v>246</v>
      </c>
      <c r="FZ251">
        <v>15.478470557306377</v>
      </c>
      <c r="GA251">
        <v>11.523462709917712</v>
      </c>
      <c r="GB251">
        <v>4.0344472656917221</v>
      </c>
      <c r="GC251">
        <v>2.5508967026819502</v>
      </c>
      <c r="GD251">
        <v>2.4656821270485634</v>
      </c>
      <c r="GE251">
        <v>3.811316366485245</v>
      </c>
      <c r="GF251">
        <v>1.767202119200634</v>
      </c>
      <c r="GG251">
        <v>2.2871004422441126</v>
      </c>
      <c r="GH251">
        <v>4.8801344106126994</v>
      </c>
      <c r="GI251">
        <v>5.7871666525670804</v>
      </c>
      <c r="GJ251"/>
      <c r="GK251">
        <v>15.52938162182579</v>
      </c>
      <c r="GL251">
        <v>9.763429983654726</v>
      </c>
      <c r="GM251">
        <v>6.6846860413475149</v>
      </c>
      <c r="GN251">
        <v>7.5990707428937627</v>
      </c>
      <c r="GO251">
        <v>9.5601623709737584</v>
      </c>
      <c r="GP251">
        <v>7.2967695138309017</v>
      </c>
      <c r="GQ251">
        <v>2.165521839774557</v>
      </c>
      <c r="GR251">
        <v>3.218762580515298</v>
      </c>
      <c r="GS251">
        <v>5.2027710716258815</v>
      </c>
      <c r="GT251">
        <v>7.8285045891095013</v>
      </c>
      <c r="GU251"/>
      <c r="GV251"/>
      <c r="GW251"/>
      <c r="GX251"/>
      <c r="GY251"/>
      <c r="GZ251"/>
      <c r="HA251"/>
      <c r="HB251"/>
      <c r="HC251"/>
    </row>
    <row r="252" spans="1:211" s="7" customFormat="1">
      <c r="A252" s="1"/>
      <c r="B252">
        <v>0.16545782076125715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48.8297809424514</v>
      </c>
      <c r="AO252">
        <v>5.6709540970847234</v>
      </c>
      <c r="AP252">
        <v>45.897038296722215</v>
      </c>
      <c r="AQ252">
        <v>38.527199114683228</v>
      </c>
      <c r="AR252">
        <v>5.9013879925357449</v>
      </c>
      <c r="AS252">
        <v>36.914413476957407</v>
      </c>
      <c r="AT252" t="e">
        <v>#DIV/0!</v>
      </c>
      <c r="AU252" t="e">
        <v>#DIV/0!</v>
      </c>
      <c r="AV252"/>
      <c r="AW252"/>
      <c r="FY252" s="211">
        <v>247</v>
      </c>
      <c r="FZ252">
        <v>12.299875585746499</v>
      </c>
      <c r="GA252">
        <v>10.157865015014295</v>
      </c>
      <c r="GB252">
        <v>6.3669823348978998</v>
      </c>
      <c r="GC252">
        <v>3.9966004201850129</v>
      </c>
      <c r="GD252">
        <v>1.8935385355949612</v>
      </c>
      <c r="GE252">
        <v>2.4283900932225913</v>
      </c>
      <c r="GF252">
        <v>1.8707531456483986</v>
      </c>
      <c r="GG252">
        <v>2.2805670599362062</v>
      </c>
      <c r="GH252">
        <v>4.7036704768940565</v>
      </c>
      <c r="GI252">
        <v>5.5515287681508321</v>
      </c>
      <c r="GJ252"/>
      <c r="GK252">
        <v>12.340030450252787</v>
      </c>
      <c r="GL252">
        <v>8.6078094014783968</v>
      </c>
      <c r="GM252">
        <v>10.544131410386514</v>
      </c>
      <c r="GN252">
        <v>11.901898889562974</v>
      </c>
      <c r="GO252">
        <v>7.3512850774675877</v>
      </c>
      <c r="GP252">
        <v>4.6491555924695458</v>
      </c>
      <c r="GQ252">
        <v>2.2900978236952971</v>
      </c>
      <c r="GR252">
        <v>3.2079218977693706</v>
      </c>
      <c r="GS252">
        <v>5.0172940755166149</v>
      </c>
      <c r="GT252">
        <v>7.5085677674637585</v>
      </c>
      <c r="GU252"/>
      <c r="GV252"/>
      <c r="GW252"/>
      <c r="GX252"/>
      <c r="GY252"/>
      <c r="GZ252"/>
      <c r="HA252"/>
      <c r="HB252"/>
      <c r="HC252"/>
    </row>
    <row r="253" spans="1:211" s="7" customFormat="1">
      <c r="A253" s="1"/>
      <c r="B253">
        <v>2.6297465473905435E-2</v>
      </c>
      <c r="C253">
        <v>8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66.09348532639774</v>
      </c>
      <c r="AO253">
        <v>7.5681943553739712</v>
      </c>
      <c r="AP253">
        <v>2.5383633283290923</v>
      </c>
      <c r="AQ253">
        <v>58.828782659031972</v>
      </c>
      <c r="AR253">
        <v>7.9768134553645131</v>
      </c>
      <c r="AS253">
        <v>49.37415484274954</v>
      </c>
      <c r="AT253">
        <v>6.3987865826884089</v>
      </c>
      <c r="AU253">
        <v>-3.45536468016331</v>
      </c>
      <c r="AV253"/>
      <c r="AW253"/>
      <c r="FY253" s="211">
        <v>248</v>
      </c>
      <c r="FZ253">
        <v>10.826070659081514</v>
      </c>
      <c r="GA253">
        <v>11.85312804204265</v>
      </c>
      <c r="GB253">
        <v>5.4912136081923819</v>
      </c>
      <c r="GC253">
        <v>3.0975712875612573</v>
      </c>
      <c r="GD253">
        <v>1.6960909257781891</v>
      </c>
      <c r="GE253">
        <v>1.7901563508970102</v>
      </c>
      <c r="GF253">
        <v>2.3682910806287722</v>
      </c>
      <c r="GG253">
        <v>2.0611396168493146</v>
      </c>
      <c r="GH253">
        <v>4.4724234090867938</v>
      </c>
      <c r="GI253">
        <v>5.0597959694789427</v>
      </c>
      <c r="GJ253"/>
      <c r="GK253">
        <v>10.857775930136313</v>
      </c>
      <c r="GL253">
        <v>10.041900712797659</v>
      </c>
      <c r="GM253">
        <v>9.0942050324026926</v>
      </c>
      <c r="GN253">
        <v>9.2426364086163613</v>
      </c>
      <c r="GO253">
        <v>6.5959565372083304</v>
      </c>
      <c r="GP253">
        <v>3.427256367663345</v>
      </c>
      <c r="GQ253">
        <v>2.8974636626885006</v>
      </c>
      <c r="GR253">
        <v>2.8974636626885006</v>
      </c>
      <c r="GS253">
        <v>4.7687389824106363</v>
      </c>
      <c r="GT253">
        <v>6.8428280289692953</v>
      </c>
      <c r="GU253"/>
      <c r="GV253"/>
      <c r="GW253"/>
      <c r="GX253"/>
      <c r="GY253"/>
      <c r="GZ253"/>
      <c r="HA253"/>
      <c r="HB253"/>
      <c r="HC253"/>
    </row>
    <row r="254" spans="1:211" s="7" customFormat="1">
      <c r="A254" s="1"/>
      <c r="B254">
        <v>0.52559684658455197</v>
      </c>
      <c r="C254">
        <v>5</v>
      </c>
      <c r="D254">
        <v>39714</v>
      </c>
      <c r="E254">
        <v>0</v>
      </c>
      <c r="F254">
        <v>10.416666666666666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70.598557220196753</v>
      </c>
      <c r="AO254">
        <v>8.5940918349755187</v>
      </c>
      <c r="AP254">
        <v>3.5940974963259507</v>
      </c>
      <c r="AQ254">
        <v>65.099239717662996</v>
      </c>
      <c r="AR254">
        <v>8.8067146596395229</v>
      </c>
      <c r="AS254">
        <v>58.660041459854398</v>
      </c>
      <c r="AT254">
        <v>7.024618500572033</v>
      </c>
      <c r="AU254">
        <v>2.3934165682171056</v>
      </c>
      <c r="AV254"/>
      <c r="AW254"/>
      <c r="FY254" s="211">
        <v>249</v>
      </c>
      <c r="FZ254">
        <v>11.979700779490454</v>
      </c>
      <c r="GA254">
        <v>10.216905545525824</v>
      </c>
      <c r="GB254">
        <v>4.9851922274099785</v>
      </c>
      <c r="GC254">
        <v>3.5596701481907873</v>
      </c>
      <c r="GD254">
        <v>2.5866959768164586</v>
      </c>
      <c r="GE254">
        <v>3.8096714341596636</v>
      </c>
      <c r="GF254">
        <v>1.2074524259805255</v>
      </c>
      <c r="GG254">
        <v>1.3774199248980978</v>
      </c>
      <c r="GH254">
        <v>4.2336479230935637</v>
      </c>
      <c r="GI254">
        <v>5.3731756916425129</v>
      </c>
      <c r="GJ254"/>
      <c r="GK254">
        <v>12.015434225999385</v>
      </c>
      <c r="GL254">
        <v>8.6569663314540382</v>
      </c>
      <c r="GM254">
        <v>8.2983861138659964</v>
      </c>
      <c r="GN254">
        <v>10.686127345514386</v>
      </c>
      <c r="GO254">
        <v>10.059322690735678</v>
      </c>
      <c r="GP254">
        <v>7.2936202890247008</v>
      </c>
      <c r="GQ254">
        <v>1.4796069847020934</v>
      </c>
      <c r="GR254">
        <v>1.9385190217391302</v>
      </c>
      <c r="GS254">
        <v>4.5105908176392973</v>
      </c>
      <c r="GT254">
        <v>7.2726681665884918</v>
      </c>
      <c r="GU254"/>
      <c r="GV254"/>
      <c r="GW254"/>
      <c r="GX254"/>
      <c r="GY254"/>
      <c r="GZ254"/>
      <c r="HA254"/>
      <c r="HB254"/>
      <c r="HC254"/>
    </row>
    <row r="255" spans="1:211" s="7" customFormat="1">
      <c r="A255" s="1"/>
      <c r="B255">
        <v>0.89199813670903527</v>
      </c>
      <c r="C255">
        <v>4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59.344974992365636</v>
      </c>
      <c r="AO255">
        <v>7.356394945826084</v>
      </c>
      <c r="AP255">
        <v>4.3190282695846571</v>
      </c>
      <c r="AQ255">
        <v>51.050909336539988</v>
      </c>
      <c r="AR255">
        <v>7.7677762954852225</v>
      </c>
      <c r="AS255">
        <v>49.607472459623253</v>
      </c>
      <c r="AT255">
        <v>6.2072599764427325</v>
      </c>
      <c r="AU255">
        <v>1.6176473015835802</v>
      </c>
      <c r="AV255"/>
      <c r="AW255"/>
      <c r="FY255" s="211">
        <v>250</v>
      </c>
      <c r="FZ255">
        <v>7.9714305798025888</v>
      </c>
      <c r="GA255">
        <v>8.0675338396544074</v>
      </c>
      <c r="GB255">
        <v>5.3508470884465478</v>
      </c>
      <c r="GC255">
        <v>2.517596990426739</v>
      </c>
      <c r="GD255">
        <v>1.702996940049381</v>
      </c>
      <c r="GE255">
        <v>2.2515598682225924</v>
      </c>
      <c r="GF255">
        <v>1.8380543676705907</v>
      </c>
      <c r="GG255">
        <v>1.5999335916051376</v>
      </c>
      <c r="GH255">
        <v>3.3634596088613016</v>
      </c>
      <c r="GI255">
        <v>4.3328705919002521</v>
      </c>
      <c r="GJ255"/>
      <c r="GK255">
        <v>8.0131620631510803</v>
      </c>
      <c r="GL255">
        <v>6.8351994012522885</v>
      </c>
      <c r="GM255">
        <v>8.8599722372403917</v>
      </c>
      <c r="GN255">
        <v>7.4911105076320732</v>
      </c>
      <c r="GO255">
        <v>6.6015231933717429</v>
      </c>
      <c r="GP255">
        <v>4.3106139258028806</v>
      </c>
      <c r="GQ255">
        <v>2.2500288824714643</v>
      </c>
      <c r="GR255">
        <v>2.2500288824714643</v>
      </c>
      <c r="GS255">
        <v>3.5883989726027394</v>
      </c>
      <c r="GT255">
        <v>5.8626170697674835</v>
      </c>
      <c r="GU255"/>
      <c r="GV255"/>
      <c r="GW255"/>
      <c r="GX255"/>
      <c r="GY255"/>
      <c r="GZ255"/>
      <c r="HA255"/>
      <c r="HB255"/>
      <c r="HC255"/>
    </row>
    <row r="256" spans="1:211" s="7" customFormat="1">
      <c r="A256" s="1"/>
      <c r="B256">
        <v>0.75412485086116288</v>
      </c>
      <c r="C256">
        <v>9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66.528549619148379</v>
      </c>
      <c r="AO256">
        <v>8.201694562359986</v>
      </c>
      <c r="AP256">
        <v>62.668134122415026</v>
      </c>
      <c r="AQ256">
        <v>61.566577468665564</v>
      </c>
      <c r="AR256">
        <v>8.6141902578978105</v>
      </c>
      <c r="AS256">
        <v>53.852857643064048</v>
      </c>
      <c r="AT256" t="e">
        <v>#DIV/0!</v>
      </c>
      <c r="AU256" t="e">
        <v>#DIV/0!</v>
      </c>
      <c r="AV256"/>
      <c r="AW256"/>
      <c r="FY256" s="211">
        <v>251</v>
      </c>
      <c r="FZ256">
        <v>12.272722745680923</v>
      </c>
      <c r="GA256">
        <v>10.633983388943927</v>
      </c>
      <c r="GB256">
        <v>5.4623425675968829</v>
      </c>
      <c r="GC256">
        <v>3.0879691614046068</v>
      </c>
      <c r="GD256">
        <v>1.5923661092228685</v>
      </c>
      <c r="GE256">
        <v>1.6032215416112958</v>
      </c>
      <c r="GF256">
        <v>1.2783046744504822</v>
      </c>
      <c r="GG256">
        <v>1.0644446003007895</v>
      </c>
      <c r="GH256">
        <v>2.8012263591724107</v>
      </c>
      <c r="GI256">
        <v>4.7449287423463673</v>
      </c>
      <c r="GJ256"/>
      <c r="GK256">
        <v>12.325995098658785</v>
      </c>
      <c r="GL256">
        <v>9.0111180032248708</v>
      </c>
      <c r="GM256">
        <v>9.0480784896928395</v>
      </c>
      <c r="GN256">
        <v>9.202704201142959</v>
      </c>
      <c r="GO256">
        <v>6.1835525193280541</v>
      </c>
      <c r="GP256">
        <v>3.0693694629014399</v>
      </c>
      <c r="GQ256">
        <v>1.5641140273990009</v>
      </c>
      <c r="GR256">
        <v>1.4964056940656674</v>
      </c>
      <c r="GS256">
        <v>2.9857766536435131</v>
      </c>
      <c r="GT256">
        <v>6.421503357744438</v>
      </c>
      <c r="GU256"/>
      <c r="GV256"/>
      <c r="GW256"/>
      <c r="GX256"/>
      <c r="GY256"/>
      <c r="GZ256"/>
      <c r="HA256"/>
      <c r="HB256"/>
      <c r="HC256"/>
    </row>
    <row r="257" spans="1:211" s="7" customFormat="1">
      <c r="A257" s="1"/>
      <c r="B257">
        <v>0.72762928840206786</v>
      </c>
      <c r="C257">
        <v>6</v>
      </c>
      <c r="D257">
        <v>39714</v>
      </c>
      <c r="E257">
        <v>52.083333333333336</v>
      </c>
      <c r="F257">
        <v>52.083333333333336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50.480667685459117</v>
      </c>
      <c r="AO257">
        <v>6.2982113035845249</v>
      </c>
      <c r="AP257">
        <v>67.700760773947238</v>
      </c>
      <c r="AQ257">
        <v>46.793816599358557</v>
      </c>
      <c r="AR257">
        <v>6.8110249063409425</v>
      </c>
      <c r="AS257">
        <v>41.085420231928985</v>
      </c>
      <c r="AT257" t="e">
        <v>#DIV/0!</v>
      </c>
      <c r="AU257" t="e">
        <v>#DIV/0!</v>
      </c>
      <c r="AV257"/>
      <c r="AW257"/>
      <c r="FY257" s="211">
        <v>252</v>
      </c>
      <c r="FZ257">
        <v>7.6494466726169703</v>
      </c>
      <c r="GA257">
        <v>8.5032412457536566</v>
      </c>
      <c r="GB257">
        <v>5.8983394723358407</v>
      </c>
      <c r="GC257">
        <v>2.5713043731746028</v>
      </c>
      <c r="GD257">
        <v>1.8708251175168069</v>
      </c>
      <c r="GE257">
        <v>3.003709258151261</v>
      </c>
      <c r="GF257">
        <v>0.60804645810537317</v>
      </c>
      <c r="GG257">
        <v>1.277338661079775</v>
      </c>
      <c r="GH257">
        <v>4.9475906439916901</v>
      </c>
      <c r="GI257">
        <v>4.5454928670897425</v>
      </c>
      <c r="GJ257"/>
      <c r="GK257">
        <v>7.6788763766650705</v>
      </c>
      <c r="GL257">
        <v>7.2045957183807827</v>
      </c>
      <c r="GM257">
        <v>9.8055556783525706</v>
      </c>
      <c r="GN257">
        <v>7.7119718647336928</v>
      </c>
      <c r="GO257">
        <v>7.2537297873694939</v>
      </c>
      <c r="GP257">
        <v>5.7506047873694941</v>
      </c>
      <c r="GQ257">
        <v>0.74278250565987025</v>
      </c>
      <c r="GR257">
        <v>1.796023246400611</v>
      </c>
      <c r="GS257">
        <v>5.2765814285573285</v>
      </c>
      <c r="GT257">
        <v>6.1515051553208657</v>
      </c>
      <c r="GU257"/>
      <c r="GV257"/>
      <c r="GW257"/>
      <c r="GX257"/>
      <c r="GY257"/>
      <c r="GZ257"/>
      <c r="HA257"/>
      <c r="HB257"/>
      <c r="HC257"/>
    </row>
    <row r="258" spans="1:211" s="7" customFormat="1">
      <c r="A258" s="1"/>
      <c r="B258">
        <v>0.65464574107743623</v>
      </c>
      <c r="C258">
        <v>9</v>
      </c>
      <c r="D258">
        <v>39747</v>
      </c>
      <c r="E258">
        <v>0</v>
      </c>
      <c r="F258">
        <v>88.922764227642276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60.087886361637814</v>
      </c>
      <c r="AO258">
        <v>7.2898292676284839</v>
      </c>
      <c r="AP258">
        <v>3.7450326528668025</v>
      </c>
      <c r="AQ258">
        <v>58.753940983096605</v>
      </c>
      <c r="AR258">
        <v>7.7294957227995251</v>
      </c>
      <c r="AS258">
        <v>49.625484531350061</v>
      </c>
      <c r="AT258">
        <v>6.2099949991673915</v>
      </c>
      <c r="AU258">
        <v>2.645616465942398</v>
      </c>
      <c r="AV258"/>
      <c r="AW258"/>
      <c r="FY258" s="211">
        <v>253</v>
      </c>
      <c r="FZ258">
        <v>14.739849202889911</v>
      </c>
      <c r="GA258">
        <v>19.216946940657479</v>
      </c>
      <c r="GB258">
        <v>7.2738621723482639</v>
      </c>
      <c r="GC258">
        <v>3.029635379055911</v>
      </c>
      <c r="GD258">
        <v>1.3013097557723752</v>
      </c>
      <c r="GE258">
        <v>1.2781124169767439</v>
      </c>
      <c r="GF258">
        <v>1.767202119200634</v>
      </c>
      <c r="GG258">
        <v>1.5387173901607791</v>
      </c>
      <c r="GH258">
        <v>2.4813781919501485</v>
      </c>
      <c r="GI258">
        <v>5.4321446969387122</v>
      </c>
      <c r="GJ258"/>
      <c r="GK258">
        <v>14.782975176533812</v>
      </c>
      <c r="GL258">
        <v>16.282379096357563</v>
      </c>
      <c r="GM258">
        <v>12.127032827916668</v>
      </c>
      <c r="GN258">
        <v>9.1601418005907789</v>
      </c>
      <c r="GO258">
        <v>5.0652758201540671</v>
      </c>
      <c r="GP258">
        <v>2.4469476744186043</v>
      </c>
      <c r="GQ258">
        <v>2.165521839774557</v>
      </c>
      <c r="GR258">
        <v>2.165521839774557</v>
      </c>
      <c r="GS258">
        <v>2.6428358792233437</v>
      </c>
      <c r="GT258">
        <v>7.3567283087204913</v>
      </c>
      <c r="GU258"/>
      <c r="GV258"/>
      <c r="GW258"/>
      <c r="GX258"/>
      <c r="GY258"/>
      <c r="GZ258"/>
      <c r="HA258"/>
      <c r="HB258"/>
      <c r="HC258"/>
    </row>
    <row r="259" spans="1:211" s="7" customFormat="1">
      <c r="A259" s="90"/>
      <c r="B259">
        <v>0.74880812153079179</v>
      </c>
      <c r="C259">
        <v>3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63.499759216557337</v>
      </c>
      <c r="AO259">
        <v>7.1112221819798282</v>
      </c>
      <c r="AP259">
        <v>61.493511201334314</v>
      </c>
      <c r="AQ259">
        <v>51.517950799606382</v>
      </c>
      <c r="AR259">
        <v>7.4873806141677912</v>
      </c>
      <c r="AS259">
        <v>46.928352487718769</v>
      </c>
      <c r="AT259" t="e">
        <v>#DIV/0!</v>
      </c>
      <c r="AU259" t="e">
        <v>#DIV/0!</v>
      </c>
      <c r="AV259"/>
      <c r="AW259"/>
      <c r="FY259" s="211">
        <v>254</v>
      </c>
      <c r="FZ259">
        <v>13.982504449683798</v>
      </c>
      <c r="GA259">
        <v>12.29681739128136</v>
      </c>
      <c r="GB259">
        <v>4.1472502768092339</v>
      </c>
      <c r="GC259">
        <v>2.3249709921904307</v>
      </c>
      <c r="GD259">
        <v>1.2954984667228684</v>
      </c>
      <c r="GE259">
        <v>1.4617573616112962</v>
      </c>
      <c r="GF259">
        <v>2.3301376101366236</v>
      </c>
      <c r="GG259">
        <v>1.9321738316526917</v>
      </c>
      <c r="GH259">
        <v>4.5968234212395327</v>
      </c>
      <c r="GI259">
        <v>4.979382509130982</v>
      </c>
      <c r="GJ259"/>
      <c r="GK259">
        <v>14.032895507800543</v>
      </c>
      <c r="GL259">
        <v>10.419884011113023</v>
      </c>
      <c r="GM259">
        <v>6.8634813357873323</v>
      </c>
      <c r="GN259">
        <v>6.9248172298254929</v>
      </c>
      <c r="GO259">
        <v>5.0325108526613871</v>
      </c>
      <c r="GP259">
        <v>2.7985361295681068</v>
      </c>
      <c r="GQ259">
        <v>2.8530255612154258</v>
      </c>
      <c r="GR259">
        <v>2.7176088945487589</v>
      </c>
      <c r="GS259">
        <v>4.8997565413238009</v>
      </c>
      <c r="GT259">
        <v>6.7363339597576974</v>
      </c>
      <c r="GU259"/>
      <c r="GV259"/>
      <c r="GW259"/>
      <c r="GX259"/>
      <c r="GY259"/>
      <c r="GZ259"/>
      <c r="HA259"/>
      <c r="HB259"/>
      <c r="HC259"/>
    </row>
    <row r="260" spans="1:211" s="7" customFormat="1">
      <c r="A260" s="77" t="s">
        <v>61</v>
      </c>
      <c r="B260">
        <v>0.65825976101451134</v>
      </c>
      <c r="C260">
        <v>9</v>
      </c>
      <c r="D260">
        <v>39747</v>
      </c>
      <c r="E260">
        <v>0</v>
      </c>
      <c r="F260">
        <v>88.922764227642276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54.700145046345924</v>
      </c>
      <c r="AO260">
        <v>6.3148654736492968</v>
      </c>
      <c r="AP260">
        <v>77.832408800637211</v>
      </c>
      <c r="AQ260">
        <v>42.388300378333909</v>
      </c>
      <c r="AR260">
        <v>6.6590357339618222</v>
      </c>
      <c r="AS260">
        <v>39.970535474106669</v>
      </c>
      <c r="AT260" t="e">
        <v>#DIV/0!</v>
      </c>
      <c r="AU260" t="e">
        <v>#DIV/0!</v>
      </c>
      <c r="AV260"/>
      <c r="AW260"/>
      <c r="FY260" s="211">
        <v>255</v>
      </c>
      <c r="FZ260">
        <v>22.132298564131744</v>
      </c>
      <c r="GA260">
        <v>19.650160857901653</v>
      </c>
      <c r="GB260">
        <v>4.5490087636346646</v>
      </c>
      <c r="GC260">
        <v>3.3342792589756689</v>
      </c>
      <c r="GD260">
        <v>1.9600363243762904</v>
      </c>
      <c r="GE260">
        <v>1.9494251326196987</v>
      </c>
      <c r="GF260">
        <v>1.2074524259805255</v>
      </c>
      <c r="GG260">
        <v>1.3774199248980978</v>
      </c>
      <c r="GH260">
        <v>2.7424692080232118</v>
      </c>
      <c r="GI260">
        <v>6.1724296442593198</v>
      </c>
      <c r="GJ260"/>
      <c r="GK260">
        <v>22.216957412241822</v>
      </c>
      <c r="GL260">
        <v>16.651862349270928</v>
      </c>
      <c r="GM260">
        <v>7.5320564506103986</v>
      </c>
      <c r="GN260">
        <v>9.9504273317629828</v>
      </c>
      <c r="GO260">
        <v>7.6303261848641473</v>
      </c>
      <c r="GP260">
        <v>3.7321766312233136</v>
      </c>
      <c r="GQ260">
        <v>1.4796069847020934</v>
      </c>
      <c r="GR260">
        <v>1.9385190217391302</v>
      </c>
      <c r="GS260">
        <v>2.9258783612379506</v>
      </c>
      <c r="GT260">
        <v>8.3569650787312817</v>
      </c>
      <c r="GU260"/>
      <c r="GV260"/>
      <c r="GW260"/>
      <c r="GX260"/>
      <c r="GY260"/>
      <c r="GZ260"/>
      <c r="HA260"/>
      <c r="HB260"/>
      <c r="HC260"/>
    </row>
    <row r="261" spans="1:211" s="7" customFormat="1">
      <c r="A261" s="77" t="s">
        <v>62</v>
      </c>
      <c r="B261">
        <v>0.8608861061762223</v>
      </c>
      <c r="C261">
        <v>1</v>
      </c>
      <c r="D261">
        <v>39747</v>
      </c>
      <c r="E261">
        <v>0</v>
      </c>
      <c r="F261">
        <v>173.61111111111111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59.348415277835628</v>
      </c>
      <c r="AO261">
        <v>6.3791427185319183</v>
      </c>
      <c r="AP261">
        <v>4.7703538450255749</v>
      </c>
      <c r="AQ261">
        <v>46.260819042041746</v>
      </c>
      <c r="AR261">
        <v>6.6612977351682732</v>
      </c>
      <c r="AS261">
        <v>41.007136880659061</v>
      </c>
      <c r="AT261">
        <v>5.3295239645248804</v>
      </c>
      <c r="AU261">
        <v>4.1180625061446348</v>
      </c>
      <c r="AV261"/>
      <c r="AW261"/>
      <c r="FY261" s="211">
        <v>256</v>
      </c>
      <c r="FZ261">
        <v>10.154014712181667</v>
      </c>
      <c r="GA261">
        <v>11.189689834338612</v>
      </c>
      <c r="GB261">
        <v>8.1523028673469824</v>
      </c>
      <c r="GC261">
        <v>4.2844331629729577</v>
      </c>
      <c r="GD261">
        <v>2.1240551408359201</v>
      </c>
      <c r="GE261">
        <v>2.516926784945281</v>
      </c>
      <c r="GF261">
        <v>1.8154988840858985</v>
      </c>
      <c r="GG261">
        <v>2.2805670599362062</v>
      </c>
      <c r="GH261">
        <v>4.2594222975190581</v>
      </c>
      <c r="GI261">
        <v>5.7313922259741954</v>
      </c>
      <c r="GJ261"/>
      <c r="GK261">
        <v>10.193880924596735</v>
      </c>
      <c r="GL261">
        <v>9.4792955506484269</v>
      </c>
      <c r="GM261">
        <v>13.617885078417078</v>
      </c>
      <c r="GN261">
        <v>12.949827018366435</v>
      </c>
      <c r="GO261">
        <v>8.2560416298853099</v>
      </c>
      <c r="GP261">
        <v>4.8186591893628501</v>
      </c>
      <c r="GQ261">
        <v>2.2223894903619632</v>
      </c>
      <c r="GR261">
        <v>3.2079218977693706</v>
      </c>
      <c r="GS261">
        <v>4.5433357421832827</v>
      </c>
      <c r="GT261">
        <v>7.7667065730888734</v>
      </c>
      <c r="GU261"/>
      <c r="GV261"/>
      <c r="GW261"/>
      <c r="GX261"/>
      <c r="GY261"/>
      <c r="GZ261"/>
      <c r="HA261"/>
      <c r="HB261"/>
      <c r="HC261"/>
    </row>
    <row r="262" spans="1:211" s="7" customFormat="1" ht="12.75" customHeight="1">
      <c r="A262" s="77"/>
      <c r="B262">
        <v>6.4501356666141874E-2</v>
      </c>
      <c r="C262">
        <v>3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61.859969594024996</v>
      </c>
      <c r="AO262">
        <v>7.4849060355551682</v>
      </c>
      <c r="AP262">
        <v>28.234596108865922</v>
      </c>
      <c r="AQ262">
        <v>54.585879353756091</v>
      </c>
      <c r="AR262">
        <v>7.8285045891095013</v>
      </c>
      <c r="AS262">
        <v>50.533647999610103</v>
      </c>
      <c r="AT262" t="e">
        <v>#DIV/0!</v>
      </c>
      <c r="AU262" t="e">
        <v>#DIV/0!</v>
      </c>
      <c r="AV262"/>
      <c r="AW262"/>
      <c r="FY262" s="211">
        <v>257</v>
      </c>
      <c r="FZ262">
        <v>9.8266701865490269</v>
      </c>
      <c r="GA262">
        <v>9.0586181364741662</v>
      </c>
      <c r="GB262">
        <v>5.0216705277606222</v>
      </c>
      <c r="GC262">
        <v>1.953989178197526</v>
      </c>
      <c r="GD262">
        <v>1.4425496328986398</v>
      </c>
      <c r="GE262">
        <v>2.5354910211911279</v>
      </c>
      <c r="GF262">
        <v>1.6824348773762066</v>
      </c>
      <c r="GG262">
        <v>2.2128174761839414</v>
      </c>
      <c r="GH262">
        <v>5.0666416351713846</v>
      </c>
      <c r="GI262">
        <v>4.6206046569128478</v>
      </c>
      <c r="GJ262"/>
      <c r="GK262">
        <v>9.8741121930342821</v>
      </c>
      <c r="GL262">
        <v>7.6743261589475216</v>
      </c>
      <c r="GM262">
        <v>8.3544707739671491</v>
      </c>
      <c r="GN262">
        <v>5.8739605022905303</v>
      </c>
      <c r="GO262">
        <v>5.5924378126267928</v>
      </c>
      <c r="GP262">
        <v>4.8542004407471238</v>
      </c>
      <c r="GQ262">
        <v>2.0593334315857961</v>
      </c>
      <c r="GR262">
        <v>3.1125741723265365</v>
      </c>
      <c r="GS262">
        <v>5.4033125831694759</v>
      </c>
      <c r="GT262">
        <v>6.2567333588766996</v>
      </c>
      <c r="GU262"/>
      <c r="GV262"/>
      <c r="GW262"/>
      <c r="GX262"/>
      <c r="GY262"/>
      <c r="GZ262"/>
      <c r="HA262"/>
      <c r="HB262"/>
      <c r="HC262"/>
    </row>
    <row r="263" spans="1:211" s="7" customFormat="1">
      <c r="A263" s="77"/>
      <c r="B263">
        <v>0.2701579623214867</v>
      </c>
      <c r="C263">
        <v>3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63.427320523664868</v>
      </c>
      <c r="AO263">
        <v>7.3418192386062842</v>
      </c>
      <c r="AP263">
        <v>3.3504273111590006</v>
      </c>
      <c r="AQ263">
        <v>51.549771435290744</v>
      </c>
      <c r="AR263">
        <v>7.5085677674637594</v>
      </c>
      <c r="AS263">
        <v>47.685141294765529</v>
      </c>
      <c r="AT263">
        <v>6.0521881938976811</v>
      </c>
      <c r="AU263">
        <v>6.1381233350705244</v>
      </c>
      <c r="AV263"/>
      <c r="AW263"/>
      <c r="FY263" s="211">
        <v>258</v>
      </c>
      <c r="FZ263">
        <v>7.7647949270995689</v>
      </c>
      <c r="GA263">
        <v>8.5176216917286709</v>
      </c>
      <c r="GB263">
        <v>6.6418688530362466</v>
      </c>
      <c r="GC263">
        <v>3.4736373550696031</v>
      </c>
      <c r="GD263">
        <v>1.9951475804327685</v>
      </c>
      <c r="GE263">
        <v>2.453009414579832</v>
      </c>
      <c r="GF263">
        <v>1.822456380763134</v>
      </c>
      <c r="GG263">
        <v>1.5387173901607791</v>
      </c>
      <c r="GH263">
        <v>5.0557505525514017</v>
      </c>
      <c r="GI263">
        <v>5.0594667012876888</v>
      </c>
      <c r="GJ263"/>
      <c r="GK263">
        <v>7.7870248045939814</v>
      </c>
      <c r="GL263">
        <v>7.2157959411398442</v>
      </c>
      <c r="GM263">
        <v>11.080483494459076</v>
      </c>
      <c r="GN263">
        <v>10.490885860446536</v>
      </c>
      <c r="GO263">
        <v>7.7664626743436598</v>
      </c>
      <c r="GP263">
        <v>4.6962893111790178</v>
      </c>
      <c r="GQ263">
        <v>2.2332301731078905</v>
      </c>
      <c r="GR263">
        <v>2.165521839774557</v>
      </c>
      <c r="GS263">
        <v>5.3929203439082949</v>
      </c>
      <c r="GT263">
        <v>6.8520242980825801</v>
      </c>
      <c r="GU263"/>
      <c r="GV263"/>
      <c r="GW263"/>
      <c r="GX263"/>
      <c r="GY263"/>
      <c r="GZ263"/>
      <c r="HA263"/>
      <c r="HB263"/>
      <c r="HC263"/>
    </row>
    <row r="264" spans="1:211" s="7" customFormat="1">
      <c r="A264" s="77"/>
      <c r="B264">
        <v>0.47536925174347466</v>
      </c>
      <c r="C264">
        <v>6</v>
      </c>
      <c r="D264">
        <v>39747</v>
      </c>
      <c r="E264">
        <v>65.104166666666671</v>
      </c>
      <c r="F264">
        <v>0</v>
      </c>
      <c r="G264">
        <v>65.104166666666671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58.70848962283511</v>
      </c>
      <c r="AO264">
        <v>6.6666225325581649</v>
      </c>
      <c r="AP264">
        <v>92.816003493114124</v>
      </c>
      <c r="AQ264">
        <v>48.715880949596823</v>
      </c>
      <c r="AR264">
        <v>6.842828028969298</v>
      </c>
      <c r="AS264">
        <v>43.324715728991578</v>
      </c>
      <c r="AT264" t="e">
        <v>#DIV/0!</v>
      </c>
      <c r="AU264" t="e">
        <v>#DIV/0!</v>
      </c>
      <c r="AV264"/>
      <c r="AW264"/>
      <c r="FY264" s="211">
        <v>259</v>
      </c>
      <c r="FZ264">
        <v>18.264193009065266</v>
      </c>
      <c r="GA264">
        <v>15.842995254779305</v>
      </c>
      <c r="GB264">
        <v>5.7118729968744617</v>
      </c>
      <c r="GC264">
        <v>3.4537806450642687</v>
      </c>
      <c r="GD264">
        <v>1.9325101821590793</v>
      </c>
      <c r="GE264">
        <v>2.6947598029138171</v>
      </c>
      <c r="GF264">
        <v>1.8310968709933551</v>
      </c>
      <c r="GG264">
        <v>1.5934002092972313</v>
      </c>
      <c r="GH264">
        <v>5.9196634406068771</v>
      </c>
      <c r="GI264">
        <v>6.486106950685234</v>
      </c>
      <c r="GJ264"/>
      <c r="GK264">
        <v>18.317838029730765</v>
      </c>
      <c r="GL264">
        <v>13.423526710779973</v>
      </c>
      <c r="GM264">
        <v>9.5388229366347836</v>
      </c>
      <c r="GN264">
        <v>10.408922354753301</v>
      </c>
      <c r="GO264">
        <v>7.5016452992800433</v>
      </c>
      <c r="GP264">
        <v>5.1591207043070932</v>
      </c>
      <c r="GQ264">
        <v>2.2391881997255374</v>
      </c>
      <c r="GR264">
        <v>2.2391881997255374</v>
      </c>
      <c r="GS264">
        <v>6.3112054617346232</v>
      </c>
      <c r="GT264">
        <v>8.7817399854211509</v>
      </c>
      <c r="GU264"/>
      <c r="GV264"/>
      <c r="GW264"/>
      <c r="GX264"/>
      <c r="GY264"/>
      <c r="GZ264"/>
      <c r="HA264"/>
      <c r="HB264"/>
      <c r="HC264"/>
    </row>
    <row r="265" spans="1:211" s="7" customFormat="1">
      <c r="A265" s="77"/>
      <c r="B265">
        <v>0.39450567871668873</v>
      </c>
      <c r="C265">
        <v>8</v>
      </c>
      <c r="D265">
        <v>39747</v>
      </c>
      <c r="E265">
        <v>0</v>
      </c>
      <c r="F265">
        <v>70.112179487179489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59.855410454661545</v>
      </c>
      <c r="AO265">
        <v>7.2211241987263195</v>
      </c>
      <c r="AP265">
        <v>4.2965633454548486</v>
      </c>
      <c r="AQ265">
        <v>49.329532077207865</v>
      </c>
      <c r="AR265">
        <v>7.2726681665884918</v>
      </c>
      <c r="AS265">
        <v>46.908377803533355</v>
      </c>
      <c r="AT265">
        <v>5.8144291632545277</v>
      </c>
      <c r="AU265">
        <v>0.16924311867536268</v>
      </c>
      <c r="AV265"/>
      <c r="AW265"/>
      <c r="FY265" s="211">
        <v>260</v>
      </c>
      <c r="FZ265">
        <v>12.837888639200218</v>
      </c>
      <c r="GA265">
        <v>15.231491821320844</v>
      </c>
      <c r="GB265">
        <v>7.4763689661260404</v>
      </c>
      <c r="GC265">
        <v>2.7652239652585178</v>
      </c>
      <c r="GD265">
        <v>1.2746724425287428</v>
      </c>
      <c r="GE265">
        <v>1.4903086869767443</v>
      </c>
      <c r="GF265">
        <v>2.3301376101366236</v>
      </c>
      <c r="GG265">
        <v>2.3063653576943581</v>
      </c>
      <c r="GH265">
        <v>6.2722531594037125</v>
      </c>
      <c r="GI265">
        <v>5.8810987259391911</v>
      </c>
      <c r="GJ265"/>
      <c r="GK265">
        <v>12.889266731801092</v>
      </c>
      <c r="GL265">
        <v>12.904246376024158</v>
      </c>
      <c r="GM265">
        <v>12.420517864453037</v>
      </c>
      <c r="GN265">
        <v>8.3021021523093737</v>
      </c>
      <c r="GO265">
        <v>4.9525064542036441</v>
      </c>
      <c r="GP265">
        <v>2.8531976744186047</v>
      </c>
      <c r="GQ265">
        <v>2.8530255612154258</v>
      </c>
      <c r="GR265">
        <v>3.2442292649191291</v>
      </c>
      <c r="GS265">
        <v>6.6859591353279448</v>
      </c>
      <c r="GT265">
        <v>7.9602551494002283</v>
      </c>
      <c r="GU265"/>
      <c r="GV265"/>
      <c r="GW265"/>
      <c r="GX265"/>
      <c r="GY265"/>
      <c r="GZ265"/>
      <c r="HA265"/>
      <c r="HB265"/>
      <c r="HC265"/>
    </row>
    <row r="266" spans="1:211" s="7" customFormat="1">
      <c r="A266" s="1"/>
      <c r="B266">
        <v>0.86182562258503292</v>
      </c>
      <c r="C266">
        <v>7</v>
      </c>
      <c r="D266">
        <v>39747</v>
      </c>
      <c r="E266">
        <v>74.404761904761912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48.196891114591956</v>
      </c>
      <c r="AO266">
        <v>5.6062655135763597</v>
      </c>
      <c r="AP266">
        <v>70.537964961476021</v>
      </c>
      <c r="AQ266">
        <v>38.996283466639539</v>
      </c>
      <c r="AR266">
        <v>5.8626170697674826</v>
      </c>
      <c r="AS266">
        <v>36.21551882987751</v>
      </c>
      <c r="AT266" t="e">
        <v>#DIV/0!</v>
      </c>
      <c r="AU266" t="e">
        <v>#DIV/0!</v>
      </c>
      <c r="AV266"/>
      <c r="AW266"/>
      <c r="FY266" s="211">
        <v>261</v>
      </c>
      <c r="FZ266">
        <v>18.433046879899642</v>
      </c>
      <c r="GA266">
        <v>19.395646499113433</v>
      </c>
      <c r="GB266">
        <v>6.4485774853537192</v>
      </c>
      <c r="GC266">
        <v>3.3567714091553116</v>
      </c>
      <c r="GD266">
        <v>1.4126865982338923</v>
      </c>
      <c r="GE266">
        <v>1.258020743571429</v>
      </c>
      <c r="GF266">
        <v>5.5254261562500004E-2</v>
      </c>
      <c r="GG266">
        <v>0</v>
      </c>
      <c r="GH266">
        <v>5.7682612650171858</v>
      </c>
      <c r="GI266">
        <v>6.0479909862749786</v>
      </c>
      <c r="GJ266"/>
      <c r="GK266">
        <v>18.497434458218937</v>
      </c>
      <c r="GL266">
        <v>16.434149755084896</v>
      </c>
      <c r="GM266">
        <v>10.758486229750634</v>
      </c>
      <c r="GN266">
        <v>10.122151633957811</v>
      </c>
      <c r="GO266">
        <v>5.4876272321659929</v>
      </c>
      <c r="GP266">
        <v>2.4084821428571437</v>
      </c>
      <c r="GQ266">
        <v>6.7708333333333329E-2</v>
      </c>
      <c r="GR266">
        <v>0</v>
      </c>
      <c r="GS266">
        <v>6.1521363499170469</v>
      </c>
      <c r="GT266">
        <v>8.1926785206771893</v>
      </c>
      <c r="GU266"/>
      <c r="GV266"/>
      <c r="GW266"/>
      <c r="GX266"/>
      <c r="GY266"/>
      <c r="GZ266"/>
      <c r="HA266"/>
      <c r="HB266"/>
      <c r="HC266"/>
    </row>
    <row r="267" spans="1:211" s="7" customFormat="1">
      <c r="A267" s="1"/>
      <c r="B267">
        <v>0.94624173560094538</v>
      </c>
      <c r="C267">
        <v>1</v>
      </c>
      <c r="D267">
        <v>39747</v>
      </c>
      <c r="E267">
        <v>0</v>
      </c>
      <c r="F267">
        <v>173.61111111111111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52.003229473610915</v>
      </c>
      <c r="AO267">
        <v>6.1308617507801557</v>
      </c>
      <c r="AP267">
        <v>36.513800686861842</v>
      </c>
      <c r="AQ267">
        <v>44.541509890730552</v>
      </c>
      <c r="AR267">
        <v>6.421503357744438</v>
      </c>
      <c r="AS267">
        <v>39.691724546065899</v>
      </c>
      <c r="AT267" t="e">
        <v>#DIV/0!</v>
      </c>
      <c r="AU267" t="e">
        <v>#DIV/0!</v>
      </c>
      <c r="AV267"/>
      <c r="AW267"/>
      <c r="FY267" s="211">
        <v>262</v>
      </c>
      <c r="FZ267">
        <v>10.98838744437694</v>
      </c>
      <c r="GA267">
        <v>8.9029405665692778</v>
      </c>
      <c r="GB267">
        <v>7.3781204528894033</v>
      </c>
      <c r="GC267">
        <v>3.8204781858493919</v>
      </c>
      <c r="GD267">
        <v>2.164710846863021</v>
      </c>
      <c r="GE267">
        <v>3.5484796798905607</v>
      </c>
      <c r="GF267">
        <v>4.5948776643176306</v>
      </c>
      <c r="GG267">
        <v>4.748229882893245</v>
      </c>
      <c r="GH267">
        <v>6.0899856364727869</v>
      </c>
      <c r="GI267">
        <v>6.4729827643114941</v>
      </c>
      <c r="GJ267"/>
      <c r="GK267">
        <v>11.032549907183176</v>
      </c>
      <c r="GL267">
        <v>7.5448642648217268</v>
      </c>
      <c r="GM267">
        <v>12.218704769570827</v>
      </c>
      <c r="GN267">
        <v>11.377753367524075</v>
      </c>
      <c r="GO267">
        <v>8.4034426347012143</v>
      </c>
      <c r="GP267">
        <v>6.7935683787256975</v>
      </c>
      <c r="GQ267">
        <v>5.6259132399831859</v>
      </c>
      <c r="GR267">
        <v>6.6791539807239264</v>
      </c>
      <c r="GS267">
        <v>6.4941495937444387</v>
      </c>
      <c r="GT267">
        <v>8.7549520290365681</v>
      </c>
      <c r="GU267"/>
      <c r="GV267"/>
      <c r="GW267"/>
      <c r="GX267"/>
      <c r="GY267"/>
      <c r="GZ267"/>
      <c r="HA267"/>
      <c r="HB267"/>
      <c r="HC267"/>
    </row>
    <row r="268" spans="1:211" s="7" customFormat="1">
      <c r="A268" s="1"/>
      <c r="B268">
        <v>0.8375784182945718</v>
      </c>
      <c r="C268">
        <v>8</v>
      </c>
      <c r="D268">
        <v>39775</v>
      </c>
      <c r="E268">
        <v>0</v>
      </c>
      <c r="F268">
        <v>52.083333333333336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49.898869028465086</v>
      </c>
      <c r="AO268">
        <v>5.9372226548809781</v>
      </c>
      <c r="AP268">
        <v>12.430060866645402</v>
      </c>
      <c r="AQ268">
        <v>40.875334769815723</v>
      </c>
      <c r="AR268">
        <v>6.1515051553208684</v>
      </c>
      <c r="AS268">
        <v>39.089944848263926</v>
      </c>
      <c r="AT268" t="e">
        <v>#DIV/0!</v>
      </c>
      <c r="AU268" t="e">
        <v>#DIV/0!</v>
      </c>
      <c r="AV268"/>
      <c r="AW268"/>
      <c r="FY268" s="211">
        <v>263</v>
      </c>
      <c r="FZ268">
        <v>9.4571065549714497</v>
      </c>
      <c r="GA268">
        <v>5.202332081870467</v>
      </c>
      <c r="GB268">
        <v>3.1551582884903571</v>
      </c>
      <c r="GC268">
        <v>2.5560951470518596</v>
      </c>
      <c r="GD268">
        <v>0.94473761525000011</v>
      </c>
      <c r="GE268">
        <v>0.38902649500000003</v>
      </c>
      <c r="GF268">
        <v>2.1487768385416666</v>
      </c>
      <c r="GG268">
        <v>2.6193406822916665</v>
      </c>
      <c r="GH268">
        <v>6.0387374074020839</v>
      </c>
      <c r="GI268">
        <v>4.0607812793746652</v>
      </c>
      <c r="GJ268"/>
      <c r="GK268">
        <v>9.5096255022609633</v>
      </c>
      <c r="GL268">
        <v>4.4079444473585845</v>
      </c>
      <c r="GM268">
        <v>5.2649093528850246</v>
      </c>
      <c r="GN268">
        <v>7.6697606828224361</v>
      </c>
      <c r="GO268">
        <v>3.6630208333333338</v>
      </c>
      <c r="GP268">
        <v>0.74479166666666663</v>
      </c>
      <c r="GQ268">
        <v>2.6331018518518516</v>
      </c>
      <c r="GR268">
        <v>3.6863425925925921</v>
      </c>
      <c r="GS268">
        <v>6.4388584003930056</v>
      </c>
      <c r="GT268">
        <v>5.5019031881448353</v>
      </c>
      <c r="GU268"/>
      <c r="GV268"/>
      <c r="GW268"/>
      <c r="GX268"/>
      <c r="GY268"/>
      <c r="GZ268"/>
      <c r="HA268"/>
      <c r="HB268"/>
      <c r="HC268"/>
    </row>
    <row r="269" spans="1:211" s="7" customFormat="1">
      <c r="A269" s="1"/>
      <c r="B269">
        <v>0.66383313284032996</v>
      </c>
      <c r="C269">
        <v>6</v>
      </c>
      <c r="D269">
        <v>39775</v>
      </c>
      <c r="E269">
        <v>0</v>
      </c>
      <c r="F269">
        <v>20.833333333333332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61.237620525912668</v>
      </c>
      <c r="AO269">
        <v>7.4195360263464449</v>
      </c>
      <c r="AP269">
        <v>61.529758208908788</v>
      </c>
      <c r="AQ269">
        <v>58.059158265950963</v>
      </c>
      <c r="AR269">
        <v>7.3567283087204913</v>
      </c>
      <c r="AS269">
        <v>45.250340453166977</v>
      </c>
      <c r="AT269" t="e">
        <v>#DIV/0!</v>
      </c>
      <c r="AU269" t="e">
        <v>#DIV/0!</v>
      </c>
      <c r="AV269"/>
      <c r="AW269"/>
      <c r="FY269" s="211">
        <v>264</v>
      </c>
      <c r="FZ269">
        <v>13.556512493014655</v>
      </c>
      <c r="GA269">
        <v>12.505465297712819</v>
      </c>
      <c r="GB269">
        <v>4.841800313127405</v>
      </c>
      <c r="GC269">
        <v>2.0808684011281926</v>
      </c>
      <c r="GD269">
        <v>1.3195129742637923</v>
      </c>
      <c r="GE269">
        <v>1.241101439651163</v>
      </c>
      <c r="GF269">
        <v>1.2300079095652172</v>
      </c>
      <c r="GG269">
        <v>1.4451695086503624</v>
      </c>
      <c r="GH269">
        <v>5.6328718775363678</v>
      </c>
      <c r="GI269">
        <v>5.0644314130846704</v>
      </c>
      <c r="GJ269"/>
      <c r="GK269">
        <v>13.618228869118656</v>
      </c>
      <c r="GL269">
        <v>10.595325069531008</v>
      </c>
      <c r="GM269">
        <v>8.0161901594629459</v>
      </c>
      <c r="GN269">
        <v>6.2033565517748785</v>
      </c>
      <c r="GO269">
        <v>5.1263661579688709</v>
      </c>
      <c r="GP269">
        <v>2.37609011627907</v>
      </c>
      <c r="GQ269">
        <v>1.507246376811594</v>
      </c>
      <c r="GR269">
        <v>2.0338667471819645</v>
      </c>
      <c r="GS269">
        <v>6.0036768815837895</v>
      </c>
      <c r="GT269">
        <v>6.8543416889891713</v>
      </c>
      <c r="GU269"/>
      <c r="GV269"/>
      <c r="GW269"/>
      <c r="GX269"/>
      <c r="GY269"/>
      <c r="GZ269"/>
      <c r="HA269"/>
      <c r="HB269"/>
      <c r="HC269"/>
    </row>
    <row r="270" spans="1:211" s="7" customFormat="1">
      <c r="A270" s="1"/>
      <c r="B270">
        <v>0.45905300245477321</v>
      </c>
      <c r="C270">
        <v>10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55.716287365883929</v>
      </c>
      <c r="AO270">
        <v>6.3278850023601576</v>
      </c>
      <c r="AP270">
        <v>59.195071933263925</v>
      </c>
      <c r="AQ270">
        <v>49.347316310458822</v>
      </c>
      <c r="AR270">
        <v>6.7363339597576974</v>
      </c>
      <c r="AS270">
        <v>42.661481923771156</v>
      </c>
      <c r="AT270" t="e">
        <v>#DIV/0!</v>
      </c>
      <c r="AU270" t="e">
        <v>#DIV/0!</v>
      </c>
      <c r="AV270"/>
      <c r="AW270"/>
      <c r="FY270" s="211">
        <v>265</v>
      </c>
      <c r="FZ270">
        <v>6.356732130121685</v>
      </c>
      <c r="GA270">
        <v>2.2799382310449658</v>
      </c>
      <c r="GB270">
        <v>3.9171925997150678</v>
      </c>
      <c r="GC270">
        <v>2.5455893141890473</v>
      </c>
      <c r="GD270">
        <v>1.905571357585794</v>
      </c>
      <c r="GE270">
        <v>2.9514239092309955</v>
      </c>
      <c r="GF270">
        <v>0.61500395478260861</v>
      </c>
      <c r="GG270">
        <v>0.90968051734601452</v>
      </c>
      <c r="GH270">
        <v>6.2186825379499826</v>
      </c>
      <c r="GI270">
        <v>4.0885005258248697</v>
      </c>
      <c r="GJ270"/>
      <c r="GK270">
        <v>6.3990065851140772</v>
      </c>
      <c r="GL270">
        <v>1.9318212054334758</v>
      </c>
      <c r="GM270">
        <v>6.490089995213431</v>
      </c>
      <c r="GN270">
        <v>7.587986753457125</v>
      </c>
      <c r="GO270">
        <v>7.3971956890977033</v>
      </c>
      <c r="GP270">
        <v>5.6505044274580882</v>
      </c>
      <c r="GQ270">
        <v>0.75362318840579701</v>
      </c>
      <c r="GR270">
        <v>1.2802435587761674</v>
      </c>
      <c r="GS270">
        <v>6.6309786171001219</v>
      </c>
      <c r="GT270">
        <v>5.5341788149862268</v>
      </c>
      <c r="GU270"/>
      <c r="GV270"/>
      <c r="GW270"/>
      <c r="GX270"/>
      <c r="GY270"/>
      <c r="GZ270"/>
      <c r="HA270"/>
      <c r="HB270"/>
      <c r="HC270"/>
    </row>
    <row r="271" spans="1:211" s="7" customFormat="1">
      <c r="A271" s="77"/>
      <c r="B271">
        <v>0.81651730296559966</v>
      </c>
      <c r="C271">
        <v>4</v>
      </c>
      <c r="D271">
        <v>39775</v>
      </c>
      <c r="E271">
        <v>0</v>
      </c>
      <c r="F271">
        <v>10.416666666666666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68.317726465160945</v>
      </c>
      <c r="AO271">
        <v>8.2414775806384029</v>
      </c>
      <c r="AP271">
        <v>3.5896002472102975</v>
      </c>
      <c r="AQ271">
        <v>65.074980104800886</v>
      </c>
      <c r="AR271">
        <v>8.3569650787312817</v>
      </c>
      <c r="AS271">
        <v>56.223867664521933</v>
      </c>
      <c r="AT271">
        <v>6.7215940304940176</v>
      </c>
      <c r="AU271">
        <v>1.7608092760167402</v>
      </c>
      <c r="AV271"/>
      <c r="AW271"/>
      <c r="FY271" s="211">
        <v>266</v>
      </c>
      <c r="FZ271">
        <v>15.633835253251561</v>
      </c>
      <c r="GA271">
        <v>17.133851392315101</v>
      </c>
      <c r="GB271">
        <v>7.8987685484759851</v>
      </c>
      <c r="GC271">
        <v>2.7743114624937362</v>
      </c>
      <c r="GD271">
        <v>1.7047994678537584</v>
      </c>
      <c r="GE271">
        <v>2.9069560729138173</v>
      </c>
      <c r="GF271">
        <v>1.1521981644180253</v>
      </c>
      <c r="GG271">
        <v>1.3774199248980978</v>
      </c>
      <c r="GH271">
        <v>4.5778384563089762</v>
      </c>
      <c r="GI271">
        <v>6.1636434637934414</v>
      </c>
      <c r="GJ271"/>
      <c r="GK271">
        <v>15.69919326640192</v>
      </c>
      <c r="GL271">
        <v>14.517249891794284</v>
      </c>
      <c r="GM271">
        <v>13.122084440429846</v>
      </c>
      <c r="GN271">
        <v>8.3208163792147065</v>
      </c>
      <c r="GO271">
        <v>6.6085121147330987</v>
      </c>
      <c r="GP271">
        <v>5.5653707043070932</v>
      </c>
      <c r="GQ271">
        <v>1.4118986513687599</v>
      </c>
      <c r="GR271">
        <v>1.9385190217391302</v>
      </c>
      <c r="GS271">
        <v>4.8795019116941702</v>
      </c>
      <c r="GT271">
        <v>8.34423807692556</v>
      </c>
      <c r="GU271"/>
      <c r="GV271"/>
      <c r="GW271"/>
      <c r="GX271"/>
      <c r="GY271"/>
      <c r="GZ271"/>
      <c r="HA271"/>
      <c r="HB271"/>
      <c r="HC271"/>
    </row>
    <row r="272" spans="1:211" s="7" customFormat="1">
      <c r="A272" s="77"/>
      <c r="B272">
        <v>0.26368024743759833</v>
      </c>
      <c r="C272">
        <v>8</v>
      </c>
      <c r="D272">
        <v>39775</v>
      </c>
      <c r="E272">
        <v>0</v>
      </c>
      <c r="F272">
        <v>52.083333333333336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62.297114868111507</v>
      </c>
      <c r="AO272">
        <v>7.705594309468033</v>
      </c>
      <c r="AP272">
        <v>5.7123038653475753</v>
      </c>
      <c r="AQ272">
        <v>52.508302970136782</v>
      </c>
      <c r="AR272">
        <v>7.7667065730888778</v>
      </c>
      <c r="AS272">
        <v>48.284198470173152</v>
      </c>
      <c r="AT272">
        <v>6.1227509287854183</v>
      </c>
      <c r="AU272">
        <v>5.7372074882995499</v>
      </c>
      <c r="AV272"/>
      <c r="AW272"/>
      <c r="FY272" s="211">
        <v>267</v>
      </c>
      <c r="FZ272">
        <v>12.176425813931868</v>
      </c>
      <c r="GA272">
        <v>10.089047850820698</v>
      </c>
      <c r="GB272">
        <v>5.344502841275327</v>
      </c>
      <c r="GC272">
        <v>2.9559632491162446</v>
      </c>
      <c r="GD272">
        <v>1.6192605033146021</v>
      </c>
      <c r="GE272">
        <v>1.9494251326196994</v>
      </c>
      <c r="GF272">
        <v>1.3888131975754821</v>
      </c>
      <c r="GG272">
        <v>1.4386361263424563</v>
      </c>
      <c r="GH272">
        <v>4.492938049520685</v>
      </c>
      <c r="GI272">
        <v>5.0108727323269457</v>
      </c>
      <c r="GJ272"/>
      <c r="GK272">
        <v>12.232521140348586</v>
      </c>
      <c r="GL272">
        <v>8.5480468074184053</v>
      </c>
      <c r="GM272">
        <v>8.9316215230829812</v>
      </c>
      <c r="GN272">
        <v>8.9497870967091036</v>
      </c>
      <c r="GO272">
        <v>6.3082956996009596</v>
      </c>
      <c r="GP272">
        <v>3.7321766312233144</v>
      </c>
      <c r="GQ272">
        <v>1.6995306940656674</v>
      </c>
      <c r="GR272">
        <v>2.0230260644360376</v>
      </c>
      <c r="GS272">
        <v>4.790436477118222</v>
      </c>
      <c r="GT272">
        <v>6.792481106843284</v>
      </c>
      <c r="GU272"/>
      <c r="GV272"/>
      <c r="GW272"/>
      <c r="GX272"/>
      <c r="GY272"/>
      <c r="GZ272"/>
      <c r="HA272"/>
      <c r="HB272"/>
      <c r="HC272"/>
    </row>
    <row r="273" spans="1:211" s="7" customFormat="1">
      <c r="A273" s="1"/>
      <c r="B273">
        <v>0.52658029757316172</v>
      </c>
      <c r="C273">
        <v>6</v>
      </c>
      <c r="D273">
        <v>39775</v>
      </c>
      <c r="E273">
        <v>0</v>
      </c>
      <c r="F273">
        <v>20.833333333333332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49.104313137526482</v>
      </c>
      <c r="AO273">
        <v>5.9055461427571903</v>
      </c>
      <c r="AP273">
        <v>27.632022488945346</v>
      </c>
      <c r="AQ273">
        <v>43.421487328715486</v>
      </c>
      <c r="AR273">
        <v>6.2567333588766987</v>
      </c>
      <c r="AS273">
        <v>40.328420421023203</v>
      </c>
      <c r="AT273" t="e">
        <v>#DIV/0!</v>
      </c>
      <c r="AU273" t="e">
        <v>#DIV/0!</v>
      </c>
      <c r="AV273"/>
      <c r="AW273"/>
      <c r="FY273" s="211">
        <v>268</v>
      </c>
      <c r="FZ273">
        <v>13.003026673454979</v>
      </c>
      <c r="GA273">
        <v>12.1589230490224</v>
      </c>
      <c r="GB273">
        <v>5.6398714868390138</v>
      </c>
      <c r="GC273">
        <v>2.4455846629151878</v>
      </c>
      <c r="GD273">
        <v>2.1636530468228261</v>
      </c>
      <c r="GE273">
        <v>3.30444221987395</v>
      </c>
      <c r="GF273">
        <v>1.822456380763134</v>
      </c>
      <c r="GG273">
        <v>1.9129089162024455</v>
      </c>
      <c r="GH273">
        <v>3.7804273370549009</v>
      </c>
      <c r="GI273">
        <v>5.4809762691834063</v>
      </c>
      <c r="GJ273"/>
      <c r="GK273">
        <v>13.055052557655783</v>
      </c>
      <c r="GL273">
        <v>10.302090444535766</v>
      </c>
      <c r="GM273">
        <v>9.3757799250792466</v>
      </c>
      <c r="GN273">
        <v>7.3535551983619367</v>
      </c>
      <c r="GO273">
        <v>8.4095741581185894</v>
      </c>
      <c r="GP273">
        <v>6.3263583842627966</v>
      </c>
      <c r="GQ273">
        <v>2.2332301731078905</v>
      </c>
      <c r="GR273">
        <v>2.6921422101449273</v>
      </c>
      <c r="GS273">
        <v>4.0312204711094708</v>
      </c>
      <c r="GT273">
        <v>7.4209714570141969</v>
      </c>
      <c r="GU273"/>
      <c r="GV273"/>
      <c r="GW273"/>
      <c r="GX273"/>
      <c r="GY273"/>
      <c r="GZ273"/>
      <c r="HA273"/>
      <c r="HB273"/>
      <c r="HC273"/>
    </row>
    <row r="274" spans="1:211" s="7" customFormat="1">
      <c r="A274" s="1"/>
      <c r="B274">
        <v>3.3139047710226244E-2</v>
      </c>
      <c r="C274">
        <v>8</v>
      </c>
      <c r="D274">
        <v>39775</v>
      </c>
      <c r="E274">
        <v>0</v>
      </c>
      <c r="F274">
        <v>52.083333333333336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51.733933779781317</v>
      </c>
      <c r="AO274">
        <v>6.5680638741035438</v>
      </c>
      <c r="AP274">
        <v>67.844656573095847</v>
      </c>
      <c r="AQ274">
        <v>44.322470846709692</v>
      </c>
      <c r="AR274">
        <v>6.852024298082581</v>
      </c>
      <c r="AS274">
        <v>45.218030585315297</v>
      </c>
      <c r="AT274" t="e">
        <v>#DIV/0!</v>
      </c>
      <c r="AU274" t="e">
        <v>#DIV/0!</v>
      </c>
      <c r="AV274"/>
      <c r="AW274"/>
      <c r="FY274" s="211">
        <v>269</v>
      </c>
      <c r="FZ274">
        <v>14.416904737922744</v>
      </c>
      <c r="GA274">
        <v>15.519110734295953</v>
      </c>
      <c r="GB274">
        <v>4.9266582567229662</v>
      </c>
      <c r="GC274">
        <v>2.621321725556919</v>
      </c>
      <c r="GD274">
        <v>1.5320564425513632</v>
      </c>
      <c r="GE274">
        <v>2.1717259869054133</v>
      </c>
      <c r="GF274">
        <v>2.2818408452513586</v>
      </c>
      <c r="GG274">
        <v>2.312898740002264</v>
      </c>
      <c r="GH274">
        <v>6.2950888255090396</v>
      </c>
      <c r="GI274">
        <v>5.6334606578206499</v>
      </c>
      <c r="GJ274"/>
      <c r="GK274">
        <v>14.447338188002636</v>
      </c>
      <c r="GL274">
        <v>13.149200099797728</v>
      </c>
      <c r="GM274">
        <v>8.1996871806264036</v>
      </c>
      <c r="GN274">
        <v>7.8754437954712877</v>
      </c>
      <c r="GO274">
        <v>5.9504586252940674</v>
      </c>
      <c r="GP274">
        <v>4.1577718693185517</v>
      </c>
      <c r="GQ274">
        <v>2.7961579106280188</v>
      </c>
      <c r="GR274">
        <v>3.2550699476650555</v>
      </c>
      <c r="GS274">
        <v>6.7114083739309285</v>
      </c>
      <c r="GT274">
        <v>7.6210100556964111</v>
      </c>
      <c r="GU274"/>
      <c r="GV274"/>
      <c r="GW274"/>
      <c r="GX274"/>
      <c r="GY274"/>
      <c r="GZ274"/>
      <c r="HA274"/>
      <c r="HB274"/>
      <c r="HC274"/>
    </row>
    <row r="275" spans="1:211" s="7" customFormat="1">
      <c r="A275" s="1"/>
      <c r="B275">
        <v>0.49252505197359886</v>
      </c>
      <c r="C275">
        <v>4</v>
      </c>
      <c r="D275">
        <v>39775</v>
      </c>
      <c r="E275">
        <v>0</v>
      </c>
      <c r="F275">
        <v>10.416666666666666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70.451603787457358</v>
      </c>
      <c r="AO275">
        <v>8.3921197882092802</v>
      </c>
      <c r="AP275">
        <v>103.32312184869829</v>
      </c>
      <c r="AQ275">
        <v>63.730379362438889</v>
      </c>
      <c r="AR275">
        <v>8.7817399854211509</v>
      </c>
      <c r="AS275">
        <v>53.544465275381988</v>
      </c>
      <c r="AT275" t="e">
        <v>#DIV/0!</v>
      </c>
      <c r="AU275" t="e">
        <v>#DIV/0!</v>
      </c>
      <c r="AV275"/>
      <c r="AW275"/>
      <c r="FY275" s="211">
        <v>270</v>
      </c>
      <c r="FZ275">
        <v>8.5353827958947974</v>
      </c>
      <c r="GA275">
        <v>6.0557111274927227</v>
      </c>
      <c r="GB275">
        <v>6.8184078659444065</v>
      </c>
      <c r="GC275">
        <v>3.8396402725061507</v>
      </c>
      <c r="GD275">
        <v>1.5015071159113058</v>
      </c>
      <c r="GE275">
        <v>1.57796008089701</v>
      </c>
      <c r="GF275">
        <v>2.508312584015699</v>
      </c>
      <c r="GG275">
        <v>2.5096141089511512</v>
      </c>
      <c r="GH275">
        <v>3.7609648282695924</v>
      </c>
      <c r="GI275">
        <v>4.8516777450649915</v>
      </c>
      <c r="GJ275"/>
      <c r="GK275">
        <v>8.5757046690879388</v>
      </c>
      <c r="GL275">
        <v>5.1308701614181906</v>
      </c>
      <c r="GM275">
        <v>11.368395453989281</v>
      </c>
      <c r="GN275">
        <v>11.563970233093553</v>
      </c>
      <c r="GO275">
        <v>5.8422429748524705</v>
      </c>
      <c r="GP275">
        <v>3.0210063676633445</v>
      </c>
      <c r="GQ275">
        <v>3.0713604042105951</v>
      </c>
      <c r="GR275">
        <v>3.5302724412476314</v>
      </c>
      <c r="GS275">
        <v>4.00799791626038</v>
      </c>
      <c r="GT275">
        <v>6.5731402836801349</v>
      </c>
      <c r="GU275"/>
      <c r="GV275"/>
      <c r="GW275"/>
      <c r="GX275"/>
      <c r="GY275"/>
      <c r="GZ275"/>
      <c r="HA275"/>
      <c r="HB275"/>
      <c r="HC275"/>
    </row>
    <row r="276" spans="1:211" s="7" customFormat="1">
      <c r="A276" s="1"/>
      <c r="B276">
        <v>8.2795709103973714E-2</v>
      </c>
      <c r="C276">
        <v>5</v>
      </c>
      <c r="D276">
        <v>39775</v>
      </c>
      <c r="E276">
        <v>0</v>
      </c>
      <c r="F276">
        <v>59.523809523809526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64.059731161640144</v>
      </c>
      <c r="AO276">
        <v>7.5065306364072626</v>
      </c>
      <c r="AP276">
        <v>4.6082634563453011</v>
      </c>
      <c r="AQ276">
        <v>57.865809374584991</v>
      </c>
      <c r="AR276">
        <v>7.9602551494002318</v>
      </c>
      <c r="AS276">
        <v>50.17424097015347</v>
      </c>
      <c r="AT276">
        <v>6.3537716615670341</v>
      </c>
      <c r="AU276">
        <v>1.5892846064829254</v>
      </c>
      <c r="AV276"/>
      <c r="AW276"/>
      <c r="FY276" s="211">
        <v>271</v>
      </c>
      <c r="FZ276">
        <v>18.103616919641741</v>
      </c>
      <c r="GA276">
        <v>16.014645785632055</v>
      </c>
      <c r="GB276">
        <v>3.5656667106782787</v>
      </c>
      <c r="GC276">
        <v>1.8689631511693405</v>
      </c>
      <c r="GD276">
        <v>1.6532232837258516</v>
      </c>
      <c r="GE276">
        <v>3.050065185239399</v>
      </c>
      <c r="GF276">
        <v>0.61500395478260861</v>
      </c>
      <c r="GG276">
        <v>0.53548899130434779</v>
      </c>
      <c r="GH276">
        <v>3.8701545159942898</v>
      </c>
      <c r="GI276">
        <v>5.2296699044230284</v>
      </c>
      <c r="GJ276"/>
      <c r="GK276">
        <v>18.136946102776509</v>
      </c>
      <c r="GL276">
        <v>13.571385834849961</v>
      </c>
      <c r="GM276">
        <v>5.947341040248463</v>
      </c>
      <c r="GN276">
        <v>5.6251851105492898</v>
      </c>
      <c r="GO276">
        <v>6.4085363395393014</v>
      </c>
      <c r="GP276">
        <v>5.8393532624466289</v>
      </c>
      <c r="GQ276">
        <v>0.75362318840579701</v>
      </c>
      <c r="GR276">
        <v>0.75362318840579701</v>
      </c>
      <c r="GS276">
        <v>4.1240191581727048</v>
      </c>
      <c r="GT276">
        <v>7.0740931658285549</v>
      </c>
      <c r="GU276"/>
      <c r="GV276"/>
      <c r="GW276"/>
      <c r="GX276"/>
      <c r="GY276"/>
      <c r="GZ276"/>
      <c r="HA276"/>
      <c r="HB276"/>
      <c r="HC276"/>
    </row>
    <row r="277" spans="1:211" s="7" customFormat="1">
      <c r="A277" s="1"/>
      <c r="B277">
        <v>0.65542049016501913</v>
      </c>
      <c r="C277">
        <v>2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63.248423076231063</v>
      </c>
      <c r="AO277">
        <v>7.812085465596299</v>
      </c>
      <c r="AP277">
        <v>75.903809613500087</v>
      </c>
      <c r="AQ277">
        <v>62.176256128182089</v>
      </c>
      <c r="AR277">
        <v>8.192678520677191</v>
      </c>
      <c r="AS277">
        <v>50.728775590615008</v>
      </c>
      <c r="AT277" t="e">
        <v>#DIV/0!</v>
      </c>
      <c r="AU277" t="e">
        <v>#DIV/0!</v>
      </c>
      <c r="AV277"/>
      <c r="AW277"/>
      <c r="FY277" s="211">
        <v>272</v>
      </c>
      <c r="FZ277">
        <v>6.686806669233885</v>
      </c>
      <c r="GA277">
        <v>8.905001990189767</v>
      </c>
      <c r="GB277">
        <v>6.2382207093300561</v>
      </c>
      <c r="GC277">
        <v>2.8428810705738026</v>
      </c>
      <c r="GD277">
        <v>1.907949805794996</v>
      </c>
      <c r="GE277">
        <v>2.8891514711911279</v>
      </c>
      <c r="GF277">
        <v>1.7446466356159418</v>
      </c>
      <c r="GG277">
        <v>1.8451593324501812</v>
      </c>
      <c r="GH277">
        <v>4.5574639546690623</v>
      </c>
      <c r="GI277">
        <v>4.6544112832712843</v>
      </c>
      <c r="GJ277"/>
      <c r="GK277">
        <v>6.7111715961932337</v>
      </c>
      <c r="GL277">
        <v>7.5458368279588166</v>
      </c>
      <c r="GM277">
        <v>10.37352761844976</v>
      </c>
      <c r="GN277">
        <v>8.5441588171787881</v>
      </c>
      <c r="GO277">
        <v>7.4173946579111574</v>
      </c>
      <c r="GP277">
        <v>5.5312837740804568</v>
      </c>
      <c r="GQ277">
        <v>2.137882447665056</v>
      </c>
      <c r="GR277">
        <v>2.5967944847020932</v>
      </c>
      <c r="GS277">
        <v>4.8583804338127266</v>
      </c>
      <c r="GT277">
        <v>6.2996713508063866</v>
      </c>
      <c r="GU277"/>
      <c r="GV277"/>
      <c r="GW277"/>
      <c r="GX277"/>
      <c r="GY277"/>
      <c r="GZ277"/>
      <c r="HA277"/>
      <c r="HB277"/>
      <c r="HC277"/>
    </row>
    <row r="278" spans="1:211" s="7" customFormat="1">
      <c r="A278" s="1"/>
      <c r="B278">
        <v>0.20369263176898222</v>
      </c>
      <c r="C278">
        <v>6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72.084844425064645</v>
      </c>
      <c r="AO278">
        <v>8.4925052166014829</v>
      </c>
      <c r="AP278">
        <v>70.490867210813477</v>
      </c>
      <c r="AQ278">
        <v>58.709193124433753</v>
      </c>
      <c r="AR278">
        <v>8.7549520290365699</v>
      </c>
      <c r="AS278">
        <v>56.3734312068175</v>
      </c>
      <c r="AT278" t="e">
        <v>#DIV/0!</v>
      </c>
      <c r="AU278" t="e">
        <v>#DIV/0!</v>
      </c>
      <c r="AV278"/>
      <c r="AW278"/>
      <c r="FY278" s="211">
        <v>273</v>
      </c>
      <c r="FZ278">
        <v>17.357409451873792</v>
      </c>
      <c r="GA278">
        <v>12.455455220945732</v>
      </c>
      <c r="GB278">
        <v>3.6956969702229734</v>
      </c>
      <c r="GC278">
        <v>2.2186186885430619</v>
      </c>
      <c r="GD278">
        <v>0.87569862862209313</v>
      </c>
      <c r="GE278">
        <v>0.77969792232558155</v>
      </c>
      <c r="GF278">
        <v>1.8450118643478259</v>
      </c>
      <c r="GG278">
        <v>2.3548500259963765</v>
      </c>
      <c r="GH278">
        <v>7.2784786532067551</v>
      </c>
      <c r="GI278">
        <v>5.4621645279596622</v>
      </c>
      <c r="GJ278"/>
      <c r="GK278">
        <v>17.439193712693314</v>
      </c>
      <c r="GL278">
        <v>10.553153114263706</v>
      </c>
      <c r="GM278">
        <v>6.1230540969030711</v>
      </c>
      <c r="GN278">
        <v>6.6089417746397956</v>
      </c>
      <c r="GO278">
        <v>3.3953367248062021</v>
      </c>
      <c r="GP278">
        <v>1.492732558139535</v>
      </c>
      <c r="GQ278">
        <v>2.2608695652173911</v>
      </c>
      <c r="GR278">
        <v>3.3141103059581321</v>
      </c>
      <c r="GS278">
        <v>7.7582471189954525</v>
      </c>
      <c r="GT278">
        <v>7.3953402437230862</v>
      </c>
      <c r="GU278"/>
      <c r="GV278"/>
      <c r="GW278"/>
      <c r="GX278"/>
      <c r="GY278"/>
      <c r="GZ278"/>
      <c r="HA278"/>
      <c r="HB278"/>
      <c r="HC278"/>
    </row>
    <row r="279" spans="1:211" s="7" customFormat="1">
      <c r="A279" s="1"/>
      <c r="B279">
        <v>0.50942206172481574</v>
      </c>
      <c r="C279">
        <v>4</v>
      </c>
      <c r="D279">
        <v>39799</v>
      </c>
      <c r="E279">
        <v>0</v>
      </c>
      <c r="F279">
        <v>292.44652406417111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39.343485137546139</v>
      </c>
      <c r="AO279">
        <v>4.9520258518309301</v>
      </c>
      <c r="AP279">
        <v>32.98288119093661</v>
      </c>
      <c r="AQ279">
        <v>36.572092390244215</v>
      </c>
      <c r="AR279">
        <v>5.5019031881448361</v>
      </c>
      <c r="AS279">
        <v>35.158631784548284</v>
      </c>
      <c r="AT279" t="e">
        <v>#DIV/0!</v>
      </c>
      <c r="AU279" t="e">
        <v>#DIV/0!</v>
      </c>
      <c r="AV279"/>
      <c r="AW279"/>
      <c r="FY279" s="211">
        <v>274</v>
      </c>
      <c r="FZ279">
        <v>11.865540937116434</v>
      </c>
      <c r="GA279">
        <v>11.41618178845339</v>
      </c>
      <c r="GB279">
        <v>5.864044156272131</v>
      </c>
      <c r="GC279">
        <v>2.7644155470586953</v>
      </c>
      <c r="GD279">
        <v>1.0901202817890869</v>
      </c>
      <c r="GE279">
        <v>1.5763151485714288</v>
      </c>
      <c r="GF279">
        <v>1.2627066875430251</v>
      </c>
      <c r="GG279">
        <v>1.7516114509397644</v>
      </c>
      <c r="GH279">
        <v>5.7956105803160565</v>
      </c>
      <c r="GI279">
        <v>4.9656861428358736</v>
      </c>
      <c r="GJ279"/>
      <c r="GK279">
        <v>11.887951804204313</v>
      </c>
      <c r="GL279">
        <v>9.6735022482379946</v>
      </c>
      <c r="GM279">
        <v>9.7115318087500508</v>
      </c>
      <c r="GN279">
        <v>8.2357606470667122</v>
      </c>
      <c r="GO279">
        <v>4.235456142591997</v>
      </c>
      <c r="GP279">
        <v>3.0178571428571432</v>
      </c>
      <c r="GQ279">
        <v>1.5473153180354264</v>
      </c>
      <c r="GR279">
        <v>2.4651393921095006</v>
      </c>
      <c r="GS279">
        <v>6.1799466778998244</v>
      </c>
      <c r="GT279">
        <v>6.7124403502963217</v>
      </c>
      <c r="GU279"/>
      <c r="GV279"/>
      <c r="GW279"/>
      <c r="GX279"/>
      <c r="GY279"/>
      <c r="GZ279"/>
      <c r="HA279"/>
      <c r="HB279"/>
      <c r="HC279"/>
    </row>
    <row r="280" spans="1:211" s="7" customFormat="1">
      <c r="A280" s="1"/>
      <c r="B280">
        <v>0.92722213813794863</v>
      </c>
      <c r="C280">
        <v>7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53.697594754675457</v>
      </c>
      <c r="AO280">
        <v>6.2334688618701968</v>
      </c>
      <c r="AP280">
        <v>20.008982891553625</v>
      </c>
      <c r="AQ280">
        <v>48.917741627734642</v>
      </c>
      <c r="AR280">
        <v>6.8543416889891713</v>
      </c>
      <c r="AS280">
        <v>45.013832530293826</v>
      </c>
      <c r="AT280" t="e">
        <v>#DIV/0!</v>
      </c>
      <c r="AU280" t="e">
        <v>#DIV/0!</v>
      </c>
      <c r="AV280"/>
      <c r="AW280"/>
      <c r="FY280" s="211">
        <v>275</v>
      </c>
      <c r="FZ280">
        <v>16.501012488120562</v>
      </c>
      <c r="GA280">
        <v>14.482902563770663</v>
      </c>
      <c r="GB280">
        <v>7.0573233050077189</v>
      </c>
      <c r="GC280">
        <v>3.2673654012614599</v>
      </c>
      <c r="GD280">
        <v>1.8248614704382804</v>
      </c>
      <c r="GE280">
        <v>2.5185717172708619</v>
      </c>
      <c r="GF280">
        <v>1.2713471777732464</v>
      </c>
      <c r="GG280">
        <v>1.0579112179928833</v>
      </c>
      <c r="GH280">
        <v>4.2274748295357654</v>
      </c>
      <c r="GI280">
        <v>6.1225462917373612</v>
      </c>
      <c r="GJ280"/>
      <c r="GK280">
        <v>16.583180785061533</v>
      </c>
      <c r="GL280">
        <v>12.271873098954273</v>
      </c>
      <c r="GM280">
        <v>11.768302899149269</v>
      </c>
      <c r="GN280">
        <v>9.8473728566212184</v>
      </c>
      <c r="GO280">
        <v>7.0740272055474369</v>
      </c>
      <c r="GP280">
        <v>4.8218084141690509</v>
      </c>
      <c r="GQ280">
        <v>1.5532733446530738</v>
      </c>
      <c r="GR280">
        <v>1.4855650113197405</v>
      </c>
      <c r="GS280">
        <v>4.5057068837895544</v>
      </c>
      <c r="GT280">
        <v>8.2968982236401736</v>
      </c>
      <c r="GU280"/>
      <c r="GV280"/>
      <c r="GW280"/>
      <c r="GX280"/>
      <c r="GY280"/>
      <c r="GZ280"/>
      <c r="HA280"/>
      <c r="HB280"/>
      <c r="HC280"/>
    </row>
    <row r="281" spans="1:211" s="7" customFormat="1">
      <c r="A281" s="1"/>
      <c r="B281">
        <v>0.90571698111761889</v>
      </c>
      <c r="C281">
        <v>3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40.452630061238182</v>
      </c>
      <c r="AO281">
        <v>4.9655628835042211</v>
      </c>
      <c r="AP281">
        <v>10.98523646587304</v>
      </c>
      <c r="AQ281">
        <v>31.788315077791033</v>
      </c>
      <c r="AR281">
        <v>5.5341788149862259</v>
      </c>
      <c r="AS281">
        <v>35.249626291163793</v>
      </c>
      <c r="AT281" t="e">
        <v>#DIV/0!</v>
      </c>
      <c r="AU281" t="e">
        <v>#DIV/0!</v>
      </c>
      <c r="AV281"/>
      <c r="AW281"/>
      <c r="FY281" s="211">
        <v>276</v>
      </c>
      <c r="FZ281">
        <v>17.405636190016455</v>
      </c>
      <c r="GA281">
        <v>18.177769435703762</v>
      </c>
      <c r="GB281">
        <v>5.8173560736355334</v>
      </c>
      <c r="GC281">
        <v>2.7250345026845428</v>
      </c>
      <c r="GD281">
        <v>1.4799872944418107</v>
      </c>
      <c r="GE281">
        <v>2.0714397785714289</v>
      </c>
      <c r="GF281">
        <v>1.7376891389387068</v>
      </c>
      <c r="GG281">
        <v>1.4644344241006084</v>
      </c>
      <c r="GH281">
        <v>5.6509895545795112</v>
      </c>
      <c r="GI281">
        <v>6.0644328770237497</v>
      </c>
      <c r="GJ281"/>
      <c r="GK281">
        <v>17.458326236537836</v>
      </c>
      <c r="GL281">
        <v>15.400021618918764</v>
      </c>
      <c r="GM281">
        <v>9.6702694841195651</v>
      </c>
      <c r="GN281">
        <v>8.1877430210522775</v>
      </c>
      <c r="GO281">
        <v>5.7580602885926062</v>
      </c>
      <c r="GP281">
        <v>3.9657738095238102</v>
      </c>
      <c r="GQ281">
        <v>2.1270417649191296</v>
      </c>
      <c r="GR281">
        <v>2.0593334315857961</v>
      </c>
      <c r="GS281">
        <v>6.0236178147753368</v>
      </c>
      <c r="GT281">
        <v>8.2074631177888957</v>
      </c>
      <c r="GU281"/>
      <c r="GV281"/>
      <c r="GW281"/>
      <c r="GX281"/>
      <c r="GY281"/>
      <c r="GZ281"/>
      <c r="HA281"/>
      <c r="HB281"/>
      <c r="HC281"/>
    </row>
    <row r="282" spans="1:211" s="7" customFormat="1">
      <c r="A282" s="1"/>
      <c r="B282">
        <v>1.4105897283062774E-2</v>
      </c>
      <c r="C282">
        <v>9</v>
      </c>
      <c r="D282">
        <v>39799</v>
      </c>
      <c r="E282">
        <v>0</v>
      </c>
      <c r="F282">
        <v>115.06782945736434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66.480842405052684</v>
      </c>
      <c r="AO282">
        <v>8.0407384458608568</v>
      </c>
      <c r="AP282">
        <v>22.753735234163809</v>
      </c>
      <c r="AQ282">
        <v>61.323622206722497</v>
      </c>
      <c r="AR282">
        <v>8.34423807692556</v>
      </c>
      <c r="AS282">
        <v>52.502665718276404</v>
      </c>
      <c r="AT282" t="e">
        <v>#DIV/0!</v>
      </c>
      <c r="AU282" t="e">
        <v>#DIV/0!</v>
      </c>
      <c r="AV282"/>
      <c r="AW282"/>
      <c r="FY282" s="211">
        <v>277</v>
      </c>
      <c r="FZ282">
        <v>15.944760834909752</v>
      </c>
      <c r="GA282">
        <v>13.135299836840119</v>
      </c>
      <c r="GB282">
        <v>7.1654760195386142</v>
      </c>
      <c r="GC282">
        <v>4.4999489903274235</v>
      </c>
      <c r="GD282">
        <v>1.605336395500699</v>
      </c>
      <c r="GE282">
        <v>1.4172895252941178</v>
      </c>
      <c r="GF282">
        <v>1.822456380763134</v>
      </c>
      <c r="GG282">
        <v>1.5387173901607791</v>
      </c>
      <c r="GH282">
        <v>3.6513184595092048</v>
      </c>
      <c r="GI282">
        <v>5.9539529494291576</v>
      </c>
      <c r="GJ282"/>
      <c r="GK282">
        <v>16.002252129694103</v>
      </c>
      <c r="GL282">
        <v>11.129593134551268</v>
      </c>
      <c r="GM282">
        <v>11.981860800043531</v>
      </c>
      <c r="GN282">
        <v>13.577596403944401</v>
      </c>
      <c r="GO282">
        <v>6.2345861862021525</v>
      </c>
      <c r="GP282">
        <v>2.7134024064171123</v>
      </c>
      <c r="GQ282">
        <v>2.2332301731078905</v>
      </c>
      <c r="GR282">
        <v>2.165521839774557</v>
      </c>
      <c r="GS282">
        <v>3.8899323027208164</v>
      </c>
      <c r="GT282">
        <v>8.0683723183536991</v>
      </c>
      <c r="GU282"/>
      <c r="GV282"/>
      <c r="GW282"/>
      <c r="GX282"/>
      <c r="GY282"/>
      <c r="GZ282"/>
      <c r="HA282"/>
      <c r="HB282"/>
      <c r="HC282"/>
    </row>
    <row r="283" spans="1:211" s="7" customFormat="1">
      <c r="A283" s="1"/>
      <c r="B283">
        <v>0.85471071903635032</v>
      </c>
      <c r="C283">
        <v>8</v>
      </c>
      <c r="D283">
        <v>39799</v>
      </c>
      <c r="E283">
        <v>0</v>
      </c>
      <c r="F283">
        <v>148.80952380952382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50.220620474165671</v>
      </c>
      <c r="AO283">
        <v>6.4007923240846569</v>
      </c>
      <c r="AP283">
        <v>5.391978417536162</v>
      </c>
      <c r="AQ283">
        <v>46.46588549684401</v>
      </c>
      <c r="AR283">
        <v>6.792481106843284</v>
      </c>
      <c r="AS283">
        <v>42.891601764768218</v>
      </c>
      <c r="AT283">
        <v>5.374138964589207</v>
      </c>
      <c r="AU283">
        <v>4.3487946863537346</v>
      </c>
      <c r="AV283"/>
      <c r="AW283"/>
      <c r="FY283" s="211">
        <v>278</v>
      </c>
      <c r="FZ283">
        <v>13.972355422242094</v>
      </c>
      <c r="GA283">
        <v>13.214809156649498</v>
      </c>
      <c r="GB283">
        <v>4.6899343215020268</v>
      </c>
      <c r="GC283">
        <v>2.7435048501548951</v>
      </c>
      <c r="GD283">
        <v>2.6152533395975164</v>
      </c>
      <c r="GE283">
        <v>3.4829173771995308</v>
      </c>
      <c r="GF283">
        <v>0.67025821634510852</v>
      </c>
      <c r="GG283">
        <v>0.90968051734601452</v>
      </c>
      <c r="GH283">
        <v>5.0762003687787125</v>
      </c>
      <c r="GI283">
        <v>5.6436206494854124</v>
      </c>
      <c r="GJ283"/>
      <c r="GK283">
        <v>14.039237416187722</v>
      </c>
      <c r="GL283">
        <v>11.195574588110322</v>
      </c>
      <c r="GM283">
        <v>7.7659680284345436</v>
      </c>
      <c r="GN283">
        <v>8.1864023426892274</v>
      </c>
      <c r="GO283">
        <v>10.159814921471126</v>
      </c>
      <c r="GP283">
        <v>6.6680492757356644</v>
      </c>
      <c r="GQ283">
        <v>0.82133152173913027</v>
      </c>
      <c r="GR283">
        <v>1.2802435587761674</v>
      </c>
      <c r="GS283">
        <v>5.4099174686612788</v>
      </c>
      <c r="GT283">
        <v>7.6392538712987612</v>
      </c>
      <c r="GU283"/>
      <c r="GV283"/>
      <c r="GW283"/>
      <c r="GX283"/>
      <c r="GY283"/>
      <c r="GZ283"/>
      <c r="HA283"/>
      <c r="HB283"/>
      <c r="HC283"/>
    </row>
    <row r="284" spans="1:211" s="7" customFormat="1">
      <c r="A284" s="1"/>
      <c r="B284">
        <v>0.33386343277207065</v>
      </c>
      <c r="C284">
        <v>10</v>
      </c>
      <c r="D284">
        <v>39799</v>
      </c>
      <c r="E284">
        <v>0</v>
      </c>
      <c r="F284">
        <v>10.416666666666666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58.85835453005874</v>
      </c>
      <c r="AO284">
        <v>7.1199974979390603</v>
      </c>
      <c r="AP284">
        <v>3.2233353642771316</v>
      </c>
      <c r="AQ284">
        <v>51.712270042132246</v>
      </c>
      <c r="AR284">
        <v>7.4209714570141969</v>
      </c>
      <c r="AS284">
        <v>46.471791972655176</v>
      </c>
      <c r="AT284">
        <v>5.9403636940659235</v>
      </c>
      <c r="AU284">
        <v>5.9168138051608139</v>
      </c>
      <c r="AV284"/>
      <c r="AW284"/>
      <c r="FY284" s="211">
        <v>279</v>
      </c>
      <c r="FZ284">
        <v>13.592907497332614</v>
      </c>
      <c r="GA284">
        <v>12.833625185454196</v>
      </c>
      <c r="GB284">
        <v>5.5538540459809349</v>
      </c>
      <c r="GC284">
        <v>3.2090212796007034</v>
      </c>
      <c r="GD284">
        <v>2.1286521200921618</v>
      </c>
      <c r="GE284">
        <v>2.9867899542309955</v>
      </c>
      <c r="GF284">
        <v>1.6824348773762066</v>
      </c>
      <c r="GG284">
        <v>2.2128174761839414</v>
      </c>
      <c r="GH284">
        <v>6.1726954095824738</v>
      </c>
      <c r="GI284">
        <v>5.8827554141670486</v>
      </c>
      <c r="GJ284"/>
      <c r="GK284">
        <v>13.625608444664948</v>
      </c>
      <c r="GL284">
        <v>10.873325267151193</v>
      </c>
      <c r="GM284">
        <v>9.3161610208329204</v>
      </c>
      <c r="GN284">
        <v>9.7336736087248159</v>
      </c>
      <c r="GO284">
        <v>8.2526554898139466</v>
      </c>
      <c r="GP284">
        <v>5.7182127607914213</v>
      </c>
      <c r="GQ284">
        <v>2.0593334315857961</v>
      </c>
      <c r="GR284">
        <v>3.1125741723265365</v>
      </c>
      <c r="GS284">
        <v>6.5826724345660788</v>
      </c>
      <c r="GT284">
        <v>7.9672861642927382</v>
      </c>
      <c r="GU284"/>
      <c r="GV284"/>
      <c r="GW284"/>
      <c r="GX284"/>
      <c r="GY284"/>
      <c r="GZ284"/>
      <c r="HA284"/>
      <c r="HB284"/>
      <c r="HC284"/>
    </row>
    <row r="285" spans="1:211" s="7" customFormat="1">
      <c r="A285" s="1"/>
      <c r="B285">
        <v>0.74680730108904836</v>
      </c>
      <c r="C285">
        <v>3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62.204950440067975</v>
      </c>
      <c r="AO285">
        <v>7.416354604643109</v>
      </c>
      <c r="AP285">
        <v>3.7932160790173346</v>
      </c>
      <c r="AQ285">
        <v>57.711066952538673</v>
      </c>
      <c r="AR285">
        <v>7.621010055696412</v>
      </c>
      <c r="AS285">
        <v>48.559949886154371</v>
      </c>
      <c r="AT285">
        <v>6.1390072181260829</v>
      </c>
      <c r="AU285">
        <v>-2.815282125846271</v>
      </c>
      <c r="AV285"/>
      <c r="AW285"/>
      <c r="FY285" s="211">
        <v>280</v>
      </c>
      <c r="FZ285">
        <v>12.879234597783395</v>
      </c>
      <c r="GA285">
        <v>9.4625061078624473</v>
      </c>
      <c r="GB285">
        <v>5.1550971147061686</v>
      </c>
      <c r="GC285">
        <v>3.4228730696300391</v>
      </c>
      <c r="GD285">
        <v>2.3403427195242315</v>
      </c>
      <c r="GE285">
        <v>3.2090908085167098</v>
      </c>
      <c r="GF285">
        <v>3.0315918002966447</v>
      </c>
      <c r="GG285">
        <v>2.5900952258457561</v>
      </c>
      <c r="GH285">
        <v>4.6282626127949227</v>
      </c>
      <c r="GI285">
        <v>5.7950126996153131</v>
      </c>
      <c r="GJ285"/>
      <c r="GK285">
        <v>12.937960537884699</v>
      </c>
      <c r="GL285">
        <v>8.0196836671579739</v>
      </c>
      <c r="GM285">
        <v>8.5357796235077359</v>
      </c>
      <c r="GN285">
        <v>10.204578780313255</v>
      </c>
      <c r="GO285">
        <v>9.093906977955454</v>
      </c>
      <c r="GP285">
        <v>6.1438079988866594</v>
      </c>
      <c r="GQ285">
        <v>3.7079545016817037</v>
      </c>
      <c r="GR285">
        <v>3.6402461683483707</v>
      </c>
      <c r="GS285">
        <v>4.9341955754968758</v>
      </c>
      <c r="GT285">
        <v>7.841959443305293</v>
      </c>
      <c r="GU285"/>
      <c r="GV285"/>
      <c r="GW285"/>
      <c r="GX285"/>
      <c r="GY285"/>
      <c r="GZ285"/>
      <c r="HA285"/>
      <c r="HB285"/>
      <c r="HC285"/>
    </row>
    <row r="286" spans="1:211" s="7" customFormat="1">
      <c r="A286" s="1"/>
      <c r="B286">
        <v>8.600422998996482E-2</v>
      </c>
      <c r="C286">
        <v>2</v>
      </c>
      <c r="D286">
        <v>39799</v>
      </c>
      <c r="E286">
        <v>0</v>
      </c>
      <c r="F286">
        <v>31.25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51.356196388169792</v>
      </c>
      <c r="AO286">
        <v>6.268496090550352</v>
      </c>
      <c r="AP286">
        <v>5.0429503635848612</v>
      </c>
      <c r="AQ286">
        <v>41.959178524947831</v>
      </c>
      <c r="AR286">
        <v>6.5731402836801349</v>
      </c>
      <c r="AS286">
        <v>38.968760463768639</v>
      </c>
      <c r="AT286">
        <v>5.1955034113070404</v>
      </c>
      <c r="AU286">
        <v>7.8301137844716662</v>
      </c>
      <c r="AV286"/>
      <c r="AW286"/>
      <c r="FY286" s="211">
        <v>281</v>
      </c>
      <c r="FZ286">
        <v>12.161206167471448</v>
      </c>
      <c r="GA286">
        <v>9.6237454103248545</v>
      </c>
      <c r="GB286">
        <v>5.0970223642552295</v>
      </c>
      <c r="GC286">
        <v>3.0549096084048712</v>
      </c>
      <c r="GD286">
        <v>1.5579897804551182</v>
      </c>
      <c r="GE286">
        <v>2.0993489645798316</v>
      </c>
      <c r="GF286">
        <v>1.8154988840858985</v>
      </c>
      <c r="GG286">
        <v>1.532184007852873</v>
      </c>
      <c r="GH286">
        <v>5.1783064597555395</v>
      </c>
      <c r="GI286">
        <v>5.0928506362825443</v>
      </c>
      <c r="GJ286"/>
      <c r="GK286">
        <v>12.217958835594295</v>
      </c>
      <c r="GL286">
        <v>8.1550330995592724</v>
      </c>
      <c r="GM286">
        <v>8.4805431545637227</v>
      </c>
      <c r="GN286">
        <v>9.1523616565610659</v>
      </c>
      <c r="GO286">
        <v>6.0400326354396379</v>
      </c>
      <c r="GP286">
        <v>4.019205977845683</v>
      </c>
      <c r="GQ286">
        <v>2.2223894903619632</v>
      </c>
      <c r="GR286">
        <v>2.1546811570286302</v>
      </c>
      <c r="GS286">
        <v>5.5210249133964187</v>
      </c>
      <c r="GT286">
        <v>6.8963898058712081</v>
      </c>
      <c r="GU286"/>
      <c r="GV286"/>
      <c r="GW286"/>
      <c r="GX286"/>
      <c r="GY286"/>
      <c r="GZ286"/>
      <c r="HA286"/>
      <c r="HB286"/>
      <c r="HC286"/>
    </row>
    <row r="287" spans="1:211" s="7" customFormat="1">
      <c r="A287" s="1"/>
      <c r="B287">
        <v>0.74982571853910951</v>
      </c>
      <c r="C287">
        <v>5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56.549961899974754</v>
      </c>
      <c r="AO287">
        <v>6.8234106391223008</v>
      </c>
      <c r="AP287">
        <v>61.351395108944104</v>
      </c>
      <c r="AQ287">
        <v>54.506498402590928</v>
      </c>
      <c r="AR287">
        <v>7.0740931658285531</v>
      </c>
      <c r="AS287">
        <v>46.234351039774971</v>
      </c>
      <c r="AT287" t="e">
        <v>#DIV/0!</v>
      </c>
      <c r="AU287" t="e">
        <v>#DIV/0!</v>
      </c>
      <c r="AV287"/>
      <c r="AW287"/>
      <c r="FY287" s="211">
        <v>282</v>
      </c>
      <c r="FZ287">
        <v>18.090104914330443</v>
      </c>
      <c r="GA287">
        <v>17.429643967322598</v>
      </c>
      <c r="GB287">
        <v>4.7479957648049353</v>
      </c>
      <c r="GC287">
        <v>2.9022856467461886</v>
      </c>
      <c r="GD287">
        <v>1.3146995596428572</v>
      </c>
      <c r="GE287">
        <v>1.1519226085714287</v>
      </c>
      <c r="GF287">
        <v>2.9902525320886153</v>
      </c>
      <c r="GG287">
        <v>3.3515450425449016</v>
      </c>
      <c r="GH287">
        <v>4.5678683697650655</v>
      </c>
      <c r="GI287">
        <v>5.8605386133163933</v>
      </c>
      <c r="GJ287"/>
      <c r="GK287">
        <v>18.14435316171334</v>
      </c>
      <c r="GL287">
        <v>14.767891877780521</v>
      </c>
      <c r="GM287">
        <v>7.8561665563002938</v>
      </c>
      <c r="GN287">
        <v>8.6313495104077589</v>
      </c>
      <c r="GO287">
        <v>5.0974702380952381</v>
      </c>
      <c r="GP287">
        <v>2.2053571428571432</v>
      </c>
      <c r="GQ287">
        <v>3.661927533840224</v>
      </c>
      <c r="GR287">
        <v>4.7151682745809644</v>
      </c>
      <c r="GS287">
        <v>4.8705670519185</v>
      </c>
      <c r="GT287">
        <v>7.9260969083735198</v>
      </c>
      <c r="GU287"/>
      <c r="GV287"/>
      <c r="GW287"/>
      <c r="GX287"/>
      <c r="GY287"/>
      <c r="GZ287"/>
      <c r="HA287"/>
      <c r="HB287"/>
      <c r="HC287"/>
    </row>
    <row r="288" spans="1:211" s="7" customFormat="1">
      <c r="A288" s="1"/>
      <c r="B288">
        <v>0.86762174841732298</v>
      </c>
      <c r="C288">
        <v>3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50.268823529053634</v>
      </c>
      <c r="AO288">
        <v>6.201610200875848</v>
      </c>
      <c r="AP288">
        <v>3.4935011273435266</v>
      </c>
      <c r="AQ288">
        <v>42.271692922320106</v>
      </c>
      <c r="AR288">
        <v>6.2996713508063866</v>
      </c>
      <c r="AS288">
        <v>39.37935800128475</v>
      </c>
      <c r="AT288">
        <v>5.0623842083590862</v>
      </c>
      <c r="AU288">
        <v>0.89753167052997718</v>
      </c>
      <c r="AV288"/>
      <c r="AW288"/>
      <c r="FY288" s="211">
        <v>283</v>
      </c>
      <c r="FZ288">
        <v>5.0366130180788744</v>
      </c>
      <c r="GA288">
        <v>1.5461614847043872</v>
      </c>
      <c r="GB288">
        <v>5.6715334953148311</v>
      </c>
      <c r="GC288">
        <v>3.3155057923130373</v>
      </c>
      <c r="GD288">
        <v>1.1945727262850032</v>
      </c>
      <c r="GE288">
        <v>1.6664967726196991</v>
      </c>
      <c r="GF288">
        <v>0</v>
      </c>
      <c r="GG288">
        <v>0.37419152604166667</v>
      </c>
      <c r="GH288">
        <v>6.2893508040830097</v>
      </c>
      <c r="GI288">
        <v>3.8211920745195789</v>
      </c>
      <c r="GJ288"/>
      <c r="GK288">
        <v>5.0617572732615344</v>
      </c>
      <c r="GL288">
        <v>1.3095886522006874</v>
      </c>
      <c r="GM288">
        <v>9.5140981180695192</v>
      </c>
      <c r="GN288">
        <v>10.048976810530366</v>
      </c>
      <c r="GO288">
        <v>4.6287273092181804</v>
      </c>
      <c r="GP288">
        <v>3.190509964556647</v>
      </c>
      <c r="GQ288">
        <v>0</v>
      </c>
      <c r="GR288">
        <v>0.52662037037037035</v>
      </c>
      <c r="GS288">
        <v>6.7035846086431787</v>
      </c>
      <c r="GT288">
        <v>5.1816334618384827</v>
      </c>
      <c r="GU288"/>
      <c r="GV288"/>
      <c r="GW288"/>
      <c r="GX288"/>
      <c r="GY288"/>
      <c r="GZ288"/>
      <c r="HA288"/>
      <c r="HB288"/>
      <c r="HC288"/>
    </row>
    <row r="289" spans="1:211" s="7" customFormat="1">
      <c r="A289" s="1"/>
      <c r="B289">
        <v>0.17179367894044173</v>
      </c>
      <c r="C289">
        <v>8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55.034455905297612</v>
      </c>
      <c r="AO289">
        <v>6.634097921533967</v>
      </c>
      <c r="AP289">
        <v>29.012768178025098</v>
      </c>
      <c r="AQ289">
        <v>54.323081954043857</v>
      </c>
      <c r="AR289">
        <v>7.3953402437230853</v>
      </c>
      <c r="AS289">
        <v>46.368956710042738</v>
      </c>
      <c r="AT289" t="e">
        <v>#DIV/0!</v>
      </c>
      <c r="AU289" t="e">
        <v>#DIV/0!</v>
      </c>
      <c r="AV289"/>
      <c r="AW289"/>
      <c r="FY289" s="211">
        <v>284</v>
      </c>
      <c r="FZ289">
        <v>12.153141860474573</v>
      </c>
      <c r="GA289">
        <v>9.5875085450156536</v>
      </c>
      <c r="GB289">
        <v>3.5252709088253402</v>
      </c>
      <c r="GC289">
        <v>2.3845976355384391</v>
      </c>
      <c r="GD289">
        <v>1.1554366263789639</v>
      </c>
      <c r="GE289">
        <v>0.8150639673255814</v>
      </c>
      <c r="GF289">
        <v>1.8085413874086631</v>
      </c>
      <c r="GG289">
        <v>1.8998421515866333</v>
      </c>
      <c r="GH289">
        <v>3.5274922915706215</v>
      </c>
      <c r="GI289">
        <v>4.2141690988733043</v>
      </c>
      <c r="GJ289"/>
      <c r="GK289">
        <v>12.199987574459593</v>
      </c>
      <c r="GL289">
        <v>8.1233126383260803</v>
      </c>
      <c r="GM289">
        <v>5.8381050786941708</v>
      </c>
      <c r="GN289">
        <v>7.1275755266256198</v>
      </c>
      <c r="GO289">
        <v>4.5091723317301815</v>
      </c>
      <c r="GP289">
        <v>1.5604408914728682</v>
      </c>
      <c r="GQ289">
        <v>2.2115488076160368</v>
      </c>
      <c r="GR289">
        <v>2.6704608446530735</v>
      </c>
      <c r="GS289">
        <v>3.7606133482147963</v>
      </c>
      <c r="GT289">
        <v>5.7038854281429554</v>
      </c>
      <c r="GU289"/>
      <c r="GV289"/>
      <c r="GW289"/>
      <c r="GX289"/>
      <c r="GY289"/>
      <c r="GZ289"/>
      <c r="HA289"/>
      <c r="HB289"/>
      <c r="HC289"/>
    </row>
    <row r="290" spans="1:211" s="7" customFormat="1">
      <c r="A290" s="1"/>
      <c r="B290">
        <v>0.63772003075936845</v>
      </c>
      <c r="C290">
        <v>10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55.627022238413097</v>
      </c>
      <c r="AO290">
        <v>6.366690153204928</v>
      </c>
      <c r="AP290">
        <v>2.5089061170740137</v>
      </c>
      <c r="AQ290">
        <v>48.352232720895884</v>
      </c>
      <c r="AR290">
        <v>6.7124403502963244</v>
      </c>
      <c r="AS290">
        <v>41.615973059003828</v>
      </c>
      <c r="AT290">
        <v>5.4413918995652475</v>
      </c>
      <c r="AU290">
        <v>3.1374653722352939</v>
      </c>
      <c r="AV290"/>
      <c r="AW290"/>
      <c r="FY290" s="211">
        <v>285</v>
      </c>
      <c r="FZ290">
        <v>16.646648375658906</v>
      </c>
      <c r="GA290">
        <v>16.05358912594685</v>
      </c>
      <c r="GB290">
        <v>5.2307886956312437</v>
      </c>
      <c r="GC290">
        <v>3.1631500782341826</v>
      </c>
      <c r="GD290">
        <v>1.8818888327899115</v>
      </c>
      <c r="GE290">
        <v>2.1953425152941177</v>
      </c>
      <c r="GF290">
        <v>0</v>
      </c>
      <c r="GG290">
        <v>0</v>
      </c>
      <c r="GH290">
        <v>5.0263611725248394</v>
      </c>
      <c r="GI290">
        <v>5.6284836591430958</v>
      </c>
      <c r="GJ290"/>
      <c r="GK290">
        <v>16.708796195880225</v>
      </c>
      <c r="GL290">
        <v>13.603703281491132</v>
      </c>
      <c r="GM290">
        <v>8.738325072568939</v>
      </c>
      <c r="GN290">
        <v>9.5592557564534903</v>
      </c>
      <c r="GO290">
        <v>7.3273257695817549</v>
      </c>
      <c r="GP290">
        <v>4.2029857397504458</v>
      </c>
      <c r="GQ290">
        <v>0</v>
      </c>
      <c r="GR290">
        <v>0</v>
      </c>
      <c r="GS290">
        <v>5.3604790961728899</v>
      </c>
      <c r="GT290">
        <v>7.6269852268407625</v>
      </c>
      <c r="GU290"/>
      <c r="GV290"/>
      <c r="GW290"/>
      <c r="GX290"/>
      <c r="GY290"/>
      <c r="GZ290"/>
      <c r="HA290"/>
      <c r="HB290"/>
      <c r="HC290"/>
    </row>
    <row r="291" spans="1:211" s="7" customFormat="1">
      <c r="A291" s="1"/>
      <c r="B291">
        <v>0.33426785690297223</v>
      </c>
      <c r="C291">
        <v>9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62.957406601865692</v>
      </c>
      <c r="AO291">
        <v>7.8208008722905316</v>
      </c>
      <c r="AP291">
        <v>57.43073864467727</v>
      </c>
      <c r="AQ291">
        <v>58.331316462908788</v>
      </c>
      <c r="AR291">
        <v>8.2968982236401754</v>
      </c>
      <c r="AS291">
        <v>50.522426005911619</v>
      </c>
      <c r="AT291" t="e">
        <v>#DIV/0!</v>
      </c>
      <c r="AU291" t="e">
        <v>#DIV/0!</v>
      </c>
      <c r="AV291"/>
      <c r="AW291"/>
      <c r="FY291" s="211">
        <v>286</v>
      </c>
      <c r="FZ291">
        <v>7.92382559009212</v>
      </c>
      <c r="GA291">
        <v>6.3751835545760542</v>
      </c>
      <c r="GB291">
        <v>5.3687507251410764</v>
      </c>
      <c r="GC291">
        <v>2.8664032656447374</v>
      </c>
      <c r="GD291">
        <v>1.3335492220489531</v>
      </c>
      <c r="GE291">
        <v>1.4348509685714286</v>
      </c>
      <c r="GF291">
        <v>1.223050412887982</v>
      </c>
      <c r="GG291">
        <v>1.0644446003007895</v>
      </c>
      <c r="GH291">
        <v>6.685192539216156</v>
      </c>
      <c r="GI291">
        <v>4.5357910278531683</v>
      </c>
      <c r="GJ291"/>
      <c r="GK291">
        <v>7.9628980377921597</v>
      </c>
      <c r="GL291">
        <v>5.4017034947515228</v>
      </c>
      <c r="GM291">
        <v>8.9342200425695868</v>
      </c>
      <c r="GN291">
        <v>8.6163952887916224</v>
      </c>
      <c r="GO291">
        <v>5.1902775504973668</v>
      </c>
      <c r="GP291">
        <v>2.7470238095238098</v>
      </c>
      <c r="GQ291">
        <v>1.4964056940656674</v>
      </c>
      <c r="GR291">
        <v>1.4964056940656674</v>
      </c>
      <c r="GS291">
        <v>7.1286875846292972</v>
      </c>
      <c r="GT291">
        <v>6.1424977819108166</v>
      </c>
      <c r="GU291"/>
      <c r="GV291"/>
      <c r="GW291"/>
      <c r="GX291"/>
      <c r="GY291"/>
      <c r="GZ291"/>
      <c r="HA291"/>
      <c r="HB291"/>
      <c r="HC291"/>
    </row>
    <row r="292" spans="1:211" s="7" customFormat="1">
      <c r="A292" s="1"/>
      <c r="B292">
        <v>0.17227124770718327</v>
      </c>
      <c r="C292">
        <v>10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69.045859269937907</v>
      </c>
      <c r="AO292">
        <v>7.8857650587814003</v>
      </c>
      <c r="AP292">
        <v>73.815255202036667</v>
      </c>
      <c r="AQ292">
        <v>62.594769269696116</v>
      </c>
      <c r="AR292">
        <v>8.2074631177888939</v>
      </c>
      <c r="AS292">
        <v>50.773927427999645</v>
      </c>
      <c r="AT292" t="e">
        <v>#DIV/0!</v>
      </c>
      <c r="AU292" t="e">
        <v>#DIV/0!</v>
      </c>
      <c r="AV292"/>
      <c r="AW292"/>
      <c r="FY292" s="211">
        <v>287</v>
      </c>
      <c r="FZ292">
        <v>10.759074147124572</v>
      </c>
      <c r="GA292">
        <v>7.2115533212341223</v>
      </c>
      <c r="GB292">
        <v>4.2869343009979293</v>
      </c>
      <c r="GC292">
        <v>2.196405454754923</v>
      </c>
      <c r="GD292">
        <v>1.0959760013201449</v>
      </c>
      <c r="GE292">
        <v>1.57796008089701</v>
      </c>
      <c r="GF292">
        <v>0.59244847119791655</v>
      </c>
      <c r="GG292">
        <v>0.46773940755208332</v>
      </c>
      <c r="GH292">
        <v>5.2514358903539788</v>
      </c>
      <c r="GI292">
        <v>4.2093531587321751</v>
      </c>
      <c r="GJ292"/>
      <c r="GK292">
        <v>10.804321075146392</v>
      </c>
      <c r="GL292">
        <v>6.1101933579420704</v>
      </c>
      <c r="GM292">
        <v>7.1014166830740741</v>
      </c>
      <c r="GN292">
        <v>6.5383063461873387</v>
      </c>
      <c r="GO292">
        <v>4.2479275399941123</v>
      </c>
      <c r="GP292">
        <v>3.0210063676633445</v>
      </c>
      <c r="GQ292">
        <v>0.72598379629629617</v>
      </c>
      <c r="GR292">
        <v>0.65827546296296291</v>
      </c>
      <c r="GS292">
        <v>5.5979586656610154</v>
      </c>
      <c r="GT292">
        <v>5.6955215520343776</v>
      </c>
      <c r="GU292"/>
      <c r="GV292"/>
      <c r="GW292"/>
      <c r="GX292"/>
      <c r="GY292"/>
      <c r="GZ292"/>
      <c r="HA292"/>
      <c r="HB292"/>
      <c r="HC292"/>
    </row>
    <row r="293" spans="1:211" s="7" customFormat="1">
      <c r="A293" s="1"/>
      <c r="B293">
        <v>8.415793826554907E-2</v>
      </c>
      <c r="C293">
        <v>7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64.122422109925125</v>
      </c>
      <c r="AO293">
        <v>7.7996347694809529</v>
      </c>
      <c r="AP293">
        <v>48.02482881068827</v>
      </c>
      <c r="AQ293">
        <v>56.734556782273003</v>
      </c>
      <c r="AR293">
        <v>8.0683723183536991</v>
      </c>
      <c r="AS293">
        <v>49.354093376774124</v>
      </c>
      <c r="AT293" t="e">
        <v>#DIV/0!</v>
      </c>
      <c r="AU293" t="e">
        <v>#DIV/0!</v>
      </c>
      <c r="AV293"/>
      <c r="AW293"/>
      <c r="FY293" s="211">
        <v>288</v>
      </c>
      <c r="FZ293">
        <v>14.196865600034343</v>
      </c>
      <c r="GA293">
        <v>15.907162334694052</v>
      </c>
      <c r="GB293">
        <v>7.0320050687877487</v>
      </c>
      <c r="GC293">
        <v>2.9616469784293638</v>
      </c>
      <c r="GD293">
        <v>1.3950444308028795</v>
      </c>
      <c r="GE293">
        <v>1.6755985639368771</v>
      </c>
      <c r="GF293">
        <v>1.2160929162107463</v>
      </c>
      <c r="GG293">
        <v>1.0579112179928833</v>
      </c>
      <c r="GH293">
        <v>4.612054608486635</v>
      </c>
      <c r="GI293">
        <v>5.5796170491321835</v>
      </c>
      <c r="GJ293"/>
      <c r="GK293">
        <v>14.244521223932782</v>
      </c>
      <c r="GL293">
        <v>13.478494572926932</v>
      </c>
      <c r="GM293">
        <v>11.68828367590852</v>
      </c>
      <c r="GN293">
        <v>8.8995373026546218</v>
      </c>
      <c r="GO293">
        <v>5.4279681338942014</v>
      </c>
      <c r="GP293">
        <v>3.2079353543743077</v>
      </c>
      <c r="GQ293">
        <v>1.4855650113197405</v>
      </c>
      <c r="GR293">
        <v>1.4855650113197405</v>
      </c>
      <c r="GS293">
        <v>4.9156764119168601</v>
      </c>
      <c r="GT293">
        <v>7.5524028913944203</v>
      </c>
      <c r="GU293"/>
      <c r="GV293"/>
      <c r="GW293"/>
      <c r="GX293"/>
      <c r="GY293"/>
      <c r="GZ293"/>
      <c r="HA293"/>
      <c r="HB293"/>
      <c r="HC293"/>
    </row>
    <row r="294" spans="1:211" s="7" customFormat="1">
      <c r="A294" s="1"/>
      <c r="B294">
        <v>0.91740687710653579</v>
      </c>
      <c r="C294">
        <v>7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62.410429406021912</v>
      </c>
      <c r="AO294">
        <v>7.3165792993103951</v>
      </c>
      <c r="AP294">
        <v>2.9876718903563555</v>
      </c>
      <c r="AQ294">
        <v>53.018534219300804</v>
      </c>
      <c r="AR294">
        <v>7.6392538712987621</v>
      </c>
      <c r="AS294">
        <v>47.498572390463096</v>
      </c>
      <c r="AT294">
        <v>6.1131372285047627</v>
      </c>
      <c r="AU294">
        <v>-1.3826011709226069</v>
      </c>
      <c r="AV294"/>
      <c r="AW294"/>
      <c r="FY294" s="211">
        <v>289</v>
      </c>
      <c r="FZ294">
        <v>14.308938287067132</v>
      </c>
      <c r="GA294">
        <v>15.060370882968805</v>
      </c>
      <c r="GB294">
        <v>7.1668064230209403</v>
      </c>
      <c r="GC294">
        <v>3.0622701553678677</v>
      </c>
      <c r="GD294">
        <v>1.3069685339487507</v>
      </c>
      <c r="GE294">
        <v>1.9124141552941178</v>
      </c>
      <c r="GF294">
        <v>0.77380924279287322</v>
      </c>
      <c r="GG294">
        <v>1.277338661079775</v>
      </c>
      <c r="GH294">
        <v>5.2144204250704584</v>
      </c>
      <c r="GI294">
        <v>5.5899959875508562</v>
      </c>
      <c r="GJ294"/>
      <c r="GK294">
        <v>14.359061951329254</v>
      </c>
      <c r="GL294">
        <v>12.759774623381144</v>
      </c>
      <c r="GM294">
        <v>11.863680226665981</v>
      </c>
      <c r="GN294">
        <v>9.1170948558193654</v>
      </c>
      <c r="GO294">
        <v>5.0762395013900621</v>
      </c>
      <c r="GP294">
        <v>3.6613190730837792</v>
      </c>
      <c r="GQ294">
        <v>0.94590750565987025</v>
      </c>
      <c r="GR294">
        <v>1.796023246400611</v>
      </c>
      <c r="GS294">
        <v>5.5612560860915767</v>
      </c>
      <c r="GT294">
        <v>7.561229054227347</v>
      </c>
      <c r="GU294"/>
      <c r="GV294"/>
      <c r="GW294"/>
      <c r="GX294"/>
      <c r="GY294"/>
      <c r="GZ294"/>
      <c r="HA294"/>
      <c r="HB294"/>
      <c r="HC294"/>
    </row>
    <row r="295" spans="1:211" s="7" customFormat="1">
      <c r="A295" s="1"/>
      <c r="B295">
        <v>0.35040059816676128</v>
      </c>
      <c r="C295">
        <v>9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61.792267190758324</v>
      </c>
      <c r="AO295">
        <v>7.7241502794750421</v>
      </c>
      <c r="AP295">
        <v>31.464552602834868</v>
      </c>
      <c r="AQ295">
        <v>56.255553260001278</v>
      </c>
      <c r="AR295">
        <v>7.9672861642927408</v>
      </c>
      <c r="AS295">
        <v>47.495174304544477</v>
      </c>
      <c r="AT295" t="e">
        <v>#DIV/0!</v>
      </c>
      <c r="AU295" t="e">
        <v>#DIV/0!</v>
      </c>
      <c r="AV295"/>
      <c r="AW295"/>
      <c r="FY295" s="211">
        <v>290</v>
      </c>
      <c r="FZ295">
        <v>8.9730800918420712</v>
      </c>
      <c r="GA295">
        <v>7.0534555407472901</v>
      </c>
      <c r="GB295">
        <v>6.3097319048901124</v>
      </c>
      <c r="GC295">
        <v>3.9492114704078913</v>
      </c>
      <c r="GD295">
        <v>1.3653496767228681</v>
      </c>
      <c r="GE295">
        <v>1.5678554966112959</v>
      </c>
      <c r="GF295">
        <v>2.3457355970440794</v>
      </c>
      <c r="GG295">
        <v>2.367581559138717</v>
      </c>
      <c r="GH295">
        <v>4.9693093542418545</v>
      </c>
      <c r="GI295">
        <v>4.8714142207847111</v>
      </c>
      <c r="GJ295"/>
      <c r="GK295">
        <v>9.0105296505208639</v>
      </c>
      <c r="GL295">
        <v>5.9780320209049069</v>
      </c>
      <c r="GM295">
        <v>10.485251742900193</v>
      </c>
      <c r="GN295">
        <v>11.815887813792786</v>
      </c>
      <c r="GO295">
        <v>5.3033441859947201</v>
      </c>
      <c r="GP295">
        <v>3.0016611295681064</v>
      </c>
      <c r="GQ295">
        <v>2.8698242705789996</v>
      </c>
      <c r="GR295">
        <v>3.3287363076160368</v>
      </c>
      <c r="GS295">
        <v>5.2988553573472172</v>
      </c>
      <c r="GT295">
        <v>6.5935610414683978</v>
      </c>
      <c r="GU295"/>
      <c r="GV295"/>
      <c r="GW295"/>
      <c r="GX295"/>
      <c r="GY295"/>
      <c r="GZ295"/>
      <c r="HA295"/>
      <c r="HB295"/>
      <c r="HC295"/>
    </row>
    <row r="296" spans="1:211" s="7" customFormat="1">
      <c r="A296" s="1"/>
      <c r="B296">
        <v>0.27937018705225047</v>
      </c>
      <c r="C296">
        <v>8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63.96107291823796</v>
      </c>
      <c r="AO296">
        <v>7.5060073274538031</v>
      </c>
      <c r="AP296">
        <v>61.232598235863577</v>
      </c>
      <c r="AQ296">
        <v>52.514106756575629</v>
      </c>
      <c r="AR296">
        <v>7.8419594433052939</v>
      </c>
      <c r="AS296">
        <v>46.954518284121022</v>
      </c>
      <c r="AT296" t="e">
        <v>#DIV/0!</v>
      </c>
      <c r="AU296" t="e">
        <v>#DIV/0!</v>
      </c>
      <c r="AV296"/>
      <c r="AW296"/>
      <c r="FY296" s="211">
        <v>291</v>
      </c>
      <c r="FZ296">
        <v>13.122026515071894</v>
      </c>
      <c r="GA296">
        <v>10.914153688751009</v>
      </c>
      <c r="GB296">
        <v>6.3950428310992899</v>
      </c>
      <c r="GC296">
        <v>3.4732693402871311</v>
      </c>
      <c r="GD296">
        <v>2.3019325438542424</v>
      </c>
      <c r="GE296">
        <v>3.4481934715565767</v>
      </c>
      <c r="GF296">
        <v>2.5340538653162721</v>
      </c>
      <c r="GG296">
        <v>2.0611396168493146</v>
      </c>
      <c r="GH296">
        <v>4.2403188001932604</v>
      </c>
      <c r="GI296">
        <v>5.9653704126262435</v>
      </c>
      <c r="GJ296"/>
      <c r="GK296">
        <v>13.170681110517277</v>
      </c>
      <c r="GL296">
        <v>9.2479070101427574</v>
      </c>
      <c r="GM296">
        <v>10.630912066335044</v>
      </c>
      <c r="GN296">
        <v>10.4258566785075</v>
      </c>
      <c r="GO296">
        <v>8.9544684258549356</v>
      </c>
      <c r="GP296">
        <v>6.6015703189309551</v>
      </c>
      <c r="GQ296">
        <v>3.1005886626885006</v>
      </c>
      <c r="GR296">
        <v>2.8974636626885006</v>
      </c>
      <c r="GS296">
        <v>4.517237059551622</v>
      </c>
      <c r="GT296">
        <v>8.0747774649894772</v>
      </c>
      <c r="GU296"/>
      <c r="GV296"/>
      <c r="GW296"/>
      <c r="GX296"/>
      <c r="GY296"/>
      <c r="GZ296"/>
      <c r="HA296"/>
      <c r="HB296"/>
      <c r="HC296"/>
    </row>
    <row r="297" spans="1:211" s="7" customFormat="1">
      <c r="A297" s="1"/>
      <c r="B297">
        <v>0.76515096037706365</v>
      </c>
      <c r="C297">
        <v>1</v>
      </c>
      <c r="D297">
        <v>39847</v>
      </c>
      <c r="E297">
        <v>0</v>
      </c>
      <c r="F297">
        <v>10.416666666666666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53.474027606298407</v>
      </c>
      <c r="AO297">
        <v>6.4859620726221889</v>
      </c>
      <c r="AP297">
        <v>67.138127809799414</v>
      </c>
      <c r="AQ297">
        <v>47.213062283468204</v>
      </c>
      <c r="AR297">
        <v>6.8963898058712099</v>
      </c>
      <c r="AS297">
        <v>41.962125461182708</v>
      </c>
      <c r="AT297" t="e">
        <v>#DIV/0!</v>
      </c>
      <c r="AU297" t="e">
        <v>#DIV/0!</v>
      </c>
      <c r="AV297"/>
      <c r="AW297"/>
      <c r="FY297" s="211">
        <v>292</v>
      </c>
      <c r="FZ297">
        <v>24.765259938878437</v>
      </c>
      <c r="GA297">
        <v>21.209578154151874</v>
      </c>
      <c r="GB297">
        <v>2.4683628045493227</v>
      </c>
      <c r="GC297">
        <v>1.6992036920219351</v>
      </c>
      <c r="GD297">
        <v>1.1534848234734218</v>
      </c>
      <c r="GE297">
        <v>1.561040776976744</v>
      </c>
      <c r="GF297">
        <v>2.4600158191304344</v>
      </c>
      <c r="GG297">
        <v>2.5161474912590576</v>
      </c>
      <c r="GH297">
        <v>5.0529087677225535</v>
      </c>
      <c r="GI297">
        <v>6.1791252636952141</v>
      </c>
      <c r="GJ297"/>
      <c r="GK297">
        <v>24.836403849540183</v>
      </c>
      <c r="GL297">
        <v>17.970874496675357</v>
      </c>
      <c r="GM297">
        <v>4.0886316482400717</v>
      </c>
      <c r="GN297">
        <v>5.0590335734155776</v>
      </c>
      <c r="GO297">
        <v>4.4723941029900329</v>
      </c>
      <c r="GP297">
        <v>2.9886143410852708</v>
      </c>
      <c r="GQ297">
        <v>3.014492753623188</v>
      </c>
      <c r="GR297">
        <v>3.5411131239935583</v>
      </c>
      <c r="GS297">
        <v>5.3864845079040791</v>
      </c>
      <c r="GT297">
        <v>8.3596813724595105</v>
      </c>
      <c r="GU297"/>
      <c r="GV297"/>
      <c r="GW297"/>
      <c r="GX297"/>
      <c r="GY297"/>
      <c r="GZ297"/>
      <c r="HA297"/>
      <c r="HB297"/>
      <c r="HC297"/>
    </row>
    <row r="298" spans="1:211" s="7" customFormat="1">
      <c r="A298" s="1"/>
      <c r="B298">
        <v>4.7264970447375987E-3</v>
      </c>
      <c r="C298">
        <v>3</v>
      </c>
      <c r="D298">
        <v>39910</v>
      </c>
      <c r="E298">
        <v>86.805555555555557</v>
      </c>
      <c r="F298">
        <v>86.805555555555557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69.870937496290679</v>
      </c>
      <c r="AO298">
        <v>7.7876348255867516</v>
      </c>
      <c r="AP298">
        <v>46.80203562054038</v>
      </c>
      <c r="AQ298">
        <v>62.406857019133426</v>
      </c>
      <c r="AR298">
        <v>7.9260969083735207</v>
      </c>
      <c r="AS298">
        <v>51.215684035338477</v>
      </c>
      <c r="AT298" t="e">
        <v>#DIV/0!</v>
      </c>
      <c r="AU298" t="e">
        <v>#DIV/0!</v>
      </c>
      <c r="AV298"/>
      <c r="AW298"/>
      <c r="FY298" s="211">
        <v>293</v>
      </c>
      <c r="FZ298">
        <v>13.238032338158261</v>
      </c>
      <c r="GA298">
        <v>11.044254069292712</v>
      </c>
      <c r="GB298">
        <v>3.9302990534680182</v>
      </c>
      <c r="GC298">
        <v>2.2714452548035169</v>
      </c>
      <c r="GD298">
        <v>1.6819181467799194</v>
      </c>
      <c r="GE298">
        <v>2.6045781788655469</v>
      </c>
      <c r="GF298">
        <v>1.8154988840858985</v>
      </c>
      <c r="GG298">
        <v>1.532184007852873</v>
      </c>
      <c r="GH298">
        <v>7.9809655709399667</v>
      </c>
      <c r="GI298">
        <v>5.479065620321057</v>
      </c>
      <c r="GJ298"/>
      <c r="GK298">
        <v>13.27305410131965</v>
      </c>
      <c r="GL298">
        <v>9.357179983654726</v>
      </c>
      <c r="GM298">
        <v>6.512013238625169</v>
      </c>
      <c r="GN298">
        <v>6.7735289546430826</v>
      </c>
      <c r="GO298">
        <v>6.5292834208887784</v>
      </c>
      <c r="GP298">
        <v>4.986467882607589</v>
      </c>
      <c r="GQ298">
        <v>2.2223894903619632</v>
      </c>
      <c r="GR298">
        <v>2.1546811570286302</v>
      </c>
      <c r="GS298">
        <v>8.5073845821811034</v>
      </c>
      <c r="GT298">
        <v>7.4088249666753336</v>
      </c>
      <c r="GU298"/>
      <c r="GV298"/>
      <c r="GW298"/>
      <c r="GX298"/>
      <c r="GY298"/>
      <c r="GZ298"/>
      <c r="HA298"/>
      <c r="HB298"/>
      <c r="HC298"/>
    </row>
    <row r="299" spans="1:211" s="7" customFormat="1">
      <c r="A299" s="1"/>
      <c r="B299">
        <v>0.48495689233980954</v>
      </c>
      <c r="C299">
        <v>8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35.341467243710937</v>
      </c>
      <c r="AO299">
        <v>4.6165496568688962</v>
      </c>
      <c r="AP299">
        <v>13.433551963378346</v>
      </c>
      <c r="AQ299">
        <v>28.915617693960087</v>
      </c>
      <c r="AR299">
        <v>5.1816334618384818</v>
      </c>
      <c r="AS299">
        <v>30.509673485034938</v>
      </c>
      <c r="AT299" t="e">
        <v>#DIV/0!</v>
      </c>
      <c r="AU299" t="e">
        <v>#DIV/0!</v>
      </c>
      <c r="AV299"/>
      <c r="AW299"/>
      <c r="FY299" s="211">
        <v>294</v>
      </c>
      <c r="FZ299">
        <v>14.846345362165296</v>
      </c>
      <c r="GA299">
        <v>12.702364709078152</v>
      </c>
      <c r="GB299">
        <v>6.0223857455366741</v>
      </c>
      <c r="GC299">
        <v>3.7219549350807961</v>
      </c>
      <c r="GD299">
        <v>2.1650394868951981</v>
      </c>
      <c r="GE299">
        <v>2.9319743751827252</v>
      </c>
      <c r="GF299">
        <v>1.8085413874086631</v>
      </c>
      <c r="GG299">
        <v>1.5256506255449667</v>
      </c>
      <c r="GH299">
        <v>5.7282854825095768</v>
      </c>
      <c r="GI299">
        <v>6.1543167268233852</v>
      </c>
      <c r="GJ299"/>
      <c r="GK299">
        <v>14.89404475453415</v>
      </c>
      <c r="GL299">
        <v>10.76393763832608</v>
      </c>
      <c r="GM299">
        <v>10.01032201833022</v>
      </c>
      <c r="GN299">
        <v>11.162975460597568</v>
      </c>
      <c r="GO299">
        <v>8.4251827070184646</v>
      </c>
      <c r="GP299">
        <v>5.6132682724252509</v>
      </c>
      <c r="GQ299">
        <v>2.2115488076160368</v>
      </c>
      <c r="GR299">
        <v>2.1438404742827033</v>
      </c>
      <c r="GS299">
        <v>6.1031538813413615</v>
      </c>
      <c r="GT299">
        <v>8.3288504337680465</v>
      </c>
      <c r="GU299"/>
      <c r="GV299"/>
      <c r="GW299"/>
      <c r="GX299"/>
      <c r="GY299"/>
      <c r="GZ299"/>
      <c r="HA299"/>
      <c r="HB299"/>
      <c r="HC299"/>
    </row>
    <row r="300" spans="1:211" s="7" customFormat="1">
      <c r="A300" s="1"/>
      <c r="B300">
        <v>8.0687314402534405E-2</v>
      </c>
      <c r="C300">
        <v>1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46.42590532527322</v>
      </c>
      <c r="AO300">
        <v>5.3705102469935371</v>
      </c>
      <c r="AP300">
        <v>3.6808709432668159</v>
      </c>
      <c r="AQ300">
        <v>41.071064472997783</v>
      </c>
      <c r="AR300">
        <v>5.7038854281429572</v>
      </c>
      <c r="AS300">
        <v>34.348603088737001</v>
      </c>
      <c r="AT300">
        <v>4.5485376416251544</v>
      </c>
      <c r="AU300">
        <v>4.3457795655653975</v>
      </c>
      <c r="AV300"/>
      <c r="AW300"/>
      <c r="FY300" s="211">
        <v>295</v>
      </c>
      <c r="FZ300">
        <v>9.8267060067205989</v>
      </c>
      <c r="GA300">
        <v>3.9319037988448264</v>
      </c>
      <c r="GB300">
        <v>4.3143335327407977</v>
      </c>
      <c r="GC300">
        <v>2.227400248960798</v>
      </c>
      <c r="GD300">
        <v>2.6675605590751106</v>
      </c>
      <c r="GE300">
        <v>4.4505529017793632</v>
      </c>
      <c r="GF300">
        <v>3.068062277235807</v>
      </c>
      <c r="GG300">
        <v>3.7934861523388324</v>
      </c>
      <c r="GH300">
        <v>6.446925329650826</v>
      </c>
      <c r="GI300">
        <v>5.6183194227935642</v>
      </c>
      <c r="GJ300"/>
      <c r="GK300">
        <v>9.8994682574221393</v>
      </c>
      <c r="GL300">
        <v>3.3310339913556017</v>
      </c>
      <c r="GM300">
        <v>7.1856243968388354</v>
      </c>
      <c r="GN300">
        <v>6.6917861106962357</v>
      </c>
      <c r="GO300">
        <v>10.342159292127684</v>
      </c>
      <c r="GP300">
        <v>8.5205885869146822</v>
      </c>
      <c r="GQ300">
        <v>3.7572752592830581</v>
      </c>
      <c r="GR300">
        <v>5.3371363703941688</v>
      </c>
      <c r="GS300">
        <v>6.8737292440786097</v>
      </c>
      <c r="GT300">
        <v>7.6116512899500641</v>
      </c>
      <c r="GU300"/>
      <c r="GV300"/>
      <c r="GW300"/>
      <c r="GX300"/>
      <c r="GY300"/>
      <c r="GZ300"/>
      <c r="HA300"/>
      <c r="HB300"/>
      <c r="HC300"/>
    </row>
    <row r="301" spans="1:211" s="7" customFormat="1">
      <c r="A301" s="1"/>
      <c r="B301">
        <v>0.46056624606859131</v>
      </c>
      <c r="C301">
        <v>2</v>
      </c>
      <c r="D301">
        <v>39910</v>
      </c>
      <c r="E301">
        <v>0</v>
      </c>
      <c r="F301">
        <v>115.94202898550724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58.824813105109527</v>
      </c>
      <c r="AO301">
        <v>7.3127856138739631</v>
      </c>
      <c r="AP301">
        <v>66.257492980152549</v>
      </c>
      <c r="AQ301">
        <v>55.826252455223141</v>
      </c>
      <c r="AR301">
        <v>7.6269852268407652</v>
      </c>
      <c r="AS301">
        <v>44.422175063794512</v>
      </c>
      <c r="AT301" t="e">
        <v>#DIV/0!</v>
      </c>
      <c r="AU301" t="e">
        <v>#DIV/0!</v>
      </c>
      <c r="AV301"/>
      <c r="AW301"/>
      <c r="FY301" s="211">
        <v>296</v>
      </c>
      <c r="FZ301">
        <v>13.196935674160629</v>
      </c>
      <c r="GA301">
        <v>11.737740643885523</v>
      </c>
      <c r="GB301">
        <v>3.994948448776567</v>
      </c>
      <c r="GC301">
        <v>2.0971840891691311</v>
      </c>
      <c r="GD301">
        <v>1.1925858735396406</v>
      </c>
      <c r="GE301">
        <v>1.4987683389368771</v>
      </c>
      <c r="GF301">
        <v>0.64770273276041657</v>
      </c>
      <c r="GG301">
        <v>0.84193093359375004</v>
      </c>
      <c r="GH301">
        <v>3.5492771927389577</v>
      </c>
      <c r="GI301">
        <v>4.298573600915109</v>
      </c>
      <c r="GJ301"/>
      <c r="GK301">
        <v>13.230449600023103</v>
      </c>
      <c r="GL301">
        <v>9.9459256777796856</v>
      </c>
      <c r="GM301">
        <v>6.6548334012050212</v>
      </c>
      <c r="GN301">
        <v>6.3037652773629027</v>
      </c>
      <c r="GO301">
        <v>4.6232560595873107</v>
      </c>
      <c r="GP301">
        <v>2.8693936877076416</v>
      </c>
      <c r="GQ301">
        <v>0.79369212962962943</v>
      </c>
      <c r="GR301">
        <v>1.1848958333333333</v>
      </c>
      <c r="GS301">
        <v>3.7835252279402769</v>
      </c>
      <c r="GT301">
        <v>5.8171512836770667</v>
      </c>
      <c r="GU301"/>
      <c r="GV301"/>
      <c r="GW301"/>
      <c r="GX301"/>
      <c r="GY301"/>
      <c r="GZ301"/>
      <c r="HA301"/>
      <c r="HB301"/>
      <c r="HC301"/>
    </row>
    <row r="302" spans="1:211" s="7" customFormat="1">
      <c r="A302" s="1"/>
      <c r="B302">
        <v>0.37275944285371421</v>
      </c>
      <c r="C302">
        <v>1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43.889872080710255</v>
      </c>
      <c r="AO302">
        <v>5.5116514978597513</v>
      </c>
      <c r="AP302">
        <v>104.02337433731985</v>
      </c>
      <c r="AQ302">
        <v>38.811041906332463</v>
      </c>
      <c r="AR302">
        <v>6.1424977819108157</v>
      </c>
      <c r="AS302">
        <v>39.47953387901142</v>
      </c>
      <c r="AT302" t="e">
        <v>#DIV/0!</v>
      </c>
      <c r="AU302" t="e">
        <v>#DIV/0!</v>
      </c>
      <c r="AV302"/>
      <c r="AW302"/>
      <c r="FY302" s="211">
        <v>297</v>
      </c>
      <c r="FZ302">
        <v>17.724041210022101</v>
      </c>
      <c r="GA302">
        <v>19.036887738628895</v>
      </c>
      <c r="GB302">
        <v>7.4068839147442951</v>
      </c>
      <c r="GC302">
        <v>3.4723308786560456</v>
      </c>
      <c r="GD302">
        <v>1.5979093400188957</v>
      </c>
      <c r="GE302">
        <v>2.1009938969054134</v>
      </c>
      <c r="GF302">
        <v>1.7446466356159418</v>
      </c>
      <c r="GG302">
        <v>1.4709678064085145</v>
      </c>
      <c r="GH302">
        <v>4.8032937945015499</v>
      </c>
      <c r="GI302">
        <v>6.4332537601051065</v>
      </c>
      <c r="GJ302"/>
      <c r="GK302">
        <v>17.77568896925381</v>
      </c>
      <c r="GL302">
        <v>16.131180864688904</v>
      </c>
      <c r="GM302">
        <v>12.265760399599422</v>
      </c>
      <c r="GN302">
        <v>10.340777571091936</v>
      </c>
      <c r="GO302">
        <v>6.2028128747175062</v>
      </c>
      <c r="GP302">
        <v>4.0223552026518847</v>
      </c>
      <c r="GQ302">
        <v>2.137882447665056</v>
      </c>
      <c r="GR302">
        <v>2.0701741143317229</v>
      </c>
      <c r="GS302">
        <v>5.1190895564649717</v>
      </c>
      <c r="GT302">
        <v>8.7002468495401519</v>
      </c>
      <c r="GU302"/>
      <c r="GV302"/>
      <c r="GW302"/>
      <c r="GX302"/>
      <c r="GY302"/>
      <c r="GZ302"/>
      <c r="HA302"/>
      <c r="HB302"/>
      <c r="HC302"/>
    </row>
    <row r="303" spans="1:211" s="7" customFormat="1">
      <c r="A303" s="1"/>
      <c r="B303">
        <v>0.8467932374862841</v>
      </c>
      <c r="C303">
        <v>7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43.151178146477505</v>
      </c>
      <c r="AO303">
        <v>5.0500910846961986</v>
      </c>
      <c r="AP303">
        <v>66.275519947805819</v>
      </c>
      <c r="AQ303">
        <v>37.648880234164857</v>
      </c>
      <c r="AR303">
        <v>5.6955215520343776</v>
      </c>
      <c r="AS303">
        <v>36.988874565803499</v>
      </c>
      <c r="AT303" t="e">
        <v>#DIV/0!</v>
      </c>
      <c r="AU303" t="e">
        <v>#DIV/0!</v>
      </c>
      <c r="AV303"/>
      <c r="AW303"/>
      <c r="FY303" s="211">
        <v>298</v>
      </c>
      <c r="FZ303">
        <v>13.137928664902201</v>
      </c>
      <c r="GA303">
        <v>11.725378331280481</v>
      </c>
      <c r="GB303">
        <v>5.4319829547307084</v>
      </c>
      <c r="GC303">
        <v>2.9567365428924615</v>
      </c>
      <c r="GD303">
        <v>1.9587639986278762</v>
      </c>
      <c r="GE303">
        <v>2.9867899542309955</v>
      </c>
      <c r="GF303">
        <v>1.7446466356159418</v>
      </c>
      <c r="GG303">
        <v>1.8451593324501812</v>
      </c>
      <c r="GH303">
        <v>6.2601001961388354</v>
      </c>
      <c r="GI303">
        <v>5.7081242444942788</v>
      </c>
      <c r="GJ303"/>
      <c r="GK303">
        <v>13.183342485150746</v>
      </c>
      <c r="GL303">
        <v>9.935148453797515</v>
      </c>
      <c r="GM303">
        <v>9.0354524842318948</v>
      </c>
      <c r="GN303">
        <v>8.8619680483142673</v>
      </c>
      <c r="GO303">
        <v>7.5939501326710905</v>
      </c>
      <c r="GP303">
        <v>5.7182127607914213</v>
      </c>
      <c r="GQ303">
        <v>2.137882447665056</v>
      </c>
      <c r="GR303">
        <v>2.5967944847020932</v>
      </c>
      <c r="GS303">
        <v>6.6757817967529247</v>
      </c>
      <c r="GT303">
        <v>7.7252818692943421</v>
      </c>
      <c r="GU303"/>
      <c r="GV303"/>
      <c r="GW303"/>
      <c r="GX303"/>
      <c r="GY303"/>
      <c r="GZ303"/>
      <c r="HA303"/>
      <c r="HB303"/>
      <c r="HC303"/>
    </row>
    <row r="304" spans="1:211" s="7" customFormat="1">
      <c r="A304" s="1"/>
      <c r="B304">
        <v>0.59414101885375104</v>
      </c>
      <c r="C304">
        <v>3</v>
      </c>
      <c r="D304">
        <v>39910</v>
      </c>
      <c r="E304">
        <v>86.805555555555557</v>
      </c>
      <c r="F304">
        <v>86.805555555555557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60.798171357458251</v>
      </c>
      <c r="AO304">
        <v>7.2385949589642138</v>
      </c>
      <c r="AP304">
        <v>78.332225668158287</v>
      </c>
      <c r="AQ304">
        <v>55.633998768507709</v>
      </c>
      <c r="AR304">
        <v>7.5524028913944239</v>
      </c>
      <c r="AS304">
        <v>47.400560267573738</v>
      </c>
      <c r="AT304" t="e">
        <v>#DIV/0!</v>
      </c>
      <c r="AU304" t="e">
        <v>#DIV/0!</v>
      </c>
      <c r="AV304"/>
      <c r="AW304"/>
      <c r="FY304" s="211">
        <v>299</v>
      </c>
      <c r="FZ304">
        <v>11.962848626731667</v>
      </c>
      <c r="GA304">
        <v>9.3463065902516878</v>
      </c>
      <c r="GB304">
        <v>4.1260138935277677</v>
      </c>
      <c r="GC304">
        <v>2.4806561987697884</v>
      </c>
      <c r="GD304">
        <v>1.7235828115818679</v>
      </c>
      <c r="GE304">
        <v>2.5338460888655465</v>
      </c>
      <c r="GF304">
        <v>1.333558936012982</v>
      </c>
      <c r="GG304">
        <v>1.8128276523841229</v>
      </c>
      <c r="GH304">
        <v>4.3922201285416271</v>
      </c>
      <c r="GI304">
        <v>4.7079652907713081</v>
      </c>
      <c r="GJ304"/>
      <c r="GK304">
        <v>12.006714592637001</v>
      </c>
      <c r="GL304">
        <v>7.9194586111206347</v>
      </c>
      <c r="GM304">
        <v>6.8330537800238575</v>
      </c>
      <c r="GN304">
        <v>7.3930203475205269</v>
      </c>
      <c r="GO304">
        <v>6.6923176057008691</v>
      </c>
      <c r="GP304">
        <v>4.851051215940922</v>
      </c>
      <c r="GQ304">
        <v>1.6318223607323339</v>
      </c>
      <c r="GR304">
        <v>2.5496464348064078</v>
      </c>
      <c r="GS304">
        <v>4.6842582996539051</v>
      </c>
      <c r="GT304">
        <v>6.3696333277495922</v>
      </c>
      <c r="GU304"/>
      <c r="GV304"/>
      <c r="GW304"/>
      <c r="GX304"/>
      <c r="GY304"/>
      <c r="GZ304"/>
      <c r="HA304"/>
      <c r="HB304"/>
      <c r="HC304"/>
    </row>
    <row r="305" spans="1:211" s="7" customFormat="1">
      <c r="A305" s="1"/>
      <c r="B305">
        <v>4.4321554273085262E-2</v>
      </c>
      <c r="C305">
        <v>9</v>
      </c>
      <c r="D305">
        <v>39910</v>
      </c>
      <c r="E305">
        <v>0</v>
      </c>
      <c r="F305">
        <v>101.27314814814814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65.352471747889979</v>
      </c>
      <c r="AO305">
        <v>7.2701586124048987</v>
      </c>
      <c r="AP305">
        <v>4.0681915332076697</v>
      </c>
      <c r="AQ305">
        <v>55.673332754161571</v>
      </c>
      <c r="AR305">
        <v>7.5612290542273479</v>
      </c>
      <c r="AS305">
        <v>47.47848293513092</v>
      </c>
      <c r="AT305">
        <v>6.0646185744665395</v>
      </c>
      <c r="AU305">
        <v>3.0235547516144639</v>
      </c>
      <c r="AV305"/>
      <c r="AW305"/>
      <c r="FY305" s="211">
        <v>300</v>
      </c>
      <c r="FZ305">
        <v>15.273752525658846</v>
      </c>
      <c r="GA305">
        <v>14.546698044584286</v>
      </c>
      <c r="GB305">
        <v>5.8719140569685946</v>
      </c>
      <c r="GC305">
        <v>3.1828544889959791</v>
      </c>
      <c r="GD305">
        <v>3.5209347550965737</v>
      </c>
      <c r="GE305">
        <v>5.6287397640336145</v>
      </c>
      <c r="GF305">
        <v>3.5048912581393399</v>
      </c>
      <c r="GG305">
        <v>3.0031518142613871</v>
      </c>
      <c r="GH305">
        <v>5.3761733075674929</v>
      </c>
      <c r="GI305">
        <v>7.2111545920309394</v>
      </c>
      <c r="GJ305"/>
      <c r="GK305">
        <v>15.328847061051704</v>
      </c>
      <c r="GL305">
        <v>12.326855920852285</v>
      </c>
      <c r="GM305">
        <v>9.8037767058788337</v>
      </c>
      <c r="GN305">
        <v>9.6053877139872519</v>
      </c>
      <c r="GO305">
        <v>13.66117065828554</v>
      </c>
      <c r="GP305">
        <v>10.776228673287498</v>
      </c>
      <c r="GQ305">
        <v>4.2925636046936857</v>
      </c>
      <c r="GR305">
        <v>4.2248552713603527</v>
      </c>
      <c r="GS305">
        <v>5.731368132967499</v>
      </c>
      <c r="GT305">
        <v>9.763545232575451</v>
      </c>
      <c r="GU305"/>
      <c r="GV305"/>
      <c r="GW305"/>
      <c r="GX305"/>
      <c r="GY305"/>
      <c r="GZ305"/>
      <c r="HA305"/>
      <c r="HB305"/>
      <c r="HC305"/>
    </row>
    <row r="306" spans="1:211" s="7" customFormat="1">
      <c r="A306" s="1"/>
      <c r="B306">
        <v>0.23149713443303543</v>
      </c>
      <c r="C306">
        <v>6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55.003567674747444</v>
      </c>
      <c r="AO306">
        <v>6.3685683520692224</v>
      </c>
      <c r="AP306">
        <v>4.7325794796043885</v>
      </c>
      <c r="AQ306">
        <v>43.772724912430888</v>
      </c>
      <c r="AR306">
        <v>6.5935610414683996</v>
      </c>
      <c r="AS306">
        <v>40.930806674752695</v>
      </c>
      <c r="AT306">
        <v>5.2494637708665435</v>
      </c>
      <c r="AU306">
        <v>2.8506859983760791</v>
      </c>
      <c r="AV306"/>
      <c r="AW306"/>
      <c r="FY306" s="211">
        <v>301</v>
      </c>
      <c r="FZ306">
        <v>18.580716228186994</v>
      </c>
      <c r="GA306">
        <v>19.756688744037913</v>
      </c>
      <c r="GB306">
        <v>7.0431595603570312</v>
      </c>
      <c r="GC306">
        <v>4.0572554681442838</v>
      </c>
      <c r="GD306">
        <v>2.4070261593620392</v>
      </c>
      <c r="GE306">
        <v>3.2438147141596643</v>
      </c>
      <c r="GF306">
        <v>0</v>
      </c>
      <c r="GG306">
        <v>0.74838305208333333</v>
      </c>
      <c r="GH306">
        <v>6.8683810582231573</v>
      </c>
      <c r="GI306">
        <v>6.9504314791217929</v>
      </c>
      <c r="GJ306"/>
      <c r="GK306">
        <v>18.634954129051586</v>
      </c>
      <c r="GL306">
        <v>16.739998397381282</v>
      </c>
      <c r="GM306">
        <v>11.703419794182958</v>
      </c>
      <c r="GN306">
        <v>12.173430585238259</v>
      </c>
      <c r="GO306">
        <v>9.3736679081648582</v>
      </c>
      <c r="GP306">
        <v>6.2102869556913678</v>
      </c>
      <c r="GQ306">
        <v>0</v>
      </c>
      <c r="GR306">
        <v>1.0532407407407407</v>
      </c>
      <c r="GS306">
        <v>7.3219545056983151</v>
      </c>
      <c r="GT306">
        <v>9.4067992674195438</v>
      </c>
      <c r="GU306"/>
      <c r="GV306"/>
      <c r="GW306"/>
      <c r="GX306"/>
      <c r="GY306"/>
      <c r="GZ306"/>
      <c r="HA306"/>
      <c r="HB306"/>
      <c r="HC306"/>
    </row>
    <row r="307" spans="1:211" s="7" customFormat="1">
      <c r="A307" s="1"/>
      <c r="B307">
        <v>0.31940688105261117</v>
      </c>
      <c r="C307">
        <v>3</v>
      </c>
      <c r="D307">
        <v>39910</v>
      </c>
      <c r="E307">
        <v>86.805555555555557</v>
      </c>
      <c r="F307">
        <v>86.805555555555557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65.756341235383061</v>
      </c>
      <c r="AO307">
        <v>7.7621462460206558</v>
      </c>
      <c r="AP307">
        <v>55.296071097311135</v>
      </c>
      <c r="AQ307">
        <v>54.455501085605235</v>
      </c>
      <c r="AR307">
        <v>8.0747774649894772</v>
      </c>
      <c r="AS307">
        <v>50.713116373371101</v>
      </c>
      <c r="AT307" t="e">
        <v>#DIV/0!</v>
      </c>
      <c r="AU307" t="e">
        <v>#DIV/0!</v>
      </c>
      <c r="AV307"/>
      <c r="AW307"/>
      <c r="FY307" s="211">
        <v>302</v>
      </c>
      <c r="FZ307">
        <v>12.800194267751358</v>
      </c>
      <c r="GA307">
        <v>11.977990015583137</v>
      </c>
      <c r="GB307">
        <v>6.5295672300762995</v>
      </c>
      <c r="GC307">
        <v>3.6860636619208194</v>
      </c>
      <c r="GD307">
        <v>1.4516099870736436</v>
      </c>
      <c r="GE307">
        <v>1.5324894516112959</v>
      </c>
      <c r="GF307">
        <v>2.5566093489009645</v>
      </c>
      <c r="GG307">
        <v>2.1288892006015789</v>
      </c>
      <c r="GH307">
        <v>5.3685688287092681</v>
      </c>
      <c r="GI307">
        <v>5.6464048784441774</v>
      </c>
      <c r="GJ307"/>
      <c r="GK307">
        <v>12.848053050650069</v>
      </c>
      <c r="GL307">
        <v>10.148675100050578</v>
      </c>
      <c r="GM307">
        <v>10.891814149343476</v>
      </c>
      <c r="GN307">
        <v>11.110259189098723</v>
      </c>
      <c r="GO307">
        <v>5.6472891471832378</v>
      </c>
      <c r="GP307">
        <v>2.9339527962347733</v>
      </c>
      <c r="GQ307">
        <v>3.1282280547980017</v>
      </c>
      <c r="GR307">
        <v>2.9928113881313347</v>
      </c>
      <c r="GS307">
        <v>5.7218387649575746</v>
      </c>
      <c r="GT307">
        <v>7.6474446333864723</v>
      </c>
      <c r="GU307"/>
      <c r="GV307"/>
      <c r="GW307"/>
      <c r="GX307"/>
      <c r="GY307"/>
      <c r="GZ307"/>
      <c r="HA307"/>
      <c r="HB307"/>
      <c r="HC307"/>
    </row>
    <row r="308" spans="1:211" s="7" customFormat="1">
      <c r="A308" s="1"/>
      <c r="B308">
        <v>0.33226058077907972</v>
      </c>
      <c r="C308">
        <v>4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68.217036704521902</v>
      </c>
      <c r="AO308">
        <v>7.9717723769926838</v>
      </c>
      <c r="AP308">
        <v>37.182538322112599</v>
      </c>
      <c r="AQ308">
        <v>69.065127531858991</v>
      </c>
      <c r="AR308">
        <v>8.3596813724595087</v>
      </c>
      <c r="AS308">
        <v>53.822637538737986</v>
      </c>
      <c r="AT308" t="e">
        <v>#DIV/0!</v>
      </c>
      <c r="AU308" t="e">
        <v>#DIV/0!</v>
      </c>
      <c r="AV308"/>
      <c r="AW308"/>
      <c r="FY308" s="211">
        <v>303</v>
      </c>
      <c r="FZ308">
        <v>15.825736058526717</v>
      </c>
      <c r="GA308">
        <v>15.563387027142696</v>
      </c>
      <c r="GB308">
        <v>4.2944103338991111</v>
      </c>
      <c r="GC308">
        <v>2.416956996135168</v>
      </c>
      <c r="GD308">
        <v>1.7674892864390104</v>
      </c>
      <c r="GE308">
        <v>2.0286168745798316</v>
      </c>
      <c r="GF308">
        <v>1.8085413874086631</v>
      </c>
      <c r="GG308">
        <v>1.8998421515866333</v>
      </c>
      <c r="GH308">
        <v>4.2531843797546784</v>
      </c>
      <c r="GI308">
        <v>5.4102492832503639</v>
      </c>
      <c r="GJ308"/>
      <c r="GK308">
        <v>15.882749069826891</v>
      </c>
      <c r="GL308">
        <v>13.184812394168759</v>
      </c>
      <c r="GM308">
        <v>7.107149326323821</v>
      </c>
      <c r="GN308">
        <v>7.2010635894191166</v>
      </c>
      <c r="GO308">
        <v>6.8625557009389633</v>
      </c>
      <c r="GP308">
        <v>3.8837893111790165</v>
      </c>
      <c r="GQ308">
        <v>2.2115488076160368</v>
      </c>
      <c r="GR308">
        <v>2.6704608446530735</v>
      </c>
      <c r="GS308">
        <v>4.5337514383789363</v>
      </c>
      <c r="GT308">
        <v>7.3195508686169308</v>
      </c>
      <c r="GU308"/>
      <c r="GV308"/>
      <c r="GW308"/>
      <c r="GX308"/>
      <c r="GY308"/>
      <c r="GZ308"/>
      <c r="HA308"/>
      <c r="HB308"/>
      <c r="HC308"/>
    </row>
    <row r="309" spans="1:211" s="7" customFormat="1">
      <c r="A309" s="1"/>
      <c r="B309">
        <v>0.61984066129220583</v>
      </c>
      <c r="C309">
        <v>1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59.020455791120092</v>
      </c>
      <c r="AO309">
        <v>6.7724807777986031</v>
      </c>
      <c r="AP309">
        <v>101.12358495234621</v>
      </c>
      <c r="AQ309">
        <v>51.578241124567768</v>
      </c>
      <c r="AR309">
        <v>7.4088249666753319</v>
      </c>
      <c r="AS309">
        <v>46.971128946694208</v>
      </c>
      <c r="AT309" t="e">
        <v>#DIV/0!</v>
      </c>
      <c r="AU309" t="e">
        <v>#DIV/0!</v>
      </c>
      <c r="AV309"/>
      <c r="AW309"/>
      <c r="FY309" s="211">
        <v>304</v>
      </c>
      <c r="FZ309">
        <v>8.4342472550664347</v>
      </c>
      <c r="GA309">
        <v>11.94711235335777</v>
      </c>
      <c r="GB309">
        <v>6.7042254701546593</v>
      </c>
      <c r="GC309">
        <v>2.9094734778735605</v>
      </c>
      <c r="GD309">
        <v>2.0810886313930967</v>
      </c>
      <c r="GE309">
        <v>3.0837862979138166</v>
      </c>
      <c r="GF309">
        <v>2.5893081268787719</v>
      </c>
      <c r="GG309">
        <v>2.0611396168493146</v>
      </c>
      <c r="GH309">
        <v>4.4031230707592037</v>
      </c>
      <c r="GI309">
        <v>5.2539848785980237</v>
      </c>
      <c r="GJ309"/>
      <c r="GK309">
        <v>8.4501181361640487</v>
      </c>
      <c r="GL309">
        <v>10.119878650586589</v>
      </c>
      <c r="GM309">
        <v>11.101243022935664</v>
      </c>
      <c r="GN309">
        <v>8.6898363216467214</v>
      </c>
      <c r="GO309">
        <v>8.0996809722336387</v>
      </c>
      <c r="GP309">
        <v>5.9039123709737593</v>
      </c>
      <c r="GQ309">
        <v>3.1682969960218337</v>
      </c>
      <c r="GR309">
        <v>2.8974636626885006</v>
      </c>
      <c r="GS309">
        <v>4.6920156360541494</v>
      </c>
      <c r="GT309">
        <v>7.1022709526818675</v>
      </c>
      <c r="GU309"/>
      <c r="GV309"/>
      <c r="GW309"/>
      <c r="GX309"/>
      <c r="GY309"/>
      <c r="GZ309"/>
      <c r="HA309"/>
      <c r="HB309"/>
      <c r="HC309"/>
    </row>
    <row r="310" spans="1:211" s="7" customFormat="1">
      <c r="A310" s="1"/>
      <c r="B310">
        <v>0.476850247367679</v>
      </c>
      <c r="C310">
        <v>5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69.020416874506111</v>
      </c>
      <c r="AO310">
        <v>7.9657124448239873</v>
      </c>
      <c r="AP310">
        <v>75.279496422792477</v>
      </c>
      <c r="AQ310">
        <v>57.606858836225427</v>
      </c>
      <c r="AR310">
        <v>8.3288504337680465</v>
      </c>
      <c r="AS310">
        <v>50.365758890081459</v>
      </c>
      <c r="AT310" t="e">
        <v>#DIV/0!</v>
      </c>
      <c r="AU310" t="e">
        <v>#DIV/0!</v>
      </c>
      <c r="AV310"/>
      <c r="AW310"/>
      <c r="FY310" s="211">
        <v>305</v>
      </c>
      <c r="FZ310">
        <v>8.6705628417536786</v>
      </c>
      <c r="GA310">
        <v>7.4740716461547301</v>
      </c>
      <c r="GB310">
        <v>5.6718883667091982</v>
      </c>
      <c r="GC310">
        <v>3.3956739540630325</v>
      </c>
      <c r="GD310">
        <v>1.9254667323111034</v>
      </c>
      <c r="GE310">
        <v>2.3131901669054136</v>
      </c>
      <c r="GF310">
        <v>1.7532871258461631</v>
      </c>
      <c r="GG310">
        <v>1.8998421515866333</v>
      </c>
      <c r="GH310">
        <v>6.5220076482867784</v>
      </c>
      <c r="GI310">
        <v>5.129194792249633</v>
      </c>
      <c r="GJ310"/>
      <c r="GK310">
        <v>8.7072468287488949</v>
      </c>
      <c r="GL310">
        <v>6.3334598575081218</v>
      </c>
      <c r="GM310">
        <v>9.4307784558100991</v>
      </c>
      <c r="GN310">
        <v>10.173843832956621</v>
      </c>
      <c r="GO310">
        <v>7.4750799257451659</v>
      </c>
      <c r="GP310">
        <v>4.4286052026518856</v>
      </c>
      <c r="GQ310">
        <v>2.1438404742827033</v>
      </c>
      <c r="GR310">
        <v>2.6704608446530735</v>
      </c>
      <c r="GS310">
        <v>6.9518009328440922</v>
      </c>
      <c r="GT310">
        <v>6.9417493234861922</v>
      </c>
      <c r="GU310"/>
      <c r="GV310"/>
      <c r="GW310"/>
      <c r="GX310"/>
      <c r="GY310"/>
      <c r="GZ310"/>
      <c r="HA310"/>
      <c r="HB310"/>
      <c r="HC310"/>
    </row>
    <row r="311" spans="1:211" s="7" customFormat="1">
      <c r="A311" s="1"/>
      <c r="B311">
        <v>0.37290593130997784</v>
      </c>
      <c r="C311">
        <v>1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54.37054935307858</v>
      </c>
      <c r="AO311">
        <v>6.9550452799061073</v>
      </c>
      <c r="AP311">
        <v>47.616053928924195</v>
      </c>
      <c r="AQ311">
        <v>46.345250230140522</v>
      </c>
      <c r="AR311">
        <v>7.6116512899500668</v>
      </c>
      <c r="AS311">
        <v>49.007884484121242</v>
      </c>
      <c r="AT311" t="e">
        <v>#DIV/0!</v>
      </c>
      <c r="AU311" t="e">
        <v>#DIV/0!</v>
      </c>
      <c r="AV311"/>
      <c r="AW311"/>
      <c r="FY311" s="211">
        <v>306</v>
      </c>
      <c r="FZ311">
        <v>13.400490228465706</v>
      </c>
      <c r="GA311">
        <v>13.760853535326858</v>
      </c>
      <c r="GB311">
        <v>8.069699717920038</v>
      </c>
      <c r="GC311">
        <v>4.3618275405185889</v>
      </c>
      <c r="GD311">
        <v>2.2178650306561907</v>
      </c>
      <c r="GE311">
        <v>2.3063754472708617</v>
      </c>
      <c r="GF311">
        <v>2.5496518522237288</v>
      </c>
      <c r="GG311">
        <v>2.1223558182936726</v>
      </c>
      <c r="GH311">
        <v>5.469677239805848</v>
      </c>
      <c r="GI311">
        <v>6.5656742687596372</v>
      </c>
      <c r="GJ311"/>
      <c r="GK311">
        <v>13.454192661669067</v>
      </c>
      <c r="GL311">
        <v>11.658513742119322</v>
      </c>
      <c r="GM311">
        <v>13.403845419084904</v>
      </c>
      <c r="GN311">
        <v>13.071825761388887</v>
      </c>
      <c r="GO311">
        <v>8.6300026106670256</v>
      </c>
      <c r="GP311">
        <v>4.41555841416905</v>
      </c>
      <c r="GQ311">
        <v>3.1173873720520748</v>
      </c>
      <c r="GR311">
        <v>2.9819707053854079</v>
      </c>
      <c r="GS311">
        <v>5.8294233631135395</v>
      </c>
      <c r="GT311">
        <v>8.8869702853173216</v>
      </c>
      <c r="GU311"/>
      <c r="GV311"/>
      <c r="GW311"/>
      <c r="GX311"/>
      <c r="GY311"/>
      <c r="GZ311"/>
      <c r="HA311"/>
      <c r="HB311"/>
      <c r="HC311"/>
    </row>
    <row r="312" spans="1:211" s="7" customFormat="1">
      <c r="A312" s="1"/>
      <c r="B312">
        <v>0.68878162101984497</v>
      </c>
      <c r="C312">
        <v>1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45.877916346406415</v>
      </c>
      <c r="AO312">
        <v>5.5206888178245972</v>
      </c>
      <c r="AP312">
        <v>3.4182341137080821</v>
      </c>
      <c r="AQ312">
        <v>43.055647528476598</v>
      </c>
      <c r="AR312">
        <v>5.8171512836770667</v>
      </c>
      <c r="AS312">
        <v>38.066389360711604</v>
      </c>
      <c r="AT312">
        <v>4.6734535959290655</v>
      </c>
      <c r="AU312">
        <v>4.5182057792609314</v>
      </c>
      <c r="AV312"/>
      <c r="AW312"/>
      <c r="FY312" s="211">
        <v>307</v>
      </c>
      <c r="FZ312">
        <v>7.154234099250008</v>
      </c>
      <c r="GA312">
        <v>3.9282984877002303</v>
      </c>
      <c r="GB312">
        <v>6.7698178217319427</v>
      </c>
      <c r="GC312">
        <v>4.0166419708814454</v>
      </c>
      <c r="GD312">
        <v>2.8476865869668102</v>
      </c>
      <c r="GE312">
        <v>4.2551584405335152</v>
      </c>
      <c r="GF312">
        <v>0.11050852312500001</v>
      </c>
      <c r="GG312">
        <v>0</v>
      </c>
      <c r="GH312">
        <v>5.7046989481156256</v>
      </c>
      <c r="GI312">
        <v>5.2783237617141099</v>
      </c>
      <c r="GJ312"/>
      <c r="GK312">
        <v>7.200925539731224</v>
      </c>
      <c r="GL312">
        <v>3.3276023600598212</v>
      </c>
      <c r="GM312">
        <v>11.287413577362523</v>
      </c>
      <c r="GN312">
        <v>12.079416809100202</v>
      </c>
      <c r="GO312">
        <v>11.05079289195702</v>
      </c>
      <c r="GP312">
        <v>8.1465056688637389</v>
      </c>
      <c r="GQ312">
        <v>0.13541666666666666</v>
      </c>
      <c r="GR312">
        <v>0</v>
      </c>
      <c r="GS312">
        <v>6.0832367688483089</v>
      </c>
      <c r="GT312">
        <v>7.1515570889131475</v>
      </c>
      <c r="GU312"/>
      <c r="GV312"/>
      <c r="GW312"/>
      <c r="GX312"/>
      <c r="GY312"/>
      <c r="GZ312"/>
      <c r="HA312"/>
      <c r="HB312"/>
      <c r="HC312"/>
    </row>
    <row r="313" spans="1:211" s="7" customFormat="1">
      <c r="A313" s="1"/>
      <c r="B313">
        <v>0.49204352613001401</v>
      </c>
      <c r="C313">
        <v>5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74.497924595542116</v>
      </c>
      <c r="AO313">
        <v>8.4765968850005358</v>
      </c>
      <c r="AP313">
        <v>61.516899550626142</v>
      </c>
      <c r="AQ313">
        <v>65.791208975606764</v>
      </c>
      <c r="AR313">
        <v>8.7002468495401555</v>
      </c>
      <c r="AS313">
        <v>57.453616385881062</v>
      </c>
      <c r="AT313" t="e">
        <v>#DIV/0!</v>
      </c>
      <c r="AU313" t="e">
        <v>#DIV/0!</v>
      </c>
      <c r="AV313"/>
      <c r="AW313"/>
      <c r="FY313" s="211">
        <v>308</v>
      </c>
      <c r="FZ313">
        <v>14.500318473138162</v>
      </c>
      <c r="GA313">
        <v>12.205409548035952</v>
      </c>
      <c r="GB313">
        <v>6.4139048453984921</v>
      </c>
      <c r="GC313">
        <v>3.3729306018343075</v>
      </c>
      <c r="GD313">
        <v>0.91660807278443068</v>
      </c>
      <c r="GE313">
        <v>1.0727308666112958</v>
      </c>
      <c r="GF313">
        <v>2.912442786941424</v>
      </c>
      <c r="GG313">
        <v>2.9096039327509708</v>
      </c>
      <c r="GH313">
        <v>4.1050814136091986</v>
      </c>
      <c r="GI313">
        <v>5.42474434711656</v>
      </c>
      <c r="GJ313"/>
      <c r="GK313">
        <v>14.545280840744205</v>
      </c>
      <c r="GL313">
        <v>10.343368869503431</v>
      </c>
      <c r="GM313">
        <v>10.668881814872558</v>
      </c>
      <c r="GN313">
        <v>10.106738739890583</v>
      </c>
      <c r="GO313">
        <v>3.5524662304703019</v>
      </c>
      <c r="GP313">
        <v>2.0537444629014399</v>
      </c>
      <c r="GQ313">
        <v>3.5665798083973907</v>
      </c>
      <c r="GR313">
        <v>4.093200178767761</v>
      </c>
      <c r="GS313">
        <v>4.3769709444247047</v>
      </c>
      <c r="GT313">
        <v>7.3420359277818328</v>
      </c>
      <c r="GU313"/>
      <c r="GV313"/>
      <c r="GW313"/>
      <c r="GX313"/>
      <c r="GY313"/>
      <c r="GZ313"/>
      <c r="HA313"/>
      <c r="HB313"/>
      <c r="HC313"/>
    </row>
    <row r="314" spans="1:211" s="7" customFormat="1">
      <c r="A314" s="1"/>
      <c r="B314">
        <v>0.66018368510112913</v>
      </c>
      <c r="C314">
        <v>6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60.337664660360794</v>
      </c>
      <c r="AO314">
        <v>7.3463814963371359</v>
      </c>
      <c r="AP314">
        <v>3.9318506899570012</v>
      </c>
      <c r="AQ314">
        <v>53.755610855363962</v>
      </c>
      <c r="AR314">
        <v>7.7252818692943421</v>
      </c>
      <c r="AS314">
        <v>48.103249701597747</v>
      </c>
      <c r="AT314">
        <v>6.2198086958364049</v>
      </c>
      <c r="AU314">
        <v>0.83222300201962973</v>
      </c>
      <c r="AV314"/>
      <c r="AW314"/>
      <c r="FY314" s="211">
        <v>309</v>
      </c>
      <c r="FZ314">
        <v>13.206329498278098</v>
      </c>
      <c r="GA314">
        <v>15.202884831395762</v>
      </c>
      <c r="GB314">
        <v>7.20279219677633</v>
      </c>
      <c r="GC314">
        <v>3.5619153409550517</v>
      </c>
      <c r="GD314">
        <v>0.63852968254895293</v>
      </c>
      <c r="GE314">
        <v>0.17683022500000001</v>
      </c>
      <c r="GF314">
        <v>3.4565944932540758</v>
      </c>
      <c r="GG314">
        <v>3.3838767226109603</v>
      </c>
      <c r="GH314">
        <v>7.7746576889555232</v>
      </c>
      <c r="GI314">
        <v>5.9441154810385983</v>
      </c>
      <c r="GJ314"/>
      <c r="GK314">
        <v>13.235451450594194</v>
      </c>
      <c r="GL314">
        <v>12.880071517985899</v>
      </c>
      <c r="GM314">
        <v>11.922639793584946</v>
      </c>
      <c r="GN314">
        <v>10.613645714021738</v>
      </c>
      <c r="GO314">
        <v>2.495485883830701</v>
      </c>
      <c r="GP314">
        <v>0.33854166666666669</v>
      </c>
      <c r="GQ314">
        <v>4.23569595410628</v>
      </c>
      <c r="GR314">
        <v>4.7623163244766502</v>
      </c>
      <c r="GS314">
        <v>8.2874201971632075</v>
      </c>
      <c r="GT314">
        <v>8.035338655855865</v>
      </c>
      <c r="GU314"/>
      <c r="GV314"/>
      <c r="GW314"/>
      <c r="GX314"/>
      <c r="GY314"/>
      <c r="GZ314"/>
      <c r="HA314"/>
      <c r="HB314"/>
      <c r="HC314"/>
    </row>
    <row r="315" spans="1:211" s="7" customFormat="1">
      <c r="A315" s="1"/>
      <c r="B315">
        <v>8.5474360125338933E-2</v>
      </c>
      <c r="C315">
        <v>4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51.561467955943101</v>
      </c>
      <c r="AO315">
        <v>6.0930976575886051</v>
      </c>
      <c r="AP315">
        <v>3.3214135331973416</v>
      </c>
      <c r="AQ315">
        <v>44.419826217438363</v>
      </c>
      <c r="AR315">
        <v>6.3696333277495913</v>
      </c>
      <c r="AS315">
        <v>42.35272086900423</v>
      </c>
      <c r="AT315">
        <v>5.1400905231776193</v>
      </c>
      <c r="AU315">
        <v>4.135244690166898</v>
      </c>
      <c r="AV315"/>
      <c r="AW315"/>
      <c r="FY315" s="211">
        <v>310</v>
      </c>
      <c r="FZ315">
        <v>16.671070871692539</v>
      </c>
      <c r="GA315">
        <v>17.777748389059333</v>
      </c>
      <c r="GB315">
        <v>5.8331193517636191</v>
      </c>
      <c r="GC315">
        <v>2.6889490640619949</v>
      </c>
      <c r="GD315">
        <v>1.7999806155091553</v>
      </c>
      <c r="GE315">
        <v>2.8790468869054138</v>
      </c>
      <c r="GF315">
        <v>0.61500395478260861</v>
      </c>
      <c r="GG315">
        <v>0.53548899130434779</v>
      </c>
      <c r="GH315">
        <v>6.4270402314632582</v>
      </c>
      <c r="GI315">
        <v>6.0637950202368938</v>
      </c>
      <c r="GJ315"/>
      <c r="GK315">
        <v>16.714246753891629</v>
      </c>
      <c r="GL315">
        <v>15.063517602223389</v>
      </c>
      <c r="GM315">
        <v>9.7374178120325148</v>
      </c>
      <c r="GN315">
        <v>8.1291940400907485</v>
      </c>
      <c r="GO315">
        <v>6.987045740933076</v>
      </c>
      <c r="GP315">
        <v>5.5119385359852195</v>
      </c>
      <c r="GQ315">
        <v>0.75362318840579701</v>
      </c>
      <c r="GR315">
        <v>0.75362318840579701</v>
      </c>
      <c r="GS315">
        <v>6.8529407885556886</v>
      </c>
      <c r="GT315">
        <v>8.2090548567637427</v>
      </c>
      <c r="GU315"/>
      <c r="GV315"/>
      <c r="GW315"/>
      <c r="GX315"/>
      <c r="GY315"/>
      <c r="GZ315"/>
      <c r="HA315"/>
      <c r="HB315"/>
      <c r="HC315"/>
    </row>
    <row r="316" spans="1:211" s="7" customFormat="1">
      <c r="A316" s="1"/>
      <c r="B316">
        <v>0.42395937277477369</v>
      </c>
      <c r="C316">
        <v>3</v>
      </c>
      <c r="D316">
        <v>39949</v>
      </c>
      <c r="E316">
        <v>0</v>
      </c>
      <c r="F316">
        <v>81.018518518518519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76.133899955699064</v>
      </c>
      <c r="AO316">
        <v>9.5514598974940093</v>
      </c>
      <c r="AP316">
        <v>71.030857678519311</v>
      </c>
      <c r="AQ316">
        <v>67.120264607337049</v>
      </c>
      <c r="AR316">
        <v>9.7635452325754528</v>
      </c>
      <c r="AS316">
        <v>59.275865718977819</v>
      </c>
      <c r="AT316" t="e">
        <v>#DIV/0!</v>
      </c>
      <c r="AU316" t="e">
        <v>#DIV/0!</v>
      </c>
      <c r="AV316"/>
      <c r="AW316"/>
      <c r="FY316" s="211">
        <v>311</v>
      </c>
      <c r="FZ316">
        <v>8.1633419399308114</v>
      </c>
      <c r="GA316">
        <v>6.8471815729118637</v>
      </c>
      <c r="GB316">
        <v>5.1528098508632674</v>
      </c>
      <c r="GC316">
        <v>3.0484730181786377</v>
      </c>
      <c r="GD316">
        <v>1.9764259307170542</v>
      </c>
      <c r="GE316">
        <v>2.2431002162624583</v>
      </c>
      <c r="GF316">
        <v>1.767202119200634</v>
      </c>
      <c r="GG316">
        <v>2.2871004422441126</v>
      </c>
      <c r="GH316">
        <v>5.8906435649258304</v>
      </c>
      <c r="GI316">
        <v>4.8566947695201312</v>
      </c>
      <c r="GJ316"/>
      <c r="GK316">
        <v>8.2020109098923015</v>
      </c>
      <c r="GL316">
        <v>5.8010902321599636</v>
      </c>
      <c r="GM316">
        <v>8.5302999089293525</v>
      </c>
      <c r="GN316">
        <v>9.0797586372711105</v>
      </c>
      <c r="GO316">
        <v>7.6726634689404563</v>
      </c>
      <c r="GP316">
        <v>4.2944179125138424</v>
      </c>
      <c r="GQ316">
        <v>2.165521839774557</v>
      </c>
      <c r="GR316">
        <v>3.218762580515298</v>
      </c>
      <c r="GS316">
        <v>6.2773156023747205</v>
      </c>
      <c r="GT316">
        <v>6.5695623459822761</v>
      </c>
      <c r="GU316"/>
      <c r="GV316"/>
      <c r="GW316"/>
      <c r="GX316"/>
      <c r="GY316"/>
      <c r="GZ316"/>
      <c r="HA316"/>
      <c r="HB316"/>
      <c r="HC316"/>
    </row>
    <row r="317" spans="1:211" s="7" customFormat="1">
      <c r="A317" s="1"/>
      <c r="B317">
        <v>0.34753766643159345</v>
      </c>
      <c r="C317">
        <v>4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78.509557526203182</v>
      </c>
      <c r="AO317">
        <v>9.2617752283568926</v>
      </c>
      <c r="AP317">
        <v>17.986969737777166</v>
      </c>
      <c r="AQ317">
        <v>69.655856463676201</v>
      </c>
      <c r="AR317">
        <v>9.4067992674195455</v>
      </c>
      <c r="AS317">
        <v>58.817014275019389</v>
      </c>
      <c r="AT317" t="e">
        <v>#DIV/0!</v>
      </c>
      <c r="AU317" t="e">
        <v>#DIV/0!</v>
      </c>
      <c r="AV317"/>
      <c r="AW317"/>
      <c r="FY317" s="211">
        <v>312</v>
      </c>
      <c r="FZ317">
        <v>9.2892237967716849</v>
      </c>
      <c r="GA317">
        <v>6.5065385764828232</v>
      </c>
      <c r="GB317">
        <v>5.3278413471743029</v>
      </c>
      <c r="GC317">
        <v>2.4911403181986742</v>
      </c>
      <c r="GD317">
        <v>2.2488249787771197</v>
      </c>
      <c r="GE317">
        <v>3.5166384898739498</v>
      </c>
      <c r="GF317">
        <v>2.5566093489009645</v>
      </c>
      <c r="GG317">
        <v>2.1288892006015789</v>
      </c>
      <c r="GH317">
        <v>8.4422890425106694</v>
      </c>
      <c r="GI317">
        <v>5.7668917073557511</v>
      </c>
      <c r="GJ317"/>
      <c r="GK317">
        <v>9.3366734191342093</v>
      </c>
      <c r="GL317">
        <v>5.5118873850474488</v>
      </c>
      <c r="GM317">
        <v>8.8206872030670223</v>
      </c>
      <c r="GN317">
        <v>7.4116071717538201</v>
      </c>
      <c r="GO317">
        <v>8.7171121665684712</v>
      </c>
      <c r="GP317">
        <v>6.7326083842627966</v>
      </c>
      <c r="GQ317">
        <v>3.1282280547980017</v>
      </c>
      <c r="GR317">
        <v>2.9928113881313347</v>
      </c>
      <c r="GS317">
        <v>9.0001757755325364</v>
      </c>
      <c r="GT317">
        <v>7.8005753238200475</v>
      </c>
      <c r="GU317"/>
      <c r="GV317"/>
      <c r="GW317"/>
      <c r="GX317"/>
      <c r="GY317"/>
      <c r="GZ317"/>
      <c r="HA317"/>
      <c r="HB317"/>
      <c r="HC317"/>
    </row>
    <row r="318" spans="1:211" s="7" customFormat="1">
      <c r="A318" s="1"/>
      <c r="B318">
        <v>0.16956724437162318</v>
      </c>
      <c r="C318">
        <v>5</v>
      </c>
      <c r="D318">
        <v>39987</v>
      </c>
      <c r="E318">
        <v>121.52777777777777</v>
      </c>
      <c r="F318">
        <v>60.763888888888886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61.234537514255479</v>
      </c>
      <c r="AO318">
        <v>7.3070366273834235</v>
      </c>
      <c r="AP318">
        <v>70.855133418521547</v>
      </c>
      <c r="AQ318">
        <v>53.678386870672547</v>
      </c>
      <c r="AR318">
        <v>7.6474446333864723</v>
      </c>
      <c r="AS318">
        <v>46.802456507517249</v>
      </c>
      <c r="AT318" t="e">
        <v>#DIV/0!</v>
      </c>
      <c r="AU318" t="e">
        <v>#DIV/0!</v>
      </c>
      <c r="AV318"/>
      <c r="AW318"/>
      <c r="FY318" s="211">
        <v>313</v>
      </c>
      <c r="FZ318">
        <v>10.90949877420999</v>
      </c>
      <c r="GA318">
        <v>10.355435728316628</v>
      </c>
      <c r="GB318">
        <v>4.8452913672059506</v>
      </c>
      <c r="GC318">
        <v>2.8653448003814086</v>
      </c>
      <c r="GD318">
        <v>1.6592820247851294</v>
      </c>
      <c r="GE318">
        <v>2.3030855826196994</v>
      </c>
      <c r="GF318">
        <v>3.0159938133891888</v>
      </c>
      <c r="GG318">
        <v>2.9030705504430645</v>
      </c>
      <c r="GH318">
        <v>4.8346674182706852</v>
      </c>
      <c r="GI318">
        <v>5.0707033363041178</v>
      </c>
      <c r="GJ318"/>
      <c r="GK318">
        <v>10.954300046567349</v>
      </c>
      <c r="GL318">
        <v>8.7756755565837015</v>
      </c>
      <c r="GM318">
        <v>8.105376406440886</v>
      </c>
      <c r="GN318">
        <v>8.658598519401778</v>
      </c>
      <c r="GO318">
        <v>6.4422607500057874</v>
      </c>
      <c r="GP318">
        <v>4.4092599645566475</v>
      </c>
      <c r="GQ318">
        <v>3.6911557923181304</v>
      </c>
      <c r="GR318">
        <v>4.0823594960218337</v>
      </c>
      <c r="GS318">
        <v>5.155019810451555</v>
      </c>
      <c r="GT318">
        <v>6.8696225611567403</v>
      </c>
      <c r="GU318"/>
      <c r="GV318"/>
      <c r="GW318"/>
      <c r="GX318"/>
      <c r="GY318"/>
      <c r="GZ318"/>
      <c r="HA318"/>
      <c r="HB318"/>
      <c r="HC318"/>
    </row>
    <row r="319" spans="1:211" s="7" customFormat="1">
      <c r="A319" s="1"/>
      <c r="B319">
        <v>0.76828657142253043</v>
      </c>
      <c r="C319">
        <v>10</v>
      </c>
      <c r="D319">
        <v>39987</v>
      </c>
      <c r="E319">
        <v>0</v>
      </c>
      <c r="F319">
        <v>49.942922374429216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63.846464422615234</v>
      </c>
      <c r="AO319">
        <v>7.0857431351121534</v>
      </c>
      <c r="AP319">
        <v>3.8212348993978766</v>
      </c>
      <c r="AQ319">
        <v>55.268413778722866</v>
      </c>
      <c r="AR319">
        <v>7.3195508686169291</v>
      </c>
      <c r="AS319">
        <v>46.721935269831235</v>
      </c>
      <c r="AT319">
        <v>5.8539511524762879</v>
      </c>
      <c r="AU319">
        <v>-1.2899112507543347</v>
      </c>
      <c r="AV319"/>
      <c r="AW319"/>
      <c r="FY319" s="211">
        <v>314</v>
      </c>
      <c r="FZ319">
        <v>10.445645016150262</v>
      </c>
      <c r="GA319">
        <v>7.0306110769415922</v>
      </c>
      <c r="GB319">
        <v>5.6049118235147057</v>
      </c>
      <c r="GC319">
        <v>3.1866516461525207</v>
      </c>
      <c r="GD319">
        <v>2.3582926844103631</v>
      </c>
      <c r="GE319">
        <v>3.1377165791596644</v>
      </c>
      <c r="GF319">
        <v>1.8154988840858985</v>
      </c>
      <c r="GG319">
        <v>1.532184007852873</v>
      </c>
      <c r="GH319">
        <v>5.0443484575751487</v>
      </c>
      <c r="GI319">
        <v>5.4037573586594547</v>
      </c>
      <c r="GJ319"/>
      <c r="GK319">
        <v>10.532147079973447</v>
      </c>
      <c r="GL319">
        <v>5.9580692497383998</v>
      </c>
      <c r="GM319">
        <v>9.3645098858004125</v>
      </c>
      <c r="GN319">
        <v>9.6195142967994318</v>
      </c>
      <c r="GO319">
        <v>9.1540153783335505</v>
      </c>
      <c r="GP319">
        <v>6.0071619556913687</v>
      </c>
      <c r="GQ319">
        <v>2.2223894903619632</v>
      </c>
      <c r="GR319">
        <v>2.1546811570286302</v>
      </c>
      <c r="GS319">
        <v>5.3772108792233437</v>
      </c>
      <c r="GT319">
        <v>7.3300545427385435</v>
      </c>
      <c r="GU319"/>
      <c r="GV319"/>
      <c r="GW319"/>
      <c r="GX319"/>
      <c r="GY319"/>
      <c r="GZ319"/>
      <c r="HA319"/>
      <c r="HB319"/>
      <c r="HC319"/>
    </row>
    <row r="320" spans="1:211" s="7" customFormat="1">
      <c r="A320" s="1"/>
      <c r="B320">
        <v>0.7372288164105969</v>
      </c>
      <c r="C320">
        <v>9</v>
      </c>
      <c r="D320">
        <v>39987</v>
      </c>
      <c r="E320">
        <v>0</v>
      </c>
      <c r="F320">
        <v>140.22435897435898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63.996154081415661</v>
      </c>
      <c r="AO320">
        <v>7.0224716721986784</v>
      </c>
      <c r="AP320">
        <v>58.540965980165225</v>
      </c>
      <c r="AQ320">
        <v>49.467489178844652</v>
      </c>
      <c r="AR320">
        <v>7.1022709526818693</v>
      </c>
      <c r="AS320">
        <v>44.701697564171788</v>
      </c>
      <c r="AT320" t="e">
        <v>#DIV/0!</v>
      </c>
      <c r="AU320" t="e">
        <v>#DIV/0!</v>
      </c>
      <c r="AV320"/>
      <c r="AW320"/>
      <c r="FY320" s="211">
        <v>315</v>
      </c>
      <c r="FZ320">
        <v>10.08604326253012</v>
      </c>
      <c r="GA320">
        <v>9.7763405423797405</v>
      </c>
      <c r="GB320">
        <v>7.4716718664083519</v>
      </c>
      <c r="GC320">
        <v>3.4310200621127649</v>
      </c>
      <c r="GD320">
        <v>1.7615641537137006</v>
      </c>
      <c r="GE320">
        <v>2.7123212461911277</v>
      </c>
      <c r="GF320">
        <v>1.2160929162107463</v>
      </c>
      <c r="GG320">
        <v>2.1804857961178832</v>
      </c>
      <c r="GH320">
        <v>6.1555545496005184</v>
      </c>
      <c r="GI320">
        <v>5.5303672676779581</v>
      </c>
      <c r="GJ320"/>
      <c r="GK320">
        <v>10.140493303872182</v>
      </c>
      <c r="GL320">
        <v>8.2837652320339235</v>
      </c>
      <c r="GM320">
        <v>12.408195033289857</v>
      </c>
      <c r="GN320">
        <v>10.271103038399229</v>
      </c>
      <c r="GO320">
        <v>6.8388381309581678</v>
      </c>
      <c r="GP320">
        <v>5.1927421074137898</v>
      </c>
      <c r="GQ320">
        <v>1.4855650113197405</v>
      </c>
      <c r="GR320">
        <v>3.0654261224308517</v>
      </c>
      <c r="GS320">
        <v>6.5653307943614898</v>
      </c>
      <c r="GT320">
        <v>7.487684454760287</v>
      </c>
      <c r="GU320"/>
      <c r="GV320"/>
      <c r="GW320"/>
      <c r="GX320"/>
      <c r="GY320"/>
      <c r="GZ320"/>
      <c r="HA320"/>
      <c r="HB320"/>
      <c r="HC320"/>
    </row>
    <row r="321" spans="1:211" s="7" customFormat="1">
      <c r="A321" s="1"/>
      <c r="B321">
        <v>0.22558582992297072</v>
      </c>
      <c r="C321">
        <v>6</v>
      </c>
      <c r="D321">
        <v>39987</v>
      </c>
      <c r="E321">
        <v>0</v>
      </c>
      <c r="F321">
        <v>72.916666666666671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56.18274106809131</v>
      </c>
      <c r="AO321">
        <v>6.5256865678686848</v>
      </c>
      <c r="AP321">
        <v>28.491389556373981</v>
      </c>
      <c r="AQ321">
        <v>44.755185425866372</v>
      </c>
      <c r="AR321">
        <v>6.9417493234861904</v>
      </c>
      <c r="AS321">
        <v>42.408869680179883</v>
      </c>
      <c r="AT321" t="e">
        <v>#DIV/0!</v>
      </c>
      <c r="AU321" t="e">
        <v>#DIV/0!</v>
      </c>
      <c r="AV321"/>
      <c r="AW321"/>
      <c r="FY321" s="211">
        <v>316</v>
      </c>
      <c r="FZ321">
        <v>20.449835409420192</v>
      </c>
      <c r="GA321">
        <v>20.385726957586623</v>
      </c>
      <c r="GB321">
        <v>5.6951398183743702</v>
      </c>
      <c r="GC321">
        <v>3.578211088242679</v>
      </c>
      <c r="GD321">
        <v>1.6137662854210462</v>
      </c>
      <c r="GE321">
        <v>1.2495610916112958</v>
      </c>
      <c r="GF321">
        <v>2.4943975906612286</v>
      </c>
      <c r="GG321">
        <v>2.1223558182936726</v>
      </c>
      <c r="GH321">
        <v>4.1525752418645325</v>
      </c>
      <c r="GI321">
        <v>6.4623532730184259</v>
      </c>
      <c r="GJ321"/>
      <c r="GK321">
        <v>20.518142930936442</v>
      </c>
      <c r="GL321">
        <v>17.271925210734963</v>
      </c>
      <c r="GM321">
        <v>9.4690997403597716</v>
      </c>
      <c r="GN321">
        <v>10.727911891343711</v>
      </c>
      <c r="GO321">
        <v>6.2767601086369025</v>
      </c>
      <c r="GP321">
        <v>2.3922861295681064</v>
      </c>
      <c r="GQ321">
        <v>3.0496790387187414</v>
      </c>
      <c r="GR321">
        <v>2.9819707053854079</v>
      </c>
      <c r="GS321">
        <v>4.425798207990467</v>
      </c>
      <c r="GT321">
        <v>8.7478960053284638</v>
      </c>
      <c r="GU321"/>
      <c r="GV321"/>
      <c r="GW321"/>
      <c r="GX321"/>
      <c r="GY321"/>
      <c r="GZ321"/>
      <c r="HA321"/>
      <c r="HB321"/>
      <c r="HC321"/>
    </row>
    <row r="322" spans="1:211" s="7" customFormat="1">
      <c r="A322" s="1"/>
      <c r="B322">
        <v>0.25391574014025764</v>
      </c>
      <c r="C322">
        <v>8</v>
      </c>
      <c r="D322">
        <v>39987</v>
      </c>
      <c r="E322">
        <v>0</v>
      </c>
      <c r="F322">
        <v>56.089743589743591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74.213650104529364</v>
      </c>
      <c r="AO322">
        <v>8.5449690334966597</v>
      </c>
      <c r="AP322">
        <v>71.435682184096791</v>
      </c>
      <c r="AQ322">
        <v>60.824470679241131</v>
      </c>
      <c r="AR322">
        <v>8.8869702853173251</v>
      </c>
      <c r="AS322">
        <v>55.050763108340398</v>
      </c>
      <c r="AT322" t="e">
        <v>#DIV/0!</v>
      </c>
      <c r="AU322" t="e">
        <v>#DIV/0!</v>
      </c>
      <c r="AV322"/>
      <c r="AW322"/>
      <c r="FY322" s="211">
        <v>317</v>
      </c>
      <c r="FZ322">
        <v>12.941668834356715</v>
      </c>
      <c r="GA322">
        <v>11.099440841103972</v>
      </c>
      <c r="GB322">
        <v>6.3138720753829469</v>
      </c>
      <c r="GC322">
        <v>3.1323844888115806</v>
      </c>
      <c r="GD322">
        <v>1.9066233560304731</v>
      </c>
      <c r="GE322">
        <v>3.0928880892309949</v>
      </c>
      <c r="GF322">
        <v>1.1848969423958331</v>
      </c>
      <c r="GG322">
        <v>0.93547881510416664</v>
      </c>
      <c r="GH322">
        <v>4.2706626447974099</v>
      </c>
      <c r="GI322">
        <v>5.4519025336691795</v>
      </c>
      <c r="GJ322"/>
      <c r="GK322">
        <v>12.990332979908297</v>
      </c>
      <c r="GL322">
        <v>9.4038834333839123</v>
      </c>
      <c r="GM322">
        <v>10.532795516714623</v>
      </c>
      <c r="GN322">
        <v>9.4398997826140736</v>
      </c>
      <c r="GO322">
        <v>7.3910416712174252</v>
      </c>
      <c r="GP322">
        <v>5.9213377607914204</v>
      </c>
      <c r="GQ322">
        <v>1.4519675925925923</v>
      </c>
      <c r="GR322">
        <v>1.3165509259259258</v>
      </c>
      <c r="GS322">
        <v>4.5534849869768461</v>
      </c>
      <c r="GT322">
        <v>7.3839245494819572</v>
      </c>
      <c r="GU322"/>
      <c r="GV322"/>
      <c r="GW322"/>
      <c r="GX322"/>
      <c r="GY322"/>
      <c r="GZ322"/>
      <c r="HA322"/>
      <c r="HB322"/>
      <c r="HC322"/>
    </row>
    <row r="323" spans="1:211" s="7" customFormat="1">
      <c r="A323" s="1"/>
      <c r="B323">
        <v>0.94862398369594381</v>
      </c>
      <c r="C323">
        <v>10</v>
      </c>
      <c r="D323">
        <v>39987</v>
      </c>
      <c r="E323">
        <v>0</v>
      </c>
      <c r="F323">
        <v>49.942922374429216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53.678444884627098</v>
      </c>
      <c r="AO323">
        <v>6.6462867371502643</v>
      </c>
      <c r="AP323">
        <v>74.361542220924306</v>
      </c>
      <c r="AQ323">
        <v>40.06536864001869</v>
      </c>
      <c r="AR323">
        <v>7.1515570889131475</v>
      </c>
      <c r="AS323">
        <v>44.4501775127274</v>
      </c>
      <c r="AT323" t="e">
        <v>#DIV/0!</v>
      </c>
      <c r="AU323" t="e">
        <v>#DIV/0!</v>
      </c>
      <c r="AV323"/>
      <c r="AW323"/>
      <c r="FY323" s="211">
        <v>318</v>
      </c>
      <c r="FZ323">
        <v>12.883698907894164</v>
      </c>
      <c r="GA323">
        <v>13.32531693476686</v>
      </c>
      <c r="GB323">
        <v>6.6065501169638203</v>
      </c>
      <c r="GC323">
        <v>3.4125848174818287</v>
      </c>
      <c r="GD323">
        <v>1.6620181896336901</v>
      </c>
      <c r="GE323">
        <v>1.8517866495798323</v>
      </c>
      <c r="GF323">
        <v>0</v>
      </c>
      <c r="GG323">
        <v>0.37419152604166667</v>
      </c>
      <c r="GH323">
        <v>4.9812636845283409</v>
      </c>
      <c r="GI323">
        <v>5.2701960985847291</v>
      </c>
      <c r="GJ323"/>
      <c r="GK323">
        <v>12.928422758616868</v>
      </c>
      <c r="GL323">
        <v>11.290777916643522</v>
      </c>
      <c r="GM323">
        <v>10.982917096666286</v>
      </c>
      <c r="GN323">
        <v>10.221279304702104</v>
      </c>
      <c r="GO323">
        <v>6.4433808497253544</v>
      </c>
      <c r="GP323">
        <v>3.5452476445123509</v>
      </c>
      <c r="GQ323">
        <v>0</v>
      </c>
      <c r="GR323">
        <v>0.52662037037037035</v>
      </c>
      <c r="GS323">
        <v>5.3112792233740667</v>
      </c>
      <c r="GT323">
        <v>7.1331999856765158</v>
      </c>
      <c r="GU323"/>
      <c r="GV323"/>
      <c r="GW323"/>
      <c r="GX323"/>
      <c r="GY323"/>
      <c r="GZ323"/>
      <c r="HA323"/>
      <c r="HB323"/>
      <c r="HC323"/>
    </row>
    <row r="324" spans="1:211" s="7" customFormat="1">
      <c r="A324" s="1"/>
      <c r="B324">
        <v>0.19696555912739466</v>
      </c>
      <c r="C324">
        <v>4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56.656248879155726</v>
      </c>
      <c r="AO324">
        <v>7.0649267817754211</v>
      </c>
      <c r="AP324">
        <v>46.150837666630174</v>
      </c>
      <c r="AQ324">
        <v>53.833774888220788</v>
      </c>
      <c r="AR324">
        <v>7.3420359277818328</v>
      </c>
      <c r="AS324">
        <v>48.888674393944541</v>
      </c>
      <c r="AT324" t="e">
        <v>#DIV/0!</v>
      </c>
      <c r="AU324" t="e">
        <v>#DIV/0!</v>
      </c>
      <c r="AV324"/>
      <c r="AW324"/>
      <c r="FY324" s="211">
        <v>319</v>
      </c>
      <c r="FZ324">
        <v>9.0375477891643925</v>
      </c>
      <c r="GA324">
        <v>5.9908068061249686</v>
      </c>
      <c r="GB324">
        <v>5.582021460681986</v>
      </c>
      <c r="GC324">
        <v>2.9290804685335865</v>
      </c>
      <c r="GD324">
        <v>1.7646195132564817</v>
      </c>
      <c r="GE324">
        <v>2.6240277129138172</v>
      </c>
      <c r="GF324">
        <v>1.822456380763134</v>
      </c>
      <c r="GG324">
        <v>1.5387173901607791</v>
      </c>
      <c r="GH324">
        <v>4.7250210495102971</v>
      </c>
      <c r="GI324">
        <v>4.8012209507673926</v>
      </c>
      <c r="GJ324"/>
      <c r="GK324">
        <v>9.0748063525584168</v>
      </c>
      <c r="GL324">
        <v>5.0760193813176455</v>
      </c>
      <c r="GM324">
        <v>9.3248712089952335</v>
      </c>
      <c r="GN324">
        <v>8.8491865861417551</v>
      </c>
      <c r="GO324">
        <v>6.8514287607337065</v>
      </c>
      <c r="GP324">
        <v>5.0237040376404272</v>
      </c>
      <c r="GQ324">
        <v>2.2332301731078905</v>
      </c>
      <c r="GR324">
        <v>2.165521839774557</v>
      </c>
      <c r="GS324">
        <v>5.0369541969119904</v>
      </c>
      <c r="GT324">
        <v>6.5042581384614477</v>
      </c>
      <c r="GU324"/>
      <c r="GV324"/>
      <c r="GW324"/>
      <c r="GX324"/>
      <c r="GY324"/>
      <c r="GZ324"/>
      <c r="HA324"/>
      <c r="HB324"/>
      <c r="HC324"/>
    </row>
    <row r="325" spans="1:211" s="7" customFormat="1">
      <c r="A325" s="1"/>
      <c r="B325">
        <v>0.62186458217488205</v>
      </c>
      <c r="C325">
        <v>3</v>
      </c>
      <c r="D325">
        <v>39987</v>
      </c>
      <c r="E325">
        <v>67.51543209876543</v>
      </c>
      <c r="F325">
        <v>202.5462962962963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70.802507990264232</v>
      </c>
      <c r="AO325">
        <v>7.6806607158286155</v>
      </c>
      <c r="AP325">
        <v>54.902072360680037</v>
      </c>
      <c r="AQ325">
        <v>60.548526160813353</v>
      </c>
      <c r="AR325">
        <v>8.0353386558558686</v>
      </c>
      <c r="AS325">
        <v>50.253600809838694</v>
      </c>
      <c r="AT325" t="e">
        <v>#DIV/0!</v>
      </c>
      <c r="AU325" t="e">
        <v>#DIV/0!</v>
      </c>
      <c r="AV325"/>
      <c r="AW325"/>
      <c r="FY325" s="211">
        <v>320</v>
      </c>
      <c r="FZ325">
        <v>17.5055081838855</v>
      </c>
      <c r="GA325">
        <v>12.59437965210315</v>
      </c>
      <c r="GB325">
        <v>3.0849677356534726</v>
      </c>
      <c r="GC325">
        <v>2.3173556946197555</v>
      </c>
      <c r="GD325">
        <v>1.4136805807234218</v>
      </c>
      <c r="GE325">
        <v>1.5610407769767443</v>
      </c>
      <c r="GF325">
        <v>2.4718421070765366</v>
      </c>
      <c r="GG325">
        <v>2.8029892866247419</v>
      </c>
      <c r="GH325">
        <v>5.1673386933313825</v>
      </c>
      <c r="GI325">
        <v>5.4233072502495423</v>
      </c>
      <c r="GJ325"/>
      <c r="GK325">
        <v>17.575434728244861</v>
      </c>
      <c r="GL325">
        <v>10.671927146925469</v>
      </c>
      <c r="GM325">
        <v>5.1128846350527581</v>
      </c>
      <c r="GN325">
        <v>6.9053049114234994</v>
      </c>
      <c r="GO325">
        <v>5.4812482696566995</v>
      </c>
      <c r="GP325">
        <v>2.9886143410852717</v>
      </c>
      <c r="GQ325">
        <v>3.0220396466092407</v>
      </c>
      <c r="GR325">
        <v>3.9398637206833147</v>
      </c>
      <c r="GS325">
        <v>5.5085672070415734</v>
      </c>
      <c r="GT325">
        <v>7.3400348973210257</v>
      </c>
      <c r="GU325"/>
      <c r="GV325"/>
      <c r="GW325"/>
      <c r="GX325"/>
      <c r="GY325"/>
      <c r="GZ325"/>
      <c r="HA325"/>
      <c r="HB325"/>
      <c r="HC325"/>
    </row>
    <row r="326" spans="1:211" s="7" customFormat="1">
      <c r="A326" s="1"/>
      <c r="B326">
        <v>0.87410012833768613</v>
      </c>
      <c r="C326">
        <v>8</v>
      </c>
      <c r="D326">
        <v>39987</v>
      </c>
      <c r="E326">
        <v>0</v>
      </c>
      <c r="F326">
        <v>56.089743589743591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65.633320673073328</v>
      </c>
      <c r="AO326">
        <v>7.8712602507287599</v>
      </c>
      <c r="AP326">
        <v>93.36217398830189</v>
      </c>
      <c r="AQ326">
        <v>61.291243376779171</v>
      </c>
      <c r="AR326">
        <v>8.2090548567637427</v>
      </c>
      <c r="AS326">
        <v>50.469194208301694</v>
      </c>
      <c r="AT326" t="e">
        <v>#DIV/0!</v>
      </c>
      <c r="AU326" t="e">
        <v>#DIV/0!</v>
      </c>
      <c r="AV326"/>
      <c r="AW326"/>
      <c r="FY326" s="211">
        <v>321</v>
      </c>
      <c r="FZ326">
        <v>13.488986527716488</v>
      </c>
      <c r="GA326">
        <v>13.237723161257607</v>
      </c>
      <c r="GB326">
        <v>7.4162537678911322</v>
      </c>
      <c r="GC326">
        <v>3.7668997340611674</v>
      </c>
      <c r="GD326">
        <v>2.2601935058480698</v>
      </c>
      <c r="GE326">
        <v>3.3346384775649796</v>
      </c>
      <c r="GF326">
        <v>1.7220911520312501</v>
      </c>
      <c r="GG326">
        <v>2.151601274739583</v>
      </c>
      <c r="GH326">
        <v>3.7110837834246539</v>
      </c>
      <c r="GI326">
        <v>6.011712762216388</v>
      </c>
      <c r="GJ326"/>
      <c r="GK326">
        <v>13.534366127321089</v>
      </c>
      <c r="GL326">
        <v>11.215716087676375</v>
      </c>
      <c r="GM326">
        <v>12.281013915721198</v>
      </c>
      <c r="GN326">
        <v>11.22120876539144</v>
      </c>
      <c r="GO326">
        <v>8.7736565051331059</v>
      </c>
      <c r="GP326">
        <v>6.3841691539194958</v>
      </c>
      <c r="GQ326">
        <v>2.1102430555555554</v>
      </c>
      <c r="GR326">
        <v>3.0280671296296289</v>
      </c>
      <c r="GS326">
        <v>3.9547809578636279</v>
      </c>
      <c r="GT326">
        <v>8.1308121123189157</v>
      </c>
      <c r="GU326"/>
      <c r="GV326"/>
      <c r="GW326"/>
      <c r="GX326"/>
      <c r="GY326"/>
      <c r="GZ326"/>
      <c r="HA326"/>
      <c r="HB326"/>
      <c r="HC326"/>
    </row>
    <row r="327" spans="1:211" s="7" customFormat="1">
      <c r="A327" s="1"/>
      <c r="B327">
        <v>0.44469755609439621</v>
      </c>
      <c r="C327">
        <v>4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54.549300021408364</v>
      </c>
      <c r="AO327">
        <v>6.1811403438353878</v>
      </c>
      <c r="AP327">
        <v>28.379322616161005</v>
      </c>
      <c r="AQ327">
        <v>42.232973424754796</v>
      </c>
      <c r="AR327">
        <v>6.569562345982277</v>
      </c>
      <c r="AS327">
        <v>40.214892846355973</v>
      </c>
      <c r="AT327" t="e">
        <v>#DIV/0!</v>
      </c>
      <c r="AU327" t="e">
        <v>#DIV/0!</v>
      </c>
      <c r="AV327"/>
      <c r="AW327"/>
      <c r="FY327" s="211">
        <v>322</v>
      </c>
      <c r="FZ327">
        <v>8.8057678223786766</v>
      </c>
      <c r="GA327">
        <v>6.6281540258401677</v>
      </c>
      <c r="GB327">
        <v>3.5562606849368796</v>
      </c>
      <c r="GC327">
        <v>2.0457497504640925</v>
      </c>
      <c r="GD327">
        <v>1.4631934134453781</v>
      </c>
      <c r="GE327">
        <v>1.8517866495798316</v>
      </c>
      <c r="GF327">
        <v>0.59244847119791655</v>
      </c>
      <c r="GG327">
        <v>1.2161224596354168</v>
      </c>
      <c r="GH327">
        <v>6.6960836218361397</v>
      </c>
      <c r="GI327">
        <v>4.1798646061842097</v>
      </c>
      <c r="GJ327"/>
      <c r="GK327">
        <v>8.8426634954155592</v>
      </c>
      <c r="GL327">
        <v>5.6169570207788668</v>
      </c>
      <c r="GM327">
        <v>5.8934398302325306</v>
      </c>
      <c r="GN327">
        <v>6.0959678448245525</v>
      </c>
      <c r="GO327">
        <v>5.6732238349885407</v>
      </c>
      <c r="GP327">
        <v>3.54524764451235</v>
      </c>
      <c r="GQ327">
        <v>0.72598379629629617</v>
      </c>
      <c r="GR327">
        <v>1.7115162037037035</v>
      </c>
      <c r="GS327">
        <v>7.1390798238904765</v>
      </c>
      <c r="GT327">
        <v>5.6548781561646813</v>
      </c>
      <c r="GU327"/>
      <c r="GV327"/>
      <c r="GW327"/>
      <c r="GX327"/>
      <c r="GY327"/>
      <c r="GZ327"/>
      <c r="HA327"/>
      <c r="HB327"/>
      <c r="HC327"/>
    </row>
    <row r="328" spans="1:211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61.138473345245373</v>
      </c>
      <c r="AO328">
        <v>6.9452366272115684</v>
      </c>
      <c r="AP328">
        <v>107.01746453848826</v>
      </c>
      <c r="AQ328">
        <v>48.274886806647515</v>
      </c>
      <c r="AR328">
        <v>7.8005753238200484</v>
      </c>
      <c r="AS328">
        <v>49.094165604752988</v>
      </c>
      <c r="AT328" t="e">
        <v>#DIV/0!</v>
      </c>
      <c r="AU328" t="e">
        <v>#DIV/0!</v>
      </c>
      <c r="AV328"/>
      <c r="AW328"/>
      <c r="FY328" s="211">
        <v>323</v>
      </c>
      <c r="FZ328">
        <v>16.404250352475575</v>
      </c>
      <c r="GA328">
        <v>14.343263540425726</v>
      </c>
      <c r="GB328">
        <v>4.5391471428899539</v>
      </c>
      <c r="GC328">
        <v>3.1579784199567786</v>
      </c>
      <c r="GD328">
        <v>1.7102468188346676</v>
      </c>
      <c r="GE328">
        <v>1.5763151485714288</v>
      </c>
      <c r="GF328">
        <v>1.8707531456483986</v>
      </c>
      <c r="GG328">
        <v>1.532184007852873</v>
      </c>
      <c r="GH328">
        <v>3.8530792237985882</v>
      </c>
      <c r="GI328">
        <v>5.4728660087614482</v>
      </c>
      <c r="GJ328"/>
      <c r="GK328">
        <v>16.465629417644582</v>
      </c>
      <c r="GL328">
        <v>12.153295915622076</v>
      </c>
      <c r="GM328">
        <v>7.5218764167020904</v>
      </c>
      <c r="GN328">
        <v>9.4278929748735933</v>
      </c>
      <c r="GO328">
        <v>6.650843026687844</v>
      </c>
      <c r="GP328">
        <v>3.0178571428571432</v>
      </c>
      <c r="GQ328">
        <v>2.2900978236952971</v>
      </c>
      <c r="GR328">
        <v>2.1546811570286302</v>
      </c>
      <c r="GS328">
        <v>4.1051862981546066</v>
      </c>
      <c r="GT328">
        <v>7.4067265965768829</v>
      </c>
      <c r="GU328"/>
      <c r="GV328"/>
      <c r="GW328"/>
      <c r="GX328"/>
      <c r="GY328"/>
      <c r="GZ328"/>
      <c r="HA328"/>
      <c r="HB328"/>
      <c r="HC328"/>
    </row>
    <row r="329" spans="1:211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53.679149036762773</v>
      </c>
      <c r="AO329">
        <v>6.7143628903504409</v>
      </c>
      <c r="AP329">
        <v>4.12611615288258</v>
      </c>
      <c r="AQ329">
        <v>48.762373395925856</v>
      </c>
      <c r="AR329">
        <v>6.8696225611567412</v>
      </c>
      <c r="AS329">
        <v>39.172794847045878</v>
      </c>
      <c r="AT329">
        <v>5.4490848332903923</v>
      </c>
      <c r="AU329">
        <v>-0.98418960148758661</v>
      </c>
      <c r="AV329"/>
      <c r="AW329"/>
      <c r="FY329" s="211">
        <v>324</v>
      </c>
      <c r="FZ329">
        <v>18.312986410884314</v>
      </c>
      <c r="GA329">
        <v>19.325590487429825</v>
      </c>
      <c r="GB329">
        <v>5.9794757196484563</v>
      </c>
      <c r="GC329">
        <v>2.6802232146161171</v>
      </c>
      <c r="GD329">
        <v>1.2743536676682463</v>
      </c>
      <c r="GE329">
        <v>1.7725949076196992</v>
      </c>
      <c r="GF329">
        <v>2.2974388321588153</v>
      </c>
      <c r="GG329">
        <v>3.1224979935299566</v>
      </c>
      <c r="GH329">
        <v>4.8003856983067736</v>
      </c>
      <c r="GI329">
        <v>6.0855918713618991</v>
      </c>
      <c r="GJ329"/>
      <c r="GK329">
        <v>18.348768061223524</v>
      </c>
      <c r="GL329">
        <v>16.375385013593736</v>
      </c>
      <c r="GM329">
        <v>9.9058826458325591</v>
      </c>
      <c r="GN329">
        <v>7.9898388538867549</v>
      </c>
      <c r="GO329">
        <v>4.9505263543165938</v>
      </c>
      <c r="GP329">
        <v>3.393634964556647</v>
      </c>
      <c r="GQ329">
        <v>2.812956619991593</v>
      </c>
      <c r="GR329">
        <v>4.3928177311027046</v>
      </c>
      <c r="GS329">
        <v>5.1203365300423735</v>
      </c>
      <c r="GT329">
        <v>8.2276940422813265</v>
      </c>
      <c r="GU329"/>
      <c r="GV329"/>
      <c r="GW329"/>
      <c r="GX329"/>
      <c r="GY329"/>
      <c r="GZ329"/>
      <c r="HA329"/>
      <c r="HB329"/>
      <c r="HC329"/>
    </row>
    <row r="330" spans="1:211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50.226791932253988</v>
      </c>
      <c r="AO330">
        <v>6.7719753915689065</v>
      </c>
      <c r="AP330">
        <v>66.3113091440147</v>
      </c>
      <c r="AQ330">
        <v>45.559617534502479</v>
      </c>
      <c r="AR330">
        <v>7.3300545427385435</v>
      </c>
      <c r="AS330">
        <v>44.605010518042668</v>
      </c>
      <c r="AT330" t="e">
        <v>#DIV/0!</v>
      </c>
      <c r="AU330" t="e">
        <v>#DIV/0!</v>
      </c>
      <c r="AV330"/>
      <c r="AW330"/>
      <c r="FY330" s="211">
        <v>325</v>
      </c>
      <c r="FZ330">
        <v>21.682885374053278</v>
      </c>
      <c r="GA330">
        <v>22.650212609331177</v>
      </c>
      <c r="GB330">
        <v>7.5936895437301306</v>
      </c>
      <c r="GC330">
        <v>4.1376309444491159</v>
      </c>
      <c r="GD330">
        <v>2.0786962848174717</v>
      </c>
      <c r="GE330">
        <v>1.9847911776196994</v>
      </c>
      <c r="GF330">
        <v>2.4305028388685068</v>
      </c>
      <c r="GG330">
        <v>3.190247577282221</v>
      </c>
      <c r="GH330">
        <v>3.2821623480764828</v>
      </c>
      <c r="GI330">
        <v>7.2270362408218549</v>
      </c>
      <c r="GJ330"/>
      <c r="GK330">
        <v>21.756681044741608</v>
      </c>
      <c r="GL330">
        <v>19.190027793932739</v>
      </c>
      <c r="GM330">
        <v>12.617068935235121</v>
      </c>
      <c r="GN330">
        <v>12.381489047762013</v>
      </c>
      <c r="GO330">
        <v>8.0597063931280779</v>
      </c>
      <c r="GP330">
        <v>3.7998849645566475</v>
      </c>
      <c r="GQ330">
        <v>2.976012678767761</v>
      </c>
      <c r="GR330">
        <v>4.4881654565455387</v>
      </c>
      <c r="GS330">
        <v>3.501664764079147</v>
      </c>
      <c r="GT330">
        <v>9.7822267631903443</v>
      </c>
      <c r="GU330"/>
      <c r="GV330"/>
      <c r="GW330"/>
      <c r="GX330"/>
      <c r="GY330"/>
      <c r="GZ330"/>
      <c r="HA330"/>
      <c r="HB330"/>
      <c r="HC330"/>
    </row>
    <row r="331" spans="1:211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61.975964979523312</v>
      </c>
      <c r="AO331">
        <v>7.1739143228839524</v>
      </c>
      <c r="AP331">
        <v>21.025018156309429</v>
      </c>
      <c r="AQ331">
        <v>50.321461662942916</v>
      </c>
      <c r="AR331">
        <v>7.4876844547602905</v>
      </c>
      <c r="AS331">
        <v>47.150621000286733</v>
      </c>
      <c r="AT331" t="e">
        <v>#DIV/0!</v>
      </c>
      <c r="AU331" t="e">
        <v>#DIV/0!</v>
      </c>
      <c r="AV331"/>
      <c r="AW331"/>
      <c r="FY331" s="211">
        <v>326</v>
      </c>
      <c r="FZ331">
        <v>9.1126086081182116</v>
      </c>
      <c r="GA331">
        <v>5.4524880941860276</v>
      </c>
      <c r="GB331">
        <v>4.5954372356443489</v>
      </c>
      <c r="GC331">
        <v>2.7894722720551961</v>
      </c>
      <c r="GD331">
        <v>1.6967006121520123</v>
      </c>
      <c r="GE331">
        <v>2.6415891561911278</v>
      </c>
      <c r="GF331">
        <v>1.1296426808333333</v>
      </c>
      <c r="GG331">
        <v>1.3096703411458332</v>
      </c>
      <c r="GH331">
        <v>4.9935777723592008</v>
      </c>
      <c r="GI331">
        <v>4.450634273084658</v>
      </c>
      <c r="GJ331"/>
      <c r="GK331">
        <v>9.1462324686830421</v>
      </c>
      <c r="GL331">
        <v>4.6204337229424608</v>
      </c>
      <c r="GM331">
        <v>7.7299814905347102</v>
      </c>
      <c r="GN331">
        <v>8.4913333766152128</v>
      </c>
      <c r="GO331">
        <v>6.5865993123616473</v>
      </c>
      <c r="GP331">
        <v>5.0573254407471238</v>
      </c>
      <c r="GQ331">
        <v>1.3842592592592591</v>
      </c>
      <c r="GR331">
        <v>1.8431712962962961</v>
      </c>
      <c r="GS331">
        <v>5.3248876110913725</v>
      </c>
      <c r="GT331">
        <v>6.034392028386006</v>
      </c>
      <c r="GU331"/>
      <c r="GV331"/>
      <c r="GW331"/>
      <c r="GX331"/>
      <c r="GY331"/>
      <c r="GZ331"/>
      <c r="HA331"/>
      <c r="HB331"/>
      <c r="HC331"/>
    </row>
    <row r="332" spans="1:211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75.500443835795352</v>
      </c>
      <c r="AO332">
        <v>8.5861469969002968</v>
      </c>
      <c r="AP332">
        <v>54.44256478315058</v>
      </c>
      <c r="AQ332">
        <v>68.203922574494072</v>
      </c>
      <c r="AR332">
        <v>8.7478960053284656</v>
      </c>
      <c r="AS332">
        <v>51.996726363281766</v>
      </c>
      <c r="AT332" t="e">
        <v>#DIV/0!</v>
      </c>
      <c r="AU332" t="e">
        <v>#DIV/0!</v>
      </c>
      <c r="AV332"/>
      <c r="AW332"/>
      <c r="FY332" s="211">
        <v>327</v>
      </c>
      <c r="FZ332">
        <v>11.996208907676319</v>
      </c>
      <c r="GA332">
        <v>15.18624715153269</v>
      </c>
      <c r="GB332">
        <v>6.5567400226959531</v>
      </c>
      <c r="GC332">
        <v>2.658236991080714</v>
      </c>
      <c r="GD332">
        <v>1.1794900756987505</v>
      </c>
      <c r="GE332">
        <v>1.2758253452941177</v>
      </c>
      <c r="GF332">
        <v>2.3752485773060066</v>
      </c>
      <c r="GG332">
        <v>2.8160560512405537</v>
      </c>
      <c r="GH332">
        <v>5.1591911028321489</v>
      </c>
      <c r="GI332">
        <v>5.3062650319440055</v>
      </c>
      <c r="GJ332"/>
      <c r="GK332">
        <v>12.042349078976263</v>
      </c>
      <c r="GL332">
        <v>12.86562070736578</v>
      </c>
      <c r="GM332">
        <v>10.856455458888602</v>
      </c>
      <c r="GN332">
        <v>7.919367567754426</v>
      </c>
      <c r="GO332">
        <v>4.581968668056728</v>
      </c>
      <c r="GP332">
        <v>2.4425690730837792</v>
      </c>
      <c r="GQ332">
        <v>2.9083043454344271</v>
      </c>
      <c r="GR332">
        <v>3.9615450861751675</v>
      </c>
      <c r="GS332">
        <v>5.4975611336256964</v>
      </c>
      <c r="GT332">
        <v>7.1773277369963422</v>
      </c>
      <c r="GU332"/>
      <c r="GV332"/>
      <c r="GW332"/>
      <c r="GX332"/>
      <c r="GY332"/>
      <c r="GZ332"/>
      <c r="HA332"/>
      <c r="HB332"/>
      <c r="HC332"/>
    </row>
    <row r="333" spans="1:211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57.633186063043262</v>
      </c>
      <c r="AO333">
        <v>7.0385219199607061</v>
      </c>
      <c r="AP333">
        <v>58.071975661690189</v>
      </c>
      <c r="AQ333">
        <v>50.329818620883273</v>
      </c>
      <c r="AR333">
        <v>7.383924549481959</v>
      </c>
      <c r="AS333">
        <v>45.10388957651859</v>
      </c>
      <c r="AT333" t="e">
        <v>#DIV/0!</v>
      </c>
      <c r="AU333" t="e">
        <v>#DIV/0!</v>
      </c>
      <c r="AV333"/>
      <c r="AW333"/>
      <c r="FY333" s="211">
        <v>328</v>
      </c>
      <c r="FZ333">
        <v>14.763801279804035</v>
      </c>
      <c r="GA333">
        <v>18.049695017377392</v>
      </c>
      <c r="GB333">
        <v>8.1580388599526561</v>
      </c>
      <c r="GC333">
        <v>3.4695685587951823</v>
      </c>
      <c r="GD333">
        <v>2.2929978081831965</v>
      </c>
      <c r="GE333">
        <v>2.9867899542309955</v>
      </c>
      <c r="GF333">
        <v>2.4391433290987283</v>
      </c>
      <c r="GG333">
        <v>3.2449303964186726</v>
      </c>
      <c r="GH333">
        <v>4.2835603236435666</v>
      </c>
      <c r="GI333">
        <v>6.6209959213852656</v>
      </c>
      <c r="GJ333"/>
      <c r="GK333">
        <v>14.815026348612514</v>
      </c>
      <c r="GL333">
        <v>15.293383280786061</v>
      </c>
      <c r="GM333">
        <v>13.511051826434024</v>
      </c>
      <c r="GN333">
        <v>10.339802057598597</v>
      </c>
      <c r="GO333">
        <v>8.9001041505513676</v>
      </c>
      <c r="GP333">
        <v>5.7182127607914213</v>
      </c>
      <c r="GQ333">
        <v>2.9819707053854079</v>
      </c>
      <c r="GR333">
        <v>4.561831816496519</v>
      </c>
      <c r="GS333">
        <v>4.5661588457863438</v>
      </c>
      <c r="GT333">
        <v>8.9548623753539314</v>
      </c>
      <c r="GU333"/>
      <c r="GV333"/>
      <c r="GW333"/>
      <c r="GX333"/>
      <c r="GY333"/>
      <c r="GZ333"/>
      <c r="HA333"/>
      <c r="HB333"/>
      <c r="HC333"/>
    </row>
    <row r="334" spans="1:211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56.670690629899482</v>
      </c>
      <c r="AO334">
        <v>6.8383125150287443</v>
      </c>
      <c r="AP334">
        <v>9.5476999419904622</v>
      </c>
      <c r="AQ334">
        <v>50.367606925474931</v>
      </c>
      <c r="AR334">
        <v>7.1331999856765158</v>
      </c>
      <c r="AS334">
        <v>44.26175870110081</v>
      </c>
      <c r="AT334" t="e">
        <v>#DIV/0!</v>
      </c>
      <c r="AU334" t="e">
        <v>#DIV/0!</v>
      </c>
      <c r="AV334"/>
      <c r="AW334"/>
      <c r="FY334" s="211">
        <v>329</v>
      </c>
      <c r="FZ334">
        <v>14.751502951919825</v>
      </c>
      <c r="GA334">
        <v>13.624091792526771</v>
      </c>
      <c r="GB334">
        <v>5.7478588705970077</v>
      </c>
      <c r="GC334">
        <v>2.7854615565138183</v>
      </c>
      <c r="GD334">
        <v>1.2704263650936773</v>
      </c>
      <c r="GE334">
        <v>1.5610407769767443</v>
      </c>
      <c r="GF334">
        <v>2.9902525320886162</v>
      </c>
      <c r="GG334">
        <v>2.9773535165032357</v>
      </c>
      <c r="GH334">
        <v>3.2133081978985829</v>
      </c>
      <c r="GI334">
        <v>5.3745055143899192</v>
      </c>
      <c r="GJ334"/>
      <c r="GK334">
        <v>14.823162434754803</v>
      </c>
      <c r="GL334">
        <v>11.5421940358478</v>
      </c>
      <c r="GM334">
        <v>9.5557847118431596</v>
      </c>
      <c r="GN334">
        <v>8.357295387916162</v>
      </c>
      <c r="GO334">
        <v>4.9338108317474134</v>
      </c>
      <c r="GP334">
        <v>2.9886143410852712</v>
      </c>
      <c r="GQ334">
        <v>3.6619275338402248</v>
      </c>
      <c r="GR334">
        <v>4.1885479042105951</v>
      </c>
      <c r="GS334">
        <v>3.4255582731918279</v>
      </c>
      <c r="GT334">
        <v>7.2800487570754857</v>
      </c>
      <c r="GU334"/>
      <c r="GV334"/>
      <c r="GW334"/>
      <c r="GX334"/>
      <c r="GY334"/>
      <c r="GZ334"/>
      <c r="HA334"/>
      <c r="HB334"/>
      <c r="HC334"/>
    </row>
    <row r="335" spans="1:211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47.023185519801089</v>
      </c>
      <c r="AO335">
        <v>6.013998067564307</v>
      </c>
      <c r="AP335">
        <v>62.380413973612036</v>
      </c>
      <c r="AQ335">
        <v>40.815519521876844</v>
      </c>
      <c r="AR335">
        <v>6.504258138461446</v>
      </c>
      <c r="AS335">
        <v>39.191936282071076</v>
      </c>
      <c r="AT335" t="e">
        <v>#DIV/0!</v>
      </c>
      <c r="AU335" t="e">
        <v>#DIV/0!</v>
      </c>
      <c r="AV335"/>
      <c r="AW335"/>
      <c r="FY335" s="211">
        <v>330</v>
      </c>
      <c r="FZ335">
        <v>13.703953656422589</v>
      </c>
      <c r="GA335">
        <v>8.6350630385648355</v>
      </c>
      <c r="GB335">
        <v>4.533498230996484</v>
      </c>
      <c r="GC335">
        <v>3.1491330914744626</v>
      </c>
      <c r="GD335">
        <v>1.8960256516701026</v>
      </c>
      <c r="GE335">
        <v>2.8446836348739497</v>
      </c>
      <c r="GF335">
        <v>1.2074524259805255</v>
      </c>
      <c r="GG335">
        <v>1.7516114509397644</v>
      </c>
      <c r="GH335">
        <v>6.5453208582468569</v>
      </c>
      <c r="GI335">
        <v>5.4866104992447591</v>
      </c>
      <c r="GJ335"/>
      <c r="GK335">
        <v>13.760245321796738</v>
      </c>
      <c r="GL335">
        <v>7.3186737534864728</v>
      </c>
      <c r="GM335">
        <v>7.5901256946466251</v>
      </c>
      <c r="GN335">
        <v>9.5049039891684775</v>
      </c>
      <c r="GO335">
        <v>7.3609283454513132</v>
      </c>
      <c r="GP335">
        <v>5.4461500509294627</v>
      </c>
      <c r="GQ335">
        <v>1.4796069847020934</v>
      </c>
      <c r="GR335">
        <v>2.4651393921095006</v>
      </c>
      <c r="GS335">
        <v>6.9802180966665359</v>
      </c>
      <c r="GT335">
        <v>7.4342248886526621</v>
      </c>
      <c r="GU335"/>
      <c r="GV335"/>
      <c r="GW335"/>
      <c r="GX335"/>
      <c r="GY335"/>
      <c r="GZ335"/>
      <c r="HA335"/>
      <c r="HB335"/>
      <c r="HC335"/>
    </row>
    <row r="336" spans="1:211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57.310050028568561</v>
      </c>
      <c r="AO336">
        <v>6.8545919504043722</v>
      </c>
      <c r="AP336">
        <v>3.4663070445091728</v>
      </c>
      <c r="AQ336">
        <v>54.34240996124425</v>
      </c>
      <c r="AR336">
        <v>7.3400348973210292</v>
      </c>
      <c r="AS336">
        <v>45.20590029451057</v>
      </c>
      <c r="AT336">
        <v>5.9249643625252979</v>
      </c>
      <c r="AU336">
        <v>1.1914554809359625</v>
      </c>
      <c r="AV336"/>
      <c r="AW336"/>
      <c r="FY336" s="211">
        <v>331</v>
      </c>
      <c r="FZ336">
        <v>14.956005074256975</v>
      </c>
      <c r="GA336">
        <v>16.09897425934772</v>
      </c>
      <c r="GB336">
        <v>7.8801172576957637</v>
      </c>
      <c r="GC336">
        <v>3.3420688325551637</v>
      </c>
      <c r="GD336">
        <v>1.8085915093688345</v>
      </c>
      <c r="GE336">
        <v>2.9793330952393982</v>
      </c>
      <c r="GF336">
        <v>1.340516432690217</v>
      </c>
      <c r="GG336">
        <v>1.0709779826086956</v>
      </c>
      <c r="GH336">
        <v>2.7695145867628228</v>
      </c>
      <c r="GI336">
        <v>5.8656910616746023</v>
      </c>
      <c r="GJ336"/>
      <c r="GK336">
        <v>15.005708891209196</v>
      </c>
      <c r="GL336">
        <v>13.639183534064696</v>
      </c>
      <c r="GM336">
        <v>13.043889965479195</v>
      </c>
      <c r="GN336">
        <v>9.9469250508190168</v>
      </c>
      <c r="GO336">
        <v>7.0226650184221429</v>
      </c>
      <c r="GP336">
        <v>5.703936595779961</v>
      </c>
      <c r="GQ336">
        <v>1.6426630434782605</v>
      </c>
      <c r="GR336">
        <v>1.507246376811594</v>
      </c>
      <c r="GS336">
        <v>2.9536460810317187</v>
      </c>
      <c r="GT336">
        <v>7.9337145999241034</v>
      </c>
      <c r="GU336"/>
      <c r="GV336"/>
      <c r="GW336"/>
      <c r="GX336"/>
      <c r="GY336"/>
      <c r="GZ336"/>
      <c r="HA336"/>
      <c r="HB336"/>
      <c r="HC336"/>
    </row>
    <row r="337" spans="1:211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70.024074263135446</v>
      </c>
      <c r="AO337">
        <v>8.0634033810530443</v>
      </c>
      <c r="AP337">
        <v>4.5917341556525608</v>
      </c>
      <c r="AQ337">
        <v>57.101184146751329</v>
      </c>
      <c r="AR337">
        <v>8.1308121123189174</v>
      </c>
      <c r="AS337">
        <v>51.187838666284478</v>
      </c>
      <c r="AT337">
        <v>6.5544308100500936</v>
      </c>
      <c r="AU337">
        <v>5.9608647497130498</v>
      </c>
      <c r="AV337"/>
      <c r="AW337"/>
      <c r="FY337" s="211">
        <v>332</v>
      </c>
      <c r="FZ337">
        <v>16.78799654771769</v>
      </c>
      <c r="GA337">
        <v>10.968350060627927</v>
      </c>
      <c r="GB337">
        <v>4.0854075291809888</v>
      </c>
      <c r="GC337">
        <v>3.1934211974839175</v>
      </c>
      <c r="GD337">
        <v>2.2046838399610271</v>
      </c>
      <c r="GE337">
        <v>2.9877927471995309</v>
      </c>
      <c r="GF337">
        <v>0.60804645810537317</v>
      </c>
      <c r="GG337">
        <v>1.6515301871214416</v>
      </c>
      <c r="GH337">
        <v>4.694590030721157</v>
      </c>
      <c r="GI337">
        <v>5.6073100375413949</v>
      </c>
      <c r="GJ337"/>
      <c r="GK337">
        <v>16.85948151959126</v>
      </c>
      <c r="GL337">
        <v>9.2946301613914475</v>
      </c>
      <c r="GM337">
        <v>6.8096092121368175</v>
      </c>
      <c r="GN337">
        <v>9.5801977538266172</v>
      </c>
      <c r="GO337">
        <v>8.558429484092132</v>
      </c>
      <c r="GP337">
        <v>5.7201326090689975</v>
      </c>
      <c r="GQ337">
        <v>0.74278250565987025</v>
      </c>
      <c r="GR337">
        <v>2.3226436167709812</v>
      </c>
      <c r="GS337">
        <v>5.0074655254761637</v>
      </c>
      <c r="GT337">
        <v>7.5955536493912481</v>
      </c>
      <c r="GU337"/>
      <c r="GV337"/>
      <c r="GW337"/>
      <c r="GX337"/>
      <c r="GY337"/>
      <c r="GZ337"/>
      <c r="HA337"/>
      <c r="HB337"/>
      <c r="HC337"/>
    </row>
    <row r="338" spans="1:211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41.295212787532044</v>
      </c>
      <c r="AO338">
        <v>5.0898957650807564</v>
      </c>
      <c r="AP338">
        <v>1.614467115753752</v>
      </c>
      <c r="AQ338">
        <v>37.035431505498714</v>
      </c>
      <c r="AR338">
        <v>5.6548781561646813</v>
      </c>
      <c r="AS338">
        <v>35.767102517201927</v>
      </c>
      <c r="AT338">
        <v>4.5888135157708829</v>
      </c>
      <c r="AU338">
        <v>1.3401841254422227</v>
      </c>
      <c r="AV338"/>
      <c r="AW338"/>
      <c r="FY338" s="211">
        <v>333</v>
      </c>
      <c r="FZ338">
        <v>9.8958409337146005</v>
      </c>
      <c r="GA338">
        <v>12.671820829085926</v>
      </c>
      <c r="GB338">
        <v>8.1922016368537101</v>
      </c>
      <c r="GC338">
        <v>3.7226723959135364</v>
      </c>
      <c r="GD338">
        <v>1.8820067743566846</v>
      </c>
      <c r="GE338">
        <v>2.656746032619699</v>
      </c>
      <c r="GF338">
        <v>2.2196290870116226</v>
      </c>
      <c r="GG338">
        <v>2.3063653576943581</v>
      </c>
      <c r="GH338">
        <v>2.6512876681678836</v>
      </c>
      <c r="GI338">
        <v>5.3788216032299117</v>
      </c>
      <c r="GJ338"/>
      <c r="GK338">
        <v>9.9296473772748204</v>
      </c>
      <c r="GL338">
        <v>10.7362505355651</v>
      </c>
      <c r="GM338">
        <v>13.603502405102192</v>
      </c>
      <c r="GN338">
        <v>11.152828729525892</v>
      </c>
      <c r="GO338">
        <v>7.3175501431743459</v>
      </c>
      <c r="GP338">
        <v>5.0863432978899805</v>
      </c>
      <c r="GQ338">
        <v>2.7176088945487589</v>
      </c>
      <c r="GR338">
        <v>3.2442292649191291</v>
      </c>
      <c r="GS338">
        <v>2.8275124559682991</v>
      </c>
      <c r="GT338">
        <v>7.2791642552136828</v>
      </c>
      <c r="GU338"/>
      <c r="GV338"/>
      <c r="GW338"/>
      <c r="GX338"/>
      <c r="GY338"/>
      <c r="GZ338"/>
      <c r="HA338"/>
      <c r="HB338"/>
      <c r="HC338"/>
    </row>
    <row r="339" spans="1:211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59.589070007941608</v>
      </c>
      <c r="AO339">
        <v>7.1194086769842757</v>
      </c>
      <c r="AP339">
        <v>50.071240262598067</v>
      </c>
      <c r="AQ339">
        <v>54.46008380921544</v>
      </c>
      <c r="AR339">
        <v>7.4067265965768829</v>
      </c>
      <c r="AS339">
        <v>47.170831197604123</v>
      </c>
      <c r="AT339" t="e">
        <v>#DIV/0!</v>
      </c>
      <c r="AU339" t="e">
        <v>#DIV/0!</v>
      </c>
      <c r="AV339"/>
      <c r="AW339"/>
      <c r="FY339" s="211">
        <v>334</v>
      </c>
      <c r="FZ339">
        <v>15.178152477192738</v>
      </c>
      <c r="GA339">
        <v>10.730988426152004</v>
      </c>
      <c r="GB339">
        <v>5.718820502956218</v>
      </c>
      <c r="GC339">
        <v>3.5805601751598539</v>
      </c>
      <c r="GD339">
        <v>2.4919329559419943</v>
      </c>
      <c r="GE339">
        <v>3.9099576424936489</v>
      </c>
      <c r="GF339">
        <v>1.2160929162107463</v>
      </c>
      <c r="GG339">
        <v>1.0579112179928833</v>
      </c>
      <c r="GH339">
        <v>3.1216267617049063</v>
      </c>
      <c r="GI339">
        <v>5.7946346953346559</v>
      </c>
      <c r="GJ339"/>
      <c r="GK339">
        <v>15.232053636310146</v>
      </c>
      <c r="GL339">
        <v>9.091858610867785</v>
      </c>
      <c r="GM339">
        <v>9.5089940210234705</v>
      </c>
      <c r="GN339">
        <v>10.712784874486882</v>
      </c>
      <c r="GO339">
        <v>9.6604561878168784</v>
      </c>
      <c r="GP339">
        <v>7.4856183488194432</v>
      </c>
      <c r="GQ339">
        <v>1.4855650113197405</v>
      </c>
      <c r="GR339">
        <v>1.4855650113197405</v>
      </c>
      <c r="GS339">
        <v>3.325431829405582</v>
      </c>
      <c r="GT339">
        <v>7.8425001371751621</v>
      </c>
      <c r="GU339"/>
      <c r="GV339"/>
      <c r="GW339"/>
      <c r="GX339"/>
      <c r="GY339"/>
      <c r="GZ339"/>
      <c r="HA339"/>
      <c r="HB339"/>
      <c r="HC339"/>
    </row>
    <row r="340" spans="1:211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69.984521719408335</v>
      </c>
      <c r="AO340">
        <v>8.1517840816827807</v>
      </c>
      <c r="AP340">
        <v>35.655030282875941</v>
      </c>
      <c r="AQ340">
        <v>65.651138803224114</v>
      </c>
      <c r="AR340">
        <v>8.2276940422813301</v>
      </c>
      <c r="AS340">
        <v>53.690788379667175</v>
      </c>
      <c r="AT340" t="e">
        <v>#DIV/0!</v>
      </c>
      <c r="AU340" t="e">
        <v>#DIV/0!</v>
      </c>
      <c r="AV340"/>
      <c r="AW340"/>
      <c r="FY340" s="211">
        <v>335</v>
      </c>
      <c r="FZ340">
        <v>6.6701205562532344</v>
      </c>
      <c r="GA340">
        <v>2.3271747836511949</v>
      </c>
      <c r="GB340">
        <v>4.2094962841319425</v>
      </c>
      <c r="GC340">
        <v>2.8322636486602044</v>
      </c>
      <c r="GD340">
        <v>2.5636691656395989</v>
      </c>
      <c r="GE340">
        <v>3.8466824114852463</v>
      </c>
      <c r="GF340">
        <v>0.53719420963541664</v>
      </c>
      <c r="GG340">
        <v>0.46773940755208332</v>
      </c>
      <c r="GH340">
        <v>5.7022377836502116</v>
      </c>
      <c r="GI340">
        <v>4.491055401962778</v>
      </c>
      <c r="GJ340"/>
      <c r="GK340">
        <v>6.712691053139114</v>
      </c>
      <c r="GL340">
        <v>1.9712407088293977</v>
      </c>
      <c r="GM340">
        <v>7.0147799770300718</v>
      </c>
      <c r="GN340">
        <v>8.5061574881185038</v>
      </c>
      <c r="GO340">
        <v>9.9503193650445141</v>
      </c>
      <c r="GP340">
        <v>7.3644778471642374</v>
      </c>
      <c r="GQ340">
        <v>0.65827546296296291</v>
      </c>
      <c r="GR340">
        <v>0.65827546296296291</v>
      </c>
      <c r="GS340">
        <v>6.0789090081267689</v>
      </c>
      <c r="GT340">
        <v>6.0829949732606865</v>
      </c>
      <c r="GU340"/>
      <c r="GV340"/>
      <c r="GW340"/>
      <c r="GX340"/>
      <c r="GY340"/>
      <c r="GZ340"/>
      <c r="HA340"/>
      <c r="HB340"/>
      <c r="HC340"/>
    </row>
    <row r="341" spans="1:211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82.353497582350769</v>
      </c>
      <c r="AO341">
        <v>9.8552927841939013</v>
      </c>
      <c r="AP341">
        <v>4.4706761057960307</v>
      </c>
      <c r="AQ341">
        <v>76.257854939049935</v>
      </c>
      <c r="AR341">
        <v>9.7822267631903461</v>
      </c>
      <c r="AS341">
        <v>61.697548157350596</v>
      </c>
      <c r="AT341">
        <v>7.8719072947633331</v>
      </c>
      <c r="AU341">
        <v>2.7221691213267061</v>
      </c>
      <c r="AV341"/>
      <c r="AW341"/>
      <c r="FY341" s="211">
        <v>336</v>
      </c>
      <c r="FZ341">
        <v>12.897350297501509</v>
      </c>
      <c r="GA341">
        <v>13.482451675510498</v>
      </c>
      <c r="GB341">
        <v>6.8216403869665792</v>
      </c>
      <c r="GC341">
        <v>3.4212716457363399</v>
      </c>
      <c r="GD341">
        <v>1.9528444615461533</v>
      </c>
      <c r="GE341">
        <v>2.3822773245798321</v>
      </c>
      <c r="GF341">
        <v>2.3526930937213151</v>
      </c>
      <c r="GG341">
        <v>1.9999234154049559</v>
      </c>
      <c r="GH341">
        <v>2.6612577547117944</v>
      </c>
      <c r="GI341">
        <v>5.5521664489501781</v>
      </c>
      <c r="GJ341"/>
      <c r="GK341">
        <v>12.955158212463957</v>
      </c>
      <c r="GL341">
        <v>11.424114254059578</v>
      </c>
      <c r="GM341">
        <v>11.333057674951444</v>
      </c>
      <c r="GN341">
        <v>10.247975826043048</v>
      </c>
      <c r="GO341">
        <v>7.5812312961770587</v>
      </c>
      <c r="GP341">
        <v>4.5608726445123509</v>
      </c>
      <c r="GQ341">
        <v>2.880664953324926</v>
      </c>
      <c r="GR341">
        <v>2.812956619991593</v>
      </c>
      <c r="GS341">
        <v>2.8364473157439698</v>
      </c>
      <c r="GT341">
        <v>7.5173118905322713</v>
      </c>
      <c r="GU341"/>
      <c r="GV341"/>
      <c r="GW341"/>
      <c r="GX341"/>
      <c r="GY341"/>
      <c r="GZ341"/>
      <c r="HA341"/>
      <c r="HB341"/>
      <c r="HC341"/>
    </row>
    <row r="342" spans="1:211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42.143733014521068</v>
      </c>
      <c r="AO342">
        <v>5.6218616006917133</v>
      </c>
      <c r="AP342">
        <v>6.4942160574801626</v>
      </c>
      <c r="AQ342">
        <v>38.171821045769946</v>
      </c>
      <c r="AR342">
        <v>6.034392028386006</v>
      </c>
      <c r="AS342">
        <v>35.725572743837958</v>
      </c>
      <c r="AT342">
        <v>4.7759715157382656</v>
      </c>
      <c r="AU342">
        <v>4.3341926939291957</v>
      </c>
      <c r="AV342"/>
      <c r="AW342"/>
      <c r="FY342" s="211">
        <v>337</v>
      </c>
      <c r="FZ342">
        <v>13.15724366213434</v>
      </c>
      <c r="GA342">
        <v>11.592066887960788</v>
      </c>
      <c r="GB342">
        <v>4.6998583695191654</v>
      </c>
      <c r="GC342">
        <v>2.4943496445085311</v>
      </c>
      <c r="GD342">
        <v>2.7222021738694075</v>
      </c>
      <c r="GE342">
        <v>4.51282533981923</v>
      </c>
      <c r="GF342">
        <v>1.7446466356159418</v>
      </c>
      <c r="GG342">
        <v>2.2193508584918478</v>
      </c>
      <c r="GH342">
        <v>4.4970613315496539</v>
      </c>
      <c r="GI342">
        <v>5.6919649070957306</v>
      </c>
      <c r="GJ342"/>
      <c r="GK342">
        <v>13.20268772324598</v>
      </c>
      <c r="GL342">
        <v>9.8225086565218618</v>
      </c>
      <c r="GM342">
        <v>7.8222574274884193</v>
      </c>
      <c r="GN342">
        <v>7.493610809902167</v>
      </c>
      <c r="GO342">
        <v>10.563509430503357</v>
      </c>
      <c r="GP342">
        <v>8.6398092402923119</v>
      </c>
      <c r="GQ342">
        <v>2.137882447665056</v>
      </c>
      <c r="GR342">
        <v>3.1234148550724634</v>
      </c>
      <c r="GS342">
        <v>4.793322624530294</v>
      </c>
      <c r="GT342">
        <v>7.7039319306866219</v>
      </c>
      <c r="GU342"/>
      <c r="GV342"/>
      <c r="GW342"/>
      <c r="GX342"/>
      <c r="GY342"/>
      <c r="GZ342"/>
      <c r="HA342"/>
      <c r="HB342"/>
      <c r="HC342"/>
    </row>
    <row r="343" spans="1:211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63.615312692501746</v>
      </c>
      <c r="AO343">
        <v>7.0253068856357217</v>
      </c>
      <c r="AP343">
        <v>36.990390733623073</v>
      </c>
      <c r="AQ343">
        <v>54.509509257301254</v>
      </c>
      <c r="AR343">
        <v>7.177327736996344</v>
      </c>
      <c r="AS343">
        <v>42.31553567563936</v>
      </c>
      <c r="AT343" t="e">
        <v>#DIV/0!</v>
      </c>
      <c r="AU343" t="e">
        <v>#DIV/0!</v>
      </c>
      <c r="AV343"/>
      <c r="AW343"/>
      <c r="FY343" s="211">
        <v>338</v>
      </c>
      <c r="FZ343">
        <v>9.2377909558480873</v>
      </c>
      <c r="GA343">
        <v>10.980115595392686</v>
      </c>
      <c r="GB343">
        <v>7.1865293374547861</v>
      </c>
      <c r="GC343">
        <v>3.5039408793275091</v>
      </c>
      <c r="GD343">
        <v>2.0945468352351639</v>
      </c>
      <c r="GE343">
        <v>2.8345790505882356</v>
      </c>
      <c r="GF343">
        <v>0.67025821634510852</v>
      </c>
      <c r="GG343">
        <v>0.53548899130434779</v>
      </c>
      <c r="GH343">
        <v>5.8014797373145965</v>
      </c>
      <c r="GI343">
        <v>5.3776309682384529</v>
      </c>
      <c r="GJ343"/>
      <c r="GK343">
        <v>9.2795856492840869</v>
      </c>
      <c r="GL343">
        <v>9.3023790513352242</v>
      </c>
      <c r="GM343">
        <v>12.020123704322213</v>
      </c>
      <c r="GN343">
        <v>10.628019554697572</v>
      </c>
      <c r="GO343">
        <v>8.1401411637826904</v>
      </c>
      <c r="GP343">
        <v>5.4268048128342254</v>
      </c>
      <c r="GQ343">
        <v>0.82133152173913027</v>
      </c>
      <c r="GR343">
        <v>0.75362318840579701</v>
      </c>
      <c r="GS343">
        <v>6.1847880035605591</v>
      </c>
      <c r="GT343">
        <v>7.2891940085377351</v>
      </c>
      <c r="GU343"/>
      <c r="GV343"/>
      <c r="GW343"/>
      <c r="GX343"/>
      <c r="GY343"/>
      <c r="GZ343"/>
      <c r="HA343"/>
      <c r="HB343"/>
      <c r="HC343"/>
    </row>
    <row r="344" spans="1:211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78.244955514264774</v>
      </c>
      <c r="AO344">
        <v>8.964240416779619</v>
      </c>
      <c r="AP344">
        <v>39.319304731380136</v>
      </c>
      <c r="AQ344">
        <v>66.309521448889683</v>
      </c>
      <c r="AR344">
        <v>8.9548623753539314</v>
      </c>
      <c r="AS344">
        <v>56.584213611197136</v>
      </c>
      <c r="AT344" t="e">
        <v>#DIV/0!</v>
      </c>
      <c r="AU344" t="e">
        <v>#DIV/0!</v>
      </c>
      <c r="AV344"/>
      <c r="AW344"/>
      <c r="FY344" s="211">
        <v>339</v>
      </c>
      <c r="FZ344">
        <v>13.401830300439364</v>
      </c>
      <c r="GA344">
        <v>13.290014367001813</v>
      </c>
      <c r="GB344">
        <v>5.9074418041181103</v>
      </c>
      <c r="GC344">
        <v>3.5883707136753498</v>
      </c>
      <c r="GD344">
        <v>1.7704787048928574</v>
      </c>
      <c r="GE344">
        <v>1.9754462278571434</v>
      </c>
      <c r="GF344">
        <v>2.9537820551494534</v>
      </c>
      <c r="GG344">
        <v>2.8965371681351586</v>
      </c>
      <c r="GH344">
        <v>4.4767300452123973</v>
      </c>
      <c r="GI344">
        <v>5.6903981400931611</v>
      </c>
      <c r="GJ344"/>
      <c r="GK344">
        <v>13.446516294421704</v>
      </c>
      <c r="GL344">
        <v>11.260230029055954</v>
      </c>
      <c r="GM344">
        <v>9.7798794533776707</v>
      </c>
      <c r="GN344">
        <v>10.677904669389898</v>
      </c>
      <c r="GO344">
        <v>6.8646577380952394</v>
      </c>
      <c r="GP344">
        <v>3.7819940476190483</v>
      </c>
      <c r="GQ344">
        <v>3.6126067762388701</v>
      </c>
      <c r="GR344">
        <v>4.0715188132759073</v>
      </c>
      <c r="GS344">
        <v>4.7719173135382063</v>
      </c>
      <c r="GT344">
        <v>7.6951155151343382</v>
      </c>
      <c r="GU344"/>
      <c r="GV344"/>
      <c r="GW344"/>
      <c r="GX344"/>
      <c r="GY344"/>
      <c r="GZ344"/>
      <c r="HA344"/>
      <c r="HB344"/>
      <c r="HC344"/>
    </row>
    <row r="345" spans="1:211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60.007706862614512</v>
      </c>
      <c r="AO345">
        <v>7.0756944211512742</v>
      </c>
      <c r="AP345">
        <v>46.791035774894503</v>
      </c>
      <c r="AQ345">
        <v>54.295802074508195</v>
      </c>
      <c r="AR345">
        <v>7.2800487570754857</v>
      </c>
      <c r="AS345">
        <v>44.627235451403166</v>
      </c>
      <c r="AT345" t="e">
        <v>#DIV/0!</v>
      </c>
      <c r="AU345" t="e">
        <v>#DIV/0!</v>
      </c>
      <c r="AV345"/>
      <c r="AW345"/>
      <c r="FY345" s="211">
        <v>340</v>
      </c>
      <c r="FZ345">
        <v>7.0584181414735196</v>
      </c>
      <c r="GA345">
        <v>7.9151920022651723</v>
      </c>
      <c r="GB345">
        <v>6.2284552959373292</v>
      </c>
      <c r="GC345">
        <v>2.7388467874479354</v>
      </c>
      <c r="GD345">
        <v>1.4438709715495259</v>
      </c>
      <c r="GE345">
        <v>1.6648518402941175</v>
      </c>
      <c r="GF345">
        <v>3.5757435066092969</v>
      </c>
      <c r="GG345">
        <v>3.438559541747412</v>
      </c>
      <c r="GH345">
        <v>4.1553751781023109</v>
      </c>
      <c r="GI345">
        <v>4.7086932826226073</v>
      </c>
      <c r="GJ345"/>
      <c r="GK345">
        <v>7.0861440106699751</v>
      </c>
      <c r="GL345">
        <v>6.7040501454525732</v>
      </c>
      <c r="GM345">
        <v>10.356897562196057</v>
      </c>
      <c r="GN345">
        <v>8.2349654477218319</v>
      </c>
      <c r="GO345">
        <v>5.6165386292452464</v>
      </c>
      <c r="GP345">
        <v>3.1873607397504453</v>
      </c>
      <c r="GQ345">
        <v>4.3770706473905943</v>
      </c>
      <c r="GR345">
        <v>4.8359826844276306</v>
      </c>
      <c r="GS345">
        <v>4.4284554580863169</v>
      </c>
      <c r="GT345">
        <v>6.3730212615176374</v>
      </c>
      <c r="GU345"/>
      <c r="GV345"/>
      <c r="GW345"/>
      <c r="GX345"/>
      <c r="GY345"/>
      <c r="GZ345"/>
      <c r="HA345"/>
      <c r="HB345"/>
      <c r="HC345"/>
    </row>
    <row r="346" spans="1:211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52.372717407750905</v>
      </c>
      <c r="AO346">
        <v>6.9340216517609878</v>
      </c>
      <c r="AP346">
        <v>1.6144499893546358</v>
      </c>
      <c r="AQ346">
        <v>49.753352538414333</v>
      </c>
      <c r="AR346">
        <v>7.434224888652663</v>
      </c>
      <c r="AS346">
        <v>48.458169358936402</v>
      </c>
      <c r="AT346">
        <v>5.9618836501082262</v>
      </c>
      <c r="AU346">
        <v>2.0075862890767624</v>
      </c>
      <c r="AV346"/>
      <c r="AW346"/>
      <c r="FY346" s="211">
        <v>341</v>
      </c>
      <c r="FZ346">
        <v>15.476296322097749</v>
      </c>
      <c r="GA346">
        <v>15.510817522004521</v>
      </c>
      <c r="GB346">
        <v>6.6273308108371305</v>
      </c>
      <c r="GC346">
        <v>2.9979722294145756</v>
      </c>
      <c r="GD346">
        <v>1.1300444679365498</v>
      </c>
      <c r="GE346">
        <v>1.7395159343023257</v>
      </c>
      <c r="GF346">
        <v>2.9676970485039229</v>
      </c>
      <c r="GG346">
        <v>2.5354124067093031</v>
      </c>
      <c r="GH346">
        <v>6.1642006672213254</v>
      </c>
      <c r="GI346">
        <v>6.0797575861205218</v>
      </c>
      <c r="GJ346"/>
      <c r="GK346">
        <v>15.527301292575178</v>
      </c>
      <c r="GL346">
        <v>13.142098043042974</v>
      </c>
      <c r="GM346">
        <v>11.016579468672827</v>
      </c>
      <c r="GN346">
        <v>8.9946852477587207</v>
      </c>
      <c r="GO346">
        <v>4.3917419885336546</v>
      </c>
      <c r="GP346">
        <v>3.3303052325581395</v>
      </c>
      <c r="GQ346">
        <v>3.6342881417307229</v>
      </c>
      <c r="GR346">
        <v>3.5665798083973899</v>
      </c>
      <c r="GS346">
        <v>6.5719075860718377</v>
      </c>
      <c r="GT346">
        <v>8.228363695516844</v>
      </c>
      <c r="GU346"/>
      <c r="GV346"/>
      <c r="GW346"/>
      <c r="GX346"/>
      <c r="GY346"/>
      <c r="GZ346"/>
      <c r="HA346"/>
      <c r="HB346"/>
      <c r="HC346"/>
    </row>
    <row r="347" spans="1:211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70.581902896640869</v>
      </c>
      <c r="AO347">
        <v>7.8399579157019899</v>
      </c>
      <c r="AP347">
        <v>38.376963001984251</v>
      </c>
      <c r="AQ347">
        <v>58.111790092200188</v>
      </c>
      <c r="AR347">
        <v>7.9337145999241034</v>
      </c>
      <c r="AS347">
        <v>51.389619633271565</v>
      </c>
      <c r="AT347" t="e">
        <v>#DIV/0!</v>
      </c>
      <c r="AU347" t="e">
        <v>#DIV/0!</v>
      </c>
      <c r="AV347"/>
      <c r="AW347"/>
      <c r="FY347" s="211">
        <v>342</v>
      </c>
      <c r="FZ347">
        <v>9.2252872735065559</v>
      </c>
      <c r="GA347">
        <v>7.3200534226583525</v>
      </c>
      <c r="GB347">
        <v>4.4732291311433077</v>
      </c>
      <c r="GC347">
        <v>2.2890773227639261</v>
      </c>
      <c r="GD347">
        <v>1.800477471429843</v>
      </c>
      <c r="GE347">
        <v>2.3748204655882348</v>
      </c>
      <c r="GF347">
        <v>1.7602446225233985</v>
      </c>
      <c r="GG347">
        <v>1.532184007852873</v>
      </c>
      <c r="GH347">
        <v>5.3514935365135665</v>
      </c>
      <c r="GI347">
        <v>4.6601115531290267</v>
      </c>
      <c r="GJ347"/>
      <c r="GK347">
        <v>9.2750266744229251</v>
      </c>
      <c r="GL347">
        <v>6.2026940823849346</v>
      </c>
      <c r="GM347">
        <v>7.4130269389396757</v>
      </c>
      <c r="GN347">
        <v>6.8288810936980342</v>
      </c>
      <c r="GO347">
        <v>6.9897163125690778</v>
      </c>
      <c r="GP347">
        <v>4.5465964795008906</v>
      </c>
      <c r="GQ347">
        <v>2.1546811570286302</v>
      </c>
      <c r="GR347">
        <v>2.1546811570286302</v>
      </c>
      <c r="GS347">
        <v>5.7030059049394755</v>
      </c>
      <c r="GT347">
        <v>6.3070913975799581</v>
      </c>
      <c r="GU347"/>
      <c r="GV347"/>
      <c r="GW347"/>
      <c r="GX347"/>
      <c r="GY347"/>
      <c r="GZ347"/>
      <c r="HA347"/>
      <c r="HB347"/>
      <c r="HC347"/>
    </row>
    <row r="348" spans="1:211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56.718030419301328</v>
      </c>
      <c r="AO348">
        <v>7.2490926037405545</v>
      </c>
      <c r="AP348">
        <v>11.032300578393411</v>
      </c>
      <c r="AQ348">
        <v>52.789128635660447</v>
      </c>
      <c r="AR348">
        <v>7.5955536493912481</v>
      </c>
      <c r="AS348">
        <v>46.98334867134632</v>
      </c>
      <c r="AT348" t="e">
        <v>#DIV/0!</v>
      </c>
      <c r="AU348" t="e">
        <v>#DIV/0!</v>
      </c>
      <c r="AV348"/>
      <c r="AW348"/>
      <c r="FY348" s="211">
        <v>343</v>
      </c>
      <c r="FZ348">
        <v>14.55785901587636</v>
      </c>
      <c r="GA348">
        <v>9.378938144416292</v>
      </c>
      <c r="GB348">
        <v>4.6359411463551936</v>
      </c>
      <c r="GC348">
        <v>3.2197162420129706</v>
      </c>
      <c r="GD348">
        <v>2.6896550170786084</v>
      </c>
      <c r="GE348">
        <v>3.9099576424936489</v>
      </c>
      <c r="GF348">
        <v>1.0743884192708333</v>
      </c>
      <c r="GG348">
        <v>1.3096703411458332</v>
      </c>
      <c r="GH348">
        <v>5.6338263421139567</v>
      </c>
      <c r="GI348">
        <v>5.9217465079066054</v>
      </c>
      <c r="GJ348"/>
      <c r="GK348">
        <v>14.608469717316737</v>
      </c>
      <c r="GL348">
        <v>7.9477474410580466</v>
      </c>
      <c r="GM348">
        <v>7.6774342995353599</v>
      </c>
      <c r="GN348">
        <v>9.6013523644987071</v>
      </c>
      <c r="GO348">
        <v>10.448291732650143</v>
      </c>
      <c r="GP348">
        <v>7.4856183488194432</v>
      </c>
      <c r="GQ348">
        <v>1.3165509259259258</v>
      </c>
      <c r="GR348">
        <v>1.8431712962962961</v>
      </c>
      <c r="GS348">
        <v>6.0074835612736095</v>
      </c>
      <c r="GT348">
        <v>8.0116460473403563</v>
      </c>
      <c r="GU348"/>
      <c r="GV348"/>
      <c r="GW348"/>
      <c r="GX348"/>
      <c r="GY348"/>
      <c r="GZ348"/>
      <c r="HA348"/>
      <c r="HB348"/>
      <c r="HC348"/>
    </row>
    <row r="349" spans="1:211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64.090074488261706</v>
      </c>
      <c r="AO349">
        <v>7.3894637359182216</v>
      </c>
      <c r="AP349">
        <v>36.273106978976948</v>
      </c>
      <c r="AQ349">
        <v>51.577392318647931</v>
      </c>
      <c r="AR349">
        <v>7.2791642552136846</v>
      </c>
      <c r="AS349">
        <v>46.979126741526706</v>
      </c>
      <c r="AT349" t="e">
        <v>#DIV/0!</v>
      </c>
      <c r="AU349" t="e">
        <v>#DIV/0!</v>
      </c>
      <c r="AV349"/>
      <c r="AW349"/>
      <c r="FY349" s="211">
        <v>344</v>
      </c>
      <c r="FZ349">
        <v>11.940701825687125</v>
      </c>
      <c r="GA349">
        <v>9.9373698404270154</v>
      </c>
      <c r="GB349">
        <v>3.4998311878239039</v>
      </c>
      <c r="GC349">
        <v>2.4983284391630667</v>
      </c>
      <c r="GD349">
        <v>0.7298317853541475</v>
      </c>
      <c r="GE349">
        <v>0.38902649500000003</v>
      </c>
      <c r="GF349">
        <v>2.4235453421912716</v>
      </c>
      <c r="GG349">
        <v>2.4353311428909818</v>
      </c>
      <c r="GH349">
        <v>5.182407389300911</v>
      </c>
      <c r="GI349">
        <v>4.3039488103318053</v>
      </c>
      <c r="GJ349"/>
      <c r="GK349">
        <v>11.99106446241769</v>
      </c>
      <c r="GL349">
        <v>8.4220813521204896</v>
      </c>
      <c r="GM349">
        <v>5.7981245432803075</v>
      </c>
      <c r="GN349">
        <v>7.4556656674744231</v>
      </c>
      <c r="GO349">
        <v>2.8480022942567054</v>
      </c>
      <c r="GP349">
        <v>0.74479166666666674</v>
      </c>
      <c r="GQ349">
        <v>2.9651719960218337</v>
      </c>
      <c r="GR349">
        <v>3.4240840330588713</v>
      </c>
      <c r="GS349">
        <v>5.5251184475113559</v>
      </c>
      <c r="GT349">
        <v>5.8254963486975786</v>
      </c>
      <c r="GU349"/>
      <c r="GV349"/>
      <c r="GW349"/>
      <c r="GX349"/>
      <c r="GY349"/>
      <c r="GZ349"/>
      <c r="HA349"/>
      <c r="HB349"/>
      <c r="HC349"/>
    </row>
    <row r="350" spans="1:211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65.721266352576293</v>
      </c>
      <c r="AO350">
        <v>7.583082766854484</v>
      </c>
      <c r="AP350">
        <v>58.332039118490755</v>
      </c>
      <c r="AQ350">
        <v>52.800677771139654</v>
      </c>
      <c r="AR350">
        <v>7.842500137175163</v>
      </c>
      <c r="AS350">
        <v>49.288339445788594</v>
      </c>
      <c r="AT350" t="e">
        <v>#DIV/0!</v>
      </c>
      <c r="AU350" t="e">
        <v>#DIV/0!</v>
      </c>
      <c r="AV350"/>
      <c r="AW350"/>
      <c r="FY350" s="211">
        <v>345</v>
      </c>
      <c r="FZ350">
        <v>14.64410837996417</v>
      </c>
      <c r="GA350">
        <v>14.960320251323774</v>
      </c>
      <c r="GB350">
        <v>6.1922304464385309</v>
      </c>
      <c r="GC350">
        <v>3.1005311257844794</v>
      </c>
      <c r="GD350">
        <v>1.8447010174429368</v>
      </c>
      <c r="GE350">
        <v>2.3400965599452803</v>
      </c>
      <c r="GF350">
        <v>1.2557491908657898</v>
      </c>
      <c r="GG350">
        <v>0.9966950165485251</v>
      </c>
      <c r="GH350">
        <v>4.7406859421775795</v>
      </c>
      <c r="GI350">
        <v>5.7267190147365117</v>
      </c>
      <c r="GJ350"/>
      <c r="GK350">
        <v>14.696005682555597</v>
      </c>
      <c r="GL350">
        <v>12.673139308961005</v>
      </c>
      <c r="GM350">
        <v>10.333264039078268</v>
      </c>
      <c r="GN350">
        <v>9.3615561885192129</v>
      </c>
      <c r="GO350">
        <v>7.1611837843357993</v>
      </c>
      <c r="GP350">
        <v>4.4801175226961822</v>
      </c>
      <c r="GQ350">
        <v>1.5364746352894998</v>
      </c>
      <c r="GR350">
        <v>1.4010579686228333</v>
      </c>
      <c r="GS350">
        <v>5.0539966550860553</v>
      </c>
      <c r="GT350">
        <v>7.7561849592690431</v>
      </c>
      <c r="GU350"/>
      <c r="GV350"/>
      <c r="GW350"/>
      <c r="GX350"/>
      <c r="GY350"/>
      <c r="GZ350"/>
      <c r="HA350"/>
      <c r="HB350"/>
      <c r="HC350"/>
    </row>
    <row r="351" spans="1:211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42.581199175081608</v>
      </c>
      <c r="AO351">
        <v>5.4998121346639222</v>
      </c>
      <c r="AP351">
        <v>81.260445052504252</v>
      </c>
      <c r="AQ351">
        <v>33.647633652621913</v>
      </c>
      <c r="AR351">
        <v>6.0829949732606847</v>
      </c>
      <c r="AS351">
        <v>38.31347960198476</v>
      </c>
      <c r="AT351" t="e">
        <v>#DIV/0!</v>
      </c>
      <c r="AU351" t="e">
        <v>#DIV/0!</v>
      </c>
      <c r="AV351"/>
      <c r="AW351"/>
      <c r="FY351" s="211">
        <v>346</v>
      </c>
      <c r="FZ351">
        <v>11.372654258823188</v>
      </c>
      <c r="GA351">
        <v>9.766328899554221</v>
      </c>
      <c r="GB351">
        <v>3.8591379394806888</v>
      </c>
      <c r="GC351">
        <v>2.0743859101619178</v>
      </c>
      <c r="GD351">
        <v>1.732250708174029</v>
      </c>
      <c r="GE351">
        <v>2.8378689152393983</v>
      </c>
      <c r="GF351">
        <v>0.66330071966787318</v>
      </c>
      <c r="GG351">
        <v>1.277338661079775</v>
      </c>
      <c r="GH351">
        <v>4.9191132568197355</v>
      </c>
      <c r="GI351">
        <v>4.5238557232253651</v>
      </c>
      <c r="GJ351"/>
      <c r="GK351">
        <v>11.423738923139879</v>
      </c>
      <c r="GL351">
        <v>8.2755087225635684</v>
      </c>
      <c r="GM351">
        <v>6.4341836934524057</v>
      </c>
      <c r="GN351">
        <v>6.2464831873656781</v>
      </c>
      <c r="GO351">
        <v>6.7251814288481482</v>
      </c>
      <c r="GP351">
        <v>5.433103262446628</v>
      </c>
      <c r="GQ351">
        <v>0.81049083899320351</v>
      </c>
      <c r="GR351">
        <v>1.796023246400611</v>
      </c>
      <c r="GS351">
        <v>5.2420391038542791</v>
      </c>
      <c r="GT351">
        <v>6.1271267976575841</v>
      </c>
      <c r="GU351"/>
      <c r="GV351"/>
      <c r="GW351"/>
      <c r="GX351"/>
      <c r="GY351"/>
      <c r="GZ351"/>
      <c r="HA351"/>
      <c r="HB351"/>
      <c r="HC351"/>
    </row>
    <row r="352" spans="1:211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62.971567020734234</v>
      </c>
      <c r="AO352">
        <v>7.4149790687800188</v>
      </c>
      <c r="AP352">
        <v>35.840554991538532</v>
      </c>
      <c r="AQ352">
        <v>53.523876504629158</v>
      </c>
      <c r="AR352">
        <v>7.5173118905322704</v>
      </c>
      <c r="AS352">
        <v>46.096106590436648</v>
      </c>
      <c r="AT352" t="e">
        <v>#DIV/0!</v>
      </c>
      <c r="AU352" t="e">
        <v>#DIV/0!</v>
      </c>
      <c r="AV352"/>
      <c r="AW352"/>
      <c r="FY352" s="211">
        <v>347</v>
      </c>
      <c r="FZ352">
        <v>10.455318284842974</v>
      </c>
      <c r="GA352">
        <v>11.534941980258813</v>
      </c>
      <c r="GB352">
        <v>6.830536232904576</v>
      </c>
      <c r="GC352">
        <v>3.4347073956695517</v>
      </c>
      <c r="GD352">
        <v>1.0316939111106413</v>
      </c>
      <c r="GE352">
        <v>0.77805299000000006</v>
      </c>
      <c r="GF352">
        <v>1.9260074072108988</v>
      </c>
      <c r="GG352">
        <v>1.9063755338945396</v>
      </c>
      <c r="GH352">
        <v>3.9057818137852283</v>
      </c>
      <c r="GI352">
        <v>4.784913518742405</v>
      </c>
      <c r="GJ352"/>
      <c r="GK352">
        <v>10.496434719163261</v>
      </c>
      <c r="GL352">
        <v>9.7732813311018898</v>
      </c>
      <c r="GM352">
        <v>11.3521133074982</v>
      </c>
      <c r="GN352">
        <v>10.30310832482375</v>
      </c>
      <c r="GO352">
        <v>4.0206413690938883</v>
      </c>
      <c r="GP352">
        <v>1.4895833333333333</v>
      </c>
      <c r="GQ352">
        <v>2.3578061570286302</v>
      </c>
      <c r="GR352">
        <v>2.6813015273990004</v>
      </c>
      <c r="GS352">
        <v>4.1660447097124544</v>
      </c>
      <c r="GT352">
        <v>6.4786080524992862</v>
      </c>
      <c r="GU352"/>
      <c r="GV352"/>
      <c r="GW352"/>
      <c r="GX352"/>
      <c r="GY352"/>
      <c r="GZ352"/>
      <c r="HA352"/>
      <c r="HB352"/>
      <c r="HC352"/>
    </row>
    <row r="353" spans="1:211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61.841717499932336</v>
      </c>
      <c r="AO353">
        <v>7.5302935145908538</v>
      </c>
      <c r="AP353">
        <v>3.5287258023226822</v>
      </c>
      <c r="AQ353">
        <v>53.331569810564638</v>
      </c>
      <c r="AR353">
        <v>7.7039319306866219</v>
      </c>
      <c r="AS353">
        <v>51.580378887358243</v>
      </c>
      <c r="AT353">
        <v>6.1895855873627559</v>
      </c>
      <c r="AU353">
        <v>3.6416063862915014</v>
      </c>
      <c r="AV353"/>
      <c r="AW353"/>
      <c r="FY353" s="211">
        <v>348</v>
      </c>
      <c r="FZ353">
        <v>11.92487620087115</v>
      </c>
      <c r="GA353">
        <v>10.093500742824087</v>
      </c>
      <c r="GB353">
        <v>3.6451026672603972</v>
      </c>
      <c r="GC353">
        <v>2.4521002050686356</v>
      </c>
      <c r="GD353">
        <v>2.4989856794908021</v>
      </c>
      <c r="GE353">
        <v>4.0874300068506937</v>
      </c>
      <c r="GF353">
        <v>1.1452406677407898</v>
      </c>
      <c r="GG353">
        <v>2.4934611207151915</v>
      </c>
      <c r="GH353">
        <v>6.3571849218970673</v>
      </c>
      <c r="GI353">
        <v>5.3067263557430975</v>
      </c>
      <c r="GJ353"/>
      <c r="GK353">
        <v>11.962248679319988</v>
      </c>
      <c r="GL353">
        <v>8.5540663874913783</v>
      </c>
      <c r="GM353">
        <v>6.0772139258964675</v>
      </c>
      <c r="GN353">
        <v>7.3585399995932166</v>
      </c>
      <c r="GO353">
        <v>9.6878016357740737</v>
      </c>
      <c r="GP353">
        <v>7.8253893920147339</v>
      </c>
      <c r="GQ353">
        <v>1.4010579686228333</v>
      </c>
      <c r="GR353">
        <v>3.5075394501043142</v>
      </c>
      <c r="GS353">
        <v>6.7773756396541867</v>
      </c>
      <c r="GT353">
        <v>7.1811395698535083</v>
      </c>
      <c r="GU353"/>
      <c r="GV353"/>
      <c r="GW353"/>
      <c r="GX353"/>
      <c r="GY353"/>
      <c r="GZ353"/>
      <c r="HA353"/>
      <c r="HB353"/>
      <c r="HC353"/>
    </row>
    <row r="354" spans="1:211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55.692410856721338</v>
      </c>
      <c r="AO354">
        <v>6.9845990658499231</v>
      </c>
      <c r="AP354">
        <v>77.750858304466078</v>
      </c>
      <c r="AQ354">
        <v>48.22236056704898</v>
      </c>
      <c r="AR354">
        <v>7.2891940085377342</v>
      </c>
      <c r="AS354">
        <v>41.287143927418505</v>
      </c>
      <c r="AT354" t="e">
        <v>#DIV/0!</v>
      </c>
      <c r="AU354" t="e">
        <v>#DIV/0!</v>
      </c>
      <c r="AV354"/>
      <c r="AW354"/>
      <c r="FY354" s="211">
        <v>349</v>
      </c>
      <c r="FZ354">
        <v>16.994521245398392</v>
      </c>
      <c r="GA354">
        <v>13.524129477294595</v>
      </c>
      <c r="GB354">
        <v>3.9997696783274845</v>
      </c>
      <c r="GC354">
        <v>2.6856494979606693</v>
      </c>
      <c r="GD354">
        <v>1.4678732844285716</v>
      </c>
      <c r="GE354">
        <v>2.152276452857143</v>
      </c>
      <c r="GF354">
        <v>2.8985277935869531</v>
      </c>
      <c r="GG354">
        <v>3.6449202202184914</v>
      </c>
      <c r="GH354">
        <v>5.5602507233658285</v>
      </c>
      <c r="GI354">
        <v>5.7431269917355943</v>
      </c>
      <c r="GJ354"/>
      <c r="GK354">
        <v>17.032450678677467</v>
      </c>
      <c r="GL354">
        <v>11.461296828058115</v>
      </c>
      <c r="GM354">
        <v>6.6245378851034458</v>
      </c>
      <c r="GN354">
        <v>7.9922462184367795</v>
      </c>
      <c r="GO354">
        <v>5.6913690476190482</v>
      </c>
      <c r="GP354">
        <v>4.1205357142857144</v>
      </c>
      <c r="GQ354">
        <v>3.5448984429055366</v>
      </c>
      <c r="GR354">
        <v>5.1247595540166477</v>
      </c>
      <c r="GS354">
        <v>5.9299329535398462</v>
      </c>
      <c r="GT354">
        <v>7.7646378015690694</v>
      </c>
      <c r="GU354"/>
      <c r="GV354"/>
      <c r="GW354"/>
      <c r="GX354"/>
      <c r="GY354"/>
      <c r="GZ354"/>
      <c r="HA354"/>
      <c r="HB354"/>
      <c r="HC354"/>
    </row>
    <row r="355" spans="1:211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68.832920745375972</v>
      </c>
      <c r="AO355">
        <v>7.5962340650146842</v>
      </c>
      <c r="AP355">
        <v>5.2748413823938396</v>
      </c>
      <c r="AQ355">
        <v>55.951029526574814</v>
      </c>
      <c r="AR355">
        <v>7.6951155151343373</v>
      </c>
      <c r="AS355">
        <v>47.496901732590224</v>
      </c>
      <c r="AT355">
        <v>6.1684652255896388</v>
      </c>
      <c r="AU355">
        <v>1.0720484055129713</v>
      </c>
      <c r="AV355"/>
      <c r="AW355"/>
      <c r="FY355" s="211">
        <v>350</v>
      </c>
      <c r="FZ355">
        <v>15.892691535088513</v>
      </c>
      <c r="GA355">
        <v>13.372553487373089</v>
      </c>
      <c r="GB355">
        <v>6.5016522381826309</v>
      </c>
      <c r="GC355">
        <v>2.7216220212508033</v>
      </c>
      <c r="GD355">
        <v>0.62111759665596988</v>
      </c>
      <c r="GE355">
        <v>0.53049067500000002</v>
      </c>
      <c r="GF355">
        <v>1.822456380763134</v>
      </c>
      <c r="GG355">
        <v>1.9129089162024455</v>
      </c>
      <c r="GH355">
        <v>3.2744609457269394</v>
      </c>
      <c r="GI355">
        <v>5.1545560934273205</v>
      </c>
      <c r="GJ355"/>
      <c r="GK355">
        <v>15.961525883603013</v>
      </c>
      <c r="GL355">
        <v>11.330197420039447</v>
      </c>
      <c r="GM355">
        <v>10.80942326716745</v>
      </c>
      <c r="GN355">
        <v>8.1723191382088682</v>
      </c>
      <c r="GO355">
        <v>2.4162530382811895</v>
      </c>
      <c r="GP355">
        <v>1.015625</v>
      </c>
      <c r="GQ355">
        <v>2.2332301731078905</v>
      </c>
      <c r="GR355">
        <v>2.6921422101449273</v>
      </c>
      <c r="GS355">
        <v>3.4912755461324387</v>
      </c>
      <c r="GT355">
        <v>6.9823415816583951</v>
      </c>
      <c r="GU355"/>
      <c r="GV355"/>
      <c r="GW355"/>
      <c r="GX355"/>
      <c r="GY355"/>
      <c r="GZ355"/>
      <c r="HA355"/>
      <c r="HB355"/>
      <c r="HC355"/>
    </row>
    <row r="356" spans="1:211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52.167068270052425</v>
      </c>
      <c r="AO356">
        <v>6.1200486586458309</v>
      </c>
      <c r="AP356">
        <v>5.4591741157631759</v>
      </c>
      <c r="AQ356">
        <v>42.928006548049225</v>
      </c>
      <c r="AR356">
        <v>6.3730212615176374</v>
      </c>
      <c r="AS356">
        <v>38.12111023772006</v>
      </c>
      <c r="AT356">
        <v>5.0918771136967518</v>
      </c>
      <c r="AU356">
        <v>4.6962088114998188</v>
      </c>
      <c r="AV356"/>
      <c r="AW356"/>
      <c r="FY356" s="211">
        <v>351</v>
      </c>
      <c r="FZ356">
        <v>10.870196831228879</v>
      </c>
      <c r="GA356">
        <v>12.35203041364451</v>
      </c>
      <c r="GB356">
        <v>7.8642195043835024</v>
      </c>
      <c r="GC356">
        <v>3.8029998680349193</v>
      </c>
      <c r="GD356">
        <v>1.6710742742805993</v>
      </c>
      <c r="GE356">
        <v>1.9510700649452803</v>
      </c>
      <c r="GF356">
        <v>1.822456380763134</v>
      </c>
      <c r="GG356">
        <v>1.9129089162024455</v>
      </c>
      <c r="GH356">
        <v>7.6933806678578511</v>
      </c>
      <c r="GI356">
        <v>6.0442752528767647</v>
      </c>
      <c r="GJ356"/>
      <c r="GK356">
        <v>10.922803543813945</v>
      </c>
      <c r="GL356">
        <v>10.466216624881548</v>
      </c>
      <c r="GM356">
        <v>13.06278223014171</v>
      </c>
      <c r="GN356">
        <v>11.389234336739358</v>
      </c>
      <c r="GO356">
        <v>6.4894709453383648</v>
      </c>
      <c r="GP356">
        <v>3.7353258560295153</v>
      </c>
      <c r="GQ356">
        <v>2.2332301731078905</v>
      </c>
      <c r="GR356">
        <v>2.6921422101449273</v>
      </c>
      <c r="GS356">
        <v>8.1994803714827356</v>
      </c>
      <c r="GT356">
        <v>8.1815534527769298</v>
      </c>
      <c r="GU356"/>
      <c r="GV356"/>
      <c r="GW356"/>
      <c r="GX356"/>
      <c r="GY356"/>
      <c r="GZ356"/>
      <c r="HA356"/>
      <c r="HB356"/>
      <c r="HC356"/>
    </row>
    <row r="357" spans="1:211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66.038657334824862</v>
      </c>
      <c r="AO357">
        <v>7.8403850504858301</v>
      </c>
      <c r="AP357">
        <v>80.588013498050174</v>
      </c>
      <c r="AQ357">
        <v>61.229044995147923</v>
      </c>
      <c r="AR357">
        <v>8.2283636955168475</v>
      </c>
      <c r="AS357">
        <v>52.152167604193508</v>
      </c>
      <c r="AT357" t="e">
        <v>#DIV/0!</v>
      </c>
      <c r="AU357" t="e">
        <v>#DIV/0!</v>
      </c>
      <c r="AV357"/>
      <c r="AW357"/>
      <c r="FY357" s="211">
        <v>352</v>
      </c>
      <c r="FZ357">
        <v>8.6340056227175683</v>
      </c>
      <c r="GA357">
        <v>6.155282176093678</v>
      </c>
      <c r="GB357">
        <v>4.0230665879903027</v>
      </c>
      <c r="GC357">
        <v>2.7179723048339266</v>
      </c>
      <c r="GD357">
        <v>1.5181673885737692</v>
      </c>
      <c r="GE357">
        <v>1.4162867323255814</v>
      </c>
      <c r="GF357">
        <v>1.822456380763134</v>
      </c>
      <c r="GG357">
        <v>1.9129089162024455</v>
      </c>
      <c r="GH357">
        <v>4.7680784727791092</v>
      </c>
      <c r="GI357">
        <v>4.2237280673561619</v>
      </c>
      <c r="GJ357"/>
      <c r="GK357">
        <v>8.6829165832675521</v>
      </c>
      <c r="GL357">
        <v>5.2153531705538958</v>
      </c>
      <c r="GM357">
        <v>6.7010300592946432</v>
      </c>
      <c r="GN357">
        <v>8.1796507634667535</v>
      </c>
      <c r="GO357">
        <v>5.9170725879708437</v>
      </c>
      <c r="GP357">
        <v>2.7114825581395348</v>
      </c>
      <c r="GQ357">
        <v>2.2332301731078905</v>
      </c>
      <c r="GR357">
        <v>2.6921422101449273</v>
      </c>
      <c r="GS357">
        <v>5.0815231499581914</v>
      </c>
      <c r="GT357">
        <v>5.723154510719823</v>
      </c>
      <c r="GU357"/>
      <c r="GV357"/>
      <c r="GW357"/>
      <c r="GX357"/>
      <c r="GY357"/>
      <c r="GZ357"/>
      <c r="HA357"/>
      <c r="HB357"/>
      <c r="HC357"/>
    </row>
    <row r="358" spans="1:211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47.608966886318562</v>
      </c>
      <c r="AO358">
        <v>5.7575401198092226</v>
      </c>
      <c r="AP358">
        <v>92.46080379621695</v>
      </c>
      <c r="AQ358">
        <v>40.786978807109087</v>
      </c>
      <c r="AR358">
        <v>6.3070913975799563</v>
      </c>
      <c r="AS358">
        <v>40.231864392158592</v>
      </c>
      <c r="AT358" t="e">
        <v>#DIV/0!</v>
      </c>
      <c r="AU358" t="e">
        <v>#DIV/0!</v>
      </c>
      <c r="AV358"/>
      <c r="AW358"/>
      <c r="FY358" s="211">
        <v>353</v>
      </c>
      <c r="FZ358">
        <v>8.350247261038005</v>
      </c>
      <c r="GA358">
        <v>4.4079959222225673</v>
      </c>
      <c r="GB358">
        <v>4.7778798808593193</v>
      </c>
      <c r="GC358">
        <v>2.9430561168897227</v>
      </c>
      <c r="GD358">
        <v>2.0821947538538845</v>
      </c>
      <c r="GE358">
        <v>2.9776881629138163</v>
      </c>
      <c r="GF358">
        <v>0.60804645810537317</v>
      </c>
      <c r="GG358">
        <v>0.90314713503810828</v>
      </c>
      <c r="GH358">
        <v>5.5721304826445941</v>
      </c>
      <c r="GI358">
        <v>4.5974908911251999</v>
      </c>
      <c r="GJ358"/>
      <c r="GK358">
        <v>8.3924745352588364</v>
      </c>
      <c r="GL358">
        <v>3.7347134290627348</v>
      </c>
      <c r="GM358">
        <v>7.9910624673935011</v>
      </c>
      <c r="GN358">
        <v>8.889354163010502</v>
      </c>
      <c r="GO358">
        <v>8.0835038888540378</v>
      </c>
      <c r="GP358">
        <v>5.7007873709737593</v>
      </c>
      <c r="GQ358">
        <v>0.74278250565987025</v>
      </c>
      <c r="GR358">
        <v>1.2694028760302405</v>
      </c>
      <c r="GS358">
        <v>5.9402895829270488</v>
      </c>
      <c r="GT358">
        <v>6.2300225960186593</v>
      </c>
      <c r="GU358"/>
      <c r="GV358"/>
      <c r="GW358"/>
      <c r="GX358"/>
      <c r="GY358"/>
      <c r="GZ358"/>
      <c r="HA358"/>
      <c r="HB358"/>
      <c r="HC358"/>
    </row>
    <row r="359" spans="1:211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62.391958920384823</v>
      </c>
      <c r="AO359">
        <v>7.4947765734714604</v>
      </c>
      <c r="AP359">
        <v>18.922574144892849</v>
      </c>
      <c r="AQ359">
        <v>52.331698818670304</v>
      </c>
      <c r="AR359">
        <v>8.0116460473403581</v>
      </c>
      <c r="AS359">
        <v>53.347780908507275</v>
      </c>
      <c r="AT359" t="e">
        <v>#DIV/0!</v>
      </c>
      <c r="AU359" t="e">
        <v>#DIV/0!</v>
      </c>
      <c r="AV359"/>
      <c r="AW359"/>
      <c r="FY359" s="211">
        <v>354</v>
      </c>
      <c r="FZ359">
        <v>8.9210002371677675</v>
      </c>
      <c r="GA359">
        <v>14.804404690540053</v>
      </c>
      <c r="GB359">
        <v>8.2317444795192003</v>
      </c>
      <c r="GC359">
        <v>2.7915101471919774</v>
      </c>
      <c r="GD359">
        <v>2.1206112156493386</v>
      </c>
      <c r="GE359">
        <v>3.4121852871995317</v>
      </c>
      <c r="GF359">
        <v>3.0315918002966447</v>
      </c>
      <c r="GG359">
        <v>3.7126698039707562</v>
      </c>
      <c r="GH359">
        <v>5.5365477693730885</v>
      </c>
      <c r="GI359">
        <v>5.9816611112192923</v>
      </c>
      <c r="GJ359"/>
      <c r="GK359">
        <v>8.9645103611135255</v>
      </c>
      <c r="GL359">
        <v>12.542375960571089</v>
      </c>
      <c r="GM359">
        <v>13.667867224776792</v>
      </c>
      <c r="GN359">
        <v>8.3766534872989862</v>
      </c>
      <c r="GO359">
        <v>8.2317114988289433</v>
      </c>
      <c r="GP359">
        <v>6.5326326090689983</v>
      </c>
      <c r="GQ359">
        <v>3.7079545016817037</v>
      </c>
      <c r="GR359">
        <v>5.2201072794594818</v>
      </c>
      <c r="GS359">
        <v>5.90417001849878</v>
      </c>
      <c r="GT359">
        <v>8.0952427209799502</v>
      </c>
      <c r="GU359"/>
      <c r="GV359"/>
      <c r="GW359"/>
      <c r="GX359"/>
      <c r="GY359"/>
      <c r="GZ359"/>
      <c r="HA359"/>
      <c r="HB359"/>
      <c r="HC359"/>
    </row>
    <row r="360" spans="1:211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46.62531253155398</v>
      </c>
      <c r="AO360">
        <v>5.4999600811505909</v>
      </c>
      <c r="AP360">
        <v>2.9771090774595308</v>
      </c>
      <c r="AQ360">
        <v>43.340322258170225</v>
      </c>
      <c r="AR360">
        <v>5.8254963486975768</v>
      </c>
      <c r="AS360">
        <v>36.575046485377229</v>
      </c>
      <c r="AT360">
        <v>4.6618321991768559</v>
      </c>
      <c r="AU360">
        <v>-3.6197002584753966</v>
      </c>
      <c r="AV360"/>
      <c r="AW360"/>
      <c r="FY360" s="211">
        <v>355</v>
      </c>
      <c r="FZ360">
        <v>6.07259425425001</v>
      </c>
      <c r="GA360">
        <v>5.1527986064120661</v>
      </c>
      <c r="GB360">
        <v>4.5615602315887021</v>
      </c>
      <c r="GC360">
        <v>1.9052712655370361</v>
      </c>
      <c r="GD360">
        <v>1.5250716991404158</v>
      </c>
      <c r="GE360">
        <v>1.968631508222592</v>
      </c>
      <c r="GF360">
        <v>3.0090363167119532</v>
      </c>
      <c r="GG360">
        <v>2.8965371681351582</v>
      </c>
      <c r="GH360">
        <v>6.9596281658647401</v>
      </c>
      <c r="GI360">
        <v>4.5361151870046577</v>
      </c>
      <c r="GJ360"/>
      <c r="GK360">
        <v>6.1175922063978909</v>
      </c>
      <c r="GL360">
        <v>4.3642741884975953</v>
      </c>
      <c r="GM360">
        <v>7.5537099596914485</v>
      </c>
      <c r="GN360">
        <v>5.6809186995001362</v>
      </c>
      <c r="GO360">
        <v>5.9218885207758296</v>
      </c>
      <c r="GP360">
        <v>3.7689472591362136</v>
      </c>
      <c r="GQ360">
        <v>3.6803151095722031</v>
      </c>
      <c r="GR360">
        <v>4.0715188132759064</v>
      </c>
      <c r="GS360">
        <v>7.4188291911544582</v>
      </c>
      <c r="GT360">
        <v>6.1384669975183659</v>
      </c>
      <c r="GU360"/>
      <c r="GV360"/>
      <c r="GW360"/>
      <c r="GX360"/>
      <c r="GY360"/>
      <c r="GZ360"/>
      <c r="HA360"/>
      <c r="HB360"/>
      <c r="HC360"/>
    </row>
    <row r="361" spans="1:211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62.228982036932749</v>
      </c>
      <c r="AO361">
        <v>7.4452980744413493</v>
      </c>
      <c r="AP361">
        <v>65.222914300318934</v>
      </c>
      <c r="AQ361">
        <v>55.801836945227571</v>
      </c>
      <c r="AR361">
        <v>7.7561849592690431</v>
      </c>
      <c r="AS361">
        <v>47.055413518556449</v>
      </c>
      <c r="AT361" t="e">
        <v>#DIV/0!</v>
      </c>
      <c r="AU361" t="e">
        <v>#DIV/0!</v>
      </c>
      <c r="AV361"/>
      <c r="AW361"/>
      <c r="FY361" s="211">
        <v>356</v>
      </c>
      <c r="FZ361">
        <v>9.3415960857707034</v>
      </c>
      <c r="GA361">
        <v>11.356277883208016</v>
      </c>
      <c r="GB361">
        <v>8.4286870510180414</v>
      </c>
      <c r="GC361">
        <v>3.7203595417327637</v>
      </c>
      <c r="GD361">
        <v>2.0797638853331204</v>
      </c>
      <c r="GE361">
        <v>2.8025028702393979</v>
      </c>
      <c r="GF361">
        <v>1.1452406677407898</v>
      </c>
      <c r="GG361">
        <v>1.3708865425901917</v>
      </c>
      <c r="GH361">
        <v>5.9233753696992615</v>
      </c>
      <c r="GI361">
        <v>5.7930381322235585</v>
      </c>
      <c r="GJ361"/>
      <c r="GK361">
        <v>9.384526404397004</v>
      </c>
      <c r="GL361">
        <v>9.6198486001323786</v>
      </c>
      <c r="GM361">
        <v>14.07328681925636</v>
      </c>
      <c r="GN361">
        <v>11.25981360953835</v>
      </c>
      <c r="GO361">
        <v>8.0740787088983339</v>
      </c>
      <c r="GP361">
        <v>5.3653949291132941</v>
      </c>
      <c r="GQ361">
        <v>1.4010579686228333</v>
      </c>
      <c r="GR361">
        <v>1.9276783389932035</v>
      </c>
      <c r="GS361">
        <v>6.311761634862826</v>
      </c>
      <c r="GT361">
        <v>7.8489423072074711</v>
      </c>
      <c r="GU361"/>
      <c r="GV361"/>
      <c r="GW361"/>
      <c r="GX361"/>
      <c r="GY361"/>
      <c r="GZ361"/>
      <c r="HA361"/>
      <c r="HB361"/>
      <c r="HC361"/>
    </row>
    <row r="362" spans="1:211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47.986341124424499</v>
      </c>
      <c r="AO362">
        <v>5.8513879204721979</v>
      </c>
      <c r="AP362">
        <v>3.6033710811713555</v>
      </c>
      <c r="AQ362">
        <v>43.026234992226186</v>
      </c>
      <c r="AR362">
        <v>6.1271267976575849</v>
      </c>
      <c r="AS362">
        <v>38.5475512517786</v>
      </c>
      <c r="AT362">
        <v>4.8734824915651744</v>
      </c>
      <c r="AU362">
        <v>-0.511510889856714</v>
      </c>
      <c r="AV362"/>
      <c r="AW362"/>
      <c r="FY362" s="211">
        <v>357</v>
      </c>
      <c r="FZ362">
        <v>12.724704065073189</v>
      </c>
      <c r="GA362">
        <v>10.808219598719651</v>
      </c>
      <c r="GB362">
        <v>3.9996831821259353</v>
      </c>
      <c r="GC362">
        <v>2.4330981170373405</v>
      </c>
      <c r="GD362">
        <v>1.4157368466630362</v>
      </c>
      <c r="GE362">
        <v>1.8063160202941178</v>
      </c>
      <c r="GF362">
        <v>4.2685572065390982</v>
      </c>
      <c r="GG362">
        <v>4.0417981168040242</v>
      </c>
      <c r="GH362">
        <v>7.0141532518960572</v>
      </c>
      <c r="GI362">
        <v>5.5588831675484904</v>
      </c>
      <c r="GJ362"/>
      <c r="GK362">
        <v>12.777905589806547</v>
      </c>
      <c r="GL362">
        <v>9.1591486871926815</v>
      </c>
      <c r="GM362">
        <v>6.6281914422984167</v>
      </c>
      <c r="GN362">
        <v>7.2558927219259752</v>
      </c>
      <c r="GO362">
        <v>5.4979656918662521</v>
      </c>
      <c r="GP362">
        <v>3.4581940730837792</v>
      </c>
      <c r="GQ362">
        <v>5.2260415612392261</v>
      </c>
      <c r="GR362">
        <v>5.6849535982762625</v>
      </c>
      <c r="GS362">
        <v>7.4776163890720992</v>
      </c>
      <c r="GT362">
        <v>7.5215441348565104</v>
      </c>
      <c r="GU362"/>
      <c r="GV362"/>
      <c r="GW362"/>
      <c r="GX362"/>
      <c r="GY362"/>
      <c r="GZ362"/>
      <c r="HA362"/>
      <c r="HB362"/>
      <c r="HC362"/>
    </row>
    <row r="363" spans="1:211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52.793194550880081</v>
      </c>
      <c r="AO363">
        <v>6.3118922831653688</v>
      </c>
      <c r="AP363">
        <v>4.4098012382521272</v>
      </c>
      <c r="AQ363">
        <v>46.588329068419633</v>
      </c>
      <c r="AR363">
        <v>6.4786080524992871</v>
      </c>
      <c r="AS363">
        <v>39.409041466790001</v>
      </c>
      <c r="AT363">
        <v>5.1579572306529355</v>
      </c>
      <c r="AU363">
        <v>3.9657556279877308</v>
      </c>
      <c r="AV363"/>
      <c r="AW363"/>
      <c r="FY363" s="211">
        <v>358</v>
      </c>
      <c r="FZ363">
        <v>9.5546936891619225</v>
      </c>
      <c r="GA363">
        <v>9.7623648014481716</v>
      </c>
      <c r="GB363">
        <v>5.9424991814338064</v>
      </c>
      <c r="GC363">
        <v>3.4115153120622188</v>
      </c>
      <c r="GD363">
        <v>1.5149767169924744</v>
      </c>
      <c r="GE363">
        <v>1.593116957325581</v>
      </c>
      <c r="GF363">
        <v>1.9812616687733986</v>
      </c>
      <c r="GG363">
        <v>2.2805670599362062</v>
      </c>
      <c r="GH363">
        <v>5.528443394176513</v>
      </c>
      <c r="GI363">
        <v>4.9771371099303394</v>
      </c>
      <c r="GJ363"/>
      <c r="GK363">
        <v>9.5876740793123734</v>
      </c>
      <c r="GL363">
        <v>8.270350211493513</v>
      </c>
      <c r="GM363">
        <v>9.8820224135232859</v>
      </c>
      <c r="GN363">
        <v>10.235477421650081</v>
      </c>
      <c r="GO363">
        <v>5.8937243943511861</v>
      </c>
      <c r="GP363">
        <v>3.0500242248062008</v>
      </c>
      <c r="GQ363">
        <v>2.4255144903619632</v>
      </c>
      <c r="GR363">
        <v>3.2079218977693706</v>
      </c>
      <c r="GS363">
        <v>5.892880111972258</v>
      </c>
      <c r="GT363">
        <v>6.7363630979042135</v>
      </c>
      <c r="GU363"/>
      <c r="GV363"/>
      <c r="GW363"/>
      <c r="GX363"/>
      <c r="GY363"/>
      <c r="GZ363"/>
      <c r="HA363"/>
      <c r="HB363"/>
      <c r="HC363"/>
    </row>
    <row r="364" spans="1:211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57.886210644620732</v>
      </c>
      <c r="AO364">
        <v>7.0332372648324704</v>
      </c>
      <c r="AP364">
        <v>20.022190309591394</v>
      </c>
      <c r="AQ364">
        <v>50.004608568461897</v>
      </c>
      <c r="AR364">
        <v>7.181139569853511</v>
      </c>
      <c r="AS364">
        <v>44.809562632849385</v>
      </c>
      <c r="AT364" t="e">
        <v>#DIV/0!</v>
      </c>
      <c r="AU364" t="e">
        <v>#DIV/0!</v>
      </c>
      <c r="AV364"/>
      <c r="AW364"/>
      <c r="FY364" s="211">
        <v>359</v>
      </c>
      <c r="FZ364">
        <v>8.5614736183983737</v>
      </c>
      <c r="GA364">
        <v>4.8487250117017915</v>
      </c>
      <c r="GB364">
        <v>4.5069109236960001</v>
      </c>
      <c r="GC364">
        <v>3.1354222815996562</v>
      </c>
      <c r="GD364">
        <v>2.0749081215242318</v>
      </c>
      <c r="GE364">
        <v>2.7392276392309949</v>
      </c>
      <c r="GF364">
        <v>2.912442786941424</v>
      </c>
      <c r="GG364">
        <v>2.9096039327509708</v>
      </c>
      <c r="GH364">
        <v>3.8008757865706215</v>
      </c>
      <c r="GI364">
        <v>4.6975415243028342</v>
      </c>
      <c r="GJ364"/>
      <c r="GK364">
        <v>8.6006686200952966</v>
      </c>
      <c r="GL364">
        <v>4.1088895183532088</v>
      </c>
      <c r="GM364">
        <v>7.5440764024477218</v>
      </c>
      <c r="GN364">
        <v>9.4732232794865787</v>
      </c>
      <c r="GO364">
        <v>8.064740311288789</v>
      </c>
      <c r="GP364">
        <v>5.2442544274580873</v>
      </c>
      <c r="GQ364">
        <v>3.5665798083973907</v>
      </c>
      <c r="GR364">
        <v>4.093200178767761</v>
      </c>
      <c r="GS364">
        <v>4.0522800148814637</v>
      </c>
      <c r="GT364">
        <v>6.365669031422132</v>
      </c>
      <c r="GU364"/>
      <c r="GV364"/>
      <c r="GW364"/>
      <c r="GX364"/>
      <c r="GY364"/>
      <c r="GZ364"/>
      <c r="HA364"/>
      <c r="HB364"/>
      <c r="HC364"/>
    </row>
    <row r="365" spans="1:211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65.42855329419595</v>
      </c>
      <c r="AO365">
        <v>7.5286665124211654</v>
      </c>
      <c r="AP365">
        <v>45.338190335158103</v>
      </c>
      <c r="AQ365">
        <v>58.671045365173711</v>
      </c>
      <c r="AR365">
        <v>7.7646378015690685</v>
      </c>
      <c r="AS365">
        <v>50.526173064378227</v>
      </c>
      <c r="AT365" t="e">
        <v>#DIV/0!</v>
      </c>
      <c r="AU365" t="e">
        <v>#DIV/0!</v>
      </c>
      <c r="AV365"/>
      <c r="AW365"/>
      <c r="FY365" s="211">
        <v>360</v>
      </c>
      <c r="FZ365">
        <v>8.8948595451319505</v>
      </c>
      <c r="GA365">
        <v>6.6418576964956424</v>
      </c>
      <c r="GB365">
        <v>4.6501734823862595</v>
      </c>
      <c r="GC365">
        <v>2.6083537130373844</v>
      </c>
      <c r="GD365">
        <v>2.0957184789511611</v>
      </c>
      <c r="GE365">
        <v>2.6593937579138172</v>
      </c>
      <c r="GF365">
        <v>3.4114835260846914</v>
      </c>
      <c r="GG365">
        <v>3.2483775551064311</v>
      </c>
      <c r="GH365">
        <v>4.0214820001285005</v>
      </c>
      <c r="GI365">
        <v>4.9151211363475795</v>
      </c>
      <c r="GJ365"/>
      <c r="GK365">
        <v>8.9317973960947441</v>
      </c>
      <c r="GL365">
        <v>5.627229786413432</v>
      </c>
      <c r="GM365">
        <v>7.7391790965807452</v>
      </c>
      <c r="GN365">
        <v>7.8248146582374574</v>
      </c>
      <c r="GO365">
        <v>8.1249622428534298</v>
      </c>
      <c r="GP365">
        <v>5.0914123709737602</v>
      </c>
      <c r="GQ365">
        <v>4.1804171698872779</v>
      </c>
      <c r="GR365">
        <v>4.571620873590982</v>
      </c>
      <c r="GS365">
        <v>4.2893417938678429</v>
      </c>
      <c r="GT365">
        <v>6.6531395398568058</v>
      </c>
      <c r="GU365"/>
      <c r="GV365"/>
      <c r="GW365"/>
      <c r="GX365"/>
      <c r="GY365"/>
      <c r="GZ365"/>
      <c r="HA365"/>
      <c r="HB365"/>
      <c r="HC365"/>
    </row>
    <row r="366" spans="1:211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52.645426920455279</v>
      </c>
      <c r="AO366">
        <v>6.5104333258343612</v>
      </c>
      <c r="AP366">
        <v>4.0925945050002595</v>
      </c>
      <c r="AQ366">
        <v>51.804509889670854</v>
      </c>
      <c r="AR366">
        <v>6.9823415816583969</v>
      </c>
      <c r="AS366">
        <v>42.955616304319179</v>
      </c>
      <c r="AT366">
        <v>5.5904743204267326</v>
      </c>
      <c r="AU366">
        <v>7.4447095696720318</v>
      </c>
      <c r="AV366"/>
      <c r="AW366"/>
      <c r="FY366" s="211">
        <v>361</v>
      </c>
      <c r="FZ366">
        <v>13.750901077529285</v>
      </c>
      <c r="GA366">
        <v>11.055320805745</v>
      </c>
      <c r="GB366">
        <v>7.2952502401453536</v>
      </c>
      <c r="GC366">
        <v>4.0858855280308983</v>
      </c>
      <c r="GD366">
        <v>1.8505065048969287</v>
      </c>
      <c r="GE366">
        <v>2.063982919579832</v>
      </c>
      <c r="GF366">
        <v>0.61500395478260861</v>
      </c>
      <c r="GG366">
        <v>0.53548899130434779</v>
      </c>
      <c r="GH366">
        <v>2.7742241957354565</v>
      </c>
      <c r="GI366">
        <v>5.4446457009513232</v>
      </c>
      <c r="GJ366"/>
      <c r="GK366">
        <v>13.816284784282196</v>
      </c>
      <c r="GL366">
        <v>9.3670344922808564</v>
      </c>
      <c r="GM366">
        <v>12.197758609365277</v>
      </c>
      <c r="GN366">
        <v>12.356856245328885</v>
      </c>
      <c r="GO366">
        <v>7.1939262573655771</v>
      </c>
      <c r="GP366">
        <v>3.9514976445123509</v>
      </c>
      <c r="GQ366">
        <v>0.75362318840579701</v>
      </c>
      <c r="GR366">
        <v>0.75362318840579701</v>
      </c>
      <c r="GS366">
        <v>2.9577251007391001</v>
      </c>
      <c r="GT366">
        <v>7.3838635880315895</v>
      </c>
      <c r="GU366"/>
      <c r="GV366"/>
      <c r="GW366"/>
      <c r="GX366"/>
      <c r="GY366"/>
      <c r="GZ366"/>
      <c r="HA366"/>
      <c r="HB366"/>
      <c r="HC366"/>
    </row>
    <row r="367" spans="1:211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65.204102923318956</v>
      </c>
      <c r="AO367">
        <v>7.7372239744456923</v>
      </c>
      <c r="AP367">
        <v>4.3610940147519548</v>
      </c>
      <c r="AQ367">
        <v>55.984612174217887</v>
      </c>
      <c r="AR367">
        <v>8.181553452776928</v>
      </c>
      <c r="AS367">
        <v>48.025733417531505</v>
      </c>
      <c r="AT367">
        <v>6.5419535927614847</v>
      </c>
      <c r="AU367">
        <v>-3.5141760684855008</v>
      </c>
      <c r="AV367"/>
      <c r="AW367"/>
      <c r="FY367" s="211">
        <v>362</v>
      </c>
      <c r="FZ367">
        <v>17.860069799029009</v>
      </c>
      <c r="GA367">
        <v>16.079150521434983</v>
      </c>
      <c r="GB367">
        <v>7.2494194347995879</v>
      </c>
      <c r="GC367">
        <v>3.921850864982948</v>
      </c>
      <c r="GD367">
        <v>1.4649379899908326</v>
      </c>
      <c r="GE367">
        <v>1.7002178852941177</v>
      </c>
      <c r="GF367">
        <v>1.8310968709933551</v>
      </c>
      <c r="GG367">
        <v>1.5934002092972313</v>
      </c>
      <c r="GH367">
        <v>3.5449705566133547</v>
      </c>
      <c r="GI367">
        <v>6.1540847222813042</v>
      </c>
      <c r="GJ367"/>
      <c r="GK367">
        <v>17.915569289102208</v>
      </c>
      <c r="GL367">
        <v>13.621983432752168</v>
      </c>
      <c r="GM367">
        <v>11.999488503715835</v>
      </c>
      <c r="GN367">
        <v>11.662584880843982</v>
      </c>
      <c r="GO367">
        <v>5.6792439449634484</v>
      </c>
      <c r="GP367">
        <v>3.2550690730837792</v>
      </c>
      <c r="GQ367">
        <v>2.2391881997255374</v>
      </c>
      <c r="GR367">
        <v>2.2391881997255374</v>
      </c>
      <c r="GS367">
        <v>3.7803468968127079</v>
      </c>
      <c r="GT367">
        <v>8.3227673668639479</v>
      </c>
      <c r="GU367"/>
      <c r="GV367"/>
      <c r="GW367"/>
      <c r="GX367"/>
      <c r="GY367"/>
      <c r="GZ367"/>
      <c r="HA367"/>
      <c r="HB367"/>
      <c r="HC367"/>
    </row>
    <row r="368" spans="1:211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42.664714866307882</v>
      </c>
      <c r="AO368">
        <v>5.3137555766624063</v>
      </c>
      <c r="AP368">
        <v>3.5125203567084622</v>
      </c>
      <c r="AQ368">
        <v>37.191952649635681</v>
      </c>
      <c r="AR368">
        <v>5.7231545107198212</v>
      </c>
      <c r="AS368">
        <v>35.490541157606657</v>
      </c>
      <c r="AT368">
        <v>4.5364585465432725</v>
      </c>
      <c r="AU368">
        <v>2.375398662511488</v>
      </c>
      <c r="AV368"/>
      <c r="AW368"/>
      <c r="FY368" s="211">
        <v>363</v>
      </c>
      <c r="FZ368">
        <v>6.7839626989840349</v>
      </c>
      <c r="GA368">
        <v>8.6023235004572758</v>
      </c>
      <c r="GB368">
        <v>7.0280869918912003</v>
      </c>
      <c r="GC368">
        <v>3.2187779317462013</v>
      </c>
      <c r="GD368">
        <v>1.63114789989864</v>
      </c>
      <c r="GE368">
        <v>2.4647589311911275</v>
      </c>
      <c r="GF368">
        <v>2.3613335839515361</v>
      </c>
      <c r="GG368">
        <v>2.4287977605830751</v>
      </c>
      <c r="GH368">
        <v>5.5280530270119366</v>
      </c>
      <c r="GI368">
        <v>4.963162596389024</v>
      </c>
      <c r="GJ368"/>
      <c r="GK368">
        <v>6.8182767580071202</v>
      </c>
      <c r="GL368">
        <v>7.2882176585135747</v>
      </c>
      <c r="GM368">
        <v>11.63757483699848</v>
      </c>
      <c r="GN368">
        <v>9.5780617285926084</v>
      </c>
      <c r="GO368">
        <v>6.3236878126267921</v>
      </c>
      <c r="GP368">
        <v>4.7187837740804568</v>
      </c>
      <c r="GQ368">
        <v>2.8866229799425738</v>
      </c>
      <c r="GR368">
        <v>3.413243350312944</v>
      </c>
      <c r="GS368">
        <v>5.8934051700045353</v>
      </c>
      <c r="GT368">
        <v>6.7119135115159008</v>
      </c>
      <c r="GU368"/>
      <c r="GV368"/>
      <c r="GW368"/>
      <c r="GX368"/>
      <c r="GY368"/>
      <c r="GZ368"/>
      <c r="HA368"/>
      <c r="HB368"/>
      <c r="HC368"/>
    </row>
    <row r="369" spans="1:211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45.195151226195769</v>
      </c>
      <c r="AO369">
        <v>5.6974393415189182</v>
      </c>
      <c r="AP369">
        <v>12.683591176908275</v>
      </c>
      <c r="AQ369">
        <v>37.219877064690586</v>
      </c>
      <c r="AR369">
        <v>6.2300225960186575</v>
      </c>
      <c r="AS369">
        <v>38.210887468520269</v>
      </c>
      <c r="AT369" t="e">
        <v>#DIV/0!</v>
      </c>
      <c r="AU369" t="e">
        <v>#DIV/0!</v>
      </c>
      <c r="AV369"/>
      <c r="AW369"/>
      <c r="FY369" s="211">
        <v>364</v>
      </c>
      <c r="FZ369">
        <v>7.1319872285885957</v>
      </c>
      <c r="GA369">
        <v>9.0192555430644425</v>
      </c>
      <c r="GB369">
        <v>8.5986815780796935</v>
      </c>
      <c r="GC369">
        <v>3.681379121505</v>
      </c>
      <c r="GD369">
        <v>1.1415780398202708</v>
      </c>
      <c r="GE369">
        <v>1.3202931816112957</v>
      </c>
      <c r="GF369">
        <v>1.6824348773762066</v>
      </c>
      <c r="GG369">
        <v>2.5870090022256083</v>
      </c>
      <c r="GH369">
        <v>4.8465353179518562</v>
      </c>
      <c r="GI369">
        <v>4.8953886155129647</v>
      </c>
      <c r="GJ369"/>
      <c r="GK369">
        <v>7.1535888674231627</v>
      </c>
      <c r="GL369">
        <v>7.6413263717029833</v>
      </c>
      <c r="GM369">
        <v>14.324505048478152</v>
      </c>
      <c r="GN369">
        <v>11.093713563359664</v>
      </c>
      <c r="GO369">
        <v>4.4364609807817175</v>
      </c>
      <c r="GP369">
        <v>2.5277027962347733</v>
      </c>
      <c r="GQ369">
        <v>2.0593334315857961</v>
      </c>
      <c r="GR369">
        <v>3.6391945426969068</v>
      </c>
      <c r="GS369">
        <v>5.1680113426996925</v>
      </c>
      <c r="GT369">
        <v>6.6283799341937026</v>
      </c>
      <c r="GU369"/>
      <c r="GV369"/>
      <c r="GW369"/>
      <c r="GX369"/>
      <c r="GY369"/>
      <c r="GZ369"/>
      <c r="HA369"/>
      <c r="HB369"/>
      <c r="HC369"/>
    </row>
    <row r="370" spans="1:211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70.331480165226353</v>
      </c>
      <c r="AO370">
        <v>8.1243225662278249</v>
      </c>
      <c r="AP370">
        <v>5.8732226030461003</v>
      </c>
      <c r="AQ370">
        <v>58.54392654212765</v>
      </c>
      <c r="AR370">
        <v>8.0952427209799502</v>
      </c>
      <c r="AS370">
        <v>51.521546558275809</v>
      </c>
      <c r="AT370">
        <v>6.467378966332757</v>
      </c>
      <c r="AU370">
        <v>-1.0698052084671881</v>
      </c>
      <c r="AV370"/>
      <c r="AW370"/>
      <c r="FY370" s="211">
        <v>365</v>
      </c>
      <c r="FZ370">
        <v>9.0567005716783875</v>
      </c>
      <c r="GA370">
        <v>8.3977551510162698</v>
      </c>
      <c r="GB370">
        <v>5.6358085565506801</v>
      </c>
      <c r="GC370">
        <v>2.908587928002369</v>
      </c>
      <c r="GD370">
        <v>2.6151066303199006</v>
      </c>
      <c r="GE370">
        <v>4.2720777444537825</v>
      </c>
      <c r="GF370">
        <v>2.4079473552838153</v>
      </c>
      <c r="GG370">
        <v>2.3741149414466225</v>
      </c>
      <c r="GH370">
        <v>6.6155115805251317</v>
      </c>
      <c r="GI370">
        <v>5.7064715176496543</v>
      </c>
      <c r="GJ370"/>
      <c r="GK370">
        <v>9.0772009207186048</v>
      </c>
      <c r="GL370">
        <v>7.114172162009563</v>
      </c>
      <c r="GM370">
        <v>9.3754599447890428</v>
      </c>
      <c r="GN370">
        <v>8.7209361963485588</v>
      </c>
      <c r="GO370">
        <v>10.138036129677342</v>
      </c>
      <c r="GP370">
        <v>8.1788976954418136</v>
      </c>
      <c r="GQ370">
        <v>2.9483732866582599</v>
      </c>
      <c r="GR370">
        <v>3.3395769903619632</v>
      </c>
      <c r="GS370">
        <v>7.0498561629901317</v>
      </c>
      <c r="GT370">
        <v>7.7177852889666756</v>
      </c>
      <c r="GU370"/>
      <c r="GV370"/>
      <c r="GW370"/>
      <c r="GX370"/>
      <c r="GY370"/>
      <c r="GZ370"/>
      <c r="HA370"/>
      <c r="HB370"/>
      <c r="HC370"/>
    </row>
    <row r="371" spans="1:211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48.668688543513511</v>
      </c>
      <c r="AO371">
        <v>5.4716460945520051</v>
      </c>
      <c r="AP371">
        <v>3.1363286436455993</v>
      </c>
      <c r="AQ371">
        <v>38.587244402867327</v>
      </c>
      <c r="AR371">
        <v>6.1384669975183641</v>
      </c>
      <c r="AS371">
        <v>37.741214946690825</v>
      </c>
      <c r="AT371">
        <v>4.8849793920587983</v>
      </c>
      <c r="AU371">
        <v>1.7670403786172706</v>
      </c>
      <c r="AV371"/>
      <c r="AW371"/>
      <c r="FY371" s="211">
        <v>366</v>
      </c>
      <c r="FZ371">
        <v>8.6694506241070481</v>
      </c>
      <c r="GA371">
        <v>9.5482222116144548</v>
      </c>
      <c r="GB371">
        <v>4.8935081533132001</v>
      </c>
      <c r="GC371">
        <v>2.5993273684037761</v>
      </c>
      <c r="GD371">
        <v>1.8367218070125089</v>
      </c>
      <c r="GE371">
        <v>2.7584340148338873</v>
      </c>
      <c r="GF371">
        <v>2.3613335839515361</v>
      </c>
      <c r="GG371">
        <v>2.0546062345414082</v>
      </c>
      <c r="GH371">
        <v>3.2502804478794474</v>
      </c>
      <c r="GI371">
        <v>4.4814807213967942</v>
      </c>
      <c r="GJ371"/>
      <c r="GK371">
        <v>8.694237900084925</v>
      </c>
      <c r="GL371">
        <v>8.0911770812634209</v>
      </c>
      <c r="GM371">
        <v>8.1461321622689429</v>
      </c>
      <c r="GN371">
        <v>7.8107147113493571</v>
      </c>
      <c r="GO371">
        <v>7.1302460789153637</v>
      </c>
      <c r="GP371">
        <v>5.2810250553709857</v>
      </c>
      <c r="GQ371">
        <v>2.8866229799425738</v>
      </c>
      <c r="GR371">
        <v>2.8866229799425738</v>
      </c>
      <c r="GS371">
        <v>3.462544685871912</v>
      </c>
      <c r="GT371">
        <v>6.0639567614167431</v>
      </c>
      <c r="GU371"/>
      <c r="GV371"/>
      <c r="GW371"/>
      <c r="GX371"/>
      <c r="GY371"/>
      <c r="GZ371"/>
      <c r="HA371"/>
      <c r="HB371"/>
      <c r="HC371"/>
    </row>
    <row r="372" spans="1:211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3.6612009480590346E-2</v>
      </c>
      <c r="H372" s="59">
        <f t="shared" ref="H372:AK372" si="360">+H36</f>
        <v>0.11570000000000001</v>
      </c>
      <c r="I372" s="59">
        <f t="shared" si="360"/>
        <v>0.36563111913037094</v>
      </c>
      <c r="J372" s="59">
        <f t="shared" si="360"/>
        <v>0.71672844666619295</v>
      </c>
      <c r="K372" s="59">
        <f t="shared" si="360"/>
        <v>1.1554547560633319</v>
      </c>
      <c r="L372" s="59">
        <f t="shared" si="360"/>
        <v>1.6734917131645679</v>
      </c>
      <c r="M372" s="59">
        <f t="shared" si="360"/>
        <v>2.2649803290158372</v>
      </c>
      <c r="N372" s="59">
        <f t="shared" si="360"/>
        <v>2.9254730750013485</v>
      </c>
      <c r="O372" s="59">
        <f t="shared" si="360"/>
        <v>3.6514279651162109</v>
      </c>
      <c r="P372" s="59">
        <f t="shared" si="360"/>
        <v>4.4399279711368509</v>
      </c>
      <c r="Q372" s="59">
        <f t="shared" si="360"/>
        <v>5.2885103538441047</v>
      </c>
      <c r="R372" s="59">
        <f t="shared" si="360"/>
        <v>6.195055711772036</v>
      </c>
      <c r="S372" s="59">
        <f t="shared" si="360"/>
        <v>7.1577121219216666</v>
      </c>
      <c r="T372" s="59">
        <f t="shared" si="360"/>
        <v>8.1748411761740094</v>
      </c>
      <c r="U372" s="59">
        <f t="shared" si="360"/>
        <v>9.2449783439802076</v>
      </c>
      <c r="V372" s="59">
        <f t="shared" si="360"/>
        <v>10.366803077659346</v>
      </c>
      <c r="W372" s="59">
        <f t="shared" si="360"/>
        <v>11.53911575894014</v>
      </c>
      <c r="X372" s="59">
        <f t="shared" si="360"/>
        <v>12.760819581139918</v>
      </c>
      <c r="Y372" s="59">
        <f t="shared" si="360"/>
        <v>14.030906075583429</v>
      </c>
      <c r="Z372" s="59">
        <f t="shared" si="360"/>
        <v>15.348443383251103</v>
      </c>
      <c r="AA372" s="59">
        <f t="shared" si="360"/>
        <v>16.712566631016184</v>
      </c>
      <c r="AB372" s="59">
        <f t="shared" si="360"/>
        <v>18.122469946495126</v>
      </c>
      <c r="AC372" s="59">
        <f t="shared" si="360"/>
        <v>19.577399766380353</v>
      </c>
      <c r="AD372" s="59">
        <f t="shared" si="360"/>
        <v>21.076649178467193</v>
      </c>
      <c r="AE372" s="59">
        <f t="shared" si="360"/>
        <v>22.619553098973562</v>
      </c>
      <c r="AF372" s="59">
        <f t="shared" si="360"/>
        <v>24.205484131637686</v>
      </c>
      <c r="AG372" s="59">
        <f t="shared" si="360"/>
        <v>25.833848988397069</v>
      </c>
      <c r="AH372" s="59">
        <f t="shared" si="360"/>
        <v>27.504085376514208</v>
      </c>
      <c r="AI372" s="59">
        <f t="shared" si="360"/>
        <v>29.215659276106546</v>
      </c>
      <c r="AJ372" s="59">
        <f t="shared" si="360"/>
        <v>30.96806254674263</v>
      </c>
      <c r="AK372" s="59">
        <f t="shared" si="360"/>
        <v>32.760810813213169</v>
      </c>
      <c r="AL372" s="78"/>
      <c r="AM372" s="43">
        <v>356</v>
      </c>
      <c r="AN372">
        <v>63.198543065157672</v>
      </c>
      <c r="AO372">
        <v>7.5266389321022045</v>
      </c>
      <c r="AP372">
        <v>22.469066454737323</v>
      </c>
      <c r="AQ372">
        <v>51.961728029555843</v>
      </c>
      <c r="AR372">
        <v>7.8489423072074729</v>
      </c>
      <c r="AS372">
        <v>45.150728136056493</v>
      </c>
      <c r="AT372" t="e">
        <v>#DIV/0!</v>
      </c>
      <c r="AU372" t="e">
        <v>#DIV/0!</v>
      </c>
      <c r="AV372"/>
      <c r="AW372"/>
      <c r="FY372" s="211">
        <v>367</v>
      </c>
      <c r="FZ372">
        <v>13.706669620541478</v>
      </c>
      <c r="GA372">
        <v>10.377345894578172</v>
      </c>
      <c r="GB372">
        <v>8.2239761119719859</v>
      </c>
      <c r="GC372">
        <v>4.140502940813005</v>
      </c>
      <c r="GD372">
        <v>0.71029923838183318</v>
      </c>
      <c r="GE372">
        <v>0.67359978732558146</v>
      </c>
      <c r="GF372">
        <v>1.8933086292330903</v>
      </c>
      <c r="GG372">
        <v>2.3483166436884702</v>
      </c>
      <c r="GH372">
        <v>4.2864244609560114</v>
      </c>
      <c r="GI372">
        <v>5.4824216454971175</v>
      </c>
      <c r="GJ372"/>
      <c r="GK372">
        <v>13.770248651689867</v>
      </c>
      <c r="GL372">
        <v>8.7944657541045856</v>
      </c>
      <c r="GM372">
        <v>13.773844626037381</v>
      </c>
      <c r="GN372">
        <v>12.556157910479133</v>
      </c>
      <c r="GO372">
        <v>2.7532913585906327</v>
      </c>
      <c r="GP372">
        <v>1.289607558139535</v>
      </c>
      <c r="GQ372">
        <v>2.3177372158047973</v>
      </c>
      <c r="GR372">
        <v>3.3032696232122047</v>
      </c>
      <c r="GS372">
        <v>4.5713872950876953</v>
      </c>
      <c r="GT372">
        <v>7.4373018294420756</v>
      </c>
      <c r="GU372"/>
      <c r="GV372"/>
      <c r="GW372"/>
      <c r="GX372"/>
      <c r="GY372"/>
      <c r="GZ372"/>
      <c r="HA372"/>
      <c r="HB372"/>
      <c r="HC372"/>
    </row>
    <row r="373" spans="1:211" s="7" customFormat="1">
      <c r="A373" s="95"/>
      <c r="B373" s="71">
        <f t="shared" ref="B373:B378" si="361">+C4</f>
        <v>39646</v>
      </c>
      <c r="C373" s="18">
        <f t="shared" ref="C373:C382" si="362">+D70</f>
        <v>77.083333333333329</v>
      </c>
      <c r="D373" s="18">
        <f t="shared" ref="D373:D382" si="363">SUM(G373:AK373)</f>
        <v>10.424617728549062</v>
      </c>
      <c r="E373" s="19">
        <f t="shared" ref="E373:E382" si="364">IF(C373&lt;1, 0.000001, D373/C373)</f>
        <v>0.13523828404604191</v>
      </c>
      <c r="F373" s="19"/>
      <c r="G373" s="18">
        <f>AVERAGE(E228:E237)*G$372</f>
        <v>0.26696256912930461</v>
      </c>
      <c r="H373" s="18">
        <f t="shared" ref="H373:AK373" si="365">AVERAGE(F228:F237)*H$372</f>
        <v>7.1107291666666672</v>
      </c>
      <c r="I373" s="18">
        <f t="shared" si="365"/>
        <v>3.0469259927530907</v>
      </c>
      <c r="J373" s="18">
        <f t="shared" si="365"/>
        <v>0</v>
      </c>
      <c r="K373" s="18">
        <f t="shared" si="365"/>
        <v>0</v>
      </c>
      <c r="L373" s="18">
        <f t="shared" si="365"/>
        <v>0</v>
      </c>
      <c r="M373" s="18">
        <f t="shared" si="365"/>
        <v>0</v>
      </c>
      <c r="N373" s="18">
        <f t="shared" si="365"/>
        <v>0</v>
      </c>
      <c r="O373" s="18">
        <f t="shared" si="365"/>
        <v>0</v>
      </c>
      <c r="P373" s="18">
        <f t="shared" si="365"/>
        <v>0</v>
      </c>
      <c r="Q373" s="18">
        <f t="shared" si="365"/>
        <v>0</v>
      </c>
      <c r="R373" s="18">
        <f t="shared" si="365"/>
        <v>0</v>
      </c>
      <c r="S373" s="18">
        <f t="shared" si="365"/>
        <v>0</v>
      </c>
      <c r="T373" s="18">
        <f t="shared" si="365"/>
        <v>0</v>
      </c>
      <c r="U373" s="18">
        <f t="shared" si="365"/>
        <v>0</v>
      </c>
      <c r="V373" s="18">
        <f t="shared" si="365"/>
        <v>0</v>
      </c>
      <c r="W373" s="18">
        <f t="shared" si="365"/>
        <v>0</v>
      </c>
      <c r="X373" s="18">
        <f t="shared" si="365"/>
        <v>0</v>
      </c>
      <c r="Y373" s="18">
        <f t="shared" si="365"/>
        <v>0</v>
      </c>
      <c r="Z373" s="18">
        <f t="shared" si="365"/>
        <v>0</v>
      </c>
      <c r="AA373" s="18">
        <f t="shared" si="365"/>
        <v>0</v>
      </c>
      <c r="AB373" s="18">
        <f t="shared" si="365"/>
        <v>0</v>
      </c>
      <c r="AC373" s="18">
        <f t="shared" si="365"/>
        <v>0</v>
      </c>
      <c r="AD373" s="18">
        <f t="shared" si="365"/>
        <v>0</v>
      </c>
      <c r="AE373" s="18">
        <f t="shared" si="365"/>
        <v>0</v>
      </c>
      <c r="AF373" s="18">
        <f t="shared" si="365"/>
        <v>0</v>
      </c>
      <c r="AG373" s="18">
        <f t="shared" si="365"/>
        <v>0</v>
      </c>
      <c r="AH373" s="18">
        <f t="shared" si="365"/>
        <v>0</v>
      </c>
      <c r="AI373" s="18">
        <f t="shared" si="365"/>
        <v>0</v>
      </c>
      <c r="AJ373" s="18">
        <f t="shared" si="365"/>
        <v>0</v>
      </c>
      <c r="AK373" s="18">
        <f t="shared" si="365"/>
        <v>0</v>
      </c>
      <c r="AL373" s="78"/>
      <c r="AM373" s="43">
        <v>357</v>
      </c>
      <c r="AN373">
        <v>59.388552699647981</v>
      </c>
      <c r="AO373">
        <v>7.0687453889617746</v>
      </c>
      <c r="AP373">
        <v>2.3195444196152124</v>
      </c>
      <c r="AQ373">
        <v>54.071149572700932</v>
      </c>
      <c r="AR373">
        <v>7.5215441348565104</v>
      </c>
      <c r="AS373">
        <v>48.089443824707992</v>
      </c>
      <c r="AT373">
        <v>6.042477605443632</v>
      </c>
      <c r="AU373">
        <v>-2.1580794161268368</v>
      </c>
      <c r="AV373"/>
      <c r="AW373"/>
      <c r="FY373" s="211">
        <v>368</v>
      </c>
      <c r="FZ373">
        <v>11.287506226976554</v>
      </c>
      <c r="GA373">
        <v>7.0258811313678144</v>
      </c>
      <c r="GB373">
        <v>5.8947275844729017</v>
      </c>
      <c r="GC373">
        <v>3.9186007950010167</v>
      </c>
      <c r="GD373">
        <v>1.873080028515649</v>
      </c>
      <c r="GE373">
        <v>2.3030855826196994</v>
      </c>
      <c r="GF373">
        <v>1.7999008971784418</v>
      </c>
      <c r="GG373">
        <v>1.8451593324501812</v>
      </c>
      <c r="GH373">
        <v>5.2750216811682549</v>
      </c>
      <c r="GI373">
        <v>5.3586081043947074</v>
      </c>
      <c r="GJ373"/>
      <c r="GK373">
        <v>11.32773032918284</v>
      </c>
      <c r="GL373">
        <v>5.9528608908872984</v>
      </c>
      <c r="GM373">
        <v>9.8805749031224082</v>
      </c>
      <c r="GN373">
        <v>11.852681580877508</v>
      </c>
      <c r="GO373">
        <v>7.2727056491035915</v>
      </c>
      <c r="GP373">
        <v>4.4092599645566475</v>
      </c>
      <c r="GQ373">
        <v>2.2055907809983895</v>
      </c>
      <c r="GR373">
        <v>2.5967944847020932</v>
      </c>
      <c r="GS373">
        <v>5.6240673679221773</v>
      </c>
      <c r="GT373">
        <v>7.2621338060658829</v>
      </c>
      <c r="GU373"/>
      <c r="GV373"/>
      <c r="GW373"/>
      <c r="GX373"/>
      <c r="GY373"/>
      <c r="GZ373"/>
      <c r="HA373"/>
      <c r="HB373"/>
      <c r="HC373"/>
    </row>
    <row r="374" spans="1:211" s="7" customFormat="1">
      <c r="A374" s="95"/>
      <c r="B374" s="71">
        <f t="shared" si="361"/>
        <v>39673</v>
      </c>
      <c r="C374" s="18">
        <f t="shared" si="362"/>
        <v>33.630952380952387</v>
      </c>
      <c r="D374" s="18">
        <f t="shared" si="363"/>
        <v>3.6439512201030362</v>
      </c>
      <c r="E374" s="19">
        <f t="shared" si="364"/>
        <v>0.1083511159251876</v>
      </c>
      <c r="F374" s="19">
        <f>IF(F388&lt;0,0,F388)</f>
        <v>0</v>
      </c>
      <c r="G374" s="18">
        <f>AVERAGE(E238:E247)*G$372</f>
        <v>0.11441252962684484</v>
      </c>
      <c r="H374" s="18">
        <f t="shared" ref="H374:AK374" si="366">AVERAGE(F238:F247)*H$372</f>
        <v>3.5295386904761914</v>
      </c>
      <c r="I374" s="18">
        <f t="shared" si="366"/>
        <v>0</v>
      </c>
      <c r="J374" s="18">
        <f t="shared" si="366"/>
        <v>0</v>
      </c>
      <c r="K374" s="18">
        <f t="shared" si="366"/>
        <v>0</v>
      </c>
      <c r="L374" s="18">
        <f t="shared" si="366"/>
        <v>0</v>
      </c>
      <c r="M374" s="18">
        <f t="shared" si="366"/>
        <v>0</v>
      </c>
      <c r="N374" s="18">
        <f t="shared" si="366"/>
        <v>0</v>
      </c>
      <c r="O374" s="18">
        <f t="shared" si="366"/>
        <v>0</v>
      </c>
      <c r="P374" s="18">
        <f t="shared" si="366"/>
        <v>0</v>
      </c>
      <c r="Q374" s="18">
        <f t="shared" si="366"/>
        <v>0</v>
      </c>
      <c r="R374" s="18">
        <f t="shared" si="366"/>
        <v>0</v>
      </c>
      <c r="S374" s="18">
        <f t="shared" si="366"/>
        <v>0</v>
      </c>
      <c r="T374" s="18">
        <f t="shared" si="366"/>
        <v>0</v>
      </c>
      <c r="U374" s="18">
        <f t="shared" si="366"/>
        <v>0</v>
      </c>
      <c r="V374" s="18">
        <f t="shared" si="366"/>
        <v>0</v>
      </c>
      <c r="W374" s="18">
        <f t="shared" si="366"/>
        <v>0</v>
      </c>
      <c r="X374" s="18">
        <f t="shared" si="366"/>
        <v>0</v>
      </c>
      <c r="Y374" s="18">
        <f t="shared" si="366"/>
        <v>0</v>
      </c>
      <c r="Z374" s="18">
        <f t="shared" si="366"/>
        <v>0</v>
      </c>
      <c r="AA374" s="18">
        <f t="shared" si="366"/>
        <v>0</v>
      </c>
      <c r="AB374" s="18">
        <f t="shared" si="366"/>
        <v>0</v>
      </c>
      <c r="AC374" s="18">
        <f t="shared" si="366"/>
        <v>0</v>
      </c>
      <c r="AD374" s="18">
        <f t="shared" si="366"/>
        <v>0</v>
      </c>
      <c r="AE374" s="18">
        <f t="shared" si="366"/>
        <v>0</v>
      </c>
      <c r="AF374" s="18">
        <f t="shared" si="366"/>
        <v>0</v>
      </c>
      <c r="AG374" s="18">
        <f t="shared" si="366"/>
        <v>0</v>
      </c>
      <c r="AH374" s="18">
        <f t="shared" si="366"/>
        <v>0</v>
      </c>
      <c r="AI374" s="18">
        <f t="shared" si="366"/>
        <v>0</v>
      </c>
      <c r="AJ374" s="18">
        <f t="shared" si="366"/>
        <v>0</v>
      </c>
      <c r="AK374" s="18">
        <f t="shared" si="366"/>
        <v>0</v>
      </c>
      <c r="AL374" s="78"/>
      <c r="AM374" s="43">
        <v>358</v>
      </c>
      <c r="AN374">
        <v>55.67860467315095</v>
      </c>
      <c r="AO374">
        <v>6.5181952343144456</v>
      </c>
      <c r="AP374">
        <v>4.0775310058916592</v>
      </c>
      <c r="AQ374">
        <v>46.546575891240629</v>
      </c>
      <c r="AR374">
        <v>6.7363630979042135</v>
      </c>
      <c r="AS374">
        <v>40.687827312861735</v>
      </c>
      <c r="AT374">
        <v>5.3601434446968392</v>
      </c>
      <c r="AU374">
        <v>0.75791875812173881</v>
      </c>
      <c r="AV374"/>
      <c r="AW374"/>
      <c r="FY374" s="211">
        <v>369</v>
      </c>
      <c r="FZ374">
        <v>7.4111190654392427</v>
      </c>
      <c r="GA374">
        <v>4.8509676975383664</v>
      </c>
      <c r="GB374">
        <v>5.2967834619476371</v>
      </c>
      <c r="GC374">
        <v>3.3373499500359705</v>
      </c>
      <c r="GD374">
        <v>1.9120689386106104</v>
      </c>
      <c r="GE374">
        <v>2.3063754472708622</v>
      </c>
      <c r="GF374">
        <v>0.61500395478260861</v>
      </c>
      <c r="GG374">
        <v>2.0322550954710144</v>
      </c>
      <c r="GH374">
        <v>4.7733403195671613</v>
      </c>
      <c r="GI374">
        <v>4.3649221477986693</v>
      </c>
      <c r="GJ374"/>
      <c r="GK374">
        <v>7.4366180247646616</v>
      </c>
      <c r="GL374">
        <v>4.1092429678295437</v>
      </c>
      <c r="GM374">
        <v>8.8518019110169721</v>
      </c>
      <c r="GN374">
        <v>10.074931564426571</v>
      </c>
      <c r="GO374">
        <v>7.4333657265711794</v>
      </c>
      <c r="GP374">
        <v>4.4155584141690509</v>
      </c>
      <c r="GQ374">
        <v>0.75362318840579701</v>
      </c>
      <c r="GR374">
        <v>2.8601046698872783</v>
      </c>
      <c r="GS374">
        <v>5.0925688102486051</v>
      </c>
      <c r="GT374">
        <v>5.9135955322014437</v>
      </c>
      <c r="GU374"/>
      <c r="GV374"/>
      <c r="GW374"/>
      <c r="GX374"/>
      <c r="GY374"/>
      <c r="GZ374"/>
      <c r="HA374"/>
      <c r="HB374"/>
      <c r="HC374"/>
    </row>
    <row r="375" spans="1:211" s="7" customFormat="1">
      <c r="A375" s="95"/>
      <c r="B375" s="71">
        <f t="shared" si="361"/>
        <v>39714</v>
      </c>
      <c r="C375" s="18">
        <f t="shared" si="362"/>
        <v>49.702380952380949</v>
      </c>
      <c r="D375" s="18">
        <f t="shared" si="363"/>
        <v>4.220589469118563</v>
      </c>
      <c r="E375" s="19">
        <f t="shared" si="364"/>
        <v>8.4917249199032166E-2</v>
      </c>
      <c r="F375" s="19">
        <f>IF(F389&lt;0,0,F389)</f>
        <v>0</v>
      </c>
      <c r="G375" s="18">
        <f>AVERAGE(E248:E257)*G$372</f>
        <v>0.70826804054713466</v>
      </c>
      <c r="H375" s="18">
        <f t="shared" ref="H375:AK375" si="367">AVERAGE(F248:F257)*H$372</f>
        <v>3.5123214285714286</v>
      </c>
      <c r="I375" s="18">
        <f t="shared" si="367"/>
        <v>0</v>
      </c>
      <c r="J375" s="18">
        <f t="shared" si="367"/>
        <v>0</v>
      </c>
      <c r="K375" s="18">
        <f t="shared" si="367"/>
        <v>0</v>
      </c>
      <c r="L375" s="18">
        <f t="shared" si="367"/>
        <v>0</v>
      </c>
      <c r="M375" s="18">
        <f t="shared" si="367"/>
        <v>0</v>
      </c>
      <c r="N375" s="18">
        <f t="shared" si="367"/>
        <v>0</v>
      </c>
      <c r="O375" s="18">
        <f t="shared" si="367"/>
        <v>0</v>
      </c>
      <c r="P375" s="18">
        <f t="shared" si="367"/>
        <v>0</v>
      </c>
      <c r="Q375" s="18">
        <f t="shared" si="367"/>
        <v>0</v>
      </c>
      <c r="R375" s="18">
        <f t="shared" si="367"/>
        <v>0</v>
      </c>
      <c r="S375" s="18">
        <f t="shared" si="367"/>
        <v>0</v>
      </c>
      <c r="T375" s="18">
        <f t="shared" si="367"/>
        <v>0</v>
      </c>
      <c r="U375" s="18">
        <f t="shared" si="367"/>
        <v>0</v>
      </c>
      <c r="V375" s="18">
        <f t="shared" si="367"/>
        <v>0</v>
      </c>
      <c r="W375" s="18">
        <f t="shared" si="367"/>
        <v>0</v>
      </c>
      <c r="X375" s="18">
        <f t="shared" si="367"/>
        <v>0</v>
      </c>
      <c r="Y375" s="18">
        <f t="shared" si="367"/>
        <v>0</v>
      </c>
      <c r="Z375" s="18">
        <f t="shared" si="367"/>
        <v>0</v>
      </c>
      <c r="AA375" s="18">
        <f t="shared" si="367"/>
        <v>0</v>
      </c>
      <c r="AB375" s="18">
        <f t="shared" si="367"/>
        <v>0</v>
      </c>
      <c r="AC375" s="18">
        <f t="shared" si="367"/>
        <v>0</v>
      </c>
      <c r="AD375" s="18">
        <f t="shared" si="367"/>
        <v>0</v>
      </c>
      <c r="AE375" s="18">
        <f t="shared" si="367"/>
        <v>0</v>
      </c>
      <c r="AF375" s="18">
        <f t="shared" si="367"/>
        <v>0</v>
      </c>
      <c r="AG375" s="18">
        <f t="shared" si="367"/>
        <v>0</v>
      </c>
      <c r="AH375" s="18">
        <f t="shared" si="367"/>
        <v>0</v>
      </c>
      <c r="AI375" s="18">
        <f t="shared" si="367"/>
        <v>0</v>
      </c>
      <c r="AJ375" s="18">
        <f t="shared" si="367"/>
        <v>0</v>
      </c>
      <c r="AK375" s="18">
        <f t="shared" si="367"/>
        <v>0</v>
      </c>
      <c r="AL375" s="78"/>
      <c r="AM375" s="43">
        <v>359</v>
      </c>
      <c r="AN375">
        <v>47.246618439319789</v>
      </c>
      <c r="AO375">
        <v>6.1113581592598427</v>
      </c>
      <c r="AP375">
        <v>46.328335999371362</v>
      </c>
      <c r="AQ375">
        <v>40.187131626716898</v>
      </c>
      <c r="AR375">
        <v>6.3656690314221311</v>
      </c>
      <c r="AS375">
        <v>40.56976900035837</v>
      </c>
      <c r="AT375" t="e">
        <v>#DIV/0!</v>
      </c>
      <c r="AU375" t="e">
        <v>#DIV/0!</v>
      </c>
      <c r="AV375"/>
      <c r="AW375"/>
      <c r="FY375" s="211">
        <v>370</v>
      </c>
      <c r="FZ375">
        <v>8.6749113121709396</v>
      </c>
      <c r="GA375">
        <v>7.9864331145114367</v>
      </c>
      <c r="GB375">
        <v>9.1462984359405883</v>
      </c>
      <c r="GC375">
        <v>4.2051147515043539</v>
      </c>
      <c r="GD375">
        <v>1.5705270283629253</v>
      </c>
      <c r="GE375">
        <v>2.0201572226196989</v>
      </c>
      <c r="GF375">
        <v>0.7185549812303732</v>
      </c>
      <c r="GG375">
        <v>0.90314713503810828</v>
      </c>
      <c r="GH375">
        <v>4.4989486518009114</v>
      </c>
      <c r="GI375">
        <v>5.2727812058542787</v>
      </c>
      <c r="GJ375"/>
      <c r="GK375">
        <v>8.7114074872501188</v>
      </c>
      <c r="GL375">
        <v>6.7635470753281473</v>
      </c>
      <c r="GM375">
        <v>15.223251864223904</v>
      </c>
      <c r="GN375">
        <v>12.634001433554753</v>
      </c>
      <c r="GO375">
        <v>6.0886431697696493</v>
      </c>
      <c r="GP375">
        <v>3.8675932978899805</v>
      </c>
      <c r="GQ375">
        <v>0.87819917232653688</v>
      </c>
      <c r="GR375">
        <v>1.2694028760302405</v>
      </c>
      <c r="GS375">
        <v>4.7959517808446899</v>
      </c>
      <c r="GT375">
        <v>7.139490694882979</v>
      </c>
      <c r="GU375"/>
      <c r="GV375"/>
      <c r="GW375"/>
      <c r="GX375"/>
      <c r="GY375"/>
      <c r="GZ375"/>
      <c r="HA375"/>
      <c r="HB375"/>
      <c r="HC375"/>
    </row>
    <row r="376" spans="1:211" s="7" customFormat="1">
      <c r="A376" s="95"/>
      <c r="B376" s="71">
        <f t="shared" si="361"/>
        <v>39747</v>
      </c>
      <c r="C376" s="18">
        <f t="shared" si="362"/>
        <v>79.979302540278155</v>
      </c>
      <c r="D376" s="18">
        <f t="shared" si="363"/>
        <v>9.7774129453921876</v>
      </c>
      <c r="E376" s="19">
        <f t="shared" si="364"/>
        <v>0.12224928993933414</v>
      </c>
      <c r="F376" s="19">
        <f>IF(F390&lt;0,0,F390)</f>
        <v>1.1041972018552414E-2</v>
      </c>
      <c r="G376" s="18">
        <f>AVERAGE(E258:E267)*G$372</f>
        <v>0.51077022154841445</v>
      </c>
      <c r="H376" s="18">
        <f t="shared" ref="H376:AK376" si="368">AVERAGE(F258:F267)*H$372</f>
        <v>6.8862317920054208</v>
      </c>
      <c r="I376" s="18">
        <f t="shared" si="368"/>
        <v>2.3804109318383526</v>
      </c>
      <c r="J376" s="18">
        <f t="shared" si="368"/>
        <v>0</v>
      </c>
      <c r="K376" s="18">
        <f t="shared" si="368"/>
        <v>0</v>
      </c>
      <c r="L376" s="18">
        <f t="shared" si="368"/>
        <v>0</v>
      </c>
      <c r="M376" s="18">
        <f t="shared" si="368"/>
        <v>0</v>
      </c>
      <c r="N376" s="18">
        <f t="shared" si="368"/>
        <v>0</v>
      </c>
      <c r="O376" s="18">
        <f t="shared" si="368"/>
        <v>0</v>
      </c>
      <c r="P376" s="18">
        <f t="shared" si="368"/>
        <v>0</v>
      </c>
      <c r="Q376" s="18">
        <f t="shared" si="368"/>
        <v>0</v>
      </c>
      <c r="R376" s="18">
        <f t="shared" si="368"/>
        <v>0</v>
      </c>
      <c r="S376" s="18">
        <f t="shared" si="368"/>
        <v>0</v>
      </c>
      <c r="T376" s="18">
        <f t="shared" si="368"/>
        <v>0</v>
      </c>
      <c r="U376" s="18">
        <f t="shared" si="368"/>
        <v>0</v>
      </c>
      <c r="V376" s="18">
        <f t="shared" si="368"/>
        <v>0</v>
      </c>
      <c r="W376" s="18">
        <f t="shared" si="368"/>
        <v>0</v>
      </c>
      <c r="X376" s="18">
        <f t="shared" si="368"/>
        <v>0</v>
      </c>
      <c r="Y376" s="18">
        <f t="shared" si="368"/>
        <v>0</v>
      </c>
      <c r="Z376" s="18">
        <f t="shared" si="368"/>
        <v>0</v>
      </c>
      <c r="AA376" s="18">
        <f t="shared" si="368"/>
        <v>0</v>
      </c>
      <c r="AB376" s="18">
        <f t="shared" si="368"/>
        <v>0</v>
      </c>
      <c r="AC376" s="18">
        <f t="shared" si="368"/>
        <v>0</v>
      </c>
      <c r="AD376" s="18">
        <f t="shared" si="368"/>
        <v>0</v>
      </c>
      <c r="AE376" s="18">
        <f t="shared" si="368"/>
        <v>0</v>
      </c>
      <c r="AF376" s="18">
        <f t="shared" si="368"/>
        <v>0</v>
      </c>
      <c r="AG376" s="18">
        <f t="shared" si="368"/>
        <v>0</v>
      </c>
      <c r="AH376" s="18">
        <f t="shared" si="368"/>
        <v>0</v>
      </c>
      <c r="AI376" s="18">
        <f t="shared" si="368"/>
        <v>0</v>
      </c>
      <c r="AJ376" s="18">
        <f t="shared" si="368"/>
        <v>0</v>
      </c>
      <c r="AK376" s="18">
        <f t="shared" si="368"/>
        <v>0</v>
      </c>
      <c r="AL376" s="78"/>
      <c r="AM376" s="43">
        <v>360</v>
      </c>
      <c r="AN376">
        <v>50.784708716991609</v>
      </c>
      <c r="AO376">
        <v>6.3033914928356483</v>
      </c>
      <c r="AP376">
        <v>2.8590947165781935</v>
      </c>
      <c r="AQ376">
        <v>43.146820891583417</v>
      </c>
      <c r="AR376">
        <v>6.6531395398568076</v>
      </c>
      <c r="AS376">
        <v>41.107271212814965</v>
      </c>
      <c r="AT376">
        <v>5.3638122498208558</v>
      </c>
      <c r="AU376">
        <v>8.3691511678975203</v>
      </c>
      <c r="AV376"/>
      <c r="AW376"/>
      <c r="FY376" s="211">
        <v>371</v>
      </c>
      <c r="FZ376">
        <v>13.590122068544852</v>
      </c>
      <c r="GA376">
        <v>11.110221313132602</v>
      </c>
      <c r="GB376">
        <v>6.8087708376838076</v>
      </c>
      <c r="GC376">
        <v>3.539115552632643</v>
      </c>
      <c r="GD376">
        <v>1.948468183186211</v>
      </c>
      <c r="GE376">
        <v>2.9154157248739501</v>
      </c>
      <c r="GF376">
        <v>3.1233165387983077</v>
      </c>
      <c r="GG376">
        <v>3.0451031002555</v>
      </c>
      <c r="GH376">
        <v>4.0001753863945932</v>
      </c>
      <c r="GI376">
        <v>5.9992383976186652</v>
      </c>
      <c r="GJ376"/>
      <c r="GK376">
        <v>13.659952660244977</v>
      </c>
      <c r="GL376">
        <v>9.4158403995134279</v>
      </c>
      <c r="GM376">
        <v>11.31825978726066</v>
      </c>
      <c r="GN376">
        <v>10.597353188198328</v>
      </c>
      <c r="GO376">
        <v>7.5540302799519905</v>
      </c>
      <c r="GP376">
        <v>5.5815667175961297</v>
      </c>
      <c r="GQ376">
        <v>3.824983592616392</v>
      </c>
      <c r="GR376">
        <v>4.2838956296534292</v>
      </c>
      <c r="GS376">
        <v>4.263206249593714</v>
      </c>
      <c r="GT376">
        <v>8.1240865139335465</v>
      </c>
      <c r="GU376"/>
      <c r="GV376"/>
      <c r="GW376"/>
      <c r="GX376"/>
      <c r="GY376"/>
      <c r="GZ376"/>
      <c r="HA376"/>
      <c r="HB376"/>
      <c r="HC376"/>
    </row>
    <row r="377" spans="1:211" s="7" customFormat="1">
      <c r="A377" s="95"/>
      <c r="B377" s="71">
        <f t="shared" si="361"/>
        <v>39775</v>
      </c>
      <c r="C377" s="18">
        <f t="shared" si="362"/>
        <v>27.827380952380956</v>
      </c>
      <c r="D377" s="18">
        <f t="shared" si="363"/>
        <v>3.2196279761904769</v>
      </c>
      <c r="E377" s="19">
        <f t="shared" si="364"/>
        <v>0.11570000000000001</v>
      </c>
      <c r="F377" s="19">
        <f>IF(F391&lt;0,0,F391)</f>
        <v>0</v>
      </c>
      <c r="G377" s="18">
        <f>AVERAGE(E268:E277)*G$372</f>
        <v>0</v>
      </c>
      <c r="H377" s="18">
        <f t="shared" ref="H377:AK377" si="369">AVERAGE(F268:F277)*H$372</f>
        <v>3.2196279761904769</v>
      </c>
      <c r="I377" s="18">
        <f t="shared" si="369"/>
        <v>0</v>
      </c>
      <c r="J377" s="18">
        <f t="shared" si="369"/>
        <v>0</v>
      </c>
      <c r="K377" s="18">
        <f t="shared" si="369"/>
        <v>0</v>
      </c>
      <c r="L377" s="18">
        <f t="shared" si="369"/>
        <v>0</v>
      </c>
      <c r="M377" s="18">
        <f t="shared" si="369"/>
        <v>0</v>
      </c>
      <c r="N377" s="18">
        <f t="shared" si="369"/>
        <v>0</v>
      </c>
      <c r="O377" s="18">
        <f t="shared" si="369"/>
        <v>0</v>
      </c>
      <c r="P377" s="18">
        <f t="shared" si="369"/>
        <v>0</v>
      </c>
      <c r="Q377" s="18">
        <f t="shared" si="369"/>
        <v>0</v>
      </c>
      <c r="R377" s="18">
        <f t="shared" si="369"/>
        <v>0</v>
      </c>
      <c r="S377" s="18">
        <f t="shared" si="369"/>
        <v>0</v>
      </c>
      <c r="T377" s="18">
        <f t="shared" si="369"/>
        <v>0</v>
      </c>
      <c r="U377" s="18">
        <f t="shared" si="369"/>
        <v>0</v>
      </c>
      <c r="V377" s="18">
        <f t="shared" si="369"/>
        <v>0</v>
      </c>
      <c r="W377" s="18">
        <f t="shared" si="369"/>
        <v>0</v>
      </c>
      <c r="X377" s="18">
        <f t="shared" si="369"/>
        <v>0</v>
      </c>
      <c r="Y377" s="18">
        <f t="shared" si="369"/>
        <v>0</v>
      </c>
      <c r="Z377" s="18">
        <f t="shared" si="369"/>
        <v>0</v>
      </c>
      <c r="AA377" s="18">
        <f t="shared" si="369"/>
        <v>0</v>
      </c>
      <c r="AB377" s="18">
        <f t="shared" si="369"/>
        <v>0</v>
      </c>
      <c r="AC377" s="18">
        <f t="shared" si="369"/>
        <v>0</v>
      </c>
      <c r="AD377" s="18">
        <f t="shared" si="369"/>
        <v>0</v>
      </c>
      <c r="AE377" s="18">
        <f t="shared" si="369"/>
        <v>0</v>
      </c>
      <c r="AF377" s="18">
        <f t="shared" si="369"/>
        <v>0</v>
      </c>
      <c r="AG377" s="18">
        <f t="shared" si="369"/>
        <v>0</v>
      </c>
      <c r="AH377" s="18">
        <f t="shared" si="369"/>
        <v>0</v>
      </c>
      <c r="AI377" s="18">
        <f t="shared" si="369"/>
        <v>0</v>
      </c>
      <c r="AJ377" s="18">
        <f t="shared" si="369"/>
        <v>0</v>
      </c>
      <c r="AK377" s="18">
        <f t="shared" si="369"/>
        <v>0</v>
      </c>
      <c r="AL377" s="78"/>
      <c r="AM377" s="43">
        <v>361</v>
      </c>
      <c r="AN377">
        <v>55.346239141905684</v>
      </c>
      <c r="AO377">
        <v>7.0732193098717433</v>
      </c>
      <c r="AP377">
        <v>48.347954864445313</v>
      </c>
      <c r="AQ377">
        <v>49.471209918701035</v>
      </c>
      <c r="AR377">
        <v>7.3838635880315904</v>
      </c>
      <c r="AS377">
        <v>43.293493377976077</v>
      </c>
      <c r="AT377" t="e">
        <v>#DIV/0!</v>
      </c>
      <c r="AU377" t="e">
        <v>#DIV/0!</v>
      </c>
      <c r="AV377"/>
      <c r="AW377"/>
      <c r="FY377" s="211">
        <v>372</v>
      </c>
      <c r="FZ377">
        <v>12.882120096188025</v>
      </c>
      <c r="GA377">
        <v>14.005508281218374</v>
      </c>
      <c r="GB377">
        <v>6.3971299355243092</v>
      </c>
      <c r="GC377">
        <v>3.2324778307511219</v>
      </c>
      <c r="GD377">
        <v>2.3768713029057067</v>
      </c>
      <c r="GE377">
        <v>3.2353550621995315</v>
      </c>
      <c r="GF377">
        <v>2.8968448000339668</v>
      </c>
      <c r="GG377">
        <v>2.8483877313066115</v>
      </c>
      <c r="GH377">
        <v>3.7658132093246128</v>
      </c>
      <c r="GI377">
        <v>5.9591365080185259</v>
      </c>
      <c r="GJ377"/>
      <c r="GK377">
        <v>12.935302864393416</v>
      </c>
      <c r="GL377">
        <v>11.864070940256788</v>
      </c>
      <c r="GM377">
        <v>10.590106798002932</v>
      </c>
      <c r="GN377">
        <v>9.6205172096137854</v>
      </c>
      <c r="GO377">
        <v>9.2158171328785219</v>
      </c>
      <c r="GP377">
        <v>6.1940909424023323</v>
      </c>
      <c r="GQ377">
        <v>3.5497810990338157</v>
      </c>
      <c r="GR377">
        <v>4.0086931360708524</v>
      </c>
      <c r="GS377">
        <v>4.0167153718129116</v>
      </c>
      <c r="GT377">
        <v>8.0615446532243205</v>
      </c>
      <c r="GU377"/>
      <c r="GV377"/>
      <c r="GW377"/>
      <c r="GX377"/>
      <c r="GY377"/>
      <c r="GZ377"/>
      <c r="HA377"/>
      <c r="HB377"/>
      <c r="HC377"/>
    </row>
    <row r="378" spans="1:211" s="7" customFormat="1">
      <c r="A378" s="95"/>
      <c r="B378" s="71">
        <f t="shared" si="361"/>
        <v>39799</v>
      </c>
      <c r="C378" s="18">
        <f t="shared" si="362"/>
        <v>59.799054399772594</v>
      </c>
      <c r="D378" s="18">
        <f t="shared" si="363"/>
        <v>6.91875059405369</v>
      </c>
      <c r="E378" s="19">
        <f t="shared" si="364"/>
        <v>0.11570000000000001</v>
      </c>
      <c r="F378" s="19">
        <f t="shared" ref="F378:F382" si="370">IF(F392&lt;0,0,F392)</f>
        <v>0</v>
      </c>
      <c r="G378" s="18">
        <f>AVERAGE(E278:E287)*G$372</f>
        <v>0</v>
      </c>
      <c r="H378" s="18">
        <f t="shared" ref="H378:AK378" si="371">AVERAGE(F278:F287)*H$372</f>
        <v>6.91875059405369</v>
      </c>
      <c r="I378" s="18">
        <f t="shared" si="371"/>
        <v>0</v>
      </c>
      <c r="J378" s="18">
        <f t="shared" si="371"/>
        <v>0</v>
      </c>
      <c r="K378" s="18">
        <f t="shared" si="371"/>
        <v>0</v>
      </c>
      <c r="L378" s="18">
        <f t="shared" si="371"/>
        <v>0</v>
      </c>
      <c r="M378" s="18">
        <f t="shared" si="371"/>
        <v>0</v>
      </c>
      <c r="N378" s="18">
        <f t="shared" si="371"/>
        <v>0</v>
      </c>
      <c r="O378" s="18">
        <f t="shared" si="371"/>
        <v>0</v>
      </c>
      <c r="P378" s="18">
        <f t="shared" si="371"/>
        <v>0</v>
      </c>
      <c r="Q378" s="18">
        <f t="shared" si="371"/>
        <v>0</v>
      </c>
      <c r="R378" s="18">
        <f t="shared" si="371"/>
        <v>0</v>
      </c>
      <c r="S378" s="18">
        <f t="shared" si="371"/>
        <v>0</v>
      </c>
      <c r="T378" s="18">
        <f t="shared" si="371"/>
        <v>0</v>
      </c>
      <c r="U378" s="18">
        <f t="shared" si="371"/>
        <v>0</v>
      </c>
      <c r="V378" s="18">
        <f t="shared" si="371"/>
        <v>0</v>
      </c>
      <c r="W378" s="18">
        <f t="shared" si="371"/>
        <v>0</v>
      </c>
      <c r="X378" s="18">
        <f t="shared" si="371"/>
        <v>0</v>
      </c>
      <c r="Y378" s="18">
        <f t="shared" si="371"/>
        <v>0</v>
      </c>
      <c r="Z378" s="18">
        <f t="shared" si="371"/>
        <v>0</v>
      </c>
      <c r="AA378" s="18">
        <f t="shared" si="371"/>
        <v>0</v>
      </c>
      <c r="AB378" s="18">
        <f t="shared" si="371"/>
        <v>0</v>
      </c>
      <c r="AC378" s="18">
        <f t="shared" si="371"/>
        <v>0</v>
      </c>
      <c r="AD378" s="18">
        <f t="shared" si="371"/>
        <v>0</v>
      </c>
      <c r="AE378" s="18">
        <f t="shared" si="371"/>
        <v>0</v>
      </c>
      <c r="AF378" s="18">
        <f t="shared" si="371"/>
        <v>0</v>
      </c>
      <c r="AG378" s="18">
        <f t="shared" si="371"/>
        <v>0</v>
      </c>
      <c r="AH378" s="18">
        <f t="shared" si="371"/>
        <v>0</v>
      </c>
      <c r="AI378" s="18">
        <f t="shared" si="371"/>
        <v>0</v>
      </c>
      <c r="AJ378" s="18">
        <f t="shared" si="371"/>
        <v>0</v>
      </c>
      <c r="AK378" s="18">
        <f t="shared" si="371"/>
        <v>0</v>
      </c>
      <c r="AL378" s="78"/>
      <c r="AM378" s="43">
        <v>362</v>
      </c>
      <c r="AN378">
        <v>74.949207676991676</v>
      </c>
      <c r="AO378">
        <v>8.0715429787589112</v>
      </c>
      <c r="AP378">
        <v>73.276488749969332</v>
      </c>
      <c r="AQ378">
        <v>61.399198854716722</v>
      </c>
      <c r="AR378">
        <v>8.3227673668639479</v>
      </c>
      <c r="AS378">
        <v>51.53958487133999</v>
      </c>
      <c r="AT378" t="e">
        <v>#DIV/0!</v>
      </c>
      <c r="AU378" t="e">
        <v>#DIV/0!</v>
      </c>
      <c r="AV378"/>
      <c r="AW378"/>
      <c r="FY378" s="211">
        <v>373</v>
      </c>
      <c r="FZ378">
        <v>9.1821322139938069</v>
      </c>
      <c r="GA378">
        <v>11.123438681537891</v>
      </c>
      <c r="GB378">
        <v>9.4730171029594494</v>
      </c>
      <c r="GC378">
        <v>4.062600171075724</v>
      </c>
      <c r="GD378">
        <v>1.2256472567228682</v>
      </c>
      <c r="GE378">
        <v>1.0727308666112958</v>
      </c>
      <c r="GF378">
        <v>1.2627066875430251</v>
      </c>
      <c r="GG378">
        <v>1.003228398856431</v>
      </c>
      <c r="GH378">
        <v>4.350985201317493</v>
      </c>
      <c r="GI378">
        <v>5.3044915718393977</v>
      </c>
      <c r="GJ378"/>
      <c r="GK378">
        <v>9.2166434061067122</v>
      </c>
      <c r="GL378">
        <v>9.4232753580812272</v>
      </c>
      <c r="GM378">
        <v>15.726664630799783</v>
      </c>
      <c r="GN378">
        <v>12.161164507373199</v>
      </c>
      <c r="GO378">
        <v>4.7616775193280532</v>
      </c>
      <c r="GP378">
        <v>2.0537444629014399</v>
      </c>
      <c r="GQ378">
        <v>1.5473153180354264</v>
      </c>
      <c r="GR378">
        <v>1.4118986513687599</v>
      </c>
      <c r="GS378">
        <v>4.637618132967499</v>
      </c>
      <c r="GT378">
        <v>7.1779838014474944</v>
      </c>
      <c r="GU378"/>
      <c r="GV378"/>
      <c r="GW378"/>
      <c r="GX378"/>
      <c r="GY378"/>
      <c r="GZ378"/>
      <c r="HA378"/>
      <c r="HB378"/>
      <c r="HC378"/>
    </row>
    <row r="379" spans="1:211" s="7" customFormat="1">
      <c r="A379" s="77" t="s">
        <v>61</v>
      </c>
      <c r="B379" s="71">
        <f t="shared" ref="B379:B382" si="372">+C10</f>
        <v>39847</v>
      </c>
      <c r="C379" s="18">
        <f t="shared" si="362"/>
        <v>1.0416666666666665</v>
      </c>
      <c r="D379" s="18">
        <f t="shared" si="363"/>
        <v>0.12052083333333333</v>
      </c>
      <c r="E379" s="19">
        <f t="shared" si="364"/>
        <v>0.11570000000000001</v>
      </c>
      <c r="F379" s="19">
        <f t="shared" si="370"/>
        <v>0</v>
      </c>
      <c r="G379" s="18">
        <f>AVERAGE(E288:E297)*G$372</f>
        <v>0</v>
      </c>
      <c r="H379" s="18">
        <f t="shared" ref="H379:AK379" si="373">AVERAGE(F288:F297)*H$372</f>
        <v>0.12052083333333333</v>
      </c>
      <c r="I379" s="18">
        <f t="shared" si="373"/>
        <v>0</v>
      </c>
      <c r="J379" s="18">
        <f t="shared" si="373"/>
        <v>0</v>
      </c>
      <c r="K379" s="18">
        <f t="shared" si="373"/>
        <v>0</v>
      </c>
      <c r="L379" s="18">
        <f t="shared" si="373"/>
        <v>0</v>
      </c>
      <c r="M379" s="18">
        <f t="shared" si="373"/>
        <v>0</v>
      </c>
      <c r="N379" s="18">
        <f t="shared" si="373"/>
        <v>0</v>
      </c>
      <c r="O379" s="18">
        <f t="shared" si="373"/>
        <v>0</v>
      </c>
      <c r="P379" s="18">
        <f t="shared" si="373"/>
        <v>0</v>
      </c>
      <c r="Q379" s="18">
        <f t="shared" si="373"/>
        <v>0</v>
      </c>
      <c r="R379" s="18">
        <f t="shared" si="373"/>
        <v>0</v>
      </c>
      <c r="S379" s="18">
        <f t="shared" si="373"/>
        <v>0</v>
      </c>
      <c r="T379" s="18">
        <f t="shared" si="373"/>
        <v>0</v>
      </c>
      <c r="U379" s="18">
        <f t="shared" si="373"/>
        <v>0</v>
      </c>
      <c r="V379" s="18">
        <f t="shared" si="373"/>
        <v>0</v>
      </c>
      <c r="W379" s="18">
        <f t="shared" si="373"/>
        <v>0</v>
      </c>
      <c r="X379" s="18">
        <f t="shared" si="373"/>
        <v>0</v>
      </c>
      <c r="Y379" s="18">
        <f t="shared" si="373"/>
        <v>0</v>
      </c>
      <c r="Z379" s="18">
        <f t="shared" si="373"/>
        <v>0</v>
      </c>
      <c r="AA379" s="18">
        <f t="shared" si="373"/>
        <v>0</v>
      </c>
      <c r="AB379" s="18">
        <f t="shared" si="373"/>
        <v>0</v>
      </c>
      <c r="AC379" s="18">
        <f t="shared" si="373"/>
        <v>0</v>
      </c>
      <c r="AD379" s="18">
        <f t="shared" si="373"/>
        <v>0</v>
      </c>
      <c r="AE379" s="18">
        <f t="shared" si="373"/>
        <v>0</v>
      </c>
      <c r="AF379" s="18">
        <f t="shared" si="373"/>
        <v>0</v>
      </c>
      <c r="AG379" s="18">
        <f t="shared" si="373"/>
        <v>0</v>
      </c>
      <c r="AH379" s="18">
        <f t="shared" si="373"/>
        <v>0</v>
      </c>
      <c r="AI379" s="18">
        <f t="shared" si="373"/>
        <v>0</v>
      </c>
      <c r="AJ379" s="18">
        <f t="shared" si="373"/>
        <v>0</v>
      </c>
      <c r="AK379" s="18">
        <f t="shared" si="373"/>
        <v>0</v>
      </c>
      <c r="AL379" s="78"/>
      <c r="AM379" s="43">
        <v>363</v>
      </c>
      <c r="AN379">
        <v>58.857083945245947</v>
      </c>
      <c r="AO379">
        <v>6.5269787580594993</v>
      </c>
      <c r="AP379">
        <v>37.499413128582049</v>
      </c>
      <c r="AQ379">
        <v>45.010404922104051</v>
      </c>
      <c r="AR379">
        <v>6.7119135115159025</v>
      </c>
      <c r="AS379">
        <v>42.134755271002696</v>
      </c>
      <c r="AT379" t="e">
        <v>#DIV/0!</v>
      </c>
      <c r="AU379" t="e">
        <v>#DIV/0!</v>
      </c>
      <c r="AV379"/>
      <c r="AW379"/>
      <c r="FY379" s="211">
        <v>374</v>
      </c>
      <c r="FZ379">
        <v>11.698581856915446</v>
      </c>
      <c r="GA379">
        <v>11.550062023149664</v>
      </c>
      <c r="GB379">
        <v>8.0148824446572728</v>
      </c>
      <c r="GC379">
        <v>3.4255247250364129</v>
      </c>
      <c r="GD379">
        <v>1.4911381022772459</v>
      </c>
      <c r="GE379">
        <v>2.1626241955882355</v>
      </c>
      <c r="GF379">
        <v>1.6824348773762066</v>
      </c>
      <c r="GG379">
        <v>1.4644344241006084</v>
      </c>
      <c r="GH379">
        <v>5.0163918295606056</v>
      </c>
      <c r="GI379">
        <v>5.6548617770854248</v>
      </c>
      <c r="GJ379"/>
      <c r="GK379">
        <v>11.751149916348036</v>
      </c>
      <c r="GL379">
        <v>9.7849022376026547</v>
      </c>
      <c r="GM379">
        <v>13.349158017056524</v>
      </c>
      <c r="GN379">
        <v>10.317993290717711</v>
      </c>
      <c r="GO379">
        <v>5.7910622740227433</v>
      </c>
      <c r="GP379">
        <v>4.1403464795008915</v>
      </c>
      <c r="GQ379">
        <v>2.0593334315857961</v>
      </c>
      <c r="GR379">
        <v>2.0593334315857961</v>
      </c>
      <c r="GS379">
        <v>5.3453526466291112</v>
      </c>
      <c r="GT379">
        <v>7.6592112571284412</v>
      </c>
      <c r="GU379"/>
      <c r="GV379"/>
      <c r="GW379"/>
      <c r="GX379"/>
      <c r="GY379"/>
      <c r="GZ379"/>
      <c r="HA379"/>
      <c r="HB379"/>
      <c r="HC379"/>
    </row>
    <row r="380" spans="1:211" s="7" customFormat="1">
      <c r="A380" s="77" t="s">
        <v>62</v>
      </c>
      <c r="B380" s="71">
        <f t="shared" si="372"/>
        <v>39910</v>
      </c>
      <c r="C380" s="18">
        <f t="shared" si="362"/>
        <v>73.804851046698872</v>
      </c>
      <c r="D380" s="18">
        <f t="shared" si="363"/>
        <v>6.4796381796600997</v>
      </c>
      <c r="E380" s="19">
        <f t="shared" si="364"/>
        <v>8.7794204415644839E-2</v>
      </c>
      <c r="F380" s="19">
        <f t="shared" si="370"/>
        <v>0</v>
      </c>
      <c r="G380" s="18">
        <f>AVERAGE(E298:E307)*G$372</f>
        <v>0.95343774689037364</v>
      </c>
      <c r="H380" s="18">
        <f t="shared" ref="H380:AK380" si="374">AVERAGE(F298:F307)*H$372</f>
        <v>5.5262004327697261</v>
      </c>
      <c r="I380" s="18">
        <f t="shared" si="374"/>
        <v>0</v>
      </c>
      <c r="J380" s="18">
        <f t="shared" si="374"/>
        <v>0</v>
      </c>
      <c r="K380" s="18">
        <f t="shared" si="374"/>
        <v>0</v>
      </c>
      <c r="L380" s="18">
        <f t="shared" si="374"/>
        <v>0</v>
      </c>
      <c r="M380" s="18">
        <f t="shared" si="374"/>
        <v>0</v>
      </c>
      <c r="N380" s="18">
        <f t="shared" si="374"/>
        <v>0</v>
      </c>
      <c r="O380" s="18">
        <f t="shared" si="374"/>
        <v>0</v>
      </c>
      <c r="P380" s="18">
        <f t="shared" si="374"/>
        <v>0</v>
      </c>
      <c r="Q380" s="18">
        <f t="shared" si="374"/>
        <v>0</v>
      </c>
      <c r="R380" s="18">
        <f t="shared" si="374"/>
        <v>0</v>
      </c>
      <c r="S380" s="18">
        <f t="shared" si="374"/>
        <v>0</v>
      </c>
      <c r="T380" s="18">
        <f t="shared" si="374"/>
        <v>0</v>
      </c>
      <c r="U380" s="18">
        <f t="shared" si="374"/>
        <v>0</v>
      </c>
      <c r="V380" s="18">
        <f t="shared" si="374"/>
        <v>0</v>
      </c>
      <c r="W380" s="18">
        <f t="shared" si="374"/>
        <v>0</v>
      </c>
      <c r="X380" s="18">
        <f t="shared" si="374"/>
        <v>0</v>
      </c>
      <c r="Y380" s="18">
        <f t="shared" si="374"/>
        <v>0</v>
      </c>
      <c r="Z380" s="18">
        <f t="shared" si="374"/>
        <v>0</v>
      </c>
      <c r="AA380" s="18">
        <f t="shared" si="374"/>
        <v>0</v>
      </c>
      <c r="AB380" s="18">
        <f t="shared" si="374"/>
        <v>0</v>
      </c>
      <c r="AC380" s="18">
        <f t="shared" si="374"/>
        <v>0</v>
      </c>
      <c r="AD380" s="18">
        <f t="shared" si="374"/>
        <v>0</v>
      </c>
      <c r="AE380" s="18">
        <f t="shared" si="374"/>
        <v>0</v>
      </c>
      <c r="AF380" s="18">
        <f t="shared" si="374"/>
        <v>0</v>
      </c>
      <c r="AG380" s="18">
        <f t="shared" si="374"/>
        <v>0</v>
      </c>
      <c r="AH380" s="18">
        <f t="shared" si="374"/>
        <v>0</v>
      </c>
      <c r="AI380" s="18">
        <f t="shared" si="374"/>
        <v>0</v>
      </c>
      <c r="AJ380" s="18">
        <f t="shared" si="374"/>
        <v>0</v>
      </c>
      <c r="AK380" s="18">
        <f t="shared" si="374"/>
        <v>0</v>
      </c>
      <c r="AL380" s="78"/>
      <c r="AM380" s="43">
        <v>364</v>
      </c>
      <c r="AN380">
        <v>52.018628301102048</v>
      </c>
      <c r="AO380">
        <v>6.4672216879156554</v>
      </c>
      <c r="AP380">
        <v>30.548817235081323</v>
      </c>
      <c r="AQ380">
        <v>44.904542505735925</v>
      </c>
      <c r="AR380">
        <v>6.6283799341937071</v>
      </c>
      <c r="AS380">
        <v>41.796026332532186</v>
      </c>
      <c r="AT380" t="e">
        <v>#DIV/0!</v>
      </c>
      <c r="AU380" t="e">
        <v>#DIV/0!</v>
      </c>
      <c r="AV380"/>
      <c r="AW380"/>
      <c r="FY380" s="211">
        <v>375</v>
      </c>
      <c r="FZ380">
        <v>6.6063869525490144</v>
      </c>
      <c r="GA380">
        <v>4.7855745822732754</v>
      </c>
      <c r="GB380">
        <v>5.3353717319651235</v>
      </c>
      <c r="GC380">
        <v>2.8109436322035468</v>
      </c>
      <c r="GD380">
        <v>2.7502775923188691</v>
      </c>
      <c r="GE380">
        <v>4.5566510367793622</v>
      </c>
      <c r="GF380">
        <v>2.2818408452513586</v>
      </c>
      <c r="GG380">
        <v>2.6870902660439313</v>
      </c>
      <c r="GH380">
        <v>5.6780886415077809</v>
      </c>
      <c r="GI380">
        <v>5.1808106740500062</v>
      </c>
      <c r="GJ380"/>
      <c r="GK380">
        <v>6.6264845055107884</v>
      </c>
      <c r="GL380">
        <v>4.0535311187260845</v>
      </c>
      <c r="GM380">
        <v>8.9124922486587383</v>
      </c>
      <c r="GN380">
        <v>8.5017480813296782</v>
      </c>
      <c r="GO380">
        <v>10.684087098865714</v>
      </c>
      <c r="GP380">
        <v>8.7237135869146805</v>
      </c>
      <c r="GQ380">
        <v>2.7961579106280188</v>
      </c>
      <c r="GR380">
        <v>3.7816903180354262</v>
      </c>
      <c r="GS380">
        <v>6.0525292176165317</v>
      </c>
      <c r="GT380">
        <v>7.0143501962559576</v>
      </c>
      <c r="GU380"/>
      <c r="GV380"/>
      <c r="GW380"/>
      <c r="GX380"/>
      <c r="GY380"/>
      <c r="GZ380"/>
      <c r="HA380"/>
      <c r="HB380"/>
      <c r="HC380"/>
    </row>
    <row r="381" spans="1:211" s="7" customFormat="1">
      <c r="A381" s="1"/>
      <c r="B381" s="71">
        <f t="shared" si="372"/>
        <v>39949</v>
      </c>
      <c r="C381" s="18">
        <f t="shared" si="362"/>
        <v>8.1018518518518512</v>
      </c>
      <c r="D381" s="18">
        <f t="shared" si="363"/>
        <v>0.93738425925925928</v>
      </c>
      <c r="E381" s="19">
        <f t="shared" si="364"/>
        <v>0.11570000000000001</v>
      </c>
      <c r="F381" s="19">
        <f t="shared" si="370"/>
        <v>7.0770549915557864E-3</v>
      </c>
      <c r="G381" s="18">
        <f>AVERAGE(E308:E317)*G$372</f>
        <v>0</v>
      </c>
      <c r="H381" s="18">
        <f t="shared" ref="H381:AK381" si="375">AVERAGE(F308:F317)*H$372</f>
        <v>0.93738425925925928</v>
      </c>
      <c r="I381" s="18">
        <f t="shared" si="375"/>
        <v>0</v>
      </c>
      <c r="J381" s="18">
        <f t="shared" si="375"/>
        <v>0</v>
      </c>
      <c r="K381" s="18">
        <f t="shared" si="375"/>
        <v>0</v>
      </c>
      <c r="L381" s="18">
        <f t="shared" si="375"/>
        <v>0</v>
      </c>
      <c r="M381" s="18">
        <f t="shared" si="375"/>
        <v>0</v>
      </c>
      <c r="N381" s="18">
        <f t="shared" si="375"/>
        <v>0</v>
      </c>
      <c r="O381" s="18">
        <f t="shared" si="375"/>
        <v>0</v>
      </c>
      <c r="P381" s="18">
        <f t="shared" si="375"/>
        <v>0</v>
      </c>
      <c r="Q381" s="18">
        <f t="shared" si="375"/>
        <v>0</v>
      </c>
      <c r="R381" s="18">
        <f t="shared" si="375"/>
        <v>0</v>
      </c>
      <c r="S381" s="18">
        <f t="shared" si="375"/>
        <v>0</v>
      </c>
      <c r="T381" s="18">
        <f t="shared" si="375"/>
        <v>0</v>
      </c>
      <c r="U381" s="18">
        <f t="shared" si="375"/>
        <v>0</v>
      </c>
      <c r="V381" s="18">
        <f t="shared" si="375"/>
        <v>0</v>
      </c>
      <c r="W381" s="18">
        <f t="shared" si="375"/>
        <v>0</v>
      </c>
      <c r="X381" s="18">
        <f t="shared" si="375"/>
        <v>0</v>
      </c>
      <c r="Y381" s="18">
        <f t="shared" si="375"/>
        <v>0</v>
      </c>
      <c r="Z381" s="18">
        <f t="shared" si="375"/>
        <v>0</v>
      </c>
      <c r="AA381" s="18">
        <f t="shared" si="375"/>
        <v>0</v>
      </c>
      <c r="AB381" s="18">
        <f t="shared" si="375"/>
        <v>0</v>
      </c>
      <c r="AC381" s="18">
        <f t="shared" si="375"/>
        <v>0</v>
      </c>
      <c r="AD381" s="18">
        <f t="shared" si="375"/>
        <v>0</v>
      </c>
      <c r="AE381" s="18">
        <f t="shared" si="375"/>
        <v>0</v>
      </c>
      <c r="AF381" s="18">
        <f t="shared" si="375"/>
        <v>0</v>
      </c>
      <c r="AG381" s="18">
        <f t="shared" si="375"/>
        <v>0</v>
      </c>
      <c r="AH381" s="18">
        <f t="shared" si="375"/>
        <v>0</v>
      </c>
      <c r="AI381" s="18">
        <f t="shared" si="375"/>
        <v>0</v>
      </c>
      <c r="AJ381" s="18">
        <f t="shared" si="375"/>
        <v>0</v>
      </c>
      <c r="AK381" s="18">
        <f t="shared" si="375"/>
        <v>0</v>
      </c>
      <c r="AL381" s="78"/>
      <c r="AM381" s="43">
        <v>365</v>
      </c>
      <c r="AN381">
        <v>62.838430924092428</v>
      </c>
      <c r="AO381">
        <v>7.3660294777961965</v>
      </c>
      <c r="AP381">
        <v>4.9381318914450913</v>
      </c>
      <c r="AQ381">
        <v>49.990081976926611</v>
      </c>
      <c r="AR381">
        <v>7.7177852889666747</v>
      </c>
      <c r="AS381">
        <v>49.259361697642667</v>
      </c>
      <c r="AT381">
        <v>6.2181982047865105</v>
      </c>
      <c r="AU381">
        <v>0.94082450596846101</v>
      </c>
      <c r="AV381"/>
      <c r="AW381"/>
      <c r="FY381" s="211">
        <v>376</v>
      </c>
      <c r="FZ381">
        <v>12.582546664545552</v>
      </c>
      <c r="GA381">
        <v>10.816617813218649</v>
      </c>
      <c r="GB381">
        <v>5.6778240467379755</v>
      </c>
      <c r="GC381">
        <v>2.7585986716385364</v>
      </c>
      <c r="GD381">
        <v>0.9597678455246903</v>
      </c>
      <c r="GE381">
        <v>1.1434629566112959</v>
      </c>
      <c r="GF381">
        <v>1.340516432690217</v>
      </c>
      <c r="GG381">
        <v>1.0709779826086956</v>
      </c>
      <c r="GH381">
        <v>3.0120020018484395</v>
      </c>
      <c r="GI381">
        <v>4.5298086403677447</v>
      </c>
      <c r="GJ381"/>
      <c r="GK381">
        <v>12.62133807660325</v>
      </c>
      <c r="GL381">
        <v>9.1647674001048003</v>
      </c>
      <c r="GM381">
        <v>9.4841292437019522</v>
      </c>
      <c r="GN381">
        <v>8.3341508614770365</v>
      </c>
      <c r="GO381">
        <v>3.7205532633525378</v>
      </c>
      <c r="GP381">
        <v>2.1891611295681068</v>
      </c>
      <c r="GQ381">
        <v>1.6426630434782605</v>
      </c>
      <c r="GR381">
        <v>1.507246376811594</v>
      </c>
      <c r="GS381">
        <v>3.2123504189312624</v>
      </c>
      <c r="GT381">
        <v>6.1362068092134523</v>
      </c>
      <c r="GU381"/>
      <c r="GV381"/>
      <c r="GW381"/>
      <c r="GX381"/>
      <c r="GY381"/>
      <c r="GZ381"/>
      <c r="HA381"/>
      <c r="HB381"/>
      <c r="HC381"/>
    </row>
    <row r="382" spans="1:211" s="7" customFormat="1">
      <c r="A382" s="1"/>
      <c r="B382" s="71">
        <f t="shared" si="372"/>
        <v>39987</v>
      </c>
      <c r="C382" s="18">
        <f t="shared" si="362"/>
        <v>87.75597526310996</v>
      </c>
      <c r="D382" s="18">
        <f t="shared" si="363"/>
        <v>8.6582615788943418</v>
      </c>
      <c r="E382" s="19">
        <f t="shared" si="364"/>
        <v>9.8662929252796086E-2</v>
      </c>
      <c r="F382" s="19">
        <f t="shared" si="370"/>
        <v>0</v>
      </c>
      <c r="G382" s="18">
        <f>AVERAGE(E318:E327)*G$372</f>
        <v>0.69212517922412298</v>
      </c>
      <c r="H382" s="18">
        <f t="shared" ref="H382:AK382" si="376">AVERAGE(F318:F327)*H$372</f>
        <v>7.9661363996702184</v>
      </c>
      <c r="I382" s="18">
        <f t="shared" si="376"/>
        <v>0</v>
      </c>
      <c r="J382" s="18">
        <f t="shared" si="376"/>
        <v>0</v>
      </c>
      <c r="K382" s="18">
        <f t="shared" si="376"/>
        <v>0</v>
      </c>
      <c r="L382" s="18">
        <f t="shared" si="376"/>
        <v>0</v>
      </c>
      <c r="M382" s="18">
        <f t="shared" si="376"/>
        <v>0</v>
      </c>
      <c r="N382" s="18">
        <f t="shared" si="376"/>
        <v>0</v>
      </c>
      <c r="O382" s="18">
        <f t="shared" si="376"/>
        <v>0</v>
      </c>
      <c r="P382" s="18">
        <f t="shared" si="376"/>
        <v>0</v>
      </c>
      <c r="Q382" s="18">
        <f t="shared" si="376"/>
        <v>0</v>
      </c>
      <c r="R382" s="18">
        <f t="shared" si="376"/>
        <v>0</v>
      </c>
      <c r="S382" s="18">
        <f t="shared" si="376"/>
        <v>0</v>
      </c>
      <c r="T382" s="18">
        <f t="shared" si="376"/>
        <v>0</v>
      </c>
      <c r="U382" s="18">
        <f t="shared" si="376"/>
        <v>0</v>
      </c>
      <c r="V382" s="18">
        <f t="shared" si="376"/>
        <v>0</v>
      </c>
      <c r="W382" s="18">
        <f t="shared" si="376"/>
        <v>0</v>
      </c>
      <c r="X382" s="18">
        <f t="shared" si="376"/>
        <v>0</v>
      </c>
      <c r="Y382" s="18">
        <f t="shared" si="376"/>
        <v>0</v>
      </c>
      <c r="Z382" s="18">
        <f t="shared" si="376"/>
        <v>0</v>
      </c>
      <c r="AA382" s="18">
        <f t="shared" si="376"/>
        <v>0</v>
      </c>
      <c r="AB382" s="18">
        <f t="shared" si="376"/>
        <v>0</v>
      </c>
      <c r="AC382" s="18">
        <f t="shared" si="376"/>
        <v>0</v>
      </c>
      <c r="AD382" s="18">
        <f t="shared" si="376"/>
        <v>0</v>
      </c>
      <c r="AE382" s="18">
        <f t="shared" si="376"/>
        <v>0</v>
      </c>
      <c r="AF382" s="18">
        <f t="shared" si="376"/>
        <v>0</v>
      </c>
      <c r="AG382" s="18">
        <f t="shared" si="376"/>
        <v>0</v>
      </c>
      <c r="AH382" s="18">
        <f t="shared" si="376"/>
        <v>0</v>
      </c>
      <c r="AI382" s="18">
        <f t="shared" si="376"/>
        <v>0</v>
      </c>
      <c r="AJ382" s="18">
        <f t="shared" si="376"/>
        <v>0</v>
      </c>
      <c r="AK382" s="18">
        <f t="shared" si="376"/>
        <v>0</v>
      </c>
      <c r="AL382" s="78"/>
      <c r="AM382" s="43">
        <v>366</v>
      </c>
      <c r="AN382">
        <v>50.974305448659251</v>
      </c>
      <c r="AO382">
        <v>6.045328039642679</v>
      </c>
      <c r="AP382">
        <v>77.079923919007541</v>
      </c>
      <c r="AQ382">
        <v>42.453365167054059</v>
      </c>
      <c r="AR382">
        <v>6.0639567614167449</v>
      </c>
      <c r="AS382">
        <v>39.237095571396054</v>
      </c>
      <c r="AT382" t="e">
        <v>#DIV/0!</v>
      </c>
      <c r="AU382" t="e">
        <v>#DIV/0!</v>
      </c>
      <c r="AV382"/>
      <c r="AW382"/>
      <c r="FY382" s="211">
        <v>377</v>
      </c>
      <c r="FZ382">
        <v>16.53776207186451</v>
      </c>
      <c r="GA382">
        <v>17.806669629871777</v>
      </c>
      <c r="GB382">
        <v>5.9178073258024879</v>
      </c>
      <c r="GC382">
        <v>3.6745463933475917</v>
      </c>
      <c r="GD382">
        <v>1.6692607690708436</v>
      </c>
      <c r="GE382">
        <v>1.8433269976196993</v>
      </c>
      <c r="GF382">
        <v>1.767202119200634</v>
      </c>
      <c r="GG382">
        <v>1.5387173901607791</v>
      </c>
      <c r="GH382">
        <v>5.0766772895015508</v>
      </c>
      <c r="GI382">
        <v>5.9809699428696277</v>
      </c>
      <c r="GJ382"/>
      <c r="GK382">
        <v>16.577658184309584</v>
      </c>
      <c r="GL382">
        <v>15.089858144707652</v>
      </c>
      <c r="GM382">
        <v>9.7994556782622428</v>
      </c>
      <c r="GN382">
        <v>10.944677968833817</v>
      </c>
      <c r="GO382">
        <v>6.4809512261962636</v>
      </c>
      <c r="GP382">
        <v>3.5290516312233144</v>
      </c>
      <c r="GQ382">
        <v>2.165521839774557</v>
      </c>
      <c r="GR382">
        <v>2.165521839774557</v>
      </c>
      <c r="GS382">
        <v>5.4107562231316395</v>
      </c>
      <c r="GT382">
        <v>8.0868686303348571</v>
      </c>
      <c r="GU382"/>
      <c r="GV382"/>
      <c r="GW382"/>
      <c r="GX382"/>
      <c r="GY382"/>
      <c r="GZ382"/>
      <c r="HA382"/>
      <c r="HB382"/>
      <c r="HC382"/>
    </row>
    <row r="383" spans="1:211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54.459828361747839</v>
      </c>
      <c r="AO383">
        <v>7.0567311822587895</v>
      </c>
      <c r="AP383">
        <v>6.450207446123577</v>
      </c>
      <c r="AQ383">
        <v>51.842864972986753</v>
      </c>
      <c r="AR383">
        <v>7.4373018294420739</v>
      </c>
      <c r="AS383">
        <v>41.838239960952301</v>
      </c>
      <c r="AT383">
        <v>5.817273577573423</v>
      </c>
      <c r="AU383">
        <v>8.6648811204396416</v>
      </c>
      <c r="AV383"/>
      <c r="AW383"/>
      <c r="FY383" s="211">
        <v>378</v>
      </c>
      <c r="FZ383">
        <v>12.755875730896154</v>
      </c>
      <c r="GA383">
        <v>10.097392318392338</v>
      </c>
      <c r="GB383">
        <v>5.7290952971195521</v>
      </c>
      <c r="GC383">
        <v>2.9588870829620708</v>
      </c>
      <c r="GD383">
        <v>1.3310371655057829</v>
      </c>
      <c r="GE383">
        <v>1.9241636719054132</v>
      </c>
      <c r="GF383">
        <v>1.6824348773762066</v>
      </c>
      <c r="GG383">
        <v>2.2128174761839414</v>
      </c>
      <c r="GH383">
        <v>5.992815846820827</v>
      </c>
      <c r="GI383">
        <v>5.3124085824535374</v>
      </c>
      <c r="GJ383"/>
      <c r="GK383">
        <v>12.81287828320573</v>
      </c>
      <c r="GL383">
        <v>8.5553955612837704</v>
      </c>
      <c r="GM383">
        <v>9.5642477152518239</v>
      </c>
      <c r="GN383">
        <v>8.9235757793341968</v>
      </c>
      <c r="GO383">
        <v>5.1600717411982213</v>
      </c>
      <c r="GP383">
        <v>3.6838135359852187</v>
      </c>
      <c r="GQ383">
        <v>2.0593334315857961</v>
      </c>
      <c r="GR383">
        <v>3.1125741723265365</v>
      </c>
      <c r="GS383">
        <v>6.3890609980454522</v>
      </c>
      <c r="GT383">
        <v>7.1971184338574057</v>
      </c>
      <c r="GU383"/>
      <c r="GV383"/>
      <c r="GW383"/>
      <c r="GX383"/>
      <c r="GY383"/>
      <c r="GZ383"/>
      <c r="HA383"/>
      <c r="HB383"/>
      <c r="HC383"/>
    </row>
    <row r="384" spans="1:211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52.910034812652398</v>
      </c>
      <c r="AO384">
        <v>6.8384399757418848</v>
      </c>
      <c r="AP384">
        <v>4.9423304139867614</v>
      </c>
      <c r="AQ384">
        <v>46.581571364145212</v>
      </c>
      <c r="AR384">
        <v>7.2621338060658829</v>
      </c>
      <c r="AS384">
        <v>42.966318316085953</v>
      </c>
      <c r="AT384">
        <v>5.7668463266851218</v>
      </c>
      <c r="AU384">
        <v>4.5570568984289359</v>
      </c>
      <c r="AV384"/>
      <c r="AW384"/>
      <c r="FY384" s="211">
        <v>379</v>
      </c>
      <c r="FZ384">
        <v>14.872728288441197</v>
      </c>
      <c r="GA384">
        <v>15.614946464816429</v>
      </c>
      <c r="GB384">
        <v>4.7313618877165204</v>
      </c>
      <c r="GC384">
        <v>2.6410196324052042</v>
      </c>
      <c r="GD384">
        <v>1.8842482068228263</v>
      </c>
      <c r="GE384">
        <v>2.7032194548739494</v>
      </c>
      <c r="GF384">
        <v>1.8707531456483986</v>
      </c>
      <c r="GG384">
        <v>1.532184007852873</v>
      </c>
      <c r="GH384">
        <v>3.3470388845948218</v>
      </c>
      <c r="GI384">
        <v>5.3135321510481406</v>
      </c>
      <c r="GJ384"/>
      <c r="GK384">
        <v>14.904653887331065</v>
      </c>
      <c r="GL384">
        <v>13.231117288409015</v>
      </c>
      <c r="GM384">
        <v>7.8347232850805186</v>
      </c>
      <c r="GN384">
        <v>7.8807168965478578</v>
      </c>
      <c r="GO384">
        <v>7.3262408247852555</v>
      </c>
      <c r="GP384">
        <v>5.1753167175961288</v>
      </c>
      <c r="GQ384">
        <v>2.2900978236952971</v>
      </c>
      <c r="GR384">
        <v>2.1546811570286302</v>
      </c>
      <c r="GS384">
        <v>3.565303307287027</v>
      </c>
      <c r="GT384">
        <v>7.1842038256358318</v>
      </c>
      <c r="GU384"/>
      <c r="GV384"/>
      <c r="GW384"/>
      <c r="GX384"/>
      <c r="GY384"/>
      <c r="GZ384"/>
      <c r="HA384"/>
      <c r="HB384"/>
      <c r="HC384"/>
    </row>
    <row r="385" spans="1:211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43.778225529331891</v>
      </c>
      <c r="AO385">
        <v>5.69414108095211</v>
      </c>
      <c r="AP385">
        <v>13.696411601270825</v>
      </c>
      <c r="AQ385">
        <v>36.900186078462141</v>
      </c>
      <c r="AR385">
        <v>5.9135955322014446</v>
      </c>
      <c r="AS385">
        <v>35.754001220862754</v>
      </c>
      <c r="AT385" t="e">
        <v>#DIV/0!</v>
      </c>
      <c r="AU385" t="e">
        <v>#DIV/0!</v>
      </c>
      <c r="AV385"/>
      <c r="AW385"/>
      <c r="FY385" s="211">
        <v>380</v>
      </c>
      <c r="FZ385">
        <v>11.701716649905624</v>
      </c>
      <c r="GA385">
        <v>8.1861194884498545</v>
      </c>
      <c r="GB385">
        <v>3.9933034652391362</v>
      </c>
      <c r="GC385">
        <v>2.301984068767692</v>
      </c>
      <c r="GD385">
        <v>1.4123081037137006</v>
      </c>
      <c r="GE385">
        <v>1.9948957619054135</v>
      </c>
      <c r="GF385">
        <v>1.0743884192708333</v>
      </c>
      <c r="GG385">
        <v>0.93547881510416664</v>
      </c>
      <c r="GH385">
        <v>3.2137627661378239</v>
      </c>
      <c r="GI385">
        <v>4.2252346822778124</v>
      </c>
      <c r="GJ385"/>
      <c r="GK385">
        <v>11.754581547643815</v>
      </c>
      <c r="GL385">
        <v>6.9362830995592724</v>
      </c>
      <c r="GM385">
        <v>6.6164715690382137</v>
      </c>
      <c r="GN385">
        <v>6.8651963417478861</v>
      </c>
      <c r="GO385">
        <v>5.4846714642915009</v>
      </c>
      <c r="GP385">
        <v>3.8192302026518856</v>
      </c>
      <c r="GQ385">
        <v>1.3165509259259258</v>
      </c>
      <c r="GR385">
        <v>1.3165509259259258</v>
      </c>
      <c r="GS385">
        <v>3.427604414365053</v>
      </c>
      <c r="GT385">
        <v>5.7199759842529012</v>
      </c>
      <c r="GU385"/>
      <c r="GV385"/>
      <c r="GW385"/>
      <c r="GX385"/>
      <c r="GY385"/>
      <c r="GZ385"/>
      <c r="HA385"/>
      <c r="HB385"/>
      <c r="HC385"/>
    </row>
    <row r="386" spans="1:211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58.036244305479023</v>
      </c>
      <c r="AO386">
        <v>6.7371488852100994</v>
      </c>
      <c r="AP386">
        <v>5.7715649901353796</v>
      </c>
      <c r="AQ386">
        <v>44.996873839033618</v>
      </c>
      <c r="AR386">
        <v>7.1394906948829808</v>
      </c>
      <c r="AS386">
        <v>41.67685463731317</v>
      </c>
      <c r="AT386">
        <v>5.6522647185763963</v>
      </c>
      <c r="AU386">
        <v>9.1960426678464078</v>
      </c>
      <c r="AV386"/>
      <c r="AW386"/>
      <c r="FY386" s="211">
        <v>381</v>
      </c>
      <c r="FZ386">
        <v>10.668339363219861</v>
      </c>
      <c r="GA386">
        <v>11.396250066597693</v>
      </c>
      <c r="GB386">
        <v>7.2572748690578308</v>
      </c>
      <c r="GC386">
        <v>3.5904455916973492</v>
      </c>
      <c r="GD386">
        <v>1.5987960876988769</v>
      </c>
      <c r="GE386">
        <v>1.8063160202941178</v>
      </c>
      <c r="GF386">
        <v>2.3682910806287722</v>
      </c>
      <c r="GG386">
        <v>2.4353311428909818</v>
      </c>
      <c r="GH386">
        <v>3.6779085264299018</v>
      </c>
      <c r="GI386">
        <v>5.2898713130940775</v>
      </c>
      <c r="GJ386"/>
      <c r="GK386">
        <v>10.715736802542864</v>
      </c>
      <c r="GL386">
        <v>9.6541348818899824</v>
      </c>
      <c r="GM386">
        <v>12.052893173760081</v>
      </c>
      <c r="GN386">
        <v>10.759781580430326</v>
      </c>
      <c r="GO386">
        <v>6.2194604421776676</v>
      </c>
      <c r="GP386">
        <v>3.4581940730837792</v>
      </c>
      <c r="GQ386">
        <v>2.8974636626885006</v>
      </c>
      <c r="GR386">
        <v>3.4240840330588713</v>
      </c>
      <c r="GS386">
        <v>3.9218454711094712</v>
      </c>
      <c r="GT386">
        <v>7.1614799104557179</v>
      </c>
      <c r="GU386"/>
      <c r="GV386"/>
      <c r="GW386"/>
      <c r="GX386"/>
      <c r="GY386"/>
      <c r="GZ386"/>
      <c r="HA386"/>
      <c r="HB386"/>
      <c r="HC386"/>
    </row>
    <row r="387" spans="1:211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62.827791765251106</v>
      </c>
      <c r="AO387">
        <v>7.8623175018562588</v>
      </c>
      <c r="AP387">
        <v>4.2313757343144598</v>
      </c>
      <c r="AQ387">
        <v>56.079947103121143</v>
      </c>
      <c r="AR387">
        <v>8.124086513933543</v>
      </c>
      <c r="AS387">
        <v>46.834547504601218</v>
      </c>
      <c r="AT387">
        <v>6.5411173673360414</v>
      </c>
      <c r="AU387">
        <v>4.4252491250139858</v>
      </c>
      <c r="AV387"/>
      <c r="AW387"/>
      <c r="FY387" s="211">
        <v>382</v>
      </c>
      <c r="FZ387">
        <v>12.321122253394797</v>
      </c>
      <c r="GA387">
        <v>11.153363760696898</v>
      </c>
      <c r="GB387">
        <v>7.2033185558034871</v>
      </c>
      <c r="GC387">
        <v>3.6719523110438703</v>
      </c>
      <c r="GD387">
        <v>2.5225634706044575</v>
      </c>
      <c r="GE387">
        <v>3.4754605182079343</v>
      </c>
      <c r="GF387">
        <v>1.1521981644180253</v>
      </c>
      <c r="GG387">
        <v>1.003228398856431</v>
      </c>
      <c r="GH387">
        <v>4.0215475679147552</v>
      </c>
      <c r="GI387">
        <v>5.8849382845005804</v>
      </c>
      <c r="GJ387"/>
      <c r="GK387">
        <v>12.367371335754605</v>
      </c>
      <c r="GL387">
        <v>9.4509672026106575</v>
      </c>
      <c r="GM387">
        <v>11.969307393171654</v>
      </c>
      <c r="GN387">
        <v>10.999546249476259</v>
      </c>
      <c r="GO387">
        <v>9.789452467601917</v>
      </c>
      <c r="GP387">
        <v>6.6537731107242042</v>
      </c>
      <c r="GQ387">
        <v>1.4118986513687599</v>
      </c>
      <c r="GR387">
        <v>1.4118986513687599</v>
      </c>
      <c r="GS387">
        <v>4.2878505740543353</v>
      </c>
      <c r="GT387">
        <v>7.9651760843902535</v>
      </c>
      <c r="GU387"/>
      <c r="GV387"/>
      <c r="GW387"/>
      <c r="GX387"/>
      <c r="GY387"/>
      <c r="GZ387"/>
      <c r="HA387"/>
      <c r="HB387"/>
      <c r="HC387"/>
    </row>
    <row r="388" spans="1:211" s="7" customFormat="1">
      <c r="A388" s="1"/>
      <c r="B388" s="13"/>
      <c r="C388" s="21"/>
      <c r="D388" s="96"/>
      <c r="E388" s="3"/>
      <c r="F388" s="19">
        <f t="shared" ref="F388:F398" si="377">IF(C374&lt;1,0,LN(E374/E373)/E21)</f>
        <v>-8.2096763834532682E-3</v>
      </c>
      <c r="G388" s="13"/>
      <c r="H388" s="19">
        <f>IF(G406&lt;0,0,G406)</f>
        <v>0.11093503810153686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69.386245559558304</v>
      </c>
      <c r="AO388">
        <v>8.0056640147689659</v>
      </c>
      <c r="AP388">
        <v>3.9484386061309071</v>
      </c>
      <c r="AQ388">
        <v>57.599644757470784</v>
      </c>
      <c r="AR388">
        <v>8.0615446532243205</v>
      </c>
      <c r="AS388">
        <v>54.792846006043376</v>
      </c>
      <c r="AT388">
        <v>6.5093921957733256</v>
      </c>
      <c r="AU388">
        <v>1.8339081386022738</v>
      </c>
      <c r="AV388"/>
      <c r="AW388"/>
      <c r="FY388" s="211">
        <v>383</v>
      </c>
      <c r="FZ388">
        <v>16.049501587847796</v>
      </c>
      <c r="GA388">
        <v>13.510353284101322</v>
      </c>
      <c r="GB388">
        <v>4.1343180196074005</v>
      </c>
      <c r="GC388">
        <v>2.5677353187641314</v>
      </c>
      <c r="GD388">
        <v>2.6124901107426588</v>
      </c>
      <c r="GE388">
        <v>3.9014979905335156</v>
      </c>
      <c r="GF388">
        <v>0.61500395478260861</v>
      </c>
      <c r="GG388">
        <v>0.53548899130434779</v>
      </c>
      <c r="GH388">
        <v>4.3851357857088971</v>
      </c>
      <c r="GI388">
        <v>5.6928978510560908</v>
      </c>
      <c r="GJ388"/>
      <c r="GK388">
        <v>16.104669679846474</v>
      </c>
      <c r="GL388">
        <v>11.447194725145886</v>
      </c>
      <c r="GM388">
        <v>6.8444309468146605</v>
      </c>
      <c r="GN388">
        <v>7.6405137458671817</v>
      </c>
      <c r="GO388">
        <v>10.127891126908795</v>
      </c>
      <c r="GP388">
        <v>7.4694223355304068</v>
      </c>
      <c r="GQ388">
        <v>0.75362318840579701</v>
      </c>
      <c r="GR388">
        <v>0.75362318840579701</v>
      </c>
      <c r="GS388">
        <v>4.6752838530036973</v>
      </c>
      <c r="GT388">
        <v>7.7011797589958828</v>
      </c>
      <c r="GU388"/>
      <c r="GV388"/>
      <c r="GW388"/>
      <c r="GX388"/>
      <c r="GY388"/>
      <c r="GZ388"/>
      <c r="HA388"/>
      <c r="HB388"/>
      <c r="HC388"/>
    </row>
    <row r="389" spans="1:211" s="7" customFormat="1">
      <c r="A389" s="1"/>
      <c r="B389" s="13"/>
      <c r="C389" s="21"/>
      <c r="D389" s="96"/>
      <c r="E389" s="3"/>
      <c r="F389" s="19">
        <f t="shared" si="377"/>
        <v>-5.943897164244788E-3</v>
      </c>
      <c r="G389" s="13"/>
      <c r="H389" s="19">
        <f t="shared" ref="H389:H398" si="378">IF(G407&lt;0,0,G407)</f>
        <v>8.9897213709490581E-2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59.044053110321464</v>
      </c>
      <c r="AO389">
        <v>6.8117985788409587</v>
      </c>
      <c r="AP389">
        <v>57.887771309622224</v>
      </c>
      <c r="AQ389">
        <v>48.060978152457373</v>
      </c>
      <c r="AR389">
        <v>7.1779838014474944</v>
      </c>
      <c r="AS389">
        <v>42.699864434150953</v>
      </c>
      <c r="AT389" t="e">
        <v>#DIV/0!</v>
      </c>
      <c r="AU389" t="e">
        <v>#DIV/0!</v>
      </c>
      <c r="AV389"/>
      <c r="AW389"/>
      <c r="FY389" s="211">
        <v>384</v>
      </c>
      <c r="FZ389">
        <v>10.82324941012218</v>
      </c>
      <c r="GA389">
        <v>11.049567354294553</v>
      </c>
      <c r="GB389">
        <v>5.4334897729397316</v>
      </c>
      <c r="GC389">
        <v>2.7367460439675058</v>
      </c>
      <c r="GD389">
        <v>1.4699273621336899</v>
      </c>
      <c r="GE389">
        <v>1.9932508295798321</v>
      </c>
      <c r="GF389">
        <v>1.8310968709933551</v>
      </c>
      <c r="GG389">
        <v>2.3417832613805647</v>
      </c>
      <c r="GH389">
        <v>5.7785352881203558</v>
      </c>
      <c r="GI389">
        <v>5.0266708197875616</v>
      </c>
      <c r="GJ389"/>
      <c r="GK389">
        <v>10.866764081328489</v>
      </c>
      <c r="GL389">
        <v>9.364045672979552</v>
      </c>
      <c r="GM389">
        <v>9.0777513578870757</v>
      </c>
      <c r="GN389">
        <v>8.2668894016818886</v>
      </c>
      <c r="GO389">
        <v>5.6985891830586866</v>
      </c>
      <c r="GP389">
        <v>3.8160809778456839</v>
      </c>
      <c r="GQ389">
        <v>2.2391881997255374</v>
      </c>
      <c r="GR389">
        <v>3.2924289404662783</v>
      </c>
      <c r="GS389">
        <v>6.1611138178817271</v>
      </c>
      <c r="GT389">
        <v>6.808681327976303</v>
      </c>
      <c r="GU389"/>
      <c r="GV389"/>
      <c r="GW389"/>
      <c r="GX389"/>
      <c r="GY389"/>
      <c r="GZ389"/>
      <c r="HA389"/>
      <c r="HB389"/>
      <c r="HC389"/>
    </row>
    <row r="390" spans="1:211" s="7" customFormat="1">
      <c r="A390" s="1"/>
      <c r="B390" s="13"/>
      <c r="C390" s="21"/>
      <c r="D390" s="96"/>
      <c r="E390" s="3"/>
      <c r="F390" s="19">
        <f t="shared" si="377"/>
        <v>1.1041972018552414E-2</v>
      </c>
      <c r="G390" s="13"/>
      <c r="H390" s="19">
        <f t="shared" si="378"/>
        <v>5.6076531501085602E-2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62.072898105196757</v>
      </c>
      <c r="AO390">
        <v>7.2257842982177722</v>
      </c>
      <c r="AP390">
        <v>88.385669524836345</v>
      </c>
      <c r="AQ390">
        <v>52.160936255747124</v>
      </c>
      <c r="AR390">
        <v>7.6592112571284412</v>
      </c>
      <c r="AS390">
        <v>43.940233868145988</v>
      </c>
      <c r="AT390" t="e">
        <v>#DIV/0!</v>
      </c>
      <c r="AU390" t="e">
        <v>#DIV/0!</v>
      </c>
      <c r="AV390"/>
      <c r="AW390"/>
      <c r="FY390" s="211">
        <v>385</v>
      </c>
      <c r="FZ390">
        <v>9.6632875586316072</v>
      </c>
      <c r="GA390">
        <v>10.380618669313206</v>
      </c>
      <c r="GB390">
        <v>7.3361207637286663</v>
      </c>
      <c r="GC390">
        <v>2.9821583352423713</v>
      </c>
      <c r="GD390">
        <v>1.2036919380006987</v>
      </c>
      <c r="GE390">
        <v>1.4880216152941177</v>
      </c>
      <c r="GF390">
        <v>1.7376891389387068</v>
      </c>
      <c r="GG390">
        <v>1.4644344241006084</v>
      </c>
      <c r="GH390">
        <v>5.1351186444938941</v>
      </c>
      <c r="GI390">
        <v>5.0485149810763303</v>
      </c>
      <c r="GJ390"/>
      <c r="GK390">
        <v>9.7169783950275566</v>
      </c>
      <c r="GL390">
        <v>8.7957996696654313</v>
      </c>
      <c r="GM390">
        <v>12.188784022080817</v>
      </c>
      <c r="GN390">
        <v>8.9454181322004267</v>
      </c>
      <c r="GO390">
        <v>4.6772945195354847</v>
      </c>
      <c r="GP390">
        <v>2.8488190730837792</v>
      </c>
      <c r="GQ390">
        <v>2.1270417649191296</v>
      </c>
      <c r="GR390">
        <v>2.0593334315857961</v>
      </c>
      <c r="GS390">
        <v>5.473246810209127</v>
      </c>
      <c r="GT390">
        <v>6.8366691023544242</v>
      </c>
      <c r="GU390"/>
      <c r="GV390"/>
      <c r="GW390"/>
      <c r="GX390"/>
      <c r="GY390"/>
      <c r="GZ390"/>
      <c r="HA390"/>
      <c r="HB390"/>
      <c r="HC390"/>
    </row>
    <row r="391" spans="1:211" s="7" customFormat="1">
      <c r="A391" s="1"/>
      <c r="B391" s="13"/>
      <c r="C391" s="21"/>
      <c r="D391" s="96"/>
      <c r="E391" s="3"/>
      <c r="F391" s="19">
        <f t="shared" si="377"/>
        <v>-1.9664887811170323E-3</v>
      </c>
      <c r="G391" s="13"/>
      <c r="H391" s="19">
        <f t="shared" si="378"/>
        <v>5.1839999999999997E-2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55.02463565648462</v>
      </c>
      <c r="AO391">
        <v>6.7146784282541621</v>
      </c>
      <c r="AP391">
        <v>3.5802314166431062</v>
      </c>
      <c r="AQ391">
        <v>42.673035954942264</v>
      </c>
      <c r="AR391">
        <v>7.0143501962559593</v>
      </c>
      <c r="AS391">
        <v>43.381615350362303</v>
      </c>
      <c r="AT391">
        <v>5.5834012203853183</v>
      </c>
      <c r="AU391">
        <v>3.6766618757028597</v>
      </c>
      <c r="AV391"/>
      <c r="AW391"/>
      <c r="FY391" s="211">
        <v>386</v>
      </c>
      <c r="FZ391">
        <v>15.666094201955033</v>
      </c>
      <c r="GA391">
        <v>14.612659951225963</v>
      </c>
      <c r="GB391">
        <v>6.4099119730243554</v>
      </c>
      <c r="GC391">
        <v>3.0790749502614858</v>
      </c>
      <c r="GD391">
        <v>1.9902664563221275</v>
      </c>
      <c r="GE391">
        <v>2.4631139988655466</v>
      </c>
      <c r="GF391">
        <v>3.1007610552136162</v>
      </c>
      <c r="GG391">
        <v>4.0999280946282362</v>
      </c>
      <c r="GH391">
        <v>6.5199891924630116</v>
      </c>
      <c r="GI391">
        <v>6.6276513832900479</v>
      </c>
      <c r="GJ391"/>
      <c r="GK391">
        <v>15.743300381459358</v>
      </c>
      <c r="GL391">
        <v>12.381327962044752</v>
      </c>
      <c r="GM391">
        <v>10.657867187577036</v>
      </c>
      <c r="GN391">
        <v>9.2416109608413475</v>
      </c>
      <c r="GO391">
        <v>7.7270713052497708</v>
      </c>
      <c r="GP391">
        <v>4.715634549274256</v>
      </c>
      <c r="GQ391">
        <v>3.7973442005068918</v>
      </c>
      <c r="GR391">
        <v>5.7684090153217067</v>
      </c>
      <c r="GS391">
        <v>6.952154216156714</v>
      </c>
      <c r="GT391">
        <v>8.9755474581899541</v>
      </c>
      <c r="GU391"/>
      <c r="GV391"/>
      <c r="GW391"/>
      <c r="GX391"/>
      <c r="GY391"/>
      <c r="GZ391"/>
      <c r="HA391"/>
      <c r="HB391"/>
      <c r="HC391"/>
    </row>
    <row r="392" spans="1:211" s="7" customFormat="1">
      <c r="A392" s="1"/>
      <c r="B392" s="13"/>
      <c r="C392" s="21"/>
      <c r="D392" s="96"/>
      <c r="E392" s="3"/>
      <c r="F392" s="19">
        <f t="shared" si="377"/>
        <v>0</v>
      </c>
      <c r="G392" s="13"/>
      <c r="H392" s="19">
        <f t="shared" si="378"/>
        <v>5.2259999999999994E-2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45.555276030515941</v>
      </c>
      <c r="AO392">
        <v>5.8012566623242252</v>
      </c>
      <c r="AP392">
        <v>42.795061700018607</v>
      </c>
      <c r="AQ392">
        <v>43.892123055791792</v>
      </c>
      <c r="AR392">
        <v>6.1362068092134496</v>
      </c>
      <c r="AS392">
        <v>40.321999889898869</v>
      </c>
      <c r="AT392" t="e">
        <v>#DIV/0!</v>
      </c>
      <c r="AU392" t="e">
        <v>#DIV/0!</v>
      </c>
      <c r="AV392"/>
      <c r="AW392"/>
      <c r="FY392" s="211">
        <v>387</v>
      </c>
      <c r="FZ392">
        <v>15.813854124617384</v>
      </c>
      <c r="GA392">
        <v>15.256451945762628</v>
      </c>
      <c r="GB392">
        <v>3.8794056821195677</v>
      </c>
      <c r="GC392">
        <v>2.8522072544388335</v>
      </c>
      <c r="GD392">
        <v>1.2552240692361067</v>
      </c>
      <c r="GE392">
        <v>0.99189419232558151</v>
      </c>
      <c r="GF392">
        <v>2.5013550873384638</v>
      </c>
      <c r="GG392">
        <v>2.5030807266432462</v>
      </c>
      <c r="GH392">
        <v>7.8409537511766922</v>
      </c>
      <c r="GI392">
        <v>5.7077448597638263</v>
      </c>
      <c r="GJ392"/>
      <c r="GK392">
        <v>15.847058593451338</v>
      </c>
      <c r="GL392">
        <v>12.929079016316489</v>
      </c>
      <c r="GM392">
        <v>6.4272125547076708</v>
      </c>
      <c r="GN392">
        <v>8.5209684380023933</v>
      </c>
      <c r="GO392">
        <v>4.8960770936349443</v>
      </c>
      <c r="GP392">
        <v>1.898982558139535</v>
      </c>
      <c r="GQ392">
        <v>3.0605197214646678</v>
      </c>
      <c r="GR392">
        <v>3.5194317585017054</v>
      </c>
      <c r="GS392">
        <v>8.3583390773922037</v>
      </c>
      <c r="GT392">
        <v>7.7178414081301643</v>
      </c>
      <c r="GU392"/>
      <c r="GV392"/>
      <c r="GW392"/>
      <c r="GX392"/>
      <c r="GY392"/>
      <c r="GZ392"/>
      <c r="HA392"/>
      <c r="HB392"/>
      <c r="HC392"/>
    </row>
    <row r="393" spans="1:211" s="7" customFormat="1">
      <c r="A393" s="1"/>
      <c r="B393" s="13"/>
      <c r="C393" s="21"/>
      <c r="D393" s="96"/>
      <c r="E393" s="3"/>
      <c r="F393" s="19">
        <f t="shared" si="377"/>
        <v>0</v>
      </c>
      <c r="G393" s="13"/>
      <c r="H393" s="19">
        <f t="shared" si="378"/>
        <v>5.8679999999999996E-2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70.380290435287108</v>
      </c>
      <c r="AO393">
        <v>8.0250321366548487</v>
      </c>
      <c r="AP393">
        <v>91.652859955220279</v>
      </c>
      <c r="AQ393">
        <v>61.812939929309493</v>
      </c>
      <c r="AR393">
        <v>8.0868686303348554</v>
      </c>
      <c r="AS393">
        <v>52.608853359086083</v>
      </c>
      <c r="AT393" t="e">
        <v>#DIV/0!</v>
      </c>
      <c r="AU393" t="e">
        <v>#DIV/0!</v>
      </c>
      <c r="AV393"/>
      <c r="AW393"/>
      <c r="FY393" s="211">
        <v>388</v>
      </c>
      <c r="FZ393">
        <v>7.6985433941661787</v>
      </c>
      <c r="GA393">
        <v>8.3559210917443956</v>
      </c>
      <c r="GB393">
        <v>7.1622687576340889</v>
      </c>
      <c r="GC393">
        <v>3.3735764408766373</v>
      </c>
      <c r="GD393">
        <v>1.3053068491302477</v>
      </c>
      <c r="GE393">
        <v>1.4348509685714286</v>
      </c>
      <c r="GF393">
        <v>2.4079473552838149</v>
      </c>
      <c r="GG393">
        <v>1.9999234154049559</v>
      </c>
      <c r="GH393">
        <v>4.0680861880128241</v>
      </c>
      <c r="GI393">
        <v>4.731277388729902</v>
      </c>
      <c r="GJ393"/>
      <c r="GK393">
        <v>7.7331216613954279</v>
      </c>
      <c r="GL393">
        <v>7.0782262347430471</v>
      </c>
      <c r="GM393">
        <v>11.943580721832831</v>
      </c>
      <c r="GN393">
        <v>10.194866801261785</v>
      </c>
      <c r="GO393">
        <v>5.0917507441170242</v>
      </c>
      <c r="GP393">
        <v>2.7470238095238098</v>
      </c>
      <c r="GQ393">
        <v>2.9483732866582599</v>
      </c>
      <c r="GR393">
        <v>2.812956619991593</v>
      </c>
      <c r="GS393">
        <v>4.339062747698387</v>
      </c>
      <c r="GT393">
        <v>6.4111778323403863</v>
      </c>
      <c r="GU393"/>
      <c r="GV393"/>
      <c r="GW393"/>
      <c r="GX393"/>
      <c r="GY393"/>
      <c r="GZ393"/>
      <c r="HA393"/>
      <c r="HB393"/>
      <c r="HC393"/>
    </row>
    <row r="394" spans="1:211" s="7" customFormat="1">
      <c r="A394" s="1"/>
      <c r="B394" s="13"/>
      <c r="C394" s="21"/>
      <c r="D394" s="96"/>
      <c r="E394" s="3"/>
      <c r="F394" s="19">
        <f t="shared" si="377"/>
        <v>-4.381034042391675E-3</v>
      </c>
      <c r="G394" s="13"/>
      <c r="H394" s="19">
        <f t="shared" si="378"/>
        <v>8.8198635026973421E-2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55.72562758022184</v>
      </c>
      <c r="AO394">
        <v>6.7458069652074162</v>
      </c>
      <c r="AP394">
        <v>28.918785672664043</v>
      </c>
      <c r="AQ394">
        <v>49.996928049615825</v>
      </c>
      <c r="AR394">
        <v>7.1971184338574075</v>
      </c>
      <c r="AS394">
        <v>43.487442405541195</v>
      </c>
      <c r="AT394" t="e">
        <v>#DIV/0!</v>
      </c>
      <c r="AU394" t="e">
        <v>#DIV/0!</v>
      </c>
      <c r="AV394"/>
      <c r="AW394"/>
      <c r="FY394" s="211">
        <v>389</v>
      </c>
      <c r="FZ394">
        <v>10.323764891352294</v>
      </c>
      <c r="GA394">
        <v>9.0678284704268002</v>
      </c>
      <c r="GB394">
        <v>6.3173580288094424</v>
      </c>
      <c r="GC394">
        <v>3.0877983847699646</v>
      </c>
      <c r="GD394">
        <v>1.0435858901155992</v>
      </c>
      <c r="GE394">
        <v>1.5779600808970102</v>
      </c>
      <c r="GF394">
        <v>1.3266014393357464</v>
      </c>
      <c r="GG394">
        <v>1.8062942700762166</v>
      </c>
      <c r="GH394">
        <v>4.9574303385427667</v>
      </c>
      <c r="GI394">
        <v>4.7058588569286481</v>
      </c>
      <c r="GJ394"/>
      <c r="GK394">
        <v>10.368498177429181</v>
      </c>
      <c r="GL394">
        <v>7.6841948928790087</v>
      </c>
      <c r="GM394">
        <v>10.581627731996161</v>
      </c>
      <c r="GN394">
        <v>9.3689721683550751</v>
      </c>
      <c r="GO394">
        <v>4.0440518166356849</v>
      </c>
      <c r="GP394">
        <v>3.021006367663345</v>
      </c>
      <c r="GQ394">
        <v>1.620981677986407</v>
      </c>
      <c r="GR394">
        <v>2.538805752060481</v>
      </c>
      <c r="GS394">
        <v>5.2823071381919071</v>
      </c>
      <c r="GT394">
        <v>6.3794933084478673</v>
      </c>
      <c r="GU394"/>
      <c r="GV394"/>
      <c r="GW394"/>
      <c r="GX394"/>
      <c r="GY394"/>
      <c r="GZ394"/>
      <c r="HA394"/>
      <c r="HB394"/>
      <c r="HC394"/>
    </row>
    <row r="395" spans="1:211" s="7" customFormat="1">
      <c r="A395" s="1"/>
      <c r="B395" s="13"/>
      <c r="C395" s="21"/>
      <c r="D395" s="96"/>
      <c r="E395" s="3"/>
      <c r="F395" s="19">
        <f t="shared" si="377"/>
        <v>7.0770549915557864E-3</v>
      </c>
      <c r="G395" s="13"/>
      <c r="H395" s="19">
        <f t="shared" si="378"/>
        <v>9.4979999999999995E-2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62.860247771059917</v>
      </c>
      <c r="AO395">
        <v>7.154705501339663</v>
      </c>
      <c r="AP395">
        <v>44.470862012640715</v>
      </c>
      <c r="AQ395">
        <v>54.511032124220371</v>
      </c>
      <c r="AR395">
        <v>7.1842038256358336</v>
      </c>
      <c r="AS395">
        <v>48.564539851162706</v>
      </c>
      <c r="AT395" t="e">
        <v>#DIV/0!</v>
      </c>
      <c r="AU395" t="e">
        <v>#DIV/0!</v>
      </c>
      <c r="AV395"/>
      <c r="AW395"/>
      <c r="FY395" s="211">
        <v>390</v>
      </c>
      <c r="FZ395">
        <v>11.65246859904372</v>
      </c>
      <c r="GA395">
        <v>7.1664031969766953</v>
      </c>
      <c r="GB395">
        <v>4.0228790032505497</v>
      </c>
      <c r="GC395">
        <v>2.988646601344036</v>
      </c>
      <c r="GD395">
        <v>2.4176158738923985</v>
      </c>
      <c r="GE395">
        <v>3.2175504604768421</v>
      </c>
      <c r="GF395">
        <v>1.1521981644180253</v>
      </c>
      <c r="GG395">
        <v>1.003228398856431</v>
      </c>
      <c r="GH395">
        <v>5.1288799831498411</v>
      </c>
      <c r="GI395">
        <v>5.121700744195909</v>
      </c>
      <c r="GJ395"/>
      <c r="GK395">
        <v>11.704867150360553</v>
      </c>
      <c r="GL395">
        <v>6.0723639507545055</v>
      </c>
      <c r="GM395">
        <v>6.7039710818620319</v>
      </c>
      <c r="GN395">
        <v>8.9791811822593139</v>
      </c>
      <c r="GO395">
        <v>9.3942614526981547</v>
      </c>
      <c r="GP395">
        <v>6.1600040121756958</v>
      </c>
      <c r="GQ395">
        <v>1.4118986513687599</v>
      </c>
      <c r="GR395">
        <v>1.4118986513687599</v>
      </c>
      <c r="GS395">
        <v>5.4698540961728916</v>
      </c>
      <c r="GT395">
        <v>6.9369704864924788</v>
      </c>
      <c r="GU395"/>
      <c r="GV395"/>
      <c r="GW395"/>
      <c r="GX395"/>
      <c r="GY395"/>
      <c r="GZ395"/>
      <c r="HA395"/>
      <c r="HB395"/>
      <c r="HC395"/>
    </row>
    <row r="396" spans="1:211" s="7" customFormat="1">
      <c r="A396" s="1"/>
      <c r="B396" s="13"/>
      <c r="C396" s="21"/>
      <c r="D396" s="96"/>
      <c r="E396" s="3"/>
      <c r="F396" s="19">
        <f t="shared" si="377"/>
        <v>-4.1918775909407721E-3</v>
      </c>
      <c r="G396" s="13"/>
      <c r="H396" s="19">
        <f t="shared" si="378"/>
        <v>0.1218095270079583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43.03160031632936</v>
      </c>
      <c r="AO396">
        <v>5.3257116475402366</v>
      </c>
      <c r="AP396">
        <v>58.013112343295511</v>
      </c>
      <c r="AQ396">
        <v>39.039192220772058</v>
      </c>
      <c r="AR396">
        <v>5.719975984252903</v>
      </c>
      <c r="AS396">
        <v>36.003257949344956</v>
      </c>
      <c r="AT396" t="e">
        <v>#DIV/0!</v>
      </c>
      <c r="AU396" t="e">
        <v>#DIV/0!</v>
      </c>
      <c r="AV396"/>
      <c r="AW396"/>
      <c r="FY396" s="211">
        <v>391</v>
      </c>
      <c r="FZ396">
        <v>10.202767409157948</v>
      </c>
      <c r="GA396">
        <v>7.4471580820354148</v>
      </c>
      <c r="GB396">
        <v>3.7478217391444559</v>
      </c>
      <c r="GC396">
        <v>1.7360680861325704</v>
      </c>
      <c r="GD396">
        <v>1.472366220484465</v>
      </c>
      <c r="GE396">
        <v>1.8164206045798319</v>
      </c>
      <c r="GF396">
        <v>1.7446466356159418</v>
      </c>
      <c r="GG396">
        <v>2.2193508584918478</v>
      </c>
      <c r="GH396">
        <v>6.8351625859257465</v>
      </c>
      <c r="GI396">
        <v>4.6698672188785144</v>
      </c>
      <c r="GJ396"/>
      <c r="GK396">
        <v>10.266321428941584</v>
      </c>
      <c r="GL396">
        <v>6.3098219191141904</v>
      </c>
      <c r="GM396">
        <v>6.2065388792722453</v>
      </c>
      <c r="GN396">
        <v>5.1767235306346828</v>
      </c>
      <c r="GO396">
        <v>5.717534144247205</v>
      </c>
      <c r="GP396">
        <v>3.4775393111790169</v>
      </c>
      <c r="GQ396">
        <v>2.137882447665056</v>
      </c>
      <c r="GR396">
        <v>3.1234148550724634</v>
      </c>
      <c r="GS396">
        <v>7.2893028520548029</v>
      </c>
      <c r="GT396">
        <v>6.3235159504361791</v>
      </c>
      <c r="GU396"/>
      <c r="GV396"/>
      <c r="GW396"/>
      <c r="GX396"/>
      <c r="GY396"/>
      <c r="GZ396"/>
      <c r="HA396"/>
      <c r="HB396"/>
      <c r="HC396"/>
    </row>
    <row r="397" spans="1:211" s="7" customFormat="1">
      <c r="A397" s="1"/>
      <c r="B397" s="13"/>
      <c r="C397" s="21"/>
      <c r="D397" s="96"/>
      <c r="E397" s="3"/>
      <c r="F397" s="19">
        <f t="shared" si="377"/>
        <v>0</v>
      </c>
      <c r="G397" s="13"/>
      <c r="H397" s="19">
        <f t="shared" si="378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61.861741471632158</v>
      </c>
      <c r="AO397">
        <v>7.0265074031197257</v>
      </c>
      <c r="AP397">
        <v>39.02540469191932</v>
      </c>
      <c r="AQ397">
        <v>50.088824061609458</v>
      </c>
      <c r="AR397">
        <v>7.1614799104557205</v>
      </c>
      <c r="AS397">
        <v>41.405041854458602</v>
      </c>
      <c r="AT397" t="e">
        <v>#DIV/0!</v>
      </c>
      <c r="AU397" t="e">
        <v>#DIV/0!</v>
      </c>
      <c r="AV397"/>
      <c r="AW397"/>
      <c r="FY397" s="211">
        <v>392</v>
      </c>
      <c r="FZ397">
        <v>11.34684149073127</v>
      </c>
      <c r="GA397">
        <v>8.8827580416950838</v>
      </c>
      <c r="GB397">
        <v>3.8828735727127439</v>
      </c>
      <c r="GC397">
        <v>2.2414361938464706</v>
      </c>
      <c r="GD397">
        <v>0.91724194444817797</v>
      </c>
      <c r="GE397">
        <v>0.82352361928571427</v>
      </c>
      <c r="GF397">
        <v>0.61500395478260861</v>
      </c>
      <c r="GG397">
        <v>0.53548899130434779</v>
      </c>
      <c r="GH397">
        <v>3.8093391732267086</v>
      </c>
      <c r="GI397">
        <v>3.8719408602861347</v>
      </c>
      <c r="GJ397"/>
      <c r="GK397">
        <v>11.402027204298514</v>
      </c>
      <c r="GL397">
        <v>7.5259372837349243</v>
      </c>
      <c r="GM397">
        <v>6.4276710136794417</v>
      </c>
      <c r="GN397">
        <v>6.6787102271583452</v>
      </c>
      <c r="GO397">
        <v>3.566645089308849</v>
      </c>
      <c r="GP397">
        <v>1.5766369047619049</v>
      </c>
      <c r="GQ397">
        <v>0.75362318840579701</v>
      </c>
      <c r="GR397">
        <v>0.75362318840579701</v>
      </c>
      <c r="GS397">
        <v>4.0606937936254139</v>
      </c>
      <c r="GT397">
        <v>5.2421320578636035</v>
      </c>
      <c r="GU397"/>
      <c r="GV397"/>
      <c r="GW397"/>
      <c r="GX397"/>
      <c r="GY397"/>
      <c r="GZ397"/>
      <c r="HA397"/>
      <c r="HB397"/>
      <c r="HC397"/>
    </row>
    <row r="398" spans="1:211" s="7" customFormat="1">
      <c r="A398" s="1"/>
      <c r="B398" s="13"/>
      <c r="C398" s="21"/>
      <c r="D398" s="96"/>
      <c r="E398" s="3"/>
      <c r="F398" s="19">
        <f t="shared" si="377"/>
        <v>0</v>
      </c>
      <c r="G398" s="13"/>
      <c r="H398" s="19">
        <f t="shared" si="378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62.184206154741943</v>
      </c>
      <c r="AO398">
        <v>7.6307241720521404</v>
      </c>
      <c r="AP398">
        <v>69.886516090879539</v>
      </c>
      <c r="AQ398">
        <v>52.409693285441236</v>
      </c>
      <c r="AR398">
        <v>7.9651760843902562</v>
      </c>
      <c r="AS398">
        <v>50.702790577017574</v>
      </c>
      <c r="AT398" t="e">
        <v>#DIV/0!</v>
      </c>
      <c r="AU398" t="e">
        <v>#DIV/0!</v>
      </c>
      <c r="AV398"/>
      <c r="AW398"/>
      <c r="FY398" s="211">
        <v>393</v>
      </c>
      <c r="FZ398">
        <v>13.874213569391893</v>
      </c>
      <c r="GA398">
        <v>17.564210052007354</v>
      </c>
      <c r="GB398">
        <v>7.9919679524869522</v>
      </c>
      <c r="GC398">
        <v>3.9116902300787557</v>
      </c>
      <c r="GD398">
        <v>1.3079177730639036</v>
      </c>
      <c r="GE398">
        <v>1.1788290016112961</v>
      </c>
      <c r="GF398">
        <v>0.11050852312500001</v>
      </c>
      <c r="GG398">
        <v>0.74838305208333333</v>
      </c>
      <c r="GH398">
        <v>3.5565010512337483</v>
      </c>
      <c r="GI398">
        <v>5.353121189214435</v>
      </c>
      <c r="GJ398"/>
      <c r="GK398">
        <v>13.910717931257064</v>
      </c>
      <c r="GL398">
        <v>14.881442591840127</v>
      </c>
      <c r="GM398">
        <v>13.313856390444323</v>
      </c>
      <c r="GN398">
        <v>11.783253141788791</v>
      </c>
      <c r="GO398">
        <v>5.0908970133988074</v>
      </c>
      <c r="GP398">
        <v>2.2568694629014403</v>
      </c>
      <c r="GQ398">
        <v>0.13541666666666666</v>
      </c>
      <c r="GR398">
        <v>1.0532407407407407</v>
      </c>
      <c r="GS398">
        <v>3.7909465206675246</v>
      </c>
      <c r="GT398">
        <v>7.2483669044868764</v>
      </c>
      <c r="GU398"/>
      <c r="GV398"/>
      <c r="GW398"/>
      <c r="GX398"/>
      <c r="GY398"/>
      <c r="GZ398"/>
      <c r="HA398"/>
      <c r="HB398"/>
      <c r="HC398"/>
    </row>
    <row r="399" spans="1:211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63.062364121671877</v>
      </c>
      <c r="AO399">
        <v>7.3517832548924558</v>
      </c>
      <c r="AP399">
        <v>66.111128760290043</v>
      </c>
      <c r="AQ399">
        <v>54.004422894448766</v>
      </c>
      <c r="AR399">
        <v>7.7011797589958819</v>
      </c>
      <c r="AS399">
        <v>47.608666343816886</v>
      </c>
      <c r="AT399" t="e">
        <v>#DIV/0!</v>
      </c>
      <c r="AU399" t="e">
        <v>#DIV/0!</v>
      </c>
      <c r="AV399"/>
      <c r="AW399"/>
      <c r="FY399" s="211">
        <v>394</v>
      </c>
      <c r="FZ399">
        <v>9.5839547942748595</v>
      </c>
      <c r="GA399">
        <v>6.0852261644100674</v>
      </c>
      <c r="GB399">
        <v>3.1419246139819998</v>
      </c>
      <c r="GC399">
        <v>1.82302417047349</v>
      </c>
      <c r="GD399">
        <v>1.4260847048272114</v>
      </c>
      <c r="GE399">
        <v>1.9847911776196991</v>
      </c>
      <c r="GF399">
        <v>2.3043963288360505</v>
      </c>
      <c r="GG399">
        <v>2.3806483237545284</v>
      </c>
      <c r="GH399">
        <v>4.5403886624733598</v>
      </c>
      <c r="GI399">
        <v>4.1443780019581116</v>
      </c>
      <c r="GJ399"/>
      <c r="GK399">
        <v>9.6252372119374687</v>
      </c>
      <c r="GL399">
        <v>5.1565884290627348</v>
      </c>
      <c r="GM399">
        <v>5.2425290839812719</v>
      </c>
      <c r="GN399">
        <v>5.4868178240738548</v>
      </c>
      <c r="GO399">
        <v>5.5285985269125071</v>
      </c>
      <c r="GP399">
        <v>3.799884964556647</v>
      </c>
      <c r="GQ399">
        <v>2.8237973027375198</v>
      </c>
      <c r="GR399">
        <v>3.3504176731078901</v>
      </c>
      <c r="GS399">
        <v>4.8395475737946265</v>
      </c>
      <c r="GT399">
        <v>5.6119419398726791</v>
      </c>
      <c r="GU399"/>
      <c r="GV399"/>
      <c r="GW399"/>
      <c r="GX399"/>
      <c r="GY399"/>
      <c r="GZ399"/>
      <c r="HA399"/>
      <c r="HB399"/>
      <c r="HC399"/>
    </row>
    <row r="400" spans="1:211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52.672681730301839</v>
      </c>
      <c r="AO400">
        <v>6.5591532960831227</v>
      </c>
      <c r="AP400">
        <v>31.410545790306848</v>
      </c>
      <c r="AQ400">
        <v>48.48431701331932</v>
      </c>
      <c r="AR400">
        <v>6.808681327976303</v>
      </c>
      <c r="AS400">
        <v>41.252112613872342</v>
      </c>
      <c r="AT400" t="e">
        <v>#DIV/0!</v>
      </c>
      <c r="AU400" t="e">
        <v>#DIV/0!</v>
      </c>
      <c r="AV400"/>
      <c r="AW400"/>
      <c r="FY400" s="211">
        <v>395</v>
      </c>
      <c r="FZ400">
        <v>10.901079887787123</v>
      </c>
      <c r="GA400">
        <v>7.3551656535383705</v>
      </c>
      <c r="GB400">
        <v>4.193345353327417</v>
      </c>
      <c r="GC400">
        <v>2.6831565993405255</v>
      </c>
      <c r="GD400">
        <v>1.8832985478739497</v>
      </c>
      <c r="GE400">
        <v>2.9329771681512611</v>
      </c>
      <c r="GF400">
        <v>1.8310968709933551</v>
      </c>
      <c r="GG400">
        <v>1.9675917353388979</v>
      </c>
      <c r="GH400">
        <v>4.236109087558976</v>
      </c>
      <c r="GI400">
        <v>4.7226908493653728</v>
      </c>
      <c r="GJ400"/>
      <c r="GK400">
        <v>10.949230961730889</v>
      </c>
      <c r="GL400">
        <v>6.2326378160628035</v>
      </c>
      <c r="GM400">
        <v>6.9402739385467251</v>
      </c>
      <c r="GN400">
        <v>7.9783841970555649</v>
      </c>
      <c r="GO400">
        <v>7.3020928826075888</v>
      </c>
      <c r="GP400">
        <v>5.6151881207028271</v>
      </c>
      <c r="GQ400">
        <v>2.2391881997255374</v>
      </c>
      <c r="GR400">
        <v>2.7658085700959076</v>
      </c>
      <c r="GS400">
        <v>4.5149185783608372</v>
      </c>
      <c r="GT400">
        <v>6.3891409121943141</v>
      </c>
      <c r="GU400"/>
      <c r="GV400"/>
      <c r="GW400"/>
      <c r="GX400"/>
      <c r="GY400"/>
      <c r="GZ400"/>
      <c r="HA400"/>
      <c r="HB400"/>
      <c r="HC400"/>
    </row>
    <row r="401" spans="1:211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53.474650234376497</v>
      </c>
      <c r="AO401">
        <v>6.3669384920661987</v>
      </c>
      <c r="AP401">
        <v>66.586430548392173</v>
      </c>
      <c r="AQ401">
        <v>46.439656068820206</v>
      </c>
      <c r="AR401">
        <v>6.8366691023544242</v>
      </c>
      <c r="AS401">
        <v>41.619984772060704</v>
      </c>
      <c r="AT401" t="e">
        <v>#DIV/0!</v>
      </c>
      <c r="AU401" t="e">
        <v>#DIV/0!</v>
      </c>
      <c r="AV401"/>
      <c r="AW401"/>
      <c r="FY401" s="211">
        <v>396</v>
      </c>
      <c r="FZ401">
        <v>10.809395100953928</v>
      </c>
      <c r="GA401">
        <v>9.4092977804570381</v>
      </c>
      <c r="GB401">
        <v>5.9963884652524531</v>
      </c>
      <c r="GC401">
        <v>3.5270578693833952</v>
      </c>
      <c r="GD401">
        <v>1.8373422001435558</v>
      </c>
      <c r="GE401">
        <v>1.9932508295798319</v>
      </c>
      <c r="GF401">
        <v>2.8898873033567316</v>
      </c>
      <c r="GG401">
        <v>3.2160458750403729</v>
      </c>
      <c r="GH401">
        <v>6.2476689451295142</v>
      </c>
      <c r="GI401">
        <v>5.6401210094096612</v>
      </c>
      <c r="GJ401"/>
      <c r="GK401">
        <v>10.864588430398442</v>
      </c>
      <c r="GL401">
        <v>7.9724030486016595</v>
      </c>
      <c r="GM401">
        <v>10.00642272923087</v>
      </c>
      <c r="GN401">
        <v>10.626465197822689</v>
      </c>
      <c r="GO401">
        <v>7.1341397576307228</v>
      </c>
      <c r="GP401">
        <v>3.8160809778456835</v>
      </c>
      <c r="GQ401">
        <v>3.5389404162878897</v>
      </c>
      <c r="GR401">
        <v>4.5244728236952971</v>
      </c>
      <c r="GS401">
        <v>6.6625191762557163</v>
      </c>
      <c r="GT401">
        <v>7.6413221019607294</v>
      </c>
      <c r="GU401"/>
      <c r="GV401"/>
      <c r="GW401"/>
      <c r="GX401"/>
      <c r="GY401"/>
      <c r="GZ401"/>
      <c r="HA401"/>
      <c r="HB401"/>
      <c r="HC401"/>
    </row>
    <row r="402" spans="1:211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68.802407851640524</v>
      </c>
      <c r="AO402">
        <v>8.5960267236621792</v>
      </c>
      <c r="AP402">
        <v>5.0393607392696937</v>
      </c>
      <c r="AQ402">
        <v>64.569451257249426</v>
      </c>
      <c r="AR402">
        <v>8.9755474581899541</v>
      </c>
      <c r="AS402">
        <v>56.809483362224057</v>
      </c>
      <c r="AT402">
        <v>7.2166309002352564</v>
      </c>
      <c r="AU402">
        <v>3.7384878418014544</v>
      </c>
      <c r="AV402"/>
      <c r="AW402"/>
      <c r="FY402" s="211">
        <v>397</v>
      </c>
      <c r="FZ402">
        <v>15.26181933205369</v>
      </c>
      <c r="GA402">
        <v>12.413491154737979</v>
      </c>
      <c r="GB402">
        <v>7.2872970907439143</v>
      </c>
      <c r="GC402">
        <v>3.949644550430464</v>
      </c>
      <c r="GD402">
        <v>2.0185202264799349</v>
      </c>
      <c r="GE402">
        <v>2.313190166905414</v>
      </c>
      <c r="GF402">
        <v>1.2852621711277175</v>
      </c>
      <c r="GG402">
        <v>1.4451695086503624</v>
      </c>
      <c r="GH402">
        <v>9.1254319838538134</v>
      </c>
      <c r="GI402">
        <v>6.8862935865442427</v>
      </c>
      <c r="GJ402"/>
      <c r="GK402">
        <v>15.329374014211993</v>
      </c>
      <c r="GL402">
        <v>10.518072997768556</v>
      </c>
      <c r="GM402">
        <v>12.188053214521279</v>
      </c>
      <c r="GN402">
        <v>11.948295999680834</v>
      </c>
      <c r="GO402">
        <v>7.8366193395797827</v>
      </c>
      <c r="GP402">
        <v>4.4286052026518865</v>
      </c>
      <c r="GQ402">
        <v>1.5749547101449275</v>
      </c>
      <c r="GR402">
        <v>2.0338667471819645</v>
      </c>
      <c r="GS402">
        <v>9.7319347368711249</v>
      </c>
      <c r="GT402">
        <v>9.3321872030658231</v>
      </c>
      <c r="GU402"/>
      <c r="GV402"/>
      <c r="GW402"/>
      <c r="GX402"/>
      <c r="GY402"/>
      <c r="GZ402"/>
      <c r="HA402"/>
      <c r="HB402"/>
      <c r="HC402"/>
    </row>
    <row r="403" spans="1:211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63.459829035844017</v>
      </c>
      <c r="AO403">
        <v>7.3175510219741113</v>
      </c>
      <c r="AP403">
        <v>3.686760050656825</v>
      </c>
      <c r="AQ403">
        <v>58.602171693422335</v>
      </c>
      <c r="AR403">
        <v>7.7178414081301652</v>
      </c>
      <c r="AS403">
        <v>47.146711525161123</v>
      </c>
      <c r="AT403">
        <v>6.217668886346992</v>
      </c>
      <c r="AU403">
        <v>-4.4769077709341669</v>
      </c>
      <c r="AV403"/>
      <c r="AW403"/>
      <c r="FY403" s="211">
        <v>398</v>
      </c>
      <c r="FZ403">
        <v>9.5901888906360302</v>
      </c>
      <c r="GA403">
        <v>11.670906151656741</v>
      </c>
      <c r="GB403">
        <v>7.1902833642172519</v>
      </c>
      <c r="GC403">
        <v>3.405137577820716</v>
      </c>
      <c r="GD403">
        <v>1.1557960467228683</v>
      </c>
      <c r="GE403">
        <v>1.3556592266112955</v>
      </c>
      <c r="GF403">
        <v>1.8863511325558551</v>
      </c>
      <c r="GG403">
        <v>2.7159747874222315</v>
      </c>
      <c r="GH403">
        <v>5.9652273564402094</v>
      </c>
      <c r="GI403">
        <v>5.1305019801824079</v>
      </c>
      <c r="GJ403"/>
      <c r="GK403">
        <v>9.6229329242070669</v>
      </c>
      <c r="GL403">
        <v>9.8882481547387595</v>
      </c>
      <c r="GM403">
        <v>11.909037627363924</v>
      </c>
      <c r="GN403">
        <v>10.144699686613356</v>
      </c>
      <c r="GO403">
        <v>4.4908441859947201</v>
      </c>
      <c r="GP403">
        <v>2.5954111295681059</v>
      </c>
      <c r="GQ403">
        <v>2.3068965330588709</v>
      </c>
      <c r="GR403">
        <v>3.8190493108366486</v>
      </c>
      <c r="GS403">
        <v>6.359816572845733</v>
      </c>
      <c r="GT403">
        <v>6.9379055686940632</v>
      </c>
      <c r="GU403"/>
      <c r="GV403"/>
      <c r="GW403"/>
      <c r="GX403"/>
      <c r="GY403"/>
      <c r="GZ403"/>
      <c r="HA403"/>
      <c r="HB403"/>
      <c r="HC403"/>
    </row>
    <row r="404" spans="1:211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48.2641911694299</v>
      </c>
      <c r="AO404">
        <v>6.1300140459562549</v>
      </c>
      <c r="AP404">
        <v>56.472969140442643</v>
      </c>
      <c r="AQ404">
        <v>42.537701849554473</v>
      </c>
      <c r="AR404">
        <v>6.4111778323403854</v>
      </c>
      <c r="AS404">
        <v>37.702128134445324</v>
      </c>
      <c r="AT404" t="e">
        <v>#DIV/0!</v>
      </c>
      <c r="AU404" t="e">
        <v>#DIV/0!</v>
      </c>
      <c r="AV404"/>
      <c r="AW404"/>
      <c r="FY404" s="211">
        <v>399</v>
      </c>
      <c r="FZ404">
        <v>9.0335275732434184</v>
      </c>
      <c r="GA404">
        <v>3.7390209866893271</v>
      </c>
      <c r="GB404">
        <v>5.5606383874185266</v>
      </c>
      <c r="GC404">
        <v>3.4514820818361738</v>
      </c>
      <c r="GD404">
        <v>0.85000165838183328</v>
      </c>
      <c r="GE404">
        <v>0.53213560732558129</v>
      </c>
      <c r="GF404">
        <v>1.340516432690217</v>
      </c>
      <c r="GG404">
        <v>1.0709779826086956</v>
      </c>
      <c r="GH404">
        <v>5.3387235137318765</v>
      </c>
      <c r="GI404">
        <v>4.2734410023477931</v>
      </c>
      <c r="GJ404"/>
      <c r="GK404">
        <v>9.0978354543005064</v>
      </c>
      <c r="GL404">
        <v>3.1668382617092692</v>
      </c>
      <c r="GM404">
        <v>9.206741561673029</v>
      </c>
      <c r="GN404">
        <v>10.269333873194183</v>
      </c>
      <c r="GO404">
        <v>3.2949580252572996</v>
      </c>
      <c r="GP404">
        <v>1.0187742248062015</v>
      </c>
      <c r="GQ404">
        <v>1.6426630434782605</v>
      </c>
      <c r="GR404">
        <v>1.507246376811594</v>
      </c>
      <c r="GS404">
        <v>5.6914137950679553</v>
      </c>
      <c r="GT404">
        <v>5.7867223759554101</v>
      </c>
      <c r="GU404"/>
      <c r="GV404"/>
      <c r="GW404"/>
      <c r="GX404"/>
      <c r="GY404"/>
      <c r="GZ404"/>
      <c r="HA404"/>
      <c r="HB404"/>
      <c r="HC404"/>
    </row>
    <row r="405" spans="1:211" s="7" customFormat="1">
      <c r="A405" s="188">
        <v>13.69</v>
      </c>
      <c r="B405" s="71">
        <f t="shared" ref="B405:B414" si="379">+C4</f>
        <v>39646</v>
      </c>
      <c r="C405" s="61">
        <v>0</v>
      </c>
      <c r="D405" s="61">
        <f t="shared" ref="D405:D414" si="380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1.060810810810811</v>
      </c>
      <c r="E405" s="108">
        <f t="shared" ref="E405:E414" si="381">IF(D405=0,0.00000001,(1-$A$43/100)*($A$39*(D405^($A$41))))</f>
        <v>0.1276122407087964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49.262366744816468</v>
      </c>
      <c r="AO405">
        <v>6.0889939031645133</v>
      </c>
      <c r="AP405">
        <v>7.4942166843556128</v>
      </c>
      <c r="AQ405">
        <v>44.214480651254483</v>
      </c>
      <c r="AR405">
        <v>6.3794933084478664</v>
      </c>
      <c r="AS405">
        <v>37.792887966933094</v>
      </c>
      <c r="AT405">
        <v>4.9966602263718229</v>
      </c>
      <c r="AU405">
        <v>1.7346116918385945</v>
      </c>
      <c r="AV405"/>
      <c r="AW405"/>
      <c r="FY405" s="211">
        <v>400</v>
      </c>
      <c r="FZ405">
        <v>7.6841579109407352</v>
      </c>
      <c r="GA405">
        <v>7.5780243100448477</v>
      </c>
      <c r="GB405">
        <v>6.6647657476379827</v>
      </c>
      <c r="GC405">
        <v>3.1867828557959155</v>
      </c>
      <c r="GD405">
        <v>2.1823572838221272</v>
      </c>
      <c r="GE405">
        <v>2.6399442238655459</v>
      </c>
      <c r="GF405">
        <v>1.9416053941183551</v>
      </c>
      <c r="GG405">
        <v>1.9675917353388979</v>
      </c>
      <c r="GH405">
        <v>3.3428068194769396</v>
      </c>
      <c r="GI405">
        <v>4.9063266697422216</v>
      </c>
      <c r="GJ405"/>
      <c r="GK405">
        <v>7.728316053139114</v>
      </c>
      <c r="GL405">
        <v>6.4191447404072042</v>
      </c>
      <c r="GM405">
        <v>11.079154598270971</v>
      </c>
      <c r="GN405">
        <v>9.5604166845810568</v>
      </c>
      <c r="GO405">
        <v>8.4718629719164369</v>
      </c>
      <c r="GP405">
        <v>5.0541762159409211</v>
      </c>
      <c r="GQ405">
        <v>2.3746048663922039</v>
      </c>
      <c r="GR405">
        <v>2.7658085700959076</v>
      </c>
      <c r="GS405">
        <v>3.5641922127991057</v>
      </c>
      <c r="GT405">
        <v>6.6436261405035673</v>
      </c>
      <c r="GU405"/>
      <c r="GV405"/>
      <c r="GW405"/>
      <c r="GX405"/>
      <c r="GY405"/>
      <c r="GZ405"/>
      <c r="HA405"/>
      <c r="HB405"/>
      <c r="HC405"/>
    </row>
    <row r="406" spans="1:211" s="7" customFormat="1">
      <c r="A406" s="188">
        <v>9.4499999999999993</v>
      </c>
      <c r="B406" s="71">
        <f t="shared" si="379"/>
        <v>39673</v>
      </c>
      <c r="C406" s="61">
        <f>B406-B405</f>
        <v>27</v>
      </c>
      <c r="D406" s="61">
        <f t="shared" si="380"/>
        <v>0.95353982300884954</v>
      </c>
      <c r="E406" s="108">
        <f t="shared" si="381"/>
        <v>0.10691430708706588</v>
      </c>
      <c r="F406" s="19">
        <f t="shared" ref="F406:F414" si="382">IF(C374&lt;1,0,LN(E406/E405)/E21)</f>
        <v>-6.5543944955201161E-3</v>
      </c>
      <c r="G406" s="19">
        <f t="shared" ref="G406:G414" si="383">IF(D406=0, 0, 0.051-(0.068*LN(D406))+(0.006*A406))</f>
        <v>0.11093503810153686</v>
      </c>
      <c r="H406" s="19">
        <f t="shared" ref="H406:H414" si="384">+IF((G406&gt;0),G406,0)</f>
        <v>0.11093503810153686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50.014383794101207</v>
      </c>
      <c r="AO406">
        <v>6.4245270715513145</v>
      </c>
      <c r="AP406">
        <v>83.51860335367445</v>
      </c>
      <c r="AQ406">
        <v>43.871571025604453</v>
      </c>
      <c r="AR406">
        <v>6.9369704864924788</v>
      </c>
      <c r="AS406">
        <v>43.043401291522812</v>
      </c>
      <c r="AT406" t="e">
        <v>#DIV/0!</v>
      </c>
      <c r="AU406" t="e">
        <v>#DIV/0!</v>
      </c>
      <c r="AV406"/>
      <c r="AW406"/>
      <c r="FY406" s="211">
        <v>401</v>
      </c>
      <c r="FZ406">
        <v>9.4865600247922277</v>
      </c>
      <c r="GA406">
        <v>10.89391069774334</v>
      </c>
      <c r="GB406">
        <v>6.6752325699180579</v>
      </c>
      <c r="GC406">
        <v>2.829052310390848</v>
      </c>
      <c r="GD406">
        <v>1.2740982905246903</v>
      </c>
      <c r="GE406">
        <v>1.7093196766112959</v>
      </c>
      <c r="GF406">
        <v>1.8310968709933551</v>
      </c>
      <c r="GG406">
        <v>1.9675917353388979</v>
      </c>
      <c r="GH406">
        <v>4.3172249840906662</v>
      </c>
      <c r="GI406">
        <v>4.7854558386826929</v>
      </c>
      <c r="GJ406"/>
      <c r="GK406">
        <v>9.517335788652769</v>
      </c>
      <c r="GL406">
        <v>9.2300245682268613</v>
      </c>
      <c r="GM406">
        <v>11.053859730546241</v>
      </c>
      <c r="GN406">
        <v>8.4167491801992647</v>
      </c>
      <c r="GO406">
        <v>4.9393032633525378</v>
      </c>
      <c r="GP406">
        <v>3.2724944629014399</v>
      </c>
      <c r="GQ406">
        <v>2.2391881997255374</v>
      </c>
      <c r="GR406">
        <v>2.7658085700959076</v>
      </c>
      <c r="GS406">
        <v>4.5994273548990252</v>
      </c>
      <c r="GT406">
        <v>6.4698228674352212</v>
      </c>
      <c r="GU406"/>
      <c r="GV406"/>
      <c r="GW406"/>
      <c r="GX406"/>
      <c r="GY406"/>
      <c r="GZ406"/>
      <c r="HA406"/>
      <c r="HB406"/>
      <c r="HC406"/>
    </row>
    <row r="407" spans="1:211" s="7" customFormat="1">
      <c r="A407" s="188">
        <v>4.03</v>
      </c>
      <c r="B407" s="71">
        <f t="shared" si="379"/>
        <v>39714</v>
      </c>
      <c r="C407" s="61">
        <f>B407-$B$405</f>
        <v>68</v>
      </c>
      <c r="D407" s="61">
        <f t="shared" si="380"/>
        <v>0.80538922155688619</v>
      </c>
      <c r="E407" s="108">
        <f t="shared" si="381"/>
        <v>8.0779843760491077E-2</v>
      </c>
      <c r="F407" s="19">
        <f t="shared" si="382"/>
        <v>-6.836589493975297E-3</v>
      </c>
      <c r="G407" s="19">
        <f t="shared" si="383"/>
        <v>8.9897213709490581E-2</v>
      </c>
      <c r="H407" s="19">
        <f t="shared" si="384"/>
        <v>8.9897213709490581E-2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45.740057066032307</v>
      </c>
      <c r="AO407">
        <v>5.6028595318617418</v>
      </c>
      <c r="AP407">
        <v>1.472666811043772</v>
      </c>
      <c r="AQ407">
        <v>41.891629440446735</v>
      </c>
      <c r="AR407">
        <v>6.3235159504361782</v>
      </c>
      <c r="AS407">
        <v>39.75039917264494</v>
      </c>
      <c r="AT407">
        <v>5.0794665394271101</v>
      </c>
      <c r="AU407">
        <v>3.5422993613174487</v>
      </c>
      <c r="AV407"/>
      <c r="AW407"/>
      <c r="FY407" s="211">
        <v>402</v>
      </c>
      <c r="FZ407">
        <v>6.0694594612598305</v>
      </c>
      <c r="GA407">
        <v>3.3115280412258348</v>
      </c>
      <c r="GB407">
        <v>6.5601719977962878</v>
      </c>
      <c r="GC407">
        <v>3.9329688866113131</v>
      </c>
      <c r="GD407">
        <v>2.257780007799048</v>
      </c>
      <c r="GE407">
        <v>3.0945330215565767</v>
      </c>
      <c r="GF407">
        <v>0.61500395478260861</v>
      </c>
      <c r="GG407">
        <v>0.53548899130434779</v>
      </c>
      <c r="GH407">
        <v>2.5009146486112623</v>
      </c>
      <c r="GI407">
        <v>4.3109221988457493</v>
      </c>
      <c r="GJ407"/>
      <c r="GK407">
        <v>6.11416057510211</v>
      </c>
      <c r="GL407">
        <v>2.8056565092175032</v>
      </c>
      <c r="GM407">
        <v>10.862040039827365</v>
      </c>
      <c r="GN407">
        <v>11.72916106044117</v>
      </c>
      <c r="GO407">
        <v>8.7847645154289307</v>
      </c>
      <c r="GP407">
        <v>5.924486985597623</v>
      </c>
      <c r="GQ407">
        <v>0.75362318840579701</v>
      </c>
      <c r="GR407">
        <v>0.75362318840579701</v>
      </c>
      <c r="GS407">
        <v>2.6659964999629815</v>
      </c>
      <c r="GT407">
        <v>5.8361169637454378</v>
      </c>
      <c r="GU407"/>
      <c r="GV407"/>
      <c r="GW407"/>
      <c r="GX407"/>
      <c r="GY407"/>
      <c r="GZ407"/>
      <c r="HA407"/>
      <c r="HB407"/>
      <c r="HC407"/>
    </row>
    <row r="408" spans="1:211" s="7" customFormat="1">
      <c r="A408" s="188">
        <v>0.78</v>
      </c>
      <c r="B408" s="71">
        <f t="shared" si="379"/>
        <v>39747</v>
      </c>
      <c r="C408" s="61">
        <f t="shared" ref="C408:C414" si="385">B408-$B$405</f>
        <v>101</v>
      </c>
      <c r="D408" s="61">
        <f t="shared" si="380"/>
        <v>0.99418562369094698</v>
      </c>
      <c r="E408" s="108">
        <f t="shared" si="381"/>
        <v>0.11458542337347652</v>
      </c>
      <c r="F408" s="19">
        <f t="shared" si="382"/>
        <v>1.0593731045433262E-2</v>
      </c>
      <c r="G408" s="19">
        <f t="shared" si="383"/>
        <v>5.6076531501085602E-2</v>
      </c>
      <c r="H408" s="19">
        <f t="shared" si="384"/>
        <v>5.6076531501085602E-2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41.638861762052883</v>
      </c>
      <c r="AO408">
        <v>4.7987699951242586</v>
      </c>
      <c r="AP408">
        <v>58.747198901006506</v>
      </c>
      <c r="AQ408">
        <v>36.92644784231927</v>
      </c>
      <c r="AR408">
        <v>5.2421320578636035</v>
      </c>
      <c r="AS408">
        <v>31.458917229153233</v>
      </c>
      <c r="AT408" t="e">
        <v>#DIV/0!</v>
      </c>
      <c r="AU408" t="e">
        <v>#DIV/0!</v>
      </c>
      <c r="AV408"/>
      <c r="AW408"/>
      <c r="FY408" s="211">
        <v>403</v>
      </c>
      <c r="FZ408">
        <v>22.834872433310782</v>
      </c>
      <c r="GA408">
        <v>20.946795587800537</v>
      </c>
      <c r="GB408">
        <v>3.3393660522724335</v>
      </c>
      <c r="GC408">
        <v>2.3711327877733392</v>
      </c>
      <c r="GD408">
        <v>2.0873291315698119</v>
      </c>
      <c r="GE408">
        <v>2.5977634592309951</v>
      </c>
      <c r="GF408">
        <v>0.72551247790760864</v>
      </c>
      <c r="GG408">
        <v>0.90968051734601452</v>
      </c>
      <c r="GH408">
        <v>4.3140129513366299</v>
      </c>
      <c r="GI408">
        <v>6.2138416413589841</v>
      </c>
      <c r="GJ408"/>
      <c r="GK408">
        <v>22.914888968680341</v>
      </c>
      <c r="GL408">
        <v>17.746677378805842</v>
      </c>
      <c r="GM408">
        <v>5.5298836322065874</v>
      </c>
      <c r="GN408">
        <v>7.0887870744739363</v>
      </c>
      <c r="GO408">
        <v>8.1238771953846332</v>
      </c>
      <c r="GP408">
        <v>4.9734210941247534</v>
      </c>
      <c r="GQ408">
        <v>0.88903985507246364</v>
      </c>
      <c r="GR408">
        <v>1.2802435587761674</v>
      </c>
      <c r="GS408">
        <v>4.6006317202874154</v>
      </c>
      <c r="GT408">
        <v>8.4116642743262862</v>
      </c>
      <c r="GU408"/>
      <c r="GV408"/>
      <c r="GW408"/>
      <c r="GX408"/>
      <c r="GY408"/>
      <c r="GZ408"/>
      <c r="HA408"/>
      <c r="HB408"/>
      <c r="HC408"/>
    </row>
    <row r="409" spans="1:211" s="7" customFormat="1">
      <c r="A409" s="188">
        <v>0.14000000000000001</v>
      </c>
      <c r="B409" s="71">
        <f t="shared" si="379"/>
        <v>39775</v>
      </c>
      <c r="C409" s="61">
        <f t="shared" si="385"/>
        <v>129</v>
      </c>
      <c r="D409" s="61">
        <f t="shared" si="380"/>
        <v>1</v>
      </c>
      <c r="E409" s="108">
        <f t="shared" si="381"/>
        <v>0.11570000000000001</v>
      </c>
      <c r="F409" s="19">
        <f t="shared" si="382"/>
        <v>3.4571548939186272E-4</v>
      </c>
      <c r="G409" s="19">
        <f t="shared" si="383"/>
        <v>5.1839999999999997E-2</v>
      </c>
      <c r="H409" s="19">
        <f t="shared" si="384"/>
        <v>5.1839999999999997E-2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61.632936091629958</v>
      </c>
      <c r="AO409">
        <v>7.3465007364192356</v>
      </c>
      <c r="AP409">
        <v>17.834956770353337</v>
      </c>
      <c r="AQ409">
        <v>55.597342394296668</v>
      </c>
      <c r="AR409">
        <v>7.248366904486879</v>
      </c>
      <c r="AS409">
        <v>43.018934513045295</v>
      </c>
      <c r="AT409" t="e">
        <v>#DIV/0!</v>
      </c>
      <c r="AU409" t="e">
        <v>#DIV/0!</v>
      </c>
      <c r="AV409"/>
      <c r="AW409"/>
      <c r="FY409" s="211">
        <v>404</v>
      </c>
      <c r="FZ409">
        <v>7.306782761459429</v>
      </c>
      <c r="GA409">
        <v>8.3383020866159292</v>
      </c>
      <c r="GB409">
        <v>5.2772537215342661</v>
      </c>
      <c r="GC409">
        <v>2.2242588715805609</v>
      </c>
      <c r="GD409">
        <v>2.4113562995393965</v>
      </c>
      <c r="GE409">
        <v>4.2636180924936484</v>
      </c>
      <c r="GF409">
        <v>2.4391433290987283</v>
      </c>
      <c r="GG409">
        <v>2.8707388703770063</v>
      </c>
      <c r="GH409">
        <v>5.7905119708904396</v>
      </c>
      <c r="GI409">
        <v>5.1170561997036357</v>
      </c>
      <c r="GJ409"/>
      <c r="GK409">
        <v>7.329047312325474</v>
      </c>
      <c r="GL409">
        <v>7.0650183932128909</v>
      </c>
      <c r="GM409">
        <v>8.7754030373643666</v>
      </c>
      <c r="GN409">
        <v>6.6750266942591763</v>
      </c>
      <c r="GO409">
        <v>9.3487813159372077</v>
      </c>
      <c r="GP409">
        <v>8.1627016821527771</v>
      </c>
      <c r="GQ409">
        <v>2.9819707053854079</v>
      </c>
      <c r="GR409">
        <v>4.0352114461261488</v>
      </c>
      <c r="GS409">
        <v>6.1723302972057139</v>
      </c>
      <c r="GT409">
        <v>6.9215065336436323</v>
      </c>
      <c r="GU409"/>
      <c r="GV409"/>
      <c r="GW409"/>
      <c r="GX409"/>
      <c r="GY409"/>
      <c r="GZ409"/>
      <c r="HA409"/>
      <c r="HB409"/>
      <c r="HC409"/>
    </row>
    <row r="410" spans="1:211" s="7" customFormat="1">
      <c r="A410" s="188">
        <v>0.21</v>
      </c>
      <c r="B410" s="71">
        <f t="shared" si="379"/>
        <v>39799</v>
      </c>
      <c r="C410" s="61">
        <f t="shared" si="385"/>
        <v>153</v>
      </c>
      <c r="D410" s="61">
        <f t="shared" si="380"/>
        <v>1</v>
      </c>
      <c r="E410" s="108">
        <f t="shared" si="381"/>
        <v>0.11570000000000001</v>
      </c>
      <c r="F410" s="19">
        <f t="shared" si="382"/>
        <v>0</v>
      </c>
      <c r="G410" s="19">
        <f t="shared" si="383"/>
        <v>5.2259999999999994E-2</v>
      </c>
      <c r="H410" s="19">
        <f t="shared" si="384"/>
        <v>5.2259999999999994E-2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41.195544348924855</v>
      </c>
      <c r="AO410">
        <v>5.1465360530037199</v>
      </c>
      <c r="AP410">
        <v>35.939428441473524</v>
      </c>
      <c r="AQ410">
        <v>37.414816942609377</v>
      </c>
      <c r="AR410">
        <v>5.6119419398726782</v>
      </c>
      <c r="AS410">
        <v>35.20958996917502</v>
      </c>
      <c r="AT410" t="e">
        <v>#DIV/0!</v>
      </c>
      <c r="AU410" t="e">
        <v>#DIV/0!</v>
      </c>
      <c r="AV410"/>
      <c r="AW410"/>
      <c r="FY410" s="211">
        <v>405</v>
      </c>
      <c r="FZ410">
        <v>10.110050424200061</v>
      </c>
      <c r="GA410">
        <v>7.2182488990740854</v>
      </c>
      <c r="GB410">
        <v>3.3983785705001948</v>
      </c>
      <c r="GC410">
        <v>2.4222441598156976</v>
      </c>
      <c r="GD410">
        <v>1.4507838006388996</v>
      </c>
      <c r="GE410">
        <v>1.8433269976196986</v>
      </c>
      <c r="GF410">
        <v>1.8863511325558551</v>
      </c>
      <c r="GG410">
        <v>1.9675917353388979</v>
      </c>
      <c r="GH410">
        <v>4.0946114307269408</v>
      </c>
      <c r="GI410">
        <v>4.1513900104146551</v>
      </c>
      <c r="GJ410"/>
      <c r="GK410">
        <v>10.129615466788257</v>
      </c>
      <c r="GL410">
        <v>6.1165663874913756</v>
      </c>
      <c r="GM410">
        <v>5.6299209092210436</v>
      </c>
      <c r="GN410">
        <v>7.2125996201108347</v>
      </c>
      <c r="GO410">
        <v>5.6251081788423605</v>
      </c>
      <c r="GP410">
        <v>3.5290516312233131</v>
      </c>
      <c r="GQ410">
        <v>2.3068965330588709</v>
      </c>
      <c r="GR410">
        <v>2.7658085700959076</v>
      </c>
      <c r="GS410">
        <v>4.3662755461324396</v>
      </c>
      <c r="GT410">
        <v>5.6115633268085938</v>
      </c>
      <c r="GU410"/>
      <c r="GV410"/>
      <c r="GW410"/>
      <c r="GX410"/>
      <c r="GY410"/>
      <c r="GZ410"/>
      <c r="HA410"/>
      <c r="HB410"/>
      <c r="HC410"/>
    </row>
    <row r="411" spans="1:211" s="7" customFormat="1">
      <c r="A411" s="188">
        <v>1.28</v>
      </c>
      <c r="B411" s="71">
        <f>+C10</f>
        <v>39847</v>
      </c>
      <c r="C411" s="61">
        <f t="shared" si="385"/>
        <v>201</v>
      </c>
      <c r="D411" s="61">
        <f t="shared" si="380"/>
        <v>1</v>
      </c>
      <c r="E411" s="108">
        <f t="shared" si="381"/>
        <v>0.11570000000000001</v>
      </c>
      <c r="F411" s="19">
        <f t="shared" si="382"/>
        <v>0</v>
      </c>
      <c r="G411" s="19">
        <f t="shared" si="383"/>
        <v>5.8679999999999996E-2</v>
      </c>
      <c r="H411" s="19">
        <f t="shared" si="384"/>
        <v>5.8679999999999996E-2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54.593462609869732</v>
      </c>
      <c r="AO411">
        <v>6.0926864177082987</v>
      </c>
      <c r="AP411">
        <v>29.293143290883215</v>
      </c>
      <c r="AQ411">
        <v>42.706511753275244</v>
      </c>
      <c r="AR411">
        <v>6.389140912194315</v>
      </c>
      <c r="AS411">
        <v>40.279982252437676</v>
      </c>
      <c r="AT411" t="e">
        <v>#DIV/0!</v>
      </c>
      <c r="AU411" t="e">
        <v>#DIV/0!</v>
      </c>
      <c r="AV411"/>
      <c r="AW411"/>
      <c r="FY411" s="211">
        <v>406</v>
      </c>
      <c r="FZ411">
        <v>10.326899684342468</v>
      </c>
      <c r="GA411">
        <v>9.0492593738791243</v>
      </c>
      <c r="GB411">
        <v>4.9666345899544533</v>
      </c>
      <c r="GC411">
        <v>2.7961950298989606</v>
      </c>
      <c r="GD411">
        <v>2.3005981042597092</v>
      </c>
      <c r="GE411">
        <v>3.1652651115565766</v>
      </c>
      <c r="GF411">
        <v>1.1452406677407898</v>
      </c>
      <c r="GG411">
        <v>1.3708865425901917</v>
      </c>
      <c r="GH411">
        <v>5.0960965829842007</v>
      </c>
      <c r="GI411">
        <v>5.0783250654079222</v>
      </c>
      <c r="GJ411"/>
      <c r="GK411">
        <v>10.371929808724961</v>
      </c>
      <c r="GL411">
        <v>7.6679057083504407</v>
      </c>
      <c r="GM411">
        <v>8.2236692550167536</v>
      </c>
      <c r="GN411">
        <v>8.3212827659293289</v>
      </c>
      <c r="GO411">
        <v>8.9185956579283907</v>
      </c>
      <c r="GP411">
        <v>6.0599036522642891</v>
      </c>
      <c r="GQ411">
        <v>1.4010579686228333</v>
      </c>
      <c r="GR411">
        <v>1.9276783389932035</v>
      </c>
      <c r="GS411">
        <v>5.4342626110913725</v>
      </c>
      <c r="GT411">
        <v>6.8699030602768625</v>
      </c>
      <c r="GU411"/>
      <c r="GV411"/>
      <c r="GW411"/>
      <c r="GX411"/>
      <c r="GY411"/>
      <c r="GZ411"/>
      <c r="HA411"/>
      <c r="HB411"/>
      <c r="HC411"/>
    </row>
    <row r="412" spans="1:211" s="7" customFormat="1">
      <c r="A412" s="188">
        <v>4</v>
      </c>
      <c r="B412" s="71">
        <f t="shared" si="379"/>
        <v>39910</v>
      </c>
      <c r="C412" s="61">
        <f t="shared" si="385"/>
        <v>264</v>
      </c>
      <c r="D412" s="61">
        <f t="shared" si="380"/>
        <v>0.82357754065387101</v>
      </c>
      <c r="E412" s="108">
        <f t="shared" si="381"/>
        <v>8.3830647407554443E-2</v>
      </c>
      <c r="F412" s="19">
        <f t="shared" si="382"/>
        <v>-5.1143170272586148E-3</v>
      </c>
      <c r="G412" s="19">
        <f t="shared" si="383"/>
        <v>8.8198635026973421E-2</v>
      </c>
      <c r="H412" s="19">
        <f t="shared" si="384"/>
        <v>8.8198635026973421E-2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58.597554017774357</v>
      </c>
      <c r="AO412">
        <v>7.2787354659729697</v>
      </c>
      <c r="AP412">
        <v>4.7162610142324759</v>
      </c>
      <c r="AQ412">
        <v>51.566455378706472</v>
      </c>
      <c r="AR412">
        <v>7.6413221019607285</v>
      </c>
      <c r="AS412">
        <v>46.763904598755673</v>
      </c>
      <c r="AT412">
        <v>6.0707769784907812</v>
      </c>
      <c r="AU412">
        <v>2.2350159474839195</v>
      </c>
      <c r="AV412"/>
      <c r="AW412"/>
      <c r="FY412" s="211">
        <v>407</v>
      </c>
      <c r="FZ412">
        <v>17.331789048489721</v>
      </c>
      <c r="GA412">
        <v>20.839276675457381</v>
      </c>
      <c r="GB412">
        <v>9.6763418950911682</v>
      </c>
      <c r="GC412">
        <v>4.2570730526018323</v>
      </c>
      <c r="GD412">
        <v>1.5494617136261644</v>
      </c>
      <c r="GE412">
        <v>1.7725949076196992</v>
      </c>
      <c r="GF412">
        <v>2.3682910806287722</v>
      </c>
      <c r="GG412">
        <v>2.4353311428909818</v>
      </c>
      <c r="GH412">
        <v>5.5825781130432555</v>
      </c>
      <c r="GI412">
        <v>7.14765944619674</v>
      </c>
      <c r="GJ412"/>
      <c r="GK412">
        <v>17.387629147618657</v>
      </c>
      <c r="GL412">
        <v>17.655448189124989</v>
      </c>
      <c r="GM412">
        <v>16.143526993054174</v>
      </c>
      <c r="GN412">
        <v>12.869108950707947</v>
      </c>
      <c r="GO412">
        <v>6.0266885774098728</v>
      </c>
      <c r="GP412">
        <v>3.393634964556647</v>
      </c>
      <c r="GQ412">
        <v>2.8974636626885006</v>
      </c>
      <c r="GR412">
        <v>3.4240840330588713</v>
      </c>
      <c r="GS412">
        <v>5.9521923679221773</v>
      </c>
      <c r="GT412">
        <v>9.6815001497386763</v>
      </c>
      <c r="GU412"/>
      <c r="GV412"/>
      <c r="GW412"/>
      <c r="GX412"/>
      <c r="GY412"/>
      <c r="GZ412"/>
      <c r="HA412"/>
      <c r="HB412"/>
      <c r="HC412"/>
    </row>
    <row r="413" spans="1:211" s="7" customFormat="1">
      <c r="A413" s="189">
        <v>7.33</v>
      </c>
      <c r="B413" s="71">
        <f t="shared" si="379"/>
        <v>39949</v>
      </c>
      <c r="C413" s="61">
        <f t="shared" si="385"/>
        <v>303</v>
      </c>
      <c r="D413" s="61">
        <f t="shared" si="380"/>
        <v>1</v>
      </c>
      <c r="E413" s="108">
        <f t="shared" si="381"/>
        <v>0.11570000000000001</v>
      </c>
      <c r="F413" s="19">
        <f t="shared" si="382"/>
        <v>8.2615890440331432E-3</v>
      </c>
      <c r="G413" s="19">
        <f t="shared" si="383"/>
        <v>9.4979999999999995E-2</v>
      </c>
      <c r="H413" s="19">
        <f t="shared" si="384"/>
        <v>9.4979999999999995E-2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65.402684878986335</v>
      </c>
      <c r="AO413">
        <v>8.4921964165678183</v>
      </c>
      <c r="AP413">
        <v>6.00188825960538</v>
      </c>
      <c r="AQ413">
        <v>61.986119771527534</v>
      </c>
      <c r="AR413">
        <v>9.3321872030658248</v>
      </c>
      <c r="AS413">
        <v>57.760124596612819</v>
      </c>
      <c r="AT413">
        <v>7.4437800625476456</v>
      </c>
      <c r="AU413">
        <v>2.5624212289062349</v>
      </c>
      <c r="AV413"/>
      <c r="AW413"/>
      <c r="FY413" s="211">
        <v>408</v>
      </c>
      <c r="FZ413">
        <v>11.88414710604898</v>
      </c>
      <c r="GA413">
        <v>10.489033436059973</v>
      </c>
      <c r="GB413">
        <v>5.2470182297867227</v>
      </c>
      <c r="GC413">
        <v>2.2339873625228588</v>
      </c>
      <c r="GD413">
        <v>2.0071516347127574</v>
      </c>
      <c r="GE413">
        <v>3.5900183051680665</v>
      </c>
      <c r="GF413">
        <v>1.9555203874728262</v>
      </c>
      <c r="GG413">
        <v>2.7290415520380438</v>
      </c>
      <c r="GH413">
        <v>6.7658190322955001</v>
      </c>
      <c r="GI413">
        <v>5.6196878017208132</v>
      </c>
      <c r="GJ413"/>
      <c r="GK413">
        <v>11.94928990896193</v>
      </c>
      <c r="GL413">
        <v>8.8862128963559623</v>
      </c>
      <c r="GM413">
        <v>8.6904832665531266</v>
      </c>
      <c r="GN413">
        <v>6.6502937000895095</v>
      </c>
      <c r="GO413">
        <v>7.7808188677725783</v>
      </c>
      <c r="GP413">
        <v>6.8730941240132397</v>
      </c>
      <c r="GQ413">
        <v>2.3962862318840581</v>
      </c>
      <c r="GR413">
        <v>3.8407306763285027</v>
      </c>
      <c r="GS413">
        <v>7.21286333880896</v>
      </c>
      <c r="GT413">
        <v>7.6059483227961309</v>
      </c>
      <c r="GU413"/>
      <c r="GV413"/>
      <c r="GW413"/>
      <c r="GX413"/>
      <c r="GY413"/>
      <c r="GZ413"/>
      <c r="HA413"/>
      <c r="HB413"/>
      <c r="HC413"/>
    </row>
    <row r="414" spans="1:211" s="7" customFormat="1">
      <c r="A414" s="188">
        <v>10.51</v>
      </c>
      <c r="B414" s="71">
        <f t="shared" si="379"/>
        <v>39987</v>
      </c>
      <c r="C414" s="61">
        <f t="shared" si="385"/>
        <v>341</v>
      </c>
      <c r="D414" s="61">
        <f t="shared" si="380"/>
        <v>0.89229040569046514</v>
      </c>
      <c r="E414" s="108">
        <f t="shared" si="381"/>
        <v>9.5757696334154235E-2</v>
      </c>
      <c r="F414" s="19">
        <f t="shared" si="382"/>
        <v>-4.9784113131620617E-3</v>
      </c>
      <c r="G414" s="19">
        <f t="shared" si="383"/>
        <v>0.1218095270079583</v>
      </c>
      <c r="H414" s="19">
        <f t="shared" si="384"/>
        <v>0.1218095270079583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61.179315266364164</v>
      </c>
      <c r="AO414">
        <v>6.8074841693921231</v>
      </c>
      <c r="AP414">
        <v>4.1931092294041985</v>
      </c>
      <c r="AQ414">
        <v>50.066026514265609</v>
      </c>
      <c r="AR414">
        <v>6.9379055686940658</v>
      </c>
      <c r="AS414">
        <v>44.918852397543041</v>
      </c>
      <c r="AT414">
        <v>5.5490473677222099</v>
      </c>
      <c r="AU414">
        <v>1.0138239420390311</v>
      </c>
      <c r="AV414"/>
      <c r="AW414"/>
      <c r="FY414" s="211">
        <v>409</v>
      </c>
      <c r="FZ414">
        <v>12.224916226573132</v>
      </c>
      <c r="GA414">
        <v>12.707027605496673</v>
      </c>
      <c r="GB414">
        <v>6.3965465140073405</v>
      </c>
      <c r="GC414">
        <v>2.8178765752753487</v>
      </c>
      <c r="GD414">
        <v>1.4679899421245224</v>
      </c>
      <c r="GE414">
        <v>2.6324873648739495</v>
      </c>
      <c r="GF414">
        <v>2.4874400939839929</v>
      </c>
      <c r="GG414">
        <v>2.4900139620274335</v>
      </c>
      <c r="GH414">
        <v>4.8754903694263207</v>
      </c>
      <c r="GI414">
        <v>5.4458742576477759</v>
      </c>
      <c r="GJ414"/>
      <c r="GK414">
        <v>12.25632443266964</v>
      </c>
      <c r="GL414">
        <v>10.766990530713784</v>
      </c>
      <c r="GM414">
        <v>10.674330768120866</v>
      </c>
      <c r="GN414">
        <v>8.5079766625375228</v>
      </c>
      <c r="GO414">
        <v>5.6903331280221341</v>
      </c>
      <c r="GP414">
        <v>5.0399000509294627</v>
      </c>
      <c r="GQ414">
        <v>3.038838355972814</v>
      </c>
      <c r="GR414">
        <v>3.4977503930098512</v>
      </c>
      <c r="GS414">
        <v>5.1972008321049925</v>
      </c>
      <c r="GT414">
        <v>7.3714055033780896</v>
      </c>
      <c r="GU414"/>
      <c r="GV414"/>
      <c r="GW414"/>
      <c r="GX414"/>
      <c r="GY414"/>
      <c r="GZ414"/>
      <c r="HA414"/>
      <c r="HB414"/>
      <c r="HC414"/>
    </row>
    <row r="415" spans="1:211" s="7" customFormat="1">
      <c r="A415" s="188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44.34300140764956</v>
      </c>
      <c r="AO415">
        <v>5.0682526992253703</v>
      </c>
      <c r="AP415">
        <v>69.453156922747013</v>
      </c>
      <c r="AQ415">
        <v>35.190465226273453</v>
      </c>
      <c r="AR415">
        <v>5.7867223759554083</v>
      </c>
      <c r="AS415">
        <v>33.223190166561764</v>
      </c>
      <c r="AT415" t="e">
        <v>#DIV/0!</v>
      </c>
      <c r="AU415" t="e">
        <v>#DIV/0!</v>
      </c>
      <c r="AV415"/>
      <c r="AW415"/>
      <c r="FY415" s="211">
        <v>410</v>
      </c>
      <c r="FZ415">
        <v>15.158393716323188</v>
      </c>
      <c r="GA415">
        <v>10.524110205534839</v>
      </c>
      <c r="GB415">
        <v>4.3980844778868757</v>
      </c>
      <c r="GC415">
        <v>3.2479260224472339</v>
      </c>
      <c r="GD415">
        <v>1.6627124714390107</v>
      </c>
      <c r="GE415">
        <v>1.6042243345798322</v>
      </c>
      <c r="GF415">
        <v>1.7602446225233985</v>
      </c>
      <c r="GG415">
        <v>2.6547585859778726</v>
      </c>
      <c r="GH415">
        <v>6.9780274269835454</v>
      </c>
      <c r="GI415">
        <v>5.7008049742399534</v>
      </c>
      <c r="GJ415"/>
      <c r="GK415">
        <v>15.215405589806547</v>
      </c>
      <c r="GL415">
        <v>8.9178187022760103</v>
      </c>
      <c r="GM415">
        <v>7.3227216432840843</v>
      </c>
      <c r="GN415">
        <v>9.7366910475100106</v>
      </c>
      <c r="GO415">
        <v>6.4563057009389642</v>
      </c>
      <c r="GP415">
        <v>3.0712893111790174</v>
      </c>
      <c r="GQ415">
        <v>2.1546811570286302</v>
      </c>
      <c r="GR415">
        <v>3.7345422681397409</v>
      </c>
      <c r="GS415">
        <v>7.4400201192378805</v>
      </c>
      <c r="GT415">
        <v>7.7178268420592202</v>
      </c>
      <c r="GU415"/>
      <c r="GV415"/>
      <c r="GW415"/>
      <c r="GX415"/>
      <c r="GY415"/>
      <c r="GZ415"/>
      <c r="HA415"/>
      <c r="HB415"/>
      <c r="HC415"/>
    </row>
    <row r="416" spans="1:211" s="7" customFormat="1">
      <c r="A416" s="188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52.447881149626951</v>
      </c>
      <c r="AO416">
        <v>6.3661303054046483</v>
      </c>
      <c r="AP416">
        <v>4.4528338942028283</v>
      </c>
      <c r="AQ416">
        <v>42.094362950783569</v>
      </c>
      <c r="AR416">
        <v>6.6436261405035664</v>
      </c>
      <c r="AS416">
        <v>40.990896323179356</v>
      </c>
      <c r="AT416">
        <v>5.3119620293727463</v>
      </c>
      <c r="AU416">
        <v>8.6722905550125056</v>
      </c>
      <c r="AV416"/>
      <c r="AW416"/>
      <c r="FY416" s="211">
        <v>411</v>
      </c>
      <c r="FZ416">
        <v>10.985090436668616</v>
      </c>
      <c r="GA416">
        <v>10.048148089092978</v>
      </c>
      <c r="GB416">
        <v>4.8892412270324002</v>
      </c>
      <c r="GC416">
        <v>3.0074343588496175</v>
      </c>
      <c r="GD416">
        <v>1.2487412928594837</v>
      </c>
      <c r="GE416">
        <v>1.0019987766112959</v>
      </c>
      <c r="GF416">
        <v>1.2783046744504822</v>
      </c>
      <c r="GG416">
        <v>1.4386361263424563</v>
      </c>
      <c r="GH416">
        <v>6.897270541911368</v>
      </c>
      <c r="GI416">
        <v>4.8678177068732529</v>
      </c>
      <c r="GJ416"/>
      <c r="GK416">
        <v>11.012167605952349</v>
      </c>
      <c r="GL416">
        <v>8.5132734537975114</v>
      </c>
      <c r="GM416">
        <v>8.1342061246382702</v>
      </c>
      <c r="GN416">
        <v>9.0390862514341883</v>
      </c>
      <c r="GO416">
        <v>4.8724297308279878</v>
      </c>
      <c r="GP416">
        <v>1.9183277962347731</v>
      </c>
      <c r="GQ416">
        <v>1.5641140273990009</v>
      </c>
      <c r="GR416">
        <v>2.0230260644360376</v>
      </c>
      <c r="GS416">
        <v>7.3526352149171235</v>
      </c>
      <c r="GT416">
        <v>6.587110540746945</v>
      </c>
      <c r="GU416"/>
      <c r="GV416"/>
      <c r="GW416"/>
      <c r="GX416"/>
      <c r="GY416"/>
      <c r="GZ416"/>
      <c r="HA416"/>
      <c r="HB416"/>
      <c r="HC416"/>
    </row>
    <row r="417" spans="1:211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57.668884066680207</v>
      </c>
      <c r="AO417">
        <v>6.250401398603481</v>
      </c>
      <c r="AP417">
        <v>28.451256999007551</v>
      </c>
      <c r="AQ417">
        <v>45.769542999086077</v>
      </c>
      <c r="AR417">
        <v>6.4698228674352221</v>
      </c>
      <c r="AS417">
        <v>39.665282324337952</v>
      </c>
      <c r="AT417" t="e">
        <v>#DIV/0!</v>
      </c>
      <c r="AU417" t="e">
        <v>#DIV/0!</v>
      </c>
      <c r="AV417"/>
      <c r="AW417"/>
      <c r="FY417" s="211">
        <v>412</v>
      </c>
      <c r="FZ417">
        <v>13.945482026751764</v>
      </c>
      <c r="GA417">
        <v>15.276416147288085</v>
      </c>
      <c r="GB417">
        <v>6.714912751037212</v>
      </c>
      <c r="GC417">
        <v>3.2231673200904871</v>
      </c>
      <c r="GD417">
        <v>1.6460094719995413</v>
      </c>
      <c r="GE417">
        <v>2.3131901669054136</v>
      </c>
      <c r="GF417">
        <v>5.5254261562500004E-2</v>
      </c>
      <c r="GG417">
        <v>0.37419152604166667</v>
      </c>
      <c r="GH417">
        <v>4.6788505670461538</v>
      </c>
      <c r="GI417">
        <v>5.4091896209464441</v>
      </c>
      <c r="GJ417"/>
      <c r="GK417">
        <v>13.984487853212444</v>
      </c>
      <c r="GL417">
        <v>12.943133701544202</v>
      </c>
      <c r="GM417">
        <v>11.15798921326753</v>
      </c>
      <c r="GN417">
        <v>9.6706122449330181</v>
      </c>
      <c r="GO417">
        <v>6.402520381269583</v>
      </c>
      <c r="GP417">
        <v>4.4286052026518856</v>
      </c>
      <c r="GQ417">
        <v>6.7708333333333329E-2</v>
      </c>
      <c r="GR417">
        <v>0.52662037037037035</v>
      </c>
      <c r="GS417">
        <v>4.988355830662452</v>
      </c>
      <c r="GT417">
        <v>7.3202123223490689</v>
      </c>
      <c r="GU417"/>
      <c r="GV417"/>
      <c r="GW417"/>
      <c r="GX417"/>
      <c r="GY417"/>
      <c r="GZ417"/>
      <c r="HA417"/>
      <c r="HB417"/>
      <c r="HC417"/>
    </row>
    <row r="418" spans="1:211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48.222916793829377</v>
      </c>
      <c r="AO418">
        <v>5.6229629526134719</v>
      </c>
      <c r="AP418">
        <v>44.163803344639746</v>
      </c>
      <c r="AQ418">
        <v>33.188771209792861</v>
      </c>
      <c r="AR418">
        <v>5.8361169637454378</v>
      </c>
      <c r="AS418">
        <v>35.413516455567489</v>
      </c>
      <c r="AT418" t="e">
        <v>#DIV/0!</v>
      </c>
      <c r="AU418" t="e">
        <v>#DIV/0!</v>
      </c>
      <c r="AV418"/>
      <c r="AW418"/>
      <c r="FY418" s="211">
        <v>413</v>
      </c>
      <c r="FZ418">
        <v>12.619255543446744</v>
      </c>
      <c r="GA418">
        <v>9.0739407088386983</v>
      </c>
      <c r="GB418">
        <v>4.4398809722503287</v>
      </c>
      <c r="GC418">
        <v>2.8447702008952529</v>
      </c>
      <c r="GD418">
        <v>2.4039010090359541</v>
      </c>
      <c r="GE418">
        <v>3.5182834221995316</v>
      </c>
      <c r="GF418">
        <v>3.0385492969738808</v>
      </c>
      <c r="GG418">
        <v>2.9708201341953293</v>
      </c>
      <c r="GH418">
        <v>4.6917593619102291</v>
      </c>
      <c r="GI418">
        <v>5.6380053947058748</v>
      </c>
      <c r="GJ418"/>
      <c r="GK418">
        <v>12.65732594870339</v>
      </c>
      <c r="GL418">
        <v>7.6889105919545875</v>
      </c>
      <c r="GM418">
        <v>7.4708284979315884</v>
      </c>
      <c r="GN418">
        <v>8.6743184267032198</v>
      </c>
      <c r="GO418">
        <v>9.3513178769955445</v>
      </c>
      <c r="GP418">
        <v>6.7357576090689983</v>
      </c>
      <c r="GQ418">
        <v>3.718795184427631</v>
      </c>
      <c r="GR418">
        <v>4.1777072214646678</v>
      </c>
      <c r="GS418">
        <v>5.0045863763791214</v>
      </c>
      <c r="GT418">
        <v>7.6405707768874542</v>
      </c>
      <c r="GU418"/>
      <c r="GV418"/>
      <c r="GW418"/>
      <c r="GX418"/>
      <c r="GY418"/>
      <c r="GZ418"/>
      <c r="HA418"/>
      <c r="HB418"/>
      <c r="HC418"/>
    </row>
    <row r="419" spans="1:211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69.055914213463751</v>
      </c>
      <c r="AO419">
        <v>8.1559114752138431</v>
      </c>
      <c r="AP419">
        <v>3.2411089481661159</v>
      </c>
      <c r="AQ419">
        <v>66.340307039907131</v>
      </c>
      <c r="AR419">
        <v>8.4116642743262915</v>
      </c>
      <c r="AS419">
        <v>52.592480215733758</v>
      </c>
      <c r="AT419">
        <v>6.7394472328688559</v>
      </c>
      <c r="AU419">
        <v>-4.2403257856320096</v>
      </c>
      <c r="AV419"/>
      <c r="AW419"/>
      <c r="FY419" s="211">
        <v>414</v>
      </c>
      <c r="FZ419">
        <v>17.863771255695571</v>
      </c>
      <c r="GA419">
        <v>16.490300370392667</v>
      </c>
      <c r="GB419">
        <v>6.6215479840979405</v>
      </c>
      <c r="GC419">
        <v>3.8938538921766268</v>
      </c>
      <c r="GD419">
        <v>0.8210011861071429</v>
      </c>
      <c r="GE419">
        <v>0.60122276499999994</v>
      </c>
      <c r="GF419">
        <v>1.1452406677407898</v>
      </c>
      <c r="GG419">
        <v>1.3708865425901917</v>
      </c>
      <c r="GH419">
        <v>5.4236901114383373</v>
      </c>
      <c r="GI419">
        <v>5.8106515597060593</v>
      </c>
      <c r="GJ419"/>
      <c r="GK419">
        <v>17.93079842804622</v>
      </c>
      <c r="GL419">
        <v>13.974450900664795</v>
      </c>
      <c r="GM419">
        <v>11.081301957357258</v>
      </c>
      <c r="GN419">
        <v>11.764511063665413</v>
      </c>
      <c r="GO419">
        <v>3.1832589285714286</v>
      </c>
      <c r="GP419">
        <v>1.1510416666666665</v>
      </c>
      <c r="GQ419">
        <v>1.4010579686228333</v>
      </c>
      <c r="GR419">
        <v>1.9276783389932035</v>
      </c>
      <c r="GS419">
        <v>5.7811171805794954</v>
      </c>
      <c r="GT419">
        <v>7.8755068926354479</v>
      </c>
      <c r="GU419"/>
      <c r="GV419"/>
      <c r="GW419"/>
      <c r="GX419"/>
      <c r="GY419"/>
      <c r="GZ419"/>
      <c r="HA419"/>
      <c r="HB419"/>
      <c r="HC419"/>
    </row>
    <row r="420" spans="1:211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59.4014612629353</v>
      </c>
      <c r="AO420">
        <v>6.7466997417612786</v>
      </c>
      <c r="AP420">
        <v>38.236742771524995</v>
      </c>
      <c r="AQ420">
        <v>46.039022203293037</v>
      </c>
      <c r="AR420">
        <v>6.921506533643635</v>
      </c>
      <c r="AS420">
        <v>41.572499280731961</v>
      </c>
      <c r="AT420" t="e">
        <v>#DIV/0!</v>
      </c>
      <c r="AU420" t="e">
        <v>#DIV/0!</v>
      </c>
      <c r="AV420"/>
      <c r="AW420"/>
      <c r="FY420" s="211">
        <v>415</v>
      </c>
      <c r="FZ420">
        <v>15.940588959123694</v>
      </c>
      <c r="GA420">
        <v>13.73421876068975</v>
      </c>
      <c r="GB420">
        <v>5.1365752944359544</v>
      </c>
      <c r="GC420">
        <v>2.8968468913833894</v>
      </c>
      <c r="GD420">
        <v>1.0935468365039263</v>
      </c>
      <c r="GE420">
        <v>1.4179316646511626</v>
      </c>
      <c r="GF420">
        <v>2.841590538471467</v>
      </c>
      <c r="GG420">
        <v>2.8483877313066115</v>
      </c>
      <c r="GH420">
        <v>5.486686964215294</v>
      </c>
      <c r="GI420">
        <v>5.6283427805602466</v>
      </c>
      <c r="GJ420"/>
      <c r="GK420">
        <v>16.01362360481739</v>
      </c>
      <c r="GL420">
        <v>11.638703560413571</v>
      </c>
      <c r="GM420">
        <v>8.5062139276622464</v>
      </c>
      <c r="GN420">
        <v>8.6187648889584292</v>
      </c>
      <c r="GO420">
        <v>4.239253083396834</v>
      </c>
      <c r="GP420">
        <v>2.7146317829457365</v>
      </c>
      <c r="GQ420">
        <v>3.4820727657004826</v>
      </c>
      <c r="GR420">
        <v>4.0086931360708524</v>
      </c>
      <c r="GS420">
        <v>5.8497474429451453</v>
      </c>
      <c r="GT420">
        <v>7.6181821649044199</v>
      </c>
      <c r="GU420"/>
      <c r="GV420"/>
      <c r="GW420"/>
      <c r="GX420"/>
      <c r="GY420"/>
      <c r="GZ420"/>
      <c r="HA420"/>
      <c r="HB420"/>
      <c r="HC420"/>
    </row>
    <row r="421" spans="1:211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46.080716289735477</v>
      </c>
      <c r="AO421">
        <v>5.3293406169772997</v>
      </c>
      <c r="AP421">
        <v>2.9414438975405637</v>
      </c>
      <c r="AQ421">
        <v>38.542977160884988</v>
      </c>
      <c r="AR421">
        <v>5.6115633268085938</v>
      </c>
      <c r="AS421">
        <v>39.070595687377853</v>
      </c>
      <c r="AT421">
        <v>4.5637688322873684</v>
      </c>
      <c r="AU421">
        <v>4.4493929588142729</v>
      </c>
      <c r="AV421"/>
      <c r="AW421"/>
      <c r="FY421" s="211">
        <v>416</v>
      </c>
      <c r="FZ421">
        <v>13.646579153462529</v>
      </c>
      <c r="GA421">
        <v>8.8213644859411975</v>
      </c>
      <c r="GB421">
        <v>4.8358543671638472</v>
      </c>
      <c r="GC421">
        <v>3.2000807144724313</v>
      </c>
      <c r="GD421">
        <v>1.8718271967772455</v>
      </c>
      <c r="GE421">
        <v>2.587016735588235</v>
      </c>
      <c r="GF421">
        <v>3.7157650099962241</v>
      </c>
      <c r="GG421">
        <v>3.8870340338492504</v>
      </c>
      <c r="GH421">
        <v>3.8022653232799817</v>
      </c>
      <c r="GI421">
        <v>5.5573198691922077</v>
      </c>
      <c r="GJ421"/>
      <c r="GK421">
        <v>13.707295535532472</v>
      </c>
      <c r="GL421">
        <v>7.4737218734593451</v>
      </c>
      <c r="GM421">
        <v>8.0499296669320461</v>
      </c>
      <c r="GN421">
        <v>9.5962651425865424</v>
      </c>
      <c r="GO421">
        <v>7.2671039406894087</v>
      </c>
      <c r="GP421">
        <v>4.9528464795008906</v>
      </c>
      <c r="GQ421">
        <v>4.5509673889126878</v>
      </c>
      <c r="GR421">
        <v>5.4687914629867631</v>
      </c>
      <c r="GS421">
        <v>4.0531468631332785</v>
      </c>
      <c r="GT421">
        <v>7.5256886790399786</v>
      </c>
      <c r="GU421"/>
      <c r="GV421"/>
      <c r="GW421"/>
      <c r="GX421"/>
      <c r="GY421"/>
      <c r="GZ421"/>
      <c r="HA421"/>
      <c r="HB421"/>
      <c r="HC421"/>
    </row>
    <row r="422" spans="1:211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3.6612009480590346E-2</v>
      </c>
      <c r="H422" s="216">
        <f t="shared" ref="H422:AK422" si="386">H372</f>
        <v>0.11570000000000001</v>
      </c>
      <c r="I422" s="216">
        <f t="shared" si="386"/>
        <v>0.36563111913037094</v>
      </c>
      <c r="J422" s="216">
        <f t="shared" si="386"/>
        <v>0.71672844666619295</v>
      </c>
      <c r="K422" s="216">
        <f t="shared" si="386"/>
        <v>1.1554547560633319</v>
      </c>
      <c r="L422" s="216">
        <f t="shared" si="386"/>
        <v>1.6734917131645679</v>
      </c>
      <c r="M422" s="216">
        <f t="shared" si="386"/>
        <v>2.2649803290158372</v>
      </c>
      <c r="N422" s="216">
        <f t="shared" si="386"/>
        <v>2.9254730750013485</v>
      </c>
      <c r="O422" s="216">
        <f t="shared" si="386"/>
        <v>3.6514279651162109</v>
      </c>
      <c r="P422" s="216">
        <f t="shared" si="386"/>
        <v>4.4399279711368509</v>
      </c>
      <c r="Q422" s="216">
        <f t="shared" si="386"/>
        <v>5.2885103538441047</v>
      </c>
      <c r="R422" s="216">
        <f t="shared" si="386"/>
        <v>6.195055711772036</v>
      </c>
      <c r="S422" s="216">
        <f t="shared" si="386"/>
        <v>7.1577121219216666</v>
      </c>
      <c r="T422" s="216">
        <f t="shared" si="386"/>
        <v>8.1748411761740094</v>
      </c>
      <c r="U422" s="216">
        <f t="shared" si="386"/>
        <v>9.2449783439802076</v>
      </c>
      <c r="V422" s="216">
        <f t="shared" si="386"/>
        <v>10.366803077659346</v>
      </c>
      <c r="W422" s="216">
        <f t="shared" si="386"/>
        <v>11.53911575894014</v>
      </c>
      <c r="X422" s="216">
        <f t="shared" si="386"/>
        <v>12.760819581139918</v>
      </c>
      <c r="Y422" s="216">
        <f t="shared" si="386"/>
        <v>14.030906075583429</v>
      </c>
      <c r="Z422" s="216">
        <f t="shared" si="386"/>
        <v>15.348443383251103</v>
      </c>
      <c r="AA422" s="216">
        <f t="shared" si="386"/>
        <v>16.712566631016184</v>
      </c>
      <c r="AB422" s="216">
        <f t="shared" si="386"/>
        <v>18.122469946495126</v>
      </c>
      <c r="AC422" s="216">
        <f t="shared" si="386"/>
        <v>19.577399766380353</v>
      </c>
      <c r="AD422" s="216">
        <f t="shared" si="386"/>
        <v>21.076649178467193</v>
      </c>
      <c r="AE422" s="216">
        <f t="shared" si="386"/>
        <v>22.619553098973562</v>
      </c>
      <c r="AF422" s="216">
        <f t="shared" si="386"/>
        <v>24.205484131637686</v>
      </c>
      <c r="AG422" s="216">
        <f t="shared" si="386"/>
        <v>25.833848988397069</v>
      </c>
      <c r="AH422" s="216">
        <f t="shared" si="386"/>
        <v>27.504085376514208</v>
      </c>
      <c r="AI422" s="216">
        <f t="shared" si="386"/>
        <v>29.215659276106546</v>
      </c>
      <c r="AJ422" s="216">
        <f t="shared" si="386"/>
        <v>30.96806254674263</v>
      </c>
      <c r="AK422" s="216">
        <f t="shared" si="386"/>
        <v>32.760810813213169</v>
      </c>
      <c r="AL422" s="4"/>
      <c r="AM422" s="43">
        <v>406</v>
      </c>
      <c r="AN422">
        <v>55.889180696594757</v>
      </c>
      <c r="AO422">
        <v>6.5196188827198442</v>
      </c>
      <c r="AP422">
        <v>19.367022952802937</v>
      </c>
      <c r="AQ422">
        <v>45.295400752614398</v>
      </c>
      <c r="AR422">
        <v>6.8699030602768643</v>
      </c>
      <c r="AS422">
        <v>44.042453356269675</v>
      </c>
      <c r="AT422" t="e">
        <v>#DIV/0!</v>
      </c>
      <c r="AU422" t="e">
        <v>#DIV/0!</v>
      </c>
      <c r="AV422"/>
      <c r="AW422"/>
      <c r="FY422" s="211">
        <v>417</v>
      </c>
      <c r="FZ422">
        <v>13.365057172092873</v>
      </c>
      <c r="GA422">
        <v>12.387711435901112</v>
      </c>
      <c r="GB422">
        <v>6.8961015005691122</v>
      </c>
      <c r="GC422">
        <v>3.5914912819249296</v>
      </c>
      <c r="GD422">
        <v>2.2589677381159654</v>
      </c>
      <c r="GE422">
        <v>2.8025028702393979</v>
      </c>
      <c r="GF422">
        <v>1.20049492930329</v>
      </c>
      <c r="GG422">
        <v>1.3708865425901917</v>
      </c>
      <c r="GH422">
        <v>5.2015548455090395</v>
      </c>
      <c r="GI422">
        <v>6.0111038920108477</v>
      </c>
      <c r="GJ422"/>
      <c r="GK422">
        <v>13.40419794462067</v>
      </c>
      <c r="GL422">
        <v>10.494920550648427</v>
      </c>
      <c r="GM422">
        <v>11.459956067414078</v>
      </c>
      <c r="GN422">
        <v>10.78797912928937</v>
      </c>
      <c r="GO422">
        <v>8.7988584915616919</v>
      </c>
      <c r="GP422">
        <v>5.3653949291132941</v>
      </c>
      <c r="GQ422">
        <v>1.4687663019561665</v>
      </c>
      <c r="GR422">
        <v>1.9276783389932035</v>
      </c>
      <c r="GS422">
        <v>5.5447417072642624</v>
      </c>
      <c r="GT422">
        <v>8.1353041025633726</v>
      </c>
      <c r="GU422"/>
      <c r="GV422"/>
      <c r="GW422"/>
      <c r="GX422"/>
      <c r="GY422"/>
      <c r="GZ422"/>
      <c r="HA422"/>
      <c r="HB422"/>
      <c r="HC422"/>
    </row>
    <row r="423" spans="1:211" s="7" customFormat="1">
      <c r="A423" s="4"/>
      <c r="B423" s="48" t="s">
        <v>38</v>
      </c>
      <c r="C423" s="107">
        <f t="shared" ref="C423:C432" si="387">SUM(G423:AK423)</f>
        <v>7.0097608255901864</v>
      </c>
      <c r="D423" s="190">
        <f>$A$405</f>
        <v>13.69</v>
      </c>
      <c r="E423" s="8"/>
      <c r="F423" s="124"/>
      <c r="G423" s="107">
        <f>(($A$453+$A$455*(G$422)+($A$457*$D423))*($E21*G37))</f>
        <v>0.19129820130467545</v>
      </c>
      <c r="H423" s="217">
        <f t="shared" ref="H423:AK431" si="388">(($A$453+$A$455*(H$422)+($A$457*$D423))*($E21*H37))</f>
        <v>5.3156996448231704</v>
      </c>
      <c r="I423" s="217">
        <f t="shared" si="388"/>
        <v>1.5027629794623403</v>
      </c>
      <c r="J423" s="217">
        <f t="shared" si="388"/>
        <v>0</v>
      </c>
      <c r="K423" s="217">
        <f t="shared" si="388"/>
        <v>0</v>
      </c>
      <c r="L423" s="217">
        <f t="shared" si="388"/>
        <v>0</v>
      </c>
      <c r="M423" s="217">
        <f t="shared" si="388"/>
        <v>0</v>
      </c>
      <c r="N423" s="217">
        <f t="shared" si="388"/>
        <v>0</v>
      </c>
      <c r="O423" s="217">
        <f t="shared" si="388"/>
        <v>0</v>
      </c>
      <c r="P423" s="217">
        <f t="shared" si="388"/>
        <v>0</v>
      </c>
      <c r="Q423" s="217">
        <f t="shared" si="388"/>
        <v>0</v>
      </c>
      <c r="R423" s="217">
        <f t="shared" si="388"/>
        <v>0</v>
      </c>
      <c r="S423" s="217">
        <f t="shared" si="388"/>
        <v>0</v>
      </c>
      <c r="T423" s="217">
        <f t="shared" si="388"/>
        <v>0</v>
      </c>
      <c r="U423" s="217">
        <f t="shared" si="388"/>
        <v>0</v>
      </c>
      <c r="V423" s="217">
        <f t="shared" si="388"/>
        <v>0</v>
      </c>
      <c r="W423" s="217">
        <f t="shared" si="388"/>
        <v>0</v>
      </c>
      <c r="X423" s="217">
        <f t="shared" si="388"/>
        <v>0</v>
      </c>
      <c r="Y423" s="217">
        <f t="shared" si="388"/>
        <v>0</v>
      </c>
      <c r="Z423" s="217">
        <f t="shared" si="388"/>
        <v>0</v>
      </c>
      <c r="AA423" s="217">
        <f t="shared" si="388"/>
        <v>0</v>
      </c>
      <c r="AB423" s="217">
        <f t="shared" si="388"/>
        <v>0</v>
      </c>
      <c r="AC423" s="217">
        <f t="shared" si="388"/>
        <v>0</v>
      </c>
      <c r="AD423" s="217">
        <f t="shared" si="388"/>
        <v>0</v>
      </c>
      <c r="AE423" s="217">
        <f t="shared" si="388"/>
        <v>0</v>
      </c>
      <c r="AF423" s="217">
        <f t="shared" si="388"/>
        <v>0</v>
      </c>
      <c r="AG423" s="217">
        <f t="shared" si="388"/>
        <v>0</v>
      </c>
      <c r="AH423" s="217">
        <f t="shared" si="388"/>
        <v>0</v>
      </c>
      <c r="AI423" s="217">
        <f t="shared" si="388"/>
        <v>0</v>
      </c>
      <c r="AJ423" s="217">
        <f t="shared" si="388"/>
        <v>0</v>
      </c>
      <c r="AK423" s="217">
        <f t="shared" si="388"/>
        <v>0</v>
      </c>
      <c r="AL423" s="4"/>
      <c r="AM423" s="43">
        <v>407</v>
      </c>
      <c r="AN423">
        <v>79.815004504135942</v>
      </c>
      <c r="AO423">
        <v>9.543127703588052</v>
      </c>
      <c r="AP423">
        <v>40.854011993162167</v>
      </c>
      <c r="AQ423">
        <v>72.960397075645716</v>
      </c>
      <c r="AR423">
        <v>9.6815001497386799</v>
      </c>
      <c r="AS423">
        <v>59.693839494435082</v>
      </c>
      <c r="AT423" t="e">
        <v>#DIV/0!</v>
      </c>
      <c r="AU423" t="e">
        <v>#DIV/0!</v>
      </c>
      <c r="AV423"/>
      <c r="AW423"/>
      <c r="FY423" s="211">
        <v>418</v>
      </c>
      <c r="FZ423">
        <v>17.3033477266987</v>
      </c>
      <c r="GA423">
        <v>14.870618026472791</v>
      </c>
      <c r="GB423">
        <v>5.8592080213067916</v>
      </c>
      <c r="GC423">
        <v>4.3616487367983865</v>
      </c>
      <c r="GD423">
        <v>1.3560031003963557</v>
      </c>
      <c r="GE423">
        <v>0.57596130428571435</v>
      </c>
      <c r="GF423">
        <v>0.53719420963541664</v>
      </c>
      <c r="GG423">
        <v>0.46773940755208332</v>
      </c>
      <c r="GH423">
        <v>5.412646284341923</v>
      </c>
      <c r="GI423">
        <v>5.7358453484150882</v>
      </c>
      <c r="GJ423"/>
      <c r="GK423">
        <v>17.36124124780207</v>
      </c>
      <c r="GL423">
        <v>12.599520459592352</v>
      </c>
      <c r="GM423">
        <v>9.7827985932735668</v>
      </c>
      <c r="GN423">
        <v>13.122571548262009</v>
      </c>
      <c r="GO423">
        <v>5.2780818452843645</v>
      </c>
      <c r="GP423">
        <v>1.1026785714285716</v>
      </c>
      <c r="GQ423">
        <v>0.65827546296296291</v>
      </c>
      <c r="GR423">
        <v>0.65827546296296291</v>
      </c>
      <c r="GS423">
        <v>5.7687231778800863</v>
      </c>
      <c r="GT423">
        <v>7.769824065440611</v>
      </c>
      <c r="GU423"/>
      <c r="GV423"/>
      <c r="GW423"/>
      <c r="GX423"/>
      <c r="GY423"/>
      <c r="GZ423"/>
      <c r="HA423"/>
      <c r="HB423"/>
      <c r="HC423"/>
    </row>
    <row r="424" spans="1:211" s="7" customFormat="1">
      <c r="A424" s="4"/>
      <c r="B424" s="48" t="s">
        <v>39</v>
      </c>
      <c r="C424" s="107">
        <f t="shared" si="387"/>
        <v>4.6453470288425738</v>
      </c>
      <c r="D424" s="190">
        <f>$A$406</f>
        <v>9.4499999999999993</v>
      </c>
      <c r="E424" s="8"/>
      <c r="F424" s="124"/>
      <c r="G424" s="217">
        <f t="shared" ref="G424:V432" si="389">(($A$453+$A$455*(G$422)+($A$457*$D424))*($E22*G38))</f>
        <v>0.48818981221838476</v>
      </c>
      <c r="H424" s="217">
        <f t="shared" si="389"/>
        <v>4.1571572166241895</v>
      </c>
      <c r="I424" s="217">
        <f t="shared" si="389"/>
        <v>0</v>
      </c>
      <c r="J424" s="217">
        <f t="shared" si="389"/>
        <v>0</v>
      </c>
      <c r="K424" s="217">
        <f t="shared" si="389"/>
        <v>0</v>
      </c>
      <c r="L424" s="217">
        <f t="shared" si="389"/>
        <v>0</v>
      </c>
      <c r="M424" s="217">
        <f t="shared" si="389"/>
        <v>0</v>
      </c>
      <c r="N424" s="217">
        <f t="shared" si="389"/>
        <v>0</v>
      </c>
      <c r="O424" s="217">
        <f t="shared" si="389"/>
        <v>0</v>
      </c>
      <c r="P424" s="217">
        <f t="shared" si="389"/>
        <v>0</v>
      </c>
      <c r="Q424" s="217">
        <f t="shared" si="389"/>
        <v>0</v>
      </c>
      <c r="R424" s="217">
        <f t="shared" si="389"/>
        <v>0</v>
      </c>
      <c r="S424" s="217">
        <f t="shared" si="389"/>
        <v>0</v>
      </c>
      <c r="T424" s="217">
        <f t="shared" si="389"/>
        <v>0</v>
      </c>
      <c r="U424" s="217">
        <f t="shared" si="389"/>
        <v>0</v>
      </c>
      <c r="V424" s="217">
        <f t="shared" si="389"/>
        <v>0</v>
      </c>
      <c r="W424" s="217">
        <f t="shared" si="388"/>
        <v>0</v>
      </c>
      <c r="X424" s="217">
        <f t="shared" si="388"/>
        <v>0</v>
      </c>
      <c r="Y424" s="217">
        <f t="shared" si="388"/>
        <v>0</v>
      </c>
      <c r="Z424" s="217">
        <f t="shared" si="388"/>
        <v>0</v>
      </c>
      <c r="AA424" s="217">
        <f t="shared" si="388"/>
        <v>0</v>
      </c>
      <c r="AB424" s="217">
        <f t="shared" si="388"/>
        <v>0</v>
      </c>
      <c r="AC424" s="217">
        <f t="shared" si="388"/>
        <v>0</v>
      </c>
      <c r="AD424" s="217">
        <f t="shared" si="388"/>
        <v>0</v>
      </c>
      <c r="AE424" s="217">
        <f t="shared" si="388"/>
        <v>0</v>
      </c>
      <c r="AF424" s="217">
        <f t="shared" si="388"/>
        <v>0</v>
      </c>
      <c r="AG424" s="217">
        <f t="shared" si="388"/>
        <v>0</v>
      </c>
      <c r="AH424" s="217">
        <f t="shared" si="388"/>
        <v>0</v>
      </c>
      <c r="AI424" s="217">
        <f t="shared" si="388"/>
        <v>0</v>
      </c>
      <c r="AJ424" s="217">
        <f t="shared" si="388"/>
        <v>0</v>
      </c>
      <c r="AK424" s="217">
        <f t="shared" si="388"/>
        <v>0</v>
      </c>
      <c r="AL424" s="4"/>
      <c r="AM424" s="43">
        <v>408</v>
      </c>
      <c r="AN424">
        <v>60.431470306556605</v>
      </c>
      <c r="AO424">
        <v>7.1886021333564001</v>
      </c>
      <c r="AP424">
        <v>3.2144967969034859</v>
      </c>
      <c r="AQ424">
        <v>52.521424847826538</v>
      </c>
      <c r="AR424">
        <v>7.6059483227961309</v>
      </c>
      <c r="AS424">
        <v>48.762330320055455</v>
      </c>
      <c r="AT424">
        <v>6.1277650836046691</v>
      </c>
      <c r="AU424">
        <v>-0.92050232259687625</v>
      </c>
      <c r="AV424"/>
      <c r="AW424"/>
      <c r="FY424" s="211">
        <v>419</v>
      </c>
      <c r="FZ424">
        <v>19.239686058992298</v>
      </c>
      <c r="GA424">
        <v>16.020493782613226</v>
      </c>
      <c r="GB424">
        <v>4.8466881634444148</v>
      </c>
      <c r="GC424">
        <v>3.0414521629229294</v>
      </c>
      <c r="GD424">
        <v>1.8922874075611034</v>
      </c>
      <c r="GE424">
        <v>2.3131901669054136</v>
      </c>
      <c r="GF424">
        <v>1.1452406677407898</v>
      </c>
      <c r="GG424">
        <v>1.7450780686318585</v>
      </c>
      <c r="GH424">
        <v>7.2443057163317537</v>
      </c>
      <c r="GI424">
        <v>6.4767484690321098</v>
      </c>
      <c r="GJ424"/>
      <c r="GK424">
        <v>19.327877631939575</v>
      </c>
      <c r="GL424">
        <v>13.575170915622076</v>
      </c>
      <c r="GM424">
        <v>8.0617039432940629</v>
      </c>
      <c r="GN424">
        <v>9.1171468407281449</v>
      </c>
      <c r="GO424">
        <v>7.3464340924118323</v>
      </c>
      <c r="GP424">
        <v>4.4286052026518856</v>
      </c>
      <c r="GQ424">
        <v>1.4010579686228333</v>
      </c>
      <c r="GR424">
        <v>2.4542987093635737</v>
      </c>
      <c r="GS424">
        <v>7.7217887856621168</v>
      </c>
      <c r="GT424">
        <v>8.7717724843860836</v>
      </c>
      <c r="GU424"/>
      <c r="GV424"/>
      <c r="GW424"/>
      <c r="GX424"/>
      <c r="GY424"/>
      <c r="GZ424"/>
      <c r="HA424"/>
      <c r="HB424"/>
      <c r="HC424"/>
    </row>
    <row r="425" spans="1:211" s="7" customFormat="1">
      <c r="A425" s="4"/>
      <c r="B425" s="48" t="s">
        <v>40</v>
      </c>
      <c r="C425" s="107">
        <f t="shared" si="387"/>
        <v>4.2121681212902411</v>
      </c>
      <c r="D425" s="190">
        <f>A$407</f>
        <v>4.03</v>
      </c>
      <c r="E425" s="8"/>
      <c r="F425" s="124"/>
      <c r="G425" s="217">
        <f t="shared" si="389"/>
        <v>0.37118383218648149</v>
      </c>
      <c r="H425" s="217">
        <f t="shared" si="388"/>
        <v>3.1405992809498899</v>
      </c>
      <c r="I425" s="217">
        <f t="shared" si="388"/>
        <v>0.70038500815387006</v>
      </c>
      <c r="J425" s="217">
        <f t="shared" si="388"/>
        <v>0</v>
      </c>
      <c r="K425" s="217">
        <f t="shared" si="388"/>
        <v>0</v>
      </c>
      <c r="L425" s="217">
        <f t="shared" si="388"/>
        <v>0</v>
      </c>
      <c r="M425" s="217">
        <f t="shared" si="388"/>
        <v>0</v>
      </c>
      <c r="N425" s="217">
        <f t="shared" si="388"/>
        <v>0</v>
      </c>
      <c r="O425" s="217">
        <f t="shared" si="388"/>
        <v>0</v>
      </c>
      <c r="P425" s="217">
        <f t="shared" si="388"/>
        <v>0</v>
      </c>
      <c r="Q425" s="217">
        <f t="shared" si="388"/>
        <v>0</v>
      </c>
      <c r="R425" s="217">
        <f t="shared" si="388"/>
        <v>0</v>
      </c>
      <c r="S425" s="217">
        <f t="shared" si="388"/>
        <v>0</v>
      </c>
      <c r="T425" s="217">
        <f t="shared" si="388"/>
        <v>0</v>
      </c>
      <c r="U425" s="217">
        <f t="shared" si="388"/>
        <v>0</v>
      </c>
      <c r="V425" s="217">
        <f t="shared" si="388"/>
        <v>0</v>
      </c>
      <c r="W425" s="217">
        <f t="shared" si="388"/>
        <v>0</v>
      </c>
      <c r="X425" s="217">
        <f t="shared" si="388"/>
        <v>0</v>
      </c>
      <c r="Y425" s="217">
        <f t="shared" si="388"/>
        <v>0</v>
      </c>
      <c r="Z425" s="217">
        <f t="shared" si="388"/>
        <v>0</v>
      </c>
      <c r="AA425" s="217">
        <f t="shared" si="388"/>
        <v>0</v>
      </c>
      <c r="AB425" s="217">
        <f t="shared" si="388"/>
        <v>0</v>
      </c>
      <c r="AC425" s="217">
        <f t="shared" si="388"/>
        <v>0</v>
      </c>
      <c r="AD425" s="217">
        <f t="shared" si="388"/>
        <v>0</v>
      </c>
      <c r="AE425" s="217">
        <f t="shared" si="388"/>
        <v>0</v>
      </c>
      <c r="AF425" s="217">
        <f t="shared" si="388"/>
        <v>0</v>
      </c>
      <c r="AG425" s="217">
        <f t="shared" si="388"/>
        <v>0</v>
      </c>
      <c r="AH425" s="217">
        <f t="shared" si="388"/>
        <v>0</v>
      </c>
      <c r="AI425" s="217">
        <f t="shared" si="388"/>
        <v>0</v>
      </c>
      <c r="AJ425" s="217">
        <f t="shared" si="388"/>
        <v>0</v>
      </c>
      <c r="AK425" s="217">
        <f t="shared" si="388"/>
        <v>0</v>
      </c>
      <c r="AL425" s="4"/>
      <c r="AM425" s="43">
        <v>409</v>
      </c>
      <c r="AN425">
        <v>61.322260396170805</v>
      </c>
      <c r="AO425">
        <v>7.2041050657459156</v>
      </c>
      <c r="AP425">
        <v>7.6604662076384926</v>
      </c>
      <c r="AQ425">
        <v>53.545662911436494</v>
      </c>
      <c r="AR425">
        <v>7.3714055033780905</v>
      </c>
      <c r="AS425">
        <v>47.415566661935898</v>
      </c>
      <c r="AT425">
        <v>5.8732325541781689</v>
      </c>
      <c r="AU425">
        <v>1.5289523180856133</v>
      </c>
      <c r="AV425"/>
      <c r="AW425"/>
      <c r="FY425" s="211">
        <v>420</v>
      </c>
      <c r="FZ425">
        <v>11.491502440575017</v>
      </c>
      <c r="GA425">
        <v>10.757148954943254</v>
      </c>
      <c r="GB425">
        <v>6.3343772032212033</v>
      </c>
      <c r="GC425">
        <v>3.4046950211803444</v>
      </c>
      <c r="GD425">
        <v>1.0517118098236433</v>
      </c>
      <c r="GE425">
        <v>1.0626262823255814</v>
      </c>
      <c r="GF425">
        <v>1.9968596556808551</v>
      </c>
      <c r="GG425">
        <v>1.5934002092972313</v>
      </c>
      <c r="GH425">
        <v>6.0065173585645963</v>
      </c>
      <c r="GI425">
        <v>5.1746529409941981</v>
      </c>
      <c r="GJ425"/>
      <c r="GK425">
        <v>11.527709849382575</v>
      </c>
      <c r="GL425">
        <v>9.1137048619553394</v>
      </c>
      <c r="GM425">
        <v>10.566792047412688</v>
      </c>
      <c r="GN425">
        <v>10.269686491929839</v>
      </c>
      <c r="GO425">
        <v>4.0967683138499043</v>
      </c>
      <c r="GP425">
        <v>2.0343992248062017</v>
      </c>
      <c r="GQ425">
        <v>2.4423131997255374</v>
      </c>
      <c r="GR425">
        <v>2.2391881997255374</v>
      </c>
      <c r="GS425">
        <v>6.4035380035605591</v>
      </c>
      <c r="GT425">
        <v>7.0074242827862534</v>
      </c>
      <c r="GU425"/>
      <c r="GV425"/>
      <c r="GW425"/>
      <c r="GX425"/>
      <c r="GY425"/>
      <c r="GZ425"/>
      <c r="HA425"/>
      <c r="HB425"/>
      <c r="HC425"/>
    </row>
    <row r="426" spans="1:211" s="7" customFormat="1">
      <c r="A426" s="128" t="s">
        <v>92</v>
      </c>
      <c r="B426" s="48" t="s">
        <v>41</v>
      </c>
      <c r="C426" s="107">
        <f t="shared" si="387"/>
        <v>2.1710872276487492</v>
      </c>
      <c r="D426" s="190">
        <f>A$408</f>
        <v>0.78</v>
      </c>
      <c r="E426" s="8"/>
      <c r="F426" s="124"/>
      <c r="G426" s="217">
        <f t="shared" si="389"/>
        <v>8.6966989601103148E-2</v>
      </c>
      <c r="H426" s="217">
        <f t="shared" si="388"/>
        <v>1.6995398086869269</v>
      </c>
      <c r="I426" s="217">
        <f t="shared" si="388"/>
        <v>0.38458042936071907</v>
      </c>
      <c r="J426" s="217">
        <f t="shared" si="388"/>
        <v>0</v>
      </c>
      <c r="K426" s="217">
        <f t="shared" si="388"/>
        <v>0</v>
      </c>
      <c r="L426" s="217">
        <f t="shared" si="388"/>
        <v>0</v>
      </c>
      <c r="M426" s="217">
        <f t="shared" si="388"/>
        <v>0</v>
      </c>
      <c r="N426" s="217">
        <f t="shared" si="388"/>
        <v>0</v>
      </c>
      <c r="O426" s="217">
        <f t="shared" si="388"/>
        <v>0</v>
      </c>
      <c r="P426" s="217">
        <f t="shared" si="388"/>
        <v>0</v>
      </c>
      <c r="Q426" s="217">
        <f t="shared" si="388"/>
        <v>0</v>
      </c>
      <c r="R426" s="217">
        <f t="shared" si="388"/>
        <v>0</v>
      </c>
      <c r="S426" s="217">
        <f t="shared" si="388"/>
        <v>0</v>
      </c>
      <c r="T426" s="217">
        <f t="shared" si="388"/>
        <v>0</v>
      </c>
      <c r="U426" s="217">
        <f t="shared" si="388"/>
        <v>0</v>
      </c>
      <c r="V426" s="217">
        <f t="shared" si="388"/>
        <v>0</v>
      </c>
      <c r="W426" s="217">
        <f t="shared" si="388"/>
        <v>0</v>
      </c>
      <c r="X426" s="217">
        <f t="shared" si="388"/>
        <v>0</v>
      </c>
      <c r="Y426" s="217">
        <f t="shared" si="388"/>
        <v>0</v>
      </c>
      <c r="Z426" s="217">
        <f t="shared" si="388"/>
        <v>0</v>
      </c>
      <c r="AA426" s="217">
        <f t="shared" si="388"/>
        <v>0</v>
      </c>
      <c r="AB426" s="217">
        <f t="shared" si="388"/>
        <v>0</v>
      </c>
      <c r="AC426" s="217">
        <f t="shared" si="388"/>
        <v>0</v>
      </c>
      <c r="AD426" s="217">
        <f t="shared" si="388"/>
        <v>0</v>
      </c>
      <c r="AE426" s="217">
        <f t="shared" si="388"/>
        <v>0</v>
      </c>
      <c r="AF426" s="217">
        <f t="shared" si="388"/>
        <v>0</v>
      </c>
      <c r="AG426" s="217">
        <f t="shared" si="388"/>
        <v>0</v>
      </c>
      <c r="AH426" s="217">
        <f t="shared" si="388"/>
        <v>0</v>
      </c>
      <c r="AI426" s="217">
        <f t="shared" si="388"/>
        <v>0</v>
      </c>
      <c r="AJ426" s="217">
        <f t="shared" si="388"/>
        <v>0</v>
      </c>
      <c r="AK426" s="217">
        <f t="shared" si="388"/>
        <v>0</v>
      </c>
      <c r="AL426" s="4"/>
      <c r="AM426" s="43">
        <v>410</v>
      </c>
      <c r="AN426">
        <v>59.598503116434962</v>
      </c>
      <c r="AO426">
        <v>7.1767302381460096</v>
      </c>
      <c r="AP426">
        <v>28.522669549833342</v>
      </c>
      <c r="AQ426">
        <v>53.689286837935747</v>
      </c>
      <c r="AR426">
        <v>7.7178268420592202</v>
      </c>
      <c r="AS426">
        <v>48.195449485272519</v>
      </c>
      <c r="AT426" t="e">
        <v>#DIV/0!</v>
      </c>
      <c r="AU426" t="e">
        <v>#DIV/0!</v>
      </c>
      <c r="AV426"/>
      <c r="AW426"/>
      <c r="FY426" s="211">
        <v>421</v>
      </c>
      <c r="FZ426">
        <v>13.626784572421407</v>
      </c>
      <c r="GA426">
        <v>11.519857398773116</v>
      </c>
      <c r="GB426">
        <v>5.4121823235072544</v>
      </c>
      <c r="GC426">
        <v>2.6917229929847646</v>
      </c>
      <c r="GD426">
        <v>2.0720117688653548</v>
      </c>
      <c r="GE426">
        <v>3.9436787551680679</v>
      </c>
      <c r="GF426">
        <v>4.1129377162447147</v>
      </c>
      <c r="GG426">
        <v>3.5321074232578291</v>
      </c>
      <c r="GH426">
        <v>2.5212891502511781</v>
      </c>
      <c r="GI426">
        <v>5.6794803918454599</v>
      </c>
      <c r="GJ426"/>
      <c r="GK426">
        <v>13.665291424641017</v>
      </c>
      <c r="GL426">
        <v>9.7599983523589451</v>
      </c>
      <c r="GM426">
        <v>9.0010243287654195</v>
      </c>
      <c r="GN426">
        <v>8.0656866221411505</v>
      </c>
      <c r="GO426">
        <v>8.0315562396522484</v>
      </c>
      <c r="GP426">
        <v>7.5501774573465754</v>
      </c>
      <c r="GQ426">
        <v>5.0353461103535579</v>
      </c>
      <c r="GR426">
        <v>4.967637777020224</v>
      </c>
      <c r="GS426">
        <v>2.6871179778444265</v>
      </c>
      <c r="GT426">
        <v>7.6840672162513339</v>
      </c>
      <c r="GU426"/>
      <c r="GV426"/>
      <c r="GW426"/>
      <c r="GX426"/>
      <c r="GY426"/>
      <c r="GZ426"/>
      <c r="HA426"/>
      <c r="HB426"/>
      <c r="HC426"/>
    </row>
    <row r="427" spans="1:211" s="7" customFormat="1">
      <c r="A427" s="128" t="s">
        <v>93</v>
      </c>
      <c r="B427" s="48" t="s">
        <v>42</v>
      </c>
      <c r="C427" s="107">
        <f t="shared" si="387"/>
        <v>1.3106936774661082</v>
      </c>
      <c r="D427" s="190">
        <f>A$409</f>
        <v>0.14000000000000001</v>
      </c>
      <c r="E427" s="8"/>
      <c r="F427" s="124"/>
      <c r="G427" s="217">
        <f t="shared" si="389"/>
        <v>0</v>
      </c>
      <c r="H427" s="217">
        <f t="shared" si="388"/>
        <v>1.3106936774661082</v>
      </c>
      <c r="I427" s="217">
        <f t="shared" si="388"/>
        <v>0</v>
      </c>
      <c r="J427" s="217">
        <f t="shared" si="388"/>
        <v>0</v>
      </c>
      <c r="K427" s="217">
        <f t="shared" si="388"/>
        <v>0</v>
      </c>
      <c r="L427" s="217">
        <f t="shared" si="388"/>
        <v>0</v>
      </c>
      <c r="M427" s="217">
        <f t="shared" si="388"/>
        <v>0</v>
      </c>
      <c r="N427" s="217">
        <f t="shared" si="388"/>
        <v>0</v>
      </c>
      <c r="O427" s="217">
        <f t="shared" si="388"/>
        <v>0</v>
      </c>
      <c r="P427" s="217">
        <f t="shared" si="388"/>
        <v>0</v>
      </c>
      <c r="Q427" s="217">
        <f t="shared" si="388"/>
        <v>0</v>
      </c>
      <c r="R427" s="217">
        <f t="shared" si="388"/>
        <v>0</v>
      </c>
      <c r="S427" s="217">
        <f t="shared" si="388"/>
        <v>0</v>
      </c>
      <c r="T427" s="217">
        <f t="shared" si="388"/>
        <v>0</v>
      </c>
      <c r="U427" s="217">
        <f t="shared" si="388"/>
        <v>0</v>
      </c>
      <c r="V427" s="217">
        <f t="shared" si="388"/>
        <v>0</v>
      </c>
      <c r="W427" s="217">
        <f t="shared" si="388"/>
        <v>0</v>
      </c>
      <c r="X427" s="217">
        <f t="shared" si="388"/>
        <v>0</v>
      </c>
      <c r="Y427" s="217">
        <f t="shared" si="388"/>
        <v>0</v>
      </c>
      <c r="Z427" s="217">
        <f t="shared" si="388"/>
        <v>0</v>
      </c>
      <c r="AA427" s="217">
        <f t="shared" si="388"/>
        <v>0</v>
      </c>
      <c r="AB427" s="217">
        <f t="shared" si="388"/>
        <v>0</v>
      </c>
      <c r="AC427" s="217">
        <f t="shared" si="388"/>
        <v>0</v>
      </c>
      <c r="AD427" s="217">
        <f t="shared" si="388"/>
        <v>0</v>
      </c>
      <c r="AE427" s="217">
        <f t="shared" si="388"/>
        <v>0</v>
      </c>
      <c r="AF427" s="217">
        <f t="shared" si="388"/>
        <v>0</v>
      </c>
      <c r="AG427" s="217">
        <f t="shared" si="388"/>
        <v>0</v>
      </c>
      <c r="AH427" s="217">
        <f t="shared" si="388"/>
        <v>0</v>
      </c>
      <c r="AI427" s="217">
        <f t="shared" si="388"/>
        <v>0</v>
      </c>
      <c r="AJ427" s="217">
        <f t="shared" si="388"/>
        <v>0</v>
      </c>
      <c r="AK427" s="217">
        <f t="shared" si="388"/>
        <v>0</v>
      </c>
      <c r="AL427" s="4"/>
      <c r="AM427" s="43">
        <v>411</v>
      </c>
      <c r="AN427">
        <v>52.655221430851476</v>
      </c>
      <c r="AO427">
        <v>6.1016376810384187</v>
      </c>
      <c r="AP427">
        <v>4.8850852485940681</v>
      </c>
      <c r="AQ427">
        <v>45.662683230691954</v>
      </c>
      <c r="AR427">
        <v>6.5871105407469468</v>
      </c>
      <c r="AS427">
        <v>40.496710194545024</v>
      </c>
      <c r="AT427">
        <v>5.2505619998602553</v>
      </c>
      <c r="AU427">
        <v>-9.5279179669308434E-2</v>
      </c>
      <c r="AV427"/>
      <c r="AW427"/>
      <c r="FY427" s="211">
        <v>422</v>
      </c>
      <c r="FZ427">
        <v>15.012559793895116</v>
      </c>
      <c r="GA427">
        <v>19.923216326773844</v>
      </c>
      <c r="GB427">
        <v>8.294218113606723</v>
      </c>
      <c r="GC427">
        <v>3.3125520801882109</v>
      </c>
      <c r="GD427">
        <v>1.1717620375800111</v>
      </c>
      <c r="GE427">
        <v>1.2394565073255812</v>
      </c>
      <c r="GF427">
        <v>2.4305028388685068</v>
      </c>
      <c r="GG427">
        <v>2.4418645251988869</v>
      </c>
      <c r="GH427">
        <v>4.7729067345947414</v>
      </c>
      <c r="GI427">
        <v>6.1269576172640008</v>
      </c>
      <c r="GJ427"/>
      <c r="GK427">
        <v>15.047483444664952</v>
      </c>
      <c r="GL427">
        <v>16.881595986036142</v>
      </c>
      <c r="GM427">
        <v>13.777844138076192</v>
      </c>
      <c r="GN427">
        <v>9.9314096678205601</v>
      </c>
      <c r="GO427">
        <v>4.5527489478994818</v>
      </c>
      <c r="GP427">
        <v>2.3729408914728678</v>
      </c>
      <c r="GQ427">
        <v>2.976012678767761</v>
      </c>
      <c r="GR427">
        <v>3.4349247158047973</v>
      </c>
      <c r="GS427">
        <v>5.0831254621503907</v>
      </c>
      <c r="GT427">
        <v>8.2874429343117555</v>
      </c>
      <c r="GU427"/>
      <c r="GV427"/>
      <c r="GW427"/>
      <c r="GX427"/>
      <c r="GY427"/>
      <c r="GZ427"/>
      <c r="HA427"/>
      <c r="HB427"/>
      <c r="HC427"/>
    </row>
    <row r="428" spans="1:211" s="7" customFormat="1">
      <c r="A428" s="138" t="s">
        <v>95</v>
      </c>
      <c r="B428" s="48" t="s">
        <v>118</v>
      </c>
      <c r="C428" s="107">
        <f t="shared" si="387"/>
        <v>1.8429747975286497</v>
      </c>
      <c r="D428" s="190">
        <f>A$410</f>
        <v>0.21</v>
      </c>
      <c r="E428" s="8"/>
      <c r="F428" s="124"/>
      <c r="G428" s="217">
        <f t="shared" si="389"/>
        <v>0</v>
      </c>
      <c r="H428" s="217">
        <f t="shared" si="388"/>
        <v>1.8429747975286497</v>
      </c>
      <c r="I428" s="217">
        <f t="shared" si="388"/>
        <v>0</v>
      </c>
      <c r="J428" s="217">
        <f t="shared" si="388"/>
        <v>0</v>
      </c>
      <c r="K428" s="217">
        <f t="shared" si="388"/>
        <v>0</v>
      </c>
      <c r="L428" s="217">
        <f t="shared" si="388"/>
        <v>0</v>
      </c>
      <c r="M428" s="217">
        <f t="shared" si="388"/>
        <v>0</v>
      </c>
      <c r="N428" s="217">
        <f t="shared" si="388"/>
        <v>0</v>
      </c>
      <c r="O428" s="217">
        <f t="shared" si="388"/>
        <v>0</v>
      </c>
      <c r="P428" s="217">
        <f t="shared" si="388"/>
        <v>0</v>
      </c>
      <c r="Q428" s="217">
        <f t="shared" si="388"/>
        <v>0</v>
      </c>
      <c r="R428" s="217">
        <f t="shared" si="388"/>
        <v>0</v>
      </c>
      <c r="S428" s="217">
        <f t="shared" si="388"/>
        <v>0</v>
      </c>
      <c r="T428" s="217">
        <f t="shared" si="388"/>
        <v>0</v>
      </c>
      <c r="U428" s="217">
        <f t="shared" si="388"/>
        <v>0</v>
      </c>
      <c r="V428" s="217">
        <f t="shared" si="388"/>
        <v>0</v>
      </c>
      <c r="W428" s="217">
        <f t="shared" si="388"/>
        <v>0</v>
      </c>
      <c r="X428" s="217">
        <f t="shared" si="388"/>
        <v>0</v>
      </c>
      <c r="Y428" s="217">
        <f t="shared" si="388"/>
        <v>0</v>
      </c>
      <c r="Z428" s="217">
        <f t="shared" si="388"/>
        <v>0</v>
      </c>
      <c r="AA428" s="217">
        <f t="shared" si="388"/>
        <v>0</v>
      </c>
      <c r="AB428" s="217">
        <f t="shared" si="388"/>
        <v>0</v>
      </c>
      <c r="AC428" s="217">
        <f t="shared" si="388"/>
        <v>0</v>
      </c>
      <c r="AD428" s="217">
        <f t="shared" si="388"/>
        <v>0</v>
      </c>
      <c r="AE428" s="217">
        <f t="shared" si="388"/>
        <v>0</v>
      </c>
      <c r="AF428" s="217">
        <f t="shared" si="388"/>
        <v>0</v>
      </c>
      <c r="AG428" s="217">
        <f t="shared" si="388"/>
        <v>0</v>
      </c>
      <c r="AH428" s="217">
        <f t="shared" si="388"/>
        <v>0</v>
      </c>
      <c r="AI428" s="217">
        <f t="shared" si="388"/>
        <v>0</v>
      </c>
      <c r="AJ428" s="217">
        <f t="shared" si="388"/>
        <v>0</v>
      </c>
      <c r="AK428" s="217">
        <f t="shared" si="388"/>
        <v>0</v>
      </c>
      <c r="AL428" s="4"/>
      <c r="AM428" s="43">
        <v>412</v>
      </c>
      <c r="AN428">
        <v>61.545975381280073</v>
      </c>
      <c r="AO428">
        <v>7.1490245453593904</v>
      </c>
      <c r="AP428">
        <v>10.984622930475803</v>
      </c>
      <c r="AQ428">
        <v>53.63666385966927</v>
      </c>
      <c r="AR428">
        <v>7.3202123223490716</v>
      </c>
      <c r="AS428">
        <v>44.334328656019906</v>
      </c>
      <c r="AT428" t="e">
        <v>#DIV/0!</v>
      </c>
      <c r="AU428" t="e">
        <v>#DIV/0!</v>
      </c>
      <c r="AV428"/>
      <c r="AW428"/>
      <c r="FY428" s="211">
        <v>423</v>
      </c>
      <c r="FZ428">
        <v>8.9132389193486663</v>
      </c>
      <c r="GA428">
        <v>6.3205801221928608</v>
      </c>
      <c r="GB428">
        <v>4.657516669878409</v>
      </c>
      <c r="GC428">
        <v>3.1653397581848575</v>
      </c>
      <c r="GD428">
        <v>1.7030836590191476</v>
      </c>
      <c r="GE428">
        <v>2.0201572226196989</v>
      </c>
      <c r="GF428">
        <v>2.2904813354815796</v>
      </c>
      <c r="GG428">
        <v>1.9933900330970502</v>
      </c>
      <c r="GH428">
        <v>3.5693129226065055</v>
      </c>
      <c r="GI428">
        <v>4.4204327616678203</v>
      </c>
      <c r="GJ428"/>
      <c r="GK428">
        <v>8.9536658391505277</v>
      </c>
      <c r="GL428">
        <v>5.3566573754960647</v>
      </c>
      <c r="GM428">
        <v>7.7199732319810792</v>
      </c>
      <c r="GN428">
        <v>9.4596706835919733</v>
      </c>
      <c r="GO428">
        <v>6.6340464229593854</v>
      </c>
      <c r="GP428">
        <v>3.8675932978899805</v>
      </c>
      <c r="GQ428">
        <v>2.8021159372456665</v>
      </c>
      <c r="GR428">
        <v>2.8021159372456665</v>
      </c>
      <c r="GS428">
        <v>3.8063172164474106</v>
      </c>
      <c r="GT428">
        <v>5.9832237295568147</v>
      </c>
      <c r="GU428"/>
      <c r="GV428"/>
      <c r="GW428"/>
      <c r="GX428"/>
      <c r="GY428"/>
      <c r="GZ428"/>
      <c r="HA428"/>
      <c r="HB428"/>
      <c r="HC428"/>
    </row>
    <row r="429" spans="1:211" s="7" customFormat="1">
      <c r="A429" s="138" t="s">
        <v>94</v>
      </c>
      <c r="B429" s="48" t="s">
        <v>119</v>
      </c>
      <c r="C429" s="107">
        <f t="shared" si="387"/>
        <v>2.7031808979643639</v>
      </c>
      <c r="D429" s="190">
        <f>A$411</f>
        <v>1.28</v>
      </c>
      <c r="E429" s="8"/>
      <c r="F429" s="124"/>
      <c r="G429" s="217">
        <f t="shared" si="389"/>
        <v>0.39433358010281444</v>
      </c>
      <c r="H429" s="217">
        <f t="shared" si="388"/>
        <v>2.3088473178615496</v>
      </c>
      <c r="I429" s="217">
        <f t="shared" si="388"/>
        <v>0</v>
      </c>
      <c r="J429" s="217">
        <f t="shared" si="388"/>
        <v>0</v>
      </c>
      <c r="K429" s="217">
        <f t="shared" si="388"/>
        <v>0</v>
      </c>
      <c r="L429" s="217">
        <f t="shared" si="388"/>
        <v>0</v>
      </c>
      <c r="M429" s="217">
        <f t="shared" si="388"/>
        <v>0</v>
      </c>
      <c r="N429" s="217">
        <f t="shared" si="388"/>
        <v>0</v>
      </c>
      <c r="O429" s="217">
        <f t="shared" si="388"/>
        <v>0</v>
      </c>
      <c r="P429" s="217">
        <f t="shared" si="388"/>
        <v>0</v>
      </c>
      <c r="Q429" s="217">
        <f t="shared" si="388"/>
        <v>0</v>
      </c>
      <c r="R429" s="217">
        <f t="shared" si="388"/>
        <v>0</v>
      </c>
      <c r="S429" s="217">
        <f t="shared" si="388"/>
        <v>0</v>
      </c>
      <c r="T429" s="217">
        <f t="shared" si="388"/>
        <v>0</v>
      </c>
      <c r="U429" s="217">
        <f t="shared" si="388"/>
        <v>0</v>
      </c>
      <c r="V429" s="217">
        <f t="shared" si="388"/>
        <v>0</v>
      </c>
      <c r="W429" s="217">
        <f t="shared" si="388"/>
        <v>0</v>
      </c>
      <c r="X429" s="217">
        <f t="shared" si="388"/>
        <v>0</v>
      </c>
      <c r="Y429" s="217">
        <f t="shared" si="388"/>
        <v>0</v>
      </c>
      <c r="Z429" s="217">
        <f t="shared" si="388"/>
        <v>0</v>
      </c>
      <c r="AA429" s="217">
        <f t="shared" si="388"/>
        <v>0</v>
      </c>
      <c r="AB429" s="217">
        <f t="shared" si="388"/>
        <v>0</v>
      </c>
      <c r="AC429" s="217">
        <f t="shared" si="388"/>
        <v>0</v>
      </c>
      <c r="AD429" s="217">
        <f t="shared" si="388"/>
        <v>0</v>
      </c>
      <c r="AE429" s="217">
        <f t="shared" si="388"/>
        <v>0</v>
      </c>
      <c r="AF429" s="217">
        <f t="shared" si="388"/>
        <v>0</v>
      </c>
      <c r="AG429" s="217">
        <f t="shared" si="388"/>
        <v>0</v>
      </c>
      <c r="AH429" s="217">
        <f t="shared" si="388"/>
        <v>0</v>
      </c>
      <c r="AI429" s="217">
        <f t="shared" si="388"/>
        <v>0</v>
      </c>
      <c r="AJ429" s="217">
        <f t="shared" si="388"/>
        <v>0</v>
      </c>
      <c r="AK429" s="217">
        <f t="shared" si="388"/>
        <v>0</v>
      </c>
      <c r="AL429" s="4"/>
      <c r="AM429" s="43">
        <v>413</v>
      </c>
      <c r="AN429">
        <v>56.534716811467092</v>
      </c>
      <c r="AO429">
        <v>7.3120118510516203</v>
      </c>
      <c r="AP429">
        <v>4.8016509600043165</v>
      </c>
      <c r="AQ429">
        <v>51.239166044451821</v>
      </c>
      <c r="AR429">
        <v>7.6405707768874578</v>
      </c>
      <c r="AS429">
        <v>46.596376426570274</v>
      </c>
      <c r="AT429">
        <v>6.0717262877135694</v>
      </c>
      <c r="AU429">
        <v>5.8049423544729137</v>
      </c>
      <c r="AV429"/>
      <c r="AW429"/>
      <c r="FY429" s="211">
        <v>424</v>
      </c>
      <c r="FZ429">
        <v>16.481622356037668</v>
      </c>
      <c r="GA429">
        <v>16.824679854216331</v>
      </c>
      <c r="GB429">
        <v>6.7462064111719764</v>
      </c>
      <c r="GC429">
        <v>2.5270100666435202</v>
      </c>
      <c r="GD429">
        <v>1.3966422980707178</v>
      </c>
      <c r="GE429">
        <v>2.5253864369054138</v>
      </c>
      <c r="GF429">
        <v>1.333558936012982</v>
      </c>
      <c r="GG429">
        <v>1.0644446003007895</v>
      </c>
      <c r="GH429">
        <v>3.4220772443484395</v>
      </c>
      <c r="GI429">
        <v>5.6779855511540722</v>
      </c>
      <c r="GJ429"/>
      <c r="GK429">
        <v>16.536023511883261</v>
      </c>
      <c r="GL429">
        <v>14.256221219306036</v>
      </c>
      <c r="GM429">
        <v>11.171829832671055</v>
      </c>
      <c r="GN429">
        <v>7.5199699496082619</v>
      </c>
      <c r="GO429">
        <v>5.4122094520753246</v>
      </c>
      <c r="GP429">
        <v>4.8348552026518856</v>
      </c>
      <c r="GQ429">
        <v>1.6318223607323339</v>
      </c>
      <c r="GR429">
        <v>1.4964056940656674</v>
      </c>
      <c r="GS429">
        <v>3.6498504189312628</v>
      </c>
      <c r="GT429">
        <v>7.6803471152586464</v>
      </c>
      <c r="GU429"/>
      <c r="GV429"/>
      <c r="GW429"/>
      <c r="GX429"/>
      <c r="GY429"/>
      <c r="GZ429"/>
      <c r="HA429"/>
      <c r="HB429"/>
      <c r="HC429"/>
    </row>
    <row r="430" spans="1:211" s="7" customFormat="1">
      <c r="A430" s="128" t="s">
        <v>18</v>
      </c>
      <c r="B430" s="48" t="s">
        <v>120</v>
      </c>
      <c r="C430" s="107">
        <f t="shared" si="387"/>
        <v>2.6417806961428432</v>
      </c>
      <c r="D430" s="190">
        <f>A$412</f>
        <v>4</v>
      </c>
      <c r="E430" s="8"/>
      <c r="F430" s="124"/>
      <c r="G430" s="217">
        <f t="shared" si="389"/>
        <v>0.34201543842521753</v>
      </c>
      <c r="H430" s="217">
        <f t="shared" si="388"/>
        <v>2.2997652577176257</v>
      </c>
      <c r="I430" s="217">
        <f t="shared" si="388"/>
        <v>0</v>
      </c>
      <c r="J430" s="217">
        <f t="shared" si="388"/>
        <v>0</v>
      </c>
      <c r="K430" s="217">
        <f t="shared" si="388"/>
        <v>0</v>
      </c>
      <c r="L430" s="217">
        <f t="shared" si="388"/>
        <v>0</v>
      </c>
      <c r="M430" s="217">
        <f t="shared" si="388"/>
        <v>0</v>
      </c>
      <c r="N430" s="217">
        <f t="shared" si="388"/>
        <v>0</v>
      </c>
      <c r="O430" s="217">
        <f t="shared" si="388"/>
        <v>0</v>
      </c>
      <c r="P430" s="217">
        <f t="shared" si="388"/>
        <v>0</v>
      </c>
      <c r="Q430" s="217">
        <f t="shared" si="388"/>
        <v>0</v>
      </c>
      <c r="R430" s="217">
        <f t="shared" si="388"/>
        <v>0</v>
      </c>
      <c r="S430" s="217">
        <f t="shared" si="388"/>
        <v>0</v>
      </c>
      <c r="T430" s="217">
        <f t="shared" si="388"/>
        <v>0</v>
      </c>
      <c r="U430" s="217">
        <f t="shared" si="388"/>
        <v>0</v>
      </c>
      <c r="V430" s="217">
        <f t="shared" si="388"/>
        <v>0</v>
      </c>
      <c r="W430" s="217">
        <f t="shared" si="388"/>
        <v>0</v>
      </c>
      <c r="X430" s="217">
        <f t="shared" si="388"/>
        <v>0</v>
      </c>
      <c r="Y430" s="217">
        <f t="shared" si="388"/>
        <v>0</v>
      </c>
      <c r="Z430" s="217">
        <f t="shared" si="388"/>
        <v>0</v>
      </c>
      <c r="AA430" s="217">
        <f t="shared" si="388"/>
        <v>0</v>
      </c>
      <c r="AB430" s="217">
        <f t="shared" si="388"/>
        <v>0</v>
      </c>
      <c r="AC430" s="217">
        <f t="shared" si="388"/>
        <v>0</v>
      </c>
      <c r="AD430" s="217">
        <f t="shared" si="388"/>
        <v>0</v>
      </c>
      <c r="AE430" s="217">
        <f t="shared" si="388"/>
        <v>0</v>
      </c>
      <c r="AF430" s="217">
        <f t="shared" si="388"/>
        <v>0</v>
      </c>
      <c r="AG430" s="217">
        <f t="shared" si="388"/>
        <v>0</v>
      </c>
      <c r="AH430" s="217">
        <f t="shared" si="388"/>
        <v>0</v>
      </c>
      <c r="AI430" s="217">
        <f t="shared" si="388"/>
        <v>0</v>
      </c>
      <c r="AJ430" s="217">
        <f t="shared" si="388"/>
        <v>0</v>
      </c>
      <c r="AK430" s="217">
        <f t="shared" si="388"/>
        <v>0</v>
      </c>
      <c r="AL430" s="4"/>
      <c r="AM430" s="43">
        <v>414</v>
      </c>
      <c r="AN430">
        <v>62.229543886812948</v>
      </c>
      <c r="AO430">
        <v>7.6070723325802758</v>
      </c>
      <c r="AP430">
        <v>21.362430021398101</v>
      </c>
      <c r="AQ430">
        <v>60.042166334945342</v>
      </c>
      <c r="AR430">
        <v>7.8755068926354479</v>
      </c>
      <c r="AS430">
        <v>44.041314599799939</v>
      </c>
      <c r="AT430" t="e">
        <v>#DIV/0!</v>
      </c>
      <c r="AU430" t="e">
        <v>#DIV/0!</v>
      </c>
      <c r="AV430"/>
      <c r="AW430"/>
      <c r="FY430" s="211">
        <v>425</v>
      </c>
      <c r="FZ430">
        <v>13.366916142554693</v>
      </c>
      <c r="GA430">
        <v>15.706355553885412</v>
      </c>
      <c r="GB430">
        <v>8.1521704586289445</v>
      </c>
      <c r="GC430">
        <v>3.3033063971847256</v>
      </c>
      <c r="GD430">
        <v>2.4962411472231776</v>
      </c>
      <c r="GE430">
        <v>4.0783282155335154</v>
      </c>
      <c r="GF430">
        <v>2.9902525320886162</v>
      </c>
      <c r="GG430">
        <v>3.7257365685865684</v>
      </c>
      <c r="GH430">
        <v>4.9735727750648007</v>
      </c>
      <c r="GI430">
        <v>6.7397565305921283</v>
      </c>
      <c r="GJ430"/>
      <c r="GK430">
        <v>13.421636420864704</v>
      </c>
      <c r="GL430">
        <v>13.306644060986676</v>
      </c>
      <c r="GM430">
        <v>13.542177647609547</v>
      </c>
      <c r="GN430">
        <v>9.8953513316910549</v>
      </c>
      <c r="GO430">
        <v>9.6786485260065973</v>
      </c>
      <c r="GP430">
        <v>7.8079640021970738</v>
      </c>
      <c r="GQ430">
        <v>3.6619275338402248</v>
      </c>
      <c r="GR430">
        <v>5.2417886449513356</v>
      </c>
      <c r="GS430">
        <v>5.3023175215854303</v>
      </c>
      <c r="GT430">
        <v>9.1213415299813008</v>
      </c>
      <c r="GU430"/>
      <c r="GV430"/>
      <c r="GW430"/>
      <c r="GX430"/>
      <c r="GY430"/>
      <c r="GZ430"/>
      <c r="HA430"/>
      <c r="HB430"/>
      <c r="HC430"/>
    </row>
    <row r="431" spans="1:211" s="7" customFormat="1">
      <c r="A431" s="128" t="s">
        <v>17</v>
      </c>
      <c r="B431" s="48" t="s">
        <v>121</v>
      </c>
      <c r="C431" s="107">
        <f t="shared" si="387"/>
        <v>4.5039637805590846</v>
      </c>
      <c r="D431" s="190">
        <f>A$413</f>
        <v>7.33</v>
      </c>
      <c r="E431" s="8"/>
      <c r="F431" s="124"/>
      <c r="G431" s="217">
        <f t="shared" si="389"/>
        <v>0.32669068602436685</v>
      </c>
      <c r="H431" s="217">
        <f t="shared" si="388"/>
        <v>4.1772730945347174</v>
      </c>
      <c r="I431" s="217">
        <f t="shared" si="388"/>
        <v>0</v>
      </c>
      <c r="J431" s="217">
        <f t="shared" si="388"/>
        <v>0</v>
      </c>
      <c r="K431" s="217">
        <f t="shared" si="388"/>
        <v>0</v>
      </c>
      <c r="L431" s="217">
        <f t="shared" si="388"/>
        <v>0</v>
      </c>
      <c r="M431" s="217">
        <f t="shared" si="388"/>
        <v>0</v>
      </c>
      <c r="N431" s="217">
        <f t="shared" si="388"/>
        <v>0</v>
      </c>
      <c r="O431" s="217">
        <f t="shared" si="388"/>
        <v>0</v>
      </c>
      <c r="P431" s="217">
        <f t="shared" si="388"/>
        <v>0</v>
      </c>
      <c r="Q431" s="217">
        <f t="shared" si="388"/>
        <v>0</v>
      </c>
      <c r="R431" s="217">
        <f t="shared" si="388"/>
        <v>0</v>
      </c>
      <c r="S431" s="217">
        <f t="shared" si="388"/>
        <v>0</v>
      </c>
      <c r="T431" s="217">
        <f t="shared" si="388"/>
        <v>0</v>
      </c>
      <c r="U431" s="217">
        <f t="shared" si="388"/>
        <v>0</v>
      </c>
      <c r="V431" s="217">
        <f t="shared" si="388"/>
        <v>0</v>
      </c>
      <c r="W431" s="217">
        <f t="shared" si="388"/>
        <v>0</v>
      </c>
      <c r="X431" s="217">
        <f t="shared" si="388"/>
        <v>0</v>
      </c>
      <c r="Y431" s="217">
        <f t="shared" si="388"/>
        <v>0</v>
      </c>
      <c r="Z431" s="217">
        <f t="shared" si="388"/>
        <v>0</v>
      </c>
      <c r="AA431" s="217">
        <f t="shared" si="388"/>
        <v>0</v>
      </c>
      <c r="AB431" s="217">
        <f t="shared" si="388"/>
        <v>0</v>
      </c>
      <c r="AC431" s="217">
        <f t="shared" si="388"/>
        <v>0</v>
      </c>
      <c r="AD431" s="217">
        <f t="shared" si="388"/>
        <v>0</v>
      </c>
      <c r="AE431" s="217">
        <f t="shared" si="388"/>
        <v>0</v>
      </c>
      <c r="AF431" s="217">
        <f t="shared" si="388"/>
        <v>0</v>
      </c>
      <c r="AG431" s="217">
        <f t="shared" si="388"/>
        <v>0</v>
      </c>
      <c r="AH431" s="217">
        <f t="shared" si="388"/>
        <v>0</v>
      </c>
      <c r="AI431" s="217">
        <f t="shared" si="388"/>
        <v>0</v>
      </c>
      <c r="AJ431" s="217">
        <f t="shared" si="388"/>
        <v>0</v>
      </c>
      <c r="AK431" s="217">
        <f t="shared" si="388"/>
        <v>0</v>
      </c>
      <c r="AL431" s="4"/>
      <c r="AM431" s="43">
        <v>415</v>
      </c>
      <c r="AN431">
        <v>61.692007426411081</v>
      </c>
      <c r="AO431">
        <v>7.2689886357815112</v>
      </c>
      <c r="AP431">
        <v>42.849952503990032</v>
      </c>
      <c r="AQ431">
        <v>57.024716421341495</v>
      </c>
      <c r="AR431">
        <v>7.6181821649044199</v>
      </c>
      <c r="AS431">
        <v>46.78129875945011</v>
      </c>
      <c r="AT431" t="e">
        <v>#DIV/0!</v>
      </c>
      <c r="AU431" t="e">
        <v>#DIV/0!</v>
      </c>
      <c r="AV431"/>
      <c r="AW431"/>
      <c r="FY431" s="211">
        <v>426</v>
      </c>
      <c r="FZ431">
        <v>10.444963902943957</v>
      </c>
      <c r="GA431">
        <v>9.5118553393693706</v>
      </c>
      <c r="GB431">
        <v>6.0821922450711705</v>
      </c>
      <c r="GC431">
        <v>3.7060128945887154</v>
      </c>
      <c r="GD431">
        <v>1.7783423679429367</v>
      </c>
      <c r="GE431">
        <v>1.8449719299452807</v>
      </c>
      <c r="GF431">
        <v>1.7532871258461631</v>
      </c>
      <c r="GG431">
        <v>1.5256506255449667</v>
      </c>
      <c r="GH431">
        <v>2.1510509181764008</v>
      </c>
      <c r="GI431">
        <v>4.7185850148085038</v>
      </c>
      <c r="GJ431"/>
      <c r="GK431">
        <v>10.490081566547001</v>
      </c>
      <c r="GL431">
        <v>8.0603224308015946</v>
      </c>
      <c r="GM431">
        <v>10.114611294273706</v>
      </c>
      <c r="GN431">
        <v>11.103185231224387</v>
      </c>
      <c r="GO431">
        <v>6.9038921176691321</v>
      </c>
      <c r="GP431">
        <v>3.5322008560295157</v>
      </c>
      <c r="GQ431">
        <v>2.1438404742827033</v>
      </c>
      <c r="GR431">
        <v>2.1438404742827033</v>
      </c>
      <c r="GS431">
        <v>2.293962010574961</v>
      </c>
      <c r="GT431">
        <v>6.3892774926695006</v>
      </c>
      <c r="GU431"/>
      <c r="GV431"/>
      <c r="GW431"/>
      <c r="GX431"/>
      <c r="GY431"/>
      <c r="GZ431"/>
      <c r="HA431"/>
      <c r="HB431"/>
      <c r="HC431"/>
    </row>
    <row r="432" spans="1:211" s="7" customFormat="1">
      <c r="A432" s="4"/>
      <c r="B432" s="48" t="s">
        <v>122</v>
      </c>
      <c r="C432" s="107">
        <f t="shared" si="387"/>
        <v>4.0228025857425713</v>
      </c>
      <c r="D432" s="190">
        <f>A$414</f>
        <v>10.51</v>
      </c>
      <c r="E432" s="8"/>
      <c r="F432" s="124"/>
      <c r="G432" s="217">
        <f t="shared" si="389"/>
        <v>0.24149411758643963</v>
      </c>
      <c r="H432" s="217">
        <f t="shared" ref="H432:AK432" si="390">(($A$453+$A$455*(H$422)+($A$457*$D432))*($E30*H46))</f>
        <v>3.385625423610545</v>
      </c>
      <c r="I432" s="217">
        <f t="shared" si="390"/>
        <v>0.39568304454558684</v>
      </c>
      <c r="J432" s="217">
        <f t="shared" si="390"/>
        <v>0</v>
      </c>
      <c r="K432" s="217">
        <f t="shared" si="390"/>
        <v>0</v>
      </c>
      <c r="L432" s="217">
        <f t="shared" si="390"/>
        <v>0</v>
      </c>
      <c r="M432" s="217">
        <f t="shared" si="390"/>
        <v>0</v>
      </c>
      <c r="N432" s="217">
        <f t="shared" si="390"/>
        <v>0</v>
      </c>
      <c r="O432" s="217">
        <f t="shared" si="390"/>
        <v>0</v>
      </c>
      <c r="P432" s="217">
        <f t="shared" si="390"/>
        <v>0</v>
      </c>
      <c r="Q432" s="217">
        <f t="shared" si="390"/>
        <v>0</v>
      </c>
      <c r="R432" s="217">
        <f t="shared" si="390"/>
        <v>0</v>
      </c>
      <c r="S432" s="217">
        <f t="shared" si="390"/>
        <v>0</v>
      </c>
      <c r="T432" s="217">
        <f t="shared" si="390"/>
        <v>0</v>
      </c>
      <c r="U432" s="217">
        <f t="shared" si="390"/>
        <v>0</v>
      </c>
      <c r="V432" s="217">
        <f t="shared" si="390"/>
        <v>0</v>
      </c>
      <c r="W432" s="217">
        <f t="shared" si="390"/>
        <v>0</v>
      </c>
      <c r="X432" s="217">
        <f t="shared" si="390"/>
        <v>0</v>
      </c>
      <c r="Y432" s="217">
        <f t="shared" si="390"/>
        <v>0</v>
      </c>
      <c r="Z432" s="217">
        <f t="shared" si="390"/>
        <v>0</v>
      </c>
      <c r="AA432" s="217">
        <f t="shared" si="390"/>
        <v>0</v>
      </c>
      <c r="AB432" s="217">
        <f t="shared" si="390"/>
        <v>0</v>
      </c>
      <c r="AC432" s="217">
        <f t="shared" si="390"/>
        <v>0</v>
      </c>
      <c r="AD432" s="217">
        <f t="shared" si="390"/>
        <v>0</v>
      </c>
      <c r="AE432" s="217">
        <f t="shared" si="390"/>
        <v>0</v>
      </c>
      <c r="AF432" s="217">
        <f t="shared" si="390"/>
        <v>0</v>
      </c>
      <c r="AG432" s="217">
        <f t="shared" si="390"/>
        <v>0</v>
      </c>
      <c r="AH432" s="217">
        <f t="shared" si="390"/>
        <v>0</v>
      </c>
      <c r="AI432" s="217">
        <f t="shared" si="390"/>
        <v>0</v>
      </c>
      <c r="AJ432" s="217">
        <f t="shared" si="390"/>
        <v>0</v>
      </c>
      <c r="AK432" s="217">
        <f t="shared" si="390"/>
        <v>0</v>
      </c>
      <c r="AL432" s="4"/>
      <c r="AM432" s="43">
        <v>416</v>
      </c>
      <c r="AN432">
        <v>59.270459339645832</v>
      </c>
      <c r="AO432">
        <v>7.2645757032773419</v>
      </c>
      <c r="AP432">
        <v>3.6524818669478654</v>
      </c>
      <c r="AQ432">
        <v>51.925106889723146</v>
      </c>
      <c r="AR432">
        <v>7.5256886790399795</v>
      </c>
      <c r="AS432">
        <v>49.516523255442181</v>
      </c>
      <c r="AT432">
        <v>6.0181904220140074</v>
      </c>
      <c r="AU432">
        <v>5.4074614075187544</v>
      </c>
      <c r="AV432"/>
      <c r="AW432"/>
      <c r="FY432" s="211">
        <v>427</v>
      </c>
      <c r="FZ432">
        <v>8.2067750538552193</v>
      </c>
      <c r="GA432">
        <v>5.4385818940568722</v>
      </c>
      <c r="GB432">
        <v>6.7721831375027444</v>
      </c>
      <c r="GC432">
        <v>3.9270969178547555</v>
      </c>
      <c r="GD432">
        <v>1.8879843273935559</v>
      </c>
      <c r="GE432">
        <v>2.3115452345798322</v>
      </c>
      <c r="GF432">
        <v>2.9054852902641883</v>
      </c>
      <c r="GG432">
        <v>2.5288790244013977</v>
      </c>
      <c r="GH432">
        <v>4.0847724797555394</v>
      </c>
      <c r="GI432">
        <v>5.1347735492595588</v>
      </c>
      <c r="GJ432"/>
      <c r="GK432">
        <v>8.2636464103745091</v>
      </c>
      <c r="GL432">
        <v>4.6071974308015946</v>
      </c>
      <c r="GM432">
        <v>11.291335158873595</v>
      </c>
      <c r="GN432">
        <v>11.813255780636366</v>
      </c>
      <c r="GO432">
        <v>7.3304939242973894</v>
      </c>
      <c r="GP432">
        <v>4.4254559778456839</v>
      </c>
      <c r="GQ432">
        <v>3.555739125651463</v>
      </c>
      <c r="GR432">
        <v>3.555739125651463</v>
      </c>
      <c r="GS432">
        <v>4.3543582467297526</v>
      </c>
      <c r="GT432">
        <v>6.9591145731853414</v>
      </c>
      <c r="GU432"/>
      <c r="GV432"/>
      <c r="GW432"/>
      <c r="GX432"/>
      <c r="GY432"/>
      <c r="GZ432"/>
      <c r="HA432"/>
      <c r="HB432"/>
      <c r="HC432"/>
    </row>
    <row r="433" spans="1:211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65.695594387750901</v>
      </c>
      <c r="AO433">
        <v>7.7387797563424527</v>
      </c>
      <c r="AP433">
        <v>4.8146917751579679</v>
      </c>
      <c r="AQ433">
        <v>55.08587220825676</v>
      </c>
      <c r="AR433">
        <v>8.1353041025633743</v>
      </c>
      <c r="AS433">
        <v>51.151735217560493</v>
      </c>
      <c r="AT433">
        <v>6.4982868679984094</v>
      </c>
      <c r="AU433">
        <v>6.3233755977051027</v>
      </c>
      <c r="AV433"/>
      <c r="AW433"/>
      <c r="FY433" s="211">
        <v>428</v>
      </c>
      <c r="FZ433">
        <v>6.1573624413521424</v>
      </c>
      <c r="GA433">
        <v>6.0064418934650474</v>
      </c>
      <c r="GB433">
        <v>9.0320783651683225</v>
      </c>
      <c r="GC433">
        <v>3.953421034610896</v>
      </c>
      <c r="GD433">
        <v>1.5546231513519018</v>
      </c>
      <c r="GE433">
        <v>2.4108286499452807</v>
      </c>
      <c r="GF433">
        <v>0.64770273276041657</v>
      </c>
      <c r="GG433">
        <v>0.46773940755208332</v>
      </c>
      <c r="GH433">
        <v>4.983173357263194</v>
      </c>
      <c r="GI433">
        <v>4.9280648950739581</v>
      </c>
      <c r="GJ433"/>
      <c r="GK433">
        <v>6.2064399555815628</v>
      </c>
      <c r="GL433">
        <v>5.0881305208606644</v>
      </c>
      <c r="GM433">
        <v>15.071184885407128</v>
      </c>
      <c r="GN433">
        <v>11.93542196544866</v>
      </c>
      <c r="GO433">
        <v>6.0262351235983784</v>
      </c>
      <c r="GP433">
        <v>4.6155341893628492</v>
      </c>
      <c r="GQ433">
        <v>0.79369212962962943</v>
      </c>
      <c r="GR433">
        <v>0.65827546296296291</v>
      </c>
      <c r="GS433">
        <v>5.3127009929855973</v>
      </c>
      <c r="GT433">
        <v>6.6820506174404599</v>
      </c>
      <c r="GU433"/>
      <c r="GV433"/>
      <c r="GW433"/>
      <c r="GX433"/>
      <c r="GY433"/>
      <c r="GZ433"/>
      <c r="HA433"/>
      <c r="HB433"/>
      <c r="HC433"/>
    </row>
    <row r="434" spans="1:211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61.658223842176142</v>
      </c>
      <c r="AO434">
        <v>7.410199043488956</v>
      </c>
      <c r="AP434">
        <v>78.75136509225689</v>
      </c>
      <c r="AQ434">
        <v>56.480212165903247</v>
      </c>
      <c r="AR434">
        <v>7.7698240654406119</v>
      </c>
      <c r="AS434">
        <v>45.466671332397631</v>
      </c>
      <c r="AT434" t="e">
        <v>#DIV/0!</v>
      </c>
      <c r="AU434" t="e">
        <v>#DIV/0!</v>
      </c>
      <c r="AV434"/>
      <c r="AW434"/>
      <c r="FY434" s="211">
        <v>429</v>
      </c>
      <c r="FZ434">
        <v>11.131104448235494</v>
      </c>
      <c r="GA434">
        <v>10.887634372998303</v>
      </c>
      <c r="GB434">
        <v>5.9051272655252838</v>
      </c>
      <c r="GC434">
        <v>3.4266276619076628</v>
      </c>
      <c r="GD434">
        <v>1.6428205041227919</v>
      </c>
      <c r="GE434">
        <v>1.9948957619054137</v>
      </c>
      <c r="GF434">
        <v>1.8777106423256344</v>
      </c>
      <c r="GG434">
        <v>1.9129089162024455</v>
      </c>
      <c r="GH434">
        <v>3.8986110403471823</v>
      </c>
      <c r="GI434">
        <v>4.9978433339938748</v>
      </c>
      <c r="GJ434"/>
      <c r="GK434">
        <v>11.172721791025781</v>
      </c>
      <c r="GL434">
        <v>9.2243338792809251</v>
      </c>
      <c r="GM434">
        <v>9.8161942691822173</v>
      </c>
      <c r="GN434">
        <v>10.264602986183082</v>
      </c>
      <c r="GO434">
        <v>6.3799229110083537</v>
      </c>
      <c r="GP434">
        <v>3.8192302026518861</v>
      </c>
      <c r="GQ434">
        <v>2.300938506441224</v>
      </c>
      <c r="GR434">
        <v>2.6921422101449273</v>
      </c>
      <c r="GS434">
        <v>4.1576379292835339</v>
      </c>
      <c r="GT434">
        <v>6.7654830813882212</v>
      </c>
      <c r="GU434"/>
      <c r="GV434"/>
      <c r="GW434"/>
      <c r="GX434"/>
      <c r="GY434"/>
      <c r="GZ434"/>
      <c r="HA434"/>
      <c r="HB434"/>
      <c r="HC434"/>
    </row>
    <row r="435" spans="1:211" s="7" customFormat="1">
      <c r="A435" s="4"/>
      <c r="B435" s="52" t="s">
        <v>53</v>
      </c>
      <c r="C435" s="53">
        <f>SUM(C423:C434)</f>
        <v>35.063759638775366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69.306832310752966</v>
      </c>
      <c r="AO435">
        <v>8.2205856574682166</v>
      </c>
      <c r="AP435">
        <v>20.104353791334674</v>
      </c>
      <c r="AQ435">
        <v>63.965170664175886</v>
      </c>
      <c r="AR435">
        <v>8.7717724843860871</v>
      </c>
      <c r="AS435">
        <v>54.841355583377769</v>
      </c>
      <c r="AT435" t="e">
        <v>#DIV/0!</v>
      </c>
      <c r="AU435" t="e">
        <v>#DIV/0!</v>
      </c>
      <c r="AV435"/>
      <c r="AW435"/>
      <c r="FY435" s="211">
        <v>430</v>
      </c>
      <c r="FZ435">
        <v>14.926462089672391</v>
      </c>
      <c r="GA435">
        <v>13.732356884807556</v>
      </c>
      <c r="GB435">
        <v>7.095642311705058</v>
      </c>
      <c r="GC435">
        <v>4.5603415912376324</v>
      </c>
      <c r="GD435">
        <v>3.0124187594080474</v>
      </c>
      <c r="GE435">
        <v>3.6967585795251128</v>
      </c>
      <c r="GF435">
        <v>2.9693800420569096</v>
      </c>
      <c r="GG435">
        <v>3.7061364216628503</v>
      </c>
      <c r="GH435">
        <v>4.885829216736072</v>
      </c>
      <c r="GI435">
        <v>6.9928522122829442</v>
      </c>
      <c r="GJ435"/>
      <c r="GK435">
        <v>14.97160510604489</v>
      </c>
      <c r="GL435">
        <v>11.637043914904663</v>
      </c>
      <c r="GM435">
        <v>11.789027427100654</v>
      </c>
      <c r="GN435">
        <v>13.661217533609012</v>
      </c>
      <c r="GO435">
        <v>11.710717101801746</v>
      </c>
      <c r="GP435">
        <v>7.0774485005418661</v>
      </c>
      <c r="GQ435">
        <v>3.6294054856024438</v>
      </c>
      <c r="GR435">
        <v>5.2092665967135554</v>
      </c>
      <c r="GS435">
        <v>5.2108786700242753</v>
      </c>
      <c r="GT435">
        <v>9.4623267581148038</v>
      </c>
      <c r="GU435"/>
      <c r="GV435"/>
      <c r="GW435"/>
      <c r="GX435"/>
      <c r="GY435"/>
      <c r="GZ435"/>
      <c r="HA435"/>
      <c r="HB435"/>
      <c r="HC435"/>
    </row>
    <row r="436" spans="1:211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56.383434199409201</v>
      </c>
      <c r="AO436">
        <v>6.5701524475134452</v>
      </c>
      <c r="AP436">
        <v>78.643052756570441</v>
      </c>
      <c r="AQ436">
        <v>48.873491876605925</v>
      </c>
      <c r="AR436">
        <v>7.0074242827862525</v>
      </c>
      <c r="AS436">
        <v>43.4104313014547</v>
      </c>
      <c r="AT436" t="e">
        <v>#DIV/0!</v>
      </c>
      <c r="AU436" t="e">
        <v>#DIV/0!</v>
      </c>
      <c r="AV436"/>
      <c r="AW436"/>
      <c r="FY436" s="211">
        <v>431</v>
      </c>
      <c r="FZ436">
        <v>7.3967086474476771</v>
      </c>
      <c r="GA436">
        <v>7.0339876080606167</v>
      </c>
      <c r="GB436">
        <v>6.0264123873267543</v>
      </c>
      <c r="GC436">
        <v>2.5224867802362629</v>
      </c>
      <c r="GD436">
        <v>1.7648575846245225</v>
      </c>
      <c r="GE436">
        <v>3.2337101298739501</v>
      </c>
      <c r="GF436">
        <v>0.60804645810537317</v>
      </c>
      <c r="GG436">
        <v>1.6515301871214416</v>
      </c>
      <c r="GH436">
        <v>5.3875642865258264</v>
      </c>
      <c r="GI436">
        <v>4.5502824279075789</v>
      </c>
      <c r="GJ436"/>
      <c r="GK436">
        <v>7.4279379095026332</v>
      </c>
      <c r="GL436">
        <v>5.9589081904885388</v>
      </c>
      <c r="GM436">
        <v>10.05852133666631</v>
      </c>
      <c r="GN436">
        <v>7.6256234368693612</v>
      </c>
      <c r="GO436">
        <v>6.8413747946888019</v>
      </c>
      <c r="GP436">
        <v>6.1909417175961305</v>
      </c>
      <c r="GQ436">
        <v>0.74278250565987025</v>
      </c>
      <c r="GR436">
        <v>2.3226436167709812</v>
      </c>
      <c r="GS436">
        <v>5.7435209107452767</v>
      </c>
      <c r="GT436">
        <v>6.1628274914525791</v>
      </c>
      <c r="GU436"/>
      <c r="GV436"/>
      <c r="GW436"/>
      <c r="GX436"/>
      <c r="GY436"/>
      <c r="GZ436"/>
      <c r="HA436"/>
      <c r="HB436"/>
      <c r="HC436"/>
    </row>
    <row r="437" spans="1:211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66.404962157079879</v>
      </c>
      <c r="AO437">
        <v>7.6447903506374901</v>
      </c>
      <c r="AP437">
        <v>36.67260921295145</v>
      </c>
      <c r="AQ437">
        <v>55.11205249331914</v>
      </c>
      <c r="AR437">
        <v>7.6840672162513313</v>
      </c>
      <c r="AS437">
        <v>48.101915137574963</v>
      </c>
      <c r="AT437" t="e">
        <v>#DIV/0!</v>
      </c>
      <c r="AU437" t="e">
        <v>#DIV/0!</v>
      </c>
      <c r="AV437"/>
      <c r="AW437"/>
      <c r="FY437" s="211">
        <v>432</v>
      </c>
      <c r="FZ437">
        <v>14.419519242261185</v>
      </c>
      <c r="GA437">
        <v>13.510447829632049</v>
      </c>
      <c r="GB437">
        <v>8.4145402290736779</v>
      </c>
      <c r="GC437">
        <v>4.4890825501537091</v>
      </c>
      <c r="GD437">
        <v>1.6685140669539611</v>
      </c>
      <c r="GE437">
        <v>2.5253864369054138</v>
      </c>
      <c r="GF437">
        <v>1.8863511325558551</v>
      </c>
      <c r="GG437">
        <v>1.5934002092972313</v>
      </c>
      <c r="GH437">
        <v>3.8866999253633554</v>
      </c>
      <c r="GI437">
        <v>6.1163767501592936</v>
      </c>
      <c r="GJ437"/>
      <c r="GK437">
        <v>14.46962141935429</v>
      </c>
      <c r="GL437">
        <v>11.447990986616698</v>
      </c>
      <c r="GM437">
        <v>14.007535265993873</v>
      </c>
      <c r="GN437">
        <v>13.478841398127269</v>
      </c>
      <c r="GO437">
        <v>6.4788001638404049</v>
      </c>
      <c r="GP437">
        <v>4.8348552026518865</v>
      </c>
      <c r="GQ437">
        <v>2.3068965330588709</v>
      </c>
      <c r="GR437">
        <v>2.2391881997255374</v>
      </c>
      <c r="GS437">
        <v>4.1449302301460413</v>
      </c>
      <c r="GT437">
        <v>8.2815567224786975</v>
      </c>
      <c r="GU437"/>
      <c r="GV437"/>
      <c r="GW437"/>
      <c r="GX437"/>
      <c r="GY437"/>
      <c r="GZ437"/>
      <c r="HA437"/>
      <c r="HB437"/>
      <c r="HC437"/>
    </row>
    <row r="438" spans="1:211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72.050982973314277</v>
      </c>
      <c r="AO438">
        <v>8.2345528867004898</v>
      </c>
      <c r="AP438">
        <v>3.9268594013510834</v>
      </c>
      <c r="AQ438">
        <v>64.725996575295625</v>
      </c>
      <c r="AR438">
        <v>8.2874429343117537</v>
      </c>
      <c r="AS438">
        <v>50.438116414140147</v>
      </c>
      <c r="AT438">
        <v>6.6323014951416228</v>
      </c>
      <c r="AU438">
        <v>-0.23096128743468558</v>
      </c>
      <c r="AV438"/>
      <c r="AW438"/>
      <c r="FY438" s="211">
        <v>433</v>
      </c>
      <c r="FZ438">
        <v>17.019104565986581</v>
      </c>
      <c r="GA438">
        <v>12.980782362769569</v>
      </c>
      <c r="GB438">
        <v>6.1907396565503419</v>
      </c>
      <c r="GC438">
        <v>3.0981335086415767</v>
      </c>
      <c r="GD438">
        <v>1.3074805721066842</v>
      </c>
      <c r="GE438">
        <v>1.701862817619699</v>
      </c>
      <c r="GF438">
        <v>2.2904813354815796</v>
      </c>
      <c r="GG438">
        <v>2.367581559138717</v>
      </c>
      <c r="GH438">
        <v>7.3202769317590395</v>
      </c>
      <c r="GI438">
        <v>6.3628931515367659</v>
      </c>
      <c r="GJ438"/>
      <c r="GK438">
        <v>17.098818350171189</v>
      </c>
      <c r="GL438">
        <v>11.000245895738615</v>
      </c>
      <c r="GM438">
        <v>10.294735967811599</v>
      </c>
      <c r="GN438">
        <v>9.3023229681194692</v>
      </c>
      <c r="GO438">
        <v>5.0899459765076784</v>
      </c>
      <c r="GP438">
        <v>3.2582182978899805</v>
      </c>
      <c r="GQ438">
        <v>2.8021159372456665</v>
      </c>
      <c r="GR438">
        <v>3.3287363076160368</v>
      </c>
      <c r="GS438">
        <v>7.8051583739309285</v>
      </c>
      <c r="GT438">
        <v>8.6181549211334136</v>
      </c>
      <c r="GU438"/>
      <c r="GV438"/>
      <c r="GW438"/>
      <c r="GX438"/>
      <c r="GY438"/>
      <c r="GZ438"/>
      <c r="HA438"/>
      <c r="HB438"/>
      <c r="HC438"/>
    </row>
    <row r="439" spans="1:211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45.626489001178221</v>
      </c>
      <c r="AO439">
        <v>5.7385379671564571</v>
      </c>
      <c r="AP439">
        <v>80.588007365764497</v>
      </c>
      <c r="AQ439">
        <v>39.053533404096591</v>
      </c>
      <c r="AR439">
        <v>5.9832237295568138</v>
      </c>
      <c r="AS439">
        <v>37.710559446487551</v>
      </c>
      <c r="AT439" t="e">
        <v>#DIV/0!</v>
      </c>
      <c r="AU439" t="e">
        <v>#DIV/0!</v>
      </c>
      <c r="AV439"/>
      <c r="AW439"/>
      <c r="FY439" s="211">
        <v>434</v>
      </c>
      <c r="FZ439">
        <v>11.719894494725018</v>
      </c>
      <c r="GA439">
        <v>7.1612002513806328</v>
      </c>
      <c r="GB439">
        <v>3.0238476047836977</v>
      </c>
      <c r="GC439">
        <v>2.499898799124046</v>
      </c>
      <c r="GD439">
        <v>1.9759367939782231</v>
      </c>
      <c r="GE439">
        <v>2.4277479538655462</v>
      </c>
      <c r="GF439">
        <v>1.2160929162107463</v>
      </c>
      <c r="GG439">
        <v>1.4321027440345502</v>
      </c>
      <c r="GH439">
        <v>5.9932055908534902</v>
      </c>
      <c r="GI439">
        <v>4.7798008581521341</v>
      </c>
      <c r="GJ439"/>
      <c r="GK439">
        <v>11.757043350069374</v>
      </c>
      <c r="GL439">
        <v>6.0682032922532807</v>
      </c>
      <c r="GM439">
        <v>5.0095991356138088</v>
      </c>
      <c r="GN439">
        <v>7.4718195339288647</v>
      </c>
      <c r="GO439">
        <v>7.6912327843185668</v>
      </c>
      <c r="GP439">
        <v>4.647926215940922</v>
      </c>
      <c r="GQ439">
        <v>1.4855650113197405</v>
      </c>
      <c r="GR439">
        <v>2.0121853816901107</v>
      </c>
      <c r="GS439">
        <v>6.3864067692640774</v>
      </c>
      <c r="GT439">
        <v>6.465969410117113</v>
      </c>
      <c r="GU439"/>
      <c r="GV439"/>
      <c r="GW439"/>
      <c r="GX439"/>
      <c r="GY439"/>
      <c r="GZ439"/>
      <c r="HA439"/>
      <c r="HB439"/>
      <c r="HC439"/>
    </row>
    <row r="440" spans="1:211" s="7" customFormat="1">
      <c r="A440" s="1">
        <v>4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63.998669793783527</v>
      </c>
      <c r="AO440">
        <v>7.4189534757183724</v>
      </c>
      <c r="AP440">
        <v>47.474554692286944</v>
      </c>
      <c r="AQ440">
        <v>57.999613754861912</v>
      </c>
      <c r="AR440">
        <v>7.6803471152586473</v>
      </c>
      <c r="AS440">
        <v>49.672750460272297</v>
      </c>
      <c r="AT440" t="e">
        <v>#DIV/0!</v>
      </c>
      <c r="AU440" t="e">
        <v>#DIV/0!</v>
      </c>
      <c r="AV440"/>
      <c r="AW440"/>
      <c r="FY440" s="211">
        <v>435</v>
      </c>
      <c r="FZ440">
        <v>11.025778826648022</v>
      </c>
      <c r="GA440">
        <v>11.077100965070661</v>
      </c>
      <c r="GB440">
        <v>5.8686797293004904</v>
      </c>
      <c r="GC440">
        <v>2.494559435192214</v>
      </c>
      <c r="GD440">
        <v>1.5702872532903396</v>
      </c>
      <c r="GE440">
        <v>2.1632663349452805</v>
      </c>
      <c r="GF440">
        <v>2.974654545181159</v>
      </c>
      <c r="GG440">
        <v>2.5419457890172099</v>
      </c>
      <c r="GH440">
        <v>3.6870629204786072</v>
      </c>
      <c r="GI440">
        <v>5.0948860469106423</v>
      </c>
      <c r="GJ440"/>
      <c r="GK440">
        <v>11.066636849162496</v>
      </c>
      <c r="GL440">
        <v>9.3866905005731045</v>
      </c>
      <c r="GM440">
        <v>9.7189361126820444</v>
      </c>
      <c r="GN440">
        <v>7.4344495018688885</v>
      </c>
      <c r="GO440">
        <v>6.0979464124561291</v>
      </c>
      <c r="GP440">
        <v>4.1415758560295153</v>
      </c>
      <c r="GQ440">
        <v>3.6451288244766498</v>
      </c>
      <c r="GR440">
        <v>3.5774204911433167</v>
      </c>
      <c r="GS440">
        <v>3.9316120870404698</v>
      </c>
      <c r="GT440">
        <v>6.8920520571635588</v>
      </c>
      <c r="GU440"/>
      <c r="GV440"/>
      <c r="GW440"/>
      <c r="GX440"/>
      <c r="GY440"/>
      <c r="GZ440"/>
      <c r="HA440"/>
      <c r="HB440"/>
      <c r="HC440"/>
    </row>
    <row r="441" spans="1:211" s="7" customFormat="1">
      <c r="A441" s="21" t="s">
        <v>97</v>
      </c>
      <c r="B441" s="48" t="s">
        <v>38</v>
      </c>
      <c r="C441" s="107">
        <f t="shared" ref="C441:C450" si="391">SUM(G441:AK441)</f>
        <v>7.0097608255901864</v>
      </c>
      <c r="D441" s="190">
        <f>$A$405</f>
        <v>13.69</v>
      </c>
      <c r="E441" s="8"/>
      <c r="F441" s="124"/>
      <c r="G441" s="107">
        <f>IF(G423&lt;=0, "0.000", G423)</f>
        <v>0.19129820130467545</v>
      </c>
      <c r="H441" s="107">
        <f t="shared" ref="H441:AK441" si="392">IF(H423&lt;=0, "0.000", H423)</f>
        <v>5.3156996448231704</v>
      </c>
      <c r="I441" s="107">
        <f t="shared" si="392"/>
        <v>1.5027629794623403</v>
      </c>
      <c r="J441" s="107" t="str">
        <f t="shared" si="392"/>
        <v>0.000</v>
      </c>
      <c r="K441" s="107" t="str">
        <f t="shared" si="392"/>
        <v>0.000</v>
      </c>
      <c r="L441" s="107" t="str">
        <f t="shared" si="392"/>
        <v>0.000</v>
      </c>
      <c r="M441" s="107" t="str">
        <f t="shared" si="392"/>
        <v>0.000</v>
      </c>
      <c r="N441" s="107" t="str">
        <f t="shared" si="392"/>
        <v>0.000</v>
      </c>
      <c r="O441" s="107" t="str">
        <f t="shared" si="392"/>
        <v>0.000</v>
      </c>
      <c r="P441" s="107" t="str">
        <f t="shared" si="392"/>
        <v>0.000</v>
      </c>
      <c r="Q441" s="107" t="str">
        <f t="shared" si="392"/>
        <v>0.000</v>
      </c>
      <c r="R441" s="107" t="str">
        <f t="shared" si="392"/>
        <v>0.000</v>
      </c>
      <c r="S441" s="107" t="str">
        <f t="shared" si="392"/>
        <v>0.000</v>
      </c>
      <c r="T441" s="107" t="str">
        <f t="shared" si="392"/>
        <v>0.000</v>
      </c>
      <c r="U441" s="107" t="str">
        <f t="shared" si="392"/>
        <v>0.000</v>
      </c>
      <c r="V441" s="107" t="str">
        <f t="shared" si="392"/>
        <v>0.000</v>
      </c>
      <c r="W441" s="107" t="str">
        <f t="shared" si="392"/>
        <v>0.000</v>
      </c>
      <c r="X441" s="107" t="str">
        <f t="shared" si="392"/>
        <v>0.000</v>
      </c>
      <c r="Y441" s="107" t="str">
        <f t="shared" si="392"/>
        <v>0.000</v>
      </c>
      <c r="Z441" s="107" t="str">
        <f t="shared" si="392"/>
        <v>0.000</v>
      </c>
      <c r="AA441" s="107" t="str">
        <f t="shared" si="392"/>
        <v>0.000</v>
      </c>
      <c r="AB441" s="107" t="str">
        <f t="shared" si="392"/>
        <v>0.000</v>
      </c>
      <c r="AC441" s="107" t="str">
        <f t="shared" si="392"/>
        <v>0.000</v>
      </c>
      <c r="AD441" s="107" t="str">
        <f t="shared" si="392"/>
        <v>0.000</v>
      </c>
      <c r="AE441" s="107" t="str">
        <f t="shared" si="392"/>
        <v>0.000</v>
      </c>
      <c r="AF441" s="107" t="str">
        <f t="shared" si="392"/>
        <v>0.000</v>
      </c>
      <c r="AG441" s="107" t="str">
        <f t="shared" si="392"/>
        <v>0.000</v>
      </c>
      <c r="AH441" s="107" t="str">
        <f t="shared" si="392"/>
        <v>0.000</v>
      </c>
      <c r="AI441" s="107" t="str">
        <f t="shared" si="392"/>
        <v>0.000</v>
      </c>
      <c r="AJ441" s="107" t="str">
        <f t="shared" si="392"/>
        <v>0.000</v>
      </c>
      <c r="AK441" s="107" t="str">
        <f t="shared" si="392"/>
        <v>0.000</v>
      </c>
      <c r="AL441" s="4"/>
      <c r="AM441" s="43">
        <v>425</v>
      </c>
      <c r="AN441">
        <v>75.925942105585435</v>
      </c>
      <c r="AO441">
        <v>9.0979797219713952</v>
      </c>
      <c r="AP441">
        <v>47.121070324988615</v>
      </c>
      <c r="AQ441">
        <v>65.532636321342594</v>
      </c>
      <c r="AR441">
        <v>9.1213415299813008</v>
      </c>
      <c r="AS441">
        <v>56.072819938139453</v>
      </c>
      <c r="AT441" t="e">
        <v>#DIV/0!</v>
      </c>
      <c r="AU441" t="e">
        <v>#DIV/0!</v>
      </c>
      <c r="AV441"/>
      <c r="AW441"/>
      <c r="FY441" s="211">
        <v>436</v>
      </c>
      <c r="FZ441">
        <v>10.292062051472133</v>
      </c>
      <c r="GA441">
        <v>6.593461048055075</v>
      </c>
      <c r="GB441">
        <v>4.5492823105052755</v>
      </c>
      <c r="GC441">
        <v>2.9182558051616945</v>
      </c>
      <c r="GD441">
        <v>1.283203388074071</v>
      </c>
      <c r="GE441">
        <v>1.6317728669767444</v>
      </c>
      <c r="GF441">
        <v>1.7999008971784418</v>
      </c>
      <c r="GG441">
        <v>2.2193508584918478</v>
      </c>
      <c r="GH441">
        <v>4.5132469833743452</v>
      </c>
      <c r="GI441">
        <v>4.4142241214524685</v>
      </c>
      <c r="GJ441"/>
      <c r="GK441">
        <v>10.330895526703728</v>
      </c>
      <c r="GL441">
        <v>5.5876956277043659</v>
      </c>
      <c r="GM441">
        <v>7.5323517715398864</v>
      </c>
      <c r="GN441">
        <v>8.6812252349782053</v>
      </c>
      <c r="GO441">
        <v>4.9731181233909449</v>
      </c>
      <c r="GP441">
        <v>3.1240310077519382</v>
      </c>
      <c r="GQ441">
        <v>2.2055907809983895</v>
      </c>
      <c r="GR441">
        <v>3.1234148550724634</v>
      </c>
      <c r="GS441">
        <v>4.813049174813175</v>
      </c>
      <c r="GT441">
        <v>5.971001075489224</v>
      </c>
      <c r="GU441"/>
      <c r="GV441"/>
      <c r="GW441"/>
      <c r="GX441"/>
      <c r="GY441"/>
      <c r="GZ441"/>
      <c r="HA441"/>
      <c r="HB441"/>
      <c r="HC441"/>
    </row>
    <row r="442" spans="1:211" s="7" customFormat="1">
      <c r="A442" s="1">
        <v>385</v>
      </c>
      <c r="B442" s="48" t="s">
        <v>39</v>
      </c>
      <c r="C442" s="107">
        <f t="shared" si="391"/>
        <v>4.6453470288425738</v>
      </c>
      <c r="D442" s="190">
        <f>$A$406</f>
        <v>9.4499999999999993</v>
      </c>
      <c r="E442" s="8"/>
      <c r="F442" s="124"/>
      <c r="G442" s="173">
        <f t="shared" ref="G442:G450" si="393">IF(G424&lt;=0, "0.000", G424)</f>
        <v>0.48818981221838476</v>
      </c>
      <c r="H442" s="173">
        <f t="shared" ref="H442:V442" si="394">IF(H424&lt;=0, "0.000", H424)</f>
        <v>4.1571572166241895</v>
      </c>
      <c r="I442" s="173" t="str">
        <f t="shared" si="394"/>
        <v>0.000</v>
      </c>
      <c r="J442" s="173" t="str">
        <f t="shared" si="394"/>
        <v>0.000</v>
      </c>
      <c r="K442" s="173" t="str">
        <f t="shared" si="394"/>
        <v>0.000</v>
      </c>
      <c r="L442" s="173" t="str">
        <f t="shared" si="394"/>
        <v>0.000</v>
      </c>
      <c r="M442" s="173" t="str">
        <f t="shared" si="394"/>
        <v>0.000</v>
      </c>
      <c r="N442" s="173" t="str">
        <f t="shared" si="394"/>
        <v>0.000</v>
      </c>
      <c r="O442" s="173" t="str">
        <f t="shared" si="394"/>
        <v>0.000</v>
      </c>
      <c r="P442" s="173" t="str">
        <f t="shared" si="394"/>
        <v>0.000</v>
      </c>
      <c r="Q442" s="173" t="str">
        <f t="shared" si="394"/>
        <v>0.000</v>
      </c>
      <c r="R442" s="173" t="str">
        <f t="shared" si="394"/>
        <v>0.000</v>
      </c>
      <c r="S442" s="173" t="str">
        <f t="shared" si="394"/>
        <v>0.000</v>
      </c>
      <c r="T442" s="173" t="str">
        <f t="shared" si="394"/>
        <v>0.000</v>
      </c>
      <c r="U442" s="173" t="str">
        <f t="shared" si="394"/>
        <v>0.000</v>
      </c>
      <c r="V442" s="173" t="str">
        <f t="shared" si="394"/>
        <v>0.000</v>
      </c>
      <c r="W442" s="173" t="str">
        <f t="shared" ref="W442:AK442" si="395">IF(W424&lt;=0, "0.000", W424)</f>
        <v>0.000</v>
      </c>
      <c r="X442" s="173" t="str">
        <f t="shared" si="395"/>
        <v>0.000</v>
      </c>
      <c r="Y442" s="173" t="str">
        <f t="shared" si="395"/>
        <v>0.000</v>
      </c>
      <c r="Z442" s="173" t="str">
        <f t="shared" si="395"/>
        <v>0.000</v>
      </c>
      <c r="AA442" s="173" t="str">
        <f t="shared" si="395"/>
        <v>0.000</v>
      </c>
      <c r="AB442" s="173" t="str">
        <f t="shared" si="395"/>
        <v>0.000</v>
      </c>
      <c r="AC442" s="173" t="str">
        <f t="shared" si="395"/>
        <v>0.000</v>
      </c>
      <c r="AD442" s="173" t="str">
        <f t="shared" si="395"/>
        <v>0.000</v>
      </c>
      <c r="AE442" s="173" t="str">
        <f t="shared" si="395"/>
        <v>0.000</v>
      </c>
      <c r="AF442" s="173" t="str">
        <f t="shared" si="395"/>
        <v>0.000</v>
      </c>
      <c r="AG442" s="173" t="str">
        <f t="shared" si="395"/>
        <v>0.000</v>
      </c>
      <c r="AH442" s="173" t="str">
        <f t="shared" si="395"/>
        <v>0.000</v>
      </c>
      <c r="AI442" s="173" t="str">
        <f t="shared" si="395"/>
        <v>0.000</v>
      </c>
      <c r="AJ442" s="173" t="str">
        <f t="shared" si="395"/>
        <v>0.000</v>
      </c>
      <c r="AK442" s="173" t="str">
        <f t="shared" si="395"/>
        <v>0.000</v>
      </c>
      <c r="AL442" s="4"/>
      <c r="AM442" s="43">
        <v>426</v>
      </c>
      <c r="AN442">
        <v>51.901183702104049</v>
      </c>
      <c r="AO442">
        <v>6.3175213948355209</v>
      </c>
      <c r="AP442">
        <v>54.313950076421328</v>
      </c>
      <c r="AQ442">
        <v>43.51691236423747</v>
      </c>
      <c r="AR442">
        <v>6.3892774926695015</v>
      </c>
      <c r="AS442">
        <v>39.743205925214099</v>
      </c>
      <c r="AT442" t="e">
        <v>#DIV/0!</v>
      </c>
      <c r="AU442" t="e">
        <v>#DIV/0!</v>
      </c>
      <c r="AV442"/>
      <c r="AW442"/>
      <c r="FY442" s="211">
        <v>437</v>
      </c>
      <c r="FZ442">
        <v>11.943826063824236</v>
      </c>
      <c r="GA442">
        <v>9.206642562178434</v>
      </c>
      <c r="GB442">
        <v>4.7317459503149371</v>
      </c>
      <c r="GC442">
        <v>3.4909703153311926</v>
      </c>
      <c r="GD442">
        <v>1.9649043475432841</v>
      </c>
      <c r="GE442">
        <v>2.1700810545798324</v>
      </c>
      <c r="GF442">
        <v>1.2627066875430251</v>
      </c>
      <c r="GG442">
        <v>1.3774199248980978</v>
      </c>
      <c r="GH442">
        <v>4.1620028398993512</v>
      </c>
      <c r="GI442">
        <v>4.9482356302874315</v>
      </c>
      <c r="GJ442"/>
      <c r="GK442">
        <v>11.98920305039722</v>
      </c>
      <c r="GL442">
        <v>7.800263894717169</v>
      </c>
      <c r="GM442">
        <v>7.8757935104144252</v>
      </c>
      <c r="GN442">
        <v>10.487777461760173</v>
      </c>
      <c r="GO442">
        <v>7.6579456026499431</v>
      </c>
      <c r="GP442">
        <v>4.1546226445123509</v>
      </c>
      <c r="GQ442">
        <v>1.5473153180354264</v>
      </c>
      <c r="GR442">
        <v>1.9385190217391302</v>
      </c>
      <c r="GS442">
        <v>4.4353855331092857</v>
      </c>
      <c r="GT442">
        <v>6.7011286029212611</v>
      </c>
      <c r="GU442"/>
      <c r="GV442"/>
      <c r="GW442"/>
      <c r="GX442"/>
      <c r="GY442"/>
      <c r="GZ442"/>
      <c r="HA442"/>
      <c r="HB442"/>
      <c r="HC442"/>
    </row>
    <row r="443" spans="1:211" s="7" customFormat="1">
      <c r="A443" s="103" t="s">
        <v>98</v>
      </c>
      <c r="B443" s="48" t="s">
        <v>40</v>
      </c>
      <c r="C443" s="107">
        <f t="shared" si="391"/>
        <v>4.2121681212902411</v>
      </c>
      <c r="D443" s="190">
        <f>A$407</f>
        <v>4.03</v>
      </c>
      <c r="E443" s="8"/>
      <c r="F443" s="124"/>
      <c r="G443" s="173">
        <f t="shared" si="393"/>
        <v>0.37118383218648149</v>
      </c>
      <c r="H443" s="173">
        <f t="shared" ref="H443:V443" si="396">IF(H425&lt;=0, "0.000", H425)</f>
        <v>3.1405992809498899</v>
      </c>
      <c r="I443" s="173">
        <f t="shared" si="396"/>
        <v>0.70038500815387006</v>
      </c>
      <c r="J443" s="173" t="str">
        <f t="shared" si="396"/>
        <v>0.000</v>
      </c>
      <c r="K443" s="173" t="str">
        <f t="shared" si="396"/>
        <v>0.000</v>
      </c>
      <c r="L443" s="173" t="str">
        <f t="shared" si="396"/>
        <v>0.000</v>
      </c>
      <c r="M443" s="173" t="str">
        <f t="shared" si="396"/>
        <v>0.000</v>
      </c>
      <c r="N443" s="173" t="str">
        <f t="shared" si="396"/>
        <v>0.000</v>
      </c>
      <c r="O443" s="173" t="str">
        <f t="shared" si="396"/>
        <v>0.000</v>
      </c>
      <c r="P443" s="173" t="str">
        <f t="shared" si="396"/>
        <v>0.000</v>
      </c>
      <c r="Q443" s="173" t="str">
        <f t="shared" si="396"/>
        <v>0.000</v>
      </c>
      <c r="R443" s="173" t="str">
        <f t="shared" si="396"/>
        <v>0.000</v>
      </c>
      <c r="S443" s="173" t="str">
        <f t="shared" si="396"/>
        <v>0.000</v>
      </c>
      <c r="T443" s="173" t="str">
        <f t="shared" si="396"/>
        <v>0.000</v>
      </c>
      <c r="U443" s="173" t="str">
        <f t="shared" si="396"/>
        <v>0.000</v>
      </c>
      <c r="V443" s="173" t="str">
        <f t="shared" si="396"/>
        <v>0.000</v>
      </c>
      <c r="W443" s="173" t="str">
        <f t="shared" ref="W443:AK443" si="397">IF(W425&lt;=0, "0.000", W425)</f>
        <v>0.000</v>
      </c>
      <c r="X443" s="173" t="str">
        <f t="shared" si="397"/>
        <v>0.000</v>
      </c>
      <c r="Y443" s="173" t="str">
        <f t="shared" si="397"/>
        <v>0.000</v>
      </c>
      <c r="Z443" s="173" t="str">
        <f t="shared" si="397"/>
        <v>0.000</v>
      </c>
      <c r="AA443" s="173" t="str">
        <f t="shared" si="397"/>
        <v>0.000</v>
      </c>
      <c r="AB443" s="173" t="str">
        <f t="shared" si="397"/>
        <v>0.000</v>
      </c>
      <c r="AC443" s="173" t="str">
        <f t="shared" si="397"/>
        <v>0.000</v>
      </c>
      <c r="AD443" s="173" t="str">
        <f t="shared" si="397"/>
        <v>0.000</v>
      </c>
      <c r="AE443" s="173" t="str">
        <f t="shared" si="397"/>
        <v>0.000</v>
      </c>
      <c r="AF443" s="173" t="str">
        <f t="shared" si="397"/>
        <v>0.000</v>
      </c>
      <c r="AG443" s="173" t="str">
        <f t="shared" si="397"/>
        <v>0.000</v>
      </c>
      <c r="AH443" s="173" t="str">
        <f t="shared" si="397"/>
        <v>0.000</v>
      </c>
      <c r="AI443" s="173" t="str">
        <f t="shared" si="397"/>
        <v>0.000</v>
      </c>
      <c r="AJ443" s="173" t="str">
        <f t="shared" si="397"/>
        <v>0.000</v>
      </c>
      <c r="AK443" s="173" t="str">
        <f t="shared" si="397"/>
        <v>0.000</v>
      </c>
      <c r="AL443" s="4"/>
      <c r="AM443" s="43">
        <v>427</v>
      </c>
      <c r="AN443">
        <v>54.861930604035976</v>
      </c>
      <c r="AO443">
        <v>6.6156335754047166</v>
      </c>
      <c r="AP443">
        <v>95.26263428595648</v>
      </c>
      <c r="AQ443">
        <v>43.19807690892366</v>
      </c>
      <c r="AR443">
        <v>6.9591145731853423</v>
      </c>
      <c r="AS443">
        <v>40.902897096163869</v>
      </c>
      <c r="AT443" t="e">
        <v>#DIV/0!</v>
      </c>
      <c r="AU443" t="e">
        <v>#DIV/0!</v>
      </c>
      <c r="AV443"/>
      <c r="AW443"/>
      <c r="FY443" s="211">
        <v>438</v>
      </c>
      <c r="FZ443">
        <v>19.465677413770223</v>
      </c>
      <c r="GA443">
        <v>14.813018872924959</v>
      </c>
      <c r="GB443">
        <v>4.7886165696576093</v>
      </c>
      <c r="GC443">
        <v>2.7830002100472333</v>
      </c>
      <c r="GD443">
        <v>1.515642231086952</v>
      </c>
      <c r="GE443">
        <v>2.4091837176196993</v>
      </c>
      <c r="GF443">
        <v>1.9555203874728262</v>
      </c>
      <c r="GG443">
        <v>2.7290415520380438</v>
      </c>
      <c r="GH443">
        <v>4.671754364615829</v>
      </c>
      <c r="GI443">
        <v>6.0209982137271627</v>
      </c>
      <c r="GJ443"/>
      <c r="GK443">
        <v>19.531849655739826</v>
      </c>
      <c r="GL443">
        <v>12.552329203554182</v>
      </c>
      <c r="GM443">
        <v>7.9700823035178727</v>
      </c>
      <c r="GN443">
        <v>8.3414531595329873</v>
      </c>
      <c r="GO443">
        <v>5.8750948273636059</v>
      </c>
      <c r="GP443">
        <v>4.6123849645566475</v>
      </c>
      <c r="GQ443">
        <v>2.3962862318840581</v>
      </c>
      <c r="GR443">
        <v>3.8407306763285027</v>
      </c>
      <c r="GS443">
        <v>4.9820162868731792</v>
      </c>
      <c r="GT443">
        <v>8.1510658610757076</v>
      </c>
      <c r="GU443"/>
      <c r="GV443"/>
      <c r="GW443"/>
      <c r="GX443"/>
      <c r="GY443"/>
      <c r="GZ443"/>
      <c r="HA443"/>
      <c r="HB443"/>
      <c r="HC443"/>
    </row>
    <row r="444" spans="1:211" s="7" customFormat="1">
      <c r="A444" s="1">
        <v>345</v>
      </c>
      <c r="B444" s="48" t="s">
        <v>41</v>
      </c>
      <c r="C444" s="107">
        <f t="shared" si="391"/>
        <v>2.1710872276487492</v>
      </c>
      <c r="D444" s="190">
        <f>A$408</f>
        <v>0.78</v>
      </c>
      <c r="E444" s="8"/>
      <c r="F444" s="124"/>
      <c r="G444" s="173">
        <f t="shared" si="393"/>
        <v>8.6966989601103148E-2</v>
      </c>
      <c r="H444" s="173">
        <f t="shared" ref="H444:V444" si="398">IF(H426&lt;=0, "0.000", H426)</f>
        <v>1.6995398086869269</v>
      </c>
      <c r="I444" s="173">
        <f t="shared" si="398"/>
        <v>0.38458042936071907</v>
      </c>
      <c r="J444" s="173" t="str">
        <f t="shared" si="398"/>
        <v>0.000</v>
      </c>
      <c r="K444" s="173" t="str">
        <f t="shared" si="398"/>
        <v>0.000</v>
      </c>
      <c r="L444" s="173" t="str">
        <f t="shared" si="398"/>
        <v>0.000</v>
      </c>
      <c r="M444" s="173" t="str">
        <f t="shared" si="398"/>
        <v>0.000</v>
      </c>
      <c r="N444" s="173" t="str">
        <f t="shared" si="398"/>
        <v>0.000</v>
      </c>
      <c r="O444" s="173" t="str">
        <f t="shared" si="398"/>
        <v>0.000</v>
      </c>
      <c r="P444" s="173" t="str">
        <f t="shared" si="398"/>
        <v>0.000</v>
      </c>
      <c r="Q444" s="173" t="str">
        <f t="shared" si="398"/>
        <v>0.000</v>
      </c>
      <c r="R444" s="173" t="str">
        <f t="shared" si="398"/>
        <v>0.000</v>
      </c>
      <c r="S444" s="173" t="str">
        <f t="shared" si="398"/>
        <v>0.000</v>
      </c>
      <c r="T444" s="173" t="str">
        <f t="shared" si="398"/>
        <v>0.000</v>
      </c>
      <c r="U444" s="173" t="str">
        <f t="shared" si="398"/>
        <v>0.000</v>
      </c>
      <c r="V444" s="173" t="str">
        <f t="shared" si="398"/>
        <v>0.000</v>
      </c>
      <c r="W444" s="173" t="str">
        <f t="shared" ref="W444:AK444" si="399">IF(W426&lt;=0, "0.000", W426)</f>
        <v>0.000</v>
      </c>
      <c r="X444" s="173" t="str">
        <f t="shared" si="399"/>
        <v>0.000</v>
      </c>
      <c r="Y444" s="173" t="str">
        <f t="shared" si="399"/>
        <v>0.000</v>
      </c>
      <c r="Z444" s="173" t="str">
        <f t="shared" si="399"/>
        <v>0.000</v>
      </c>
      <c r="AA444" s="173" t="str">
        <f t="shared" si="399"/>
        <v>0.000</v>
      </c>
      <c r="AB444" s="173" t="str">
        <f t="shared" si="399"/>
        <v>0.000</v>
      </c>
      <c r="AC444" s="173" t="str">
        <f t="shared" si="399"/>
        <v>0.000</v>
      </c>
      <c r="AD444" s="173" t="str">
        <f t="shared" si="399"/>
        <v>0.000</v>
      </c>
      <c r="AE444" s="173" t="str">
        <f t="shared" si="399"/>
        <v>0.000</v>
      </c>
      <c r="AF444" s="173" t="str">
        <f t="shared" si="399"/>
        <v>0.000</v>
      </c>
      <c r="AG444" s="173" t="str">
        <f t="shared" si="399"/>
        <v>0.000</v>
      </c>
      <c r="AH444" s="173" t="str">
        <f t="shared" si="399"/>
        <v>0.000</v>
      </c>
      <c r="AI444" s="173" t="str">
        <f t="shared" si="399"/>
        <v>0.000</v>
      </c>
      <c r="AJ444" s="173" t="str">
        <f t="shared" si="399"/>
        <v>0.000</v>
      </c>
      <c r="AK444" s="173" t="str">
        <f t="shared" si="399"/>
        <v>0.000</v>
      </c>
      <c r="AL444" s="4"/>
      <c r="AM444" s="43">
        <v>428</v>
      </c>
      <c r="AN444">
        <v>51.237460860246166</v>
      </c>
      <c r="AO444">
        <v>6.2389665843277884</v>
      </c>
      <c r="AP444">
        <v>65.453375256738354</v>
      </c>
      <c r="AQ444">
        <v>40.141435928543245</v>
      </c>
      <c r="AR444">
        <v>6.6820506174404599</v>
      </c>
      <c r="AS444">
        <v>37.993418427577957</v>
      </c>
      <c r="AT444" t="e">
        <v>#DIV/0!</v>
      </c>
      <c r="AU444" t="e">
        <v>#DIV/0!</v>
      </c>
      <c r="AV444"/>
      <c r="AW444"/>
      <c r="FY444" s="211">
        <v>439</v>
      </c>
      <c r="FZ444">
        <v>13.180755469918665</v>
      </c>
      <c r="GA444">
        <v>10.367620516176311</v>
      </c>
      <c r="GB444">
        <v>5.5377018792981616</v>
      </c>
      <c r="GC444">
        <v>2.5665463658293883</v>
      </c>
      <c r="GD444">
        <v>0.87369227994862453</v>
      </c>
      <c r="GE444">
        <v>1.4526555702941175</v>
      </c>
      <c r="GF444">
        <v>1.20049492930329</v>
      </c>
      <c r="GG444">
        <v>2.4934611207151915</v>
      </c>
      <c r="GH444">
        <v>8.3649387832600262</v>
      </c>
      <c r="GI444">
        <v>5.351356979075562</v>
      </c>
      <c r="GJ444"/>
      <c r="GK444">
        <v>13.214535993223645</v>
      </c>
      <c r="GL444">
        <v>8.7841067871308454</v>
      </c>
      <c r="GM444">
        <v>9.210729453620905</v>
      </c>
      <c r="GN444">
        <v>7.6972696333422848</v>
      </c>
      <c r="GO444">
        <v>3.3845810606024553</v>
      </c>
      <c r="GP444">
        <v>2.7811107397504453</v>
      </c>
      <c r="GQ444">
        <v>1.4687663019561665</v>
      </c>
      <c r="GR444">
        <v>3.5075394501043142</v>
      </c>
      <c r="GS444">
        <v>8.9173668551699823</v>
      </c>
      <c r="GT444">
        <v>7.2391959329146305</v>
      </c>
      <c r="GU444"/>
      <c r="GV444"/>
      <c r="GW444"/>
      <c r="GX444"/>
      <c r="GY444"/>
      <c r="GZ444"/>
      <c r="HA444"/>
      <c r="HB444"/>
      <c r="HC444"/>
    </row>
    <row r="445" spans="1:211" s="7" customFormat="1">
      <c r="A445" s="4"/>
      <c r="B445" s="48" t="s">
        <v>42</v>
      </c>
      <c r="C445" s="107">
        <f t="shared" si="391"/>
        <v>1.3106936774661082</v>
      </c>
      <c r="D445" s="190">
        <f>A$409</f>
        <v>0.14000000000000001</v>
      </c>
      <c r="E445" s="8"/>
      <c r="F445" s="124"/>
      <c r="G445" s="173" t="str">
        <f t="shared" si="393"/>
        <v>0.000</v>
      </c>
      <c r="H445" s="173">
        <f t="shared" ref="H445:V445" si="400">IF(H427&lt;=0, "0.000", H427)</f>
        <v>1.3106936774661082</v>
      </c>
      <c r="I445" s="173" t="str">
        <f t="shared" si="400"/>
        <v>0.000</v>
      </c>
      <c r="J445" s="173" t="str">
        <f t="shared" si="400"/>
        <v>0.000</v>
      </c>
      <c r="K445" s="173" t="str">
        <f t="shared" si="400"/>
        <v>0.000</v>
      </c>
      <c r="L445" s="173" t="str">
        <f t="shared" si="400"/>
        <v>0.000</v>
      </c>
      <c r="M445" s="173" t="str">
        <f t="shared" si="400"/>
        <v>0.000</v>
      </c>
      <c r="N445" s="173" t="str">
        <f t="shared" si="400"/>
        <v>0.000</v>
      </c>
      <c r="O445" s="173" t="str">
        <f t="shared" si="400"/>
        <v>0.000</v>
      </c>
      <c r="P445" s="173" t="str">
        <f t="shared" si="400"/>
        <v>0.000</v>
      </c>
      <c r="Q445" s="173" t="str">
        <f t="shared" si="400"/>
        <v>0.000</v>
      </c>
      <c r="R445" s="173" t="str">
        <f t="shared" si="400"/>
        <v>0.000</v>
      </c>
      <c r="S445" s="173" t="str">
        <f t="shared" si="400"/>
        <v>0.000</v>
      </c>
      <c r="T445" s="173" t="str">
        <f t="shared" si="400"/>
        <v>0.000</v>
      </c>
      <c r="U445" s="173" t="str">
        <f t="shared" si="400"/>
        <v>0.000</v>
      </c>
      <c r="V445" s="173" t="str">
        <f t="shared" si="400"/>
        <v>0.000</v>
      </c>
      <c r="W445" s="173" t="str">
        <f t="shared" ref="W445:AK445" si="401">IF(W427&lt;=0, "0.000", W427)</f>
        <v>0.000</v>
      </c>
      <c r="X445" s="173" t="str">
        <f t="shared" si="401"/>
        <v>0.000</v>
      </c>
      <c r="Y445" s="173" t="str">
        <f t="shared" si="401"/>
        <v>0.000</v>
      </c>
      <c r="Z445" s="173" t="str">
        <f t="shared" si="401"/>
        <v>0.000</v>
      </c>
      <c r="AA445" s="173" t="str">
        <f t="shared" si="401"/>
        <v>0.000</v>
      </c>
      <c r="AB445" s="173" t="str">
        <f t="shared" si="401"/>
        <v>0.000</v>
      </c>
      <c r="AC445" s="173" t="str">
        <f t="shared" si="401"/>
        <v>0.000</v>
      </c>
      <c r="AD445" s="173" t="str">
        <f t="shared" si="401"/>
        <v>0.000</v>
      </c>
      <c r="AE445" s="173" t="str">
        <f t="shared" si="401"/>
        <v>0.000</v>
      </c>
      <c r="AF445" s="173" t="str">
        <f t="shared" si="401"/>
        <v>0.000</v>
      </c>
      <c r="AG445" s="173" t="str">
        <f t="shared" si="401"/>
        <v>0.000</v>
      </c>
      <c r="AH445" s="173" t="str">
        <f t="shared" si="401"/>
        <v>0.000</v>
      </c>
      <c r="AI445" s="173" t="str">
        <f t="shared" si="401"/>
        <v>0.000</v>
      </c>
      <c r="AJ445" s="173" t="str">
        <f t="shared" si="401"/>
        <v>0.000</v>
      </c>
      <c r="AK445" s="173" t="str">
        <f t="shared" si="401"/>
        <v>0.000</v>
      </c>
      <c r="AL445" s="4"/>
      <c r="AM445" s="43">
        <v>429</v>
      </c>
      <c r="AN445">
        <v>56.48056676697049</v>
      </c>
      <c r="AO445">
        <v>6.6593207766590155</v>
      </c>
      <c r="AP445">
        <v>3.5471763378239829</v>
      </c>
      <c r="AQ445">
        <v>47.675283947564083</v>
      </c>
      <c r="AR445">
        <v>6.7654830813882221</v>
      </c>
      <c r="AS445">
        <v>43.130199668275061</v>
      </c>
      <c r="AT445">
        <v>5.4000185804345149</v>
      </c>
      <c r="AU445">
        <v>1.531253399052205</v>
      </c>
      <c r="AV445"/>
      <c r="AW445"/>
      <c r="FY445" s="211">
        <v>440</v>
      </c>
      <c r="FZ445">
        <v>12.348188013592978</v>
      </c>
      <c r="GA445">
        <v>14.630870260812184</v>
      </c>
      <c r="GB445">
        <v>7.261165378782179</v>
      </c>
      <c r="GC445">
        <v>2.6513736228118101</v>
      </c>
      <c r="GD445">
        <v>1.0377318742890869</v>
      </c>
      <c r="GE445">
        <v>1.5409491035714282</v>
      </c>
      <c r="GF445">
        <v>2.0590714139205901</v>
      </c>
      <c r="GG445">
        <v>2.3483166436884702</v>
      </c>
      <c r="GH445">
        <v>4.054319852062477</v>
      </c>
      <c r="GI445">
        <v>5.2208663909549031</v>
      </c>
      <c r="GJ445"/>
      <c r="GK445">
        <v>12.392268052496595</v>
      </c>
      <c r="GL445">
        <v>12.395890266799043</v>
      </c>
      <c r="GM445">
        <v>12.067236217317033</v>
      </c>
      <c r="GN445">
        <v>7.9658032275488395</v>
      </c>
      <c r="GO445">
        <v>4.032331142591997</v>
      </c>
      <c r="GP445">
        <v>2.9501488095238093</v>
      </c>
      <c r="GQ445">
        <v>2.5208622158047973</v>
      </c>
      <c r="GR445">
        <v>3.3032696232122047</v>
      </c>
      <c r="GS445">
        <v>4.3198853722286801</v>
      </c>
      <c r="GT445">
        <v>7.0665166000878212</v>
      </c>
      <c r="GU445"/>
      <c r="GV445"/>
      <c r="GW445"/>
      <c r="GX445"/>
      <c r="GY445"/>
      <c r="GZ445"/>
      <c r="HA445"/>
      <c r="HB445"/>
      <c r="HC445"/>
    </row>
    <row r="446" spans="1:211" s="7" customFormat="1">
      <c r="A446" s="4"/>
      <c r="B446" s="48" t="s">
        <v>118</v>
      </c>
      <c r="C446" s="107">
        <f t="shared" si="391"/>
        <v>1.8429747975286497</v>
      </c>
      <c r="D446" s="190">
        <f>A$410</f>
        <v>0.21</v>
      </c>
      <c r="E446" s="8"/>
      <c r="F446" s="124"/>
      <c r="G446" s="173" t="str">
        <f t="shared" si="393"/>
        <v>0.000</v>
      </c>
      <c r="H446" s="173">
        <f t="shared" ref="H446:V446" si="402">IF(H428&lt;=0, "0.000", H428)</f>
        <v>1.8429747975286497</v>
      </c>
      <c r="I446" s="173" t="str">
        <f t="shared" si="402"/>
        <v>0.000</v>
      </c>
      <c r="J446" s="173" t="str">
        <f t="shared" si="402"/>
        <v>0.000</v>
      </c>
      <c r="K446" s="173" t="str">
        <f t="shared" si="402"/>
        <v>0.000</v>
      </c>
      <c r="L446" s="173" t="str">
        <f t="shared" si="402"/>
        <v>0.000</v>
      </c>
      <c r="M446" s="173" t="str">
        <f t="shared" si="402"/>
        <v>0.000</v>
      </c>
      <c r="N446" s="173" t="str">
        <f t="shared" si="402"/>
        <v>0.000</v>
      </c>
      <c r="O446" s="173" t="str">
        <f t="shared" si="402"/>
        <v>0.000</v>
      </c>
      <c r="P446" s="173" t="str">
        <f t="shared" si="402"/>
        <v>0.000</v>
      </c>
      <c r="Q446" s="173" t="str">
        <f t="shared" si="402"/>
        <v>0.000</v>
      </c>
      <c r="R446" s="173" t="str">
        <f t="shared" si="402"/>
        <v>0.000</v>
      </c>
      <c r="S446" s="173" t="str">
        <f t="shared" si="402"/>
        <v>0.000</v>
      </c>
      <c r="T446" s="173" t="str">
        <f t="shared" si="402"/>
        <v>0.000</v>
      </c>
      <c r="U446" s="173" t="str">
        <f t="shared" si="402"/>
        <v>0.000</v>
      </c>
      <c r="V446" s="173" t="str">
        <f t="shared" si="402"/>
        <v>0.000</v>
      </c>
      <c r="W446" s="173" t="str">
        <f t="shared" ref="W446:AK446" si="403">IF(W428&lt;=0, "0.000", W428)</f>
        <v>0.000</v>
      </c>
      <c r="X446" s="173" t="str">
        <f t="shared" si="403"/>
        <v>0.000</v>
      </c>
      <c r="Y446" s="173" t="str">
        <f t="shared" si="403"/>
        <v>0.000</v>
      </c>
      <c r="Z446" s="173" t="str">
        <f t="shared" si="403"/>
        <v>0.000</v>
      </c>
      <c r="AA446" s="173" t="str">
        <f t="shared" si="403"/>
        <v>0.000</v>
      </c>
      <c r="AB446" s="173" t="str">
        <f t="shared" si="403"/>
        <v>0.000</v>
      </c>
      <c r="AC446" s="173" t="str">
        <f t="shared" si="403"/>
        <v>0.000</v>
      </c>
      <c r="AD446" s="173" t="str">
        <f t="shared" si="403"/>
        <v>0.000</v>
      </c>
      <c r="AE446" s="173" t="str">
        <f t="shared" si="403"/>
        <v>0.000</v>
      </c>
      <c r="AF446" s="173" t="str">
        <f t="shared" si="403"/>
        <v>0.000</v>
      </c>
      <c r="AG446" s="173" t="str">
        <f t="shared" si="403"/>
        <v>0.000</v>
      </c>
      <c r="AH446" s="173" t="str">
        <f t="shared" si="403"/>
        <v>0.000</v>
      </c>
      <c r="AI446" s="173" t="str">
        <f t="shared" si="403"/>
        <v>0.000</v>
      </c>
      <c r="AJ446" s="173" t="str">
        <f t="shared" si="403"/>
        <v>0.000</v>
      </c>
      <c r="AK446" s="173" t="str">
        <f t="shared" si="403"/>
        <v>0.000</v>
      </c>
      <c r="AL446" s="4"/>
      <c r="AM446" s="43">
        <v>430</v>
      </c>
      <c r="AN446">
        <v>79.861901250604888</v>
      </c>
      <c r="AO446">
        <v>9.4358937094457911</v>
      </c>
      <c r="AP446">
        <v>48.304341510070728</v>
      </c>
      <c r="AQ446">
        <v>65.578178109094566</v>
      </c>
      <c r="AR446">
        <v>9.4623267581148038</v>
      </c>
      <c r="AS446">
        <v>59.340300253342797</v>
      </c>
      <c r="AT446" t="e">
        <v>#DIV/0!</v>
      </c>
      <c r="AU446" t="e">
        <v>#DIV/0!</v>
      </c>
      <c r="AV446"/>
      <c r="AW446"/>
      <c r="FY446" s="211">
        <v>441</v>
      </c>
      <c r="FZ446">
        <v>6.3802190031398878</v>
      </c>
      <c r="GA446">
        <v>9.0262373853280629</v>
      </c>
      <c r="GB446">
        <v>6.8726487439123183</v>
      </c>
      <c r="GC446">
        <v>2.657826374583562</v>
      </c>
      <c r="GD446">
        <v>1.7712871432668067</v>
      </c>
      <c r="GE446">
        <v>2.6500488081512605</v>
      </c>
      <c r="GF446">
        <v>1.20049492930329</v>
      </c>
      <c r="GG446">
        <v>0.9966950165485251</v>
      </c>
      <c r="GH446">
        <v>4.2232435079975597</v>
      </c>
      <c r="GI446">
        <v>4.5297430543284589</v>
      </c>
      <c r="GJ446"/>
      <c r="GK446">
        <v>6.4069803480860283</v>
      </c>
      <c r="GL446">
        <v>7.6455969437489024</v>
      </c>
      <c r="GM446">
        <v>11.37935580688036</v>
      </c>
      <c r="GN446">
        <v>7.9103033386351358</v>
      </c>
      <c r="GO446">
        <v>6.8677922873694932</v>
      </c>
      <c r="GP446">
        <v>5.0735214540361602</v>
      </c>
      <c r="GQ446">
        <v>1.4687663019561665</v>
      </c>
      <c r="GR446">
        <v>1.4010579686228333</v>
      </c>
      <c r="GS446">
        <v>4.4984041995335247</v>
      </c>
      <c r="GT446">
        <v>6.1242597887651149</v>
      </c>
      <c r="GU446"/>
      <c r="GV446"/>
      <c r="GW446"/>
      <c r="GX446"/>
      <c r="GY446"/>
      <c r="GZ446"/>
      <c r="HA446"/>
      <c r="HB446"/>
      <c r="HC446"/>
    </row>
    <row r="447" spans="1:211" s="7" customFormat="1">
      <c r="A447" s="4"/>
      <c r="B447" s="48" t="s">
        <v>119</v>
      </c>
      <c r="C447" s="107">
        <f t="shared" si="391"/>
        <v>2.7031808979643639</v>
      </c>
      <c r="D447" s="190">
        <f>A$411</f>
        <v>1.28</v>
      </c>
      <c r="E447" s="8"/>
      <c r="F447" s="124"/>
      <c r="G447" s="173">
        <f t="shared" si="393"/>
        <v>0.39433358010281444</v>
      </c>
      <c r="H447" s="173">
        <f t="shared" ref="H447:V447" si="404">IF(H429&lt;=0, "0.000", H429)</f>
        <v>2.3088473178615496</v>
      </c>
      <c r="I447" s="173" t="str">
        <f t="shared" si="404"/>
        <v>0.000</v>
      </c>
      <c r="J447" s="173" t="str">
        <f t="shared" si="404"/>
        <v>0.000</v>
      </c>
      <c r="K447" s="173" t="str">
        <f t="shared" si="404"/>
        <v>0.000</v>
      </c>
      <c r="L447" s="173" t="str">
        <f t="shared" si="404"/>
        <v>0.000</v>
      </c>
      <c r="M447" s="173" t="str">
        <f t="shared" si="404"/>
        <v>0.000</v>
      </c>
      <c r="N447" s="173" t="str">
        <f t="shared" si="404"/>
        <v>0.000</v>
      </c>
      <c r="O447" s="173" t="str">
        <f t="shared" si="404"/>
        <v>0.000</v>
      </c>
      <c r="P447" s="173" t="str">
        <f t="shared" si="404"/>
        <v>0.000</v>
      </c>
      <c r="Q447" s="173" t="str">
        <f t="shared" si="404"/>
        <v>0.000</v>
      </c>
      <c r="R447" s="173" t="str">
        <f t="shared" si="404"/>
        <v>0.000</v>
      </c>
      <c r="S447" s="173" t="str">
        <f t="shared" si="404"/>
        <v>0.000</v>
      </c>
      <c r="T447" s="173" t="str">
        <f t="shared" si="404"/>
        <v>0.000</v>
      </c>
      <c r="U447" s="173" t="str">
        <f t="shared" si="404"/>
        <v>0.000</v>
      </c>
      <c r="V447" s="173" t="str">
        <f t="shared" si="404"/>
        <v>0.000</v>
      </c>
      <c r="W447" s="173" t="str">
        <f t="shared" ref="W447:AK447" si="405">IF(W429&lt;=0, "0.000", W429)</f>
        <v>0.000</v>
      </c>
      <c r="X447" s="173" t="str">
        <f t="shared" si="405"/>
        <v>0.000</v>
      </c>
      <c r="Y447" s="173" t="str">
        <f t="shared" si="405"/>
        <v>0.000</v>
      </c>
      <c r="Z447" s="173" t="str">
        <f t="shared" si="405"/>
        <v>0.000</v>
      </c>
      <c r="AA447" s="173" t="str">
        <f t="shared" si="405"/>
        <v>0.000</v>
      </c>
      <c r="AB447" s="173" t="str">
        <f t="shared" si="405"/>
        <v>0.000</v>
      </c>
      <c r="AC447" s="173" t="str">
        <f t="shared" si="405"/>
        <v>0.000</v>
      </c>
      <c r="AD447" s="173" t="str">
        <f t="shared" si="405"/>
        <v>0.000</v>
      </c>
      <c r="AE447" s="173" t="str">
        <f t="shared" si="405"/>
        <v>0.000</v>
      </c>
      <c r="AF447" s="173" t="str">
        <f t="shared" si="405"/>
        <v>0.000</v>
      </c>
      <c r="AG447" s="173" t="str">
        <f t="shared" si="405"/>
        <v>0.000</v>
      </c>
      <c r="AH447" s="173" t="str">
        <f t="shared" si="405"/>
        <v>0.000</v>
      </c>
      <c r="AI447" s="173" t="str">
        <f t="shared" si="405"/>
        <v>0.000</v>
      </c>
      <c r="AJ447" s="173" t="str">
        <f t="shared" si="405"/>
        <v>0.000</v>
      </c>
      <c r="AK447" s="173" t="str">
        <f t="shared" si="405"/>
        <v>0.000</v>
      </c>
      <c r="AL447" s="4"/>
      <c r="AM447" s="43">
        <v>431</v>
      </c>
      <c r="AN447">
        <v>48.941158077814009</v>
      </c>
      <c r="AO447">
        <v>5.9075081910440481</v>
      </c>
      <c r="AP447">
        <v>15.630608534537441</v>
      </c>
      <c r="AQ447">
        <v>40.17558649723</v>
      </c>
      <c r="AR447">
        <v>6.1628274914525791</v>
      </c>
      <c r="AS447">
        <v>36.698390871070615</v>
      </c>
      <c r="AT447" t="e">
        <v>#DIV/0!</v>
      </c>
      <c r="AU447" t="e">
        <v>#DIV/0!</v>
      </c>
      <c r="AV447"/>
      <c r="AW447"/>
      <c r="FY447" s="211">
        <v>442</v>
      </c>
      <c r="FZ447">
        <v>14.15850310512865</v>
      </c>
      <c r="GA447">
        <v>16.995191202588416</v>
      </c>
      <c r="GB447">
        <v>7.1239054354327331</v>
      </c>
      <c r="GC447">
        <v>3.2607491258094266</v>
      </c>
      <c r="GD447">
        <v>1.9012665737137011</v>
      </c>
      <c r="GE447">
        <v>2.5961185269054137</v>
      </c>
      <c r="GF447">
        <v>2.3526930937213151</v>
      </c>
      <c r="GG447">
        <v>2.3741149414466225</v>
      </c>
      <c r="GH447">
        <v>3.3931877606602288</v>
      </c>
      <c r="GI447">
        <v>5.8971029022977159</v>
      </c>
      <c r="GJ447"/>
      <c r="GK447">
        <v>14.203789936592049</v>
      </c>
      <c r="GL447">
        <v>14.399406477435985</v>
      </c>
      <c r="GM447">
        <v>11.793695026165022</v>
      </c>
      <c r="GN447">
        <v>9.7085266384267683</v>
      </c>
      <c r="GO447">
        <v>7.3805047976248357</v>
      </c>
      <c r="GP447">
        <v>4.9702718693185526</v>
      </c>
      <c r="GQ447">
        <v>2.880664953324926</v>
      </c>
      <c r="GR447">
        <v>3.3395769903619632</v>
      </c>
      <c r="GS447">
        <v>3.6191697097124544</v>
      </c>
      <c r="GT447">
        <v>7.9755648846838589</v>
      </c>
      <c r="GU447"/>
      <c r="GV447"/>
      <c r="GW447"/>
      <c r="GX447"/>
      <c r="GY447"/>
      <c r="GZ447"/>
      <c r="HA447"/>
      <c r="HB447"/>
      <c r="HC447"/>
    </row>
    <row r="448" spans="1:211" s="7" customFormat="1">
      <c r="A448" s="4"/>
      <c r="B448" s="48" t="s">
        <v>120</v>
      </c>
      <c r="C448" s="107">
        <f t="shared" si="391"/>
        <v>2.6417806961428432</v>
      </c>
      <c r="D448" s="190">
        <f>A$412</f>
        <v>4</v>
      </c>
      <c r="E448" s="8"/>
      <c r="F448" s="124"/>
      <c r="G448" s="173">
        <f t="shared" si="393"/>
        <v>0.34201543842521753</v>
      </c>
      <c r="H448" s="173">
        <f t="shared" ref="H448:V448" si="406">IF(H430&lt;=0, "0.000", H430)</f>
        <v>2.2997652577176257</v>
      </c>
      <c r="I448" s="173" t="str">
        <f t="shared" si="406"/>
        <v>0.000</v>
      </c>
      <c r="J448" s="173" t="str">
        <f t="shared" si="406"/>
        <v>0.000</v>
      </c>
      <c r="K448" s="173" t="str">
        <f t="shared" si="406"/>
        <v>0.000</v>
      </c>
      <c r="L448" s="173" t="str">
        <f t="shared" si="406"/>
        <v>0.000</v>
      </c>
      <c r="M448" s="173" t="str">
        <f t="shared" si="406"/>
        <v>0.000</v>
      </c>
      <c r="N448" s="173" t="str">
        <f t="shared" si="406"/>
        <v>0.000</v>
      </c>
      <c r="O448" s="173" t="str">
        <f t="shared" si="406"/>
        <v>0.000</v>
      </c>
      <c r="P448" s="173" t="str">
        <f t="shared" si="406"/>
        <v>0.000</v>
      </c>
      <c r="Q448" s="173" t="str">
        <f t="shared" si="406"/>
        <v>0.000</v>
      </c>
      <c r="R448" s="173" t="str">
        <f t="shared" si="406"/>
        <v>0.000</v>
      </c>
      <c r="S448" s="173" t="str">
        <f t="shared" si="406"/>
        <v>0.000</v>
      </c>
      <c r="T448" s="173" t="str">
        <f t="shared" si="406"/>
        <v>0.000</v>
      </c>
      <c r="U448" s="173" t="str">
        <f t="shared" si="406"/>
        <v>0.000</v>
      </c>
      <c r="V448" s="173" t="str">
        <f t="shared" si="406"/>
        <v>0.000</v>
      </c>
      <c r="W448" s="173" t="str">
        <f t="shared" ref="W448:AK448" si="407">IF(W430&lt;=0, "0.000", W430)</f>
        <v>0.000</v>
      </c>
      <c r="X448" s="173" t="str">
        <f t="shared" si="407"/>
        <v>0.000</v>
      </c>
      <c r="Y448" s="173" t="str">
        <f t="shared" si="407"/>
        <v>0.000</v>
      </c>
      <c r="Z448" s="173" t="str">
        <f t="shared" si="407"/>
        <v>0.000</v>
      </c>
      <c r="AA448" s="173" t="str">
        <f t="shared" si="407"/>
        <v>0.000</v>
      </c>
      <c r="AB448" s="173" t="str">
        <f t="shared" si="407"/>
        <v>0.000</v>
      </c>
      <c r="AC448" s="173" t="str">
        <f t="shared" si="407"/>
        <v>0.000</v>
      </c>
      <c r="AD448" s="173" t="str">
        <f t="shared" si="407"/>
        <v>0.000</v>
      </c>
      <c r="AE448" s="173" t="str">
        <f t="shared" si="407"/>
        <v>0.000</v>
      </c>
      <c r="AF448" s="173" t="str">
        <f t="shared" si="407"/>
        <v>0.000</v>
      </c>
      <c r="AG448" s="173" t="str">
        <f t="shared" si="407"/>
        <v>0.000</v>
      </c>
      <c r="AH448" s="173" t="str">
        <f t="shared" si="407"/>
        <v>0.000</v>
      </c>
      <c r="AI448" s="173" t="str">
        <f t="shared" si="407"/>
        <v>0.000</v>
      </c>
      <c r="AJ448" s="173" t="str">
        <f t="shared" si="407"/>
        <v>0.000</v>
      </c>
      <c r="AK448" s="173" t="str">
        <f t="shared" si="407"/>
        <v>0.000</v>
      </c>
      <c r="AL448" s="4"/>
      <c r="AM448" s="43">
        <v>432</v>
      </c>
      <c r="AN448">
        <v>70.674575741089612</v>
      </c>
      <c r="AO448">
        <v>8.1690216121993569</v>
      </c>
      <c r="AP448">
        <v>53.918574075798581</v>
      </c>
      <c r="AQ448">
        <v>58.510318372355727</v>
      </c>
      <c r="AR448">
        <v>8.2815567224786975</v>
      </c>
      <c r="AS448">
        <v>49.716766750441089</v>
      </c>
      <c r="AT448" t="e">
        <v>#DIV/0!</v>
      </c>
      <c r="AU448" t="e">
        <v>#DIV/0!</v>
      </c>
      <c r="AV448"/>
      <c r="AW448"/>
      <c r="FY448" s="211">
        <v>443</v>
      </c>
      <c r="FZ448">
        <v>14.083984015085088</v>
      </c>
      <c r="GA448">
        <v>15.558533657654825</v>
      </c>
      <c r="GB448">
        <v>7.825911273980152</v>
      </c>
      <c r="GC448">
        <v>3.5796378192915879</v>
      </c>
      <c r="GD448">
        <v>1.8910379832317914</v>
      </c>
      <c r="GE448">
        <v>2.4101865105882356</v>
      </c>
      <c r="GF448">
        <v>0.67025821634510852</v>
      </c>
      <c r="GG448">
        <v>0.90968051734601452</v>
      </c>
      <c r="GH448">
        <v>3.556881671597182</v>
      </c>
      <c r="GI448">
        <v>5.7756811934170136</v>
      </c>
      <c r="GJ448"/>
      <c r="GK448">
        <v>14.140286821109941</v>
      </c>
      <c r="GL448">
        <v>13.183669851723332</v>
      </c>
      <c r="GM448">
        <v>12.998794378187775</v>
      </c>
      <c r="GN448">
        <v>10.722690393069287</v>
      </c>
      <c r="GO448">
        <v>7.3423338307145025</v>
      </c>
      <c r="GP448">
        <v>4.6143048128342254</v>
      </c>
      <c r="GQ448">
        <v>0.82133152173913027</v>
      </c>
      <c r="GR448">
        <v>1.2802435587761674</v>
      </c>
      <c r="GS448">
        <v>3.7930545959502009</v>
      </c>
      <c r="GT448">
        <v>7.8191602295403095</v>
      </c>
      <c r="GU448"/>
      <c r="GV448"/>
      <c r="GW448"/>
      <c r="GX448"/>
      <c r="GY448"/>
      <c r="GZ448"/>
      <c r="HA448"/>
      <c r="HB448"/>
      <c r="HC448"/>
    </row>
    <row r="449" spans="1:211" s="7" customFormat="1">
      <c r="A449" s="4"/>
      <c r="B449" s="48" t="s">
        <v>121</v>
      </c>
      <c r="C449" s="107">
        <f t="shared" si="391"/>
        <v>4.5039637805590846</v>
      </c>
      <c r="D449" s="190">
        <f>A$413</f>
        <v>7.33</v>
      </c>
      <c r="E449" s="8"/>
      <c r="F449" s="124"/>
      <c r="G449" s="173">
        <f t="shared" si="393"/>
        <v>0.32669068602436685</v>
      </c>
      <c r="H449" s="173">
        <f t="shared" ref="H449:V449" si="408">IF(H431&lt;=0, "0.000", H431)</f>
        <v>4.1772730945347174</v>
      </c>
      <c r="I449" s="173" t="str">
        <f t="shared" si="408"/>
        <v>0.000</v>
      </c>
      <c r="J449" s="173" t="str">
        <f t="shared" si="408"/>
        <v>0.000</v>
      </c>
      <c r="K449" s="173" t="str">
        <f t="shared" si="408"/>
        <v>0.000</v>
      </c>
      <c r="L449" s="173" t="str">
        <f t="shared" si="408"/>
        <v>0.000</v>
      </c>
      <c r="M449" s="173" t="str">
        <f t="shared" si="408"/>
        <v>0.000</v>
      </c>
      <c r="N449" s="173" t="str">
        <f t="shared" si="408"/>
        <v>0.000</v>
      </c>
      <c r="O449" s="173" t="str">
        <f t="shared" si="408"/>
        <v>0.000</v>
      </c>
      <c r="P449" s="173" t="str">
        <f t="shared" si="408"/>
        <v>0.000</v>
      </c>
      <c r="Q449" s="173" t="str">
        <f t="shared" si="408"/>
        <v>0.000</v>
      </c>
      <c r="R449" s="173" t="str">
        <f t="shared" si="408"/>
        <v>0.000</v>
      </c>
      <c r="S449" s="173" t="str">
        <f t="shared" si="408"/>
        <v>0.000</v>
      </c>
      <c r="T449" s="173" t="str">
        <f t="shared" si="408"/>
        <v>0.000</v>
      </c>
      <c r="U449" s="173" t="str">
        <f t="shared" si="408"/>
        <v>0.000</v>
      </c>
      <c r="V449" s="173" t="str">
        <f t="shared" si="408"/>
        <v>0.000</v>
      </c>
      <c r="W449" s="173" t="str">
        <f t="shared" ref="W449:AK449" si="409">IF(W431&lt;=0, "0.000", W431)</f>
        <v>0.000</v>
      </c>
      <c r="X449" s="173" t="str">
        <f t="shared" si="409"/>
        <v>0.000</v>
      </c>
      <c r="Y449" s="173" t="str">
        <f t="shared" si="409"/>
        <v>0.000</v>
      </c>
      <c r="Z449" s="173" t="str">
        <f t="shared" si="409"/>
        <v>0.000</v>
      </c>
      <c r="AA449" s="173" t="str">
        <f t="shared" si="409"/>
        <v>0.000</v>
      </c>
      <c r="AB449" s="173" t="str">
        <f t="shared" si="409"/>
        <v>0.000</v>
      </c>
      <c r="AC449" s="173" t="str">
        <f t="shared" si="409"/>
        <v>0.000</v>
      </c>
      <c r="AD449" s="173" t="str">
        <f t="shared" si="409"/>
        <v>0.000</v>
      </c>
      <c r="AE449" s="173" t="str">
        <f t="shared" si="409"/>
        <v>0.000</v>
      </c>
      <c r="AF449" s="173" t="str">
        <f t="shared" si="409"/>
        <v>0.000</v>
      </c>
      <c r="AG449" s="173" t="str">
        <f t="shared" si="409"/>
        <v>0.000</v>
      </c>
      <c r="AH449" s="173" t="str">
        <f t="shared" si="409"/>
        <v>0.000</v>
      </c>
      <c r="AI449" s="173" t="str">
        <f t="shared" si="409"/>
        <v>0.000</v>
      </c>
      <c r="AJ449" s="173" t="str">
        <f t="shared" si="409"/>
        <v>0.000</v>
      </c>
      <c r="AK449" s="173" t="str">
        <f t="shared" si="409"/>
        <v>0.000</v>
      </c>
      <c r="AL449" s="4"/>
      <c r="AM449" s="43">
        <v>433</v>
      </c>
      <c r="AN449">
        <v>63.589853379150483</v>
      </c>
      <c r="AO449">
        <v>7.8598452996164569</v>
      </c>
      <c r="AP449">
        <v>36.723718662320493</v>
      </c>
      <c r="AQ449">
        <v>60.639336461590545</v>
      </c>
      <c r="AR449">
        <v>8.6181549211334172</v>
      </c>
      <c r="AS449">
        <v>54.445299731021208</v>
      </c>
      <c r="AT449" t="e">
        <v>#DIV/0!</v>
      </c>
      <c r="AU449" t="e">
        <v>#DIV/0!</v>
      </c>
      <c r="AV449"/>
      <c r="AW449"/>
      <c r="FY449" s="211">
        <v>444</v>
      </c>
      <c r="FZ449">
        <v>16.243587183184655</v>
      </c>
      <c r="GA449">
        <v>18.356554328837177</v>
      </c>
      <c r="GB449">
        <v>6.4409510606314102</v>
      </c>
      <c r="GC449">
        <v>3.0275077676720956</v>
      </c>
      <c r="GD449">
        <v>1.5870173167361066</v>
      </c>
      <c r="GE449">
        <v>1.7093196766112959</v>
      </c>
      <c r="GF449">
        <v>3.0455067936511155</v>
      </c>
      <c r="GG449">
        <v>2.9773535165032357</v>
      </c>
      <c r="GH449">
        <v>7.416785140103813</v>
      </c>
      <c r="GI449">
        <v>6.6258365191359427</v>
      </c>
      <c r="GJ449"/>
      <c r="GK449">
        <v>16.295598855838307</v>
      </c>
      <c r="GL449">
        <v>15.553879775398432</v>
      </c>
      <c r="GM449">
        <v>10.745525565148689</v>
      </c>
      <c r="GN449">
        <v>9.1601652131709912</v>
      </c>
      <c r="GO449">
        <v>6.1825354269682773</v>
      </c>
      <c r="GP449">
        <v>3.2724944629014399</v>
      </c>
      <c r="GQ449">
        <v>3.7296358671735579</v>
      </c>
      <c r="GR449">
        <v>4.1885479042105951</v>
      </c>
      <c r="GS449">
        <v>7.9090180702044597</v>
      </c>
      <c r="GT449">
        <v>8.9724627570666584</v>
      </c>
      <c r="GU449"/>
      <c r="GV449"/>
      <c r="GW449"/>
      <c r="GX449"/>
      <c r="GY449"/>
      <c r="GZ449"/>
      <c r="HA449"/>
      <c r="HB449"/>
      <c r="HC449"/>
    </row>
    <row r="450" spans="1:211" s="7" customFormat="1">
      <c r="A450" s="13" t="s">
        <v>12</v>
      </c>
      <c r="B450" s="48" t="s">
        <v>122</v>
      </c>
      <c r="C450" s="107">
        <f t="shared" si="391"/>
        <v>4.0228025857425713</v>
      </c>
      <c r="D450" s="190">
        <f>A$414</f>
        <v>10.51</v>
      </c>
      <c r="E450" s="8"/>
      <c r="F450" s="124"/>
      <c r="G450" s="173">
        <f t="shared" si="393"/>
        <v>0.24149411758643963</v>
      </c>
      <c r="H450" s="173">
        <f t="shared" ref="H450:V450" si="410">IF(H432&lt;=0, "0.000", H432)</f>
        <v>3.385625423610545</v>
      </c>
      <c r="I450" s="173">
        <f t="shared" si="410"/>
        <v>0.39568304454558684</v>
      </c>
      <c r="J450" s="173" t="str">
        <f t="shared" si="410"/>
        <v>0.000</v>
      </c>
      <c r="K450" s="173" t="str">
        <f t="shared" si="410"/>
        <v>0.000</v>
      </c>
      <c r="L450" s="173" t="str">
        <f t="shared" si="410"/>
        <v>0.000</v>
      </c>
      <c r="M450" s="173" t="str">
        <f t="shared" si="410"/>
        <v>0.000</v>
      </c>
      <c r="N450" s="173" t="str">
        <f t="shared" si="410"/>
        <v>0.000</v>
      </c>
      <c r="O450" s="173" t="str">
        <f t="shared" si="410"/>
        <v>0.000</v>
      </c>
      <c r="P450" s="173" t="str">
        <f t="shared" si="410"/>
        <v>0.000</v>
      </c>
      <c r="Q450" s="173" t="str">
        <f t="shared" si="410"/>
        <v>0.000</v>
      </c>
      <c r="R450" s="173" t="str">
        <f t="shared" si="410"/>
        <v>0.000</v>
      </c>
      <c r="S450" s="173" t="str">
        <f t="shared" si="410"/>
        <v>0.000</v>
      </c>
      <c r="T450" s="173" t="str">
        <f t="shared" si="410"/>
        <v>0.000</v>
      </c>
      <c r="U450" s="173" t="str">
        <f t="shared" si="410"/>
        <v>0.000</v>
      </c>
      <c r="V450" s="173" t="str">
        <f t="shared" si="410"/>
        <v>0.000</v>
      </c>
      <c r="W450" s="173" t="str">
        <f t="shared" ref="W450:AK450" si="411">IF(W432&lt;=0, "0.000", W432)</f>
        <v>0.000</v>
      </c>
      <c r="X450" s="173" t="str">
        <f t="shared" si="411"/>
        <v>0.000</v>
      </c>
      <c r="Y450" s="173" t="str">
        <f t="shared" si="411"/>
        <v>0.000</v>
      </c>
      <c r="Z450" s="173" t="str">
        <f t="shared" si="411"/>
        <v>0.000</v>
      </c>
      <c r="AA450" s="173" t="str">
        <f t="shared" si="411"/>
        <v>0.000</v>
      </c>
      <c r="AB450" s="173" t="str">
        <f t="shared" si="411"/>
        <v>0.000</v>
      </c>
      <c r="AC450" s="173" t="str">
        <f t="shared" si="411"/>
        <v>0.000</v>
      </c>
      <c r="AD450" s="173" t="str">
        <f t="shared" si="411"/>
        <v>0.000</v>
      </c>
      <c r="AE450" s="173" t="str">
        <f t="shared" si="411"/>
        <v>0.000</v>
      </c>
      <c r="AF450" s="173" t="str">
        <f t="shared" si="411"/>
        <v>0.000</v>
      </c>
      <c r="AG450" s="173" t="str">
        <f t="shared" si="411"/>
        <v>0.000</v>
      </c>
      <c r="AH450" s="173" t="str">
        <f t="shared" si="411"/>
        <v>0.000</v>
      </c>
      <c r="AI450" s="173" t="str">
        <f t="shared" si="411"/>
        <v>0.000</v>
      </c>
      <c r="AJ450" s="173" t="str">
        <f t="shared" si="411"/>
        <v>0.000</v>
      </c>
      <c r="AK450" s="173" t="str">
        <f t="shared" si="411"/>
        <v>0.000</v>
      </c>
      <c r="AL450" s="4"/>
      <c r="AM450" s="43">
        <v>434</v>
      </c>
      <c r="AN450">
        <v>50.927031035057645</v>
      </c>
      <c r="AO450">
        <v>5.8995950884515853</v>
      </c>
      <c r="AP450">
        <v>20.235384405609793</v>
      </c>
      <c r="AQ450">
        <v>42.229728007108093</v>
      </c>
      <c r="AR450">
        <v>6.465969410117113</v>
      </c>
      <c r="AS450">
        <v>40.838678187768814</v>
      </c>
      <c r="AT450" t="e">
        <v>#DIV/0!</v>
      </c>
      <c r="AU450" t="e">
        <v>#DIV/0!</v>
      </c>
      <c r="AV450"/>
      <c r="AW450"/>
      <c r="FY450" s="211">
        <v>445</v>
      </c>
      <c r="FZ450">
        <v>17.307150643145714</v>
      </c>
      <c r="GA450">
        <v>17.520241290841859</v>
      </c>
      <c r="GB450">
        <v>5.7607384425607711</v>
      </c>
      <c r="GC450">
        <v>3.1770974939908951</v>
      </c>
      <c r="GD450">
        <v>2.1163047280727003</v>
      </c>
      <c r="GE450">
        <v>3.4206449391596636</v>
      </c>
      <c r="GF450">
        <v>1.2557491908657898</v>
      </c>
      <c r="GG450">
        <v>1.3708865425901917</v>
      </c>
      <c r="GH450">
        <v>5.6391753630869994</v>
      </c>
      <c r="GI450">
        <v>6.3107605908102977</v>
      </c>
      <c r="GJ450"/>
      <c r="GK450">
        <v>17.364190485287562</v>
      </c>
      <c r="GL450">
        <v>14.847310480132762</v>
      </c>
      <c r="GM450">
        <v>9.5797048983701103</v>
      </c>
      <c r="GN450">
        <v>9.5228229841255558</v>
      </c>
      <c r="GO450">
        <v>8.21426988399765</v>
      </c>
      <c r="GP450">
        <v>6.5488286223580339</v>
      </c>
      <c r="GQ450">
        <v>1.5364746352894998</v>
      </c>
      <c r="GR450">
        <v>1.9276783389932035</v>
      </c>
      <c r="GS450">
        <v>6.0117699655746257</v>
      </c>
      <c r="GT450">
        <v>8.5412819737038905</v>
      </c>
      <c r="GU450"/>
      <c r="GV450"/>
      <c r="GW450"/>
      <c r="GX450"/>
      <c r="GY450"/>
      <c r="GZ450"/>
      <c r="HA450"/>
      <c r="HB450"/>
      <c r="HC450"/>
    </row>
    <row r="451" spans="1:211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55.032324631608574</v>
      </c>
      <c r="AO451">
        <v>6.5892448692596179</v>
      </c>
      <c r="AP451">
        <v>48.094076111388873</v>
      </c>
      <c r="AQ451">
        <v>48.498221846034639</v>
      </c>
      <c r="AR451">
        <v>6.8920520571635597</v>
      </c>
      <c r="AS451">
        <v>43.550770303282704</v>
      </c>
      <c r="AT451" t="e">
        <v>#DIV/0!</v>
      </c>
      <c r="AU451" t="e">
        <v>#DIV/0!</v>
      </c>
      <c r="AV451"/>
      <c r="AW451"/>
      <c r="FY451" s="211">
        <v>446</v>
      </c>
      <c r="FZ451">
        <v>11.092622288576301</v>
      </c>
      <c r="GA451">
        <v>8.1306842690829235</v>
      </c>
      <c r="GB451">
        <v>3.4977121905023494</v>
      </c>
      <c r="GC451">
        <v>1.6962110676206614</v>
      </c>
      <c r="GD451">
        <v>2.1743594190491367</v>
      </c>
      <c r="GE451">
        <v>3.6169246982079355</v>
      </c>
      <c r="GF451">
        <v>2.4305028388685068</v>
      </c>
      <c r="GG451">
        <v>2.0676729991572205</v>
      </c>
      <c r="GH451">
        <v>5.7061317001276413</v>
      </c>
      <c r="GI451">
        <v>5.0882754348777093</v>
      </c>
      <c r="GJ451"/>
      <c r="GK451">
        <v>11.152400521080887</v>
      </c>
      <c r="GL451">
        <v>6.8905578008794119</v>
      </c>
      <c r="GM451">
        <v>5.7941015685435859</v>
      </c>
      <c r="GN451">
        <v>5.050926249518751</v>
      </c>
      <c r="GO451">
        <v>8.4291317830549737</v>
      </c>
      <c r="GP451">
        <v>6.9246064440575399</v>
      </c>
      <c r="GQ451">
        <v>2.976012678767761</v>
      </c>
      <c r="GR451">
        <v>2.9083043454344271</v>
      </c>
      <c r="GS451">
        <v>6.0838197839894779</v>
      </c>
      <c r="GT451">
        <v>6.8870932670873373</v>
      </c>
      <c r="GU451"/>
      <c r="GV451"/>
      <c r="GW451"/>
      <c r="GX451"/>
      <c r="GY451"/>
      <c r="GZ451"/>
      <c r="HA451"/>
      <c r="HB451"/>
      <c r="HC451"/>
    </row>
    <row r="452" spans="1:211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48.437882085125167</v>
      </c>
      <c r="AO452">
        <v>5.6342373178442324</v>
      </c>
      <c r="AP452">
        <v>2.9079467043914735</v>
      </c>
      <c r="AQ452">
        <v>40.214760330742102</v>
      </c>
      <c r="AR452">
        <v>5.9710010754892258</v>
      </c>
      <c r="AS452">
        <v>37.431308915340708</v>
      </c>
      <c r="AT452">
        <v>4.8171591954841411</v>
      </c>
      <c r="AU452">
        <v>5.9319717982354225</v>
      </c>
      <c r="AV452"/>
      <c r="AW452"/>
      <c r="FY452" s="211">
        <v>447</v>
      </c>
      <c r="FZ452">
        <v>11.473299660989502</v>
      </c>
      <c r="GA452">
        <v>9.1938347459265692</v>
      </c>
      <c r="GB452">
        <v>6.3982102014752122</v>
      </c>
      <c r="GC452">
        <v>3.569772894336344</v>
      </c>
      <c r="GD452">
        <v>1.3834272767103284</v>
      </c>
      <c r="GE452">
        <v>1.8079609526196991</v>
      </c>
      <c r="GF452">
        <v>2.983295035411381</v>
      </c>
      <c r="GG452">
        <v>2.5966286081536629</v>
      </c>
      <c r="GH452">
        <v>5.8968277745015492</v>
      </c>
      <c r="GI452">
        <v>5.5346347836898442</v>
      </c>
      <c r="GJ452"/>
      <c r="GK452">
        <v>11.521373539951302</v>
      </c>
      <c r="GL452">
        <v>7.7891751660922832</v>
      </c>
      <c r="GM452">
        <v>10.629712093637856</v>
      </c>
      <c r="GN452">
        <v>10.674576417753686</v>
      </c>
      <c r="GO452">
        <v>5.3639474645566469</v>
      </c>
      <c r="GP452">
        <v>3.4613432978899805</v>
      </c>
      <c r="GQ452">
        <v>3.651086851094298</v>
      </c>
      <c r="GR452">
        <v>3.651086851094298</v>
      </c>
      <c r="GS452">
        <v>6.2857562231316377</v>
      </c>
      <c r="GT452">
        <v>7.4903752344743486</v>
      </c>
      <c r="GU452"/>
      <c r="GV452"/>
      <c r="GW452"/>
      <c r="GX452"/>
      <c r="GY452"/>
      <c r="GZ452"/>
      <c r="HA452"/>
      <c r="HB452"/>
      <c r="HC452"/>
    </row>
    <row r="453" spans="1:211" s="7" customFormat="1">
      <c r="A453" s="214">
        <v>1.0721E-2</v>
      </c>
      <c r="B453" s="52" t="s">
        <v>53</v>
      </c>
      <c r="C453" s="53">
        <f>SUM(C441:C452)</f>
        <v>35.063759638775366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53.861272906015813</v>
      </c>
      <c r="AO453">
        <v>6.4587954640256386</v>
      </c>
      <c r="AP453">
        <v>3.6953941610003316</v>
      </c>
      <c r="AQ453">
        <v>45.25853537639982</v>
      </c>
      <c r="AR453">
        <v>6.7011286029212602</v>
      </c>
      <c r="AS453">
        <v>40.301730714598918</v>
      </c>
      <c r="AT453">
        <v>5.3092577817657514</v>
      </c>
      <c r="AU453">
        <v>2.3346336743715028</v>
      </c>
      <c r="AV453"/>
      <c r="AW453"/>
      <c r="FY453" s="211">
        <v>448</v>
      </c>
      <c r="FZ453">
        <v>16.563321720310892</v>
      </c>
      <c r="GA453">
        <v>16.350423356168896</v>
      </c>
      <c r="GB453">
        <v>5.761827415902161</v>
      </c>
      <c r="GC453">
        <v>3.3458028489954437</v>
      </c>
      <c r="GD453">
        <v>1.5641067434214737</v>
      </c>
      <c r="GE453">
        <v>2.1370020812624584</v>
      </c>
      <c r="GF453">
        <v>0.64770273276041657</v>
      </c>
      <c r="GG453">
        <v>0.84193093359375004</v>
      </c>
      <c r="GH453">
        <v>4.0182051431678838</v>
      </c>
      <c r="GI453">
        <v>5.5177691317644966</v>
      </c>
      <c r="GJ453"/>
      <c r="GK453">
        <v>16.599992177990671</v>
      </c>
      <c r="GL453">
        <v>13.854572263068473</v>
      </c>
      <c r="GM453">
        <v>9.5804908094947177</v>
      </c>
      <c r="GN453">
        <v>10.016359677424109</v>
      </c>
      <c r="GO453">
        <v>6.0630057515112767</v>
      </c>
      <c r="GP453">
        <v>4.0912929125138424</v>
      </c>
      <c r="GQ453">
        <v>0.79369212962962943</v>
      </c>
      <c r="GR453">
        <v>1.1848958333333333</v>
      </c>
      <c r="GS453">
        <v>4.2858457893016331</v>
      </c>
      <c r="GT453">
        <v>7.4646053315855845</v>
      </c>
      <c r="GU453"/>
      <c r="GV453"/>
      <c r="GW453"/>
      <c r="GX453"/>
      <c r="GY453"/>
      <c r="GZ453"/>
      <c r="HA453"/>
      <c r="HB453"/>
      <c r="HC453"/>
    </row>
    <row r="454" spans="1:211" s="7" customFormat="1">
      <c r="A454" s="215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64.127299218356526</v>
      </c>
      <c r="AO454">
        <v>7.8253293170426561</v>
      </c>
      <c r="AP454">
        <v>3.2010418724964378</v>
      </c>
      <c r="AQ454">
        <v>61.152453532960521</v>
      </c>
      <c r="AR454">
        <v>8.1510658610757076</v>
      </c>
      <c r="AS454">
        <v>51.127332809292113</v>
      </c>
      <c r="AT454">
        <v>6.544726549075758</v>
      </c>
      <c r="AU454">
        <v>4.720777038873031</v>
      </c>
      <c r="AV454"/>
      <c r="AW454"/>
      <c r="FY454" s="211">
        <v>449</v>
      </c>
      <c r="FZ454">
        <v>16.57927373967344</v>
      </c>
      <c r="GA454">
        <v>20.671185537667231</v>
      </c>
      <c r="GB454">
        <v>8.2321295156754744</v>
      </c>
      <c r="GC454">
        <v>3.3402931308633317</v>
      </c>
      <c r="GD454">
        <v>1.7508387073111036</v>
      </c>
      <c r="GE454">
        <v>2.3485562119054131</v>
      </c>
      <c r="GF454">
        <v>1.0743884192708333</v>
      </c>
      <c r="GG454">
        <v>1.3096703411458332</v>
      </c>
      <c r="GH454">
        <v>6.1958468718446555</v>
      </c>
      <c r="GI454">
        <v>6.6547478144365924</v>
      </c>
      <c r="GJ454"/>
      <c r="GK454">
        <v>16.620402566635562</v>
      </c>
      <c r="GL454">
        <v>17.514962373906407</v>
      </c>
      <c r="GM454">
        <v>13.670316185705548</v>
      </c>
      <c r="GN454">
        <v>10.008818899008222</v>
      </c>
      <c r="GO454">
        <v>6.797996592411832</v>
      </c>
      <c r="GP454">
        <v>4.4963135359852187</v>
      </c>
      <c r="GQ454">
        <v>1.3165509259259258</v>
      </c>
      <c r="GR454">
        <v>1.8431712962962961</v>
      </c>
      <c r="GS454">
        <v>6.6055293784971383</v>
      </c>
      <c r="GT454">
        <v>9.0021591298352028</v>
      </c>
      <c r="GU454"/>
      <c r="GV454"/>
      <c r="GW454"/>
      <c r="GX454"/>
      <c r="GY454"/>
      <c r="GZ454"/>
      <c r="HA454"/>
      <c r="HB454"/>
      <c r="HC454"/>
    </row>
    <row r="455" spans="1:211" s="7" customFormat="1" ht="15.75">
      <c r="A455" s="214">
        <v>-1.89E-3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0"/>
      <c r="P455" s="220"/>
      <c r="Q455" s="220"/>
      <c r="R455" s="220"/>
      <c r="S455" s="200"/>
      <c r="T455" s="200"/>
      <c r="U455" s="200"/>
      <c r="V455" s="200"/>
      <c r="W455" s="201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57.389835282696382</v>
      </c>
      <c r="AO455">
        <v>6.6205202207815672</v>
      </c>
      <c r="AP455">
        <v>5.9854883224394655</v>
      </c>
      <c r="AQ455">
        <v>51.389223893819334</v>
      </c>
      <c r="AR455">
        <v>7.2391959329146296</v>
      </c>
      <c r="AS455">
        <v>44.058497094491656</v>
      </c>
      <c r="AT455">
        <v>5.8093208498826385</v>
      </c>
      <c r="AU455">
        <v>0.67707234512612224</v>
      </c>
      <c r="AV455"/>
      <c r="AW455"/>
      <c r="FY455" s="211">
        <v>450</v>
      </c>
      <c r="FZ455">
        <v>8.5614985531644923</v>
      </c>
      <c r="GA455">
        <v>5.3798306097043875</v>
      </c>
      <c r="GB455">
        <v>4.7907561773650853</v>
      </c>
      <c r="GC455">
        <v>3.4373506754697232</v>
      </c>
      <c r="GD455">
        <v>1.286571720881833</v>
      </c>
      <c r="GE455">
        <v>1.0272602373255812</v>
      </c>
      <c r="GF455">
        <v>1.9260074072108988</v>
      </c>
      <c r="GG455">
        <v>1.9063755338945396</v>
      </c>
      <c r="GH455">
        <v>3.4363107517152942</v>
      </c>
      <c r="GI455">
        <v>4.0742777569456194</v>
      </c>
      <c r="GJ455"/>
      <c r="GK455">
        <v>8.6045431271010084</v>
      </c>
      <c r="GL455">
        <v>4.5595886522006879</v>
      </c>
      <c r="GM455">
        <v>7.9786043974705612</v>
      </c>
      <c r="GN455">
        <v>10.299366212387637</v>
      </c>
      <c r="GO455">
        <v>4.9876663585906327</v>
      </c>
      <c r="GP455">
        <v>1.9666908914728682</v>
      </c>
      <c r="GQ455">
        <v>2.3578061570286302</v>
      </c>
      <c r="GR455">
        <v>2.6813015273990004</v>
      </c>
      <c r="GS455">
        <v>3.6622474429451461</v>
      </c>
      <c r="GT455">
        <v>5.5181734966271954</v>
      </c>
      <c r="GU455"/>
      <c r="GV455"/>
      <c r="GW455"/>
      <c r="GX455"/>
      <c r="GY455"/>
      <c r="GZ455"/>
      <c r="HA455"/>
      <c r="HB455"/>
      <c r="HC455"/>
    </row>
    <row r="456" spans="1:211" s="7" customFormat="1">
      <c r="A456" s="215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2" t="s">
        <v>136</v>
      </c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58.633220900946483</v>
      </c>
      <c r="AO456">
        <v>6.9014211527610829</v>
      </c>
      <c r="AP456">
        <v>5.9925125232112357</v>
      </c>
      <c r="AQ456">
        <v>53.15285255448611</v>
      </c>
      <c r="AR456">
        <v>7.0665166000878221</v>
      </c>
      <c r="AS456">
        <v>43.040100718351319</v>
      </c>
      <c r="AT456">
        <v>5.6439958337592815</v>
      </c>
      <c r="AU456">
        <v>4.0778099689917324</v>
      </c>
      <c r="AV456"/>
      <c r="AW456"/>
      <c r="FY456" s="211">
        <v>451</v>
      </c>
      <c r="FZ456">
        <v>8.8933678132932119</v>
      </c>
      <c r="GA456">
        <v>7.132424811379126</v>
      </c>
      <c r="GB456">
        <v>5.2139146946980608</v>
      </c>
      <c r="GC456">
        <v>2.5392972984097675</v>
      </c>
      <c r="GD456">
        <v>1.1346512476682464</v>
      </c>
      <c r="GE456">
        <v>1.4896665476196993</v>
      </c>
      <c r="GF456">
        <v>1.2627066875430251</v>
      </c>
      <c r="GG456">
        <v>1.7516114509397644</v>
      </c>
      <c r="GH456">
        <v>5.800416489648093</v>
      </c>
      <c r="GI456">
        <v>4.3915253653723996</v>
      </c>
      <c r="GJ456"/>
      <c r="GK456">
        <v>8.9278161367233064</v>
      </c>
      <c r="GL456">
        <v>6.0429057083504407</v>
      </c>
      <c r="GM456">
        <v>8.632241672980026</v>
      </c>
      <c r="GN456">
        <v>7.5634712346551165</v>
      </c>
      <c r="GO456">
        <v>4.4088596876499277</v>
      </c>
      <c r="GP456">
        <v>2.851968297889981</v>
      </c>
      <c r="GQ456">
        <v>1.5473153180354264</v>
      </c>
      <c r="GR456">
        <v>2.4651393921095006</v>
      </c>
      <c r="GS456">
        <v>6.1827563767948899</v>
      </c>
      <c r="GT456">
        <v>5.9397978384367152</v>
      </c>
      <c r="GU456"/>
      <c r="GV456"/>
      <c r="GW456"/>
      <c r="GX456"/>
      <c r="GY456"/>
      <c r="GZ456"/>
      <c r="HA456"/>
      <c r="HB456"/>
      <c r="HC456"/>
    </row>
    <row r="457" spans="1:211" s="7" customFormat="1">
      <c r="A457" s="214">
        <v>1.936E-3</v>
      </c>
      <c r="B457" s="4"/>
      <c r="C457" s="100">
        <v>0.5</v>
      </c>
      <c r="D457" s="101">
        <f>SUM($E$228:$E$347)/$A$438</f>
        <v>8.8658785273368625</v>
      </c>
      <c r="E457" s="97">
        <f>+G36</f>
        <v>3.6612009480590346E-2</v>
      </c>
      <c r="F457" s="102">
        <f>+D457-D459</f>
        <v>-30.656542884068848</v>
      </c>
      <c r="G457" s="101">
        <f>+D457*E457</f>
        <v>0.32459762869661957</v>
      </c>
      <c r="H457" s="101"/>
      <c r="I457" s="101"/>
      <c r="J457" s="101"/>
      <c r="K457" s="101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54.161656239913007</v>
      </c>
      <c r="AO457">
        <v>5.8776038437633717</v>
      </c>
      <c r="AP457">
        <v>54.122817517258504</v>
      </c>
      <c r="AQ457">
        <v>40.308443966559729</v>
      </c>
      <c r="AR457">
        <v>6.1242597887651122</v>
      </c>
      <c r="AS457">
        <v>36.491801144596316</v>
      </c>
      <c r="AT457" t="e">
        <v>#DIV/0!</v>
      </c>
      <c r="AU457" t="e">
        <v>#DIV/0!</v>
      </c>
      <c r="AV457"/>
      <c r="AW457"/>
      <c r="FY457" s="211">
        <v>452</v>
      </c>
      <c r="FZ457">
        <v>16.699400178850041</v>
      </c>
      <c r="GA457">
        <v>14.950486133243622</v>
      </c>
      <c r="GB457">
        <v>6.1832667959834176</v>
      </c>
      <c r="GC457">
        <v>3.7408262511647132</v>
      </c>
      <c r="GD457">
        <v>1.6701250351654469</v>
      </c>
      <c r="GE457">
        <v>2.447197487913817</v>
      </c>
      <c r="GF457">
        <v>2.5013550873384638</v>
      </c>
      <c r="GG457">
        <v>2.5030807266432462</v>
      </c>
      <c r="GH457">
        <v>5.6518784513708455</v>
      </c>
      <c r="GI457">
        <v>6.3002018879508528</v>
      </c>
      <c r="GJ457"/>
      <c r="GK457">
        <v>16.74762151185049</v>
      </c>
      <c r="GL457">
        <v>12.667228792925684</v>
      </c>
      <c r="GM457">
        <v>10.359082298444175</v>
      </c>
      <c r="GN457">
        <v>11.313103041932679</v>
      </c>
      <c r="GO457">
        <v>6.4748134333296194</v>
      </c>
      <c r="GP457">
        <v>4.6851623709737602</v>
      </c>
      <c r="GQ457">
        <v>3.0605197214646678</v>
      </c>
      <c r="GR457">
        <v>3.5194317585017054</v>
      </c>
      <c r="GS457">
        <v>6.0289157142786651</v>
      </c>
      <c r="GT457">
        <v>8.5341905358735239</v>
      </c>
      <c r="GU457"/>
      <c r="GV457"/>
      <c r="GW457"/>
      <c r="GX457"/>
      <c r="GY457"/>
      <c r="GZ457"/>
      <c r="HA457"/>
      <c r="HB457"/>
      <c r="HC457"/>
    </row>
    <row r="458" spans="1:211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6.5084633339247619E-2</v>
      </c>
      <c r="I458" s="101">
        <f>+H458*F457</f>
        <v>-1.9952698530585418</v>
      </c>
      <c r="J458" s="101">
        <f>+I458*$A$440</f>
        <v>-7.9810794122341671</v>
      </c>
      <c r="K458" s="61">
        <f>IF(J458&lt;0,0,J458)</f>
        <v>0</v>
      </c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71.632454936384917</v>
      </c>
      <c r="AO458">
        <v>8.0271171283646421</v>
      </c>
      <c r="AP458">
        <v>3.3892190448951403</v>
      </c>
      <c r="AQ458">
        <v>60.052832667704216</v>
      </c>
      <c r="AR458">
        <v>7.9755648846838563</v>
      </c>
      <c r="AS458">
        <v>51.870953420161456</v>
      </c>
      <c r="AT458">
        <v>6.3991557551622025</v>
      </c>
      <c r="AU458">
        <v>2.4634498560845666</v>
      </c>
      <c r="AV458"/>
      <c r="AW458"/>
      <c r="FY458" s="211">
        <v>453</v>
      </c>
      <c r="FZ458">
        <v>10.285437886065784</v>
      </c>
      <c r="GA458">
        <v>8.3497118161546169</v>
      </c>
      <c r="GB458">
        <v>7.3915370294094211</v>
      </c>
      <c r="GC458">
        <v>3.8222617461262653</v>
      </c>
      <c r="GD458">
        <v>2.3506326686741552</v>
      </c>
      <c r="GE458">
        <v>3.6159219052393983</v>
      </c>
      <c r="GF458">
        <v>1.3266014393357464</v>
      </c>
      <c r="GG458">
        <v>1.4321027440345502</v>
      </c>
      <c r="GH458">
        <v>5.5172679915524974</v>
      </c>
      <c r="GI458">
        <v>5.8012889542307473</v>
      </c>
      <c r="GJ458"/>
      <c r="GK458">
        <v>10.33693444041041</v>
      </c>
      <c r="GL458">
        <v>7.0746910122605087</v>
      </c>
      <c r="GM458">
        <v>12.3212005046547</v>
      </c>
      <c r="GN458">
        <v>11.517439468287538</v>
      </c>
      <c r="GO458">
        <v>9.1345482029690874</v>
      </c>
      <c r="GP458">
        <v>6.922686595779961</v>
      </c>
      <c r="GQ458">
        <v>1.620981677986407</v>
      </c>
      <c r="GR458">
        <v>2.0121853816901107</v>
      </c>
      <c r="GS458">
        <v>5.8791104766160851</v>
      </c>
      <c r="GT458">
        <v>7.8585550605273369</v>
      </c>
      <c r="GU458"/>
      <c r="GV458"/>
      <c r="GW458"/>
      <c r="GX458"/>
      <c r="GY458"/>
      <c r="GZ458"/>
      <c r="HA458"/>
      <c r="HB458"/>
      <c r="HC458"/>
    </row>
    <row r="459" spans="1:211" s="7" customFormat="1">
      <c r="A459" s="4"/>
      <c r="B459" s="4"/>
      <c r="C459" s="63">
        <v>1</v>
      </c>
      <c r="D459" s="101">
        <f>SUM($F$228:$F$347)/$A$438</f>
        <v>39.522421411405709</v>
      </c>
      <c r="E459" s="97">
        <f>+H36</f>
        <v>0.11570000000000001</v>
      </c>
      <c r="F459" s="102">
        <f>+D459-D461</f>
        <v>38.038046411405709</v>
      </c>
      <c r="G459" s="101">
        <f>+D459*E459</f>
        <v>4.572744157299641</v>
      </c>
      <c r="H459" s="101"/>
      <c r="I459" s="101"/>
      <c r="J459" s="101"/>
      <c r="K459" s="101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63.784013969938599</v>
      </c>
      <c r="AO459">
        <v>7.6715869993644876</v>
      </c>
      <c r="AP459">
        <v>3.7322270209149742</v>
      </c>
      <c r="AQ459">
        <v>56.261792858537</v>
      </c>
      <c r="AR459">
        <v>7.8191602295403069</v>
      </c>
      <c r="AS459">
        <v>49.646422695988029</v>
      </c>
      <c r="AT459">
        <v>6.2542072777121076</v>
      </c>
      <c r="AU459">
        <v>4.9525465397237927</v>
      </c>
      <c r="AV459"/>
      <c r="AW459"/>
      <c r="FY459" s="211">
        <v>454</v>
      </c>
      <c r="FZ459">
        <v>21.722552451313444</v>
      </c>
      <c r="GA459">
        <v>22.411585876813348</v>
      </c>
      <c r="GB459">
        <v>5.9307238458950362</v>
      </c>
      <c r="GC459">
        <v>3.7081399397128942</v>
      </c>
      <c r="GD459">
        <v>2.0876230306585062</v>
      </c>
      <c r="GE459">
        <v>2.2070920319054137</v>
      </c>
      <c r="GF459">
        <v>1.7532871258461631</v>
      </c>
      <c r="GG459">
        <v>1.8998421515866333</v>
      </c>
      <c r="GH459">
        <v>2.2070394887928839</v>
      </c>
      <c r="GI459">
        <v>6.5388690075688869</v>
      </c>
      <c r="GJ459"/>
      <c r="GK459">
        <v>21.78056841451302</v>
      </c>
      <c r="GL459">
        <v>18.988624931938563</v>
      </c>
      <c r="GM459">
        <v>9.8599505772211824</v>
      </c>
      <c r="GN459">
        <v>11.108713283908243</v>
      </c>
      <c r="GO459">
        <v>8.1045508871988297</v>
      </c>
      <c r="GP459">
        <v>4.2254802026518856</v>
      </c>
      <c r="GQ459">
        <v>2.1438404742827033</v>
      </c>
      <c r="GR459">
        <v>2.6704608446530735</v>
      </c>
      <c r="GS459">
        <v>2.3535541226349666</v>
      </c>
      <c r="GT459">
        <v>8.8484928951701409</v>
      </c>
      <c r="GU459"/>
      <c r="GV459"/>
      <c r="GW459"/>
      <c r="GX459"/>
      <c r="GY459"/>
      <c r="GZ459"/>
      <c r="HA459"/>
      <c r="HB459"/>
      <c r="HC459"/>
    </row>
    <row r="460" spans="1:211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0.20567819642194435</v>
      </c>
      <c r="I460" s="101">
        <f>+H460*F459</f>
        <v>7.8235967813121388</v>
      </c>
      <c r="J460" s="101">
        <f>+I460*$A$440</f>
        <v>31.294387125248555</v>
      </c>
      <c r="K460" s="61">
        <f>IF(AND(J460&lt;0, J458&lt;0), 0, J460)</f>
        <v>31.294387125248555</v>
      </c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70.458942839682251</v>
      </c>
      <c r="AO460">
        <v>8.600986389808142</v>
      </c>
      <c r="AP460">
        <v>5.4850576235316764</v>
      </c>
      <c r="AQ460">
        <v>67.430419303066856</v>
      </c>
      <c r="AR460">
        <v>8.972462757066662</v>
      </c>
      <c r="AS460">
        <v>56.334181377417011</v>
      </c>
      <c r="AT460">
        <v>7.1422639082044386</v>
      </c>
      <c r="AU460">
        <v>-1.8038501459916532</v>
      </c>
      <c r="AV460"/>
      <c r="AW460"/>
      <c r="FY460" s="211">
        <v>455</v>
      </c>
      <c r="FZ460">
        <v>8.4343329447702491</v>
      </c>
      <c r="GA460">
        <v>5.3865011828160343</v>
      </c>
      <c r="GB460">
        <v>4.0464795579057649</v>
      </c>
      <c r="GC460">
        <v>3.1811545620651946</v>
      </c>
      <c r="GD460">
        <v>2.788964678191352</v>
      </c>
      <c r="GE460">
        <v>3.4550081911911281</v>
      </c>
      <c r="GF460">
        <v>2.8985277935869531</v>
      </c>
      <c r="GG460">
        <v>2.5223456420934913</v>
      </c>
      <c r="GH460">
        <v>3.79702508539585</v>
      </c>
      <c r="GI460">
        <v>4.9712457458542874</v>
      </c>
      <c r="GJ460"/>
      <c r="GK460">
        <v>8.4832232145633331</v>
      </c>
      <c r="GL460">
        <v>4.5653441486787241</v>
      </c>
      <c r="GM460">
        <v>6.7433809401806206</v>
      </c>
      <c r="GN460">
        <v>9.5705033301407703</v>
      </c>
      <c r="GO460">
        <v>10.853809836528857</v>
      </c>
      <c r="GP460">
        <v>6.6146171074137916</v>
      </c>
      <c r="GQ460">
        <v>3.5448984429055366</v>
      </c>
      <c r="GR460">
        <v>3.5448984429055366</v>
      </c>
      <c r="GS460">
        <v>4.0470854059081098</v>
      </c>
      <c r="GT460">
        <v>6.7344795680172913</v>
      </c>
      <c r="GU460"/>
      <c r="GV460"/>
      <c r="GW460"/>
      <c r="GX460"/>
      <c r="GY460"/>
      <c r="GZ460"/>
      <c r="HA460"/>
      <c r="HB460"/>
      <c r="HC460"/>
    </row>
    <row r="461" spans="1:211" s="7" customFormat="1">
      <c r="A461" s="4"/>
      <c r="B461" s="4"/>
      <c r="C461" s="63">
        <v>2</v>
      </c>
      <c r="D461" s="101">
        <f>SUM($G$228:$G$347)/$A$438</f>
        <v>1.484375</v>
      </c>
      <c r="E461" s="97">
        <f>+I36</f>
        <v>0.36563111913037094</v>
      </c>
      <c r="F461" s="102">
        <f>+D461-D463</f>
        <v>1.484375</v>
      </c>
      <c r="G461" s="101">
        <f>+D461*E461</f>
        <v>0.54273369245914438</v>
      </c>
      <c r="H461" s="101"/>
      <c r="I461" s="101"/>
      <c r="J461" s="101"/>
      <c r="K461" s="101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70.628287460846877</v>
      </c>
      <c r="AO461">
        <v>8.409433226783289</v>
      </c>
      <c r="AP461">
        <v>3.1783646675216244</v>
      </c>
      <c r="AQ461">
        <v>63.878749225124878</v>
      </c>
      <c r="AR461">
        <v>8.5412819737038923</v>
      </c>
      <c r="AS461">
        <v>56.407432868319958</v>
      </c>
      <c r="AT461">
        <v>6.8380152600263555</v>
      </c>
      <c r="AU461">
        <v>-5.3465943949091379</v>
      </c>
      <c r="AV461"/>
      <c r="AW461"/>
      <c r="FY461" s="211">
        <v>456</v>
      </c>
      <c r="FZ461">
        <v>16.668704271776065</v>
      </c>
      <c r="GA461">
        <v>15.12086858431908</v>
      </c>
      <c r="GB461">
        <v>3.8280730544775987</v>
      </c>
      <c r="GC461">
        <v>1.7607749775302315</v>
      </c>
      <c r="GD461">
        <v>1.3296773696059854</v>
      </c>
      <c r="GE461">
        <v>1.6840582158970099</v>
      </c>
      <c r="GF461">
        <v>1.2074524259805255</v>
      </c>
      <c r="GG461">
        <v>1.3774199248980978</v>
      </c>
      <c r="GH461">
        <v>6.6790515449430963</v>
      </c>
      <c r="GI461">
        <v>5.4459070294537453</v>
      </c>
      <c r="GJ461"/>
      <c r="GK461">
        <v>16.742019270874309</v>
      </c>
      <c r="GL461">
        <v>12.812805996647043</v>
      </c>
      <c r="GM461">
        <v>6.3735035897043524</v>
      </c>
      <c r="GN461">
        <v>5.3068795310907273</v>
      </c>
      <c r="GO461">
        <v>5.1657764569721936</v>
      </c>
      <c r="GP461">
        <v>3.2241313676633445</v>
      </c>
      <c r="GQ461">
        <v>1.4796069847020934</v>
      </c>
      <c r="GR461">
        <v>1.9385190217391302</v>
      </c>
      <c r="GS461">
        <v>7.119963130761735</v>
      </c>
      <c r="GT461">
        <v>7.3761738866029365</v>
      </c>
      <c r="GU461"/>
      <c r="GV461"/>
      <c r="GW461"/>
      <c r="GX461"/>
      <c r="GY461"/>
      <c r="GZ461"/>
      <c r="HA461"/>
      <c r="HB461"/>
      <c r="HC461"/>
    </row>
    <row r="462" spans="1:211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0.51191622758722211</v>
      </c>
      <c r="I462" s="101">
        <f>+H462*F461</f>
        <v>0.75987565032478277</v>
      </c>
      <c r="J462" s="101">
        <f>+I462*$A$440</f>
        <v>3.0395026012991311</v>
      </c>
      <c r="K462" s="61">
        <f>IF(AND(J462&lt;0, J460&lt;0), 0, J462)</f>
        <v>3.0395026012991311</v>
      </c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51.017098179862977</v>
      </c>
      <c r="AO462">
        <v>6.3096954442414139</v>
      </c>
      <c r="AP462">
        <v>72.792956196167921</v>
      </c>
      <c r="AQ462">
        <v>45.50109690607038</v>
      </c>
      <c r="AR462">
        <v>6.8870932670873364</v>
      </c>
      <c r="AS462">
        <v>43.518546726947669</v>
      </c>
      <c r="AT462" t="e">
        <v>#DIV/0!</v>
      </c>
      <c r="AU462" t="e">
        <v>#DIV/0!</v>
      </c>
      <c r="AV462"/>
      <c r="AW462"/>
      <c r="FY462" s="211">
        <v>457</v>
      </c>
      <c r="FZ462">
        <v>12.051575215205881</v>
      </c>
      <c r="GA462">
        <v>12.507869714419705</v>
      </c>
      <c r="GB462">
        <v>7.5355725703488705</v>
      </c>
      <c r="GC462">
        <v>3.8031689768533363</v>
      </c>
      <c r="GD462">
        <v>2.1753103618688345</v>
      </c>
      <c r="GE462">
        <v>2.8732349602393983</v>
      </c>
      <c r="GF462">
        <v>1.2627066875430251</v>
      </c>
      <c r="GG462">
        <v>1.3774199248980978</v>
      </c>
      <c r="GH462">
        <v>6.3533244739211527</v>
      </c>
      <c r="GI462">
        <v>6.1128503490303139</v>
      </c>
      <c r="GJ462"/>
      <c r="GK462">
        <v>12.103457626298178</v>
      </c>
      <c r="GL462">
        <v>10.596115743089584</v>
      </c>
      <c r="GM462">
        <v>12.478997045297611</v>
      </c>
      <c r="GN462">
        <v>11.329284612775529</v>
      </c>
      <c r="GO462">
        <v>8.4445400184221437</v>
      </c>
      <c r="GP462">
        <v>5.500811595779961</v>
      </c>
      <c r="GQ462">
        <v>1.5473153180354264</v>
      </c>
      <c r="GR462">
        <v>1.9385190217391302</v>
      </c>
      <c r="GS462">
        <v>6.7748141639957851</v>
      </c>
      <c r="GT462">
        <v>8.2698248344098282</v>
      </c>
      <c r="GU462"/>
      <c r="GV462"/>
      <c r="GW462"/>
      <c r="GX462"/>
      <c r="GY462"/>
      <c r="GZ462"/>
      <c r="HA462"/>
      <c r="HB462"/>
      <c r="HC462"/>
    </row>
    <row r="463" spans="1:211" s="7" customFormat="1">
      <c r="A463" s="4"/>
      <c r="B463" s="4"/>
      <c r="C463" s="63">
        <v>3</v>
      </c>
      <c r="D463" s="101">
        <f>SUM($H$228:$H$347)/$A$438</f>
        <v>0</v>
      </c>
      <c r="E463" s="97">
        <f>+J36</f>
        <v>0.71672844666619295</v>
      </c>
      <c r="F463" s="102">
        <f>+D463-D465</f>
        <v>0</v>
      </c>
      <c r="G463" s="101">
        <f>+D463*E463</f>
        <v>0</v>
      </c>
      <c r="H463" s="101"/>
      <c r="I463" s="101"/>
      <c r="J463" s="101"/>
      <c r="K463" s="101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63.421252931396644</v>
      </c>
      <c r="AO463">
        <v>7.0518433139676331</v>
      </c>
      <c r="AP463">
        <v>117.8925575515816</v>
      </c>
      <c r="AQ463">
        <v>50.837891933814099</v>
      </c>
      <c r="AR463">
        <v>7.4903752344743486</v>
      </c>
      <c r="AS463">
        <v>42.337730470282949</v>
      </c>
      <c r="AT463" t="e">
        <v>#DIV/0!</v>
      </c>
      <c r="AU463" t="e">
        <v>#DIV/0!</v>
      </c>
      <c r="AV463"/>
      <c r="AW463"/>
      <c r="FY463" s="211">
        <v>458</v>
      </c>
      <c r="FZ463">
        <v>14.795341904966053</v>
      </c>
      <c r="GA463">
        <v>15.813496011737014</v>
      </c>
      <c r="GB463">
        <v>5.6077705010926255</v>
      </c>
      <c r="GC463">
        <v>2.8618219465105561</v>
      </c>
      <c r="GD463">
        <v>1.6403799420674712</v>
      </c>
      <c r="GE463">
        <v>2.1009938969054134</v>
      </c>
      <c r="GF463">
        <v>0.78076673947010866</v>
      </c>
      <c r="GG463">
        <v>1.2838720433876809</v>
      </c>
      <c r="GH463">
        <v>4.2716492086597384</v>
      </c>
      <c r="GI463">
        <v>5.3280150981129939</v>
      </c>
      <c r="GJ463"/>
      <c r="GK463">
        <v>14.835678329402922</v>
      </c>
      <c r="GL463">
        <v>13.399717212488216</v>
      </c>
      <c r="GM463">
        <v>9.3626399082408547</v>
      </c>
      <c r="GN463">
        <v>8.6338267503446282</v>
      </c>
      <c r="GO463">
        <v>6.3602272264614088</v>
      </c>
      <c r="GP463">
        <v>4.0223552026518856</v>
      </c>
      <c r="GQ463">
        <v>0.95674818840579701</v>
      </c>
      <c r="GR463">
        <v>1.8068639291465376</v>
      </c>
      <c r="GS463">
        <v>4.5534511466488494</v>
      </c>
      <c r="GT463">
        <v>7.2137489598319657</v>
      </c>
      <c r="GU463"/>
      <c r="GV463"/>
      <c r="GW463"/>
      <c r="GX463"/>
      <c r="GY463"/>
      <c r="GZ463"/>
      <c r="HA463"/>
      <c r="HB463"/>
      <c r="HC463"/>
    </row>
    <row r="464" spans="1:211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0.91002598452260519</v>
      </c>
      <c r="I464" s="101">
        <f>+H464*F463</f>
        <v>0</v>
      </c>
      <c r="J464" s="101">
        <f>+I464*$A$440</f>
        <v>0</v>
      </c>
      <c r="K464" s="61">
        <f>IF(AND(J464&lt;0, J462&lt;0), 0, J464)</f>
        <v>0</v>
      </c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62.982974119789922</v>
      </c>
      <c r="AO464">
        <v>7.3934752675853277</v>
      </c>
      <c r="AP464">
        <v>3.6827903998987344</v>
      </c>
      <c r="AQ464">
        <v>56.748092107347873</v>
      </c>
      <c r="AR464">
        <v>7.464605331585588</v>
      </c>
      <c r="AS464">
        <v>46.790642091215737</v>
      </c>
      <c r="AT464">
        <v>5.9992451288369857</v>
      </c>
      <c r="AU464">
        <v>2.3214062695025923</v>
      </c>
      <c r="AV464"/>
      <c r="AW464"/>
      <c r="FY464" s="211">
        <v>459</v>
      </c>
      <c r="FZ464">
        <v>13.74880336733499</v>
      </c>
      <c r="GA464">
        <v>7.7737203353253221</v>
      </c>
      <c r="GB464">
        <v>4.7674727713234732</v>
      </c>
      <c r="GC464">
        <v>3.1014983938989604</v>
      </c>
      <c r="GD464">
        <v>1.7247011287045335</v>
      </c>
      <c r="GE464">
        <v>2.4825635329138169</v>
      </c>
      <c r="GF464">
        <v>1.8310968709933551</v>
      </c>
      <c r="GG464">
        <v>1.9675917353388979</v>
      </c>
      <c r="GH464">
        <v>5.5204485481537127</v>
      </c>
      <c r="GI464">
        <v>5.4005093703248015</v>
      </c>
      <c r="GJ464"/>
      <c r="GK464">
        <v>13.798050046567349</v>
      </c>
      <c r="GL464">
        <v>6.5870930895289286</v>
      </c>
      <c r="GM464">
        <v>7.9325658923336482</v>
      </c>
      <c r="GN464">
        <v>9.2937744272189153</v>
      </c>
      <c r="GO464">
        <v>6.6951654092549502</v>
      </c>
      <c r="GP464">
        <v>4.7528707043070932</v>
      </c>
      <c r="GQ464">
        <v>2.2391881997255374</v>
      </c>
      <c r="GR464">
        <v>2.7658085700959076</v>
      </c>
      <c r="GS464">
        <v>5.8838758019946118</v>
      </c>
      <c r="GT464">
        <v>7.3097690699752187</v>
      </c>
      <c r="GU464"/>
      <c r="GV464"/>
      <c r="GW464"/>
      <c r="GX464"/>
      <c r="GY464"/>
      <c r="GZ464"/>
      <c r="HA464"/>
      <c r="HB464"/>
      <c r="HC464"/>
    </row>
    <row r="465" spans="1:211" s="7" customFormat="1">
      <c r="A465" s="4"/>
      <c r="B465" s="4"/>
      <c r="C465" s="63">
        <v>4</v>
      </c>
      <c r="D465" s="101">
        <f>SUM($I$228:$I$347)/$A$438</f>
        <v>0</v>
      </c>
      <c r="E465" s="97">
        <f>+K36</f>
        <v>1.1554547560633319</v>
      </c>
      <c r="F465" s="102">
        <f>+D465-D467</f>
        <v>0</v>
      </c>
      <c r="G465" s="101">
        <f>+D465*E465</f>
        <v>0</v>
      </c>
      <c r="H465" s="101"/>
      <c r="I465" s="101"/>
      <c r="J465" s="101"/>
      <c r="K465" s="101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75.784207208902259</v>
      </c>
      <c r="AO465">
        <v>8.7876220884207363</v>
      </c>
      <c r="AP465">
        <v>19.15625480811984</v>
      </c>
      <c r="AQ465">
        <v>68.156930289793905</v>
      </c>
      <c r="AR465">
        <v>9.0021591298352028</v>
      </c>
      <c r="AS465">
        <v>54.76244772757493</v>
      </c>
      <c r="AT465" t="e">
        <v>#DIV/0!</v>
      </c>
      <c r="AU465" t="e">
        <v>#DIV/0!</v>
      </c>
      <c r="AV465"/>
      <c r="AW465"/>
      <c r="FY465" s="211">
        <v>460</v>
      </c>
      <c r="FZ465">
        <v>17.88212187008617</v>
      </c>
      <c r="GA465">
        <v>15.188646448760958</v>
      </c>
      <c r="GB465">
        <v>5.8933581697124424</v>
      </c>
      <c r="GC465">
        <v>2.8447335790522454</v>
      </c>
      <c r="GD465">
        <v>1.389161647265523</v>
      </c>
      <c r="GE465">
        <v>2.0656278519054139</v>
      </c>
      <c r="GF465">
        <v>2.3596505903985503</v>
      </c>
      <c r="GG465">
        <v>2.3806483237545284</v>
      </c>
      <c r="GH465">
        <v>3.7870549988519406</v>
      </c>
      <c r="GI465">
        <v>5.9205089330647578</v>
      </c>
      <c r="GJ465"/>
      <c r="GK465">
        <v>17.95550394372307</v>
      </c>
      <c r="GL465">
        <v>12.872879360904044</v>
      </c>
      <c r="GM465">
        <v>9.8414746104794837</v>
      </c>
      <c r="GN465">
        <v>8.5901502668009027</v>
      </c>
      <c r="GO465">
        <v>5.3846930416493191</v>
      </c>
      <c r="GP465">
        <v>3.9546468693185526</v>
      </c>
      <c r="GQ465">
        <v>2.8915056360708529</v>
      </c>
      <c r="GR465">
        <v>3.3504176731078901</v>
      </c>
      <c r="GS465">
        <v>4.0381505461324396</v>
      </c>
      <c r="GT465">
        <v>8.0222655556110336</v>
      </c>
      <c r="GU465"/>
      <c r="GV465"/>
      <c r="GW465"/>
      <c r="GX465"/>
      <c r="GY465"/>
      <c r="GZ465"/>
      <c r="HA465"/>
      <c r="HB465"/>
      <c r="HC465"/>
    </row>
    <row r="466" spans="1:211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1.3905552701020456</v>
      </c>
      <c r="I466" s="101">
        <f>+H466*F465</f>
        <v>0</v>
      </c>
      <c r="J466" s="101">
        <f>+I466*$A$440</f>
        <v>0</v>
      </c>
      <c r="K466" s="61">
        <f>IF(AND(J466&lt;0, J464&lt;0), 0, J466)</f>
        <v>0</v>
      </c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41.231995383132812</v>
      </c>
      <c r="AO466">
        <v>5.2615988263223361</v>
      </c>
      <c r="AP466">
        <v>4.4655999684850629</v>
      </c>
      <c r="AQ466">
        <v>35.826239423677457</v>
      </c>
      <c r="AR466">
        <v>5.5181734966271936</v>
      </c>
      <c r="AS466">
        <v>32.657219187919459</v>
      </c>
      <c r="AT466">
        <v>4.4316303915940596</v>
      </c>
      <c r="AU466">
        <v>4.2864771502076646</v>
      </c>
      <c r="AV466"/>
      <c r="AW466"/>
      <c r="FY466" s="211">
        <v>461</v>
      </c>
      <c r="FZ466">
        <v>11.172450406818667</v>
      </c>
      <c r="GA466">
        <v>12.264700881565981</v>
      </c>
      <c r="GB466">
        <v>6.4053320442228694</v>
      </c>
      <c r="GC466">
        <v>3.3787069037901483</v>
      </c>
      <c r="GD466">
        <v>1.1443107972597406</v>
      </c>
      <c r="GE466">
        <v>1.2479161592857144</v>
      </c>
      <c r="GF466">
        <v>1.8551551587409418</v>
      </c>
      <c r="GG466">
        <v>1.4709678064085145</v>
      </c>
      <c r="GH466">
        <v>5.0496751260645958</v>
      </c>
      <c r="GI466">
        <v>5.019351026719022</v>
      </c>
      <c r="GJ466"/>
      <c r="GK466">
        <v>11.221415597109388</v>
      </c>
      <c r="GL466">
        <v>10.392085414217863</v>
      </c>
      <c r="GM466">
        <v>10.685574417752601</v>
      </c>
      <c r="GN466">
        <v>10.174563652023604</v>
      </c>
      <c r="GO466">
        <v>4.4360796337844324</v>
      </c>
      <c r="GP466">
        <v>2.3891369047619051</v>
      </c>
      <c r="GQ466">
        <v>2.2732991143317229</v>
      </c>
      <c r="GR466">
        <v>2.0701741143317229</v>
      </c>
      <c r="GS466">
        <v>5.3827046702272252</v>
      </c>
      <c r="GT466">
        <v>6.7998146866410751</v>
      </c>
      <c r="GU466"/>
      <c r="GV466"/>
      <c r="GW466"/>
      <c r="GX466"/>
      <c r="GY466"/>
      <c r="GZ466"/>
      <c r="HA466"/>
      <c r="HB466"/>
      <c r="HC466"/>
    </row>
    <row r="467" spans="1:211" s="7" customFormat="1">
      <c r="A467" s="4"/>
      <c r="B467" s="4"/>
      <c r="C467" s="63">
        <v>5</v>
      </c>
      <c r="D467" s="101">
        <f>SUM($J$228:$J$347)/$A$438</f>
        <v>0</v>
      </c>
      <c r="E467" s="97">
        <f>L36</f>
        <v>1.6734917131645679</v>
      </c>
      <c r="F467" s="102">
        <f>+D467-D469</f>
        <v>0</v>
      </c>
      <c r="G467" s="101">
        <f>+D467*E467</f>
        <v>0</v>
      </c>
      <c r="H467" s="101"/>
      <c r="I467" s="101"/>
      <c r="J467" s="101"/>
      <c r="K467" s="101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48.151097349800239</v>
      </c>
      <c r="AO467">
        <v>5.4562271663625328</v>
      </c>
      <c r="AP467">
        <v>2.5178898457647882</v>
      </c>
      <c r="AQ467">
        <v>39.609582406571398</v>
      </c>
      <c r="AR467">
        <v>5.9397978384367143</v>
      </c>
      <c r="AS467">
        <v>38.001797018651423</v>
      </c>
      <c r="AT467">
        <v>4.7792553451339161</v>
      </c>
      <c r="AU467">
        <v>2.9876614488109938</v>
      </c>
      <c r="AV467"/>
      <c r="AW467"/>
      <c r="FY467" s="211">
        <v>462</v>
      </c>
      <c r="FZ467">
        <v>14.939824870015009</v>
      </c>
      <c r="GA467">
        <v>12.164650249920955</v>
      </c>
      <c r="GB467">
        <v>3.9801347802111491</v>
      </c>
      <c r="GC467">
        <v>1.8693493065855258</v>
      </c>
      <c r="GD467">
        <v>1.8080190610693281</v>
      </c>
      <c r="GE467">
        <v>3.0568799048739499</v>
      </c>
      <c r="GF467">
        <v>0.60804645810537317</v>
      </c>
      <c r="GG467">
        <v>0.90314713503810828</v>
      </c>
      <c r="GH467">
        <v>2.2364288688194449</v>
      </c>
      <c r="GI467">
        <v>4.6888740639550344</v>
      </c>
      <c r="GJ467"/>
      <c r="GK467">
        <v>14.989795284409736</v>
      </c>
      <c r="GL467">
        <v>10.305450099797728</v>
      </c>
      <c r="GM467">
        <v>6.5885739180588647</v>
      </c>
      <c r="GN467">
        <v>5.5617479435949013</v>
      </c>
      <c r="GO467">
        <v>7.0102125509294639</v>
      </c>
      <c r="GP467">
        <v>5.8524000509294636</v>
      </c>
      <c r="GQ467">
        <v>0.74278250565987025</v>
      </c>
      <c r="GR467">
        <v>1.2694028760302405</v>
      </c>
      <c r="GS467">
        <v>2.3859953703703707</v>
      </c>
      <c r="GT467">
        <v>6.3434719258856598</v>
      </c>
      <c r="GU467"/>
      <c r="GV467"/>
      <c r="GW467"/>
      <c r="GX467"/>
      <c r="GY467"/>
      <c r="GZ467"/>
      <c r="HA467"/>
      <c r="HB467"/>
      <c r="HC467"/>
    </row>
    <row r="468" spans="1:211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1.9469015925538611</v>
      </c>
      <c r="I468" s="101">
        <f>+H468*F467</f>
        <v>0</v>
      </c>
      <c r="J468" s="101">
        <f>+I468*$A$440</f>
        <v>0</v>
      </c>
      <c r="K468" s="61">
        <f>IF(AND(J468&lt;0, J466&lt;0), 0, J468)</f>
        <v>0</v>
      </c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67.742376821280601</v>
      </c>
      <c r="AO468">
        <v>8.3390069179574979</v>
      </c>
      <c r="AP468">
        <v>6.4569523749805207</v>
      </c>
      <c r="AQ468">
        <v>62.647818035624475</v>
      </c>
      <c r="AR468">
        <v>8.5341905358735257</v>
      </c>
      <c r="AS468">
        <v>52.014086447630973</v>
      </c>
      <c r="AT468">
        <v>6.7779080615919449</v>
      </c>
      <c r="AU468">
        <v>-1.3234101744765976</v>
      </c>
      <c r="AV468"/>
      <c r="AW468"/>
      <c r="FY468" s="211">
        <v>463</v>
      </c>
      <c r="FZ468">
        <v>12.841012877337331</v>
      </c>
      <c r="GA468">
        <v>12.808258000506138</v>
      </c>
      <c r="GB468">
        <v>7.1431098147479215</v>
      </c>
      <c r="GC468">
        <v>4.1530523485991786</v>
      </c>
      <c r="GD468">
        <v>1.6337237739924748</v>
      </c>
      <c r="GE468">
        <v>1.4263913166112956</v>
      </c>
      <c r="GF468">
        <v>1.3179609491055253</v>
      </c>
      <c r="GG468">
        <v>1.7516114509397644</v>
      </c>
      <c r="GH468">
        <v>5.6319390218626992</v>
      </c>
      <c r="GI468">
        <v>5.7202751672718204</v>
      </c>
      <c r="GJ468"/>
      <c r="GK468">
        <v>12.887405319780624</v>
      </c>
      <c r="GL468">
        <v>10.850169658852096</v>
      </c>
      <c r="GM468">
        <v>11.83054486021566</v>
      </c>
      <c r="GN468">
        <v>12.382526793517965</v>
      </c>
      <c r="GO468">
        <v>6.3541410610178541</v>
      </c>
      <c r="GP468">
        <v>2.7308277962347729</v>
      </c>
      <c r="GQ468">
        <v>1.6150236513687599</v>
      </c>
      <c r="GR468">
        <v>2.4651393921095006</v>
      </c>
      <c r="GS468">
        <v>6.0048544049592145</v>
      </c>
      <c r="GT468">
        <v>7.7383938594684238</v>
      </c>
      <c r="GU468"/>
      <c r="GV468"/>
      <c r="GW468"/>
      <c r="GX468"/>
      <c r="GY468"/>
      <c r="GZ468"/>
      <c r="HA468"/>
      <c r="HB468"/>
      <c r="HC468"/>
    </row>
    <row r="469" spans="1:211" s="7" customFormat="1">
      <c r="A469" s="4"/>
      <c r="B469" s="4"/>
      <c r="C469" s="63">
        <v>6</v>
      </c>
      <c r="D469" s="101">
        <f>SUM($K$228:$K$347)/$A$438</f>
        <v>0</v>
      </c>
      <c r="E469" s="97">
        <f>M36</f>
        <v>2.2649803290158372</v>
      </c>
      <c r="F469" s="102">
        <f>+D469-D471</f>
        <v>0</v>
      </c>
      <c r="G469" s="101">
        <f>+D469*E469</f>
        <v>0</v>
      </c>
      <c r="H469" s="101"/>
      <c r="I469" s="101"/>
      <c r="J469" s="101"/>
      <c r="K469" s="101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61.025452379876718</v>
      </c>
      <c r="AO469">
        <v>7.4678332821182138</v>
      </c>
      <c r="AP469">
        <v>6.0636648946802376</v>
      </c>
      <c r="AQ469">
        <v>49.892764180823185</v>
      </c>
      <c r="AR469">
        <v>7.8585550605273395</v>
      </c>
      <c r="AS469">
        <v>45.539317633154937</v>
      </c>
      <c r="AT469">
        <v>6.2367852892597604</v>
      </c>
      <c r="AU469">
        <v>4.4406400973940494</v>
      </c>
      <c r="AV469"/>
      <c r="AW469"/>
      <c r="FY469" s="211">
        <v>464</v>
      </c>
      <c r="FZ469">
        <v>14.345787940427954</v>
      </c>
      <c r="GA469">
        <v>13.909563811019606</v>
      </c>
      <c r="GB469">
        <v>4.4546331670213055</v>
      </c>
      <c r="GC469">
        <v>2.8840420243577514</v>
      </c>
      <c r="GD469">
        <v>1.8668470983352212</v>
      </c>
      <c r="GE469">
        <v>2.3677625875083059</v>
      </c>
      <c r="GF469">
        <v>2.3043963288360505</v>
      </c>
      <c r="GG469">
        <v>2.3806483237545284</v>
      </c>
      <c r="GH469">
        <v>5.7345234002739547</v>
      </c>
      <c r="GI469">
        <v>5.6143958963227849</v>
      </c>
      <c r="GJ469"/>
      <c r="GK469">
        <v>14.385225892666051</v>
      </c>
      <c r="GL469">
        <v>11.786602202583916</v>
      </c>
      <c r="GM469">
        <v>7.4152286152870728</v>
      </c>
      <c r="GN469">
        <v>8.6509045559171991</v>
      </c>
      <c r="GO469">
        <v>7.2485387770164911</v>
      </c>
      <c r="GP469">
        <v>4.5330841638981179</v>
      </c>
      <c r="GQ469">
        <v>2.8237973027375198</v>
      </c>
      <c r="GR469">
        <v>3.3504176731078901</v>
      </c>
      <c r="GS469">
        <v>6.1127381851457061</v>
      </c>
      <c r="GT469">
        <v>7.5971057545705687</v>
      </c>
      <c r="GU469"/>
      <c r="GV469"/>
      <c r="GW469"/>
      <c r="GX469"/>
      <c r="GY469"/>
      <c r="GZ469"/>
      <c r="HA469"/>
      <c r="HB469"/>
      <c r="HC469"/>
    </row>
    <row r="470" spans="1:211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2.574128778430389</v>
      </c>
      <c r="I470" s="101">
        <f>+H470*F469</f>
        <v>0</v>
      </c>
      <c r="J470" s="101">
        <f>+I470*$A$440</f>
        <v>0</v>
      </c>
      <c r="K470" s="61">
        <f>IF(AND(J470&lt;0, J468&lt;0), 0, J470)</f>
        <v>0</v>
      </c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77.529442229537409</v>
      </c>
      <c r="AO470">
        <v>9.0084236634172594</v>
      </c>
      <c r="AP470">
        <v>29.818768636970141</v>
      </c>
      <c r="AQ470">
        <v>70.466754950093218</v>
      </c>
      <c r="AR470">
        <v>8.8484928951701427</v>
      </c>
      <c r="AS470">
        <v>56.99008508642504</v>
      </c>
      <c r="AT470" t="e">
        <v>#DIV/0!</v>
      </c>
      <c r="AU470" t="e">
        <v>#DIV/0!</v>
      </c>
      <c r="AV470"/>
      <c r="AW470"/>
      <c r="FY470" s="211">
        <v>465</v>
      </c>
      <c r="FZ470">
        <v>15.703186089555938</v>
      </c>
      <c r="GA470">
        <v>15.261020296650416</v>
      </c>
      <c r="GB470">
        <v>5.6725488352954185</v>
      </c>
      <c r="GC470">
        <v>3.3632564716671287</v>
      </c>
      <c r="GD470">
        <v>2.3277259872985638</v>
      </c>
      <c r="GE470">
        <v>3.5991200964852452</v>
      </c>
      <c r="GF470">
        <v>0.59244847119791655</v>
      </c>
      <c r="GG470">
        <v>0.46773940755208332</v>
      </c>
      <c r="GH470">
        <v>4.2916542059541394</v>
      </c>
      <c r="GI470">
        <v>5.8418226989573183</v>
      </c>
      <c r="GJ470"/>
      <c r="GK470">
        <v>15.747360490574289</v>
      </c>
      <c r="GL470">
        <v>12.931335647233375</v>
      </c>
      <c r="GM470">
        <v>9.472078428209926</v>
      </c>
      <c r="GN470">
        <v>10.127046779531204</v>
      </c>
      <c r="GO470">
        <v>9.0252665376404266</v>
      </c>
      <c r="GP470">
        <v>6.8905195138309026</v>
      </c>
      <c r="GQ470">
        <v>0.72598379629629617</v>
      </c>
      <c r="GR470">
        <v>0.65827546296296291</v>
      </c>
      <c r="GS470">
        <v>4.5760212361547925</v>
      </c>
      <c r="GT470">
        <v>7.9093420977751467</v>
      </c>
      <c r="GU470"/>
      <c r="GV470"/>
      <c r="GW470"/>
      <c r="GX470"/>
      <c r="GY470"/>
      <c r="GZ470"/>
      <c r="HA470"/>
      <c r="HB470"/>
      <c r="HC470"/>
    </row>
    <row r="471" spans="1:211" s="7" customFormat="1">
      <c r="A471" s="4"/>
      <c r="B471" s="4"/>
      <c r="C471" s="63">
        <v>7</v>
      </c>
      <c r="D471" s="101">
        <f>SUM($L$228:$L$347)/$A$438</f>
        <v>0</v>
      </c>
      <c r="E471" s="97">
        <f>+N36</f>
        <v>2.9254730750013485</v>
      </c>
      <c r="F471" s="102">
        <f>+D471-D473</f>
        <v>0</v>
      </c>
      <c r="G471" s="101">
        <f>+D471*E471</f>
        <v>0</v>
      </c>
      <c r="H471" s="101"/>
      <c r="I471" s="101"/>
      <c r="J471" s="101"/>
      <c r="K471" s="101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51.426971201631808</v>
      </c>
      <c r="AO471">
        <v>6.4702240437242562</v>
      </c>
      <c r="AP471">
        <v>89.527445954251363</v>
      </c>
      <c r="AQ471">
        <v>41.481585383870318</v>
      </c>
      <c r="AR471">
        <v>6.7344795680172904</v>
      </c>
      <c r="AS471">
        <v>41.928330461326169</v>
      </c>
      <c r="AT471" t="e">
        <v>#DIV/0!</v>
      </c>
      <c r="AU471" t="e">
        <v>#DIV/0!</v>
      </c>
      <c r="AV471"/>
      <c r="AW471"/>
      <c r="FY471" s="211">
        <v>466</v>
      </c>
      <c r="FZ471">
        <v>19.10861746453417</v>
      </c>
      <c r="GA471">
        <v>17.771833342922896</v>
      </c>
      <c r="GB471">
        <v>4.8686257328148912</v>
      </c>
      <c r="GC471">
        <v>2.6814166645752535</v>
      </c>
      <c r="GD471">
        <v>1.883057069096818</v>
      </c>
      <c r="GE471">
        <v>3.2074458761911275</v>
      </c>
      <c r="GF471">
        <v>0.11050852312500001</v>
      </c>
      <c r="GG471">
        <v>0.37419152604166667</v>
      </c>
      <c r="GH471">
        <v>6.2057513906023125</v>
      </c>
      <c r="GI471">
        <v>6.1095769308424277</v>
      </c>
      <c r="GJ471"/>
      <c r="GK471">
        <v>19.171921939827659</v>
      </c>
      <c r="GL471">
        <v>15.05757705498787</v>
      </c>
      <c r="GM471">
        <v>8.1427980247513929</v>
      </c>
      <c r="GN471">
        <v>8.1111928090854786</v>
      </c>
      <c r="GO471">
        <v>7.3106454019356422</v>
      </c>
      <c r="GP471">
        <v>6.1406587740804568</v>
      </c>
      <c r="GQ471">
        <v>0.13541666666666666</v>
      </c>
      <c r="GR471">
        <v>0.52662037037037035</v>
      </c>
      <c r="GS471">
        <v>6.6159554580863178</v>
      </c>
      <c r="GT471">
        <v>8.2753474982535362</v>
      </c>
      <c r="GU471"/>
      <c r="GV471"/>
      <c r="GW471"/>
      <c r="GX471"/>
      <c r="GY471"/>
      <c r="GZ471"/>
      <c r="HA471"/>
      <c r="HB471"/>
      <c r="HC471"/>
    </row>
    <row r="472" spans="1:211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3.2683564978830626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55.908303024215591</v>
      </c>
      <c r="AO472">
        <v>6.7539379236757879</v>
      </c>
      <c r="AP472">
        <v>2.775691754962863</v>
      </c>
      <c r="AQ472">
        <v>55.101987398881441</v>
      </c>
      <c r="AR472">
        <v>7.3761738866029374</v>
      </c>
      <c r="AS472">
        <v>45.287128697048018</v>
      </c>
      <c r="AT472">
        <v>5.8834601765085566</v>
      </c>
      <c r="AU472">
        <v>-3.4919647125894802</v>
      </c>
      <c r="AV472"/>
      <c r="AW472"/>
      <c r="FY472" s="211">
        <v>467</v>
      </c>
      <c r="FZ472">
        <v>14.242155580076551</v>
      </c>
      <c r="GA472">
        <v>12.612700301095151</v>
      </c>
      <c r="GB472">
        <v>6.311047697330058</v>
      </c>
      <c r="GC472">
        <v>3.4285884997246279</v>
      </c>
      <c r="GD472">
        <v>2.0715200240583038</v>
      </c>
      <c r="GE472">
        <v>2.800857937913817</v>
      </c>
      <c r="GF472">
        <v>3.4426794998996053</v>
      </c>
      <c r="GG472">
        <v>3.3708099579951476</v>
      </c>
      <c r="GH472">
        <v>5.7222093124430966</v>
      </c>
      <c r="GI472">
        <v>6.3738486585733583</v>
      </c>
      <c r="GJ472"/>
      <c r="GK472">
        <v>14.302528850804432</v>
      </c>
      <c r="GL472">
        <v>10.689194482503364</v>
      </c>
      <c r="GM472">
        <v>10.488206720029947</v>
      </c>
      <c r="GN472">
        <v>10.260603692396188</v>
      </c>
      <c r="GO472">
        <v>8.0311378380915244</v>
      </c>
      <c r="GP472">
        <v>5.3622457043070932</v>
      </c>
      <c r="GQ472">
        <v>4.2140145886144262</v>
      </c>
      <c r="GR472">
        <v>4.7406349589847956</v>
      </c>
      <c r="GS472">
        <v>6.099129797428402</v>
      </c>
      <c r="GT472">
        <v>8.6270035589937457</v>
      </c>
      <c r="GU472"/>
      <c r="GV472"/>
      <c r="GW472"/>
      <c r="GX472"/>
      <c r="GY472"/>
      <c r="GZ472"/>
      <c r="HA472"/>
      <c r="HB472"/>
      <c r="HC472"/>
    </row>
    <row r="473" spans="1:211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3.6514279651162109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68.445383078682539</v>
      </c>
      <c r="AO473">
        <v>7.8983679979843187</v>
      </c>
      <c r="AP473">
        <v>3.8914892109716339</v>
      </c>
      <c r="AQ473">
        <v>56.053033234328609</v>
      </c>
      <c r="AR473">
        <v>8.26982483440983</v>
      </c>
      <c r="AS473">
        <v>55.782525283454206</v>
      </c>
      <c r="AT473">
        <v>6.6495210042841855</v>
      </c>
      <c r="AU473">
        <v>1.65169414255001</v>
      </c>
      <c r="AV473"/>
      <c r="AW473"/>
      <c r="FY473" s="211">
        <v>468</v>
      </c>
      <c r="FZ473">
        <v>14.816856072172943</v>
      </c>
      <c r="GA473">
        <v>13.196598847063276</v>
      </c>
      <c r="GB473">
        <v>5.3470155774710282</v>
      </c>
      <c r="GC473">
        <v>3.2115738111561534</v>
      </c>
      <c r="GD473">
        <v>2.399019884925313</v>
      </c>
      <c r="GE473">
        <v>3.3414531971995314</v>
      </c>
      <c r="GF473">
        <v>1.8793936358786199</v>
      </c>
      <c r="GG473">
        <v>1.5868668269893251</v>
      </c>
      <c r="GH473">
        <v>3.2445200739698214</v>
      </c>
      <c r="GI473">
        <v>5.7375405643464532</v>
      </c>
      <c r="GJ473"/>
      <c r="GK473">
        <v>14.860978403754485</v>
      </c>
      <c r="GL473">
        <v>11.181012283356031</v>
      </c>
      <c r="GM473">
        <v>8.8943169193076876</v>
      </c>
      <c r="GN473">
        <v>9.629035160118077</v>
      </c>
      <c r="GO473">
        <v>9.3119265079016564</v>
      </c>
      <c r="GP473">
        <v>6.3972159424023323</v>
      </c>
      <c r="GQ473">
        <v>2.2960558503129445</v>
      </c>
      <c r="GR473">
        <v>2.228347516979611</v>
      </c>
      <c r="GS473">
        <v>3.455928307287027</v>
      </c>
      <c r="GT473">
        <v>7.7638411977127593</v>
      </c>
      <c r="GU473"/>
      <c r="GV473"/>
      <c r="GW473"/>
      <c r="GX473"/>
      <c r="GY473"/>
      <c r="GZ473"/>
      <c r="HA473"/>
      <c r="HB473"/>
      <c r="HC473"/>
    </row>
    <row r="474" spans="1:211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4.0264223768639544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59.65039625309619</v>
      </c>
      <c r="AO474">
        <v>7.1145256853623051</v>
      </c>
      <c r="AP474">
        <v>2.5439600175047996</v>
      </c>
      <c r="AQ474">
        <v>54.484107292909648</v>
      </c>
      <c r="AR474">
        <v>7.2137489598319666</v>
      </c>
      <c r="AS474">
        <v>42.309746848308023</v>
      </c>
      <c r="AT474">
        <v>5.7193719571770423</v>
      </c>
      <c r="AU474">
        <v>2.4566025953596524</v>
      </c>
      <c r="AV474"/>
      <c r="AW474"/>
      <c r="FY474" s="211">
        <v>469</v>
      </c>
      <c r="FZ474">
        <v>10.616487362872588</v>
      </c>
      <c r="GA474">
        <v>7.0902966588382323</v>
      </c>
      <c r="GB474">
        <v>5.6114867943334872</v>
      </c>
      <c r="GC474">
        <v>3.4261878111704935</v>
      </c>
      <c r="GD474">
        <v>1.7610182848905418</v>
      </c>
      <c r="GE474">
        <v>1.8978994182225912</v>
      </c>
      <c r="GF474">
        <v>0.59244847119791655</v>
      </c>
      <c r="GG474">
        <v>0.46773940755208332</v>
      </c>
      <c r="GH474">
        <v>6.8371154739632569</v>
      </c>
      <c r="GI474">
        <v>5.1521015661292093</v>
      </c>
      <c r="GJ474"/>
      <c r="GK474">
        <v>10.6490322172242</v>
      </c>
      <c r="GL474">
        <v>6.0068506019849304</v>
      </c>
      <c r="GM474">
        <v>9.375252669159071</v>
      </c>
      <c r="GN474">
        <v>10.342464213564025</v>
      </c>
      <c r="GO474">
        <v>6.8484427948967666</v>
      </c>
      <c r="GP474">
        <v>3.6335305924695458</v>
      </c>
      <c r="GQ474">
        <v>0.72598379629629617</v>
      </c>
      <c r="GR474">
        <v>0.65827546296296291</v>
      </c>
      <c r="GS474">
        <v>7.2904407885556877</v>
      </c>
      <c r="GT474">
        <v>6.9778304532264048</v>
      </c>
      <c r="GU474"/>
      <c r="GV474"/>
      <c r="GW474"/>
      <c r="GX474"/>
      <c r="GY474"/>
      <c r="GZ474"/>
      <c r="HA474"/>
      <c r="HB474"/>
      <c r="HC474"/>
    </row>
    <row r="475" spans="1:211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4.4399279711368509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58.383785415707962</v>
      </c>
      <c r="AO475">
        <v>6.7258161211002161</v>
      </c>
      <c r="AP475">
        <v>29.142714906550847</v>
      </c>
      <c r="AQ475">
        <v>48.318406054311865</v>
      </c>
      <c r="AR475">
        <v>7.3097690699752196</v>
      </c>
      <c r="AS475">
        <v>45.894037090685302</v>
      </c>
      <c r="AT475" t="e">
        <v>#DIV/0!</v>
      </c>
      <c r="AU475" t="e">
        <v>#DIV/0!</v>
      </c>
      <c r="AV475"/>
      <c r="AW475"/>
      <c r="FY475" s="211">
        <v>470</v>
      </c>
      <c r="FZ475">
        <v>9.0496825121668749</v>
      </c>
      <c r="GA475">
        <v>9.2314562595367171</v>
      </c>
      <c r="GB475">
        <v>7.3216907880977251</v>
      </c>
      <c r="GC475">
        <v>3.4916797532696986</v>
      </c>
      <c r="GD475">
        <v>0.77085629236688313</v>
      </c>
      <c r="GE475">
        <v>0.35366045000000007</v>
      </c>
      <c r="GF475">
        <v>1.223050412887982</v>
      </c>
      <c r="GG475">
        <v>1.0644446003007895</v>
      </c>
      <c r="GH475">
        <v>5.468222135310234</v>
      </c>
      <c r="GI475">
        <v>4.6618639769462851</v>
      </c>
      <c r="GJ475"/>
      <c r="GK475">
        <v>9.0936860400283557</v>
      </c>
      <c r="GL475">
        <v>7.8209407333380669</v>
      </c>
      <c r="GM475">
        <v>12.124777908968072</v>
      </c>
      <c r="GN475">
        <v>10.393404820975801</v>
      </c>
      <c r="GO475">
        <v>2.98808856235586</v>
      </c>
      <c r="GP475">
        <v>0.67708333333333348</v>
      </c>
      <c r="GQ475">
        <v>1.4964056940656674</v>
      </c>
      <c r="GR475">
        <v>1.4964056940656674</v>
      </c>
      <c r="GS475">
        <v>5.8300477346752331</v>
      </c>
      <c r="GT475">
        <v>6.3066011880186368</v>
      </c>
      <c r="GU475"/>
      <c r="GV475"/>
      <c r="GW475"/>
      <c r="GX475"/>
      <c r="GY475"/>
      <c r="GZ475"/>
      <c r="HA475"/>
      <c r="HB475"/>
      <c r="HC475"/>
    </row>
    <row r="476" spans="1:211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4.8456790077015306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58.251553058482685</v>
      </c>
      <c r="AO476">
        <v>7.6901687503797591</v>
      </c>
      <c r="AP476">
        <v>5.8897603518310602</v>
      </c>
      <c r="AQ476">
        <v>59.711512412852535</v>
      </c>
      <c r="AR476">
        <v>8.0222655556110336</v>
      </c>
      <c r="AS476">
        <v>53.200541193658154</v>
      </c>
      <c r="AT476">
        <v>6.4640432328011235</v>
      </c>
      <c r="AU476">
        <v>4.7102253981480775</v>
      </c>
      <c r="AV476"/>
      <c r="AW476"/>
      <c r="FY476" s="211">
        <v>471</v>
      </c>
      <c r="FZ476">
        <v>13.13395970867705</v>
      </c>
      <c r="GA476">
        <v>14.247497350707661</v>
      </c>
      <c r="GB476">
        <v>5.1660796244294573</v>
      </c>
      <c r="GC476">
        <v>2.437096765763926</v>
      </c>
      <c r="GD476">
        <v>1.2887611106254653</v>
      </c>
      <c r="GE476">
        <v>1.1434629566112955</v>
      </c>
      <c r="GF476">
        <v>1.2074524259805255</v>
      </c>
      <c r="GG476">
        <v>1.003228398856431</v>
      </c>
      <c r="GH476">
        <v>5.6225546391305397</v>
      </c>
      <c r="GI476">
        <v>5.058967803529085</v>
      </c>
      <c r="GJ476"/>
      <c r="GK476">
        <v>13.170154157356988</v>
      </c>
      <c r="GL476">
        <v>12.071557455410332</v>
      </c>
      <c r="GM476">
        <v>8.5589100945362855</v>
      </c>
      <c r="GN476">
        <v>7.2699525222694623</v>
      </c>
      <c r="GO476">
        <v>5.0056440578743882</v>
      </c>
      <c r="GP476">
        <v>2.1891611295681059</v>
      </c>
      <c r="GQ476">
        <v>1.4796069847020934</v>
      </c>
      <c r="GR476">
        <v>1.4118986513687599</v>
      </c>
      <c r="GS476">
        <v>5.9949832467297517</v>
      </c>
      <c r="GT476">
        <v>6.8418597082399026</v>
      </c>
      <c r="GU476"/>
      <c r="GV476"/>
      <c r="GW476"/>
      <c r="GX476"/>
      <c r="GY476"/>
      <c r="GZ476"/>
      <c r="HA476"/>
      <c r="HB476"/>
      <c r="HC476"/>
    </row>
    <row r="477" spans="1:211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5.2885103538441047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54.022197578486839</v>
      </c>
      <c r="AO477">
        <v>6.5824848205181539</v>
      </c>
      <c r="AP477">
        <v>65.895852592872657</v>
      </c>
      <c r="AQ477">
        <v>49.008566310876205</v>
      </c>
      <c r="AR477">
        <v>6.7998146866410742</v>
      </c>
      <c r="AS477">
        <v>41.847680402929662</v>
      </c>
      <c r="AT477" t="e">
        <v>#DIV/0!</v>
      </c>
      <c r="AU477" t="e">
        <v>#DIV/0!</v>
      </c>
      <c r="AV477"/>
      <c r="AW477"/>
      <c r="FY477" s="211">
        <v>472</v>
      </c>
      <c r="FZ477">
        <v>12.700231368954931</v>
      </c>
      <c r="GA477">
        <v>11.399569113318636</v>
      </c>
      <c r="GB477">
        <v>4.7710278721405803</v>
      </c>
      <c r="GC477">
        <v>2.5005730414497762</v>
      </c>
      <c r="GD477">
        <v>1.9568473564995414</v>
      </c>
      <c r="GE477">
        <v>2.9598835611911278</v>
      </c>
      <c r="GF477">
        <v>1.822456380763134</v>
      </c>
      <c r="GG477">
        <v>2.2871004422441126</v>
      </c>
      <c r="GH477">
        <v>5.4605960500532715</v>
      </c>
      <c r="GI477">
        <v>5.3674042598441956</v>
      </c>
      <c r="GJ477"/>
      <c r="GK477">
        <v>12.748517503717821</v>
      </c>
      <c r="GL477">
        <v>9.6596689706891503</v>
      </c>
      <c r="GM477">
        <v>7.8969015870468402</v>
      </c>
      <c r="GN477">
        <v>7.4548125362136988</v>
      </c>
      <c r="GO477">
        <v>7.6077287146029171</v>
      </c>
      <c r="GP477">
        <v>5.6667004407471238</v>
      </c>
      <c r="GQ477">
        <v>2.2332301731078905</v>
      </c>
      <c r="GR477">
        <v>3.218762580515298</v>
      </c>
      <c r="GS477">
        <v>5.8257864028411968</v>
      </c>
      <c r="GT477">
        <v>7.2624328762633343</v>
      </c>
      <c r="GU477"/>
      <c r="GV477"/>
      <c r="GW477"/>
      <c r="GX477"/>
      <c r="GY477"/>
      <c r="GZ477"/>
      <c r="HA477"/>
      <c r="HB477"/>
      <c r="HC477"/>
    </row>
    <row r="478" spans="1:211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5.7238637539993444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53.366611570884345</v>
      </c>
      <c r="AO478">
        <v>6.1049832525666297</v>
      </c>
      <c r="AP478">
        <v>11.382393966161926</v>
      </c>
      <c r="AQ478">
        <v>46.255354698593877</v>
      </c>
      <c r="AR478">
        <v>6.3434719258856624</v>
      </c>
      <c r="AS478">
        <v>40.158247551362805</v>
      </c>
      <c r="AT478" t="e">
        <v>#DIV/0!</v>
      </c>
      <c r="AU478" t="e">
        <v>#DIV/0!</v>
      </c>
      <c r="AV478"/>
      <c r="AW478"/>
      <c r="FY478" s="211">
        <v>473</v>
      </c>
      <c r="FZ478">
        <v>17.172122257151916</v>
      </c>
      <c r="GA478">
        <v>14.134048088441252</v>
      </c>
      <c r="GB478">
        <v>4.0944551918231378</v>
      </c>
      <c r="GC478">
        <v>2.8073930493518335</v>
      </c>
      <c r="GD478">
        <v>1.2906287398513288</v>
      </c>
      <c r="GE478">
        <v>1.4886637546511627</v>
      </c>
      <c r="GF478">
        <v>1.6893923740534418</v>
      </c>
      <c r="GG478">
        <v>1.8451593324501812</v>
      </c>
      <c r="GH478">
        <v>6.5495529233647387</v>
      </c>
      <c r="GI478">
        <v>5.6271812698730841</v>
      </c>
      <c r="GJ478"/>
      <c r="GK478">
        <v>17.244305952245409</v>
      </c>
      <c r="GL478">
        <v>11.978106296083149</v>
      </c>
      <c r="GM478">
        <v>6.7777250177502406</v>
      </c>
      <c r="GN478">
        <v>8.350731109592413</v>
      </c>
      <c r="GO478">
        <v>5.0041407115171648</v>
      </c>
      <c r="GP478">
        <v>2.850048449612403</v>
      </c>
      <c r="GQ478">
        <v>2.0701741143317229</v>
      </c>
      <c r="GR478">
        <v>2.5967944847020932</v>
      </c>
      <c r="GS478">
        <v>6.9813291911544573</v>
      </c>
      <c r="GT478">
        <v>7.6155349973997986</v>
      </c>
      <c r="GU478"/>
      <c r="GV478"/>
      <c r="GW478"/>
      <c r="GX478"/>
      <c r="GY478"/>
      <c r="GZ478"/>
      <c r="HA478"/>
      <c r="HB478"/>
      <c r="HC478"/>
    </row>
    <row r="479" spans="1:211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6.195055711772036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65.332685043231933</v>
      </c>
      <c r="AO479">
        <v>7.4859026797524875</v>
      </c>
      <c r="AP479">
        <v>4.3523972828177246</v>
      </c>
      <c r="AQ479">
        <v>54.427334720974144</v>
      </c>
      <c r="AR479">
        <v>7.7383938594684238</v>
      </c>
      <c r="AS479">
        <v>49.264080565086637</v>
      </c>
      <c r="AT479">
        <v>6.2131880249146993</v>
      </c>
      <c r="AU479">
        <v>1.5894625982717869</v>
      </c>
      <c r="AV479"/>
      <c r="AW479"/>
      <c r="FY479" s="211">
        <v>474</v>
      </c>
      <c r="FZ479">
        <v>16.199633780608504</v>
      </c>
      <c r="GA479">
        <v>16.499718217113276</v>
      </c>
      <c r="GB479">
        <v>5.9672464695820491</v>
      </c>
      <c r="GC479">
        <v>3.6155575202367727</v>
      </c>
      <c r="GD479">
        <v>1.2711803665586932</v>
      </c>
      <c r="GE479">
        <v>0.81341903500000001</v>
      </c>
      <c r="GF479">
        <v>2.2265865836888583</v>
      </c>
      <c r="GG479">
        <v>1.9387072139605979</v>
      </c>
      <c r="GH479">
        <v>3.5693129226065041</v>
      </c>
      <c r="GI479">
        <v>5.5656367795236283</v>
      </c>
      <c r="GJ479"/>
      <c r="GK479">
        <v>16.252814955411974</v>
      </c>
      <c r="GL479">
        <v>13.983329684974864</v>
      </c>
      <c r="GM479">
        <v>9.963679076713376</v>
      </c>
      <c r="GN479">
        <v>10.903273102972905</v>
      </c>
      <c r="GO479">
        <v>4.947711350948464</v>
      </c>
      <c r="GP479">
        <v>1.5572916666666667</v>
      </c>
      <c r="GQ479">
        <v>2.7284495772946857</v>
      </c>
      <c r="GR479">
        <v>2.7284495772946857</v>
      </c>
      <c r="GS479">
        <v>3.8063172164474097</v>
      </c>
      <c r="GT479">
        <v>7.5397944353631825</v>
      </c>
      <c r="GU479"/>
      <c r="GV479"/>
      <c r="GW479"/>
      <c r="GX479"/>
      <c r="GY479"/>
      <c r="GZ479"/>
      <c r="HA479"/>
      <c r="HB479"/>
      <c r="HC479"/>
    </row>
    <row r="480" spans="1:211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6.6590108397667267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62.564286956804246</v>
      </c>
      <c r="AO480">
        <v>7.3903643122930536</v>
      </c>
      <c r="AP480">
        <v>35.501441370162226</v>
      </c>
      <c r="AQ480">
        <v>55.862600577857457</v>
      </c>
      <c r="AR480">
        <v>7.5971057545705705</v>
      </c>
      <c r="AS480">
        <v>47.471267728552469</v>
      </c>
      <c r="AT480" t="e">
        <v>#DIV/0!</v>
      </c>
      <c r="AU480" t="e">
        <v>#DIV/0!</v>
      </c>
      <c r="AV480"/>
      <c r="AW480"/>
      <c r="FY480" s="211">
        <v>475</v>
      </c>
      <c r="FZ480">
        <v>9.4826268887386505</v>
      </c>
      <c r="GA480">
        <v>6.7492331634906915</v>
      </c>
      <c r="GB480">
        <v>6.4191749782143397</v>
      </c>
      <c r="GC480">
        <v>3.8118628332339304</v>
      </c>
      <c r="GD480">
        <v>1.2230460263237695</v>
      </c>
      <c r="GE480">
        <v>0.92116210232558138</v>
      </c>
      <c r="GF480">
        <v>2.4530583224531992</v>
      </c>
      <c r="GG480">
        <v>2.5096141089511512</v>
      </c>
      <c r="GH480">
        <v>4.8388339156023124</v>
      </c>
      <c r="GI480">
        <v>4.8999610748585587</v>
      </c>
      <c r="GJ480"/>
      <c r="GK480">
        <v>9.5295035252468701</v>
      </c>
      <c r="GL480">
        <v>5.7179537833009748</v>
      </c>
      <c r="GM480">
        <v>10.783573786640005</v>
      </c>
      <c r="GN480">
        <v>11.608171175340685</v>
      </c>
      <c r="GO480">
        <v>4.772801754637511</v>
      </c>
      <c r="GP480">
        <v>1.7635658914728682</v>
      </c>
      <c r="GQ480">
        <v>3.0036520708772612</v>
      </c>
      <c r="GR480">
        <v>3.5302724412476314</v>
      </c>
      <c r="GS480">
        <v>5.1576221247529839</v>
      </c>
      <c r="GT480">
        <v>6.6494306524309259</v>
      </c>
      <c r="GU480"/>
      <c r="GV480"/>
      <c r="GW480"/>
      <c r="GX480"/>
      <c r="GY480"/>
      <c r="GZ480"/>
      <c r="HA480"/>
      <c r="HB480"/>
      <c r="HC480"/>
    </row>
    <row r="481" spans="1:211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7.1577121219216666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64.442282672172624</v>
      </c>
      <c r="AO481">
        <v>7.8063229990209306</v>
      </c>
      <c r="AP481">
        <v>55.292548674044063</v>
      </c>
      <c r="AQ481">
        <v>57.120522560614162</v>
      </c>
      <c r="AR481">
        <v>7.9093420977751459</v>
      </c>
      <c r="AS481">
        <v>48.998864375945359</v>
      </c>
      <c r="AT481" t="e">
        <v>#DIV/0!</v>
      </c>
      <c r="AU481" t="e">
        <v>#DIV/0!</v>
      </c>
      <c r="AV481"/>
      <c r="AW481"/>
      <c r="FY481" s="211">
        <v>476</v>
      </c>
      <c r="FZ481">
        <v>11.333771144713364</v>
      </c>
      <c r="GA481">
        <v>13.136554478205186</v>
      </c>
      <c r="GB481">
        <v>6.740874709372016</v>
      </c>
      <c r="GC481">
        <v>3.0762463209654225</v>
      </c>
      <c r="GD481">
        <v>1.7587036542320045</v>
      </c>
      <c r="GE481">
        <v>2.4569414185880407</v>
      </c>
      <c r="GF481">
        <v>2.9537820551494529</v>
      </c>
      <c r="GG481">
        <v>2.8965371681351582</v>
      </c>
      <c r="GH481">
        <v>3.8928506664375568</v>
      </c>
      <c r="GI481">
        <v>5.4922239231147811</v>
      </c>
      <c r="GJ481"/>
      <c r="GK481">
        <v>11.385670721789124</v>
      </c>
      <c r="GL481">
        <v>11.130504051335224</v>
      </c>
      <c r="GM481">
        <v>11.196339441315672</v>
      </c>
      <c r="GN481">
        <v>9.2155730685977524</v>
      </c>
      <c r="GO481">
        <v>6.8284912651752299</v>
      </c>
      <c r="GP481">
        <v>4.7038171373200459</v>
      </c>
      <c r="GQ481">
        <v>3.6126067762388696</v>
      </c>
      <c r="GR481">
        <v>4.0715188132759064</v>
      </c>
      <c r="GS481">
        <v>4.1510215506986494</v>
      </c>
      <c r="GT481">
        <v>7.4348259510435097</v>
      </c>
      <c r="GU481"/>
      <c r="GV481"/>
      <c r="GW481"/>
      <c r="GX481"/>
      <c r="GY481"/>
      <c r="GZ481"/>
      <c r="HA481"/>
      <c r="HB481"/>
      <c r="HC481"/>
    </row>
    <row r="482" spans="1:211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7.6493895038417987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65.188623244207946</v>
      </c>
      <c r="AO482">
        <v>7.94881339980454</v>
      </c>
      <c r="AP482">
        <v>10.804039004313605</v>
      </c>
      <c r="AQ482">
        <v>62.321024520746569</v>
      </c>
      <c r="AR482">
        <v>8.2753474982535398</v>
      </c>
      <c r="AS482">
        <v>50.063066706707616</v>
      </c>
      <c r="AT482" t="e">
        <v>#DIV/0!</v>
      </c>
      <c r="AU482" t="e">
        <v>#DIV/0!</v>
      </c>
      <c r="AV482"/>
      <c r="AW482"/>
      <c r="FY482" s="211">
        <v>477</v>
      </c>
      <c r="FZ482">
        <v>19.263450986422157</v>
      </c>
      <c r="GA482">
        <v>18.402193246991938</v>
      </c>
      <c r="GB482">
        <v>5.8412188586543765</v>
      </c>
      <c r="GC482">
        <v>2.435447994639405</v>
      </c>
      <c r="GD482">
        <v>1.6725559036862105</v>
      </c>
      <c r="GE482">
        <v>2.3394544205882353</v>
      </c>
      <c r="GF482">
        <v>2.4165878455140364</v>
      </c>
      <c r="GG482">
        <v>2.4287977605830751</v>
      </c>
      <c r="GH482">
        <v>7.813951587739739</v>
      </c>
      <c r="GI482">
        <v>6.9154209418683532</v>
      </c>
      <c r="GJ482"/>
      <c r="GK482">
        <v>19.339103627077517</v>
      </c>
      <c r="GL482">
        <v>15.592570251588906</v>
      </c>
      <c r="GM482">
        <v>9.6745850517977754</v>
      </c>
      <c r="GN482">
        <v>7.2522425362043377</v>
      </c>
      <c r="GO482">
        <v>6.4842386132853225</v>
      </c>
      <c r="GP482">
        <v>4.4788881461675585</v>
      </c>
      <c r="GQ482">
        <v>2.9543313132759068</v>
      </c>
      <c r="GR482">
        <v>3.413243350312944</v>
      </c>
      <c r="GS482">
        <v>8.3302875244877903</v>
      </c>
      <c r="GT482">
        <v>9.3565092259848619</v>
      </c>
      <c r="GU482"/>
      <c r="GV482"/>
      <c r="GW482"/>
      <c r="GX482"/>
      <c r="GY482"/>
      <c r="GZ482"/>
      <c r="HA482"/>
      <c r="HB482"/>
      <c r="HC482"/>
    </row>
    <row r="483" spans="1:211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8.1748411761740094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70.075649814401345</v>
      </c>
      <c r="AO483">
        <v>8.2814700192153925</v>
      </c>
      <c r="AP483">
        <v>52.865019603816251</v>
      </c>
      <c r="AQ483">
        <v>60.376417469109718</v>
      </c>
      <c r="AR483">
        <v>8.6270035589937457</v>
      </c>
      <c r="AS483">
        <v>51.170764874533674</v>
      </c>
      <c r="AT483" t="e">
        <v>#DIV/0!</v>
      </c>
      <c r="AU483" t="e">
        <v>#DIV/0!</v>
      </c>
      <c r="AV483"/>
      <c r="AW483"/>
      <c r="FY483" s="211">
        <v>478</v>
      </c>
      <c r="FZ483">
        <v>9.8288960120058686</v>
      </c>
      <c r="GA483">
        <v>9.1565402953434454</v>
      </c>
      <c r="GB483">
        <v>4.5226552811810885</v>
      </c>
      <c r="GC483">
        <v>2.911370263814359</v>
      </c>
      <c r="GD483">
        <v>1.0053009553605154</v>
      </c>
      <c r="GE483">
        <v>0.71742548428571418</v>
      </c>
      <c r="GF483">
        <v>1.8707531456483986</v>
      </c>
      <c r="GG483">
        <v>1.9063755338945396</v>
      </c>
      <c r="GH483">
        <v>7.0771501046730148</v>
      </c>
      <c r="GI483">
        <v>4.5983252771330543</v>
      </c>
      <c r="GJ483"/>
      <c r="GK483">
        <v>9.8561636068149454</v>
      </c>
      <c r="GL483">
        <v>7.7578334437671694</v>
      </c>
      <c r="GM483">
        <v>7.4886273030183617</v>
      </c>
      <c r="GN483">
        <v>8.6726943376327945</v>
      </c>
      <c r="GO483">
        <v>3.9065870949729486</v>
      </c>
      <c r="GP483">
        <v>1.3735119047619047</v>
      </c>
      <c r="GQ483">
        <v>2.2900978236952971</v>
      </c>
      <c r="GR483">
        <v>2.6813015273990004</v>
      </c>
      <c r="GS483">
        <v>7.54624665143775</v>
      </c>
      <c r="GT483">
        <v>6.2175444959878599</v>
      </c>
      <c r="GU483"/>
      <c r="GV483"/>
      <c r="GW483"/>
      <c r="GX483"/>
      <c r="GY483"/>
      <c r="GZ483"/>
      <c r="HA483"/>
      <c r="HB483"/>
      <c r="HC483"/>
    </row>
    <row r="484" spans="1:211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8.6934590146389024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65.887139609566347</v>
      </c>
      <c r="AO484">
        <v>7.6018658089132618</v>
      </c>
      <c r="AP484">
        <v>42.446134095310406</v>
      </c>
      <c r="AQ484">
        <v>54.760838491172464</v>
      </c>
      <c r="AR484">
        <v>7.763841197712761</v>
      </c>
      <c r="AS484">
        <v>47.48200916891237</v>
      </c>
      <c r="AT484" t="e">
        <v>#DIV/0!</v>
      </c>
      <c r="AU484" t="e">
        <v>#DIV/0!</v>
      </c>
      <c r="AV484"/>
      <c r="AW484"/>
      <c r="FY484" s="211">
        <v>479</v>
      </c>
      <c r="FZ484">
        <v>11.779229758479731</v>
      </c>
      <c r="GA484">
        <v>8.4921745093013694</v>
      </c>
      <c r="GB484">
        <v>6.2518145435690311</v>
      </c>
      <c r="GC484">
        <v>3.3312164557571133</v>
      </c>
      <c r="GD484">
        <v>1.7260736057142547</v>
      </c>
      <c r="GE484">
        <v>2.7307679872708626</v>
      </c>
      <c r="GF484">
        <v>1.7532871258461631</v>
      </c>
      <c r="GG484">
        <v>1.5256506255449667</v>
      </c>
      <c r="GH484">
        <v>3.1339408495357652</v>
      </c>
      <c r="GI484">
        <v>5.0840617849478775</v>
      </c>
      <c r="GJ484"/>
      <c r="GK484">
        <v>11.831340225185045</v>
      </c>
      <c r="GL484">
        <v>7.1947412097546524</v>
      </c>
      <c r="GM484">
        <v>10.431752814711876</v>
      </c>
      <c r="GN484">
        <v>10.033050622837109</v>
      </c>
      <c r="GO484">
        <v>6.6917422146201488</v>
      </c>
      <c r="GP484">
        <v>5.2280584141690518</v>
      </c>
      <c r="GQ484">
        <v>2.1438404742827033</v>
      </c>
      <c r="GR484">
        <v>2.1438404742827033</v>
      </c>
      <c r="GS484">
        <v>3.339040217122887</v>
      </c>
      <c r="GT484">
        <v>6.8875431891845329</v>
      </c>
      <c r="GU484"/>
      <c r="GV484"/>
      <c r="GW484"/>
      <c r="GX484"/>
      <c r="GY484"/>
      <c r="GZ484"/>
      <c r="HA484"/>
      <c r="HB484"/>
      <c r="HC484"/>
    </row>
    <row r="485" spans="1:211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9.2449783439802076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48.962004516628561</v>
      </c>
      <c r="AO485">
        <v>6.2508103590339887</v>
      </c>
      <c r="AP485">
        <v>89.398472158943491</v>
      </c>
      <c r="AQ485">
        <v>43.4527812491704</v>
      </c>
      <c r="AR485">
        <v>6.9778304532264039</v>
      </c>
      <c r="AS485">
        <v>44.719727909616367</v>
      </c>
      <c r="AT485" t="e">
        <v>#DIV/0!</v>
      </c>
      <c r="AU485" t="e">
        <v>#DIV/0!</v>
      </c>
      <c r="AV485"/>
      <c r="AW485"/>
      <c r="FY485" s="211">
        <v>480</v>
      </c>
      <c r="FZ485">
        <v>10.972561819560967</v>
      </c>
      <c r="GA485">
        <v>8.5285059201412956</v>
      </c>
      <c r="GB485">
        <v>5.6096824868737176</v>
      </c>
      <c r="GC485">
        <v>3.1156073121818659</v>
      </c>
      <c r="GD485">
        <v>1.8730766211065581</v>
      </c>
      <c r="GE485">
        <v>2.8891514711911279</v>
      </c>
      <c r="GF485">
        <v>3.0712480749516886</v>
      </c>
      <c r="GG485">
        <v>3.2772620764847313</v>
      </c>
      <c r="GH485">
        <v>5.215310065441467</v>
      </c>
      <c r="GI485">
        <v>5.4581555570533835</v>
      </c>
      <c r="GJ485"/>
      <c r="GK485">
        <v>11.003734124085479</v>
      </c>
      <c r="GL485">
        <v>7.2272579324586568</v>
      </c>
      <c r="GM485">
        <v>9.3309312397754898</v>
      </c>
      <c r="GN485">
        <v>9.3438823424225745</v>
      </c>
      <c r="GO485">
        <v>7.2712042023867394</v>
      </c>
      <c r="GP485">
        <v>5.5312837740804568</v>
      </c>
      <c r="GQ485">
        <v>3.7588641256514634</v>
      </c>
      <c r="GR485">
        <v>4.6089798663922039</v>
      </c>
      <c r="GS485">
        <v>5.5603623958267949</v>
      </c>
      <c r="GT485">
        <v>7.3850192175451932</v>
      </c>
      <c r="GU485"/>
      <c r="GV485"/>
      <c r="GW485"/>
      <c r="GX485"/>
      <c r="GY485"/>
      <c r="GZ485"/>
      <c r="HA485"/>
      <c r="HB485"/>
      <c r="HC485"/>
    </row>
    <row r="486" spans="1:211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9.7898350317698419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51.557582328383624</v>
      </c>
      <c r="AO486">
        <v>5.8227441709824692</v>
      </c>
      <c r="AP486">
        <v>88.487670347627073</v>
      </c>
      <c r="AQ486">
        <v>42.636607180883189</v>
      </c>
      <c r="AR486">
        <v>6.3066011880186359</v>
      </c>
      <c r="AS486">
        <v>40.281825215315052</v>
      </c>
      <c r="AT486" t="e">
        <v>#DIV/0!</v>
      </c>
      <c r="AU486" t="e">
        <v>#DIV/0!</v>
      </c>
      <c r="AV486"/>
      <c r="AW486"/>
      <c r="FY486" s="211">
        <v>481</v>
      </c>
      <c r="FZ486">
        <v>13.662846437571893</v>
      </c>
      <c r="GA486">
        <v>9.2722864804620269</v>
      </c>
      <c r="GB486">
        <v>5.4085891951631169</v>
      </c>
      <c r="GC486">
        <v>2.5836296442642106</v>
      </c>
      <c r="GD486">
        <v>1.5072241159947588</v>
      </c>
      <c r="GE486">
        <v>2.633129504230995</v>
      </c>
      <c r="GF486">
        <v>1.2783046744504822</v>
      </c>
      <c r="GG486">
        <v>1.0644446003007895</v>
      </c>
      <c r="GH486">
        <v>7.1404405843000518</v>
      </c>
      <c r="GI486">
        <v>5.5749951766381738</v>
      </c>
      <c r="GJ486"/>
      <c r="GK486">
        <v>13.712347777183945</v>
      </c>
      <c r="GL486">
        <v>7.8555353585594165</v>
      </c>
      <c r="GM486">
        <v>8.9952604560622671</v>
      </c>
      <c r="GN486">
        <v>7.7473645825004969</v>
      </c>
      <c r="GO486">
        <v>5.8424553616936157</v>
      </c>
      <c r="GP486">
        <v>5.0411294274580873</v>
      </c>
      <c r="GQ486">
        <v>1.5641140273990009</v>
      </c>
      <c r="GR486">
        <v>1.4964056940656674</v>
      </c>
      <c r="GS486">
        <v>7.6112631042996579</v>
      </c>
      <c r="GT486">
        <v>7.545088145327699</v>
      </c>
      <c r="GU486"/>
      <c r="GV486"/>
      <c r="GW486"/>
      <c r="GX486"/>
      <c r="GY486"/>
      <c r="GZ486"/>
      <c r="HA486"/>
      <c r="HB486"/>
      <c r="HC486"/>
    </row>
    <row r="487" spans="1:211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10.366803077659346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54.151966946291033</v>
      </c>
      <c r="AO487">
        <v>6.3993728008056072</v>
      </c>
      <c r="AP487">
        <v>72.295010345210315</v>
      </c>
      <c r="AQ487">
        <v>50.309060784311441</v>
      </c>
      <c r="AR487">
        <v>6.8418597082399026</v>
      </c>
      <c r="AS487">
        <v>45.850167722252998</v>
      </c>
      <c r="AT487" t="e">
        <v>#DIV/0!</v>
      </c>
      <c r="AU487" t="e">
        <v>#DIV/0!</v>
      </c>
      <c r="AV487"/>
      <c r="AW487"/>
      <c r="FY487" s="211">
        <v>482</v>
      </c>
      <c r="FZ487">
        <v>13.052033880240382</v>
      </c>
      <c r="GA487">
        <v>14.824466419331628</v>
      </c>
      <c r="GB487">
        <v>6.8187249641995749</v>
      </c>
      <c r="GC487">
        <v>2.8366977713419907</v>
      </c>
      <c r="GD487">
        <v>1.7058785303047364</v>
      </c>
      <c r="GE487">
        <v>2.4546543469054138</v>
      </c>
      <c r="GF487">
        <v>2.2818408452513586</v>
      </c>
      <c r="GG487">
        <v>2.312898740002264</v>
      </c>
      <c r="GH487">
        <v>4.1782108442076398</v>
      </c>
      <c r="GI487">
        <v>5.6612140622844045</v>
      </c>
      <c r="GJ487"/>
      <c r="GK487">
        <v>13.08290434361364</v>
      </c>
      <c r="GL487">
        <v>12.560877516147738</v>
      </c>
      <c r="GM487">
        <v>11.328681084036255</v>
      </c>
      <c r="GN487">
        <v>8.5198123705311399</v>
      </c>
      <c r="GO487">
        <v>6.6331617916955894</v>
      </c>
      <c r="GP487">
        <v>4.6994385359852195</v>
      </c>
      <c r="GQ487">
        <v>2.7961579106280188</v>
      </c>
      <c r="GR487">
        <v>3.2550699476650555</v>
      </c>
      <c r="GS487">
        <v>4.4539046966893014</v>
      </c>
      <c r="GT487">
        <v>7.6589619653325602</v>
      </c>
      <c r="GU487"/>
      <c r="GV487"/>
      <c r="GW487"/>
      <c r="GX487"/>
      <c r="GY487"/>
      <c r="GZ487"/>
      <c r="HA487"/>
      <c r="HB487"/>
      <c r="HC487"/>
    </row>
    <row r="488" spans="1:211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10.937263860913665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58.705399200370664</v>
      </c>
      <c r="AO488">
        <v>6.957454178574527</v>
      </c>
      <c r="AP488">
        <v>3.3896953861143384</v>
      </c>
      <c r="AQ488">
        <v>51.225689446459299</v>
      </c>
      <c r="AR488">
        <v>7.2624328762633361</v>
      </c>
      <c r="AS488">
        <v>46.018484214951528</v>
      </c>
      <c r="AT488">
        <v>5.8828479373812925</v>
      </c>
      <c r="AU488">
        <v>2.8577265537437748</v>
      </c>
      <c r="AV488"/>
      <c r="AW488"/>
      <c r="FY488" s="211">
        <v>483</v>
      </c>
      <c r="FZ488">
        <v>12.739316012462075</v>
      </c>
      <c r="GA488">
        <v>10.097392318392338</v>
      </c>
      <c r="GB488">
        <v>5.0468389730473522</v>
      </c>
      <c r="GC488">
        <v>2.7407800736121102</v>
      </c>
      <c r="GD488">
        <v>2.1209772997077607</v>
      </c>
      <c r="GE488">
        <v>3.2814678308422902</v>
      </c>
      <c r="GF488">
        <v>2.3682910806287722</v>
      </c>
      <c r="GG488">
        <v>2.0611396168493146</v>
      </c>
      <c r="GH488">
        <v>4.4495877429814668</v>
      </c>
      <c r="GI488">
        <v>5.4738459362273915</v>
      </c>
      <c r="GJ488"/>
      <c r="GK488">
        <v>12.805992345698801</v>
      </c>
      <c r="GL488">
        <v>8.5553955612837704</v>
      </c>
      <c r="GM488">
        <v>8.4003473986317303</v>
      </c>
      <c r="GN488">
        <v>8.221709006924538</v>
      </c>
      <c r="GO488">
        <v>8.2206656397829647</v>
      </c>
      <c r="GP488">
        <v>6.2823738903595263</v>
      </c>
      <c r="GQ488">
        <v>2.8974636626885006</v>
      </c>
      <c r="GR488">
        <v>2.8974636626885006</v>
      </c>
      <c r="GS488">
        <v>4.7432897438076527</v>
      </c>
      <c r="GT488">
        <v>7.4135517581219306</v>
      </c>
      <c r="GU488"/>
      <c r="GV488"/>
      <c r="GW488"/>
      <c r="GX488"/>
      <c r="GY488"/>
      <c r="GZ488"/>
      <c r="HA488"/>
      <c r="HB488"/>
      <c r="HC488"/>
    </row>
    <row r="489" spans="1:211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11.53911575894014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61.558151287806723</v>
      </c>
      <c r="AO489">
        <v>7.1468890324388852</v>
      </c>
      <c r="AP489">
        <v>27.141941697790493</v>
      </c>
      <c r="AQ489">
        <v>56.698596981012066</v>
      </c>
      <c r="AR489">
        <v>7.6155349973998021</v>
      </c>
      <c r="AS489">
        <v>47.770286306500459</v>
      </c>
      <c r="AT489" t="e">
        <v>#DIV/0!</v>
      </c>
      <c r="AU489" t="e">
        <v>#DIV/0!</v>
      </c>
      <c r="AV489"/>
      <c r="AW489"/>
      <c r="FY489" s="211">
        <v>484</v>
      </c>
      <c r="FZ489">
        <v>14.845564893522555</v>
      </c>
      <c r="GA489">
        <v>15.43245250415443</v>
      </c>
      <c r="GB489">
        <v>7.0618377365918761</v>
      </c>
      <c r="GC489">
        <v>3.7942655477759715</v>
      </c>
      <c r="GD489">
        <v>1.9709296315299005</v>
      </c>
      <c r="GE489">
        <v>2.5344882282225916</v>
      </c>
      <c r="GF489">
        <v>0.67025821634510852</v>
      </c>
      <c r="GG489">
        <v>0.90968051734601452</v>
      </c>
      <c r="GH489">
        <v>5.3804799436930963</v>
      </c>
      <c r="GI489">
        <v>6.0364726833259077</v>
      </c>
      <c r="GJ489"/>
      <c r="GK489">
        <v>14.885325492420815</v>
      </c>
      <c r="GL489">
        <v>13.074322475444275</v>
      </c>
      <c r="GM489">
        <v>11.769723017924109</v>
      </c>
      <c r="GN489">
        <v>11.408267041034488</v>
      </c>
      <c r="GO489">
        <v>7.6418639258028804</v>
      </c>
      <c r="GP489">
        <v>4.8522805924695467</v>
      </c>
      <c r="GQ489">
        <v>0.82133152173913027</v>
      </c>
      <c r="GR489">
        <v>1.2802435587761674</v>
      </c>
      <c r="GS489">
        <v>5.7345464640950681</v>
      </c>
      <c r="GT489">
        <v>8.1705580843964007</v>
      </c>
      <c r="GU489"/>
      <c r="GV489"/>
      <c r="GW489"/>
      <c r="GX489"/>
      <c r="GY489"/>
      <c r="GZ489"/>
      <c r="HA489"/>
      <c r="HB489"/>
      <c r="HC489"/>
    </row>
    <row r="490" spans="1:211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12.134602355484235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58.112957574196209</v>
      </c>
      <c r="AO490">
        <v>7.4411110644088199</v>
      </c>
      <c r="AP490">
        <v>80.660412968773969</v>
      </c>
      <c r="AQ490">
        <v>57.666998888878886</v>
      </c>
      <c r="AR490">
        <v>7.5397944353631843</v>
      </c>
      <c r="AS490">
        <v>48.487313942633151</v>
      </c>
      <c r="AT490" t="e">
        <v>#DIV/0!</v>
      </c>
      <c r="AU490" t="e">
        <v>#DIV/0!</v>
      </c>
      <c r="AV490"/>
      <c r="AW490"/>
      <c r="FY490" s="211">
        <v>485</v>
      </c>
      <c r="FZ490">
        <v>15.236917252211084</v>
      </c>
      <c r="GA490">
        <v>16.659429425926628</v>
      </c>
      <c r="GB490">
        <v>5.8682887286652718</v>
      </c>
      <c r="GC490">
        <v>2.7412156877006626</v>
      </c>
      <c r="GD490">
        <v>1.867035250519022</v>
      </c>
      <c r="GE490">
        <v>2.313190166905414</v>
      </c>
      <c r="GF490">
        <v>2.375248577306007</v>
      </c>
      <c r="GG490">
        <v>2.0676729991572205</v>
      </c>
      <c r="GH490">
        <v>4.5509018606582776</v>
      </c>
      <c r="GI490">
        <v>5.9168104612667989</v>
      </c>
      <c r="GJ490"/>
      <c r="GK490">
        <v>15.301264583404372</v>
      </c>
      <c r="GL490">
        <v>14.118128818570263</v>
      </c>
      <c r="GM490">
        <v>9.7180241741075406</v>
      </c>
      <c r="GN490">
        <v>8.1758042694960249</v>
      </c>
      <c r="GO490">
        <v>7.2580129821717794</v>
      </c>
      <c r="GP490">
        <v>4.4286052026518865</v>
      </c>
      <c r="GQ490">
        <v>2.9083043454344271</v>
      </c>
      <c r="GR490">
        <v>2.9083043454344271</v>
      </c>
      <c r="GS490">
        <v>4.8499591389762493</v>
      </c>
      <c r="GT490">
        <v>8.0071130448188725</v>
      </c>
      <c r="GU490"/>
      <c r="GV490"/>
      <c r="GW490"/>
      <c r="GX490"/>
      <c r="GY490"/>
      <c r="GZ490"/>
      <c r="HA490"/>
      <c r="HB490"/>
      <c r="HC490"/>
    </row>
    <row r="491" spans="1:211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12.760819581139918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48.70440704837533</v>
      </c>
      <c r="AO491">
        <v>6.2516547205947717</v>
      </c>
      <c r="AP491">
        <v>41.682464825812559</v>
      </c>
      <c r="AQ491">
        <v>43.308573414192189</v>
      </c>
      <c r="AR491">
        <v>6.6494306524309241</v>
      </c>
      <c r="AS491">
        <v>36.736450811555095</v>
      </c>
      <c r="AT491" t="e">
        <v>#DIV/0!</v>
      </c>
      <c r="AU491" t="e">
        <v>#DIV/0!</v>
      </c>
      <c r="AV491"/>
      <c r="AW491"/>
      <c r="FY491" s="211">
        <v>486</v>
      </c>
      <c r="FZ491">
        <v>10.526951876481903</v>
      </c>
      <c r="GA491">
        <v>11.610886787526962</v>
      </c>
      <c r="GB491">
        <v>4.7160388053006077</v>
      </c>
      <c r="GC491">
        <v>1.9886754043999284</v>
      </c>
      <c r="GD491">
        <v>1.9538440396792705</v>
      </c>
      <c r="GE491">
        <v>3.0643367638655468</v>
      </c>
      <c r="GF491">
        <v>0.66330071966787318</v>
      </c>
      <c r="GG491">
        <v>0.52895560899644167</v>
      </c>
      <c r="GH491">
        <v>3.3803221810988116</v>
      </c>
      <c r="GI491">
        <v>4.491040435197009</v>
      </c>
      <c r="GJ491"/>
      <c r="GK491">
        <v>10.562595508136649</v>
      </c>
      <c r="GL491">
        <v>9.8383574557892217</v>
      </c>
      <c r="GM491">
        <v>7.8126055264898078</v>
      </c>
      <c r="GN491">
        <v>5.9350715640845406</v>
      </c>
      <c r="GO491">
        <v>7.5858510671545334</v>
      </c>
      <c r="GP491">
        <v>5.8666762159409229</v>
      </c>
      <c r="GQ491">
        <v>0.81049083899320351</v>
      </c>
      <c r="GR491">
        <v>0.74278250565987025</v>
      </c>
      <c r="GS491">
        <v>3.6026553308851414</v>
      </c>
      <c r="GT491">
        <v>6.0748396543318668</v>
      </c>
      <c r="GU491"/>
      <c r="GV491"/>
      <c r="GW491"/>
      <c r="GX491"/>
      <c r="GY491"/>
      <c r="GZ491"/>
      <c r="HA491"/>
      <c r="HB491"/>
      <c r="HC491"/>
    </row>
    <row r="492" spans="1:211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13.380801956177368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65.305693951986967</v>
      </c>
      <c r="AO492">
        <v>7.373036877678997</v>
      </c>
      <c r="AP492">
        <v>4.0098793636228942</v>
      </c>
      <c r="AQ492">
        <v>53.738485538912983</v>
      </c>
      <c r="AR492">
        <v>7.4348259510435124</v>
      </c>
      <c r="AS492">
        <v>44.206897687880449</v>
      </c>
      <c r="AT492">
        <v>5.8921286130135506</v>
      </c>
      <c r="AU492">
        <v>0.51395287292685676</v>
      </c>
      <c r="AV492"/>
      <c r="AW492"/>
      <c r="FY492" s="211">
        <v>487</v>
      </c>
      <c r="FZ492">
        <v>8.3612198968616145</v>
      </c>
      <c r="GA492">
        <v>6.4804725932223013</v>
      </c>
      <c r="GB492">
        <v>6.6478193724314263</v>
      </c>
      <c r="GC492">
        <v>3.791647878858198</v>
      </c>
      <c r="GD492">
        <v>1.3661636037995069</v>
      </c>
      <c r="GE492">
        <v>1.3926702039368775</v>
      </c>
      <c r="GF492">
        <v>2.983295035411381</v>
      </c>
      <c r="GG492">
        <v>3.7192031862786625</v>
      </c>
      <c r="GH492">
        <v>5.3842650770816123</v>
      </c>
      <c r="GI492">
        <v>5.0479956056394055</v>
      </c>
      <c r="GJ492"/>
      <c r="GK492">
        <v>8.39059628005338</v>
      </c>
      <c r="GL492">
        <v>5.4908373954307077</v>
      </c>
      <c r="GM492">
        <v>11.087185037260442</v>
      </c>
      <c r="GN492">
        <v>11.412751492356547</v>
      </c>
      <c r="GO492">
        <v>5.3072441341593475</v>
      </c>
      <c r="GP492">
        <v>2.666268687707642</v>
      </c>
      <c r="GQ492">
        <v>3.651086851094298</v>
      </c>
      <c r="GR492">
        <v>5.2309479622054091</v>
      </c>
      <c r="GS492">
        <v>5.7412322928819304</v>
      </c>
      <c r="GT492">
        <v>6.8354689190898803</v>
      </c>
      <c r="GU492"/>
      <c r="GV492"/>
      <c r="GW492"/>
      <c r="GX492"/>
      <c r="GY492"/>
      <c r="GZ492"/>
      <c r="HA492"/>
      <c r="HB492"/>
      <c r="HC492"/>
    </row>
    <row r="493" spans="1:211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14.030906075583429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75.134809947270895</v>
      </c>
      <c r="AO493">
        <v>8.6875999640182915</v>
      </c>
      <c r="AP493">
        <v>3.8646809747030253</v>
      </c>
      <c r="AQ493">
        <v>69.529079546687527</v>
      </c>
      <c r="AR493">
        <v>9.3565092259848655</v>
      </c>
      <c r="AS493">
        <v>58.89357177510059</v>
      </c>
      <c r="AT493">
        <v>7.5234402579685922</v>
      </c>
      <c r="AU493">
        <v>-0.87418236805216409</v>
      </c>
      <c r="AV493"/>
      <c r="AW493"/>
      <c r="FY493" s="211">
        <v>488</v>
      </c>
      <c r="FZ493">
        <v>8.7633205315543243</v>
      </c>
      <c r="GA493">
        <v>7.461709333549682</v>
      </c>
      <c r="GB493">
        <v>6.1811326410613807</v>
      </c>
      <c r="GC493">
        <v>3.2277483836840148</v>
      </c>
      <c r="GD493">
        <v>1.4081292512383912</v>
      </c>
      <c r="GE493">
        <v>1.8803379749452804</v>
      </c>
      <c r="GF493">
        <v>3.0868460618591453</v>
      </c>
      <c r="GG493">
        <v>2.9642867518874225</v>
      </c>
      <c r="GH493">
        <v>2.4942437715115657</v>
      </c>
      <c r="GI493">
        <v>4.5791396310195331</v>
      </c>
      <c r="GJ493"/>
      <c r="GK493">
        <v>8.8024423180501294</v>
      </c>
      <c r="GL493">
        <v>6.3226826335259467</v>
      </c>
      <c r="GM493">
        <v>10.31344054200299</v>
      </c>
      <c r="GN493">
        <v>9.7304304222619109</v>
      </c>
      <c r="GO493">
        <v>5.4677247276440388</v>
      </c>
      <c r="GP493">
        <v>3.5999091893628488</v>
      </c>
      <c r="GQ493">
        <v>3.7756628350150376</v>
      </c>
      <c r="GR493">
        <v>4.1668665387187405</v>
      </c>
      <c r="GS493">
        <v>2.6593502580506576</v>
      </c>
      <c r="GT493">
        <v>6.2037241361525712</v>
      </c>
      <c r="GU493"/>
      <c r="GV493"/>
      <c r="GW493"/>
      <c r="GX493"/>
      <c r="GY493"/>
      <c r="GZ493"/>
      <c r="HA493"/>
      <c r="HB493"/>
      <c r="HC493"/>
    </row>
    <row r="494" spans="1:211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14.674895826437957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52.044870001049013</v>
      </c>
      <c r="AO494">
        <v>5.7790608189488024</v>
      </c>
      <c r="AP494">
        <v>3.3123426807131868</v>
      </c>
      <c r="AQ494">
        <v>43.594792353339997</v>
      </c>
      <c r="AR494">
        <v>6.2175444959878599</v>
      </c>
      <c r="AS494">
        <v>40.289187037559053</v>
      </c>
      <c r="AT494">
        <v>4.9854966537407757</v>
      </c>
      <c r="AU494">
        <v>-1.6910590821866398</v>
      </c>
      <c r="AV494"/>
      <c r="AW494"/>
      <c r="FY494" s="211">
        <v>489</v>
      </c>
      <c r="FZ494">
        <v>8.1561616657011502</v>
      </c>
      <c r="GA494">
        <v>6.891762905792703</v>
      </c>
      <c r="GB494">
        <v>6.197754521724157</v>
      </c>
      <c r="GC494">
        <v>3.6074383579782476</v>
      </c>
      <c r="GD494">
        <v>1.9327093117482577</v>
      </c>
      <c r="GE494">
        <v>2.8352211899452811</v>
      </c>
      <c r="GF494">
        <v>1.9416053941183551</v>
      </c>
      <c r="GG494">
        <v>1.9675917353388979</v>
      </c>
      <c r="GH494">
        <v>4.0376028277466132</v>
      </c>
      <c r="GI494">
        <v>4.8331940001035072</v>
      </c>
      <c r="GJ494"/>
      <c r="GK494">
        <v>8.2015453592670013</v>
      </c>
      <c r="GL494">
        <v>5.8401594472585181</v>
      </c>
      <c r="GM494">
        <v>10.37499855634085</v>
      </c>
      <c r="GN494">
        <v>10.923770698126036</v>
      </c>
      <c r="GO494">
        <v>7.512650302216076</v>
      </c>
      <c r="GP494">
        <v>5.4280341893628492</v>
      </c>
      <c r="GQ494">
        <v>2.3746048663922039</v>
      </c>
      <c r="GR494">
        <v>2.7658085700959076</v>
      </c>
      <c r="GS494">
        <v>4.304367974196122</v>
      </c>
      <c r="GT494">
        <v>6.5536334116824513</v>
      </c>
      <c r="GU494"/>
      <c r="GV494"/>
      <c r="GW494"/>
      <c r="GX494"/>
      <c r="GY494"/>
      <c r="GZ494"/>
      <c r="HA494"/>
      <c r="HB494"/>
      <c r="HC494"/>
    </row>
    <row r="495" spans="1:211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15.348443383251103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55.212184374059632</v>
      </c>
      <c r="AO495">
        <v>6.5924949856150707</v>
      </c>
      <c r="AP495">
        <v>67.405579073256575</v>
      </c>
      <c r="AQ495">
        <v>45.808217245967143</v>
      </c>
      <c r="AR495">
        <v>6.8875431891845338</v>
      </c>
      <c r="AS495">
        <v>40.160139303480577</v>
      </c>
      <c r="AT495" t="e">
        <v>#DIV/0!</v>
      </c>
      <c r="AU495" t="e">
        <v>#DIV/0!</v>
      </c>
      <c r="AV495"/>
      <c r="AW495"/>
      <c r="FY495" s="211">
        <v>490</v>
      </c>
      <c r="FZ495">
        <v>11.618201454909753</v>
      </c>
      <c r="GA495">
        <v>15.364708719109807</v>
      </c>
      <c r="GB495">
        <v>8.3054308693779788</v>
      </c>
      <c r="GC495">
        <v>3.775908575406683</v>
      </c>
      <c r="GD495">
        <v>1.8069108150702708</v>
      </c>
      <c r="GE495">
        <v>1.8507838566112955</v>
      </c>
      <c r="GF495">
        <v>2.9124427869414231</v>
      </c>
      <c r="GG495">
        <v>2.9096039327509704</v>
      </c>
      <c r="GH495">
        <v>4.9219550416485838</v>
      </c>
      <c r="GI495">
        <v>6.0992867187756961</v>
      </c>
      <c r="GJ495"/>
      <c r="GK495">
        <v>11.668918796360767</v>
      </c>
      <c r="GL495">
        <v>13.016089911828994</v>
      </c>
      <c r="GM495">
        <v>13.757811477517084</v>
      </c>
      <c r="GN495">
        <v>11.255452173531244</v>
      </c>
      <c r="GO495">
        <v>7.0161484807817169</v>
      </c>
      <c r="GP495">
        <v>3.5433277962347729</v>
      </c>
      <c r="GQ495">
        <v>3.5665798083973899</v>
      </c>
      <c r="GR495">
        <v>4.0932001787677601</v>
      </c>
      <c r="GS495">
        <v>5.2484749398584958</v>
      </c>
      <c r="GT495">
        <v>8.2515867005830916</v>
      </c>
      <c r="GU495"/>
      <c r="GV495"/>
      <c r="GW495"/>
      <c r="GX495"/>
      <c r="GY495"/>
      <c r="GZ495"/>
      <c r="HA495"/>
      <c r="HB495"/>
      <c r="HC495"/>
    </row>
    <row r="496" spans="1:211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16.015988346804061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59.070375558484443</v>
      </c>
      <c r="AO496">
        <v>7.1021519220625056</v>
      </c>
      <c r="AP496">
        <v>4.6202238614070623</v>
      </c>
      <c r="AQ496">
        <v>50.010561404986802</v>
      </c>
      <c r="AR496">
        <v>7.3850192175451941</v>
      </c>
      <c r="AS496">
        <v>46.531840402694577</v>
      </c>
      <c r="AT496">
        <v>5.9477406313294665</v>
      </c>
      <c r="AU496">
        <v>5.6078644353182323</v>
      </c>
      <c r="AV496"/>
      <c r="AW496"/>
      <c r="FY496" s="211">
        <v>491</v>
      </c>
      <c r="FZ496">
        <v>12.322350310734938</v>
      </c>
      <c r="GA496">
        <v>10.224855764730853</v>
      </c>
      <c r="GB496">
        <v>4.186659863168285</v>
      </c>
      <c r="GC496">
        <v>2.3727445097624802</v>
      </c>
      <c r="GD496">
        <v>1.3359627200979756</v>
      </c>
      <c r="GE496">
        <v>1.8164206045798319</v>
      </c>
      <c r="GF496">
        <v>2.4321858324214927</v>
      </c>
      <c r="GG496">
        <v>2.4900139620274335</v>
      </c>
      <c r="GH496">
        <v>3.8473404587928837</v>
      </c>
      <c r="GI496">
        <v>4.6677552317200535</v>
      </c>
      <c r="GJ496"/>
      <c r="GK496">
        <v>12.366681826649518</v>
      </c>
      <c r="GL496">
        <v>8.6642502777873016</v>
      </c>
      <c r="GM496">
        <v>6.9732443587081425</v>
      </c>
      <c r="GN496">
        <v>7.1227414321340596</v>
      </c>
      <c r="GO496">
        <v>5.1791695402015439</v>
      </c>
      <c r="GP496">
        <v>3.4775393111790169</v>
      </c>
      <c r="GQ496">
        <v>2.971130022639481</v>
      </c>
      <c r="GR496">
        <v>3.4977503930098512</v>
      </c>
      <c r="GS496">
        <v>4.1035541226349661</v>
      </c>
      <c r="GT496">
        <v>6.3187559741667307</v>
      </c>
      <c r="GU496"/>
      <c r="GV496"/>
      <c r="GW496"/>
      <c r="GX496"/>
      <c r="GY496"/>
      <c r="GZ496"/>
      <c r="HA496"/>
      <c r="HB496"/>
      <c r="HC496"/>
    </row>
    <row r="497" spans="1:211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16.712566631016184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57.940874398088589</v>
      </c>
      <c r="AO497">
        <v>6.7410963934549857</v>
      </c>
      <c r="AP497">
        <v>92.100299669199828</v>
      </c>
      <c r="AQ497">
        <v>50.125890413376496</v>
      </c>
      <c r="AR497">
        <v>7.5450881453276999</v>
      </c>
      <c r="AS497">
        <v>48.110795014363852</v>
      </c>
      <c r="AT497" t="e">
        <v>#DIV/0!</v>
      </c>
      <c r="AU497" t="e">
        <v>#DIV/0!</v>
      </c>
      <c r="AV497"/>
      <c r="AW497"/>
      <c r="FY497" s="211">
        <v>492</v>
      </c>
      <c r="FZ497">
        <v>11.988306815397587</v>
      </c>
      <c r="GA497">
        <v>11.143457120078949</v>
      </c>
      <c r="GB497">
        <v>6.8251353680477882</v>
      </c>
      <c r="GC497">
        <v>3.6117855345637655</v>
      </c>
      <c r="GD497">
        <v>2.3839338269299692</v>
      </c>
      <c r="GE497">
        <v>2.95078176987395</v>
      </c>
      <c r="GF497">
        <v>4.2824721998935695</v>
      </c>
      <c r="GG497">
        <v>3.6806733553781696</v>
      </c>
      <c r="GH497">
        <v>3.6675264638174929</v>
      </c>
      <c r="GI497">
        <v>6.1781711016967877</v>
      </c>
      <c r="GJ497"/>
      <c r="GK497">
        <v>12.041328487776605</v>
      </c>
      <c r="GL497">
        <v>9.4412273492976713</v>
      </c>
      <c r="GM497">
        <v>11.381307187429091</v>
      </c>
      <c r="GN497">
        <v>10.890258055949875</v>
      </c>
      <c r="GO497">
        <v>9.2636664200233518</v>
      </c>
      <c r="GP497">
        <v>5.6492750509294627</v>
      </c>
      <c r="GQ497">
        <v>5.247722926731079</v>
      </c>
      <c r="GR497">
        <v>5.1800145933977451</v>
      </c>
      <c r="GS497">
        <v>3.9084514663008316</v>
      </c>
      <c r="GT497">
        <v>8.368495297652192</v>
      </c>
      <c r="GU497"/>
      <c r="GV497"/>
      <c r="GW497"/>
      <c r="GX497"/>
      <c r="GY497"/>
      <c r="GZ497"/>
      <c r="HA497"/>
      <c r="HB497"/>
      <c r="HC497"/>
    </row>
    <row r="498" spans="1:211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17.403246435633442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63.802488954379271</v>
      </c>
      <c r="AO498">
        <v>7.4988970162324531</v>
      </c>
      <c r="AP498">
        <v>3.9845420421763533</v>
      </c>
      <c r="AQ498">
        <v>56.126620404069385</v>
      </c>
      <c r="AR498">
        <v>7.6589619653325611</v>
      </c>
      <c r="AS498">
        <v>47.41932224657824</v>
      </c>
      <c r="AT498">
        <v>6.1544485832885369</v>
      </c>
      <c r="AU498">
        <v>4.4375545240648915</v>
      </c>
      <c r="AV498"/>
      <c r="AW498"/>
      <c r="FY498" s="211">
        <v>493</v>
      </c>
      <c r="FZ498">
        <v>8.1299195138848823</v>
      </c>
      <c r="GA498">
        <v>5.8561327374972585</v>
      </c>
      <c r="GB498">
        <v>4.9089067196461151</v>
      </c>
      <c r="GC498">
        <v>2.6641846424811035</v>
      </c>
      <c r="GD498">
        <v>2.5570785188198122</v>
      </c>
      <c r="GE498">
        <v>3.7143200228024233</v>
      </c>
      <c r="GF498">
        <v>2.5340538653162721</v>
      </c>
      <c r="GG498">
        <v>2.8095226689326482</v>
      </c>
      <c r="GH498">
        <v>4.8361309028558495</v>
      </c>
      <c r="GI498">
        <v>5.0991078033795318</v>
      </c>
      <c r="GJ498"/>
      <c r="GK498">
        <v>8.1811122957067397</v>
      </c>
      <c r="GL498">
        <v>4.9603014022225533</v>
      </c>
      <c r="GM498">
        <v>8.1283810652839552</v>
      </c>
      <c r="GN498">
        <v>7.9589195255392475</v>
      </c>
      <c r="GO498">
        <v>9.9452313620513006</v>
      </c>
      <c r="GP498">
        <v>7.1110699036485627</v>
      </c>
      <c r="GQ498">
        <v>3.1005886626885006</v>
      </c>
      <c r="GR498">
        <v>3.9507044034292411</v>
      </c>
      <c r="GS498">
        <v>5.1558247245939173</v>
      </c>
      <c r="GT498">
        <v>6.9022276220648831</v>
      </c>
      <c r="GU498"/>
      <c r="GV498"/>
      <c r="GW498"/>
      <c r="GX498"/>
      <c r="GY498"/>
      <c r="GZ498"/>
      <c r="HA498"/>
      <c r="HB498"/>
      <c r="HC498"/>
    </row>
    <row r="499" spans="1:211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18.122469946495126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57.507199715710406</v>
      </c>
      <c r="AO499">
        <v>7.0438252669987902</v>
      </c>
      <c r="AP499">
        <v>94.170455523663662</v>
      </c>
      <c r="AQ499">
        <v>50.379636884750873</v>
      </c>
      <c r="AR499">
        <v>7.4135517581219323</v>
      </c>
      <c r="AS499">
        <v>45.073973665596256</v>
      </c>
      <c r="AT499" t="e">
        <v>#DIV/0!</v>
      </c>
      <c r="AU499" t="e">
        <v>#DIV/0!</v>
      </c>
      <c r="AV499"/>
      <c r="AW499"/>
      <c r="FY499" s="211">
        <v>494</v>
      </c>
      <c r="FZ499">
        <v>12.156479573025656</v>
      </c>
      <c r="GA499">
        <v>12.903286948771193</v>
      </c>
      <c r="GB499">
        <v>4.4579354543756011</v>
      </c>
      <c r="GC499">
        <v>1.7321035485784912</v>
      </c>
      <c r="GD499">
        <v>1.0335581329274137</v>
      </c>
      <c r="GE499">
        <v>1.1788290016112959</v>
      </c>
      <c r="GF499">
        <v>3.4426794998996053</v>
      </c>
      <c r="GG499">
        <v>3.3708099579951476</v>
      </c>
      <c r="GH499">
        <v>6.7483518832706864</v>
      </c>
      <c r="GI499">
        <v>5.176938269489809</v>
      </c>
      <c r="GJ499"/>
      <c r="GK499">
        <v>12.178859402838327</v>
      </c>
      <c r="GL499">
        <v>10.932025201110253</v>
      </c>
      <c r="GM499">
        <v>7.3822917152178125</v>
      </c>
      <c r="GN499">
        <v>5.1683888446547188</v>
      </c>
      <c r="GO499">
        <v>4.0176365760198127</v>
      </c>
      <c r="GP499">
        <v>2.2568694629014399</v>
      </c>
      <c r="GQ499">
        <v>4.2140145886144262</v>
      </c>
      <c r="GR499">
        <v>4.7406349589847956</v>
      </c>
      <c r="GS499">
        <v>7.196686477118222</v>
      </c>
      <c r="GT499">
        <v>6.9978977519617205</v>
      </c>
      <c r="GU499"/>
      <c r="GV499"/>
      <c r="GW499"/>
      <c r="GX499"/>
      <c r="GY499"/>
      <c r="GZ499"/>
      <c r="HA499"/>
      <c r="HB499"/>
      <c r="HC499"/>
    </row>
    <row r="500" spans="1:211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18.835892304235248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68.982016524273519</v>
      </c>
      <c r="AO500">
        <v>7.9638462174102882</v>
      </c>
      <c r="AP500">
        <v>3.8715200518259598</v>
      </c>
      <c r="AQ500">
        <v>58.636429902507444</v>
      </c>
      <c r="AR500">
        <v>8.1705580843964007</v>
      </c>
      <c r="AS500">
        <v>50.012941985435866</v>
      </c>
      <c r="AT500">
        <v>6.4807628478584975</v>
      </c>
      <c r="AU500">
        <v>0.29538139253765472</v>
      </c>
      <c r="AV500"/>
      <c r="AW500"/>
      <c r="FY500" s="211">
        <v>495</v>
      </c>
      <c r="FZ500">
        <v>8.5132110600841351</v>
      </c>
      <c r="GA500">
        <v>6.8736063431338401</v>
      </c>
      <c r="GB500">
        <v>5.5626675081122832</v>
      </c>
      <c r="GC500">
        <v>2.9066708874996614</v>
      </c>
      <c r="GD500">
        <v>1.5450177904727425</v>
      </c>
      <c r="GE500">
        <v>1.9568819916112956</v>
      </c>
      <c r="GF500">
        <v>2.8276755451169966</v>
      </c>
      <c r="GG500">
        <v>2.4611294406491333</v>
      </c>
      <c r="GH500">
        <v>7.1665531073659974</v>
      </c>
      <c r="GI500">
        <v>5.1586930189923654</v>
      </c>
      <c r="GJ500"/>
      <c r="GK500">
        <v>8.5561800318629135</v>
      </c>
      <c r="GL500">
        <v>5.8238671015509826</v>
      </c>
      <c r="GM500">
        <v>9.2933282069846559</v>
      </c>
      <c r="GN500">
        <v>8.7740451612054731</v>
      </c>
      <c r="GO500">
        <v>5.9882482452071137</v>
      </c>
      <c r="GP500">
        <v>3.7464527962347729</v>
      </c>
      <c r="GQ500">
        <v>3.4603914002086293</v>
      </c>
      <c r="GR500">
        <v>3.4603914002086293</v>
      </c>
      <c r="GS500">
        <v>7.6402083474688522</v>
      </c>
      <c r="GT500">
        <v>6.9876712463464328</v>
      </c>
      <c r="GU500"/>
      <c r="GV500"/>
      <c r="GW500"/>
      <c r="GX500"/>
      <c r="GY500"/>
      <c r="GZ500"/>
      <c r="HA500"/>
      <c r="HB500"/>
      <c r="HC500"/>
    </row>
    <row r="501" spans="1:211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19.577399766380353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66.16319938331786</v>
      </c>
      <c r="AO501">
        <v>7.7673520905065825</v>
      </c>
      <c r="AP501">
        <v>91.536646015575599</v>
      </c>
      <c r="AQ501">
        <v>59.596710410316383</v>
      </c>
      <c r="AR501">
        <v>8.0071130448188743</v>
      </c>
      <c r="AS501">
        <v>51.242035179323764</v>
      </c>
      <c r="AT501" t="e">
        <v>#DIV/0!</v>
      </c>
      <c r="AU501" t="e">
        <v>#DIV/0!</v>
      </c>
      <c r="AV501"/>
      <c r="AW501"/>
      <c r="FY501" s="211">
        <v>496</v>
      </c>
      <c r="FZ501">
        <v>12.99153513914321</v>
      </c>
      <c r="GA501">
        <v>14.092334825251996</v>
      </c>
      <c r="GB501">
        <v>5.0033008836961432</v>
      </c>
      <c r="GC501">
        <v>2.3964115127352335</v>
      </c>
      <c r="GD501">
        <v>2.1749370431585064</v>
      </c>
      <c r="GE501">
        <v>2.5253864369054138</v>
      </c>
      <c r="GF501">
        <v>0.66330071966787318</v>
      </c>
      <c r="GG501">
        <v>1.277338661079775</v>
      </c>
      <c r="GH501">
        <v>3.8022653232799812</v>
      </c>
      <c r="GI501">
        <v>5.1198869148942867</v>
      </c>
      <c r="GJ501"/>
      <c r="GK501">
        <v>13.031815969369841</v>
      </c>
      <c r="GL501">
        <v>11.942585794326789</v>
      </c>
      <c r="GM501">
        <v>8.2849700108308006</v>
      </c>
      <c r="GN501">
        <v>7.1436185078504133</v>
      </c>
      <c r="GO501">
        <v>8.4430925538654975</v>
      </c>
      <c r="GP501">
        <v>4.8348552026518865</v>
      </c>
      <c r="GQ501">
        <v>0.81049083899320351</v>
      </c>
      <c r="GR501">
        <v>1.796023246400611</v>
      </c>
      <c r="GS501">
        <v>4.0531468631332777</v>
      </c>
      <c r="GT501">
        <v>6.924703247238523</v>
      </c>
      <c r="GU501"/>
      <c r="GV501"/>
      <c r="GW501"/>
      <c r="GX501"/>
      <c r="GY501"/>
      <c r="GZ501"/>
      <c r="HA501"/>
      <c r="HB501"/>
      <c r="HC501"/>
    </row>
    <row r="502" spans="1:211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20.31319735301669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49.657768081737672</v>
      </c>
      <c r="AO502">
        <v>5.8831925667465752</v>
      </c>
      <c r="AP502">
        <v>44.414365678926707</v>
      </c>
      <c r="AQ502">
        <v>42.92435262221435</v>
      </c>
      <c r="AR502">
        <v>6.0748396543318668</v>
      </c>
      <c r="AS502">
        <v>38.297242668851439</v>
      </c>
      <c r="AT502" t="e">
        <v>#DIV/0!</v>
      </c>
      <c r="AU502" t="e">
        <v>#DIV/0!</v>
      </c>
      <c r="AV502"/>
      <c r="AW502"/>
      <c r="FY502" s="211">
        <v>497</v>
      </c>
      <c r="FZ502">
        <v>19.449728888915271</v>
      </c>
      <c r="GA502">
        <v>19.761333354934226</v>
      </c>
      <c r="GB502">
        <v>5.6106683976923675</v>
      </c>
      <c r="GC502">
        <v>3.7710502147292928</v>
      </c>
      <c r="GD502">
        <v>1.3709170928088188</v>
      </c>
      <c r="GE502">
        <v>0.81341903500000001</v>
      </c>
      <c r="GF502">
        <v>0.53719420963541664</v>
      </c>
      <c r="GG502">
        <v>0.84193093359375004</v>
      </c>
      <c r="GH502">
        <v>5.1284254149106001</v>
      </c>
      <c r="GI502">
        <v>5.9558445309652344</v>
      </c>
      <c r="GJ502"/>
      <c r="GK502">
        <v>19.488539173402248</v>
      </c>
      <c r="GL502">
        <v>16.743119258480053</v>
      </c>
      <c r="GM502">
        <v>9.3292434898884888</v>
      </c>
      <c r="GN502">
        <v>11.311415143889853</v>
      </c>
      <c r="GO502">
        <v>5.3461406250694035</v>
      </c>
      <c r="GP502">
        <v>1.5572916666666665</v>
      </c>
      <c r="GQ502">
        <v>0.65827546296296291</v>
      </c>
      <c r="GR502">
        <v>1.1848958333333333</v>
      </c>
      <c r="GS502">
        <v>5.4678079549996665</v>
      </c>
      <c r="GT502">
        <v>8.0580013412645535</v>
      </c>
      <c r="GU502"/>
      <c r="GV502"/>
      <c r="GW502"/>
      <c r="GX502"/>
      <c r="GY502"/>
      <c r="GZ502"/>
      <c r="HA502"/>
      <c r="HB502"/>
      <c r="HC502"/>
    </row>
    <row r="503" spans="1:211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21.076649178467193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54.799049705127686</v>
      </c>
      <c r="AO503">
        <v>6.5813619052239591</v>
      </c>
      <c r="AP503">
        <v>47.142770077588025</v>
      </c>
      <c r="AQ503">
        <v>45.174752453520995</v>
      </c>
      <c r="AR503">
        <v>6.8354689190898812</v>
      </c>
      <c r="AS503">
        <v>41.26770991112631</v>
      </c>
      <c r="AT503" t="e">
        <v>#DIV/0!</v>
      </c>
      <c r="AU503" t="e">
        <v>#DIV/0!</v>
      </c>
      <c r="AV503"/>
      <c r="AW503"/>
      <c r="FY503" s="211">
        <v>498</v>
      </c>
      <c r="FZ503">
        <v>9.2350462319030839</v>
      </c>
      <c r="GA503">
        <v>7.4653146446942777</v>
      </c>
      <c r="GB503">
        <v>4.4833918582794547</v>
      </c>
      <c r="GC503">
        <v>2.4922434166702794</v>
      </c>
      <c r="GD503">
        <v>1.5094863263417342</v>
      </c>
      <c r="GE503">
        <v>1.8871526945798323</v>
      </c>
      <c r="GF503">
        <v>2.375248577306007</v>
      </c>
      <c r="GG503">
        <v>2.4418645251988869</v>
      </c>
      <c r="GH503">
        <v>6.8612758525713655</v>
      </c>
      <c r="GI503">
        <v>4.8480761936410941</v>
      </c>
      <c r="GJ503"/>
      <c r="GK503">
        <v>9.2724193920120239</v>
      </c>
      <c r="GL503">
        <v>6.3261142648217268</v>
      </c>
      <c r="GM503">
        <v>7.4248663763659719</v>
      </c>
      <c r="GN503">
        <v>7.4373904207709254</v>
      </c>
      <c r="GO503">
        <v>5.8731806802729061</v>
      </c>
      <c r="GP503">
        <v>3.6129559778456839</v>
      </c>
      <c r="GQ503">
        <v>2.9083043454344271</v>
      </c>
      <c r="GR503">
        <v>3.4349247158047973</v>
      </c>
      <c r="GS503">
        <v>7.312056505455887</v>
      </c>
      <c r="GT503">
        <v>6.5581654599082428</v>
      </c>
      <c r="GU503"/>
      <c r="GV503"/>
      <c r="GW503"/>
      <c r="GX503"/>
      <c r="GY503"/>
      <c r="GZ503"/>
      <c r="HA503"/>
      <c r="HB503"/>
      <c r="HC503"/>
    </row>
    <row r="504" spans="1:211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21.834476985739233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51.526545991066214</v>
      </c>
      <c r="AO504">
        <v>6.1042233600784881</v>
      </c>
      <c r="AP504">
        <v>4.2727281359626597</v>
      </c>
      <c r="AQ504">
        <v>42.046894332310742</v>
      </c>
      <c r="AR504">
        <v>6.2037241361525712</v>
      </c>
      <c r="AS504">
        <v>35.736811426797395</v>
      </c>
      <c r="AT504">
        <v>4.8655302944034551</v>
      </c>
      <c r="AU504">
        <v>6.6041797073365665</v>
      </c>
      <c r="AV504"/>
      <c r="AW504"/>
      <c r="FY504" s="211">
        <v>499</v>
      </c>
      <c r="FZ504">
        <v>10.822859341077004</v>
      </c>
      <c r="GA504">
        <v>11.736711800810644</v>
      </c>
      <c r="GB504">
        <v>5.9059741311468361</v>
      </c>
      <c r="GC504">
        <v>2.754135284973783</v>
      </c>
      <c r="GD504">
        <v>0.92309766397923587</v>
      </c>
      <c r="GE504">
        <v>0.7089658323255813</v>
      </c>
      <c r="GF504">
        <v>0.60804645810537317</v>
      </c>
      <c r="GG504">
        <v>0.52895560899644167</v>
      </c>
      <c r="GH504">
        <v>4.0197034629661559</v>
      </c>
      <c r="GI504">
        <v>4.327230578760151</v>
      </c>
      <c r="GJ504"/>
      <c r="GK504">
        <v>10.870498707304769</v>
      </c>
      <c r="GL504">
        <v>9.9439568426632512</v>
      </c>
      <c r="GM504">
        <v>9.8212722463169531</v>
      </c>
      <c r="GN504">
        <v>8.2598848231200428</v>
      </c>
      <c r="GO504">
        <v>3.5791164867109635</v>
      </c>
      <c r="GP504">
        <v>1.3573158914728682</v>
      </c>
      <c r="GQ504">
        <v>0.74278250565987025</v>
      </c>
      <c r="GR504">
        <v>0.74278250565987025</v>
      </c>
      <c r="GS504">
        <v>4.2849375846292954</v>
      </c>
      <c r="GT504">
        <v>5.8597215061243695</v>
      </c>
      <c r="GU504"/>
      <c r="GV504"/>
      <c r="GW504"/>
      <c r="GX504"/>
      <c r="GY504"/>
      <c r="GZ504"/>
      <c r="HA504"/>
      <c r="HB504"/>
      <c r="HC504"/>
    </row>
    <row r="505" spans="1:211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22.619553098973562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52.899438611066067</v>
      </c>
      <c r="AO505">
        <v>6.427957337493801</v>
      </c>
      <c r="AP505">
        <v>5.1739527580295652</v>
      </c>
      <c r="AQ505">
        <v>42.401041910197165</v>
      </c>
      <c r="AR505">
        <v>6.5536334116824495</v>
      </c>
      <c r="AS505">
        <v>37.211071348817512</v>
      </c>
      <c r="AT505">
        <v>5.0942754617232486</v>
      </c>
      <c r="AU505">
        <v>2.4844691237267122</v>
      </c>
      <c r="AV505"/>
      <c r="AW505"/>
      <c r="FY505" s="211">
        <v>500</v>
      </c>
      <c r="FZ505">
        <v>9.9361139893303232</v>
      </c>
      <c r="GA505">
        <v>11.873216021386117</v>
      </c>
      <c r="GB505">
        <v>6.5057970261286169</v>
      </c>
      <c r="GC505">
        <v>3.6037523533820641</v>
      </c>
      <c r="GD505">
        <v>2.6546621871188534</v>
      </c>
      <c r="GE505">
        <v>3.792109990882353</v>
      </c>
      <c r="GF505">
        <v>1.8863511325558551</v>
      </c>
      <c r="GG505">
        <v>1.5934002092972313</v>
      </c>
      <c r="GH505">
        <v>2.7320647929272068</v>
      </c>
      <c r="GI505">
        <v>5.3640243854624012</v>
      </c>
      <c r="GJ505"/>
      <c r="GK505">
        <v>9.9677882253896382</v>
      </c>
      <c r="GL505">
        <v>10.060031432413647</v>
      </c>
      <c r="GM505">
        <v>10.769181817797586</v>
      </c>
      <c r="GN505">
        <v>10.736978135164669</v>
      </c>
      <c r="GO505">
        <v>10.311126180174709</v>
      </c>
      <c r="GP505">
        <v>7.2599988859180042</v>
      </c>
      <c r="GQ505">
        <v>2.3068965330588709</v>
      </c>
      <c r="GR505">
        <v>2.2391881997255374</v>
      </c>
      <c r="GS505">
        <v>2.9136917431321758</v>
      </c>
      <c r="GT505">
        <v>7.2537368999105967</v>
      </c>
      <c r="GU505"/>
      <c r="GV505"/>
      <c r="GW505"/>
      <c r="GX505"/>
      <c r="GY505"/>
      <c r="GZ505"/>
      <c r="HA505"/>
      <c r="HB505"/>
      <c r="HC505"/>
    </row>
    <row r="506" spans="1:211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23.399086170231961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70.104150270884887</v>
      </c>
      <c r="AO506">
        <v>8.1417590263861328</v>
      </c>
      <c r="AP506">
        <v>46.204355694610385</v>
      </c>
      <c r="AQ506">
        <v>59.565232770602456</v>
      </c>
      <c r="AR506">
        <v>8.2515867005830934</v>
      </c>
      <c r="AS506">
        <v>53.008408423021692</v>
      </c>
      <c r="AT506" t="e">
        <v>#DIV/0!</v>
      </c>
      <c r="AU506" t="e">
        <v>#DIV/0!</v>
      </c>
      <c r="AV506"/>
      <c r="AW506"/>
      <c r="FY506" s="211">
        <v>501</v>
      </c>
      <c r="FZ506">
        <v>6.2809888077979767</v>
      </c>
      <c r="GA506">
        <v>5.8026894009484034</v>
      </c>
      <c r="GB506">
        <v>5.8621394629600561</v>
      </c>
      <c r="GC506">
        <v>2.9776952063671036</v>
      </c>
      <c r="GD506">
        <v>1.7451567570674711</v>
      </c>
      <c r="GE506">
        <v>2.2424580769054137</v>
      </c>
      <c r="GF506">
        <v>1.2300079095652172</v>
      </c>
      <c r="GG506">
        <v>1.0709779826086956</v>
      </c>
      <c r="GH506">
        <v>1.5003323655393836</v>
      </c>
      <c r="GI506">
        <v>3.8326151629097698</v>
      </c>
      <c r="GJ506"/>
      <c r="GK506">
        <v>6.3294813991102767</v>
      </c>
      <c r="GL506">
        <v>4.9153699382802376</v>
      </c>
      <c r="GM506">
        <v>9.788854125137906</v>
      </c>
      <c r="GN506">
        <v>8.9876864841333184</v>
      </c>
      <c r="GO506">
        <v>6.7664772264614088</v>
      </c>
      <c r="GP506">
        <v>4.2931885359852195</v>
      </c>
      <c r="GQ506">
        <v>1.507246376811594</v>
      </c>
      <c r="GR506">
        <v>1.507246376811594</v>
      </c>
      <c r="GS506">
        <v>1.6006706621004567</v>
      </c>
      <c r="GT506">
        <v>5.1985459579243285</v>
      </c>
      <c r="GU506"/>
      <c r="GV506"/>
      <c r="GW506"/>
      <c r="GX506"/>
      <c r="GY506"/>
      <c r="GZ506"/>
      <c r="HA506"/>
      <c r="HB506"/>
      <c r="HC506"/>
    </row>
    <row r="507" spans="1:211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24.205484131637686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51.485489047495022</v>
      </c>
      <c r="AO507">
        <v>6.0674817259110609</v>
      </c>
      <c r="AP507">
        <v>37.951087029311175</v>
      </c>
      <c r="AQ507">
        <v>45.696289258036224</v>
      </c>
      <c r="AR507">
        <v>6.3187559741667325</v>
      </c>
      <c r="AS507">
        <v>39.726481222650534</v>
      </c>
      <c r="AT507" t="e">
        <v>#DIV/0!</v>
      </c>
      <c r="AU507" t="e">
        <v>#DIV/0!</v>
      </c>
      <c r="AV507"/>
      <c r="AW507"/>
      <c r="FY507" s="211">
        <v>502</v>
      </c>
      <c r="FZ507">
        <v>17.179266711210005</v>
      </c>
      <c r="GA507">
        <v>16.460639532664384</v>
      </c>
      <c r="GB507">
        <v>5.6003112415492167</v>
      </c>
      <c r="GC507">
        <v>3.3485163658357209</v>
      </c>
      <c r="GD507">
        <v>2.0397258555098543</v>
      </c>
      <c r="GE507">
        <v>2.8715900279138169</v>
      </c>
      <c r="GF507">
        <v>0.72551247790760864</v>
      </c>
      <c r="GG507">
        <v>0.53548899130434779</v>
      </c>
      <c r="GH507">
        <v>6.7379474681746814</v>
      </c>
      <c r="GI507">
        <v>6.2849828693588234</v>
      </c>
      <c r="GJ507"/>
      <c r="GK507">
        <v>17.219415438482855</v>
      </c>
      <c r="GL507">
        <v>13.947689674438823</v>
      </c>
      <c r="GM507">
        <v>9.2726754814793253</v>
      </c>
      <c r="GN507">
        <v>9.9795301950899553</v>
      </c>
      <c r="GO507">
        <v>7.9268402604685608</v>
      </c>
      <c r="GP507">
        <v>5.4976623709737602</v>
      </c>
      <c r="GQ507">
        <v>0.88903985507246364</v>
      </c>
      <c r="GR507">
        <v>0.75362318840579701</v>
      </c>
      <c r="GS507">
        <v>7.1844998590124476</v>
      </c>
      <c r="GT507">
        <v>8.4984941789031296</v>
      </c>
      <c r="GU507"/>
      <c r="GV507"/>
      <c r="GW507"/>
      <c r="GX507"/>
      <c r="GY507"/>
      <c r="GZ507"/>
      <c r="HA507"/>
      <c r="HB507"/>
      <c r="HC507"/>
    </row>
    <row r="508" spans="1:211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25.006415611753908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65.263721661177897</v>
      </c>
      <c r="AO508">
        <v>8.1371746835487908</v>
      </c>
      <c r="AP508">
        <v>48.969645339016964</v>
      </c>
      <c r="AQ508">
        <v>56.712243555678029</v>
      </c>
      <c r="AR508">
        <v>8.3684952976521902</v>
      </c>
      <c r="AS508">
        <v>52.368429942085506</v>
      </c>
      <c r="AT508" t="e">
        <v>#DIV/0!</v>
      </c>
      <c r="AU508" t="e">
        <v>#DIV/0!</v>
      </c>
      <c r="AV508"/>
      <c r="AW508"/>
      <c r="FY508" s="211">
        <v>503</v>
      </c>
      <c r="FZ508">
        <v>14.361310576066149</v>
      </c>
      <c r="GA508">
        <v>14.206503043449214</v>
      </c>
      <c r="GB508">
        <v>5.4922087736616749</v>
      </c>
      <c r="GC508">
        <v>2.7749246555804836</v>
      </c>
      <c r="GD508">
        <v>1.1966467844481776</v>
      </c>
      <c r="GE508">
        <v>1.2832822042857144</v>
      </c>
      <c r="GF508">
        <v>1.8637956489711629</v>
      </c>
      <c r="GG508">
        <v>2.6482252036699667</v>
      </c>
      <c r="GH508">
        <v>6.6216839305032558</v>
      </c>
      <c r="GI508">
        <v>5.5442663353417565</v>
      </c>
      <c r="GJ508"/>
      <c r="GK508">
        <v>14.406914936592049</v>
      </c>
      <c r="GL508">
        <v>12.035987840318626</v>
      </c>
      <c r="GM508">
        <v>9.1004429675383296</v>
      </c>
      <c r="GN508">
        <v>8.2779535085289844</v>
      </c>
      <c r="GO508">
        <v>4.6499784226421816</v>
      </c>
      <c r="GP508">
        <v>2.4568452380952386</v>
      </c>
      <c r="GQ508">
        <v>2.2792571409493698</v>
      </c>
      <c r="GR508">
        <v>3.7237015853938145</v>
      </c>
      <c r="GS508">
        <v>7.0609316866079856</v>
      </c>
      <c r="GT508">
        <v>7.4995050308659836</v>
      </c>
      <c r="GU508"/>
      <c r="GV508"/>
      <c r="GW508"/>
      <c r="GX508"/>
      <c r="GY508"/>
      <c r="GZ508"/>
      <c r="HA508"/>
      <c r="HB508"/>
      <c r="HC508"/>
    </row>
    <row r="509" spans="1:211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25.833848988397069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55.413020898691208</v>
      </c>
      <c r="AO509">
        <v>6.5394360967228904</v>
      </c>
      <c r="AP509">
        <v>4.4791196298046483</v>
      </c>
      <c r="AQ509">
        <v>43.109357395615895</v>
      </c>
      <c r="AR509">
        <v>6.9022276220648848</v>
      </c>
      <c r="AS509">
        <v>44.272612227928015</v>
      </c>
      <c r="AT509">
        <v>5.533888100710052</v>
      </c>
      <c r="AU509">
        <v>5.9162028647171852</v>
      </c>
      <c r="AV509"/>
      <c r="AW509"/>
      <c r="FY509" s="211">
        <v>504</v>
      </c>
      <c r="FZ509">
        <v>13.109628117570809</v>
      </c>
      <c r="GA509">
        <v>9.9323073584436727</v>
      </c>
      <c r="GB509">
        <v>5.6248235820213681</v>
      </c>
      <c r="GC509">
        <v>3.568133009999868</v>
      </c>
      <c r="GD509">
        <v>0.81820120370791805</v>
      </c>
      <c r="GE509">
        <v>0.56585671999999998</v>
      </c>
      <c r="GF509">
        <v>3.093803558536381</v>
      </c>
      <c r="GG509">
        <v>3.7192031862786625</v>
      </c>
      <c r="GH509">
        <v>6.0026771502758276</v>
      </c>
      <c r="GI509">
        <v>5.3013760204299922</v>
      </c>
      <c r="GJ509"/>
      <c r="GK509">
        <v>13.147130654570812</v>
      </c>
      <c r="GL509">
        <v>8.4147752775344529</v>
      </c>
      <c r="GM509">
        <v>9.3497061853482215</v>
      </c>
      <c r="GN509">
        <v>10.680342256240815</v>
      </c>
      <c r="GO509">
        <v>3.1818913897599468</v>
      </c>
      <c r="GP509">
        <v>1.0833333333333333</v>
      </c>
      <c r="GQ509">
        <v>3.7865035177609645</v>
      </c>
      <c r="GR509">
        <v>5.2309479622054091</v>
      </c>
      <c r="GS509">
        <v>6.3997709107452776</v>
      </c>
      <c r="GT509">
        <v>7.173000531637042</v>
      </c>
      <c r="GU509"/>
      <c r="GV509"/>
      <c r="GW509"/>
      <c r="GX509"/>
      <c r="GY509"/>
      <c r="GZ509"/>
      <c r="HA509"/>
      <c r="HB509"/>
      <c r="HC509"/>
    </row>
    <row r="510" spans="1:211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26.655888433530933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57.10911351291179</v>
      </c>
      <c r="AO510">
        <v>6.5085304979421519</v>
      </c>
      <c r="AP510">
        <v>52.471000209499046</v>
      </c>
      <c r="AQ510">
        <v>52.200972269944899</v>
      </c>
      <c r="AR510">
        <v>6.9978977519617258</v>
      </c>
      <c r="AS510">
        <v>46.767354910043345</v>
      </c>
      <c r="AT510" t="e">
        <v>#DIV/0!</v>
      </c>
      <c r="AU510" t="e">
        <v>#DIV/0!</v>
      </c>
      <c r="AV510"/>
      <c r="AW510"/>
      <c r="FY510" s="211">
        <v>505</v>
      </c>
      <c r="FZ510">
        <v>9.4184621805941049</v>
      </c>
      <c r="GA510">
        <v>9.3817904202328233</v>
      </c>
      <c r="GB510">
        <v>5.6458578554040386</v>
      </c>
      <c r="GC510">
        <v>3.1176232433483637</v>
      </c>
      <c r="GD510">
        <v>1.8586882523256261</v>
      </c>
      <c r="GE510">
        <v>1.9932508295798321</v>
      </c>
      <c r="GF510">
        <v>1.8863511325558551</v>
      </c>
      <c r="GG510">
        <v>2.3417832613805647</v>
      </c>
      <c r="GH510">
        <v>5.115113647199494</v>
      </c>
      <c r="GI510">
        <v>4.9965588174792046</v>
      </c>
      <c r="GJ510"/>
      <c r="GK510">
        <v>9.47235356238102</v>
      </c>
      <c r="GL510">
        <v>7.9493873850474488</v>
      </c>
      <c r="GM510">
        <v>9.3479435103577604</v>
      </c>
      <c r="GN510">
        <v>9.3079407979987625</v>
      </c>
      <c r="GO510">
        <v>7.2373704124388984</v>
      </c>
      <c r="GP510">
        <v>3.8160809778456843</v>
      </c>
      <c r="GQ510">
        <v>2.3068965330588709</v>
      </c>
      <c r="GR510">
        <v>3.2924289404662783</v>
      </c>
      <c r="GS510">
        <v>5.4506767207031848</v>
      </c>
      <c r="GT510">
        <v>6.7630481477879467</v>
      </c>
      <c r="GU510"/>
      <c r="GV510"/>
      <c r="GW510"/>
      <c r="GX510"/>
      <c r="GY510"/>
      <c r="GZ510"/>
      <c r="HA510"/>
      <c r="HB510"/>
      <c r="HC510"/>
    </row>
    <row r="511" spans="1:211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27.504085376514208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51.40754332574511</v>
      </c>
      <c r="AO511">
        <v>6.3730783937278437</v>
      </c>
      <c r="AP511">
        <v>134.18265387532409</v>
      </c>
      <c r="AQ511">
        <v>44.972106693038455</v>
      </c>
      <c r="AR511">
        <v>6.9876712463464346</v>
      </c>
      <c r="AS511">
        <v>42.386536214265021</v>
      </c>
      <c r="AT511" t="e">
        <v>#DIV/0!</v>
      </c>
      <c r="AU511" t="e">
        <v>#DIV/0!</v>
      </c>
      <c r="AV511"/>
      <c r="AW511"/>
      <c r="FY511" s="211">
        <v>506</v>
      </c>
      <c r="FZ511">
        <v>13.458041326056964</v>
      </c>
      <c r="GA511">
        <v>12.423589514248858</v>
      </c>
      <c r="GB511">
        <v>7.9178961798969159</v>
      </c>
      <c r="GC511">
        <v>3.8036691785754684</v>
      </c>
      <c r="GD511">
        <v>1.5666087288410349</v>
      </c>
      <c r="GE511">
        <v>1.5055830585714289</v>
      </c>
      <c r="GF511">
        <v>2.983295035411381</v>
      </c>
      <c r="GG511">
        <v>2.5966286081536629</v>
      </c>
      <c r="GH511">
        <v>4.3371644135988108</v>
      </c>
      <c r="GI511">
        <v>6.0634784610203649</v>
      </c>
      <c r="GJ511"/>
      <c r="GK511">
        <v>13.522674581557844</v>
      </c>
      <c r="GL511">
        <v>10.524914132107341</v>
      </c>
      <c r="GM511">
        <v>13.189800823952609</v>
      </c>
      <c r="GN511">
        <v>11.450717355725761</v>
      </c>
      <c r="GO511">
        <v>6.0844278274040873</v>
      </c>
      <c r="GP511">
        <v>2.8824404761904767</v>
      </c>
      <c r="GQ511">
        <v>3.651086851094298</v>
      </c>
      <c r="GR511">
        <v>3.651086851094298</v>
      </c>
      <c r="GS511">
        <v>4.6234886642184732</v>
      </c>
      <c r="GT511">
        <v>8.2142957496454621</v>
      </c>
      <c r="GU511"/>
      <c r="GV511"/>
      <c r="GW511"/>
      <c r="GX511"/>
      <c r="GY511"/>
      <c r="GZ511"/>
      <c r="HA511"/>
      <c r="HB511"/>
      <c r="HC511"/>
    </row>
    <row r="512" spans="1:211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28.346957280476925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57.152278761925473</v>
      </c>
      <c r="AO512">
        <v>6.7265302234660833</v>
      </c>
      <c r="AP512">
        <v>2.8033505687551776</v>
      </c>
      <c r="AQ512">
        <v>50.046697459812421</v>
      </c>
      <c r="AR512">
        <v>6.924703247238523</v>
      </c>
      <c r="AS512">
        <v>45.685247411624559</v>
      </c>
      <c r="AT512">
        <v>5.6070757901519359</v>
      </c>
      <c r="AU512">
        <v>5.5288799816081724</v>
      </c>
      <c r="AV512"/>
      <c r="AW512"/>
      <c r="FY512" s="211">
        <v>507</v>
      </c>
      <c r="FZ512">
        <v>12.568970409788959</v>
      </c>
      <c r="GA512">
        <v>10.387708495519778</v>
      </c>
      <c r="GB512">
        <v>5.6292068175924932</v>
      </c>
      <c r="GC512">
        <v>3.2128779002436989</v>
      </c>
      <c r="GD512">
        <v>2.3928414985947177</v>
      </c>
      <c r="GE512">
        <v>3.5815586532079347</v>
      </c>
      <c r="GF512">
        <v>1.7220911520312501</v>
      </c>
      <c r="GG512">
        <v>1.40321822265625</v>
      </c>
      <c r="GH512">
        <v>3.6887682533448216</v>
      </c>
      <c r="GI512">
        <v>5.509606457977144</v>
      </c>
      <c r="GJ512"/>
      <c r="GK512">
        <v>12.622414657839196</v>
      </c>
      <c r="GL512">
        <v>8.8022375067468346</v>
      </c>
      <c r="GM512">
        <v>9.324573305571823</v>
      </c>
      <c r="GN512">
        <v>9.5749098706428359</v>
      </c>
      <c r="GO512">
        <v>9.2872270004841546</v>
      </c>
      <c r="GP512">
        <v>6.856898110724206</v>
      </c>
      <c r="GQ512">
        <v>2.1102430555555554</v>
      </c>
      <c r="GR512">
        <v>1.9748263888888886</v>
      </c>
      <c r="GS512">
        <v>3.9298866406203601</v>
      </c>
      <c r="GT512">
        <v>7.4548689320142181</v>
      </c>
      <c r="GU512"/>
      <c r="GV512"/>
      <c r="GW512"/>
      <c r="GX512"/>
      <c r="GY512"/>
      <c r="GZ512"/>
      <c r="HA512"/>
      <c r="HB512"/>
      <c r="HC512"/>
    </row>
    <row r="513" spans="1:211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29.215659276106546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69.035923621585368</v>
      </c>
      <c r="AO513">
        <v>7.914472994995724</v>
      </c>
      <c r="AP513">
        <v>12.590034820828073</v>
      </c>
      <c r="AQ513">
        <v>63.240512073184981</v>
      </c>
      <c r="AR513">
        <v>8.0580013412645553</v>
      </c>
      <c r="AS513">
        <v>52.59867398743885</v>
      </c>
      <c r="AT513" t="e">
        <v>#DIV/0!</v>
      </c>
      <c r="AU513" t="e">
        <v>#DIV/0!</v>
      </c>
      <c r="AV513"/>
      <c r="AW513"/>
      <c r="FY513" s="211">
        <v>508</v>
      </c>
      <c r="FZ513">
        <v>14.499650349681328</v>
      </c>
      <c r="GA513">
        <v>12.586810242852502</v>
      </c>
      <c r="GB513">
        <v>5.0336169349701043</v>
      </c>
      <c r="GC513">
        <v>2.5346905691299253</v>
      </c>
      <c r="GD513">
        <v>1.1516154905430132</v>
      </c>
      <c r="GE513">
        <v>1.6048664739368772</v>
      </c>
      <c r="GF513">
        <v>0.61500395478260861</v>
      </c>
      <c r="GG513">
        <v>0.90968051734601452</v>
      </c>
      <c r="GH513">
        <v>6.587002717200356</v>
      </c>
      <c r="GI513">
        <v>5.1943306717176201</v>
      </c>
      <c r="GJ513"/>
      <c r="GK513">
        <v>14.545763234554496</v>
      </c>
      <c r="GL513">
        <v>10.663337004559633</v>
      </c>
      <c r="GM513">
        <v>8.3345646035031393</v>
      </c>
      <c r="GN513">
        <v>7.5505541673203664</v>
      </c>
      <c r="GO513">
        <v>4.4731467259888316</v>
      </c>
      <c r="GP513">
        <v>3.0725186877076416</v>
      </c>
      <c r="GQ513">
        <v>0.75362318840579701</v>
      </c>
      <c r="GR513">
        <v>1.2802435587761674</v>
      </c>
      <c r="GS513">
        <v>7.021283529054001</v>
      </c>
      <c r="GT513">
        <v>7.0256762563012529</v>
      </c>
      <c r="GU513"/>
      <c r="GV513"/>
      <c r="GW513"/>
      <c r="GX513"/>
      <c r="GY513"/>
      <c r="GZ513"/>
      <c r="HA513"/>
      <c r="HB513"/>
      <c r="HC513"/>
    </row>
    <row r="514" spans="1:211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30.079101778590214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52.047577407722926</v>
      </c>
      <c r="AO514">
        <v>6.0160378138692598</v>
      </c>
      <c r="AP514">
        <v>37.338034795601949</v>
      </c>
      <c r="AQ514">
        <v>43.599100321186015</v>
      </c>
      <c r="AR514">
        <v>6.558165459908242</v>
      </c>
      <c r="AS514">
        <v>38.95613124405827</v>
      </c>
      <c r="AT514" t="e">
        <v>#DIV/0!</v>
      </c>
      <c r="AU514" t="e">
        <v>#DIV/0!</v>
      </c>
      <c r="AV514"/>
      <c r="AW514"/>
      <c r="FY514" s="211">
        <v>509</v>
      </c>
      <c r="FZ514">
        <v>12.560374928734888</v>
      </c>
      <c r="GA514">
        <v>12.65149784059901</v>
      </c>
      <c r="GB514">
        <v>6.6279873274161965</v>
      </c>
      <c r="GC514">
        <v>3.3383791952500932</v>
      </c>
      <c r="GD514">
        <v>1.7456078563911148</v>
      </c>
      <c r="GE514">
        <v>2.3502011442309949</v>
      </c>
      <c r="GF514">
        <v>1.9416053941183551</v>
      </c>
      <c r="GG514">
        <v>1.5934002092972313</v>
      </c>
      <c r="GH514">
        <v>3.1364020140011775</v>
      </c>
      <c r="GI514">
        <v>5.3401739865778159</v>
      </c>
      <c r="GJ514"/>
      <c r="GK514">
        <v>12.601813439378223</v>
      </c>
      <c r="GL514">
        <v>10.720468970563108</v>
      </c>
      <c r="GM514">
        <v>11.056290820581937</v>
      </c>
      <c r="GN514">
        <v>10.074221751729414</v>
      </c>
      <c r="GO514">
        <v>6.7872038736446472</v>
      </c>
      <c r="GP514">
        <v>4.4994627607914204</v>
      </c>
      <c r="GQ514">
        <v>2.3746048663922039</v>
      </c>
      <c r="GR514">
        <v>2.2391881997255374</v>
      </c>
      <c r="GS514">
        <v>3.3433679778444256</v>
      </c>
      <c r="GT514">
        <v>7.2326561955682882</v>
      </c>
      <c r="GU514"/>
      <c r="GV514"/>
      <c r="GW514"/>
      <c r="GX514"/>
      <c r="GY514"/>
      <c r="GZ514"/>
      <c r="HA514"/>
      <c r="HB514"/>
      <c r="HC514"/>
    </row>
    <row r="515" spans="1:211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30.96806254674263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47.128195567594162</v>
      </c>
      <c r="AO515">
        <v>5.5462269099662249</v>
      </c>
      <c r="AP515">
        <v>60.688114669041923</v>
      </c>
      <c r="AQ515">
        <v>42.335680163141205</v>
      </c>
      <c r="AR515">
        <v>5.8597215061243704</v>
      </c>
      <c r="AS515">
        <v>35.435390264494096</v>
      </c>
      <c r="AT515" t="e">
        <v>#DIV/0!</v>
      </c>
      <c r="AU515" t="e">
        <v>#DIV/0!</v>
      </c>
      <c r="AV515"/>
      <c r="AW515"/>
      <c r="FY515" s="211">
        <v>510</v>
      </c>
      <c r="FZ515">
        <v>10.067981257404238</v>
      </c>
      <c r="GA515">
        <v>11.804732639425659</v>
      </c>
      <c r="GB515">
        <v>6.8351549109449881</v>
      </c>
      <c r="GC515">
        <v>3.1082596856655629</v>
      </c>
      <c r="GD515">
        <v>1.2049316687954548</v>
      </c>
      <c r="GE515">
        <v>0.92962175428571436</v>
      </c>
      <c r="GF515">
        <v>2.5410113619935069</v>
      </c>
      <c r="GG515">
        <v>2.4418645251988869</v>
      </c>
      <c r="GH515">
        <v>4.4476780702466128</v>
      </c>
      <c r="GI515">
        <v>5.0225919003315749</v>
      </c>
      <c r="GJ515"/>
      <c r="GK515">
        <v>10.124333063677566</v>
      </c>
      <c r="GL515">
        <v>10.001378185056664</v>
      </c>
      <c r="GM515">
        <v>11.361651760282166</v>
      </c>
      <c r="GN515">
        <v>9.3165894624964078</v>
      </c>
      <c r="GO515">
        <v>4.6711242766415753</v>
      </c>
      <c r="GP515">
        <v>1.7797619047619049</v>
      </c>
      <c r="GQ515">
        <v>3.1114293454344271</v>
      </c>
      <c r="GR515">
        <v>3.4349247158047973</v>
      </c>
      <c r="GS515">
        <v>4.7418679741961212</v>
      </c>
      <c r="GT515">
        <v>6.8020812840463725</v>
      </c>
      <c r="GU515"/>
      <c r="GV515"/>
      <c r="GW515"/>
      <c r="GX515"/>
      <c r="GY515"/>
      <c r="GZ515"/>
      <c r="HA515"/>
      <c r="HB515"/>
      <c r="HC515"/>
    </row>
    <row r="516" spans="1:211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31.851826295294085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66.201350917142634</v>
      </c>
      <c r="AO516">
        <v>7.3818618052685423</v>
      </c>
      <c r="AP516">
        <v>37.592803980263703</v>
      </c>
      <c r="AQ516">
        <v>49.941492088471009</v>
      </c>
      <c r="AR516">
        <v>7.2537368999105967</v>
      </c>
      <c r="AS516">
        <v>46.237089670811145</v>
      </c>
      <c r="AT516" t="e">
        <v>#DIV/0!</v>
      </c>
      <c r="AU516" t="e">
        <v>#DIV/0!</v>
      </c>
      <c r="AV516"/>
      <c r="AW516"/>
      <c r="FY516" s="211">
        <v>511</v>
      </c>
      <c r="FZ516">
        <v>9.926506690798881</v>
      </c>
      <c r="GA516">
        <v>7.5487210134544469</v>
      </c>
      <c r="GB516">
        <v>4.6419682422589892</v>
      </c>
      <c r="GC516">
        <v>2.9440177288323257</v>
      </c>
      <c r="GD516">
        <v>1.660600377778743</v>
      </c>
      <c r="GE516">
        <v>2.0561654069767443</v>
      </c>
      <c r="GF516">
        <v>2.2904813354815796</v>
      </c>
      <c r="GG516">
        <v>3.4901561372637171</v>
      </c>
      <c r="GH516">
        <v>7.328391053756758</v>
      </c>
      <c r="GI516">
        <v>5.1354003570697282</v>
      </c>
      <c r="GJ516"/>
      <c r="GK516">
        <v>9.9820531344193402</v>
      </c>
      <c r="GL516">
        <v>6.3950987629874394</v>
      </c>
      <c r="GM516">
        <v>7.7294073179762224</v>
      </c>
      <c r="GN516">
        <v>8.8370200875734941</v>
      </c>
      <c r="GO516">
        <v>6.4488606208703114</v>
      </c>
      <c r="GP516">
        <v>3.9365310077519382</v>
      </c>
      <c r="GQ516">
        <v>2.8021159372456665</v>
      </c>
      <c r="GR516">
        <v>4.9085974187271475</v>
      </c>
      <c r="GS516">
        <v>7.8138151471424973</v>
      </c>
      <c r="GT516">
        <v>6.9552504315308088</v>
      </c>
      <c r="GU516"/>
      <c r="GV516"/>
      <c r="GW516"/>
      <c r="GX516"/>
      <c r="GY516"/>
      <c r="GZ516"/>
      <c r="HA516"/>
      <c r="HB516"/>
      <c r="HC516"/>
    </row>
    <row r="517" spans="1:211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32.760810813213169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38.130853073159095</v>
      </c>
      <c r="AO517">
        <v>5.089476708275634</v>
      </c>
      <c r="AP517">
        <v>41.940332359753043</v>
      </c>
      <c r="AQ517">
        <v>32.545061132669488</v>
      </c>
      <c r="AR517">
        <v>5.1985459579243285</v>
      </c>
      <c r="AS517">
        <v>32.219655781528154</v>
      </c>
      <c r="AT517" t="e">
        <v>#DIV/0!</v>
      </c>
      <c r="AU517" t="e">
        <v>#DIV/0!</v>
      </c>
      <c r="AV517"/>
      <c r="AW517"/>
      <c r="FY517" s="211">
        <v>512</v>
      </c>
      <c r="FZ517">
        <v>8.6894231899429606</v>
      </c>
      <c r="GA517">
        <v>10.244679502643594</v>
      </c>
      <c r="GB517">
        <v>6.3721893424058189</v>
      </c>
      <c r="GC517">
        <v>3.3241265927924752</v>
      </c>
      <c r="GD517">
        <v>1.8357201475857938</v>
      </c>
      <c r="GE517">
        <v>2.4461946949452802</v>
      </c>
      <c r="GF517">
        <v>3.0455067936511155</v>
      </c>
      <c r="GG517">
        <v>2.9773535165032357</v>
      </c>
      <c r="GH517">
        <v>5.6929810569825179</v>
      </c>
      <c r="GI517">
        <v>5.3565505370412945</v>
      </c>
      <c r="GJ517"/>
      <c r="GK517">
        <v>8.7078077010536248</v>
      </c>
      <c r="GL517">
        <v>8.6814503790998288</v>
      </c>
      <c r="GM517">
        <v>10.593443949439534</v>
      </c>
      <c r="GN517">
        <v>9.9652324510269406</v>
      </c>
      <c r="GO517">
        <v>7.1263623557643703</v>
      </c>
      <c r="GP517">
        <v>4.6832425226961822</v>
      </c>
      <c r="GQ517">
        <v>3.7296358671735579</v>
      </c>
      <c r="GR517">
        <v>4.1885479042105951</v>
      </c>
      <c r="GS517">
        <v>6.0701195988352836</v>
      </c>
      <c r="GT517">
        <v>7.2454738944532737</v>
      </c>
      <c r="GU517"/>
      <c r="GV517"/>
      <c r="GW517"/>
      <c r="GX517"/>
      <c r="GY517"/>
      <c r="GZ517"/>
      <c r="HA517"/>
      <c r="HB517"/>
      <c r="HC517"/>
    </row>
    <row r="518" spans="1:211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32.760810813213169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71.662942732398577</v>
      </c>
      <c r="AO518">
        <v>8.1169470502327119</v>
      </c>
      <c r="AP518">
        <v>86.218976256581527</v>
      </c>
      <c r="AQ518">
        <v>61.78398154142846</v>
      </c>
      <c r="AR518">
        <v>8.4984941789031332</v>
      </c>
      <c r="AS518">
        <v>55.631079471215088</v>
      </c>
      <c r="AT518" t="e">
        <v>#DIV/0!</v>
      </c>
      <c r="AU518" t="e">
        <v>#DIV/0!</v>
      </c>
      <c r="AV518"/>
      <c r="AW518"/>
      <c r="FY518" s="211">
        <v>513</v>
      </c>
      <c r="FZ518">
        <v>12.221997342893333</v>
      </c>
      <c r="GA518">
        <v>9.137231601879936</v>
      </c>
      <c r="GB518">
        <v>5.8887582315302911</v>
      </c>
      <c r="GC518">
        <v>3.9959754497337636</v>
      </c>
      <c r="GD518">
        <v>3.1110054132492966</v>
      </c>
      <c r="GE518">
        <v>4.7142748861764705</v>
      </c>
      <c r="GF518">
        <v>0.59244847119791655</v>
      </c>
      <c r="GG518">
        <v>0.46773940755208332</v>
      </c>
      <c r="GH518">
        <v>6.6491106731859775</v>
      </c>
      <c r="GI518">
        <v>6.2043456211998835</v>
      </c>
      <c r="GJ518"/>
      <c r="GK518">
        <v>12.27088090569355</v>
      </c>
      <c r="GL518">
        <v>7.741123575496899</v>
      </c>
      <c r="GM518">
        <v>9.8708010484441751</v>
      </c>
      <c r="GN518">
        <v>12.09241924152785</v>
      </c>
      <c r="GO518">
        <v>12.08273313761948</v>
      </c>
      <c r="GP518">
        <v>9.0254846256684491</v>
      </c>
      <c r="GQ518">
        <v>0.72598379629629617</v>
      </c>
      <c r="GR518">
        <v>0.65827546296296291</v>
      </c>
      <c r="GS518">
        <v>7.0846158919163233</v>
      </c>
      <c r="GT518">
        <v>8.4070029559939652</v>
      </c>
      <c r="GU518"/>
      <c r="GV518"/>
      <c r="GW518"/>
      <c r="GX518"/>
      <c r="GY518"/>
      <c r="GZ518"/>
      <c r="HA518"/>
      <c r="HB518"/>
      <c r="HC518"/>
    </row>
    <row r="519" spans="1:211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61.282213196793904</v>
      </c>
      <c r="AO519">
        <v>7.1491518357532566</v>
      </c>
      <c r="AP519">
        <v>4.5782350073650662</v>
      </c>
      <c r="AQ519">
        <v>55.992847155977557</v>
      </c>
      <c r="AR519">
        <v>7.4995050308659854</v>
      </c>
      <c r="AS519">
        <v>46.532861891279076</v>
      </c>
      <c r="AT519">
        <v>6.0513710250865467</v>
      </c>
      <c r="AU519">
        <v>1.3536819086882037</v>
      </c>
      <c r="AV519"/>
      <c r="AW519"/>
      <c r="FY519" s="211">
        <v>514</v>
      </c>
      <c r="FZ519">
        <v>14.075023399751963</v>
      </c>
      <c r="GA519">
        <v>12.049419109251602</v>
      </c>
      <c r="GB519">
        <v>3.9971550577977548</v>
      </c>
      <c r="GC519">
        <v>2.2490476104877359</v>
      </c>
      <c r="GD519">
        <v>1.821331778804862</v>
      </c>
      <c r="GE519">
        <v>2.2070920319054137</v>
      </c>
      <c r="GF519">
        <v>1.8310968709933551</v>
      </c>
      <c r="GG519">
        <v>2.3417832613805647</v>
      </c>
      <c r="GH519">
        <v>6.7383393250037917</v>
      </c>
      <c r="GI519">
        <v>5.5075732810117373</v>
      </c>
      <c r="GJ519"/>
      <c r="GK519">
        <v>14.127294735630963</v>
      </c>
      <c r="GL519">
        <v>10.208238418047735</v>
      </c>
      <c r="GM519">
        <v>6.6211697875969238</v>
      </c>
      <c r="GN519">
        <v>6.727139656010042</v>
      </c>
      <c r="GO519">
        <v>7.0925285658165285</v>
      </c>
      <c r="GP519">
        <v>4.2254802026518856</v>
      </c>
      <c r="GQ519">
        <v>2.2391881997255374</v>
      </c>
      <c r="GR519">
        <v>3.2924289404662783</v>
      </c>
      <c r="GS519">
        <v>7.1818438606850856</v>
      </c>
      <c r="GT519">
        <v>7.4524050298910076</v>
      </c>
      <c r="GU519"/>
      <c r="GV519"/>
      <c r="GW519"/>
      <c r="GX519"/>
      <c r="GY519"/>
      <c r="GZ519"/>
      <c r="HA519"/>
      <c r="HB519"/>
      <c r="HC519"/>
    </row>
    <row r="520" spans="1:211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5.4400754784554053</v>
      </c>
      <c r="H520" s="63" t="s">
        <v>30</v>
      </c>
      <c r="I520" s="101">
        <f>SUM(K458:K518)</f>
        <v>34.333889726547689</v>
      </c>
      <c r="J520" s="63"/>
      <c r="K520" s="19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61.814580473554528</v>
      </c>
      <c r="AO520">
        <v>6.8447402019136279</v>
      </c>
      <c r="AP520">
        <v>4.9605015322281867</v>
      </c>
      <c r="AQ520">
        <v>51.736009907264489</v>
      </c>
      <c r="AR520">
        <v>7.1730005316370455</v>
      </c>
      <c r="AS520">
        <v>43.035721182263927</v>
      </c>
      <c r="AT520">
        <v>5.6848125642483067</v>
      </c>
      <c r="AU520">
        <v>3.8021251290801521</v>
      </c>
      <c r="AV520"/>
      <c r="AW520"/>
      <c r="FY520" s="211">
        <v>515</v>
      </c>
      <c r="FZ520">
        <v>14.127644983336525</v>
      </c>
      <c r="GA520">
        <v>14.004157712314681</v>
      </c>
      <c r="GB520">
        <v>9.8925526823733616</v>
      </c>
      <c r="GC520">
        <v>4.3871557328492585</v>
      </c>
      <c r="GD520">
        <v>1.6620430654054921</v>
      </c>
      <c r="GE520">
        <v>2.3946689805481731</v>
      </c>
      <c r="GF520">
        <v>1.8380543676705907</v>
      </c>
      <c r="GG520">
        <v>1.5999335916051376</v>
      </c>
      <c r="GH520">
        <v>4.3029914767238111</v>
      </c>
      <c r="GI520">
        <v>6.4925367536346146</v>
      </c>
      <c r="GJ520"/>
      <c r="GK520">
        <v>14.181237025680817</v>
      </c>
      <c r="GL520">
        <v>11.865866634885915</v>
      </c>
      <c r="GM520">
        <v>16.5002715406637</v>
      </c>
      <c r="GN520">
        <v>13.252812290262909</v>
      </c>
      <c r="GO520">
        <v>6.4646872577982073</v>
      </c>
      <c r="GP520">
        <v>4.5845964839424145</v>
      </c>
      <c r="GQ520">
        <v>2.2500288824714643</v>
      </c>
      <c r="GR520">
        <v>2.2500288824714643</v>
      </c>
      <c r="GS520">
        <v>4.587030330885141</v>
      </c>
      <c r="GT520">
        <v>8.7966510074998663</v>
      </c>
      <c r="GU520"/>
      <c r="GV520"/>
      <c r="GW520"/>
      <c r="GX520"/>
      <c r="GY520"/>
      <c r="GZ520"/>
      <c r="HA520"/>
      <c r="HB520"/>
      <c r="HC520"/>
    </row>
    <row r="521" spans="1:211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56.27272537580501</v>
      </c>
      <c r="AO521">
        <v>6.4944126988085857</v>
      </c>
      <c r="AP521">
        <v>5.105786168012437</v>
      </c>
      <c r="AQ521">
        <v>45.755479640099907</v>
      </c>
      <c r="AR521">
        <v>6.7630481477879467</v>
      </c>
      <c r="AS521">
        <v>42.707251489837446</v>
      </c>
      <c r="AT521">
        <v>5.4100145140201592</v>
      </c>
      <c r="AU521">
        <v>0.93503253161323485</v>
      </c>
      <c r="AV521"/>
      <c r="AW521"/>
      <c r="FY521" s="211">
        <v>516</v>
      </c>
      <c r="FZ521">
        <v>11.989151533485627</v>
      </c>
      <c r="GA521">
        <v>5.9440590474160757</v>
      </c>
      <c r="GB521">
        <v>4.5808765070957858</v>
      </c>
      <c r="GC521">
        <v>2.6986418673931563</v>
      </c>
      <c r="GD521">
        <v>1.2252083520611035</v>
      </c>
      <c r="GE521">
        <v>1.7372288626196988</v>
      </c>
      <c r="GF521">
        <v>0</v>
      </c>
      <c r="GG521">
        <v>0.37419152604166667</v>
      </c>
      <c r="GH521">
        <v>4.4899337734142666</v>
      </c>
      <c r="GI521">
        <v>4.3130001425753868</v>
      </c>
      <c r="GJ521"/>
      <c r="GK521">
        <v>12.05637822759083</v>
      </c>
      <c r="GL521">
        <v>5.0374609469246359</v>
      </c>
      <c r="GM521">
        <v>7.627065402615453</v>
      </c>
      <c r="GN521">
        <v>8.1020671903454602</v>
      </c>
      <c r="GO521">
        <v>4.7599757590784986</v>
      </c>
      <c r="GP521">
        <v>3.3259266312233136</v>
      </c>
      <c r="GQ521">
        <v>0</v>
      </c>
      <c r="GR521">
        <v>0.52662037037037035</v>
      </c>
      <c r="GS521">
        <v>4.7846320109907303</v>
      </c>
      <c r="GT521">
        <v>5.8456102800551024</v>
      </c>
      <c r="GU521"/>
      <c r="GV521"/>
      <c r="GW521"/>
      <c r="GX521"/>
      <c r="GY521"/>
      <c r="GZ521"/>
      <c r="HA521"/>
      <c r="HB521"/>
      <c r="HC521"/>
    </row>
    <row r="522" spans="1:211" s="7" customFormat="1">
      <c r="A522" s="4"/>
      <c r="B522" s="4"/>
      <c r="C522" s="63"/>
      <c r="D522" s="63"/>
      <c r="E522" s="63" t="s">
        <v>100</v>
      </c>
      <c r="F522" s="101">
        <f>+I520/G520</f>
        <v>6.3112892206223714</v>
      </c>
      <c r="G522" s="63"/>
      <c r="H522" s="63" t="s">
        <v>101</v>
      </c>
      <c r="I522">
        <v>354.82888793945312</v>
      </c>
      <c r="J522" s="19"/>
      <c r="K522" s="19"/>
      <c r="L522" s="205"/>
      <c r="M522" s="205"/>
      <c r="N522" s="205"/>
      <c r="O522" s="205"/>
      <c r="P522" s="205"/>
      <c r="Q522" s="205"/>
      <c r="R522" s="205"/>
      <c r="S522" s="205"/>
      <c r="T522">
        <v>0</v>
      </c>
      <c r="U522" s="205"/>
      <c r="V522" s="205"/>
      <c r="W522" s="205"/>
      <c r="X522" s="205"/>
      <c r="Y522" s="205"/>
      <c r="Z522" s="205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64.759457867119536</v>
      </c>
      <c r="AO522">
        <v>7.7794933312990633</v>
      </c>
      <c r="AP522">
        <v>100.34474436451507</v>
      </c>
      <c r="AQ522">
        <v>56.655954504374897</v>
      </c>
      <c r="AR522">
        <v>8.2142957496454638</v>
      </c>
      <c r="AS522">
        <v>51.063447992215401</v>
      </c>
      <c r="AT522" t="e">
        <v>#DIV/0!</v>
      </c>
      <c r="AU522" t="e">
        <v>#DIV/0!</v>
      </c>
      <c r="AV522"/>
      <c r="AW522"/>
      <c r="FY522" s="211">
        <v>517</v>
      </c>
      <c r="FZ522">
        <v>14.122790604180578</v>
      </c>
      <c r="GA522">
        <v>9.549185251357649</v>
      </c>
      <c r="GB522">
        <v>3.660353615221255</v>
      </c>
      <c r="GC522">
        <v>1.6690686963962544</v>
      </c>
      <c r="GD522">
        <v>1.5722733086129255</v>
      </c>
      <c r="GE522">
        <v>2.3485562119054131</v>
      </c>
      <c r="GF522">
        <v>1.223050412887982</v>
      </c>
      <c r="GG522">
        <v>1.8128276523841229</v>
      </c>
      <c r="GH522">
        <v>5.1868012021166914</v>
      </c>
      <c r="GI522">
        <v>4.93052784749589</v>
      </c>
      <c r="GJ522"/>
      <c r="GK522">
        <v>14.194509430924931</v>
      </c>
      <c r="GL522">
        <v>8.0900020808845294</v>
      </c>
      <c r="GM522">
        <v>6.0585501002705442</v>
      </c>
      <c r="GN522">
        <v>4.9642804059701184</v>
      </c>
      <c r="GO522">
        <v>6.0954140031029826</v>
      </c>
      <c r="GP522">
        <v>4.4963135359852187</v>
      </c>
      <c r="GQ522">
        <v>1.4964056940656674</v>
      </c>
      <c r="GR522">
        <v>2.5496464348064078</v>
      </c>
      <c r="GS522">
        <v>5.5317897618906624</v>
      </c>
      <c r="GT522">
        <v>6.6753337980509588</v>
      </c>
      <c r="GU522"/>
      <c r="GV522"/>
      <c r="GW522"/>
      <c r="GX522"/>
      <c r="GY522"/>
      <c r="GZ522"/>
      <c r="HA522"/>
      <c r="HB522"/>
      <c r="HC522"/>
    </row>
    <row r="523" spans="1:211" s="7" customFormat="1">
      <c r="A523" s="4"/>
      <c r="B523" s="4"/>
      <c r="C523" s="63"/>
      <c r="D523" s="63"/>
      <c r="E523" s="63" t="s">
        <v>102</v>
      </c>
      <c r="F523" s="101">
        <f>+I523/G520</f>
        <v>6.492201294276378</v>
      </c>
      <c r="G523" s="63"/>
      <c r="H523" s="63" t="s">
        <v>103</v>
      </c>
      <c r="I523" s="123">
        <f>+I520*(365/I522)</f>
        <v>35.318065062189369</v>
      </c>
      <c r="J523" s="19"/>
      <c r="K523" s="19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60.534721211651643</v>
      </c>
      <c r="AO523">
        <v>7.1938085469088069</v>
      </c>
      <c r="AP523">
        <v>47.710682084146157</v>
      </c>
      <c r="AQ523">
        <v>50.096847860957041</v>
      </c>
      <c r="AR523">
        <v>7.4548689320142181</v>
      </c>
      <c r="AS523">
        <v>47.765797027612912</v>
      </c>
      <c r="AT523" t="e">
        <v>#DIV/0!</v>
      </c>
      <c r="AU523" t="e">
        <v>#DIV/0!</v>
      </c>
      <c r="AV523"/>
      <c r="AW523"/>
      <c r="FY523" s="211">
        <v>518</v>
      </c>
      <c r="FZ523">
        <v>15.023607564569474</v>
      </c>
      <c r="GA523">
        <v>14.943885100934388</v>
      </c>
      <c r="GB523">
        <v>6.3552652850244682</v>
      </c>
      <c r="GC523">
        <v>3.324584480800286</v>
      </c>
      <c r="GD523">
        <v>1.4502231271675474</v>
      </c>
      <c r="GE523">
        <v>1.8255223958970097</v>
      </c>
      <c r="GF523">
        <v>1.6893923740534418</v>
      </c>
      <c r="GG523">
        <v>2.2193508584918478</v>
      </c>
      <c r="GH523">
        <v>5.6173248941324108</v>
      </c>
      <c r="GI523">
        <v>5.8078674519952189</v>
      </c>
      <c r="GJ523"/>
      <c r="GK523">
        <v>15.073417224542526</v>
      </c>
      <c r="GL523">
        <v>12.661652024847193</v>
      </c>
      <c r="GM523">
        <v>10.517656103712174</v>
      </c>
      <c r="GN523">
        <v>9.883803076078415</v>
      </c>
      <c r="GO523">
        <v>5.6221901681144422</v>
      </c>
      <c r="GP523">
        <v>3.4949647009966771</v>
      </c>
      <c r="GQ523">
        <v>2.0701741143317229</v>
      </c>
      <c r="GR523">
        <v>3.1234148550724634</v>
      </c>
      <c r="GS523">
        <v>5.9903493056626562</v>
      </c>
      <c r="GT523">
        <v>7.8547573832727036</v>
      </c>
      <c r="GU523"/>
      <c r="GV523"/>
      <c r="GW523"/>
      <c r="GX523"/>
      <c r="GY523"/>
      <c r="GZ523"/>
      <c r="HA523"/>
      <c r="HB523"/>
      <c r="HC523"/>
    </row>
    <row r="524" spans="1:211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58.147695492990565</v>
      </c>
      <c r="AO524">
        <v>6.4720710956171335</v>
      </c>
      <c r="AP524">
        <v>11.675680445338614</v>
      </c>
      <c r="AQ524">
        <v>50.71726792216036</v>
      </c>
      <c r="AR524">
        <v>7.0256762563012547</v>
      </c>
      <c r="AS524">
        <v>43.889450708655147</v>
      </c>
      <c r="AT524" t="e">
        <v>#DIV/0!</v>
      </c>
      <c r="AU524" t="e">
        <v>#DIV/0!</v>
      </c>
      <c r="AV524"/>
      <c r="AW524"/>
      <c r="FY524" s="211">
        <v>519</v>
      </c>
      <c r="FZ524">
        <v>18.070410402906191</v>
      </c>
      <c r="GA524">
        <v>18.763038435825276</v>
      </c>
      <c r="GB524">
        <v>5.7749812833254612</v>
      </c>
      <c r="GC524">
        <v>2.6024894101581211</v>
      </c>
      <c r="GD524">
        <v>1.3105224108720932</v>
      </c>
      <c r="GE524">
        <v>1.7194242608970101</v>
      </c>
      <c r="GF524">
        <v>3.0385492969738808</v>
      </c>
      <c r="GG524">
        <v>3.3450116602369966</v>
      </c>
      <c r="GH524">
        <v>6.3876375495901296</v>
      </c>
      <c r="GI524">
        <v>6.4052643560796465</v>
      </c>
      <c r="GJ524"/>
      <c r="GK524">
        <v>18.134035592910639</v>
      </c>
      <c r="GL524">
        <v>15.897129238193259</v>
      </c>
      <c r="GM524">
        <v>9.6023168771649576</v>
      </c>
      <c r="GN524">
        <v>7.807042232764446</v>
      </c>
      <c r="GO524">
        <v>5.0812742248062017</v>
      </c>
      <c r="GP524">
        <v>3.291839700996678</v>
      </c>
      <c r="GQ524">
        <v>3.718795184427631</v>
      </c>
      <c r="GR524">
        <v>4.7043275918350389</v>
      </c>
      <c r="GS524">
        <v>6.8118485141552592</v>
      </c>
      <c r="GT524">
        <v>8.6696540786929361</v>
      </c>
      <c r="GU524"/>
      <c r="GV524"/>
      <c r="GW524"/>
      <c r="GX524"/>
      <c r="GY524"/>
      <c r="GZ524"/>
      <c r="HA524"/>
      <c r="HB524"/>
      <c r="HC524"/>
    </row>
    <row r="525" spans="1:211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58.425385391793725</v>
      </c>
      <c r="AO525">
        <v>7.0929278856219211</v>
      </c>
      <c r="AP525">
        <v>42.163782473108526</v>
      </c>
      <c r="AQ525">
        <v>51.285629896616875</v>
      </c>
      <c r="AR525">
        <v>7.2326561955682891</v>
      </c>
      <c r="AS525">
        <v>43.467827780418816</v>
      </c>
      <c r="AT525" t="e">
        <v>#DIV/0!</v>
      </c>
      <c r="AU525" t="e">
        <v>#DIV/0!</v>
      </c>
      <c r="AV525"/>
      <c r="AW525"/>
      <c r="FY525" s="211">
        <v>520</v>
      </c>
      <c r="FZ525">
        <v>16.758540643000501</v>
      </c>
      <c r="GA525">
        <v>14.92774155216687</v>
      </c>
      <c r="GB525">
        <v>5.1813619867401552</v>
      </c>
      <c r="GC525">
        <v>2.3373351632722077</v>
      </c>
      <c r="GD525">
        <v>2.4081149113510847</v>
      </c>
      <c r="GE525">
        <v>4.0059511932079346</v>
      </c>
      <c r="GF525">
        <v>1.9416053941183551</v>
      </c>
      <c r="GG525">
        <v>2.3417832613805647</v>
      </c>
      <c r="GH525">
        <v>3.8047264877453939</v>
      </c>
      <c r="GI525">
        <v>6.0887716703602299</v>
      </c>
      <c r="GJ525"/>
      <c r="GK525">
        <v>16.814516369278969</v>
      </c>
      <c r="GL525">
        <v>12.652250657896227</v>
      </c>
      <c r="GM525">
        <v>8.6222903142004768</v>
      </c>
      <c r="GN525">
        <v>7.0200396563042506</v>
      </c>
      <c r="GO525">
        <v>9.3369576345337304</v>
      </c>
      <c r="GP525">
        <v>7.669398110724206</v>
      </c>
      <c r="GQ525">
        <v>2.3746048663922039</v>
      </c>
      <c r="GR525">
        <v>3.2924289404662783</v>
      </c>
      <c r="GS525">
        <v>4.0574746238548176</v>
      </c>
      <c r="GT525">
        <v>8.241168761652041</v>
      </c>
      <c r="GU525"/>
      <c r="GV525"/>
      <c r="GW525"/>
      <c r="GX525"/>
      <c r="GY525"/>
      <c r="GZ525"/>
      <c r="HA525"/>
      <c r="HB525"/>
      <c r="HC525"/>
    </row>
    <row r="526" spans="1:211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53.95189752544961</v>
      </c>
      <c r="AO526">
        <v>6.5345141972398011</v>
      </c>
      <c r="AP526">
        <v>4.2507113916431249</v>
      </c>
      <c r="AQ526">
        <v>48.403827774292196</v>
      </c>
      <c r="AR526">
        <v>6.8020812840463716</v>
      </c>
      <c r="AS526">
        <v>41.77599554926762</v>
      </c>
      <c r="AT526">
        <v>5.4223497541109467</v>
      </c>
      <c r="AU526">
        <v>1.9796975044540588</v>
      </c>
      <c r="AV526"/>
      <c r="AW526"/>
      <c r="FY526" s="211">
        <v>521</v>
      </c>
      <c r="FZ526">
        <v>5.9025267059885511</v>
      </c>
      <c r="GA526">
        <v>8.9586015842263951</v>
      </c>
      <c r="GB526">
        <v>7.7961506855247018</v>
      </c>
      <c r="GC526">
        <v>3.5590615354377153</v>
      </c>
      <c r="GD526">
        <v>2.7053795291586202</v>
      </c>
      <c r="GE526">
        <v>4.0783282155335172</v>
      </c>
      <c r="GF526">
        <v>1.2783046744504822</v>
      </c>
      <c r="GG526">
        <v>1.0644446003007895</v>
      </c>
      <c r="GH526">
        <v>5.6396299313262421</v>
      </c>
      <c r="GI526">
        <v>5.4614670716044449</v>
      </c>
      <c r="GJ526"/>
      <c r="GK526">
        <v>5.9372667507042776</v>
      </c>
      <c r="GL526">
        <v>7.5895316451691084</v>
      </c>
      <c r="GM526">
        <v>12.906997732795615</v>
      </c>
      <c r="GN526">
        <v>10.613649741482737</v>
      </c>
      <c r="GO526">
        <v>10.518749013882958</v>
      </c>
      <c r="GP526">
        <v>7.8079640021970755</v>
      </c>
      <c r="GQ526">
        <v>1.5641140273990009</v>
      </c>
      <c r="GR526">
        <v>1.4964056940656674</v>
      </c>
      <c r="GS526">
        <v>6.0138161067478526</v>
      </c>
      <c r="GT526">
        <v>7.3881887263059411</v>
      </c>
      <c r="GU526"/>
      <c r="GV526"/>
      <c r="GW526"/>
      <c r="GX526"/>
      <c r="GY526"/>
      <c r="GZ526"/>
      <c r="HA526"/>
      <c r="HB526"/>
      <c r="HC526"/>
    </row>
    <row r="527" spans="1:211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53.93038406536742</v>
      </c>
      <c r="AO527">
        <v>6.5808749866224874</v>
      </c>
      <c r="AP527">
        <v>36.980398593453465</v>
      </c>
      <c r="AQ527">
        <v>47.022408343671913</v>
      </c>
      <c r="AR527">
        <v>6.9552504315308088</v>
      </c>
      <c r="AS527">
        <v>42.255816430642781</v>
      </c>
      <c r="AT527" t="e">
        <v>#DIV/0!</v>
      </c>
      <c r="AU527" t="e">
        <v>#DIV/0!</v>
      </c>
      <c r="AV527"/>
      <c r="AW527"/>
      <c r="FY527" s="211">
        <v>522</v>
      </c>
      <c r="FZ527">
        <v>16.111935824421117</v>
      </c>
      <c r="GA527">
        <v>18.65661928936731</v>
      </c>
      <c r="GB527">
        <v>6.6686633483641353</v>
      </c>
      <c r="GC527">
        <v>2.7772477937422644</v>
      </c>
      <c r="GD527">
        <v>0.86746446088183315</v>
      </c>
      <c r="GE527">
        <v>0.77969792232558155</v>
      </c>
      <c r="GF527">
        <v>1.1452406677407898</v>
      </c>
      <c r="GG527">
        <v>0.9966950165485251</v>
      </c>
      <c r="GH527">
        <v>5.3932485997631954</v>
      </c>
      <c r="GI527">
        <v>5.5801597331408361</v>
      </c>
      <c r="GJ527"/>
      <c r="GK527">
        <v>16.15704212187007</v>
      </c>
      <c r="GL527">
        <v>15.804544739144488</v>
      </c>
      <c r="GM527">
        <v>11.078866477792056</v>
      </c>
      <c r="GN527">
        <v>8.3249791805104625</v>
      </c>
      <c r="GO527">
        <v>3.3626663585906327</v>
      </c>
      <c r="GP527">
        <v>1.492732558139535</v>
      </c>
      <c r="GQ527">
        <v>1.4010579686228333</v>
      </c>
      <c r="GR527">
        <v>1.4010579686228333</v>
      </c>
      <c r="GS527">
        <v>5.7502009929855982</v>
      </c>
      <c r="GT527">
        <v>7.5499667839722377</v>
      </c>
      <c r="GU527"/>
      <c r="GV527"/>
      <c r="GW527"/>
      <c r="GX527"/>
      <c r="GY527"/>
      <c r="GZ527"/>
      <c r="HA527"/>
      <c r="HB527"/>
      <c r="HC527"/>
    </row>
    <row r="528" spans="1:211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59.322774890680407</v>
      </c>
      <c r="AO528">
        <v>7.0991316623753189</v>
      </c>
      <c r="AP528">
        <v>5.0354079282399304</v>
      </c>
      <c r="AQ528">
        <v>49.984725374494083</v>
      </c>
      <c r="AR528">
        <v>7.2454738944532728</v>
      </c>
      <c r="AS528">
        <v>47.102325533124997</v>
      </c>
      <c r="AT528">
        <v>5.8492441168582232</v>
      </c>
      <c r="AU528">
        <v>0.9390602207301324</v>
      </c>
      <c r="AV528"/>
      <c r="AW528"/>
      <c r="FY528" s="211">
        <v>523</v>
      </c>
      <c r="FZ528">
        <v>8.0773850101677152</v>
      </c>
      <c r="GA528">
        <v>6.2472050637883116</v>
      </c>
      <c r="GB528">
        <v>4.2518602056839905</v>
      </c>
      <c r="GC528">
        <v>2.298234493910555</v>
      </c>
      <c r="GD528">
        <v>1.7767834424539606</v>
      </c>
      <c r="GE528">
        <v>2.6314845719054141</v>
      </c>
      <c r="GF528">
        <v>2.2818408452513586</v>
      </c>
      <c r="GG528">
        <v>2.312898740002264</v>
      </c>
      <c r="GH528">
        <v>4.3190467365556682</v>
      </c>
      <c r="GI528">
        <v>4.3541554692470088</v>
      </c>
      <c r="GJ528"/>
      <c r="GK528">
        <v>8.1163086405088976</v>
      </c>
      <c r="GL528">
        <v>5.2923585452057376</v>
      </c>
      <c r="GM528">
        <v>7.0433006514557048</v>
      </c>
      <c r="GN528">
        <v>6.8546904715135923</v>
      </c>
      <c r="GO528">
        <v>6.8985918305070708</v>
      </c>
      <c r="GP528">
        <v>5.0379802026518865</v>
      </c>
      <c r="GQ528">
        <v>2.7961579106280188</v>
      </c>
      <c r="GR528">
        <v>3.2550699476650555</v>
      </c>
      <c r="GS528">
        <v>4.6035477310269277</v>
      </c>
      <c r="GT528">
        <v>5.8915813528253231</v>
      </c>
      <c r="GU528"/>
      <c r="GV528"/>
      <c r="GW528"/>
      <c r="GX528"/>
      <c r="GY528"/>
      <c r="GZ528"/>
      <c r="HA528"/>
      <c r="HB528"/>
      <c r="HC528"/>
    </row>
    <row r="529" spans="1:211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64.156656142948748</v>
      </c>
      <c r="AO529">
        <v>7.9959320641619955</v>
      </c>
      <c r="AP529">
        <v>86.10550450892984</v>
      </c>
      <c r="AQ529">
        <v>52.982887098598951</v>
      </c>
      <c r="AR529">
        <v>8.407002955993967</v>
      </c>
      <c r="AS529">
        <v>49.385611427371757</v>
      </c>
      <c r="AT529" t="e">
        <v>#DIV/0!</v>
      </c>
      <c r="AU529" t="e">
        <v>#DIV/0!</v>
      </c>
      <c r="AV529"/>
      <c r="AW529"/>
      <c r="FY529" s="211">
        <v>524</v>
      </c>
      <c r="FZ529">
        <v>16.469981596757222</v>
      </c>
      <c r="GA529">
        <v>14.539522883700249</v>
      </c>
      <c r="GB529">
        <v>5.6889649084303615</v>
      </c>
      <c r="GC529">
        <v>2.4125698380453802</v>
      </c>
      <c r="GD529">
        <v>1.9427304052219252</v>
      </c>
      <c r="GE529">
        <v>3.4560109841596645</v>
      </c>
      <c r="GF529">
        <v>1.7532871258461631</v>
      </c>
      <c r="GG529">
        <v>1.5256506255449667</v>
      </c>
      <c r="GH529">
        <v>4.6114375489698212</v>
      </c>
      <c r="GI529">
        <v>5.9934996275300483</v>
      </c>
      <c r="GJ529"/>
      <c r="GK529">
        <v>16.538384160899007</v>
      </c>
      <c r="GL529">
        <v>12.318330586018547</v>
      </c>
      <c r="GM529">
        <v>9.4192547556167501</v>
      </c>
      <c r="GN529">
        <v>7.178815596069863</v>
      </c>
      <c r="GO529">
        <v>7.5317832561424654</v>
      </c>
      <c r="GP529">
        <v>6.6165369556913678</v>
      </c>
      <c r="GQ529">
        <v>2.1438404742827033</v>
      </c>
      <c r="GR529">
        <v>2.1438404742827033</v>
      </c>
      <c r="GS529">
        <v>4.9142616406203592</v>
      </c>
      <c r="GT529">
        <v>8.1095048575122579</v>
      </c>
      <c r="GU529"/>
      <c r="GV529"/>
      <c r="GW529"/>
      <c r="GX529"/>
      <c r="GY529"/>
      <c r="GZ529"/>
      <c r="HA529"/>
      <c r="HB529"/>
      <c r="HC529"/>
    </row>
    <row r="530" spans="1:211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59.607125255428777</v>
      </c>
      <c r="AO530">
        <v>6.9167717396521997</v>
      </c>
      <c r="AP530">
        <v>29.585729074146844</v>
      </c>
      <c r="AQ530">
        <v>52.817861726388777</v>
      </c>
      <c r="AR530">
        <v>7.4524050298910076</v>
      </c>
      <c r="AS530">
        <v>48.206869396629294</v>
      </c>
      <c r="AT530" t="e">
        <v>#DIV/0!</v>
      </c>
      <c r="AU530" t="e">
        <v>#DIV/0!</v>
      </c>
      <c r="AV530"/>
      <c r="AW530"/>
      <c r="FY530" s="211">
        <v>525</v>
      </c>
      <c r="FZ530">
        <v>14.655384004965553</v>
      </c>
      <c r="GA530">
        <v>13.043199424400122</v>
      </c>
      <c r="GB530">
        <v>6.0985108509239065</v>
      </c>
      <c r="GC530">
        <v>3.6138768418513387</v>
      </c>
      <c r="GD530">
        <v>2.325922175623365</v>
      </c>
      <c r="GE530">
        <v>3.2606165229138164</v>
      </c>
      <c r="GF530">
        <v>1.1452406677407898</v>
      </c>
      <c r="GG530">
        <v>1.3708865425901917</v>
      </c>
      <c r="GH530">
        <v>5.3073505130946561</v>
      </c>
      <c r="GI530">
        <v>6.0464104403097156</v>
      </c>
      <c r="GJ530"/>
      <c r="GK530">
        <v>14.701254166521844</v>
      </c>
      <c r="GL530">
        <v>11.050241766464396</v>
      </c>
      <c r="GM530">
        <v>10.101514558661327</v>
      </c>
      <c r="GN530">
        <v>10.769147702979835</v>
      </c>
      <c r="GO530">
        <v>9.0270173230895665</v>
      </c>
      <c r="GP530">
        <v>6.2424540376404263</v>
      </c>
      <c r="GQ530">
        <v>1.4010579686228333</v>
      </c>
      <c r="GR530">
        <v>1.9276783389932035</v>
      </c>
      <c r="GS530">
        <v>5.6576127118304722</v>
      </c>
      <c r="GT530">
        <v>8.1776913457452096</v>
      </c>
      <c r="GU530"/>
      <c r="GV530"/>
      <c r="GW530"/>
      <c r="GX530"/>
      <c r="GY530"/>
      <c r="GZ530"/>
      <c r="HA530"/>
      <c r="HB530"/>
      <c r="HC530"/>
    </row>
    <row r="531" spans="1:211" s="7" customFormat="1">
      <c r="A531" s="4"/>
      <c r="B531" s="4"/>
      <c r="C531" s="116">
        <f>C4</f>
        <v>39646</v>
      </c>
      <c r="D531" s="101">
        <f>D70</f>
        <v>77.083333333333329</v>
      </c>
      <c r="E531" s="108">
        <f>E405</f>
        <v>0.1276122407087964</v>
      </c>
      <c r="F531" s="102"/>
      <c r="G531" s="101">
        <f>D531*E531</f>
        <v>9.8367768879697213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68.970629802621801</v>
      </c>
      <c r="AO531">
        <v>8.473321033656191</v>
      </c>
      <c r="AP531">
        <v>85.272981117895966</v>
      </c>
      <c r="AQ531">
        <v>60.70173934646165</v>
      </c>
      <c r="AR531">
        <v>8.7966510074998698</v>
      </c>
      <c r="AS531">
        <v>52.090428097649323</v>
      </c>
      <c r="AT531" t="e">
        <v>#DIV/0!</v>
      </c>
      <c r="AU531" t="e">
        <v>#DIV/0!</v>
      </c>
      <c r="AV531"/>
      <c r="AW531"/>
      <c r="FY531" s="211">
        <v>526</v>
      </c>
      <c r="FZ531">
        <v>7.2608460982189067</v>
      </c>
      <c r="GA531">
        <v>5.0842352269723587</v>
      </c>
      <c r="GB531">
        <v>2.9522373771604467</v>
      </c>
      <c r="GC531">
        <v>2.152654810963214</v>
      </c>
      <c r="GD531">
        <v>2.0005470895265471</v>
      </c>
      <c r="GE531">
        <v>2.2155516838655465</v>
      </c>
      <c r="GF531">
        <v>0.53719420963541664</v>
      </c>
      <c r="GG531">
        <v>1.2161224596354168</v>
      </c>
      <c r="GH531">
        <v>7.6724107156050447</v>
      </c>
      <c r="GI531">
        <v>4.2549042205019436</v>
      </c>
      <c r="GJ531"/>
      <c r="GK531">
        <v>7.2982966799625038</v>
      </c>
      <c r="GL531">
        <v>4.3077218180545156</v>
      </c>
      <c r="GM531">
        <v>4.8905915135682001</v>
      </c>
      <c r="GN531">
        <v>6.4117140428970334</v>
      </c>
      <c r="GO531">
        <v>7.755955254487259</v>
      </c>
      <c r="GP531">
        <v>4.241676215940922</v>
      </c>
      <c r="GQ531">
        <v>0.65827546296296291</v>
      </c>
      <c r="GR531">
        <v>1.7115162037037035</v>
      </c>
      <c r="GS531">
        <v>8.1819283253700377</v>
      </c>
      <c r="GT531">
        <v>5.7570094472701916</v>
      </c>
      <c r="GU531"/>
      <c r="GV531"/>
      <c r="GW531"/>
      <c r="GX531"/>
      <c r="GY531"/>
      <c r="GZ531"/>
      <c r="HA531"/>
      <c r="HB531"/>
      <c r="HC531"/>
    </row>
    <row r="532" spans="1:211" s="7" customFormat="1">
      <c r="A532" s="4"/>
      <c r="B532" s="4"/>
      <c r="C532" s="63"/>
      <c r="D532" s="101"/>
      <c r="E532" s="63"/>
      <c r="F532" s="63"/>
      <c r="G532" s="101"/>
      <c r="H532" s="101">
        <f>E533-E531</f>
        <v>-2.0697933621730516E-2</v>
      </c>
      <c r="I532" s="101">
        <f>AVERAGE(D531:D533)</f>
        <v>55.357142857142861</v>
      </c>
      <c r="J532" s="101">
        <f>I532*H532</f>
        <v>-1.1457784683457966</v>
      </c>
      <c r="K532" s="61">
        <f>J532/(C533-C531)</f>
        <v>-4.2436239568362837E-2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41.030743944967888</v>
      </c>
      <c r="AO532">
        <v>5.2065736819194406</v>
      </c>
      <c r="AP532">
        <v>9.2108970884832093</v>
      </c>
      <c r="AQ532">
        <v>37.352291612102761</v>
      </c>
      <c r="AR532">
        <v>5.8456102800551033</v>
      </c>
      <c r="AS532">
        <v>37.133365109650512</v>
      </c>
      <c r="AT532" t="e">
        <v>#DIV/0!</v>
      </c>
      <c r="AU532" t="e">
        <v>#DIV/0!</v>
      </c>
      <c r="AV532"/>
      <c r="AW532"/>
      <c r="FY532" s="211">
        <v>527</v>
      </c>
      <c r="FZ532">
        <v>9.6731623567216438</v>
      </c>
      <c r="GA532">
        <v>7.1648055625252285</v>
      </c>
      <c r="GB532">
        <v>4.0524724375261485</v>
      </c>
      <c r="GC532">
        <v>3.2385429726291699</v>
      </c>
      <c r="GD532">
        <v>2.3511760363699921</v>
      </c>
      <c r="GE532">
        <v>3.0585248371995308</v>
      </c>
      <c r="GF532">
        <v>1.2627066875430251</v>
      </c>
      <c r="GG532">
        <v>1.7516114509397644</v>
      </c>
      <c r="GH532">
        <v>5.3097684622574111</v>
      </c>
      <c r="GI532">
        <v>4.8447295367548744</v>
      </c>
      <c r="GJ532"/>
      <c r="GK532">
        <v>9.7006726748475991</v>
      </c>
      <c r="GL532">
        <v>6.0716349235490608</v>
      </c>
      <c r="GM532">
        <v>6.7519808819845242</v>
      </c>
      <c r="GN532">
        <v>9.7023679262076499</v>
      </c>
      <c r="GO532">
        <v>9.1161891566880442</v>
      </c>
      <c r="GP532">
        <v>5.8555492757356644</v>
      </c>
      <c r="GQ532">
        <v>1.5473153180354264</v>
      </c>
      <c r="GR532">
        <v>2.4651393921095006</v>
      </c>
      <c r="GS532">
        <v>5.6622243056626553</v>
      </c>
      <c r="GT532">
        <v>6.5556764674436483</v>
      </c>
      <c r="GU532"/>
      <c r="GV532"/>
      <c r="GW532"/>
      <c r="GX532"/>
      <c r="GY532"/>
      <c r="GZ532"/>
      <c r="HA532"/>
      <c r="HB532"/>
      <c r="HC532"/>
    </row>
    <row r="533" spans="1:211" s="7" customFormat="1">
      <c r="A533" s="4"/>
      <c r="B533" s="4"/>
      <c r="C533" s="117">
        <f>C5</f>
        <v>39673</v>
      </c>
      <c r="D533" s="101">
        <f>D71</f>
        <v>33.630952380952387</v>
      </c>
      <c r="E533" s="108">
        <f>E406</f>
        <v>0.10691430708706588</v>
      </c>
      <c r="F533" s="102"/>
      <c r="G533" s="101">
        <f>D533*E533</f>
        <v>3.5956299704876331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51.235524021016531</v>
      </c>
      <c r="AO533">
        <v>6.015224524595201</v>
      </c>
      <c r="AP533">
        <v>19.583838798261592</v>
      </c>
      <c r="AQ533">
        <v>46.075434802558753</v>
      </c>
      <c r="AR533">
        <v>6.6753337980509588</v>
      </c>
      <c r="AS533">
        <v>44.14611002908434</v>
      </c>
      <c r="AT533" t="e">
        <v>#DIV/0!</v>
      </c>
      <c r="AU533" t="e">
        <v>#DIV/0!</v>
      </c>
      <c r="AV533"/>
      <c r="AW533"/>
      <c r="FY533" s="211">
        <v>528</v>
      </c>
      <c r="FZ533">
        <v>8.3011505394887948</v>
      </c>
      <c r="GA533">
        <v>6.4782299073857255</v>
      </c>
      <c r="GB533">
        <v>6.2066071687865652</v>
      </c>
      <c r="GC533">
        <v>3.4544533955018371</v>
      </c>
      <c r="GD533">
        <v>0.57876546486688307</v>
      </c>
      <c r="GE533">
        <v>0.42439253999999998</v>
      </c>
      <c r="GF533">
        <v>1.0743884192708333</v>
      </c>
      <c r="GG533">
        <v>1.6838618671875001</v>
      </c>
      <c r="GH533">
        <v>5.5992727848755237</v>
      </c>
      <c r="GI533">
        <v>4.1637060817028733</v>
      </c>
      <c r="GJ533"/>
      <c r="GK533">
        <v>8.3382292505284781</v>
      </c>
      <c r="GL533">
        <v>5.4904839459543728</v>
      </c>
      <c r="GM533">
        <v>10.315840304820439</v>
      </c>
      <c r="GN533">
        <v>10.334566861354718</v>
      </c>
      <c r="GO533">
        <v>2.243296895689193</v>
      </c>
      <c r="GP533">
        <v>0.8125</v>
      </c>
      <c r="GQ533">
        <v>1.3165509259259258</v>
      </c>
      <c r="GR533">
        <v>2.3697916666666665</v>
      </c>
      <c r="GS533">
        <v>5.9689171526576006</v>
      </c>
      <c r="GT533">
        <v>5.6365669059243277</v>
      </c>
      <c r="GU533"/>
      <c r="GV533"/>
      <c r="GW533"/>
      <c r="GX533"/>
      <c r="GY533"/>
      <c r="GZ533"/>
      <c r="HA533"/>
      <c r="HB533"/>
      <c r="HC533"/>
    </row>
    <row r="534" spans="1:211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-2.6134463326574806E-2</v>
      </c>
      <c r="I534" s="101">
        <f>AVERAGE(D533:D535)</f>
        <v>41.666666666666671</v>
      </c>
      <c r="J534" s="101">
        <f>I534*H534</f>
        <v>-1.0889359719406171</v>
      </c>
      <c r="K534" s="61">
        <f>J534/(C535-C533)</f>
        <v>-2.6559413949771148E-2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69.006143609206873</v>
      </c>
      <c r="AO534">
        <v>7.6292378956630973</v>
      </c>
      <c r="AP534">
        <v>27.787456818050703</v>
      </c>
      <c r="AQ534">
        <v>58.257023533066089</v>
      </c>
      <c r="AR534">
        <v>7.8547573832727036</v>
      </c>
      <c r="AS534">
        <v>49.026131678206895</v>
      </c>
      <c r="AT534" t="e">
        <v>#DIV/0!</v>
      </c>
      <c r="AU534" t="e">
        <v>#DIV/0!</v>
      </c>
      <c r="AV534"/>
      <c r="AW534"/>
      <c r="FY534" s="211">
        <v>529</v>
      </c>
      <c r="FZ534">
        <v>8.5090391842980768</v>
      </c>
      <c r="GA534">
        <v>8.0536013889733589</v>
      </c>
      <c r="GB534">
        <v>5.7440138427897462</v>
      </c>
      <c r="GC534">
        <v>2.4445480805755389</v>
      </c>
      <c r="GD534">
        <v>1.9168608848688347</v>
      </c>
      <c r="GE534">
        <v>2.8732349602393987</v>
      </c>
      <c r="GF534">
        <v>0.53719420963541664</v>
      </c>
      <c r="GG534">
        <v>1.5903139856770834</v>
      </c>
      <c r="GH534">
        <v>6.0197524424715283</v>
      </c>
      <c r="GI534">
        <v>4.8158731627863594</v>
      </c>
      <c r="GJ534"/>
      <c r="GK534">
        <v>8.5675515069862023</v>
      </c>
      <c r="GL534">
        <v>6.8223339450720815</v>
      </c>
      <c r="GM534">
        <v>9.5123866061327274</v>
      </c>
      <c r="GN534">
        <v>7.2882363571689535</v>
      </c>
      <c r="GO534">
        <v>7.4424566850888105</v>
      </c>
      <c r="GP534">
        <v>5.5008115957799619</v>
      </c>
      <c r="GQ534">
        <v>0.65827546296296291</v>
      </c>
      <c r="GR534">
        <v>2.238136574074074</v>
      </c>
      <c r="GS534">
        <v>6.4186037707633758</v>
      </c>
      <c r="GT534">
        <v>6.5198548063868165</v>
      </c>
      <c r="GU534"/>
      <c r="GV534"/>
      <c r="GW534"/>
      <c r="GX534"/>
      <c r="GY534"/>
      <c r="GZ534"/>
      <c r="HA534"/>
      <c r="HB534"/>
      <c r="HC534"/>
    </row>
    <row r="535" spans="1:211" s="7" customFormat="1">
      <c r="A535" s="4"/>
      <c r="B535" s="4"/>
      <c r="C535" s="117">
        <f>C6</f>
        <v>39714</v>
      </c>
      <c r="D535" s="101">
        <f>D72</f>
        <v>49.702380952380949</v>
      </c>
      <c r="E535" s="108">
        <f>E407</f>
        <v>8.0779843760491077E-2</v>
      </c>
      <c r="F535" s="102"/>
      <c r="G535" s="101">
        <f>D535*E535</f>
        <v>4.0149505678577411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71.19610423409722</v>
      </c>
      <c r="AO535">
        <v>8.3718263235947035</v>
      </c>
      <c r="AP535">
        <v>4.1968341131595359</v>
      </c>
      <c r="AQ535">
        <v>67.417329066864809</v>
      </c>
      <c r="AR535">
        <v>8.6696540786929397</v>
      </c>
      <c r="AS535">
        <v>54.666749567806185</v>
      </c>
      <c r="AT535">
        <v>6.94341007088914</v>
      </c>
      <c r="AU535">
        <v>-3.7331434949905322</v>
      </c>
      <c r="AV535"/>
      <c r="AW535"/>
      <c r="FY535" s="211">
        <v>530</v>
      </c>
      <c r="FZ535">
        <v>15.01526137810095</v>
      </c>
      <c r="GA535">
        <v>12.382908075869874</v>
      </c>
      <c r="GB535">
        <v>5.4099299385905351</v>
      </c>
      <c r="GC535">
        <v>3.4108125427404925</v>
      </c>
      <c r="GD535">
        <v>1.7462768425909092</v>
      </c>
      <c r="GE535">
        <v>1.7278839128571428</v>
      </c>
      <c r="GF535">
        <v>1.6824348773762066</v>
      </c>
      <c r="GG535">
        <v>1.838625950142275</v>
      </c>
      <c r="GH535">
        <v>4.7136405634379663</v>
      </c>
      <c r="GI535">
        <v>5.6034934825990774</v>
      </c>
      <c r="GJ535"/>
      <c r="GK535">
        <v>15.058905310868619</v>
      </c>
      <c r="GL535">
        <v>10.495013074345538</v>
      </c>
      <c r="GM535">
        <v>8.9986259500057511</v>
      </c>
      <c r="GN535">
        <v>10.212221464314249</v>
      </c>
      <c r="GO535">
        <v>6.7693318866164827</v>
      </c>
      <c r="GP535">
        <v>3.3080357142857144</v>
      </c>
      <c r="GQ535">
        <v>2.0593334315857961</v>
      </c>
      <c r="GR535">
        <v>2.5859538019561663</v>
      </c>
      <c r="GS535">
        <v>5.0262289352922842</v>
      </c>
      <c r="GT535">
        <v>7.582485102873787</v>
      </c>
      <c r="GU535"/>
      <c r="GV535"/>
      <c r="GW535"/>
      <c r="GX535"/>
      <c r="GY535"/>
      <c r="GZ535"/>
      <c r="HA535"/>
      <c r="HB535"/>
      <c r="HC535"/>
    </row>
    <row r="536" spans="1:211" s="7" customFormat="1">
      <c r="A536" s="4"/>
      <c r="B536" s="4"/>
      <c r="C536" s="63"/>
      <c r="D536" s="101"/>
      <c r="E536" s="63"/>
      <c r="F536" s="63"/>
      <c r="G536" s="101"/>
      <c r="H536" s="101">
        <f>E537-E535</f>
        <v>3.3805579612985442E-2</v>
      </c>
      <c r="I536" s="101">
        <f>AVERAGE(D535:D537)</f>
        <v>64.840841746329545</v>
      </c>
      <c r="J536" s="101">
        <f>I536*H536</f>
        <v>2.1919822378285336</v>
      </c>
      <c r="K536" s="61">
        <f>J536/(C537-C535)</f>
        <v>6.6423704176622231E-2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63.718162710232662</v>
      </c>
      <c r="AO536">
        <v>8.0081129935303217</v>
      </c>
      <c r="AP536">
        <v>3.7437509022490678</v>
      </c>
      <c r="AQ536">
        <v>59.795932263343296</v>
      </c>
      <c r="AR536">
        <v>8.241168761652041</v>
      </c>
      <c r="AS536">
        <v>51.944883971664495</v>
      </c>
      <c r="AT536">
        <v>6.6812148721710445</v>
      </c>
      <c r="AU536">
        <v>8.2658143613732307</v>
      </c>
      <c r="AV536"/>
      <c r="AW536"/>
      <c r="FY536" s="211">
        <v>531</v>
      </c>
      <c r="FZ536">
        <v>11.54613465448648</v>
      </c>
      <c r="GA536">
        <v>10.463612504184562</v>
      </c>
      <c r="GB536">
        <v>5.6989927627972099</v>
      </c>
      <c r="GC536">
        <v>2.4421975035955326</v>
      </c>
      <c r="GD536">
        <v>1.6960080340512373</v>
      </c>
      <c r="GE536">
        <v>2.7123212461911281</v>
      </c>
      <c r="GF536">
        <v>1.2713471777732464</v>
      </c>
      <c r="GG536">
        <v>1.4321027440345502</v>
      </c>
      <c r="GH536">
        <v>4.2052130076445922</v>
      </c>
      <c r="GI536">
        <v>4.9757290302687611</v>
      </c>
      <c r="GJ536"/>
      <c r="GK536">
        <v>11.610748242295264</v>
      </c>
      <c r="GL536">
        <v>8.8647873290101113</v>
      </c>
      <c r="GM536">
        <v>9.4784936693871309</v>
      </c>
      <c r="GN536">
        <v>7.3311762661942588</v>
      </c>
      <c r="GO536">
        <v>6.5744251845064623</v>
      </c>
      <c r="GP536">
        <v>5.1927421074137916</v>
      </c>
      <c r="GQ536">
        <v>1.5532733446530738</v>
      </c>
      <c r="GR536">
        <v>2.0121853816901107</v>
      </c>
      <c r="GS536">
        <v>4.481956249593714</v>
      </c>
      <c r="GT536">
        <v>6.7397793380871285</v>
      </c>
      <c r="GU536"/>
      <c r="GV536"/>
      <c r="GW536"/>
      <c r="GX536"/>
      <c r="GY536"/>
      <c r="GZ536"/>
      <c r="HA536"/>
      <c r="HB536"/>
      <c r="HC536"/>
    </row>
    <row r="537" spans="1:211" s="7" customFormat="1">
      <c r="A537" s="4"/>
      <c r="B537" s="4"/>
      <c r="C537" s="117">
        <f>C7</f>
        <v>39747</v>
      </c>
      <c r="D537" s="101">
        <f>D73</f>
        <v>79.979302540278155</v>
      </c>
      <c r="E537" s="108">
        <f>E408</f>
        <v>0.11458542337347652</v>
      </c>
      <c r="F537" s="102"/>
      <c r="G537" s="101">
        <f>D537*E537</f>
        <v>9.1644622426931388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63.982458261726222</v>
      </c>
      <c r="AO537">
        <v>7.1836683440750235</v>
      </c>
      <c r="AP537">
        <v>73.506635899324294</v>
      </c>
      <c r="AQ537">
        <v>46.443894533551457</v>
      </c>
      <c r="AR537">
        <v>7.388188726305942</v>
      </c>
      <c r="AS537">
        <v>47.738945593220279</v>
      </c>
      <c r="AT537" t="e">
        <v>#DIV/0!</v>
      </c>
      <c r="AU537" t="e">
        <v>#DIV/0!</v>
      </c>
      <c r="AV537"/>
      <c r="AW537"/>
      <c r="FY537" s="211">
        <v>532</v>
      </c>
      <c r="FZ537">
        <v>10.226608861602141</v>
      </c>
      <c r="GA537">
        <v>10.71258341593747</v>
      </c>
      <c r="GB537">
        <v>5.5487834994598089</v>
      </c>
      <c r="GC537">
        <v>2.20109447990597</v>
      </c>
      <c r="GD537">
        <v>1.0790100547408326</v>
      </c>
      <c r="GE537">
        <v>1.4880216152941177</v>
      </c>
      <c r="GF537">
        <v>0.64770273276041657</v>
      </c>
      <c r="GG537">
        <v>1.5903139856770834</v>
      </c>
      <c r="GH537">
        <v>5.281151559423396</v>
      </c>
      <c r="GI537">
        <v>4.445202924648358</v>
      </c>
      <c r="GJ537"/>
      <c r="GK537">
        <v>10.261393015615294</v>
      </c>
      <c r="GL537">
        <v>9.0765444162095754</v>
      </c>
      <c r="GM537">
        <v>9.1920087090742211</v>
      </c>
      <c r="GN537">
        <v>6.556055580380785</v>
      </c>
      <c r="GO537">
        <v>4.182889778296782</v>
      </c>
      <c r="GP537">
        <v>2.8488190730837792</v>
      </c>
      <c r="GQ537">
        <v>0.79369212962962943</v>
      </c>
      <c r="GR537">
        <v>2.238136574074074</v>
      </c>
      <c r="GS537">
        <v>5.629235134882566</v>
      </c>
      <c r="GT537">
        <v>6.011843753499698</v>
      </c>
      <c r="GU537"/>
      <c r="GV537"/>
      <c r="GW537"/>
      <c r="GX537"/>
      <c r="GY537"/>
      <c r="GZ537"/>
      <c r="HA537"/>
      <c r="HB537"/>
      <c r="HC537"/>
    </row>
    <row r="538" spans="1:211" s="7" customFormat="1">
      <c r="A538" s="4"/>
      <c r="B538" s="4"/>
      <c r="C538" s="63"/>
      <c r="D538" s="101"/>
      <c r="E538" s="63"/>
      <c r="F538" s="63"/>
      <c r="G538" s="101"/>
      <c r="H538" s="101">
        <f>E539-E537</f>
        <v>1.1145766265234919E-3</v>
      </c>
      <c r="I538" s="101">
        <f>AVERAGE(D537:D539)</f>
        <v>53.903341746329559</v>
      </c>
      <c r="J538" s="101">
        <f>I538*H538</f>
        <v>6.0079404801966912E-2</v>
      </c>
      <c r="K538" s="61">
        <f>J538/(C539-C537)</f>
        <v>2.1456930286416756E-3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64.933289745492374</v>
      </c>
      <c r="AO538">
        <v>7.2323115150250743</v>
      </c>
      <c r="AP538">
        <v>86.946350142201368</v>
      </c>
      <c r="AQ538">
        <v>58.97697265629558</v>
      </c>
      <c r="AR538">
        <v>7.5499667839722395</v>
      </c>
      <c r="AS538">
        <v>44.904705447664242</v>
      </c>
      <c r="AT538" t="e">
        <v>#DIV/0!</v>
      </c>
      <c r="AU538" t="e">
        <v>#DIV/0!</v>
      </c>
      <c r="AV538"/>
      <c r="AW538"/>
      <c r="FY538" s="211">
        <v>533</v>
      </c>
      <c r="FZ538">
        <v>14.783141211802302</v>
      </c>
      <c r="GA538">
        <v>10.838249680086228</v>
      </c>
      <c r="GB538">
        <v>5.4594062003786057</v>
      </c>
      <c r="GC538">
        <v>3.3275386606958701</v>
      </c>
      <c r="GD538">
        <v>1.7345051993391474</v>
      </c>
      <c r="GE538">
        <v>2.28011119358804</v>
      </c>
      <c r="GF538">
        <v>2.912442786941424</v>
      </c>
      <c r="GG538">
        <v>3.2837954587926377</v>
      </c>
      <c r="GH538">
        <v>5.5735200193539516</v>
      </c>
      <c r="GI538">
        <v>5.9337420501259164</v>
      </c>
      <c r="GJ538"/>
      <c r="GK538">
        <v>14.838246093713467</v>
      </c>
      <c r="GL538">
        <v>9.1853571878794824</v>
      </c>
      <c r="GM538">
        <v>9.0790556017429367</v>
      </c>
      <c r="GN538">
        <v>9.9686683190146343</v>
      </c>
      <c r="GO538">
        <v>6.7346668604133253</v>
      </c>
      <c r="GP538">
        <v>4.3652754706533781</v>
      </c>
      <c r="GQ538">
        <v>3.5665798083973907</v>
      </c>
      <c r="GR538">
        <v>4.6198205491381312</v>
      </c>
      <c r="GS538">
        <v>5.9411564311788618</v>
      </c>
      <c r="GT538">
        <v>8.0319409590891961</v>
      </c>
      <c r="GU538"/>
      <c r="GV538"/>
      <c r="GW538"/>
      <c r="GX538"/>
      <c r="GY538"/>
      <c r="GZ538"/>
      <c r="HA538"/>
      <c r="HB538"/>
      <c r="HC538"/>
    </row>
    <row r="539" spans="1:211" s="7" customFormat="1">
      <c r="A539" s="4"/>
      <c r="B539" s="4"/>
      <c r="C539" s="117">
        <f>C8</f>
        <v>39775</v>
      </c>
      <c r="D539" s="101">
        <f>D74</f>
        <v>27.827380952380956</v>
      </c>
      <c r="E539" s="108">
        <f>E409</f>
        <v>0.11570000000000001</v>
      </c>
      <c r="F539" s="102"/>
      <c r="G539" s="101">
        <f>D539*E539</f>
        <v>3.2196279761904769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46.208823163246592</v>
      </c>
      <c r="AO539">
        <v>5.5789587283988213</v>
      </c>
      <c r="AP539">
        <v>2.9334409560817982</v>
      </c>
      <c r="AQ539">
        <v>38.55089457896625</v>
      </c>
      <c r="AR539">
        <v>5.8915813528253231</v>
      </c>
      <c r="AS539">
        <v>37.176010261121853</v>
      </c>
      <c r="AT539">
        <v>4.7655892587434385</v>
      </c>
      <c r="AU539">
        <v>2.9644476424014226</v>
      </c>
      <c r="AV539"/>
      <c r="AW539"/>
      <c r="FY539" s="211">
        <v>534</v>
      </c>
      <c r="FZ539">
        <v>7.1712232014084378</v>
      </c>
      <c r="GA539">
        <v>8.88246879553604</v>
      </c>
      <c r="GB539">
        <v>7.8211787452237971</v>
      </c>
      <c r="GC539">
        <v>3.002342807074164</v>
      </c>
      <c r="GD539">
        <v>1.3379736511923637</v>
      </c>
      <c r="GE539">
        <v>1.9938929689368767</v>
      </c>
      <c r="GF539">
        <v>2.4530583224531992</v>
      </c>
      <c r="GG539">
        <v>2.1354225829094848</v>
      </c>
      <c r="GH539">
        <v>2.3569781797974105</v>
      </c>
      <c r="GI539">
        <v>4.564419686076957</v>
      </c>
      <c r="GJ539"/>
      <c r="GK539">
        <v>7.2065328219570484</v>
      </c>
      <c r="GL539">
        <v>7.5243891323601906</v>
      </c>
      <c r="GM539">
        <v>12.95121774338044</v>
      </c>
      <c r="GN539">
        <v>8.9451106050910028</v>
      </c>
      <c r="GO539">
        <v>5.1979435389212512</v>
      </c>
      <c r="GP539">
        <v>3.8173103543743072</v>
      </c>
      <c r="GQ539">
        <v>3.0036520708772612</v>
      </c>
      <c r="GR539">
        <v>3.0036520708772612</v>
      </c>
      <c r="GS539">
        <v>2.5118183203101796</v>
      </c>
      <c r="GT539">
        <v>6.1742328990892377</v>
      </c>
      <c r="GU539"/>
      <c r="GV539"/>
      <c r="GW539"/>
      <c r="GX539"/>
      <c r="GY539"/>
      <c r="GZ539"/>
      <c r="HA539"/>
      <c r="HB539"/>
      <c r="HC539"/>
    </row>
    <row r="540" spans="1:211" s="7" customFormat="1">
      <c r="A540" s="4"/>
      <c r="B540" s="4"/>
      <c r="C540" s="63"/>
      <c r="D540" s="101"/>
      <c r="E540" s="63"/>
      <c r="F540" s="63"/>
      <c r="G540" s="101"/>
      <c r="H540" s="101">
        <f>E541-E539</f>
        <v>0</v>
      </c>
      <c r="I540" s="101">
        <f>AVERAGE(D539:D541)</f>
        <v>43.813217676076775</v>
      </c>
      <c r="J540" s="101">
        <f>I540*H540</f>
        <v>0</v>
      </c>
      <c r="K540" s="61">
        <f>J540/(C541-C539)</f>
        <v>0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67.828485467627331</v>
      </c>
      <c r="AO540">
        <v>7.6914552757136025</v>
      </c>
      <c r="AP540">
        <v>84.235838846051251</v>
      </c>
      <c r="AQ540">
        <v>58.393655544205807</v>
      </c>
      <c r="AR540">
        <v>8.1095048575122561</v>
      </c>
      <c r="AS540">
        <v>48.67363293327373</v>
      </c>
      <c r="AT540" t="e">
        <v>#DIV/0!</v>
      </c>
      <c r="AU540" t="e">
        <v>#DIV/0!</v>
      </c>
      <c r="AV540"/>
      <c r="AW540"/>
      <c r="FY540" s="211">
        <v>535</v>
      </c>
      <c r="FZ540">
        <v>14.494225481789007</v>
      </c>
      <c r="GA540">
        <v>12.55154175448471</v>
      </c>
      <c r="GB540">
        <v>3.9539919931825951</v>
      </c>
      <c r="GC540">
        <v>1.6241135667181659</v>
      </c>
      <c r="GD540">
        <v>2.1315933230663138</v>
      </c>
      <c r="GE540">
        <v>3.6082218878024239</v>
      </c>
      <c r="GF540">
        <v>0.11050852312500001</v>
      </c>
      <c r="GG540">
        <v>0</v>
      </c>
      <c r="GH540">
        <v>3.6342431673135032</v>
      </c>
      <c r="GI540">
        <v>4.9331245546325047</v>
      </c>
      <c r="GJ540"/>
      <c r="GK540">
        <v>14.553949711777156</v>
      </c>
      <c r="GL540">
        <v>10.634629917613786</v>
      </c>
      <c r="GM540">
        <v>6.5444042242626717</v>
      </c>
      <c r="GN540">
        <v>4.8401644106621706</v>
      </c>
      <c r="GO540">
        <v>8.2750364215288421</v>
      </c>
      <c r="GP540">
        <v>6.9079449036485636</v>
      </c>
      <c r="GQ540">
        <v>0.13541666666666666</v>
      </c>
      <c r="GR540">
        <v>0</v>
      </c>
      <c r="GS540">
        <v>3.8710994427027172</v>
      </c>
      <c r="GT540">
        <v>6.6759812933876095</v>
      </c>
      <c r="GU540"/>
      <c r="GV540"/>
      <c r="GW540"/>
      <c r="GX540"/>
      <c r="GY540"/>
      <c r="GZ540"/>
      <c r="HA540"/>
      <c r="HB540"/>
      <c r="HC540"/>
    </row>
    <row r="541" spans="1:211" s="7" customFormat="1">
      <c r="A541" s="4"/>
      <c r="B541" s="4"/>
      <c r="C541" s="117">
        <f>C9</f>
        <v>39799</v>
      </c>
      <c r="D541" s="101">
        <f>D75</f>
        <v>59.799054399772594</v>
      </c>
      <c r="E541" s="108">
        <f>E410</f>
        <v>0.11570000000000001</v>
      </c>
      <c r="F541" s="102"/>
      <c r="G541" s="101">
        <f>D541*E541</f>
        <v>6.91875059405369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68.850200039257757</v>
      </c>
      <c r="AO541">
        <v>7.9055669920549123</v>
      </c>
      <c r="AP541">
        <v>20.874765646503565</v>
      </c>
      <c r="AQ541">
        <v>56.867397984413444</v>
      </c>
      <c r="AR541">
        <v>8.1776913457452096</v>
      </c>
      <c r="AS541">
        <v>51.644779607201819</v>
      </c>
      <c r="AT541" t="e">
        <v>#DIV/0!</v>
      </c>
      <c r="AU541" t="e">
        <v>#DIV/0!</v>
      </c>
      <c r="AV541"/>
      <c r="AW541"/>
      <c r="FY541" s="211">
        <v>536</v>
      </c>
      <c r="FZ541">
        <v>19.527732136151435</v>
      </c>
      <c r="GA541">
        <v>21.069916481541451</v>
      </c>
      <c r="GB541">
        <v>6.4804728564138321</v>
      </c>
      <c r="GC541">
        <v>3.3666830258225779</v>
      </c>
      <c r="GD541">
        <v>1.9361938824182463</v>
      </c>
      <c r="GE541">
        <v>2.1262553576196992</v>
      </c>
      <c r="GF541">
        <v>1.0743884192708333</v>
      </c>
      <c r="GG541">
        <v>1.6838618671875001</v>
      </c>
      <c r="GH541">
        <v>7.3933631470548216</v>
      </c>
      <c r="GI541">
        <v>6.9593952847965479</v>
      </c>
      <c r="GJ541"/>
      <c r="GK541">
        <v>19.593249767055951</v>
      </c>
      <c r="GL541">
        <v>17.852217546060011</v>
      </c>
      <c r="GM541">
        <v>10.810505895924209</v>
      </c>
      <c r="GN541">
        <v>10.151019285111051</v>
      </c>
      <c r="GO541">
        <v>7.5166721876499274</v>
      </c>
      <c r="GP541">
        <v>4.0707182978899805</v>
      </c>
      <c r="GQ541">
        <v>1.3165509259259258</v>
      </c>
      <c r="GR541">
        <v>2.3697916666666665</v>
      </c>
      <c r="GS541">
        <v>7.8823759593061684</v>
      </c>
      <c r="GT541">
        <v>9.4238709471724356</v>
      </c>
      <c r="GU541"/>
      <c r="GV541"/>
      <c r="GW541"/>
      <c r="GX541"/>
      <c r="GY541"/>
      <c r="GZ541"/>
      <c r="HA541"/>
      <c r="HB541"/>
      <c r="HC541"/>
    </row>
    <row r="542" spans="1:211" s="7" customFormat="1">
      <c r="A542" s="4"/>
      <c r="B542" s="4"/>
      <c r="C542" s="63"/>
      <c r="D542" s="101"/>
      <c r="E542" s="63"/>
      <c r="F542" s="63"/>
      <c r="G542" s="101"/>
      <c r="H542" s="101">
        <f>E543-E541</f>
        <v>0</v>
      </c>
      <c r="I542" s="101">
        <f>AVERAGE(D541:D543)</f>
        <v>30.420360533219629</v>
      </c>
      <c r="J542" s="101">
        <f>I542*H542</f>
        <v>0</v>
      </c>
      <c r="K542" s="61">
        <f>J542/(C543-C541)</f>
        <v>0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41.926727504599413</v>
      </c>
      <c r="AO542">
        <v>5.1214684964217323</v>
      </c>
      <c r="AP542">
        <v>9.2942542460798041</v>
      </c>
      <c r="AQ542">
        <v>35.34670389208484</v>
      </c>
      <c r="AR542">
        <v>5.7570094472701916</v>
      </c>
      <c r="AS542">
        <v>36.685313245848945</v>
      </c>
      <c r="AT542" t="e">
        <v>#DIV/0!</v>
      </c>
      <c r="AU542" t="e">
        <v>#DIV/0!</v>
      </c>
      <c r="AV542"/>
      <c r="AW542"/>
      <c r="FY542" s="211">
        <v>537</v>
      </c>
      <c r="FZ542">
        <v>10.452486481030574</v>
      </c>
      <c r="GA542">
        <v>12.474790164961137</v>
      </c>
      <c r="GB542">
        <v>6.7558825866774983</v>
      </c>
      <c r="GC542">
        <v>3.1342914135396702</v>
      </c>
      <c r="GD542">
        <v>2.2221352452219261</v>
      </c>
      <c r="GE542">
        <v>3.3145468041596642</v>
      </c>
      <c r="GF542">
        <v>2.9676970485039238</v>
      </c>
      <c r="GG542">
        <v>3.2837954587926377</v>
      </c>
      <c r="GH542">
        <v>3.4785657113032724</v>
      </c>
      <c r="GI542">
        <v>5.568518968275102</v>
      </c>
      <c r="GJ542"/>
      <c r="GK542">
        <v>10.500129827039185</v>
      </c>
      <c r="GL542">
        <v>10.569492146573319</v>
      </c>
      <c r="GM542">
        <v>11.232331425838899</v>
      </c>
      <c r="GN542">
        <v>9.3963038923835605</v>
      </c>
      <c r="GO542">
        <v>8.6151165894758019</v>
      </c>
      <c r="GP542">
        <v>6.3457036223580356</v>
      </c>
      <c r="GQ542">
        <v>3.6342881417307238</v>
      </c>
      <c r="GR542">
        <v>4.6198205491381312</v>
      </c>
      <c r="GS542">
        <v>3.7112030695078642</v>
      </c>
      <c r="GT542">
        <v>7.5386138107184948</v>
      </c>
      <c r="GU542"/>
      <c r="GV542"/>
      <c r="GW542"/>
      <c r="GX542"/>
      <c r="GY542"/>
      <c r="GZ542"/>
      <c r="HA542"/>
      <c r="HB542"/>
      <c r="HC542"/>
    </row>
    <row r="543" spans="1:211" s="7" customFormat="1">
      <c r="A543" s="4"/>
      <c r="B543" s="4"/>
      <c r="C543" s="117">
        <f>C10</f>
        <v>39847</v>
      </c>
      <c r="D543" s="101">
        <f>D76</f>
        <v>1.0416666666666665</v>
      </c>
      <c r="E543" s="108">
        <f>E411</f>
        <v>0.11570000000000001</v>
      </c>
      <c r="F543" s="102"/>
      <c r="G543" s="101">
        <f>D543*E543</f>
        <v>0.12052083333333333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51.397799266212267</v>
      </c>
      <c r="AO543">
        <v>6.3428750322263756</v>
      </c>
      <c r="AP543">
        <v>2.9091354431851308</v>
      </c>
      <c r="AQ543">
        <v>42.707500340466787</v>
      </c>
      <c r="AR543">
        <v>6.5556764674436483</v>
      </c>
      <c r="AS543">
        <v>41.612021719201316</v>
      </c>
      <c r="AT543">
        <v>5.2881627562267299</v>
      </c>
      <c r="AU543">
        <v>2.7530366104863147</v>
      </c>
      <c r="AV543"/>
      <c r="AW543"/>
      <c r="FY543" s="211">
        <v>538</v>
      </c>
      <c r="FZ543">
        <v>10.917625226308143</v>
      </c>
      <c r="GA543">
        <v>10.847387491501062</v>
      </c>
      <c r="GB543">
        <v>8.4426008910894392</v>
      </c>
      <c r="GC543">
        <v>4.6030962779454248</v>
      </c>
      <c r="GD543">
        <v>1.9422543271820703</v>
      </c>
      <c r="GE543">
        <v>2.2230085428571433</v>
      </c>
      <c r="GF543">
        <v>1.7446466356159418</v>
      </c>
      <c r="GG543">
        <v>1.4709678064085145</v>
      </c>
      <c r="GH543">
        <v>4.2346456029738118</v>
      </c>
      <c r="GI543">
        <v>5.792284578293021</v>
      </c>
      <c r="GJ543"/>
      <c r="GK543">
        <v>10.957535435548353</v>
      </c>
      <c r="GL543">
        <v>9.1913965845333045</v>
      </c>
      <c r="GM543">
        <v>14.056449195389614</v>
      </c>
      <c r="GN543">
        <v>13.834643301035374</v>
      </c>
      <c r="GO543">
        <v>7.5511473214748417</v>
      </c>
      <c r="GP543">
        <v>4.2559523809523823</v>
      </c>
      <c r="GQ543">
        <v>2.137882447665056</v>
      </c>
      <c r="GR543">
        <v>2.0701741143317229</v>
      </c>
      <c r="GS543">
        <v>4.5141136642184749</v>
      </c>
      <c r="GT543">
        <v>7.8434256128592681</v>
      </c>
      <c r="GU543"/>
      <c r="GV543"/>
      <c r="GW543"/>
      <c r="GX543"/>
      <c r="GY543"/>
      <c r="GZ543"/>
      <c r="HA543"/>
      <c r="HB543"/>
      <c r="HC543"/>
    </row>
    <row r="544" spans="1:211" s="7" customFormat="1">
      <c r="A544" s="4"/>
      <c r="B544" s="4"/>
      <c r="C544" s="63"/>
      <c r="D544" s="101"/>
      <c r="E544" s="63"/>
      <c r="F544" s="63"/>
      <c r="G544" s="101"/>
      <c r="H544" s="101">
        <f>E545-E543</f>
        <v>-3.1869352592445568E-2</v>
      </c>
      <c r="I544" s="101">
        <f>AVERAGE(D543:D545)</f>
        <v>37.423258856682772</v>
      </c>
      <c r="J544" s="101">
        <f>I544*H544</f>
        <v>-1.1926550316619846</v>
      </c>
      <c r="K544" s="61">
        <f>J544/(C545-C543)</f>
        <v>-1.893103224860293E-2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45.187912865693207</v>
      </c>
      <c r="AO544">
        <v>5.2826743909521721</v>
      </c>
      <c r="AP544">
        <v>17.498706645176679</v>
      </c>
      <c r="AQ544">
        <v>37.964828169066536</v>
      </c>
      <c r="AR544">
        <v>5.6365669059243277</v>
      </c>
      <c r="AS544">
        <v>35.638224803352252</v>
      </c>
      <c r="AT544" t="e">
        <v>#DIV/0!</v>
      </c>
      <c r="AU544" t="e">
        <v>#DIV/0!</v>
      </c>
      <c r="AV544"/>
      <c r="AW544"/>
      <c r="FY544" s="211">
        <v>539</v>
      </c>
      <c r="FZ544">
        <v>8.1545435393158332</v>
      </c>
      <c r="GA544">
        <v>8.0421129077789946</v>
      </c>
      <c r="GB544">
        <v>6.4960800127218281</v>
      </c>
      <c r="GC544">
        <v>3.3732745469088954</v>
      </c>
      <c r="GD544">
        <v>1.6613665739056367</v>
      </c>
      <c r="GE544">
        <v>1.560398637619699</v>
      </c>
      <c r="GF544">
        <v>2.912442786941424</v>
      </c>
      <c r="GG544">
        <v>2.535412406709304</v>
      </c>
      <c r="GH544">
        <v>3.5071833577169609</v>
      </c>
      <c r="GI544">
        <v>4.8381611262404505</v>
      </c>
      <c r="GJ544"/>
      <c r="GK544">
        <v>8.2059694943483699</v>
      </c>
      <c r="GL544">
        <v>6.8137738339064375</v>
      </c>
      <c r="GM544">
        <v>10.759136064789326</v>
      </c>
      <c r="GN544">
        <v>10.080388293331286</v>
      </c>
      <c r="GO544">
        <v>6.4817860270050458</v>
      </c>
      <c r="GP544">
        <v>2.987384964556647</v>
      </c>
      <c r="GQ544">
        <v>3.5665798083973907</v>
      </c>
      <c r="GR544">
        <v>3.5665798083973907</v>
      </c>
      <c r="GS544">
        <v>3.7380006505198433</v>
      </c>
      <c r="GT544">
        <v>6.5502944090119959</v>
      </c>
      <c r="GU544"/>
      <c r="GV544"/>
      <c r="GW544"/>
      <c r="GX544"/>
      <c r="GY544"/>
      <c r="GZ544"/>
      <c r="HA544"/>
      <c r="HB544"/>
      <c r="HC544"/>
    </row>
    <row r="545" spans="1:211" s="7" customFormat="1">
      <c r="A545" s="4"/>
      <c r="B545" s="4"/>
      <c r="C545" s="117">
        <f>C11</f>
        <v>39910</v>
      </c>
      <c r="D545" s="101">
        <f>D77</f>
        <v>73.804851046698872</v>
      </c>
      <c r="E545" s="108">
        <f>E412</f>
        <v>8.3830647407554443E-2</v>
      </c>
      <c r="F545" s="102"/>
      <c r="G545" s="101">
        <f>D545*E545</f>
        <v>6.1871084450628882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50.632225381387116</v>
      </c>
      <c r="AO545">
        <v>6.0968647310415971</v>
      </c>
      <c r="AP545">
        <v>11.169187128462568</v>
      </c>
      <c r="AQ545">
        <v>42.504432142315352</v>
      </c>
      <c r="AR545">
        <v>6.5198548063868156</v>
      </c>
      <c r="AS545">
        <v>43.10125278850515</v>
      </c>
      <c r="AT545" t="e">
        <v>#DIV/0!</v>
      </c>
      <c r="AU545" t="e">
        <v>#DIV/0!</v>
      </c>
      <c r="AV545"/>
      <c r="AW545"/>
      <c r="FY545" s="211">
        <v>540</v>
      </c>
      <c r="FZ545">
        <v>9.0058200145181111</v>
      </c>
      <c r="GA545">
        <v>9.5116265593437994</v>
      </c>
      <c r="GB545">
        <v>7.9806464790821838</v>
      </c>
      <c r="GC545">
        <v>4.0350454028912708</v>
      </c>
      <c r="GD545">
        <v>2.2556396309578872</v>
      </c>
      <c r="GE545">
        <v>3.155160527270862</v>
      </c>
      <c r="GF545">
        <v>3.0385492969738808</v>
      </c>
      <c r="GG545">
        <v>2.9708201341953293</v>
      </c>
      <c r="GH545">
        <v>5.9159096629234229</v>
      </c>
      <c r="GI545">
        <v>6.0693555425729908</v>
      </c>
      <c r="GJ545"/>
      <c r="GK545">
        <v>9.0333291948272496</v>
      </c>
      <c r="GL545">
        <v>8.0577297402559545</v>
      </c>
      <c r="GM545">
        <v>13.21130095132923</v>
      </c>
      <c r="GN545">
        <v>12.013646317607588</v>
      </c>
      <c r="GO545">
        <v>8.754511580570572</v>
      </c>
      <c r="GP545">
        <v>6.0405584141690509</v>
      </c>
      <c r="GQ545">
        <v>3.718795184427631</v>
      </c>
      <c r="GR545">
        <v>4.1777072214646678</v>
      </c>
      <c r="GS545">
        <v>6.3068707026980517</v>
      </c>
      <c r="GT545">
        <v>8.2049615227705459</v>
      </c>
      <c r="GU545"/>
      <c r="GV545"/>
      <c r="GW545"/>
      <c r="GX545"/>
      <c r="GY545"/>
      <c r="GZ545"/>
      <c r="HA545"/>
      <c r="HB545"/>
      <c r="HC545"/>
    </row>
    <row r="546" spans="1:211" s="7" customFormat="1">
      <c r="A546" s="4"/>
      <c r="B546" s="4"/>
      <c r="C546" s="63"/>
      <c r="D546" s="101"/>
      <c r="E546" s="63"/>
      <c r="F546" s="63"/>
      <c r="G546" s="101"/>
      <c r="H546" s="101">
        <f>E547-E545</f>
        <v>3.1869352592445568E-2</v>
      </c>
      <c r="I546" s="101">
        <f>AVERAGE(D545:D547)</f>
        <v>40.95335144927536</v>
      </c>
      <c r="J546" s="101">
        <f>I546*H546</f>
        <v>1.3051567971792981</v>
      </c>
      <c r="K546" s="61">
        <f>J546/(C547-C545)</f>
        <v>3.3465558902033288E-2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59.272893684716585</v>
      </c>
      <c r="AO546">
        <v>7.2096134672144387</v>
      </c>
      <c r="AP546">
        <v>27.060054888533109</v>
      </c>
      <c r="AQ546">
        <v>53.531267564305438</v>
      </c>
      <c r="AR546">
        <v>7.5824851028737861</v>
      </c>
      <c r="AS546">
        <v>47.382184698763652</v>
      </c>
      <c r="AT546" t="e">
        <v>#DIV/0!</v>
      </c>
      <c r="AU546" t="e">
        <v>#DIV/0!</v>
      </c>
      <c r="AV546"/>
      <c r="AW546"/>
      <c r="FY546" s="211">
        <v>541</v>
      </c>
      <c r="FZ546">
        <v>9.0961752842307106</v>
      </c>
      <c r="GA546">
        <v>8.7778973308127064</v>
      </c>
      <c r="GB546">
        <v>7.3974137075288775</v>
      </c>
      <c r="GC546">
        <v>4.224970425427113</v>
      </c>
      <c r="GD546">
        <v>2.6608439808585409</v>
      </c>
      <c r="GE546">
        <v>3.536847658445379</v>
      </c>
      <c r="GF546">
        <v>2.4165878455140364</v>
      </c>
      <c r="GG546">
        <v>2.8029892866247419</v>
      </c>
      <c r="GH546">
        <v>8.5770279019731568</v>
      </c>
      <c r="GI546">
        <v>6.4828978351607862</v>
      </c>
      <c r="GJ546"/>
      <c r="GK546">
        <v>9.1309411367233064</v>
      </c>
      <c r="GL546">
        <v>7.4387089912295616</v>
      </c>
      <c r="GM546">
        <v>12.290914597211723</v>
      </c>
      <c r="GN546">
        <v>12.654841022695098</v>
      </c>
      <c r="GO546">
        <v>10.337327134309065</v>
      </c>
      <c r="GP546">
        <v>6.7712988604532729</v>
      </c>
      <c r="GQ546">
        <v>2.9543313132759068</v>
      </c>
      <c r="GR546">
        <v>3.9398637206833147</v>
      </c>
      <c r="GS546">
        <v>9.1448711723649829</v>
      </c>
      <c r="GT546">
        <v>8.7716770707769989</v>
      </c>
      <c r="GU546"/>
      <c r="GV546"/>
      <c r="GW546"/>
      <c r="GX546"/>
      <c r="GY546"/>
      <c r="GZ546"/>
      <c r="HA546"/>
      <c r="HB546"/>
      <c r="HC546"/>
    </row>
    <row r="547" spans="1:211" s="7" customFormat="1">
      <c r="A547" s="4"/>
      <c r="B547" s="4"/>
      <c r="C547" s="117">
        <f>C12</f>
        <v>39949</v>
      </c>
      <c r="D547" s="101">
        <f>D78</f>
        <v>8.1018518518518512</v>
      </c>
      <c r="E547" s="108">
        <f>E413</f>
        <v>0.11570000000000001</v>
      </c>
      <c r="F547" s="102"/>
      <c r="G547" s="101">
        <f>D547*E547</f>
        <v>0.93738425925925928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53.579722691028849</v>
      </c>
      <c r="AO547">
        <v>6.3839567112831048</v>
      </c>
      <c r="AP547">
        <v>5.4969312919708715</v>
      </c>
      <c r="AQ547">
        <v>46.4436586650273</v>
      </c>
      <c r="AR547">
        <v>6.7397793380871303</v>
      </c>
      <c r="AS547">
        <v>38.629301049339844</v>
      </c>
      <c r="AT547">
        <v>5.352334570905664</v>
      </c>
      <c r="AU547">
        <v>3.388653508050286</v>
      </c>
      <c r="AV547"/>
      <c r="AW547"/>
      <c r="FY547" s="211">
        <v>542</v>
      </c>
      <c r="FZ547">
        <v>11.876472868097281</v>
      </c>
      <c r="GA547">
        <v>8.6679991426752974</v>
      </c>
      <c r="GB547">
        <v>7.0592770139279937</v>
      </c>
      <c r="GC547">
        <v>3.9396160424437481</v>
      </c>
      <c r="GD547">
        <v>1.475125557400282</v>
      </c>
      <c r="GE547">
        <v>1.1703693496511627</v>
      </c>
      <c r="GF547">
        <v>2.9194002836186588</v>
      </c>
      <c r="GG547">
        <v>2.9161373150588759</v>
      </c>
      <c r="GH547">
        <v>7.5828014434237945</v>
      </c>
      <c r="GI547">
        <v>6.0683792628122024</v>
      </c>
      <c r="GJ547"/>
      <c r="GK547">
        <v>11.927584021850947</v>
      </c>
      <c r="GL547">
        <v>7.3447921572094295</v>
      </c>
      <c r="GM547">
        <v>11.767903299023468</v>
      </c>
      <c r="GN547">
        <v>11.861212929719848</v>
      </c>
      <c r="GO547">
        <v>5.7392099286811984</v>
      </c>
      <c r="GP547">
        <v>2.240673449612403</v>
      </c>
      <c r="GQ547">
        <v>3.5774204911433167</v>
      </c>
      <c r="GR547">
        <v>4.1040408615136865</v>
      </c>
      <c r="GS547">
        <v>8.0825922813185969</v>
      </c>
      <c r="GT547">
        <v>8.2189420044035035</v>
      </c>
      <c r="GU547"/>
      <c r="GV547"/>
      <c r="GW547"/>
      <c r="GX547"/>
      <c r="GY547"/>
      <c r="GZ547"/>
      <c r="HA547"/>
      <c r="HB547"/>
      <c r="HC547"/>
    </row>
    <row r="548" spans="1:211" s="7" customFormat="1">
      <c r="A548" s="4"/>
      <c r="B548" s="4"/>
      <c r="C548" s="63"/>
      <c r="D548" s="101"/>
      <c r="E548" s="63"/>
      <c r="F548" s="63"/>
      <c r="G548" s="101"/>
      <c r="H548" s="101">
        <f>E549-E547</f>
        <v>-1.9942303665845776E-2</v>
      </c>
      <c r="I548" s="101">
        <f>AVERAGE(D547:D549)</f>
        <v>47.928913557480904</v>
      </c>
      <c r="J548" s="101">
        <f>I548*H548</f>
        <v>-0.95581294853735677</v>
      </c>
      <c r="K548" s="61">
        <f>J548/(C549-C547)</f>
        <v>-2.515297232993044E-2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48.954101558468956</v>
      </c>
      <c r="AO548">
        <v>5.6790618164746407</v>
      </c>
      <c r="AP548">
        <v>2.4988655908310378</v>
      </c>
      <c r="AQ548">
        <v>43.220473129449587</v>
      </c>
      <c r="AR548">
        <v>6.011843753499698</v>
      </c>
      <c r="AS548">
        <v>38.653280903736778</v>
      </c>
      <c r="AT548">
        <v>4.8444092854887124</v>
      </c>
      <c r="AU548">
        <v>3.6706661644642047</v>
      </c>
      <c r="AV548"/>
      <c r="AW548"/>
      <c r="FY548" s="211">
        <v>543</v>
      </c>
      <c r="FZ548">
        <v>13.173308026682797</v>
      </c>
      <c r="GA548">
        <v>11.622760306234674</v>
      </c>
      <c r="GB548">
        <v>6.492239369304321</v>
      </c>
      <c r="GC548">
        <v>2.7447955960041406</v>
      </c>
      <c r="GD548">
        <v>1.4108033022408326</v>
      </c>
      <c r="GE548">
        <v>1.8164206045798319</v>
      </c>
      <c r="GF548">
        <v>2.9693800420569096</v>
      </c>
      <c r="GG548">
        <v>2.9577533695795171</v>
      </c>
      <c r="GH548">
        <v>5.5532110855002923</v>
      </c>
      <c r="GI548">
        <v>5.7682550741163263</v>
      </c>
      <c r="GJ548"/>
      <c r="GK548">
        <v>13.232299767814494</v>
      </c>
      <c r="GL548">
        <v>9.8482736107684836</v>
      </c>
      <c r="GM548">
        <v>10.792832778400362</v>
      </c>
      <c r="GN548">
        <v>8.2335315748824325</v>
      </c>
      <c r="GO548">
        <v>5.469348111630115</v>
      </c>
      <c r="GP548">
        <v>3.4775393111790169</v>
      </c>
      <c r="GQ548">
        <v>3.6294054856024438</v>
      </c>
      <c r="GR548">
        <v>4.156025855972814</v>
      </c>
      <c r="GS548">
        <v>5.9185437334839097</v>
      </c>
      <c r="GT548">
        <v>7.8084859753862634</v>
      </c>
      <c r="GU548"/>
      <c r="GV548"/>
      <c r="GW548"/>
      <c r="GX548"/>
      <c r="GY548"/>
      <c r="GZ548"/>
      <c r="HA548"/>
      <c r="HB548"/>
      <c r="HC548"/>
    </row>
    <row r="549" spans="1:211" s="7" customFormat="1">
      <c r="A549" s="4"/>
      <c r="B549" s="4"/>
      <c r="C549" s="117">
        <f>C13</f>
        <v>39987</v>
      </c>
      <c r="D549" s="101">
        <f>D79</f>
        <v>87.75597526310996</v>
      </c>
      <c r="E549" s="108">
        <f>E414</f>
        <v>9.5757696334154235E-2</v>
      </c>
      <c r="F549" s="102"/>
      <c r="G549" s="101">
        <f>D549*E549</f>
        <v>8.4033100307524347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63.587090419711828</v>
      </c>
      <c r="AO549">
        <v>7.6330767281220817</v>
      </c>
      <c r="AP549">
        <v>44.40114674430739</v>
      </c>
      <c r="AQ549">
        <v>56.126452461104122</v>
      </c>
      <c r="AR549">
        <v>8.0319409590891961</v>
      </c>
      <c r="AS549">
        <v>53.735434978309513</v>
      </c>
      <c r="AT549" t="e">
        <v>#DIV/0!</v>
      </c>
      <c r="AU549" t="e">
        <v>#DIV/0!</v>
      </c>
      <c r="AV549"/>
      <c r="AW549"/>
      <c r="FY549" s="211">
        <v>544</v>
      </c>
      <c r="FZ549">
        <v>11.959522859197225</v>
      </c>
      <c r="GA549">
        <v>15.07136135941257</v>
      </c>
      <c r="GB549">
        <v>7.5222882103445325</v>
      </c>
      <c r="GC549">
        <v>2.7186041350964705</v>
      </c>
      <c r="GD549">
        <v>2.8645245208557411</v>
      </c>
      <c r="GE549">
        <v>4.0598814744537819</v>
      </c>
      <c r="GF549">
        <v>1.8933086292330903</v>
      </c>
      <c r="GG549">
        <v>1.974125117646804</v>
      </c>
      <c r="GH549">
        <v>4.009190264781239</v>
      </c>
      <c r="GI549">
        <v>6.2359204753724411</v>
      </c>
      <c r="GJ549"/>
      <c r="GK549">
        <v>11.989169364027241</v>
      </c>
      <c r="GL549">
        <v>12.768764901825394</v>
      </c>
      <c r="GM549">
        <v>12.453913540361686</v>
      </c>
      <c r="GN549">
        <v>8.1005852271583443</v>
      </c>
      <c r="GO549">
        <v>11.116822546655424</v>
      </c>
      <c r="GP549">
        <v>7.7726476954418136</v>
      </c>
      <c r="GQ549">
        <v>2.3177372158047973</v>
      </c>
      <c r="GR549">
        <v>2.7766492528418345</v>
      </c>
      <c r="GS549">
        <v>4.2745260194476744</v>
      </c>
      <c r="GT549">
        <v>8.4304337372593654</v>
      </c>
      <c r="GU549"/>
      <c r="GV549"/>
      <c r="GW549"/>
      <c r="GX549"/>
      <c r="GY549"/>
      <c r="GZ549"/>
      <c r="HA549"/>
      <c r="HB549"/>
      <c r="HC549"/>
    </row>
    <row r="550" spans="1:211" s="7" customFormat="1">
      <c r="A550" s="4"/>
      <c r="B550" s="4"/>
      <c r="C550" s="63"/>
      <c r="D550" s="101"/>
      <c r="E550" s="63"/>
      <c r="F550" s="63"/>
      <c r="G550" s="101"/>
      <c r="H550" s="101">
        <f>E551-E549</f>
        <v>-9.5757696334154235E-2</v>
      </c>
      <c r="I550" s="101">
        <f>AVERAGE(D549:D551)</f>
        <v>43.87798763155498</v>
      </c>
      <c r="J550" s="101">
        <f>I550*H550</f>
        <v>-4.2016550153762173</v>
      </c>
      <c r="K550" s="61">
        <f>J550/(C551-C549)</f>
        <v>1.0507552493000768E-4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53.181724905686835</v>
      </c>
      <c r="AO550">
        <v>6.033585955723817</v>
      </c>
      <c r="AP550">
        <v>68.025579583780939</v>
      </c>
      <c r="AQ550">
        <v>41.718958940608736</v>
      </c>
      <c r="AR550">
        <v>6.174232899089235</v>
      </c>
      <c r="AS550">
        <v>37.702722971525503</v>
      </c>
      <c r="AT550" t="e">
        <v>#DIV/0!</v>
      </c>
      <c r="AU550" t="e">
        <v>#DIV/0!</v>
      </c>
      <c r="AV550"/>
      <c r="AW550"/>
      <c r="FY550" s="211">
        <v>545</v>
      </c>
      <c r="FZ550">
        <v>15.795458980324032</v>
      </c>
      <c r="GA550">
        <v>9.7818839894150553</v>
      </c>
      <c r="GB550">
        <v>3.3742101644925797</v>
      </c>
      <c r="GC550">
        <v>2.403661946741634</v>
      </c>
      <c r="GD550">
        <v>1.8668361209298432</v>
      </c>
      <c r="GE550">
        <v>2.5617552748739492</v>
      </c>
      <c r="GF550">
        <v>1.20049492930329</v>
      </c>
      <c r="GG550">
        <v>1.3708865425901917</v>
      </c>
      <c r="GH550">
        <v>3.7552044543599674</v>
      </c>
      <c r="GI550">
        <v>5.0480353133837772</v>
      </c>
      <c r="GJ550"/>
      <c r="GK550">
        <v>15.870575130253361</v>
      </c>
      <c r="GL550">
        <v>8.2897207390204937</v>
      </c>
      <c r="GM550">
        <v>5.586176922787808</v>
      </c>
      <c r="GN550">
        <v>7.1607795322267371</v>
      </c>
      <c r="GO550">
        <v>7.2470079792357449</v>
      </c>
      <c r="GP550">
        <v>4.9044833842627957</v>
      </c>
      <c r="GQ550">
        <v>1.4687663019561665</v>
      </c>
      <c r="GR550">
        <v>1.9276783389932035</v>
      </c>
      <c r="GS550">
        <v>4.0013815376754955</v>
      </c>
      <c r="GT550">
        <v>6.834781574381716</v>
      </c>
      <c r="GU550"/>
      <c r="GV550"/>
      <c r="GW550"/>
      <c r="GX550"/>
      <c r="GY550"/>
      <c r="GZ550"/>
      <c r="HA550"/>
      <c r="HB550"/>
      <c r="HC550"/>
    </row>
    <row r="551" spans="1:211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54.31778197269157</v>
      </c>
      <c r="AO551">
        <v>6.2438626992250175</v>
      </c>
      <c r="AP551">
        <v>45.976571841987649</v>
      </c>
      <c r="AQ551">
        <v>47.04156425211422</v>
      </c>
      <c r="AR551">
        <v>6.6759812933876104</v>
      </c>
      <c r="AS551">
        <v>41.905520755661904</v>
      </c>
      <c r="AT551" t="e">
        <v>#DIV/0!</v>
      </c>
      <c r="AU551" t="e">
        <v>#DIV/0!</v>
      </c>
      <c r="AV551"/>
      <c r="AW551"/>
      <c r="FY551" s="211">
        <v>546</v>
      </c>
      <c r="FZ551">
        <v>16.063947826010939</v>
      </c>
      <c r="GA551">
        <v>10.310285604059207</v>
      </c>
      <c r="GB551">
        <v>4.7641356311832785</v>
      </c>
      <c r="GC551">
        <v>2.984049791170992</v>
      </c>
      <c r="GD551">
        <v>1.8673912634538345</v>
      </c>
      <c r="GE551">
        <v>2.9952496061911278</v>
      </c>
      <c r="GF551">
        <v>1.8380543676705907</v>
      </c>
      <c r="GG551">
        <v>1.974125117646804</v>
      </c>
      <c r="GH551">
        <v>5.9761951228643673</v>
      </c>
      <c r="GI551">
        <v>5.8944581635106514</v>
      </c>
      <c r="GJ551"/>
      <c r="GK551">
        <v>16.138705859496362</v>
      </c>
      <c r="GL551">
        <v>8.7378461493961392</v>
      </c>
      <c r="GM551">
        <v>7.894281424593439</v>
      </c>
      <c r="GN551">
        <v>8.8846782035031922</v>
      </c>
      <c r="GO551">
        <v>7.2381833897194632</v>
      </c>
      <c r="GP551">
        <v>5.7344087740804568</v>
      </c>
      <c r="GQ551">
        <v>2.2500288824714643</v>
      </c>
      <c r="GR551">
        <v>2.7766492528418345</v>
      </c>
      <c r="GS551">
        <v>6.3722742792005791</v>
      </c>
      <c r="GT551">
        <v>7.9786947670962611</v>
      </c>
      <c r="GU551"/>
      <c r="GV551"/>
      <c r="GW551"/>
      <c r="GX551"/>
      <c r="GY551"/>
      <c r="GZ551"/>
      <c r="HA551"/>
      <c r="HB551"/>
      <c r="HC551"/>
    </row>
    <row r="552" spans="1:211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75.17021100737459</v>
      </c>
      <c r="AO552">
        <v>9.0986972478762347</v>
      </c>
      <c r="AP552">
        <v>19.788974058109805</v>
      </c>
      <c r="AQ552">
        <v>71.618262458276931</v>
      </c>
      <c r="AR552">
        <v>9.4238709471724373</v>
      </c>
      <c r="AS552">
        <v>58.68783701498598</v>
      </c>
      <c r="AT552" t="e">
        <v>#DIV/0!</v>
      </c>
      <c r="AU552" t="e">
        <v>#DIV/0!</v>
      </c>
      <c r="AV552"/>
      <c r="AW552"/>
      <c r="FY552" s="211">
        <v>547</v>
      </c>
      <c r="FZ552">
        <v>11.406288769119506</v>
      </c>
      <c r="GA552">
        <v>10.685564849610589</v>
      </c>
      <c r="GB552">
        <v>7.2596147923230916</v>
      </c>
      <c r="GC552">
        <v>3.3880841192972144</v>
      </c>
      <c r="GD552">
        <v>1.4070109341157255</v>
      </c>
      <c r="GE552">
        <v>1.7194242608970101</v>
      </c>
      <c r="GF552">
        <v>1.223050412887982</v>
      </c>
      <c r="GG552">
        <v>1.8128276523841229</v>
      </c>
      <c r="GH552">
        <v>7.3012919668284857</v>
      </c>
      <c r="GI552">
        <v>5.6503020680101379</v>
      </c>
      <c r="GJ552"/>
      <c r="GK552">
        <v>11.469337221271918</v>
      </c>
      <c r="GL552">
        <v>9.0543898216582779</v>
      </c>
      <c r="GM552">
        <v>12.016743494292825</v>
      </c>
      <c r="GN552">
        <v>10.084340216813001</v>
      </c>
      <c r="GO552">
        <v>5.4648769240899586</v>
      </c>
      <c r="GP552">
        <v>3.291839700996678</v>
      </c>
      <c r="GQ552">
        <v>1.4964056940656674</v>
      </c>
      <c r="GR552">
        <v>2.5496464348064078</v>
      </c>
      <c r="GS552">
        <v>7.7849037443013005</v>
      </c>
      <c r="GT552">
        <v>7.6464534156043351</v>
      </c>
      <c r="GU552"/>
      <c r="GV552"/>
      <c r="GW552"/>
      <c r="GX552"/>
      <c r="GY552"/>
      <c r="GZ552"/>
      <c r="HA552"/>
      <c r="HB552"/>
      <c r="HC552"/>
    </row>
    <row r="553" spans="1:211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61.034256034428743</v>
      </c>
      <c r="AO553">
        <v>7.6163003074764024</v>
      </c>
      <c r="AP553">
        <v>5.2535999926781907</v>
      </c>
      <c r="AQ553">
        <v>53.652709882465402</v>
      </c>
      <c r="AR553">
        <v>7.5386138107184957</v>
      </c>
      <c r="AS553">
        <v>49.65627240982149</v>
      </c>
      <c r="AT553">
        <v>6.0941222494822114</v>
      </c>
      <c r="AU553">
        <v>2.4565363845879178</v>
      </c>
      <c r="AV553"/>
      <c r="AW553"/>
      <c r="FY553" s="211">
        <v>548</v>
      </c>
      <c r="FZ553">
        <v>13.878886469245447</v>
      </c>
      <c r="GA553">
        <v>9.5954587642206839</v>
      </c>
      <c r="GB553">
        <v>5.9737068342578103</v>
      </c>
      <c r="GC553">
        <v>3.0749537634887347</v>
      </c>
      <c r="GD553">
        <v>1.0470180404740259</v>
      </c>
      <c r="GE553">
        <v>1.1670794849999997</v>
      </c>
      <c r="GF553">
        <v>2.4943975906612286</v>
      </c>
      <c r="GG553">
        <v>2.1223558182936726</v>
      </c>
      <c r="GH553">
        <v>5.0743548971185213</v>
      </c>
      <c r="GI553">
        <v>5.3729523052937793</v>
      </c>
      <c r="GJ553"/>
      <c r="GK553">
        <v>13.948779929628383</v>
      </c>
      <c r="GL553">
        <v>8.1305965846593438</v>
      </c>
      <c r="GM553">
        <v>9.8950172954349735</v>
      </c>
      <c r="GN553">
        <v>9.1568901418357083</v>
      </c>
      <c r="GO553">
        <v>4.0588474909272882</v>
      </c>
      <c r="GP553">
        <v>2.2343749999999996</v>
      </c>
      <c r="GQ553">
        <v>3.0496790387187414</v>
      </c>
      <c r="GR553">
        <v>2.9819707053854079</v>
      </c>
      <c r="GS553">
        <v>5.4110668982552479</v>
      </c>
      <c r="GT553">
        <v>7.2726781305929258</v>
      </c>
      <c r="GU553"/>
      <c r="GV553"/>
      <c r="GW553"/>
      <c r="GX553"/>
      <c r="GY553"/>
      <c r="GZ553"/>
      <c r="HA553"/>
      <c r="HB553"/>
      <c r="HC553"/>
    </row>
    <row r="554" spans="1:211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63.655716714986212</v>
      </c>
      <c r="AO554">
        <v>7.6412720058008388</v>
      </c>
      <c r="AP554">
        <v>57.912411861858075</v>
      </c>
      <c r="AQ554">
        <v>52.218517380174582</v>
      </c>
      <c r="AR554">
        <v>7.8434256128592672</v>
      </c>
      <c r="AS554">
        <v>49.420713449246712</v>
      </c>
      <c r="AT554" t="e">
        <v>#DIV/0!</v>
      </c>
      <c r="AU554" t="e">
        <v>#DIV/0!</v>
      </c>
      <c r="AV554"/>
      <c r="AW554"/>
      <c r="FY554" s="211">
        <v>549</v>
      </c>
      <c r="FZ554">
        <v>6.259044926314342</v>
      </c>
      <c r="GA554">
        <v>4.4488956839502869</v>
      </c>
      <c r="GB554">
        <v>3.9253230922675022</v>
      </c>
      <c r="GC554">
        <v>2.5857985799112835</v>
      </c>
      <c r="GD554">
        <v>2.3246723314603286</v>
      </c>
      <c r="GE554">
        <v>3.101347741191129</v>
      </c>
      <c r="GF554">
        <v>2.3596505903985503</v>
      </c>
      <c r="GG554">
        <v>2.3806483237545284</v>
      </c>
      <c r="GH554">
        <v>6.4521327221653593</v>
      </c>
      <c r="GI554">
        <v>4.6712740452999055</v>
      </c>
      <c r="GJ554"/>
      <c r="GK554">
        <v>6.2892714659739193</v>
      </c>
      <c r="GL554">
        <v>3.7694867826836287</v>
      </c>
      <c r="GM554">
        <v>6.5401185780085402</v>
      </c>
      <c r="GN554">
        <v>7.7582715926005621</v>
      </c>
      <c r="GO554">
        <v>9.0134266312233162</v>
      </c>
      <c r="GP554">
        <v>5.9375337740804586</v>
      </c>
      <c r="GQ554">
        <v>2.8915056360708529</v>
      </c>
      <c r="GR554">
        <v>3.3504176731078901</v>
      </c>
      <c r="GS554">
        <v>6.8795705718485722</v>
      </c>
      <c r="GT554">
        <v>6.3227785766250388</v>
      </c>
      <c r="GU554"/>
      <c r="GV554"/>
      <c r="GW554"/>
      <c r="GX554"/>
      <c r="GY554"/>
      <c r="GZ554"/>
      <c r="HA554"/>
      <c r="HB554"/>
      <c r="HC554"/>
    </row>
    <row r="555" spans="1:211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52.711643091814743</v>
      </c>
      <c r="AO555">
        <v>6.2749893354263735</v>
      </c>
      <c r="AP555">
        <v>88.630767840536691</v>
      </c>
      <c r="AQ555">
        <v>43.080975895859027</v>
      </c>
      <c r="AR555">
        <v>6.550294409011995</v>
      </c>
      <c r="AS555">
        <v>41.463194184043665</v>
      </c>
      <c r="AT555" t="e">
        <v>#DIV/0!</v>
      </c>
      <c r="AU555" t="e">
        <v>#DIV/0!</v>
      </c>
      <c r="AV555"/>
      <c r="AW555"/>
      <c r="FY555" s="211">
        <v>550</v>
      </c>
      <c r="FZ555">
        <v>15.224240800298347</v>
      </c>
      <c r="GA555">
        <v>14.367601882298899</v>
      </c>
      <c r="GB555">
        <v>5.1684132957227815</v>
      </c>
      <c r="GC555">
        <v>3.0275278462664805</v>
      </c>
      <c r="GD555">
        <v>2.2809557124915321</v>
      </c>
      <c r="GE555">
        <v>3.1276119948739498</v>
      </c>
      <c r="GF555">
        <v>1.1296426808333333</v>
      </c>
      <c r="GG555">
        <v>0.93547881510416664</v>
      </c>
      <c r="GH555">
        <v>5.2604507687406237</v>
      </c>
      <c r="GI555">
        <v>5.8691692840543706</v>
      </c>
      <c r="GJ555"/>
      <c r="GK555">
        <v>15.274461895291916</v>
      </c>
      <c r="GL555">
        <v>12.174482688804735</v>
      </c>
      <c r="GM555">
        <v>8.5996090788371706</v>
      </c>
      <c r="GN555">
        <v>9.0820885010510377</v>
      </c>
      <c r="GO555">
        <v>8.8534134644989351</v>
      </c>
      <c r="GP555">
        <v>5.9878167175961305</v>
      </c>
      <c r="GQ555">
        <v>1.3842592592592591</v>
      </c>
      <c r="GR555">
        <v>1.3165509259259258</v>
      </c>
      <c r="GS555">
        <v>5.6092784355149741</v>
      </c>
      <c r="GT555">
        <v>7.9442044266804501</v>
      </c>
      <c r="GU555"/>
      <c r="GV555"/>
      <c r="GW555"/>
      <c r="GX555"/>
      <c r="GY555"/>
      <c r="GZ555"/>
      <c r="HA555"/>
      <c r="HB555"/>
      <c r="HC555"/>
    </row>
    <row r="556" spans="1:211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4.366543483971693</v>
      </c>
      <c r="H556" s="63" t="s">
        <v>103</v>
      </c>
      <c r="I556" s="123">
        <f>SUM(J532:J552)+G531</f>
        <v>4.8091578919175468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72.35895711001038</v>
      </c>
      <c r="AO556">
        <v>7.9519410830120538</v>
      </c>
      <c r="AP556">
        <v>5.736498280347174</v>
      </c>
      <c r="AQ556">
        <v>53.938573250729739</v>
      </c>
      <c r="AR556">
        <v>8.2049615227705495</v>
      </c>
      <c r="AS556">
        <v>53.67477626735981</v>
      </c>
      <c r="AT556">
        <v>6.5998415679960614</v>
      </c>
      <c r="AU556">
        <v>4.3812241358833646</v>
      </c>
      <c r="AV556"/>
      <c r="AW556"/>
      <c r="FY556" s="211">
        <v>551</v>
      </c>
      <c r="FZ556">
        <v>14.829482654553441</v>
      </c>
      <c r="GA556">
        <v>12.215945446163962</v>
      </c>
      <c r="GB556">
        <v>4.0471661623217345</v>
      </c>
      <c r="GC556">
        <v>2.6915973632532237</v>
      </c>
      <c r="GD556">
        <v>1.982032288581868</v>
      </c>
      <c r="GE556">
        <v>2.3923819088655467</v>
      </c>
      <c r="GF556">
        <v>3.4426794998996053</v>
      </c>
      <c r="GG556">
        <v>3.3708099579951476</v>
      </c>
      <c r="GH556">
        <v>4.7990617293836682</v>
      </c>
      <c r="GI556">
        <v>5.7078352508797332</v>
      </c>
      <c r="GJ556"/>
      <c r="GK556">
        <v>14.880032077855514</v>
      </c>
      <c r="GL556">
        <v>10.350824375734522</v>
      </c>
      <c r="GM556">
        <v>6.6999372955203889</v>
      </c>
      <c r="GN556">
        <v>8.0194426929544704</v>
      </c>
      <c r="GO556">
        <v>7.6944009390342032</v>
      </c>
      <c r="GP556">
        <v>4.580217882607589</v>
      </c>
      <c r="GQ556">
        <v>4.2140145886144262</v>
      </c>
      <c r="GR556">
        <v>4.7406349589847956</v>
      </c>
      <c r="GS556">
        <v>5.1179784619770503</v>
      </c>
      <c r="GT556">
        <v>7.7212726726003176</v>
      </c>
      <c r="GU556"/>
      <c r="GV556"/>
      <c r="GW556"/>
      <c r="GX556"/>
      <c r="GY556"/>
      <c r="GZ556"/>
      <c r="HA556"/>
      <c r="HB556"/>
      <c r="HC556"/>
    </row>
    <row r="557" spans="1:211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70.389243894929876</v>
      </c>
      <c r="AO557">
        <v>8.3434775019723233</v>
      </c>
      <c r="AP557">
        <v>5.4333048801261192</v>
      </c>
      <c r="AQ557">
        <v>55.973651256576048</v>
      </c>
      <c r="AR557">
        <v>8.7716770707770024</v>
      </c>
      <c r="AS557">
        <v>56.011021737403851</v>
      </c>
      <c r="AT557">
        <v>7.0472002609377222</v>
      </c>
      <c r="AU557">
        <v>0.55558018422672717</v>
      </c>
      <c r="AV557"/>
      <c r="AW557"/>
      <c r="FY557" s="211">
        <v>552</v>
      </c>
      <c r="FZ557">
        <v>11.468976125338362</v>
      </c>
      <c r="GA557">
        <v>11.542797653933116</v>
      </c>
      <c r="GB557">
        <v>5.0585018360642291</v>
      </c>
      <c r="GC557">
        <v>2.146018234903122</v>
      </c>
      <c r="GD557">
        <v>1.2156651050280629</v>
      </c>
      <c r="GE557">
        <v>1.4617573616112958</v>
      </c>
      <c r="GF557">
        <v>2.5340538653162721</v>
      </c>
      <c r="GG557">
        <v>2.0611396168493146</v>
      </c>
      <c r="GH557">
        <v>5.1497843676163928</v>
      </c>
      <c r="GI557">
        <v>4.9086636669137302</v>
      </c>
      <c r="GJ557"/>
      <c r="GK557">
        <v>11.52108738845579</v>
      </c>
      <c r="GL557">
        <v>9.7797690159643391</v>
      </c>
      <c r="GM557">
        <v>8.379144934129652</v>
      </c>
      <c r="GN557">
        <v>6.3997789004091663</v>
      </c>
      <c r="GO557">
        <v>4.7214855964207247</v>
      </c>
      <c r="GP557">
        <v>2.7985361295681064</v>
      </c>
      <c r="GQ557">
        <v>3.1005886626885006</v>
      </c>
      <c r="GR557">
        <v>2.8974636626885006</v>
      </c>
      <c r="GS557">
        <v>5.4888973620990988</v>
      </c>
      <c r="GT557">
        <v>6.6422407887587536</v>
      </c>
      <c r="GU557"/>
      <c r="GV557"/>
      <c r="GW557"/>
      <c r="GX557"/>
      <c r="GY557"/>
      <c r="GZ557"/>
      <c r="HA557"/>
      <c r="HB557"/>
      <c r="HC557"/>
    </row>
    <row r="558" spans="1:211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61.21402714907358</v>
      </c>
      <c r="AO558">
        <v>7.4864371424476399</v>
      </c>
      <c r="AP558">
        <v>45.559234921850738</v>
      </c>
      <c r="AQ558">
        <v>53.675578279109295</v>
      </c>
      <c r="AR558">
        <v>8.2189420044035053</v>
      </c>
      <c r="AS558">
        <v>51.706343054523337</v>
      </c>
      <c r="AT558" t="e">
        <v>#DIV/0!</v>
      </c>
      <c r="AU558" t="e">
        <v>#DIV/0!</v>
      </c>
      <c r="AV558"/>
      <c r="AW558"/>
      <c r="FY558" s="211">
        <v>553</v>
      </c>
      <c r="FZ558">
        <v>12.536346326806429</v>
      </c>
      <c r="GA558">
        <v>14.218376562156923</v>
      </c>
      <c r="GB558">
        <v>7.3837505257351985</v>
      </c>
      <c r="GC558">
        <v>3.7848561210469143</v>
      </c>
      <c r="GD558">
        <v>1.8531208362396749</v>
      </c>
      <c r="GE558">
        <v>2.0201572226196989</v>
      </c>
      <c r="GF558">
        <v>2.8346330417942318</v>
      </c>
      <c r="GG558">
        <v>3.5902374010820397</v>
      </c>
      <c r="GH558">
        <v>3.5473466571850425</v>
      </c>
      <c r="GI558">
        <v>5.8090580955290925</v>
      </c>
      <c r="GJ558"/>
      <c r="GK558">
        <v>12.585916675763754</v>
      </c>
      <c r="GL558">
        <v>12.045903995297886</v>
      </c>
      <c r="GM558">
        <v>12.302612983218825</v>
      </c>
      <c r="GN558">
        <v>11.388736491453287</v>
      </c>
      <c r="GO558">
        <v>7.1945739733642133</v>
      </c>
      <c r="GP558">
        <v>3.8675932978899805</v>
      </c>
      <c r="GQ558">
        <v>3.4712320829545567</v>
      </c>
      <c r="GR558">
        <v>5.0510931940656674</v>
      </c>
      <c r="GS558">
        <v>3.7811799047365255</v>
      </c>
      <c r="GT558">
        <v>7.8671031240075751</v>
      </c>
      <c r="GU558"/>
      <c r="GV558"/>
      <c r="GW558"/>
      <c r="GX558"/>
      <c r="GY558"/>
      <c r="GZ558"/>
      <c r="HA558"/>
      <c r="HB558"/>
      <c r="HC558"/>
    </row>
    <row r="559" spans="1:211" s="7" customFormat="1">
      <c r="A559" s="4"/>
      <c r="B559" s="4"/>
      <c r="C559" s="63"/>
      <c r="D559" s="63"/>
      <c r="E559" s="63" t="s">
        <v>102</v>
      </c>
      <c r="F559" s="101">
        <f>I556/G556</f>
        <v>1.1013649376378736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61.774772900906058</v>
      </c>
      <c r="AO559">
        <v>7.2566286205120338</v>
      </c>
      <c r="AP559">
        <v>47.128929202040268</v>
      </c>
      <c r="AQ559">
        <v>54.508926776299639</v>
      </c>
      <c r="AR559">
        <v>7.808485975386267</v>
      </c>
      <c r="AS559">
        <v>51.004524911228813</v>
      </c>
      <c r="AT559" t="e">
        <v>#DIV/0!</v>
      </c>
      <c r="AU559" t="e">
        <v>#DIV/0!</v>
      </c>
      <c r="AV559"/>
      <c r="AW559"/>
      <c r="FY559" s="211">
        <v>554</v>
      </c>
      <c r="FZ559">
        <v>10.907046484589699</v>
      </c>
      <c r="GA559">
        <v>8.4956498135100809</v>
      </c>
      <c r="GB559">
        <v>5.5095684746134133</v>
      </c>
      <c r="GC559">
        <v>3.3420150320225721</v>
      </c>
      <c r="GD559">
        <v>1.1928603248594836</v>
      </c>
      <c r="GE559">
        <v>1.2141950466112958</v>
      </c>
      <c r="GF559">
        <v>2.4857571004310075</v>
      </c>
      <c r="GG559">
        <v>2.0676729991572205</v>
      </c>
      <c r="GH559">
        <v>2.9599380802825337</v>
      </c>
      <c r="GI559">
        <v>4.5715163454152163</v>
      </c>
      <c r="GJ559"/>
      <c r="GK559">
        <v>10.948967485150744</v>
      </c>
      <c r="GL559">
        <v>7.1990386518217955</v>
      </c>
      <c r="GM559">
        <v>9.1294706289522232</v>
      </c>
      <c r="GN559">
        <v>9.9808772243905199</v>
      </c>
      <c r="GO559">
        <v>4.655763064161321</v>
      </c>
      <c r="GP559">
        <v>2.3245777962347733</v>
      </c>
      <c r="GQ559">
        <v>3.043721012101094</v>
      </c>
      <c r="GR559">
        <v>2.9083043454344271</v>
      </c>
      <c r="GS559">
        <v>3.1578909817351595</v>
      </c>
      <c r="GT559">
        <v>6.1871626344201065</v>
      </c>
      <c r="GU559"/>
      <c r="GV559"/>
      <c r="GW559"/>
      <c r="GX559"/>
      <c r="GY559"/>
      <c r="GZ559"/>
      <c r="HA559"/>
      <c r="HB559"/>
      <c r="HC559"/>
    </row>
    <row r="560" spans="1:211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71.684894042660588</v>
      </c>
      <c r="AO560">
        <v>8.2001249500823583</v>
      </c>
      <c r="AP560">
        <v>3.1918993751270022</v>
      </c>
      <c r="AQ560">
        <v>58.308727046393891</v>
      </c>
      <c r="AR560">
        <v>8.4304337372593654</v>
      </c>
      <c r="AS560">
        <v>57.384428665841703</v>
      </c>
      <c r="AT560">
        <v>6.8425073455659522</v>
      </c>
      <c r="AU560">
        <v>7.385356133637357</v>
      </c>
      <c r="AV560"/>
      <c r="AW560"/>
      <c r="FY560" s="211">
        <v>555</v>
      </c>
      <c r="FZ560">
        <v>15.826580776614756</v>
      </c>
      <c r="GA560">
        <v>7.8571937532407521</v>
      </c>
      <c r="GB560">
        <v>4.3554618968870766</v>
      </c>
      <c r="GC560">
        <v>3.2210598121584022</v>
      </c>
      <c r="GD560">
        <v>1.9610883228209701</v>
      </c>
      <c r="GE560">
        <v>2.5708570661911279</v>
      </c>
      <c r="GF560">
        <v>1.9260074072108988</v>
      </c>
      <c r="GG560">
        <v>1.9063755338945396</v>
      </c>
      <c r="GH560">
        <v>2.6138378743322677</v>
      </c>
      <c r="GI560">
        <v>5.3000721939616717</v>
      </c>
      <c r="GJ560"/>
      <c r="GK560">
        <v>15.897798809641117</v>
      </c>
      <c r="GL560">
        <v>6.6582330541580426</v>
      </c>
      <c r="GM560">
        <v>7.2118680546403802</v>
      </c>
      <c r="GN560">
        <v>9.6038786108145366</v>
      </c>
      <c r="GO560">
        <v>7.6241721669838691</v>
      </c>
      <c r="GP560">
        <v>4.9219087740804568</v>
      </c>
      <c r="GQ560">
        <v>2.3578061570286302</v>
      </c>
      <c r="GR560">
        <v>2.6813015273990004</v>
      </c>
      <c r="GS560">
        <v>2.7875581180687563</v>
      </c>
      <c r="GT560">
        <v>7.1758406612725505</v>
      </c>
      <c r="GU560"/>
      <c r="GV560"/>
      <c r="GW560"/>
      <c r="GX560"/>
      <c r="GY560"/>
      <c r="GZ560"/>
      <c r="HA560"/>
      <c r="HB560"/>
      <c r="HC560"/>
    </row>
    <row r="561" spans="1:211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53.187527516747956</v>
      </c>
      <c r="AO561">
        <v>6.3291351440793511</v>
      </c>
      <c r="AP561">
        <v>3.233482663441166</v>
      </c>
      <c r="AQ561">
        <v>47.158427716414316</v>
      </c>
      <c r="AR561">
        <v>6.834781574381716</v>
      </c>
      <c r="AS561">
        <v>41.3732139889051</v>
      </c>
      <c r="AT561">
        <v>5.4867138844238665</v>
      </c>
      <c r="AU561">
        <v>5.7332789940282272</v>
      </c>
      <c r="AV561"/>
      <c r="AW561"/>
      <c r="FY561" s="211">
        <v>556</v>
      </c>
      <c r="FZ561">
        <v>13.642014773734889</v>
      </c>
      <c r="GA561">
        <v>10.464460085043354</v>
      </c>
      <c r="GB561">
        <v>5.4932710784490322</v>
      </c>
      <c r="GC561">
        <v>3.3314260087235521</v>
      </c>
      <c r="GD561">
        <v>1.9858326465369862</v>
      </c>
      <c r="GE561">
        <v>2.95078176987395</v>
      </c>
      <c r="GF561">
        <v>1.3266014393357464</v>
      </c>
      <c r="GG561">
        <v>1.4321027440345502</v>
      </c>
      <c r="GH561">
        <v>6.4611051288290202</v>
      </c>
      <c r="GI561">
        <v>5.7695904809834424</v>
      </c>
      <c r="GJ561"/>
      <c r="GK561">
        <v>13.685146772711557</v>
      </c>
      <c r="GL561">
        <v>8.8673752777873034</v>
      </c>
      <c r="GM561">
        <v>9.1340593606730138</v>
      </c>
      <c r="GN561">
        <v>9.9795847286207824</v>
      </c>
      <c r="GO561">
        <v>7.7083919078071741</v>
      </c>
      <c r="GP561">
        <v>5.6492750509294627</v>
      </c>
      <c r="GQ561">
        <v>1.620981677986407</v>
      </c>
      <c r="GR561">
        <v>2.0121853816901107</v>
      </c>
      <c r="GS561">
        <v>6.8849825850450648</v>
      </c>
      <c r="GT561">
        <v>7.8067124608446434</v>
      </c>
      <c r="GU561"/>
      <c r="GV561"/>
      <c r="GW561"/>
      <c r="GX561"/>
      <c r="GY561"/>
      <c r="GZ561"/>
      <c r="HA561"/>
      <c r="HB561"/>
      <c r="HC561"/>
    </row>
    <row r="562" spans="1:211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60.358985591442448</v>
      </c>
      <c r="AO562">
        <v>7.4005750982399192</v>
      </c>
      <c r="AP562">
        <v>30.044378894937548</v>
      </c>
      <c r="AQ562">
        <v>54.667892493761798</v>
      </c>
      <c r="AR562">
        <v>7.9786947670962629</v>
      </c>
      <c r="AS562">
        <v>50.539580534701081</v>
      </c>
      <c r="AT562" t="e">
        <v>#DIV/0!</v>
      </c>
      <c r="AU562" t="e">
        <v>#DIV/0!</v>
      </c>
      <c r="AV562"/>
      <c r="AW562"/>
      <c r="FY562" s="211">
        <v>557</v>
      </c>
      <c r="FZ562">
        <v>12.919685638193904</v>
      </c>
      <c r="GA562">
        <v>12.74078379409046</v>
      </c>
      <c r="GB562">
        <v>6.6802105540780508</v>
      </c>
      <c r="GC562">
        <v>2.7313138381929964</v>
      </c>
      <c r="GD562">
        <v>0.97049499563183317</v>
      </c>
      <c r="GE562">
        <v>1.2141950466112956</v>
      </c>
      <c r="GF562">
        <v>1.7602446225233985</v>
      </c>
      <c r="GG562">
        <v>1.532184007852873</v>
      </c>
      <c r="GH562">
        <v>6.4910139013014003</v>
      </c>
      <c r="GI562">
        <v>5.4524093168009538</v>
      </c>
      <c r="GJ562"/>
      <c r="GK562">
        <v>12.94766707607676</v>
      </c>
      <c r="GL562">
        <v>10.797056088206515</v>
      </c>
      <c r="GM562">
        <v>11.066964668460237</v>
      </c>
      <c r="GN562">
        <v>8.1329047133513548</v>
      </c>
      <c r="GO562">
        <v>3.7621455252572993</v>
      </c>
      <c r="GP562">
        <v>2.3245777962347729</v>
      </c>
      <c r="GQ562">
        <v>2.1546811570286302</v>
      </c>
      <c r="GR562">
        <v>2.1546811570286302</v>
      </c>
      <c r="GS562">
        <v>6.924170343908294</v>
      </c>
      <c r="GT562">
        <v>7.3711257541462443</v>
      </c>
      <c r="GU562"/>
      <c r="GV562"/>
      <c r="GW562"/>
      <c r="GX562"/>
      <c r="GY562"/>
      <c r="GZ562"/>
      <c r="HA562"/>
      <c r="HB562"/>
      <c r="HC562"/>
    </row>
    <row r="563" spans="1:211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62.700578268575342</v>
      </c>
      <c r="AO563">
        <v>7.085893666790037</v>
      </c>
      <c r="AP563">
        <v>21.182000700435083</v>
      </c>
      <c r="AQ563">
        <v>51.853459825473863</v>
      </c>
      <c r="AR563">
        <v>7.6464534156043342</v>
      </c>
      <c r="AS563">
        <v>46.591271748697132</v>
      </c>
      <c r="AT563" t="e">
        <v>#DIV/0!</v>
      </c>
      <c r="AU563" t="e">
        <v>#DIV/0!</v>
      </c>
      <c r="AV563"/>
      <c r="AW563"/>
      <c r="FY563" s="211">
        <v>558</v>
      </c>
      <c r="FZ563">
        <v>22.865247146233926</v>
      </c>
      <c r="GA563">
        <v>23.60126301080421</v>
      </c>
      <c r="GB563">
        <v>5.7762221030270382</v>
      </c>
      <c r="GC563">
        <v>2.5970391033220368</v>
      </c>
      <c r="GD563">
        <v>0.98870109283962526</v>
      </c>
      <c r="GE563">
        <v>1.2394565073255814</v>
      </c>
      <c r="GF563">
        <v>2.2196290870116231</v>
      </c>
      <c r="GG563">
        <v>1.9321738316526917</v>
      </c>
      <c r="GH563">
        <v>3.3308957044931118</v>
      </c>
      <c r="GI563">
        <v>6.3009800378114251</v>
      </c>
      <c r="GJ563"/>
      <c r="GK563">
        <v>22.921494586422131</v>
      </c>
      <c r="GL563">
        <v>19.996901178073198</v>
      </c>
      <c r="GM563">
        <v>9.6059913227790563</v>
      </c>
      <c r="GN563">
        <v>7.7890975740550505</v>
      </c>
      <c r="GO563">
        <v>3.8305034742296398</v>
      </c>
      <c r="GP563">
        <v>2.3729408914728682</v>
      </c>
      <c r="GQ563">
        <v>2.7176088945487589</v>
      </c>
      <c r="GR563">
        <v>2.7176088945487589</v>
      </c>
      <c r="GS563">
        <v>3.5514845136616122</v>
      </c>
      <c r="GT563">
        <v>8.5254165583282386</v>
      </c>
      <c r="GU563"/>
      <c r="GV563"/>
      <c r="GW563"/>
      <c r="GX563"/>
      <c r="GY563"/>
      <c r="GZ563"/>
      <c r="HA563"/>
      <c r="HB563"/>
      <c r="HC563"/>
    </row>
    <row r="564" spans="1:211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55.780737342383119</v>
      </c>
      <c r="AO564">
        <v>6.6139901215438019</v>
      </c>
      <c r="AP564">
        <v>66.639038428234684</v>
      </c>
      <c r="AQ564">
        <v>49.801163968053913</v>
      </c>
      <c r="AR564">
        <v>7.2726781305929293</v>
      </c>
      <c r="AS564">
        <v>46.698570682285819</v>
      </c>
      <c r="AT564" t="e">
        <v>#DIV/0!</v>
      </c>
      <c r="AU564" t="e">
        <v>#DIV/0!</v>
      </c>
      <c r="AV564"/>
      <c r="AW564"/>
      <c r="FY564" s="211">
        <v>559</v>
      </c>
      <c r="FZ564">
        <v>18.04765762350609</v>
      </c>
      <c r="GA564">
        <v>17.498924920685212</v>
      </c>
      <c r="GB564">
        <v>4.9497388017306871</v>
      </c>
      <c r="GC564">
        <v>2.5146033294174925</v>
      </c>
      <c r="GD564">
        <v>2.1336994434939416</v>
      </c>
      <c r="GE564">
        <v>3.723022833207934</v>
      </c>
      <c r="GF564">
        <v>2.8898873033567316</v>
      </c>
      <c r="GG564">
        <v>2.4676628229570388</v>
      </c>
      <c r="GH564">
        <v>6.537619455897314</v>
      </c>
      <c r="GI564">
        <v>6.666710749449595</v>
      </c>
      <c r="GJ564"/>
      <c r="GK564">
        <v>18.104131984347912</v>
      </c>
      <c r="GL564">
        <v>14.827898007772156</v>
      </c>
      <c r="GM564">
        <v>8.2003151505070235</v>
      </c>
      <c r="GN564">
        <v>7.4878134031942816</v>
      </c>
      <c r="GO564">
        <v>8.2729695392956319</v>
      </c>
      <c r="GP564">
        <v>7.1277314440575381</v>
      </c>
      <c r="GQ564">
        <v>3.5389404162878888</v>
      </c>
      <c r="GR564">
        <v>3.4712320829545558</v>
      </c>
      <c r="GS564">
        <v>6.9698288787198273</v>
      </c>
      <c r="GT564">
        <v>9.0172371938316562</v>
      </c>
      <c r="GU564"/>
      <c r="GV564"/>
      <c r="GW564"/>
      <c r="GX564"/>
      <c r="GY564"/>
      <c r="GZ564"/>
      <c r="HA564"/>
      <c r="HB564"/>
      <c r="HC564"/>
    </row>
    <row r="565" spans="1:211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47.140363580929829</v>
      </c>
      <c r="AO565">
        <v>5.8752381282222776</v>
      </c>
      <c r="AP565">
        <v>1.8560482948087988</v>
      </c>
      <c r="AQ565">
        <v>38.508788036713213</v>
      </c>
      <c r="AR565">
        <v>6.3227785766250379</v>
      </c>
      <c r="AS565">
        <v>40.772733757901818</v>
      </c>
      <c r="AT565">
        <v>5.0950413110822339</v>
      </c>
      <c r="AU565">
        <v>0.70260988978207184</v>
      </c>
      <c r="AV565"/>
      <c r="AW565"/>
      <c r="FY565" s="211">
        <v>560</v>
      </c>
      <c r="FZ565">
        <v>6.3764266415459403</v>
      </c>
      <c r="GA565">
        <v>5.3497280058000145</v>
      </c>
      <c r="GB565">
        <v>6.8443041416868144</v>
      </c>
      <c r="GC565">
        <v>3.2623262897578398</v>
      </c>
      <c r="GD565">
        <v>2.236430548207887</v>
      </c>
      <c r="GE565">
        <v>3.3420953365565764</v>
      </c>
      <c r="GF565">
        <v>1.7532871258461631</v>
      </c>
      <c r="GG565">
        <v>1.8998421515866333</v>
      </c>
      <c r="GH565">
        <v>5.6598740409733219</v>
      </c>
      <c r="GI565">
        <v>5.1210388366100865</v>
      </c>
      <c r="GJ565"/>
      <c r="GK565">
        <v>6.4093241539167858</v>
      </c>
      <c r="GL565">
        <v>4.5295508142362255</v>
      </c>
      <c r="GM565">
        <v>11.407480553143749</v>
      </c>
      <c r="GN565">
        <v>9.8331685359180252</v>
      </c>
      <c r="GO565">
        <v>8.6800324139039056</v>
      </c>
      <c r="GP565">
        <v>6.398445318930956</v>
      </c>
      <c r="GQ565">
        <v>2.1438404742827033</v>
      </c>
      <c r="GR565">
        <v>2.6704608446530735</v>
      </c>
      <c r="GS565">
        <v>6.0317284344882038</v>
      </c>
      <c r="GT565">
        <v>6.9344812059470708</v>
      </c>
      <c r="GU565"/>
      <c r="GV565"/>
      <c r="GW565"/>
      <c r="GX565"/>
      <c r="GY565"/>
      <c r="GZ565"/>
      <c r="HA565"/>
      <c r="HB565"/>
      <c r="HC565"/>
    </row>
    <row r="566" spans="1:211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62.757465507901351</v>
      </c>
      <c r="AO566">
        <v>7.6226165393460548</v>
      </c>
      <c r="AP566">
        <v>67.701795344437258</v>
      </c>
      <c r="AQ566">
        <v>56.391093080684492</v>
      </c>
      <c r="AR566">
        <v>7.9442044266804537</v>
      </c>
      <c r="AS566">
        <v>48.693118413915364</v>
      </c>
      <c r="AT566" t="e">
        <v>#DIV/0!</v>
      </c>
      <c r="AU566" t="e">
        <v>#DIV/0!</v>
      </c>
      <c r="AV566"/>
      <c r="AW566"/>
      <c r="FY566" s="211">
        <v>561</v>
      </c>
      <c r="FZ566">
        <v>10.689258106924264</v>
      </c>
      <c r="GA566">
        <v>6.7635518975086599</v>
      </c>
      <c r="GB566">
        <v>5.9998433130212527</v>
      </c>
      <c r="GC566">
        <v>3.3347549176400779</v>
      </c>
      <c r="GD566">
        <v>1.0377335779936325</v>
      </c>
      <c r="GE566">
        <v>1.2832822042857144</v>
      </c>
      <c r="GF566">
        <v>2.4391433290987283</v>
      </c>
      <c r="GG566">
        <v>2.496547344335339</v>
      </c>
      <c r="GH566">
        <v>5.3244258052903586</v>
      </c>
      <c r="GI566">
        <v>4.9368480174814282</v>
      </c>
      <c r="GJ566"/>
      <c r="GK566">
        <v>10.732076441867267</v>
      </c>
      <c r="GL566">
        <v>5.7311869142628726</v>
      </c>
      <c r="GM566">
        <v>10.01141240467053</v>
      </c>
      <c r="GN566">
        <v>10.04751552233795</v>
      </c>
      <c r="GO566">
        <v>4.0330818659504235</v>
      </c>
      <c r="GP566">
        <v>2.4568452380952386</v>
      </c>
      <c r="GQ566">
        <v>2.9819707053854079</v>
      </c>
      <c r="GR566">
        <v>3.5085910757557781</v>
      </c>
      <c r="GS566">
        <v>5.6764455718485713</v>
      </c>
      <c r="GT566">
        <v>6.6869973979444399</v>
      </c>
      <c r="GU566"/>
      <c r="GV566"/>
      <c r="GW566"/>
      <c r="GX566"/>
      <c r="GY566"/>
      <c r="GZ566"/>
      <c r="HA566"/>
      <c r="HB566"/>
      <c r="HC566"/>
    </row>
    <row r="567" spans="1:211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63.792509373369306</v>
      </c>
      <c r="AO567">
        <v>7.4018755945883274</v>
      </c>
      <c r="AP567">
        <v>52.770636586926152</v>
      </c>
      <c r="AQ567">
        <v>55.478992261897929</v>
      </c>
      <c r="AR567">
        <v>7.7212726726003176</v>
      </c>
      <c r="AS567">
        <v>48.315779563142449</v>
      </c>
      <c r="AT567" t="e">
        <v>#DIV/0!</v>
      </c>
      <c r="AU567" t="e">
        <v>#DIV/0!</v>
      </c>
      <c r="AV567"/>
      <c r="AW567"/>
      <c r="FY567" s="211">
        <v>562</v>
      </c>
      <c r="FZ567">
        <v>11.132961314353292</v>
      </c>
      <c r="GA567">
        <v>11.686384981509047</v>
      </c>
      <c r="GB567">
        <v>5.1475885337504881</v>
      </c>
      <c r="GC567">
        <v>2.1829863519819819</v>
      </c>
      <c r="GD567">
        <v>2.8437475095640865</v>
      </c>
      <c r="GE567">
        <v>4.3713611598192301</v>
      </c>
      <c r="GF567">
        <v>2.9902525320886162</v>
      </c>
      <c r="GG567">
        <v>2.9773535165032357</v>
      </c>
      <c r="GH567">
        <v>5.8580114195720858</v>
      </c>
      <c r="GI567">
        <v>6.0088603226610902</v>
      </c>
      <c r="GJ567"/>
      <c r="GK567">
        <v>11.169093917415225</v>
      </c>
      <c r="GL567">
        <v>9.9015959410138024</v>
      </c>
      <c r="GM567">
        <v>8.5255983830974102</v>
      </c>
      <c r="GN567">
        <v>6.4992848679008466</v>
      </c>
      <c r="GO567">
        <v>11.024542912623078</v>
      </c>
      <c r="GP567">
        <v>8.368975906958978</v>
      </c>
      <c r="GQ567">
        <v>3.6619275338402248</v>
      </c>
      <c r="GR567">
        <v>4.1885479042105951</v>
      </c>
      <c r="GS567">
        <v>6.2458568210265151</v>
      </c>
      <c r="GT567">
        <v>8.1254039136004899</v>
      </c>
      <c r="GU567"/>
      <c r="GV567"/>
      <c r="GW567"/>
      <c r="GX567"/>
      <c r="GY567"/>
      <c r="GZ567"/>
      <c r="HA567"/>
      <c r="HB567"/>
      <c r="HC567"/>
    </row>
    <row r="568" spans="1:211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53.772838661724656</v>
      </c>
      <c r="AO568">
        <v>6.1728992441182644</v>
      </c>
      <c r="AP568">
        <v>65.533839060531221</v>
      </c>
      <c r="AQ568">
        <v>47.547357833573905</v>
      </c>
      <c r="AR568">
        <v>6.6422407887587518</v>
      </c>
      <c r="AS568">
        <v>42.637550137099623</v>
      </c>
      <c r="AT568" t="e">
        <v>#DIV/0!</v>
      </c>
      <c r="AU568" t="e">
        <v>#DIV/0!</v>
      </c>
      <c r="AV568"/>
      <c r="AW568"/>
      <c r="FY568" s="211">
        <v>563</v>
      </c>
      <c r="FZ568">
        <v>14.313589746662174</v>
      </c>
      <c r="GA568">
        <v>8.2773460694791705</v>
      </c>
      <c r="GB568">
        <v>4.5766644863122838</v>
      </c>
      <c r="GC568">
        <v>3.1407472791404949</v>
      </c>
      <c r="GD568">
        <v>1.4434954646047011</v>
      </c>
      <c r="GE568">
        <v>1.5240297996511627</v>
      </c>
      <c r="GF568">
        <v>1.822456380763134</v>
      </c>
      <c r="GG568">
        <v>2.2871004422441126</v>
      </c>
      <c r="GH568">
        <v>4.1814444858655975</v>
      </c>
      <c r="GI568">
        <v>5.0634874466249373</v>
      </c>
      <c r="GJ568"/>
      <c r="GK568">
        <v>14.370349349002186</v>
      </c>
      <c r="GL568">
        <v>7.0134173548296124</v>
      </c>
      <c r="GM568">
        <v>7.6158632229986338</v>
      </c>
      <c r="GN568">
        <v>9.4123613111797386</v>
      </c>
      <c r="GO568">
        <v>5.6055938779186851</v>
      </c>
      <c r="GP568">
        <v>2.917756782945736</v>
      </c>
      <c r="GQ568">
        <v>2.2332301731078905</v>
      </c>
      <c r="GR568">
        <v>3.218762580515298</v>
      </c>
      <c r="GS568">
        <v>4.4576845343661544</v>
      </c>
      <c r="GT568">
        <v>6.8565442314787095</v>
      </c>
      <c r="GU568"/>
      <c r="GV568"/>
      <c r="GW568"/>
      <c r="GX568"/>
      <c r="GY568"/>
      <c r="GZ568"/>
      <c r="HA568"/>
      <c r="HB568"/>
      <c r="HC568"/>
    </row>
    <row r="569" spans="1:211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67.790283631109276</v>
      </c>
      <c r="AO569">
        <v>7.9555945722752286</v>
      </c>
      <c r="AP569">
        <v>44.598433981977045</v>
      </c>
      <c r="AQ569">
        <v>57.577882790195261</v>
      </c>
      <c r="AR569">
        <v>7.8671031240075768</v>
      </c>
      <c r="AS569">
        <v>47.201637460491114</v>
      </c>
      <c r="AT569" t="e">
        <v>#DIV/0!</v>
      </c>
      <c r="AU569" t="e">
        <v>#DIV/0!</v>
      </c>
      <c r="AV569"/>
      <c r="AW569"/>
      <c r="FY569" s="211">
        <v>564</v>
      </c>
      <c r="FZ569">
        <v>13.226099144553103</v>
      </c>
      <c r="GA569">
        <v>15.832173847962979</v>
      </c>
      <c r="GB569">
        <v>7.553372772821513</v>
      </c>
      <c r="GC569">
        <v>3.3167987964007133</v>
      </c>
      <c r="GD569">
        <v>2.0533900037592816</v>
      </c>
      <c r="GE569">
        <v>2.8083147969054134</v>
      </c>
      <c r="GF569">
        <v>1.1521981644180253</v>
      </c>
      <c r="GG569">
        <v>1.003228398856431</v>
      </c>
      <c r="GH569">
        <v>7.8377201095187345</v>
      </c>
      <c r="GI569">
        <v>6.4387322435268866</v>
      </c>
      <c r="GJ569"/>
      <c r="GK569">
        <v>13.273581054479939</v>
      </c>
      <c r="GL569">
        <v>13.41155794607837</v>
      </c>
      <c r="GM569">
        <v>12.544424721819324</v>
      </c>
      <c r="GN569">
        <v>9.9489500828678672</v>
      </c>
      <c r="GO569">
        <v>7.9813083483873477</v>
      </c>
      <c r="GP569">
        <v>5.3765218693185517</v>
      </c>
      <c r="GQ569">
        <v>1.4118986513687599</v>
      </c>
      <c r="GR569">
        <v>1.4118986513687599</v>
      </c>
      <c r="GS569">
        <v>8.3545592397153499</v>
      </c>
      <c r="GT569">
        <v>8.7131544031541424</v>
      </c>
      <c r="GU569"/>
      <c r="GV569"/>
      <c r="GW569"/>
      <c r="GX569"/>
      <c r="GY569"/>
      <c r="GZ569"/>
      <c r="HA569"/>
      <c r="HB569"/>
      <c r="HC569"/>
    </row>
    <row r="570" spans="1:211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48.591504701757145</v>
      </c>
      <c r="AO570">
        <v>5.9535773824402165</v>
      </c>
      <c r="AP570">
        <v>40.571341394324804</v>
      </c>
      <c r="AQ570">
        <v>42.746219701492521</v>
      </c>
      <c r="AR570">
        <v>6.1871626344201074</v>
      </c>
      <c r="AS570">
        <v>39.543876346493796</v>
      </c>
      <c r="AT570" t="e">
        <v>#DIV/0!</v>
      </c>
      <c r="AU570" t="e">
        <v>#DIV/0!</v>
      </c>
      <c r="AV570"/>
      <c r="AW570"/>
      <c r="FY570" s="211">
        <v>565</v>
      </c>
      <c r="FZ570">
        <v>9.7153674133059109</v>
      </c>
      <c r="GA570">
        <v>6.7013515594993525</v>
      </c>
      <c r="GB570">
        <v>6.2080846432649315</v>
      </c>
      <c r="GC570">
        <v>3.7292259714184097</v>
      </c>
      <c r="GD570">
        <v>1.794797224890756</v>
      </c>
      <c r="GE570">
        <v>2.5162846455882355</v>
      </c>
      <c r="GF570">
        <v>0.67025821634510852</v>
      </c>
      <c r="GG570">
        <v>1.2838720433876809</v>
      </c>
      <c r="GH570">
        <v>5.1777863237300448</v>
      </c>
      <c r="GI570">
        <v>4.9338685943411607</v>
      </c>
      <c r="GJ570"/>
      <c r="GK570">
        <v>9.7629976844348931</v>
      </c>
      <c r="GL570">
        <v>5.6789098576341628</v>
      </c>
      <c r="GM570">
        <v>10.361641392254652</v>
      </c>
      <c r="GN570">
        <v>11.221859427134234</v>
      </c>
      <c r="GO570">
        <v>6.9589476699770811</v>
      </c>
      <c r="GP570">
        <v>4.8174298128342246</v>
      </c>
      <c r="GQ570">
        <v>0.82133152173913027</v>
      </c>
      <c r="GR570">
        <v>1.8068639291465376</v>
      </c>
      <c r="GS570">
        <v>5.5204699920367037</v>
      </c>
      <c r="GT570">
        <v>6.6850776520884931</v>
      </c>
      <c r="GU570"/>
      <c r="GV570"/>
      <c r="GW570"/>
      <c r="GX570"/>
      <c r="GY570"/>
      <c r="GZ570"/>
      <c r="HA570"/>
      <c r="HB570"/>
      <c r="HC570"/>
    </row>
    <row r="571" spans="1:211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55.421919167380985</v>
      </c>
      <c r="AO571">
        <v>6.6920365934087327</v>
      </c>
      <c r="AP571">
        <v>4.4211149597610815</v>
      </c>
      <c r="AQ571">
        <v>47.538534637312466</v>
      </c>
      <c r="AR571">
        <v>7.1758406612725505</v>
      </c>
      <c r="AS571">
        <v>45.383194035794858</v>
      </c>
      <c r="AT571">
        <v>5.7660337655273786</v>
      </c>
      <c r="AU571">
        <v>13.693160080730646</v>
      </c>
      <c r="AV571"/>
      <c r="AW571"/>
      <c r="FY571" s="211">
        <v>566</v>
      </c>
      <c r="FZ571">
        <v>19.956823396191563</v>
      </c>
      <c r="GA571">
        <v>22.446148847662563</v>
      </c>
      <c r="GB571">
        <v>8.2676367707851828</v>
      </c>
      <c r="GC571">
        <v>4.2745217593236529</v>
      </c>
      <c r="GD571">
        <v>1.5647254328479756</v>
      </c>
      <c r="GE571">
        <v>2.0286168745798321</v>
      </c>
      <c r="GF571">
        <v>2.4009898586065801</v>
      </c>
      <c r="GG571">
        <v>1.9933900330970502</v>
      </c>
      <c r="GH571">
        <v>6.0164218773222506</v>
      </c>
      <c r="GI571">
        <v>7.2680768213065328</v>
      </c>
      <c r="GJ571"/>
      <c r="GK571">
        <v>20.002180486711648</v>
      </c>
      <c r="GL571">
        <v>19.018752135784428</v>
      </c>
      <c r="GM571">
        <v>13.730257823523038</v>
      </c>
      <c r="GN571">
        <v>12.778223704173145</v>
      </c>
      <c r="GO571">
        <v>6.0661487068682112</v>
      </c>
      <c r="GP571">
        <v>3.8837893111790178</v>
      </c>
      <c r="GQ571">
        <v>2.9375326039123331</v>
      </c>
      <c r="GR571">
        <v>2.8021159372456665</v>
      </c>
      <c r="GS571">
        <v>6.4139640831497369</v>
      </c>
      <c r="GT571">
        <v>9.8300167408329955</v>
      </c>
      <c r="GU571"/>
      <c r="GV571"/>
      <c r="GW571"/>
      <c r="GX571"/>
      <c r="GY571"/>
      <c r="GZ571"/>
      <c r="HA571"/>
      <c r="HB571"/>
      <c r="HC571"/>
    </row>
    <row r="572" spans="1:211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64.426773905276193</v>
      </c>
      <c r="AO572">
        <v>7.3348695204095522</v>
      </c>
      <c r="AP572">
        <v>4.5295867384213864</v>
      </c>
      <c r="AQ572">
        <v>52.857186155544525</v>
      </c>
      <c r="AR572">
        <v>7.8067124608446434</v>
      </c>
      <c r="AS572">
        <v>48.224909775787019</v>
      </c>
      <c r="AT572">
        <v>6.2204400506694819</v>
      </c>
      <c r="AU572">
        <v>1.6728585904041271</v>
      </c>
      <c r="AV572"/>
      <c r="AW572"/>
      <c r="FY572" s="211">
        <v>567</v>
      </c>
      <c r="FZ572">
        <v>9.1487097879478778</v>
      </c>
      <c r="GA572">
        <v>9.8744189587367934</v>
      </c>
      <c r="GB572">
        <v>9.0715058058184894</v>
      </c>
      <c r="GC572">
        <v>4.0182964021562588</v>
      </c>
      <c r="GD572">
        <v>2.0392899384234564</v>
      </c>
      <c r="GE572">
        <v>3.2343522692309947</v>
      </c>
      <c r="GF572">
        <v>1.6824348773762066</v>
      </c>
      <c r="GG572">
        <v>2.5870090022256083</v>
      </c>
      <c r="GH572">
        <v>5.7065319370463055</v>
      </c>
      <c r="GI572">
        <v>5.9593546358861902</v>
      </c>
      <c r="GJ572"/>
      <c r="GK572">
        <v>9.1957447919211504</v>
      </c>
      <c r="GL572">
        <v>8.3660358701215465</v>
      </c>
      <c r="GM572">
        <v>15.094872170660718</v>
      </c>
      <c r="GN572">
        <v>12.077615234742719</v>
      </c>
      <c r="GO572">
        <v>7.9171495167669361</v>
      </c>
      <c r="GP572">
        <v>6.1921710941247534</v>
      </c>
      <c r="GQ572">
        <v>2.0593334315857961</v>
      </c>
      <c r="GR572">
        <v>3.6391945426969068</v>
      </c>
      <c r="GS572">
        <v>6.0825930713661736</v>
      </c>
      <c r="GT572">
        <v>8.0699385964601547</v>
      </c>
      <c r="GU572"/>
      <c r="GV572"/>
      <c r="GW572"/>
      <c r="GX572"/>
      <c r="GY572"/>
      <c r="GZ572"/>
      <c r="HA572"/>
      <c r="HB572"/>
      <c r="HC572"/>
    </row>
    <row r="573" spans="1:211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56.965503700469625</v>
      </c>
      <c r="AO573">
        <v>6.7635974279698727</v>
      </c>
      <c r="AP573">
        <v>108.28523948429577</v>
      </c>
      <c r="AQ573">
        <v>52.492535715277171</v>
      </c>
      <c r="AR573">
        <v>7.3711257541462505</v>
      </c>
      <c r="AS573">
        <v>49.314830814864685</v>
      </c>
      <c r="AT573" t="e">
        <v>#DIV/0!</v>
      </c>
      <c r="AU573" t="e">
        <v>#DIV/0!</v>
      </c>
      <c r="AV573"/>
      <c r="AW573"/>
      <c r="FY573" s="211">
        <v>568</v>
      </c>
      <c r="FZ573">
        <v>9.5011221026488748</v>
      </c>
      <c r="GA573">
        <v>9.4973395492602606</v>
      </c>
      <c r="GB573">
        <v>5.5736776685848284</v>
      </c>
      <c r="GC573">
        <v>2.5495658045326883</v>
      </c>
      <c r="GD573">
        <v>1.9883814566245228</v>
      </c>
      <c r="GE573">
        <v>3.2084486691596643</v>
      </c>
      <c r="GF573">
        <v>1.822456380763134</v>
      </c>
      <c r="GG573">
        <v>1.5387173901607791</v>
      </c>
      <c r="GH573">
        <v>4.8551814355726615</v>
      </c>
      <c r="GI573">
        <v>5.0109561425395741</v>
      </c>
      <c r="GJ573"/>
      <c r="GK573">
        <v>9.5376735305335956</v>
      </c>
      <c r="GL573">
        <v>8.045799644147662</v>
      </c>
      <c r="GM573">
        <v>9.2319460935873838</v>
      </c>
      <c r="GN573">
        <v>7.5906609344373734</v>
      </c>
      <c r="GO573">
        <v>7.70804146135547</v>
      </c>
      <c r="GP573">
        <v>6.1425786223580356</v>
      </c>
      <c r="GQ573">
        <v>2.2332301731078905</v>
      </c>
      <c r="GR573">
        <v>2.165521839774557</v>
      </c>
      <c r="GS573">
        <v>5.1745881344100404</v>
      </c>
      <c r="GT573">
        <v>6.7770958785988764</v>
      </c>
      <c r="GU573"/>
      <c r="GV573"/>
      <c r="GW573"/>
      <c r="GX573"/>
      <c r="GY573"/>
      <c r="GZ573"/>
      <c r="HA573"/>
      <c r="HB573"/>
      <c r="HC573"/>
    </row>
    <row r="574" spans="1:211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72.983729462840884</v>
      </c>
      <c r="AO574">
        <v>8.402904788811929</v>
      </c>
      <c r="AP574">
        <v>76.924976310445473</v>
      </c>
      <c r="AQ574">
        <v>70.851607624521279</v>
      </c>
      <c r="AR574">
        <v>8.5254165583282422</v>
      </c>
      <c r="AS574">
        <v>56.689727004013712</v>
      </c>
      <c r="AT574" t="e">
        <v>#DIV/0!</v>
      </c>
      <c r="AU574" t="e">
        <v>#DIV/0!</v>
      </c>
      <c r="AV574"/>
      <c r="AW574"/>
      <c r="FY574" s="211">
        <v>569</v>
      </c>
      <c r="FZ574">
        <v>11.823245306157162</v>
      </c>
      <c r="GA574">
        <v>10.060151614736572</v>
      </c>
      <c r="GB574">
        <v>4.1879195193339847</v>
      </c>
      <c r="GC574">
        <v>2.3055460697843455</v>
      </c>
      <c r="GD574">
        <v>1.2107970818610692</v>
      </c>
      <c r="GE574">
        <v>1.3471995746511629</v>
      </c>
      <c r="GF574">
        <v>1.6824348773762066</v>
      </c>
      <c r="GG574">
        <v>1.838625950142275</v>
      </c>
      <c r="GH574">
        <v>5.1308865793760123</v>
      </c>
      <c r="GI574">
        <v>4.5874788949026186</v>
      </c>
      <c r="GJ574"/>
      <c r="GK574">
        <v>11.859388253457682</v>
      </c>
      <c r="GL574">
        <v>8.5223237980054112</v>
      </c>
      <c r="GM574">
        <v>6.9372900221389875</v>
      </c>
      <c r="GN574">
        <v>6.8673026100308832</v>
      </c>
      <c r="GO574">
        <v>4.6938661786349298</v>
      </c>
      <c r="GP574">
        <v>2.57921511627907</v>
      </c>
      <c r="GQ574">
        <v>2.0593334315857961</v>
      </c>
      <c r="GR574">
        <v>2.5859538019561663</v>
      </c>
      <c r="GS574">
        <v>5.4721357157212047</v>
      </c>
      <c r="GT574">
        <v>6.2044027203077192</v>
      </c>
      <c r="GU574"/>
      <c r="GV574"/>
      <c r="GW574"/>
      <c r="GX574"/>
      <c r="GY574"/>
      <c r="GZ574"/>
      <c r="HA574"/>
      <c r="HB574"/>
      <c r="HC574"/>
    </row>
    <row r="575" spans="1:211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73.913954763198831</v>
      </c>
      <c r="AO575">
        <v>8.7018098100968473</v>
      </c>
      <c r="AP575">
        <v>82.868860227111014</v>
      </c>
      <c r="AQ575">
        <v>67.429527283702029</v>
      </c>
      <c r="AR575">
        <v>9.017237193831658</v>
      </c>
      <c r="AS575">
        <v>57.320557255401376</v>
      </c>
      <c r="AT575" t="e">
        <v>#DIV/0!</v>
      </c>
      <c r="AU575" t="e">
        <v>#DIV/0!</v>
      </c>
      <c r="AV575"/>
      <c r="AW575"/>
      <c r="FY575" s="211">
        <v>570</v>
      </c>
      <c r="FZ575">
        <v>14.552852976855325</v>
      </c>
      <c r="GA575">
        <v>10.49088485526533</v>
      </c>
      <c r="GB575">
        <v>4.1772828930451729</v>
      </c>
      <c r="GC575">
        <v>2.1951202669740115</v>
      </c>
      <c r="GD575">
        <v>1.6935788692350191</v>
      </c>
      <c r="GE575">
        <v>2.9514239092309955</v>
      </c>
      <c r="GF575">
        <v>3.5274467417240327</v>
      </c>
      <c r="GG575">
        <v>4.1934759761386529</v>
      </c>
      <c r="GH575">
        <v>5.3069043249449681</v>
      </c>
      <c r="GI575">
        <v>5.6300631747893739</v>
      </c>
      <c r="GJ575"/>
      <c r="GK575">
        <v>14.610084495942047</v>
      </c>
      <c r="GL575">
        <v>8.890152147178318</v>
      </c>
      <c r="GM575">
        <v>6.9542523933211431</v>
      </c>
      <c r="GN575">
        <v>6.5881988715089657</v>
      </c>
      <c r="GO575">
        <v>6.5657507279091867</v>
      </c>
      <c r="GP575">
        <v>5.6505044274580882</v>
      </c>
      <c r="GQ575">
        <v>4.3202029968031876</v>
      </c>
      <c r="GR575">
        <v>5.9000641079142992</v>
      </c>
      <c r="GS575">
        <v>5.6569958563613048</v>
      </c>
      <c r="GT575">
        <v>7.6214572940673735</v>
      </c>
      <c r="GU575"/>
      <c r="GV575"/>
      <c r="GW575"/>
      <c r="GX575"/>
      <c r="GY575"/>
      <c r="GZ575"/>
      <c r="HA575"/>
      <c r="HB575"/>
      <c r="HC575"/>
    </row>
    <row r="576" spans="1:211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57.173493335931937</v>
      </c>
      <c r="AO576">
        <v>6.5038512749420692</v>
      </c>
      <c r="AP576">
        <v>29.98075685706451</v>
      </c>
      <c r="AQ576">
        <v>41.845353118571282</v>
      </c>
      <c r="AR576">
        <v>6.9344812059470691</v>
      </c>
      <c r="AS576">
        <v>40.642072620801052</v>
      </c>
      <c r="AT576" t="e">
        <v>#DIV/0!</v>
      </c>
      <c r="AU576" t="e">
        <v>#DIV/0!</v>
      </c>
      <c r="AV576"/>
      <c r="AW576"/>
      <c r="FY576" s="211">
        <v>571</v>
      </c>
      <c r="FZ576">
        <v>17.267560090899881</v>
      </c>
      <c r="GA576">
        <v>17.775715707637886</v>
      </c>
      <c r="GB576">
        <v>8.0061060950575555</v>
      </c>
      <c r="GC576">
        <v>3.0000949853890582</v>
      </c>
      <c r="GD576">
        <v>1.6037063531129254</v>
      </c>
      <c r="GE576">
        <v>2.6415891561911278</v>
      </c>
      <c r="GF576">
        <v>1.8154988840858985</v>
      </c>
      <c r="GG576">
        <v>2.2805670599362062</v>
      </c>
      <c r="GH576">
        <v>6.0368933024534845</v>
      </c>
      <c r="GI576">
        <v>6.7270028136331144</v>
      </c>
      <c r="GJ576"/>
      <c r="GK576">
        <v>17.324148707051918</v>
      </c>
      <c r="GL576">
        <v>15.060197465061783</v>
      </c>
      <c r="GM576">
        <v>13.336206891912012</v>
      </c>
      <c r="GN576">
        <v>9.0463679478731862</v>
      </c>
      <c r="GO576">
        <v>6.2172890031029828</v>
      </c>
      <c r="GP576">
        <v>5.0573254407471238</v>
      </c>
      <c r="GQ576">
        <v>2.2223894903619632</v>
      </c>
      <c r="GR576">
        <v>3.2079218977693706</v>
      </c>
      <c r="GS576">
        <v>6.4359454109679666</v>
      </c>
      <c r="GT576">
        <v>9.1071959006793666</v>
      </c>
      <c r="GU576"/>
      <c r="GV576"/>
      <c r="GW576"/>
      <c r="GX576"/>
      <c r="GY576"/>
      <c r="GZ576"/>
      <c r="HA576"/>
      <c r="HB576"/>
      <c r="HC576"/>
    </row>
    <row r="577" spans="1:211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52.785255873206879</v>
      </c>
      <c r="AO577">
        <v>6.1866123138118478</v>
      </c>
      <c r="AP577">
        <v>39.003327941340707</v>
      </c>
      <c r="AQ577">
        <v>44.305388513579459</v>
      </c>
      <c r="AR577">
        <v>6.6869973979444417</v>
      </c>
      <c r="AS577">
        <v>40.318284119785552</v>
      </c>
      <c r="AT577" t="e">
        <v>#DIV/0!</v>
      </c>
      <c r="AU577" t="e">
        <v>#DIV/0!</v>
      </c>
      <c r="AV577"/>
      <c r="AW577"/>
      <c r="FY577" s="211">
        <v>572</v>
      </c>
      <c r="FZ577">
        <v>14.427305494846397</v>
      </c>
      <c r="GA577">
        <v>15.331472912163461</v>
      </c>
      <c r="GB577">
        <v>7.8085079447157</v>
      </c>
      <c r="GC577">
        <v>3.2697456268360661</v>
      </c>
      <c r="GD577">
        <v>2.4134856567305074</v>
      </c>
      <c r="GE577">
        <v>4.17508140077096</v>
      </c>
      <c r="GF577">
        <v>2.2974388321588153</v>
      </c>
      <c r="GG577">
        <v>2.3741149414466225</v>
      </c>
      <c r="GH577">
        <v>4.57367195897735</v>
      </c>
      <c r="GI577">
        <v>6.5750350769331147</v>
      </c>
      <c r="GJ577"/>
      <c r="GK577">
        <v>14.484340448323</v>
      </c>
      <c r="GL577">
        <v>12.990702962044752</v>
      </c>
      <c r="GM577">
        <v>12.935624345432874</v>
      </c>
      <c r="GN577">
        <v>9.7458428624565254</v>
      </c>
      <c r="GO577">
        <v>9.3665262516609946</v>
      </c>
      <c r="GP577">
        <v>7.9931980852594746</v>
      </c>
      <c r="GQ577">
        <v>2.812956619991593</v>
      </c>
      <c r="GR577">
        <v>3.3395769903619632</v>
      </c>
      <c r="GS577">
        <v>4.8768995973927414</v>
      </c>
      <c r="GT577">
        <v>8.8952694525602389</v>
      </c>
      <c r="GU577"/>
      <c r="GV577"/>
      <c r="GW577"/>
      <c r="GX577"/>
      <c r="GY577"/>
      <c r="GZ577"/>
      <c r="HA577"/>
      <c r="HB577"/>
      <c r="HC577"/>
    </row>
    <row r="578" spans="1:211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66.222659713747902</v>
      </c>
      <c r="AO578">
        <v>7.7710828101687168</v>
      </c>
      <c r="AP578">
        <v>45.449540775057528</v>
      </c>
      <c r="AQ578">
        <v>55.199507641803159</v>
      </c>
      <c r="AR578">
        <v>8.1254039136004899</v>
      </c>
      <c r="AS578">
        <v>52.651442541182192</v>
      </c>
      <c r="AT578" t="e">
        <v>#DIV/0!</v>
      </c>
      <c r="AU578" t="e">
        <v>#DIV/0!</v>
      </c>
      <c r="AV578"/>
      <c r="AW578"/>
      <c r="FY578" s="211">
        <v>573</v>
      </c>
      <c r="FZ578">
        <v>10.172000192293217</v>
      </c>
      <c r="GA578">
        <v>9.3647677028564065</v>
      </c>
      <c r="GB578">
        <v>5.2970327663493011</v>
      </c>
      <c r="GC578">
        <v>2.2269883476435073</v>
      </c>
      <c r="GD578">
        <v>1.8854879376175822</v>
      </c>
      <c r="GE578">
        <v>2.9329771681512611</v>
      </c>
      <c r="GF578">
        <v>1.3818557008982464</v>
      </c>
      <c r="GG578">
        <v>1.0579112179928833</v>
      </c>
      <c r="GH578">
        <v>4.7700753222041374</v>
      </c>
      <c r="GI578">
        <v>4.8900553940409512</v>
      </c>
      <c r="GJ578"/>
      <c r="GK578">
        <v>10.226195573255586</v>
      </c>
      <c r="GL578">
        <v>7.9335805306137157</v>
      </c>
      <c r="GM578">
        <v>8.7672173544450764</v>
      </c>
      <c r="GN578">
        <v>6.6328464986187949</v>
      </c>
      <c r="GO578">
        <v>7.3200705818913452</v>
      </c>
      <c r="GP578">
        <v>5.6151881207028271</v>
      </c>
      <c r="GQ578">
        <v>1.6886900113197405</v>
      </c>
      <c r="GR578">
        <v>1.4855650113197405</v>
      </c>
      <c r="GS578">
        <v>5.0864379028214577</v>
      </c>
      <c r="GT578">
        <v>6.617722284746641</v>
      </c>
      <c r="GU578"/>
      <c r="GV578"/>
      <c r="GW578"/>
      <c r="GX578"/>
      <c r="GY578"/>
      <c r="GZ578"/>
      <c r="HA578"/>
      <c r="HB578"/>
      <c r="HC578"/>
    </row>
    <row r="579" spans="1:211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53.133032411260771</v>
      </c>
      <c r="AO579">
        <v>6.3701563418342646</v>
      </c>
      <c r="AP579">
        <v>3.1481895826246209</v>
      </c>
      <c r="AQ579">
        <v>46.630361601347772</v>
      </c>
      <c r="AR579">
        <v>6.8565442314787095</v>
      </c>
      <c r="AS579">
        <v>42.746852675279499</v>
      </c>
      <c r="AT579">
        <v>5.4701919453707513</v>
      </c>
      <c r="AU579">
        <v>8.3527301469269908</v>
      </c>
      <c r="AV579"/>
      <c r="AW579"/>
      <c r="FY579" s="211">
        <v>574</v>
      </c>
      <c r="FZ579">
        <v>9.9379445305184166</v>
      </c>
      <c r="GA579">
        <v>8.3359356229613439</v>
      </c>
      <c r="GB579">
        <v>5.3712004180281729</v>
      </c>
      <c r="GC579">
        <v>2.1142448533039055</v>
      </c>
      <c r="GD579">
        <v>2.237861461006482</v>
      </c>
      <c r="GE579">
        <v>3.4475513321995308</v>
      </c>
      <c r="GF579">
        <v>1.8637956489711629</v>
      </c>
      <c r="GG579">
        <v>1.5256506255449667</v>
      </c>
      <c r="GH579">
        <v>5.2579896042752132</v>
      </c>
      <c r="GI579">
        <v>5.2398410918106046</v>
      </c>
      <c r="GJ579"/>
      <c r="GK579">
        <v>10.004252288320636</v>
      </c>
      <c r="GL579">
        <v>7.0605889093482794</v>
      </c>
      <c r="GM579">
        <v>8.8931897375357778</v>
      </c>
      <c r="GN579">
        <v>6.304289753318332</v>
      </c>
      <c r="GO579">
        <v>8.6863245940670399</v>
      </c>
      <c r="GP579">
        <v>6.6003409424023314</v>
      </c>
      <c r="GQ579">
        <v>2.2792571409493698</v>
      </c>
      <c r="GR579">
        <v>2.1438404742827033</v>
      </c>
      <c r="GS579">
        <v>5.6049506747934359</v>
      </c>
      <c r="GT579">
        <v>7.0935948871332517</v>
      </c>
      <c r="GU579"/>
      <c r="GV579"/>
      <c r="GW579"/>
      <c r="GX579"/>
      <c r="GY579"/>
      <c r="GZ579"/>
      <c r="HA579"/>
      <c r="HB579"/>
      <c r="HC579"/>
    </row>
    <row r="580" spans="1:211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72.281911947159685</v>
      </c>
      <c r="AO580">
        <v>8.2427854968558396</v>
      </c>
      <c r="AP580">
        <v>117.74718088687727</v>
      </c>
      <c r="AQ580">
        <v>61.222028278723073</v>
      </c>
      <c r="AR580">
        <v>8.7131544031541477</v>
      </c>
      <c r="AS580">
        <v>53.299963089259577</v>
      </c>
      <c r="AT580" t="e">
        <v>#DIV/0!</v>
      </c>
      <c r="AU580" t="e">
        <v>#DIV/0!</v>
      </c>
      <c r="AV580"/>
      <c r="AW580"/>
      <c r="FY580" s="211">
        <v>575</v>
      </c>
      <c r="FZ580">
        <v>9.8945008617409442</v>
      </c>
      <c r="GA580">
        <v>7.8231995737681279</v>
      </c>
      <c r="GB580">
        <v>4.5775764701528558</v>
      </c>
      <c r="GC580">
        <v>2.6866592779942589</v>
      </c>
      <c r="GD580">
        <v>1.9409261737130026</v>
      </c>
      <c r="GE580">
        <v>2.8006147794684391</v>
      </c>
      <c r="GF580">
        <v>2.375248577306007</v>
      </c>
      <c r="GG580">
        <v>2.4418645251988869</v>
      </c>
      <c r="GH580">
        <v>4.0717757646216128</v>
      </c>
      <c r="GI580">
        <v>4.7761439471590235</v>
      </c>
      <c r="GJ580"/>
      <c r="GK580">
        <v>9.9373237445221818</v>
      </c>
      <c r="GL580">
        <v>6.6268660424011872</v>
      </c>
      <c r="GM580">
        <v>7.6169357856059552</v>
      </c>
      <c r="GN580">
        <v>8.0522298941822861</v>
      </c>
      <c r="GO580">
        <v>7.5240436114226847</v>
      </c>
      <c r="GP580">
        <v>5.3617801771871552</v>
      </c>
      <c r="GQ580">
        <v>2.9083043454344271</v>
      </c>
      <c r="GR580">
        <v>3.4349247158047973</v>
      </c>
      <c r="GS580">
        <v>4.3408263075294551</v>
      </c>
      <c r="GT580">
        <v>6.4654867589029408</v>
      </c>
      <c r="GU580"/>
      <c r="GV580"/>
      <c r="GW580"/>
      <c r="GX580"/>
      <c r="GY580"/>
      <c r="GZ580"/>
      <c r="HA580"/>
      <c r="HB580"/>
      <c r="HC580"/>
    </row>
    <row r="581" spans="1:211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49.604127091954368</v>
      </c>
      <c r="AO581">
        <v>6.363552893928011</v>
      </c>
      <c r="AP581">
        <v>4.6724826041734531</v>
      </c>
      <c r="AQ581">
        <v>42.730896635771593</v>
      </c>
      <c r="AR581">
        <v>6.6850776520884923</v>
      </c>
      <c r="AS581">
        <v>40.980554619247975</v>
      </c>
      <c r="AT581">
        <v>5.3270797082994479</v>
      </c>
      <c r="AU581">
        <v>4.2229581496889423</v>
      </c>
      <c r="AV581"/>
      <c r="AW581"/>
      <c r="FY581" s="211">
        <v>576</v>
      </c>
      <c r="FZ581">
        <v>13.198730395177151</v>
      </c>
      <c r="GA581">
        <v>15.034663686669738</v>
      </c>
      <c r="GB581">
        <v>5.1605003071976734</v>
      </c>
      <c r="GC581">
        <v>2.1463034571999353</v>
      </c>
      <c r="GD581">
        <v>0.70855125442728772</v>
      </c>
      <c r="GE581">
        <v>0.88579605732558131</v>
      </c>
      <c r="GF581">
        <v>0.60804645810537317</v>
      </c>
      <c r="GG581">
        <v>0.90314713503810828</v>
      </c>
      <c r="GH581">
        <v>3.0708784289725544</v>
      </c>
      <c r="GI581">
        <v>4.2214884524904486</v>
      </c>
      <c r="GJ581"/>
      <c r="GK581">
        <v>13.241557598566249</v>
      </c>
      <c r="GL581">
        <v>12.740451513538682</v>
      </c>
      <c r="GM581">
        <v>8.5489567093946945</v>
      </c>
      <c r="GN581">
        <v>6.3921209550065861</v>
      </c>
      <c r="GO581">
        <v>2.7457698018988732</v>
      </c>
      <c r="GP581">
        <v>1.6958575581395348</v>
      </c>
      <c r="GQ581">
        <v>0.74278250565987025</v>
      </c>
      <c r="GR581">
        <v>1.2694028760302405</v>
      </c>
      <c r="GS581">
        <v>3.271901174570746</v>
      </c>
      <c r="GT581">
        <v>5.7101935580180854</v>
      </c>
      <c r="GU581"/>
      <c r="GV581"/>
      <c r="GW581"/>
      <c r="GX581"/>
      <c r="GY581"/>
      <c r="GZ581"/>
      <c r="HA581"/>
      <c r="HB581"/>
      <c r="HC581"/>
    </row>
    <row r="582" spans="1:211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87.010619168059023</v>
      </c>
      <c r="AO582">
        <v>9.7462981533380209</v>
      </c>
      <c r="AP582">
        <v>77.455102625514542</v>
      </c>
      <c r="AQ582">
        <v>76.217351671723179</v>
      </c>
      <c r="AR582">
        <v>9.8300167408329973</v>
      </c>
      <c r="AS582">
        <v>62.756608687792486</v>
      </c>
      <c r="AT582" t="e">
        <v>#DIV/0!</v>
      </c>
      <c r="AU582" t="e">
        <v>#DIV/0!</v>
      </c>
      <c r="AV582"/>
      <c r="AW582"/>
      <c r="FY582" s="211">
        <v>577</v>
      </c>
      <c r="FZ582">
        <v>11.719616440313359</v>
      </c>
      <c r="GA582">
        <v>11.018797676012145</v>
      </c>
      <c r="GB582">
        <v>4.4431993110757242</v>
      </c>
      <c r="GC582">
        <v>2.5051320420871055</v>
      </c>
      <c r="GD582">
        <v>1.2487920094665008</v>
      </c>
      <c r="GE582">
        <v>1.4617573616112958</v>
      </c>
      <c r="GF582">
        <v>0</v>
      </c>
      <c r="GG582">
        <v>1.1225745781250001</v>
      </c>
      <c r="GH582">
        <v>7.4554940786559554</v>
      </c>
      <c r="GI582">
        <v>4.7228144621704358</v>
      </c>
      <c r="GJ582"/>
      <c r="GK582">
        <v>11.753791117903383</v>
      </c>
      <c r="GL582">
        <v>9.3374164885510513</v>
      </c>
      <c r="GM582">
        <v>7.4001391016565012</v>
      </c>
      <c r="GN582">
        <v>7.5370600148160332</v>
      </c>
      <c r="GO582">
        <v>4.8609052186118094</v>
      </c>
      <c r="GP582">
        <v>2.7985361295681064</v>
      </c>
      <c r="GQ582">
        <v>0</v>
      </c>
      <c r="GR582">
        <v>1.5798611111111109</v>
      </c>
      <c r="GS582">
        <v>7.9466301062147249</v>
      </c>
      <c r="GT582">
        <v>6.3922931088772827</v>
      </c>
      <c r="GU582"/>
      <c r="GV582"/>
      <c r="GW582"/>
      <c r="GX582"/>
      <c r="GY582"/>
      <c r="GZ582"/>
      <c r="HA582"/>
      <c r="HB582"/>
      <c r="HC582"/>
    </row>
    <row r="583" spans="1:211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67.767894086586182</v>
      </c>
      <c r="AO583">
        <v>7.8694648320446872</v>
      </c>
      <c r="AP583">
        <v>29.416860970620231</v>
      </c>
      <c r="AQ583">
        <v>53.321903614848189</v>
      </c>
      <c r="AR583">
        <v>8.0699385964601564</v>
      </c>
      <c r="AS583">
        <v>47.048439178231334</v>
      </c>
      <c r="AT583" t="e">
        <v>#DIV/0!</v>
      </c>
      <c r="AU583" t="e">
        <v>#DIV/0!</v>
      </c>
      <c r="AV583"/>
      <c r="AW583"/>
      <c r="FY583" s="211">
        <v>578</v>
      </c>
      <c r="FZ583">
        <v>9.7908470611310179</v>
      </c>
      <c r="GA583">
        <v>11.192523824632939</v>
      </c>
      <c r="GB583">
        <v>6.5438450904233481</v>
      </c>
      <c r="GC583">
        <v>2.6850605006341342</v>
      </c>
      <c r="GD583">
        <v>2.8886011422427842</v>
      </c>
      <c r="GE583">
        <v>4.8765903741049446</v>
      </c>
      <c r="GF583">
        <v>3.1785708003608084</v>
      </c>
      <c r="GG583">
        <v>2.6709115742138332</v>
      </c>
      <c r="GH583">
        <v>3.5107976197383546</v>
      </c>
      <c r="GI583">
        <v>5.8449221449617479</v>
      </c>
      <c r="GJ583"/>
      <c r="GK583">
        <v>9.8278521019621685</v>
      </c>
      <c r="GL583">
        <v>9.4810034633488964</v>
      </c>
      <c r="GM583">
        <v>10.873066323187402</v>
      </c>
      <c r="GN583">
        <v>8.0601197978719199</v>
      </c>
      <c r="GO583">
        <v>11.210174567696399</v>
      </c>
      <c r="GP583">
        <v>9.3362378117208831</v>
      </c>
      <c r="GQ583">
        <v>3.8926919259497259</v>
      </c>
      <c r="GR583">
        <v>3.7572752592830589</v>
      </c>
      <c r="GS583">
        <v>3.7438885634793739</v>
      </c>
      <c r="GT583">
        <v>7.9095346964550135</v>
      </c>
      <c r="GU583"/>
      <c r="GV583"/>
      <c r="GW583"/>
      <c r="GX583"/>
      <c r="GY583"/>
      <c r="GZ583"/>
      <c r="HA583"/>
      <c r="HB583"/>
      <c r="HC583"/>
    </row>
    <row r="584" spans="1:211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55.941483573038681</v>
      </c>
      <c r="AO584">
        <v>6.4607136312310889</v>
      </c>
      <c r="AP584">
        <v>62.35549990249028</v>
      </c>
      <c r="AQ584">
        <v>45.545846599846989</v>
      </c>
      <c r="AR584">
        <v>6.7770958785988755</v>
      </c>
      <c r="AS584">
        <v>43.692465553730457</v>
      </c>
      <c r="AT584" t="e">
        <v>#DIV/0!</v>
      </c>
      <c r="AU584" t="e">
        <v>#DIV/0!</v>
      </c>
      <c r="AV584"/>
      <c r="AW584"/>
      <c r="FY584" s="211">
        <v>579</v>
      </c>
      <c r="FZ584">
        <v>15.647021438962975</v>
      </c>
      <c r="GA584">
        <v>12.71527752753758</v>
      </c>
      <c r="GB584">
        <v>4.859314475127098</v>
      </c>
      <c r="GC584">
        <v>3.1604865391651056</v>
      </c>
      <c r="GD584">
        <v>2.1157498561968628</v>
      </c>
      <c r="GE584">
        <v>2.6263147845964432</v>
      </c>
      <c r="GF584">
        <v>2.9537820551494529</v>
      </c>
      <c r="GG584">
        <v>2.8965371681351582</v>
      </c>
      <c r="GH584">
        <v>5.6727828358373973</v>
      </c>
      <c r="GI584">
        <v>6.1559431738459649</v>
      </c>
      <c r="GJ584"/>
      <c r="GK584">
        <v>15.701851311142253</v>
      </c>
      <c r="GL584">
        <v>10.77354302310833</v>
      </c>
      <c r="GM584">
        <v>8.0840440528876876</v>
      </c>
      <c r="GN584">
        <v>9.4726581226525344</v>
      </c>
      <c r="GO584">
        <v>8.211374367732633</v>
      </c>
      <c r="GP584">
        <v>5.0280826389752518</v>
      </c>
      <c r="GQ584">
        <v>3.6126067762388696</v>
      </c>
      <c r="GR584">
        <v>4.0715188132759064</v>
      </c>
      <c r="GS584">
        <v>6.0479589802048732</v>
      </c>
      <c r="GT584">
        <v>8.3315670976412637</v>
      </c>
      <c r="GU584"/>
      <c r="GV584"/>
      <c r="GW584"/>
      <c r="GX584"/>
      <c r="GY584"/>
      <c r="GZ584"/>
      <c r="HA584"/>
      <c r="HB584"/>
      <c r="HC584"/>
    </row>
    <row r="585" spans="1:211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49.91531471668533</v>
      </c>
      <c r="AO585">
        <v>5.7781211648117852</v>
      </c>
      <c r="AP585">
        <v>27.059141459732274</v>
      </c>
      <c r="AQ585">
        <v>44.174285468321408</v>
      </c>
      <c r="AR585">
        <v>6.2044027203077201</v>
      </c>
      <c r="AS585">
        <v>38.970463424129868</v>
      </c>
      <c r="AT585" t="e">
        <v>#DIV/0!</v>
      </c>
      <c r="AU585" t="e">
        <v>#DIV/0!</v>
      </c>
      <c r="AV585"/>
      <c r="AW585"/>
      <c r="FY585" s="211">
        <v>580</v>
      </c>
      <c r="FZ585">
        <v>12.487185355811922</v>
      </c>
      <c r="GA585">
        <v>12.060974639601229</v>
      </c>
      <c r="GB585">
        <v>7.1074875066586101</v>
      </c>
      <c r="GC585">
        <v>3.9244452135447485</v>
      </c>
      <c r="GD585">
        <v>2.9412991155986745</v>
      </c>
      <c r="GE585">
        <v>4.1128089627310924</v>
      </c>
      <c r="GF585">
        <v>1.2557491908657898</v>
      </c>
      <c r="GG585">
        <v>1.3708865425901917</v>
      </c>
      <c r="GH585">
        <v>4.2864676762586678</v>
      </c>
      <c r="GI585">
        <v>6.1870451116388159</v>
      </c>
      <c r="GJ585"/>
      <c r="GK585">
        <v>12.525340913332505</v>
      </c>
      <c r="GL585">
        <v>10.218953995676777</v>
      </c>
      <c r="GM585">
        <v>11.811672128942364</v>
      </c>
      <c r="GN585">
        <v>11.754741609845336</v>
      </c>
      <c r="GO585">
        <v>11.413755726403695</v>
      </c>
      <c r="GP585">
        <v>7.8739774318818432</v>
      </c>
      <c r="GQ585">
        <v>1.5364746352894998</v>
      </c>
      <c r="GR585">
        <v>1.9276783389932035</v>
      </c>
      <c r="GS585">
        <v>4.5711034619770503</v>
      </c>
      <c r="GT585">
        <v>8.3716693731890217</v>
      </c>
      <c r="GU585"/>
      <c r="GV585"/>
      <c r="GW585"/>
      <c r="GX585"/>
      <c r="GY585"/>
      <c r="GZ585"/>
      <c r="HA585"/>
      <c r="HB585"/>
      <c r="HC585"/>
    </row>
    <row r="586" spans="1:211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60.688750334078648</v>
      </c>
      <c r="AO586">
        <v>7.2757663318463894</v>
      </c>
      <c r="AP586">
        <v>53.86183683221212</v>
      </c>
      <c r="AQ586">
        <v>54.719033988202881</v>
      </c>
      <c r="AR586">
        <v>7.6214572940673726</v>
      </c>
      <c r="AS586">
        <v>44.48787438552506</v>
      </c>
      <c r="AT586" t="e">
        <v>#DIV/0!</v>
      </c>
      <c r="AU586" t="e">
        <v>#DIV/0!</v>
      </c>
      <c r="AV586"/>
      <c r="AW586"/>
      <c r="FY586" s="211">
        <v>581</v>
      </c>
      <c r="FZ586">
        <v>7.9758183648990268</v>
      </c>
      <c r="GA586">
        <v>7.2201327979492076</v>
      </c>
      <c r="GB586">
        <v>5.1292908195020033</v>
      </c>
      <c r="GC586">
        <v>2.8817102592838917</v>
      </c>
      <c r="GD586">
        <v>1.6247429041353321</v>
      </c>
      <c r="GE586">
        <v>1.9568819916112956</v>
      </c>
      <c r="GF586">
        <v>1.2627066875430251</v>
      </c>
      <c r="GG586">
        <v>1.003228398856431</v>
      </c>
      <c r="GH586">
        <v>4.1568065634027374</v>
      </c>
      <c r="GI586">
        <v>4.2622070884218495</v>
      </c>
      <c r="GJ586"/>
      <c r="GK586">
        <v>8.019778692347483</v>
      </c>
      <c r="GL586">
        <v>6.1151929571934351</v>
      </c>
      <c r="GM586">
        <v>8.5736675799928577</v>
      </c>
      <c r="GN586">
        <v>8.7193514383446242</v>
      </c>
      <c r="GO586">
        <v>6.319319632446426</v>
      </c>
      <c r="GP586">
        <v>3.7464527962347729</v>
      </c>
      <c r="GQ586">
        <v>1.5473153180354264</v>
      </c>
      <c r="GR586">
        <v>1.4118986513687599</v>
      </c>
      <c r="GS586">
        <v>4.4331008922464967</v>
      </c>
      <c r="GT586">
        <v>5.7786364230137375</v>
      </c>
      <c r="GU586"/>
      <c r="GV586"/>
      <c r="GW586"/>
      <c r="GX586"/>
      <c r="GY586"/>
      <c r="GZ586"/>
      <c r="HA586"/>
      <c r="HB586"/>
      <c r="HC586"/>
    </row>
    <row r="587" spans="1:211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73.649099681387909</v>
      </c>
      <c r="AO587">
        <v>8.7014988155527675</v>
      </c>
      <c r="AP587">
        <v>5.0820455247148573</v>
      </c>
      <c r="AQ587">
        <v>67.154734448397136</v>
      </c>
      <c r="AR587">
        <v>9.1071959006793719</v>
      </c>
      <c r="AS587">
        <v>55.638546525638098</v>
      </c>
      <c r="AT587">
        <v>7.2443417329438722</v>
      </c>
      <c r="AU587">
        <v>4.2305994760936549</v>
      </c>
      <c r="AV587"/>
      <c r="AW587"/>
      <c r="FY587" s="211">
        <v>582</v>
      </c>
      <c r="FZ587">
        <v>6.6207208455262458</v>
      </c>
      <c r="GA587">
        <v>3.3795226292889575</v>
      </c>
      <c r="GB587">
        <v>5.2250148357088495</v>
      </c>
      <c r="GC587">
        <v>2.9746994721837337</v>
      </c>
      <c r="GD587">
        <v>1.4607574338109777</v>
      </c>
      <c r="GE587">
        <v>2.383922256905413</v>
      </c>
      <c r="GF587">
        <v>3.1163590421210725</v>
      </c>
      <c r="GG587">
        <v>3.0385697179475937</v>
      </c>
      <c r="GH587">
        <v>4.0756920335826399</v>
      </c>
      <c r="GI587">
        <v>4.3067443915426917</v>
      </c>
      <c r="GJ587"/>
      <c r="GK587">
        <v>6.6513190292370492</v>
      </c>
      <c r="GL587">
        <v>2.8634486875715743</v>
      </c>
      <c r="GM587">
        <v>8.6478326152223453</v>
      </c>
      <c r="GN587">
        <v>8.8420185786606655</v>
      </c>
      <c r="GO587">
        <v>5.661546484957559</v>
      </c>
      <c r="GP587">
        <v>4.5640218693185517</v>
      </c>
      <c r="GQ587">
        <v>3.8141429098704651</v>
      </c>
      <c r="GR587">
        <v>4.2730549469075019</v>
      </c>
      <c r="GS587">
        <v>4.3445296966893014</v>
      </c>
      <c r="GT587">
        <v>5.8238741471953439</v>
      </c>
      <c r="GU587"/>
      <c r="GV587"/>
      <c r="GW587"/>
      <c r="GX587"/>
      <c r="GY587"/>
      <c r="GZ587"/>
      <c r="HA587"/>
      <c r="HB587"/>
      <c r="HC587"/>
    </row>
    <row r="588" spans="1:211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73.082869713539438</v>
      </c>
      <c r="AO588">
        <v>8.7440937615484167</v>
      </c>
      <c r="AP588">
        <v>36.884379537362079</v>
      </c>
      <c r="AQ588">
        <v>63.245859845578991</v>
      </c>
      <c r="AR588">
        <v>8.8952694525602425</v>
      </c>
      <c r="AS588">
        <v>59.041192940799661</v>
      </c>
      <c r="AT588" t="e">
        <v>#DIV/0!</v>
      </c>
      <c r="AU588" t="e">
        <v>#DIV/0!</v>
      </c>
      <c r="AV588"/>
      <c r="AW588"/>
      <c r="FY588" s="211">
        <v>583</v>
      </c>
      <c r="FZ588">
        <v>17.006716723338563</v>
      </c>
      <c r="GA588">
        <v>15.078653715092825</v>
      </c>
      <c r="GB588">
        <v>5.2618751341981937</v>
      </c>
      <c r="GC588">
        <v>2.8216012992932078</v>
      </c>
      <c r="GD588">
        <v>1.7119909108501714</v>
      </c>
      <c r="GE588">
        <v>2.4654010705481735</v>
      </c>
      <c r="GF588">
        <v>1.7376891389387068</v>
      </c>
      <c r="GG588">
        <v>1.4644344241006084</v>
      </c>
      <c r="GH588">
        <v>3.1761518477362243</v>
      </c>
      <c r="GI588">
        <v>5.6077387079668606</v>
      </c>
      <c r="GJ588"/>
      <c r="GK588">
        <v>17.080560937540973</v>
      </c>
      <c r="GL588">
        <v>12.7781662654131</v>
      </c>
      <c r="GM588">
        <v>8.7119863309187355</v>
      </c>
      <c r="GN588">
        <v>8.4043887409474944</v>
      </c>
      <c r="GO588">
        <v>6.6481165732512641</v>
      </c>
      <c r="GP588">
        <v>4.7200131506090823</v>
      </c>
      <c r="GQ588">
        <v>2.1270417649191296</v>
      </c>
      <c r="GR588">
        <v>2.0593334315857961</v>
      </c>
      <c r="GS588">
        <v>3.384219027323224</v>
      </c>
      <c r="GT588">
        <v>7.5903849267906658</v>
      </c>
      <c r="GU588"/>
      <c r="GV588"/>
      <c r="GW588"/>
      <c r="GX588"/>
      <c r="GY588"/>
      <c r="GZ588"/>
      <c r="HA588"/>
      <c r="HB588"/>
      <c r="HC588"/>
    </row>
    <row r="589" spans="1:211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54.453021276648386</v>
      </c>
      <c r="AO589">
        <v>6.137351386973493</v>
      </c>
      <c r="AP589">
        <v>61.547705801523442</v>
      </c>
      <c r="AQ589">
        <v>43.979151750047492</v>
      </c>
      <c r="AR589">
        <v>6.617722284746641</v>
      </c>
      <c r="AS589">
        <v>41.275527741410883</v>
      </c>
      <c r="AT589" t="e">
        <v>#DIV/0!</v>
      </c>
      <c r="AU589" t="e">
        <v>#DIV/0!</v>
      </c>
      <c r="AV589"/>
      <c r="AW589"/>
      <c r="FY589" s="211">
        <v>584</v>
      </c>
      <c r="FZ589">
        <v>12.240059348019216</v>
      </c>
      <c r="GA589">
        <v>14.570216301974135</v>
      </c>
      <c r="GB589">
        <v>6.7983827504790497</v>
      </c>
      <c r="GC589">
        <v>2.5996153420868127</v>
      </c>
      <c r="GD589">
        <v>0.92448111647624065</v>
      </c>
      <c r="GE589">
        <v>0.85043001232558135</v>
      </c>
      <c r="GF589">
        <v>2.4079473552838153</v>
      </c>
      <c r="GG589">
        <v>2.7483064674882898</v>
      </c>
      <c r="GH589">
        <v>2.6436623264905976</v>
      </c>
      <c r="GI589">
        <v>4.86783666390963</v>
      </c>
      <c r="GJ589"/>
      <c r="GK589">
        <v>12.287041145888164</v>
      </c>
      <c r="GL589">
        <v>12.344095540265169</v>
      </c>
      <c r="GM589">
        <v>11.29996454002052</v>
      </c>
      <c r="GN589">
        <v>7.8200806781075105</v>
      </c>
      <c r="GO589">
        <v>3.6027140190629074</v>
      </c>
      <c r="GP589">
        <v>1.6281492248062013</v>
      </c>
      <c r="GQ589">
        <v>2.9483732866582599</v>
      </c>
      <c r="GR589">
        <v>3.8661973607323343</v>
      </c>
      <c r="GS589">
        <v>2.8170595343661549</v>
      </c>
      <c r="GT589">
        <v>6.5910305051992006</v>
      </c>
      <c r="GU589"/>
      <c r="GV589"/>
      <c r="GW589"/>
      <c r="GX589"/>
      <c r="GY589"/>
      <c r="GZ589"/>
      <c r="HA589"/>
      <c r="HB589"/>
      <c r="HC589"/>
    </row>
    <row r="590" spans="1:211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55.656173264212818</v>
      </c>
      <c r="AO590">
        <v>6.4670629402151167</v>
      </c>
      <c r="AP590">
        <v>67.59748688803684</v>
      </c>
      <c r="AQ590">
        <v>45.332015188619806</v>
      </c>
      <c r="AR590">
        <v>7.0935948871332535</v>
      </c>
      <c r="AS590">
        <v>45.192148627683608</v>
      </c>
      <c r="AT590" t="e">
        <v>#DIV/0!</v>
      </c>
      <c r="AU590" t="e">
        <v>#DIV/0!</v>
      </c>
      <c r="AV590"/>
      <c r="AW590"/>
      <c r="FY590" s="211">
        <v>585</v>
      </c>
      <c r="FZ590">
        <v>8.8213153927829939</v>
      </c>
      <c r="GA590">
        <v>6.0847373705127286</v>
      </c>
      <c r="GB590">
        <v>5.5128714430616075</v>
      </c>
      <c r="GC590">
        <v>2.9510086501066879</v>
      </c>
      <c r="GD590">
        <v>1.7483981452557831</v>
      </c>
      <c r="GE590">
        <v>2.5253864369054138</v>
      </c>
      <c r="GF590">
        <v>1.1521981644180253</v>
      </c>
      <c r="GG590">
        <v>1.003228398856431</v>
      </c>
      <c r="GH590">
        <v>5.4549019875095768</v>
      </c>
      <c r="GI590">
        <v>4.7352918942837654</v>
      </c>
      <c r="GJ590"/>
      <c r="GK590">
        <v>8.8682270463472683</v>
      </c>
      <c r="GL590">
        <v>5.1557273600598208</v>
      </c>
      <c r="GM590">
        <v>9.2117530878221512</v>
      </c>
      <c r="GN590">
        <v>8.9074981350128866</v>
      </c>
      <c r="GO590">
        <v>6.7783009078648888</v>
      </c>
      <c r="GP590">
        <v>4.8348552026518856</v>
      </c>
      <c r="GQ590">
        <v>1.4118986513687599</v>
      </c>
      <c r="GR590">
        <v>1.4118986513687599</v>
      </c>
      <c r="GS590">
        <v>5.8114872146746954</v>
      </c>
      <c r="GT590">
        <v>6.4163333816155523</v>
      </c>
      <c r="GU590"/>
      <c r="GV590"/>
      <c r="GW590"/>
      <c r="GX590"/>
      <c r="GY590"/>
      <c r="GZ590"/>
      <c r="HA590"/>
      <c r="HB590"/>
      <c r="HC590"/>
    </row>
    <row r="591" spans="1:211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53.746488496685174</v>
      </c>
      <c r="AO591">
        <v>6.2268721382993082</v>
      </c>
      <c r="AP591">
        <v>37.507675804885835</v>
      </c>
      <c r="AQ591">
        <v>43.388509951123162</v>
      </c>
      <c r="AR591">
        <v>6.465486758902939</v>
      </c>
      <c r="AS591">
        <v>39.395276115976117</v>
      </c>
      <c r="AT591" t="e">
        <v>#DIV/0!</v>
      </c>
      <c r="AU591" t="e">
        <v>#DIV/0!</v>
      </c>
      <c r="AV591"/>
      <c r="AW591"/>
      <c r="FY591" s="211">
        <v>586</v>
      </c>
      <c r="FZ591">
        <v>10.623070823436173</v>
      </c>
      <c r="GA591">
        <v>7.6758927219867701</v>
      </c>
      <c r="GB591">
        <v>5.1415131950233501</v>
      </c>
      <c r="GC591">
        <v>2.5960006608194948</v>
      </c>
      <c r="GD591">
        <v>2.4494070548654809</v>
      </c>
      <c r="GE591">
        <v>3.9790448001680678</v>
      </c>
      <c r="GF591">
        <v>1.20049492930329</v>
      </c>
      <c r="GG591">
        <v>0.9966950165485251</v>
      </c>
      <c r="GH591">
        <v>3.8938706988014018</v>
      </c>
      <c r="GI591">
        <v>5.0761831291244244</v>
      </c>
      <c r="GJ591"/>
      <c r="GK591">
        <v>10.684503776369606</v>
      </c>
      <c r="GL591">
        <v>6.5043820661800948</v>
      </c>
      <c r="GM591">
        <v>8.5936680216334551</v>
      </c>
      <c r="GN591">
        <v>7.8566684166418792</v>
      </c>
      <c r="GO591">
        <v>9.5065480137731893</v>
      </c>
      <c r="GP591">
        <v>7.6178857906799093</v>
      </c>
      <c r="GQ591">
        <v>1.4687663019561665</v>
      </c>
      <c r="GR591">
        <v>1.4010579686228333</v>
      </c>
      <c r="GS591">
        <v>4.1533370105749619</v>
      </c>
      <c r="GT591">
        <v>6.8813646248614768</v>
      </c>
      <c r="GU591"/>
      <c r="GV591"/>
      <c r="GW591"/>
      <c r="GX591"/>
      <c r="GY591"/>
      <c r="GZ591"/>
      <c r="HA591"/>
      <c r="HB591"/>
      <c r="HC591"/>
    </row>
    <row r="592" spans="1:211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48.840920088521486</v>
      </c>
      <c r="AO592">
        <v>5.6358994250823553</v>
      </c>
      <c r="AP592">
        <v>11.841588403030553</v>
      </c>
      <c r="AQ592">
        <v>45.938105632603843</v>
      </c>
      <c r="AR592">
        <v>5.7101935580180871</v>
      </c>
      <c r="AS592">
        <v>35.622385193048849</v>
      </c>
      <c r="AT592" t="e">
        <v>#DIV/0!</v>
      </c>
      <c r="AU592" t="e">
        <v>#DIV/0!</v>
      </c>
      <c r="AV592"/>
      <c r="AW592"/>
      <c r="FY592" s="211">
        <v>587</v>
      </c>
      <c r="FZ592">
        <v>13.72394060217156</v>
      </c>
      <c r="GA592">
        <v>11.570699262523942</v>
      </c>
      <c r="GB592">
        <v>5.5686252425783538</v>
      </c>
      <c r="GC592">
        <v>3.3931673303877656</v>
      </c>
      <c r="GD592">
        <v>2.3889214953682809</v>
      </c>
      <c r="GE592">
        <v>3.4206449391596645</v>
      </c>
      <c r="GF592">
        <v>1.767202119200634</v>
      </c>
      <c r="GG592">
        <v>1.9129089162024455</v>
      </c>
      <c r="GH592">
        <v>3.1149558846052092</v>
      </c>
      <c r="GI592">
        <v>5.5871859510057469</v>
      </c>
      <c r="GJ592"/>
      <c r="GK592">
        <v>13.772396586454905</v>
      </c>
      <c r="GL592">
        <v>9.8028494870506471</v>
      </c>
      <c r="GM592">
        <v>9.3025027070874344</v>
      </c>
      <c r="GN592">
        <v>10.241257360497031</v>
      </c>
      <c r="GO592">
        <v>9.2822609347601635</v>
      </c>
      <c r="GP592">
        <v>6.5488286223580348</v>
      </c>
      <c r="GQ592">
        <v>2.165521839774557</v>
      </c>
      <c r="GR592">
        <v>2.6921422101449273</v>
      </c>
      <c r="GS592">
        <v>3.3187855874932572</v>
      </c>
      <c r="GT592">
        <v>7.5682935311140636</v>
      </c>
      <c r="GU592"/>
      <c r="GV592"/>
      <c r="GW592"/>
      <c r="GX592"/>
      <c r="GY592"/>
      <c r="GZ592"/>
      <c r="HA592"/>
      <c r="HB592"/>
      <c r="HC592"/>
    </row>
    <row r="593" spans="1:211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49.540098651704696</v>
      </c>
      <c r="AO593">
        <v>5.9606632397310007</v>
      </c>
      <c r="AP593">
        <v>21.115014535161158</v>
      </c>
      <c r="AQ593">
        <v>45.698177959517515</v>
      </c>
      <c r="AR593">
        <v>6.3922931088772827</v>
      </c>
      <c r="AS593">
        <v>37.567671312979478</v>
      </c>
      <c r="AT593" t="e">
        <v>#DIV/0!</v>
      </c>
      <c r="AU593" t="e">
        <v>#DIV/0!</v>
      </c>
      <c r="AV593"/>
      <c r="AW593"/>
      <c r="FY593" s="211">
        <v>588</v>
      </c>
      <c r="FZ593">
        <v>13.132077907793132</v>
      </c>
      <c r="GA593">
        <v>16.356246348421749</v>
      </c>
      <c r="GB593">
        <v>5.9192320259400431</v>
      </c>
      <c r="GC593">
        <v>2.6306886617605398</v>
      </c>
      <c r="GD593">
        <v>2.0421677014359969</v>
      </c>
      <c r="GE593">
        <v>2.7820505432225926</v>
      </c>
      <c r="GF593">
        <v>5.5254261562500004E-2</v>
      </c>
      <c r="GG593">
        <v>0.37419152604166667</v>
      </c>
      <c r="GH593">
        <v>3.9821881013442839</v>
      </c>
      <c r="GI593">
        <v>5.2086404675671769</v>
      </c>
      <c r="GJ593"/>
      <c r="GK593">
        <v>13.169907523961831</v>
      </c>
      <c r="GL593">
        <v>13.857739810769319</v>
      </c>
      <c r="GM593">
        <v>9.8039271879405323</v>
      </c>
      <c r="GN593">
        <v>7.8523748509647922</v>
      </c>
      <c r="GO593">
        <v>7.93779623820501</v>
      </c>
      <c r="GP593">
        <v>5.3262389258028815</v>
      </c>
      <c r="GQ593">
        <v>6.7708333333333329E-2</v>
      </c>
      <c r="GR593">
        <v>0.52662037037037035</v>
      </c>
      <c r="GS593">
        <v>4.2464744665432601</v>
      </c>
      <c r="GT593">
        <v>7.0451627499967922</v>
      </c>
      <c r="GU593"/>
      <c r="GV593"/>
      <c r="GW593"/>
      <c r="GX593"/>
      <c r="GY593"/>
      <c r="GZ593"/>
      <c r="HA593"/>
      <c r="HB593"/>
      <c r="HC593"/>
    </row>
    <row r="594" spans="1:211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66.212323477598034</v>
      </c>
      <c r="AO594">
        <v>7.8091844510954846</v>
      </c>
      <c r="AP594">
        <v>47.743485825343747</v>
      </c>
      <c r="AQ594">
        <v>53.18267013244391</v>
      </c>
      <c r="AR594">
        <v>7.9095346964550153</v>
      </c>
      <c r="AS594">
        <v>52.725521415054331</v>
      </c>
      <c r="AT594" t="e">
        <v>#DIV/0!</v>
      </c>
      <c r="AU594" t="e">
        <v>#DIV/0!</v>
      </c>
      <c r="AV594"/>
      <c r="AW594"/>
      <c r="FY594" s="211">
        <v>589</v>
      </c>
      <c r="FZ594">
        <v>14.283202043989549</v>
      </c>
      <c r="GA594">
        <v>16.919022952492902</v>
      </c>
      <c r="GB594">
        <v>7.7209782285579145</v>
      </c>
      <c r="GC594">
        <v>3.3853229852533149</v>
      </c>
      <c r="GD594">
        <v>1.6098289117228681</v>
      </c>
      <c r="GE594">
        <v>2.0983461716112957</v>
      </c>
      <c r="GF594">
        <v>2.508312584015699</v>
      </c>
      <c r="GG594">
        <v>2.5096141089511512</v>
      </c>
      <c r="GH594">
        <v>4.4596547530166957</v>
      </c>
      <c r="GI594">
        <v>6.0987326976846568</v>
      </c>
      <c r="GJ594"/>
      <c r="GK594">
        <v>14.321195824023656</v>
      </c>
      <c r="GL594">
        <v>14.335926036869244</v>
      </c>
      <c r="GM594">
        <v>12.902329794274731</v>
      </c>
      <c r="GN594">
        <v>10.262942031260886</v>
      </c>
      <c r="GO594">
        <v>6.2512608526613862</v>
      </c>
      <c r="GP594">
        <v>4.0172861295681059</v>
      </c>
      <c r="GQ594">
        <v>3.0713604042105942</v>
      </c>
      <c r="GR594">
        <v>3.5302724412476314</v>
      </c>
      <c r="GS594">
        <v>4.7530844535201071</v>
      </c>
      <c r="GT594">
        <v>8.2598462657380942</v>
      </c>
      <c r="GU594"/>
      <c r="GV594"/>
      <c r="GW594"/>
      <c r="GX594"/>
      <c r="GY594"/>
      <c r="GZ594"/>
      <c r="HA594"/>
      <c r="HB594"/>
      <c r="HC594"/>
    </row>
    <row r="595" spans="1:211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68.525952308403674</v>
      </c>
      <c r="AO595">
        <v>7.9335205183859596</v>
      </c>
      <c r="AP595">
        <v>4.4261932409686313</v>
      </c>
      <c r="AQ595">
        <v>58.803209854554041</v>
      </c>
      <c r="AR595">
        <v>8.3315670976412637</v>
      </c>
      <c r="AS595">
        <v>50.95047773782666</v>
      </c>
      <c r="AT595">
        <v>6.6489160911866998</v>
      </c>
      <c r="AU595">
        <v>1.9909536647066872</v>
      </c>
      <c r="AV595"/>
      <c r="AW595"/>
      <c r="FY595" s="211">
        <v>590</v>
      </c>
      <c r="FZ595">
        <v>10.12694895198349</v>
      </c>
      <c r="GA595">
        <v>13.162096206163215</v>
      </c>
      <c r="GB595">
        <v>6.9372485418830232</v>
      </c>
      <c r="GC595">
        <v>2.4432717155630845</v>
      </c>
      <c r="GD595">
        <v>2.3332801954999693</v>
      </c>
      <c r="GE595">
        <v>3.5997622358422912</v>
      </c>
      <c r="GF595">
        <v>0.82906350435537324</v>
      </c>
      <c r="GG595">
        <v>1.277338661079775</v>
      </c>
      <c r="GH595">
        <v>4.315476435921795</v>
      </c>
      <c r="GI595">
        <v>5.3727447222609515</v>
      </c>
      <c r="GJ595"/>
      <c r="GK595">
        <v>10.168984207854749</v>
      </c>
      <c r="GL595">
        <v>11.152355044191232</v>
      </c>
      <c r="GM595">
        <v>11.529230625084644</v>
      </c>
      <c r="GN595">
        <v>7.3350444167153981</v>
      </c>
      <c r="GO595">
        <v>9.0460576908106258</v>
      </c>
      <c r="GP595">
        <v>6.8917488903595281</v>
      </c>
      <c r="GQ595">
        <v>1.0136158389932035</v>
      </c>
      <c r="GR595">
        <v>1.796023246400611</v>
      </c>
      <c r="GS595">
        <v>4.6014366344297795</v>
      </c>
      <c r="GT595">
        <v>7.2718649994345999</v>
      </c>
      <c r="GU595"/>
      <c r="GV595"/>
      <c r="GW595"/>
      <c r="GX595"/>
      <c r="GY595"/>
      <c r="GZ595"/>
      <c r="HA595"/>
      <c r="HB595"/>
      <c r="HC595"/>
    </row>
    <row r="596" spans="1:211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67.991986994188636</v>
      </c>
      <c r="AO596">
        <v>8.2005367615531277</v>
      </c>
      <c r="AP596">
        <v>4.4484454756543403</v>
      </c>
      <c r="AQ596">
        <v>55.734349315299745</v>
      </c>
      <c r="AR596">
        <v>8.3716693731890235</v>
      </c>
      <c r="AS596">
        <v>53.761887235429413</v>
      </c>
      <c r="AT596">
        <v>6.7465496001630028</v>
      </c>
      <c r="AU596">
        <v>7.0464623880087895</v>
      </c>
      <c r="AV596"/>
      <c r="AW596"/>
      <c r="FY596" s="211">
        <v>591</v>
      </c>
      <c r="FZ596">
        <v>12.541059931502748</v>
      </c>
      <c r="GA596">
        <v>9.6719858012776463</v>
      </c>
      <c r="GB596">
        <v>6.7761737367712094</v>
      </c>
      <c r="GC596">
        <v>3.9590180282312843</v>
      </c>
      <c r="GD596">
        <v>1.1396406198111033</v>
      </c>
      <c r="GE596">
        <v>1.5250325926196988</v>
      </c>
      <c r="GF596">
        <v>1.8154988840858985</v>
      </c>
      <c r="GG596">
        <v>2.2805670599362062</v>
      </c>
      <c r="GH596">
        <v>5.1568687104491229</v>
      </c>
      <c r="GI596">
        <v>5.3208890484212867</v>
      </c>
      <c r="GJ596"/>
      <c r="GK596">
        <v>12.582468201282985</v>
      </c>
      <c r="GL596">
        <v>8.1958039050003606</v>
      </c>
      <c r="GM596">
        <v>11.294154419639561</v>
      </c>
      <c r="GN596">
        <v>11.899344061960726</v>
      </c>
      <c r="GO596">
        <v>4.428204925745165</v>
      </c>
      <c r="GP596">
        <v>2.9196766312233136</v>
      </c>
      <c r="GQ596">
        <v>2.2223894903619632</v>
      </c>
      <c r="GR596">
        <v>3.2079218977693706</v>
      </c>
      <c r="GS596">
        <v>5.4978718087493066</v>
      </c>
      <c r="GT596">
        <v>7.2050177691557966</v>
      </c>
      <c r="GU596"/>
      <c r="GV596"/>
      <c r="GW596"/>
      <c r="GX596"/>
      <c r="GY596"/>
      <c r="GZ596"/>
      <c r="HA596"/>
      <c r="HB596"/>
      <c r="HC596"/>
    </row>
    <row r="597" spans="1:211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42.644745771949374</v>
      </c>
      <c r="AO597">
        <v>5.4664714381224018</v>
      </c>
      <c r="AP597">
        <v>57.275466685561277</v>
      </c>
      <c r="AQ597">
        <v>37.473525875604807</v>
      </c>
      <c r="AR597">
        <v>5.7786364230137375</v>
      </c>
      <c r="AS597">
        <v>35.364213646751011</v>
      </c>
      <c r="AT597" t="e">
        <v>#DIV/0!</v>
      </c>
      <c r="AU597" t="e">
        <v>#DIV/0!</v>
      </c>
      <c r="AV597"/>
      <c r="AW597"/>
      <c r="FY597" s="211">
        <v>592</v>
      </c>
      <c r="FZ597">
        <v>8.5555319563619143</v>
      </c>
      <c r="GA597">
        <v>4.0220727946002199</v>
      </c>
      <c r="GB597">
        <v>3.9393095866832826</v>
      </c>
      <c r="GC597">
        <v>2.5912264082407068</v>
      </c>
      <c r="GD597">
        <v>1.4699544261399877</v>
      </c>
      <c r="GE597">
        <v>1.8845049692857139</v>
      </c>
      <c r="GF597">
        <v>3.0315918002966447</v>
      </c>
      <c r="GG597">
        <v>2.5900952258457561</v>
      </c>
      <c r="GH597">
        <v>4.3266944307165529</v>
      </c>
      <c r="GI597">
        <v>4.3107609719632665</v>
      </c>
      <c r="GJ597"/>
      <c r="GK597">
        <v>8.6048066036811548</v>
      </c>
      <c r="GL597">
        <v>3.4085469855340209</v>
      </c>
      <c r="GM597">
        <v>6.5279366739201929</v>
      </c>
      <c r="GN597">
        <v>7.7461039948590562</v>
      </c>
      <c r="GO597">
        <v>5.7293928779014545</v>
      </c>
      <c r="GP597">
        <v>3.6078869047619042</v>
      </c>
      <c r="GQ597">
        <v>3.7079545016817037</v>
      </c>
      <c r="GR597">
        <v>3.6402461683483707</v>
      </c>
      <c r="GS597">
        <v>4.612793265926209</v>
      </c>
      <c r="GT597">
        <v>5.8365767846221441</v>
      </c>
      <c r="GU597"/>
      <c r="GV597"/>
      <c r="GW597"/>
      <c r="GX597"/>
      <c r="GY597"/>
      <c r="GZ597"/>
      <c r="HA597"/>
      <c r="HB597"/>
      <c r="HC597"/>
    </row>
    <row r="598" spans="1:211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51.284824835943027</v>
      </c>
      <c r="AO598">
        <v>5.5485788965630345</v>
      </c>
      <c r="AP598">
        <v>3.312930531743743</v>
      </c>
      <c r="AQ598">
        <v>36.58200265861818</v>
      </c>
      <c r="AR598">
        <v>5.823874147195343</v>
      </c>
      <c r="AS598">
        <v>35.509919939153342</v>
      </c>
      <c r="AT598">
        <v>4.6613027825626245</v>
      </c>
      <c r="AU598">
        <v>4.7664179954849342</v>
      </c>
      <c r="AV598"/>
      <c r="AW598"/>
      <c r="FY598" s="211">
        <v>593</v>
      </c>
      <c r="FZ598">
        <v>14.309382050704539</v>
      </c>
      <c r="GA598">
        <v>15.053294495174457</v>
      </c>
      <c r="GB598">
        <v>7.8524059704020335</v>
      </c>
      <c r="GC598">
        <v>3.9220341276817843</v>
      </c>
      <c r="GD598">
        <v>1.7832793197742314</v>
      </c>
      <c r="GE598">
        <v>2.4209332342309948</v>
      </c>
      <c r="GF598">
        <v>3.622357277941576</v>
      </c>
      <c r="GG598">
        <v>3.0096851965692935</v>
      </c>
      <c r="GH598">
        <v>3.9769046481574963</v>
      </c>
      <c r="GI598">
        <v>6.3565538385772662</v>
      </c>
      <c r="GJ598"/>
      <c r="GK598">
        <v>14.356364759737614</v>
      </c>
      <c r="GL598">
        <v>12.754707789864412</v>
      </c>
      <c r="GM598">
        <v>13.044408869358829</v>
      </c>
      <c r="GN598">
        <v>11.751477922679014</v>
      </c>
      <c r="GO598">
        <v>6.9340111446221204</v>
      </c>
      <c r="GP598">
        <v>4.6348794274580873</v>
      </c>
      <c r="GQ598">
        <v>4.43882095410628</v>
      </c>
      <c r="GR598">
        <v>4.23569595410628</v>
      </c>
      <c r="GS598">
        <v>4.2406968424287355</v>
      </c>
      <c r="GT598">
        <v>8.6028605140507164</v>
      </c>
      <c r="GU598"/>
      <c r="GV598"/>
      <c r="GW598"/>
      <c r="GX598"/>
      <c r="GY598"/>
      <c r="GZ598"/>
      <c r="HA598"/>
      <c r="HB598"/>
      <c r="HC598"/>
    </row>
    <row r="599" spans="1:211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62.438053528738507</v>
      </c>
      <c r="AO599">
        <v>7.3504211149299463</v>
      </c>
      <c r="AP599">
        <v>41.806570315055644</v>
      </c>
      <c r="AQ599">
        <v>56.332252972063529</v>
      </c>
      <c r="AR599">
        <v>7.590384926790664</v>
      </c>
      <c r="AS599">
        <v>48.369238942711483</v>
      </c>
      <c r="AT599" t="e">
        <v>#DIV/0!</v>
      </c>
      <c r="AU599" t="e">
        <v>#DIV/0!</v>
      </c>
      <c r="AV599"/>
      <c r="AW599"/>
      <c r="FY599" s="211">
        <v>594</v>
      </c>
      <c r="FZ599">
        <v>10.689258106924262</v>
      </c>
      <c r="GA599">
        <v>12.054243600356109</v>
      </c>
      <c r="GB599">
        <v>7.3283832130294178</v>
      </c>
      <c r="GC599">
        <v>3.3543939015479154</v>
      </c>
      <c r="GD599">
        <v>2.6490474618349764</v>
      </c>
      <c r="GE599">
        <v>3.8644870132079343</v>
      </c>
      <c r="GF599">
        <v>1.2852621711277175</v>
      </c>
      <c r="GG599">
        <v>1.819361034692029</v>
      </c>
      <c r="GH599">
        <v>5.7554493936444295</v>
      </c>
      <c r="GI599">
        <v>6.0442692104071147</v>
      </c>
      <c r="GJ599"/>
      <c r="GK599">
        <v>10.732076441867266</v>
      </c>
      <c r="GL599">
        <v>10.21424303836965</v>
      </c>
      <c r="GM599">
        <v>12.175955529522774</v>
      </c>
      <c r="GN599">
        <v>10.054613449166192</v>
      </c>
      <c r="GO599">
        <v>10.281355700033053</v>
      </c>
      <c r="GP599">
        <v>7.398564777390872</v>
      </c>
      <c r="GQ599">
        <v>1.5749547101449275</v>
      </c>
      <c r="GR599">
        <v>2.5604871175523347</v>
      </c>
      <c r="GS599">
        <v>6.1367656541371609</v>
      </c>
      <c r="GT599">
        <v>8.1802216071410356</v>
      </c>
      <c r="GU599"/>
      <c r="GV599"/>
      <c r="GW599"/>
      <c r="GX599"/>
      <c r="GY599"/>
      <c r="GZ599"/>
      <c r="HA599"/>
      <c r="HB599"/>
      <c r="HC599"/>
    </row>
    <row r="600" spans="1:211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55.043195208722935</v>
      </c>
      <c r="AO600">
        <v>6.520470583510642</v>
      </c>
      <c r="AP600">
        <v>5.626579870092856</v>
      </c>
      <c r="AQ600">
        <v>50.650937684533375</v>
      </c>
      <c r="AR600">
        <v>6.5910305051992033</v>
      </c>
      <c r="AS600">
        <v>41.266622889532101</v>
      </c>
      <c r="AT600">
        <v>5.2467241826594613</v>
      </c>
      <c r="AU600">
        <v>5.5255492482915933</v>
      </c>
      <c r="AV600"/>
      <c r="AW600"/>
      <c r="FY600" s="211">
        <v>595</v>
      </c>
      <c r="FZ600">
        <v>6.1049795975000603</v>
      </c>
      <c r="GA600">
        <v>1.5647305812520618</v>
      </c>
      <c r="GB600">
        <v>4.3755542334853352</v>
      </c>
      <c r="GC600">
        <v>3.3016521535135364</v>
      </c>
      <c r="GD600">
        <v>1.3556107075097403</v>
      </c>
      <c r="GE600">
        <v>1.1418180242857141</v>
      </c>
      <c r="GF600">
        <v>2.4374603355457425</v>
      </c>
      <c r="GG600">
        <v>3.1967809595901269</v>
      </c>
      <c r="GH600">
        <v>4.3006356158392682</v>
      </c>
      <c r="GI600">
        <v>3.8794432450742335</v>
      </c>
      <c r="GJ600"/>
      <c r="GK600">
        <v>6.1532939270025206</v>
      </c>
      <c r="GL600">
        <v>1.3258778367292554</v>
      </c>
      <c r="GM600">
        <v>7.3286839129067083</v>
      </c>
      <c r="GN600">
        <v>9.9523529718666452</v>
      </c>
      <c r="GO600">
        <v>5.2553504671177649</v>
      </c>
      <c r="GP600">
        <v>2.1860119047619047</v>
      </c>
      <c r="GQ600">
        <v>2.986853361513687</v>
      </c>
      <c r="GR600">
        <v>4.4990061392914651</v>
      </c>
      <c r="GS600">
        <v>4.584991705804442</v>
      </c>
      <c r="GT600">
        <v>5.2618346748690241</v>
      </c>
      <c r="GU600"/>
      <c r="GV600"/>
      <c r="GW600"/>
      <c r="GX600"/>
      <c r="GY600"/>
      <c r="GZ600"/>
      <c r="HA600"/>
      <c r="HB600"/>
      <c r="HC600"/>
    </row>
    <row r="601" spans="1:211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46.03092117478954</v>
      </c>
      <c r="AO601">
        <v>5.8807979638786669</v>
      </c>
      <c r="AP601">
        <v>87.970600708673203</v>
      </c>
      <c r="AQ601">
        <v>39.989337883693011</v>
      </c>
      <c r="AR601">
        <v>6.4163333816155514</v>
      </c>
      <c r="AS601">
        <v>38.061724088608315</v>
      </c>
      <c r="AT601" t="e">
        <v>#DIV/0!</v>
      </c>
      <c r="AU601" t="e">
        <v>#DIV/0!</v>
      </c>
      <c r="AV601"/>
      <c r="AW601"/>
      <c r="FY601" s="211">
        <v>596</v>
      </c>
      <c r="FZ601">
        <v>9.2902608795675654</v>
      </c>
      <c r="GA601">
        <v>6.6955035625181791</v>
      </c>
      <c r="GB601">
        <v>4.4543844174039888</v>
      </c>
      <c r="GC601">
        <v>3.0405783096489296</v>
      </c>
      <c r="GD601">
        <v>2.407059505497315</v>
      </c>
      <c r="GE601">
        <v>3.7230228332079354</v>
      </c>
      <c r="GF601">
        <v>1.822456380763134</v>
      </c>
      <c r="GG601">
        <v>2.2871004422441126</v>
      </c>
      <c r="GH601">
        <v>5.3010686364479458</v>
      </c>
      <c r="GI601">
        <v>5.0193215172848129</v>
      </c>
      <c r="GJ601"/>
      <c r="GK601">
        <v>9.3218703127151414</v>
      </c>
      <c r="GL601">
        <v>5.675124776862047</v>
      </c>
      <c r="GM601">
        <v>7.4155193416484444</v>
      </c>
      <c r="GN601">
        <v>9.1160202665588042</v>
      </c>
      <c r="GO601">
        <v>9.3416102056971564</v>
      </c>
      <c r="GP601">
        <v>7.1277314440575399</v>
      </c>
      <c r="GQ601">
        <v>2.2332301731078905</v>
      </c>
      <c r="GR601">
        <v>3.218762580515298</v>
      </c>
      <c r="GS601">
        <v>5.6545038309048801</v>
      </c>
      <c r="GT601">
        <v>6.7933467728147026</v>
      </c>
      <c r="GU601"/>
      <c r="GV601"/>
      <c r="GW601"/>
      <c r="GX601"/>
      <c r="GY601"/>
      <c r="GZ601"/>
      <c r="HA601"/>
      <c r="HB601"/>
      <c r="HC601"/>
    </row>
    <row r="602" spans="1:211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49.451270885601517</v>
      </c>
      <c r="AO602">
        <v>6.4668181991293565</v>
      </c>
      <c r="AP602">
        <v>52.942840358718577</v>
      </c>
      <c r="AQ602">
        <v>43.63217303007697</v>
      </c>
      <c r="AR602">
        <v>6.881364624861475</v>
      </c>
      <c r="AS602">
        <v>39.987688218844241</v>
      </c>
      <c r="AT602" t="e">
        <v>#DIV/0!</v>
      </c>
      <c r="AU602" t="e">
        <v>#DIV/0!</v>
      </c>
      <c r="AV602"/>
      <c r="AW602"/>
      <c r="FY602" s="211">
        <v>597</v>
      </c>
      <c r="FZ602">
        <v>12.79273593911004</v>
      </c>
      <c r="GA602">
        <v>13.536181276483006</v>
      </c>
      <c r="GB602">
        <v>8.8784048801717681</v>
      </c>
      <c r="GC602">
        <v>4.0199608628207297</v>
      </c>
      <c r="GD602">
        <v>2.4050612555128499</v>
      </c>
      <c r="GE602">
        <v>3.2707211071995315</v>
      </c>
      <c r="GF602">
        <v>2.9054852902641888</v>
      </c>
      <c r="GG602">
        <v>2.9030705504430645</v>
      </c>
      <c r="GH602">
        <v>3.4150689621879664</v>
      </c>
      <c r="GI602">
        <v>6.5189248868678042</v>
      </c>
      <c r="GJ602"/>
      <c r="GK602">
        <v>12.844335267858778</v>
      </c>
      <c r="GL602">
        <v>11.466943260498503</v>
      </c>
      <c r="GM602">
        <v>14.744235966170484</v>
      </c>
      <c r="GN602">
        <v>12.030853280243626</v>
      </c>
      <c r="GO602">
        <v>9.3251177281166182</v>
      </c>
      <c r="GP602">
        <v>6.2617992757356653</v>
      </c>
      <c r="GQ602">
        <v>3.5557391256514634</v>
      </c>
      <c r="GR602">
        <v>4.0823594960218337</v>
      </c>
      <c r="GS602">
        <v>3.6408122686256181</v>
      </c>
      <c r="GT602">
        <v>8.822048071284593</v>
      </c>
      <c r="GU602"/>
      <c r="GV602"/>
      <c r="GW602"/>
      <c r="GX602"/>
      <c r="GY602"/>
      <c r="GZ602"/>
      <c r="HA602"/>
      <c r="HB602"/>
      <c r="HC602"/>
    </row>
    <row r="603" spans="1:211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59.947055942195412</v>
      </c>
      <c r="AO603">
        <v>7.4694838866735029</v>
      </c>
      <c r="AP603">
        <v>30.48420976613394</v>
      </c>
      <c r="AQ603">
        <v>52.448251743203599</v>
      </c>
      <c r="AR603">
        <v>7.5682935311140627</v>
      </c>
      <c r="AS603">
        <v>44.07511825342155</v>
      </c>
      <c r="AT603" t="e">
        <v>#DIV/0!</v>
      </c>
      <c r="AU603" t="e">
        <v>#DIV/0!</v>
      </c>
      <c r="AV603"/>
      <c r="AW603"/>
      <c r="FY603" s="211">
        <v>598</v>
      </c>
      <c r="FZ603">
        <v>18.686291144360013</v>
      </c>
      <c r="GA603">
        <v>14.23527848345072</v>
      </c>
      <c r="GB603">
        <v>6.1897850823773455</v>
      </c>
      <c r="GC603">
        <v>4.2578576470536804</v>
      </c>
      <c r="GD603">
        <v>1.5621883975885933</v>
      </c>
      <c r="GE603">
        <v>1.3926702039368772</v>
      </c>
      <c r="GF603">
        <v>0.60804645810537317</v>
      </c>
      <c r="GG603">
        <v>0.52895560899644167</v>
      </c>
      <c r="GH603">
        <v>5.5869489502435226</v>
      </c>
      <c r="GI603">
        <v>6.1753645782800071</v>
      </c>
      <c r="GJ603"/>
      <c r="GK603">
        <v>18.747128375701926</v>
      </c>
      <c r="GL603">
        <v>12.061285424221463</v>
      </c>
      <c r="GM603">
        <v>10.250188552110149</v>
      </c>
      <c r="GN603">
        <v>12.688906488953164</v>
      </c>
      <c r="GO603">
        <v>6.0760336100846768</v>
      </c>
      <c r="GP603">
        <v>2.6662686877076411</v>
      </c>
      <c r="GQ603">
        <v>0.74278250565987025</v>
      </c>
      <c r="GR603">
        <v>0.74278250565987025</v>
      </c>
      <c r="GS603">
        <v>5.9579418982552488</v>
      </c>
      <c r="GT603">
        <v>8.3548149883623744</v>
      </c>
      <c r="GU603"/>
      <c r="GV603"/>
      <c r="GW603"/>
      <c r="GX603"/>
      <c r="GY603"/>
      <c r="GZ603"/>
      <c r="HA603"/>
      <c r="HB603"/>
      <c r="HC603"/>
    </row>
    <row r="604" spans="1:211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60.074746692340113</v>
      </c>
      <c r="AO604">
        <v>6.9833950457888134</v>
      </c>
      <c r="AP604">
        <v>9.2616703960574842</v>
      </c>
      <c r="AQ604">
        <v>52.482737545089684</v>
      </c>
      <c r="AR604">
        <v>7.0451627499967966</v>
      </c>
      <c r="AS604">
        <v>47.297504394992693</v>
      </c>
      <c r="AT604" t="e">
        <v>#DIV/0!</v>
      </c>
      <c r="AU604" t="e">
        <v>#DIV/0!</v>
      </c>
      <c r="AV604"/>
      <c r="AW604"/>
      <c r="FY604" s="211">
        <v>599</v>
      </c>
      <c r="FZ604">
        <v>21.666690789898258</v>
      </c>
      <c r="GA604">
        <v>17.819531193050995</v>
      </c>
      <c r="GB604">
        <v>5.3457436983046307</v>
      </c>
      <c r="GC604">
        <v>3.4162616679741973</v>
      </c>
      <c r="GD604">
        <v>2.6402640178624672</v>
      </c>
      <c r="GE604">
        <v>3.9089548495251125</v>
      </c>
      <c r="GF604">
        <v>1.7602446225233985</v>
      </c>
      <c r="GG604">
        <v>1.9063755338945396</v>
      </c>
      <c r="GH604">
        <v>4.7942133483286486</v>
      </c>
      <c r="GI604">
        <v>7.1145856784065211</v>
      </c>
      <c r="GJ604"/>
      <c r="GK604">
        <v>21.742185974252692</v>
      </c>
      <c r="GL604">
        <v>15.099216832379295</v>
      </c>
      <c r="GM604">
        <v>8.8963567384167099</v>
      </c>
      <c r="GN604">
        <v>10.252730299984135</v>
      </c>
      <c r="GO604">
        <v>10.256788551039234</v>
      </c>
      <c r="GP604">
        <v>7.4836985005418661</v>
      </c>
      <c r="GQ604">
        <v>2.1546811570286302</v>
      </c>
      <c r="GR604">
        <v>2.6813015273990004</v>
      </c>
      <c r="GS604">
        <v>5.1092610064245196</v>
      </c>
      <c r="GT604">
        <v>9.6318546854323568</v>
      </c>
      <c r="GU604"/>
      <c r="GV604"/>
      <c r="GW604"/>
      <c r="GX604"/>
      <c r="GY604"/>
      <c r="GZ604"/>
      <c r="HA604"/>
      <c r="HB604"/>
      <c r="HC604"/>
    </row>
    <row r="605" spans="1:211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67.333419708782756</v>
      </c>
      <c r="AO605">
        <v>8.1705504233374437</v>
      </c>
      <c r="AP605">
        <v>6.4705266318293537</v>
      </c>
      <c r="AQ605">
        <v>61.593015437296046</v>
      </c>
      <c r="AR605">
        <v>8.259846265738096</v>
      </c>
      <c r="AS605">
        <v>48.230108675874213</v>
      </c>
      <c r="AT605">
        <v>6.5409259526260586</v>
      </c>
      <c r="AU605">
        <v>2.4916294347142118</v>
      </c>
      <c r="AV605"/>
      <c r="AW605"/>
      <c r="FY605" s="211">
        <v>600</v>
      </c>
      <c r="FZ605">
        <v>8.0202991164723798</v>
      </c>
      <c r="GA605">
        <v>6.2894674508240502</v>
      </c>
      <c r="GB605">
        <v>5.6465457350408679</v>
      </c>
      <c r="GC605">
        <v>3.3549151630733092</v>
      </c>
      <c r="GD605">
        <v>1.5974075240882351</v>
      </c>
      <c r="GE605">
        <v>1.922518739579832</v>
      </c>
      <c r="GF605">
        <v>0.66330071966787318</v>
      </c>
      <c r="GG605">
        <v>0.52895560899644167</v>
      </c>
      <c r="GH605">
        <v>7.1755679857526413</v>
      </c>
      <c r="GI605">
        <v>4.7430521473579637</v>
      </c>
      <c r="GJ605"/>
      <c r="GK605">
        <v>8.071904129726871</v>
      </c>
      <c r="GL605">
        <v>5.3302100806460748</v>
      </c>
      <c r="GM605">
        <v>9.3917850811089814</v>
      </c>
      <c r="GN605">
        <v>10.046991667129573</v>
      </c>
      <c r="GO605">
        <v>6.1936107397504454</v>
      </c>
      <c r="GP605">
        <v>3.6806643111790169</v>
      </c>
      <c r="GQ605">
        <v>0.81049083899320351</v>
      </c>
      <c r="GR605">
        <v>0.74278250565987025</v>
      </c>
      <c r="GS605">
        <v>7.6515281173228109</v>
      </c>
      <c r="GT605">
        <v>6.4238637813804633</v>
      </c>
      <c r="GU605"/>
      <c r="GV605"/>
      <c r="GW605"/>
      <c r="GX605"/>
      <c r="GY605"/>
      <c r="GZ605"/>
      <c r="HA605"/>
      <c r="HB605"/>
      <c r="HC605"/>
    </row>
    <row r="606" spans="1:211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58.522788906140775</v>
      </c>
      <c r="AO606">
        <v>7.0806361594274376</v>
      </c>
      <c r="AP606">
        <v>4.9110115600619721</v>
      </c>
      <c r="AQ606">
        <v>50.397231170552971</v>
      </c>
      <c r="AR606">
        <v>7.271864999434599</v>
      </c>
      <c r="AS606">
        <v>48.790997557705097</v>
      </c>
      <c r="AT606">
        <v>5.8466894616552549</v>
      </c>
      <c r="AU606">
        <v>5.5915102106381998</v>
      </c>
      <c r="AV606"/>
      <c r="AW606"/>
      <c r="FY606" s="211">
        <v>601</v>
      </c>
      <c r="FZ606">
        <v>13.676574352193569</v>
      </c>
      <c r="GA606">
        <v>10.740870062041639</v>
      </c>
      <c r="GB606">
        <v>4.888861425801859</v>
      </c>
      <c r="GC606">
        <v>2.8472210259918223</v>
      </c>
      <c r="GD606">
        <v>2.5600142330912754</v>
      </c>
      <c r="GE606">
        <v>3.5283880064852453</v>
      </c>
      <c r="GF606">
        <v>0.64770273276041657</v>
      </c>
      <c r="GG606">
        <v>0.46773940755208332</v>
      </c>
      <c r="GH606">
        <v>6.1015279906907738</v>
      </c>
      <c r="GI606">
        <v>5.7818100313927179</v>
      </c>
      <c r="GJ606"/>
      <c r="GK606">
        <v>13.722928822566798</v>
      </c>
      <c r="GL606">
        <v>9.1009809311095005</v>
      </c>
      <c r="GM606">
        <v>8.1717071116947579</v>
      </c>
      <c r="GN606">
        <v>8.6270188144298494</v>
      </c>
      <c r="GO606">
        <v>9.9668468948758218</v>
      </c>
      <c r="GP606">
        <v>6.7551028471642356</v>
      </c>
      <c r="GQ606">
        <v>0.79369212962962943</v>
      </c>
      <c r="GR606">
        <v>0.65827546296296291</v>
      </c>
      <c r="GS606">
        <v>6.5021143147383196</v>
      </c>
      <c r="GT606">
        <v>7.8314578547010658</v>
      </c>
      <c r="GU606"/>
      <c r="GV606"/>
      <c r="GW606"/>
      <c r="GX606"/>
      <c r="GY606"/>
      <c r="GZ606"/>
      <c r="HA606"/>
      <c r="HB606"/>
      <c r="HC606"/>
    </row>
    <row r="607" spans="1:211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60.169067479863223</v>
      </c>
      <c r="AO607">
        <v>6.9452853110888553</v>
      </c>
      <c r="AP607">
        <v>4.7931664459879961</v>
      </c>
      <c r="AQ607">
        <v>50.186734413106201</v>
      </c>
      <c r="AR607">
        <v>7.2050177691557957</v>
      </c>
      <c r="AS607">
        <v>42.362554073315557</v>
      </c>
      <c r="AT607">
        <v>5.6783175951270621</v>
      </c>
      <c r="AU607">
        <v>3.7972906792411916</v>
      </c>
      <c r="AV607"/>
      <c r="AW607"/>
      <c r="FY607" s="211">
        <v>602</v>
      </c>
      <c r="FZ607">
        <v>7.8340513639689577</v>
      </c>
      <c r="GA607">
        <v>6.3617661483442367</v>
      </c>
      <c r="GB607">
        <v>5.8834740142953361</v>
      </c>
      <c r="GC607">
        <v>3.2921975613399459</v>
      </c>
      <c r="GD607">
        <v>1.7518517639769207</v>
      </c>
      <c r="GE607">
        <v>1.8793351819767443</v>
      </c>
      <c r="GF607">
        <v>2.4701591135235508</v>
      </c>
      <c r="GG607">
        <v>3.1290313758378625</v>
      </c>
      <c r="GH607">
        <v>4.6878975447175382</v>
      </c>
      <c r="GI607">
        <v>4.7969308376231172</v>
      </c>
      <c r="GJ607"/>
      <c r="GK607">
        <v>7.8756650672338022</v>
      </c>
      <c r="GL607">
        <v>5.3893282716135715</v>
      </c>
      <c r="GM607">
        <v>9.7421283677043409</v>
      </c>
      <c r="GN607">
        <v>9.8180009053174508</v>
      </c>
      <c r="GO607">
        <v>6.8129015435124929</v>
      </c>
      <c r="GP607">
        <v>3.5979893410852717</v>
      </c>
      <c r="GQ607">
        <v>3.0269223027375198</v>
      </c>
      <c r="GR607">
        <v>4.403658413848631</v>
      </c>
      <c r="GS607">
        <v>4.995835080498594</v>
      </c>
      <c r="GT607">
        <v>6.4906904723373504</v>
      </c>
      <c r="GU607"/>
      <c r="GV607"/>
      <c r="GW607"/>
      <c r="GX607"/>
      <c r="GY607"/>
      <c r="GZ607"/>
      <c r="HA607"/>
      <c r="HB607"/>
      <c r="HC607"/>
    </row>
    <row r="608" spans="1:211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43.773921044836158</v>
      </c>
      <c r="AO608">
        <v>5.3422244761236204</v>
      </c>
      <c r="AP608">
        <v>56.596485962069281</v>
      </c>
      <c r="AQ608">
        <v>36.721742570134047</v>
      </c>
      <c r="AR608">
        <v>5.8365767846221424</v>
      </c>
      <c r="AS608">
        <v>38.013467831249336</v>
      </c>
      <c r="AT608" t="e">
        <v>#DIV/0!</v>
      </c>
      <c r="AU608" t="e">
        <v>#DIV/0!</v>
      </c>
      <c r="AV608"/>
      <c r="AW608"/>
      <c r="FY608" s="211">
        <v>603</v>
      </c>
      <c r="FZ608">
        <v>12.770514003214746</v>
      </c>
      <c r="GA608">
        <v>12.267661141325469</v>
      </c>
      <c r="GB608">
        <v>5.6164931527316293</v>
      </c>
      <c r="GC608">
        <v>3.335278817399808</v>
      </c>
      <c r="GD608">
        <v>1.5699139345800111</v>
      </c>
      <c r="GE608">
        <v>1.6032215416112958</v>
      </c>
      <c r="GF608">
        <v>1.2074524259805255</v>
      </c>
      <c r="GG608">
        <v>2.1258029769814311</v>
      </c>
      <c r="GH608">
        <v>7.930703162151918</v>
      </c>
      <c r="GI608">
        <v>5.643576600684284</v>
      </c>
      <c r="GJ608"/>
      <c r="GK608">
        <v>12.800873102556427</v>
      </c>
      <c r="GL608">
        <v>10.395892623242755</v>
      </c>
      <c r="GM608">
        <v>9.3409749251060354</v>
      </c>
      <c r="GN608">
        <v>9.9969867308239859</v>
      </c>
      <c r="GO608">
        <v>6.096498947899482</v>
      </c>
      <c r="GP608">
        <v>3.0693694629014399</v>
      </c>
      <c r="GQ608">
        <v>1.4796069847020934</v>
      </c>
      <c r="GR608">
        <v>2.9917597624798709</v>
      </c>
      <c r="GS608">
        <v>8.4582511382697838</v>
      </c>
      <c r="GT608">
        <v>7.6352410197067639</v>
      </c>
      <c r="GU608"/>
      <c r="GV608"/>
      <c r="GW608"/>
      <c r="GX608"/>
      <c r="GY608"/>
      <c r="GZ608"/>
      <c r="HA608"/>
      <c r="HB608"/>
      <c r="HC608"/>
    </row>
    <row r="609" spans="1:211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70.718690346252146</v>
      </c>
      <c r="AO609">
        <v>8.499392417841209</v>
      </c>
      <c r="AP609">
        <v>53.284729522508343</v>
      </c>
      <c r="AQ609">
        <v>62.306830159213661</v>
      </c>
      <c r="AR609">
        <v>8.6028605140507164</v>
      </c>
      <c r="AS609">
        <v>53.732741626555807</v>
      </c>
      <c r="AT609" t="e">
        <v>#DIV/0!</v>
      </c>
      <c r="AU609" t="e">
        <v>#DIV/0!</v>
      </c>
      <c r="AV609"/>
      <c r="AW609"/>
      <c r="FY609" s="211">
        <v>604</v>
      </c>
      <c r="FZ609">
        <v>14.976002574859008</v>
      </c>
      <c r="GA609">
        <v>11.639567681997743</v>
      </c>
      <c r="GB609">
        <v>4.4704089351193641</v>
      </c>
      <c r="GC609">
        <v>3.1889202651250819</v>
      </c>
      <c r="GD609">
        <v>1.8108291145921616</v>
      </c>
      <c r="GE609">
        <v>2.1986323799452809</v>
      </c>
      <c r="GF609">
        <v>0.78076673947010866</v>
      </c>
      <c r="GG609">
        <v>0.90968051734601452</v>
      </c>
      <c r="GH609">
        <v>4.9039029323916958</v>
      </c>
      <c r="GI609">
        <v>5.2712215418493438</v>
      </c>
      <c r="GJ609"/>
      <c r="GK609">
        <v>15.023153199183609</v>
      </c>
      <c r="GL609">
        <v>9.8628587782212485</v>
      </c>
      <c r="GM609">
        <v>7.4460775606912861</v>
      </c>
      <c r="GN609">
        <v>9.5569435422750306</v>
      </c>
      <c r="GO609">
        <v>7.0203638231472807</v>
      </c>
      <c r="GP609">
        <v>4.2092841893628492</v>
      </c>
      <c r="GQ609">
        <v>0.95674818840579701</v>
      </c>
      <c r="GR609">
        <v>1.2802435587761674</v>
      </c>
      <c r="GS609">
        <v>5.227042786853441</v>
      </c>
      <c r="GT609">
        <v>7.1346771116562824</v>
      </c>
      <c r="GU609"/>
      <c r="GV609"/>
      <c r="GW609"/>
      <c r="GX609"/>
      <c r="GY609"/>
      <c r="GZ609"/>
      <c r="HA609"/>
      <c r="HB609"/>
      <c r="HC609"/>
    </row>
    <row r="610" spans="1:211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65.086463808342756</v>
      </c>
      <c r="AO610">
        <v>7.9309238025325275</v>
      </c>
      <c r="AP610">
        <v>3.580280206268442</v>
      </c>
      <c r="AQ610">
        <v>54.844155106771915</v>
      </c>
      <c r="AR610">
        <v>8.1802216071410339</v>
      </c>
      <c r="AS610">
        <v>53.124136704742874</v>
      </c>
      <c r="AT610">
        <v>6.5827565689416501</v>
      </c>
      <c r="AU610">
        <v>3.4827064154048761</v>
      </c>
      <c r="AV610"/>
      <c r="AW610"/>
      <c r="FY610" s="211">
        <v>605</v>
      </c>
      <c r="FZ610">
        <v>8.3439776750576478</v>
      </c>
      <c r="GA610">
        <v>6.5178970507413059</v>
      </c>
      <c r="GB610">
        <v>4.551768540348772</v>
      </c>
      <c r="GC610">
        <v>2.0660201413965158</v>
      </c>
      <c r="GD610">
        <v>1.8267409814331965</v>
      </c>
      <c r="GE610">
        <v>2.7392276392309949</v>
      </c>
      <c r="GF610">
        <v>1.223050412887982</v>
      </c>
      <c r="GG610">
        <v>1.8128276523841229</v>
      </c>
      <c r="GH610">
        <v>7.9591812929035477</v>
      </c>
      <c r="GI610">
        <v>4.8802617721455288</v>
      </c>
      <c r="GJ610"/>
      <c r="GK610">
        <v>8.3856112726672762</v>
      </c>
      <c r="GL610">
        <v>5.5213133069844575</v>
      </c>
      <c r="GM610">
        <v>7.5744990311463711</v>
      </c>
      <c r="GN610">
        <v>6.2157882560922069</v>
      </c>
      <c r="GO610">
        <v>7.0922916505513669</v>
      </c>
      <c r="GP610">
        <v>5.2442544274580873</v>
      </c>
      <c r="GQ610">
        <v>1.4964056940656674</v>
      </c>
      <c r="GR610">
        <v>2.5496464348064078</v>
      </c>
      <c r="GS610">
        <v>8.486601873204723</v>
      </c>
      <c r="GT610">
        <v>6.6070819043270825</v>
      </c>
      <c r="GU610"/>
      <c r="GV610"/>
      <c r="GW610"/>
      <c r="GX610"/>
      <c r="GY610"/>
      <c r="GZ610"/>
      <c r="HA610"/>
      <c r="HB610"/>
      <c r="HC610"/>
    </row>
    <row r="611" spans="1:211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36.266001013377846</v>
      </c>
      <c r="AO611">
        <v>4.9534256901863412</v>
      </c>
      <c r="AP611">
        <v>4.381059872027592</v>
      </c>
      <c r="AQ611">
        <v>31.658665453595823</v>
      </c>
      <c r="AR611">
        <v>5.2618346748690241</v>
      </c>
      <c r="AS611">
        <v>29.541124459570959</v>
      </c>
      <c r="AT611">
        <v>4.1765687510128817</v>
      </c>
      <c r="AU611">
        <v>5.3417442269028461</v>
      </c>
      <c r="AV611"/>
      <c r="AW611"/>
      <c r="FY611" s="211">
        <v>606</v>
      </c>
      <c r="FZ611">
        <v>7.4379173260788249</v>
      </c>
      <c r="GA611">
        <v>5.5319974139954065</v>
      </c>
      <c r="GB611">
        <v>6.3847896247558982</v>
      </c>
      <c r="GC611">
        <v>3.6665978210017429</v>
      </c>
      <c r="GD611">
        <v>1.8791213991031859</v>
      </c>
      <c r="GE611">
        <v>2.4647589311911284</v>
      </c>
      <c r="GF611">
        <v>0.61500395478260861</v>
      </c>
      <c r="GG611">
        <v>0.53548899130434779</v>
      </c>
      <c r="GH611">
        <v>3.3698745507001489</v>
      </c>
      <c r="GI611">
        <v>4.3931340964330854</v>
      </c>
      <c r="GJ611"/>
      <c r="GK611">
        <v>7.4635555526569055</v>
      </c>
      <c r="GL611">
        <v>4.6864151765015167</v>
      </c>
      <c r="GM611">
        <v>10.65276413536443</v>
      </c>
      <c r="GN611">
        <v>11.035238756138563</v>
      </c>
      <c r="GO611">
        <v>7.2858968693185533</v>
      </c>
      <c r="GP611">
        <v>4.7187837740804577</v>
      </c>
      <c r="GQ611">
        <v>0.75362318840579701</v>
      </c>
      <c r="GR611">
        <v>0.75362318840579701</v>
      </c>
      <c r="GS611">
        <v>3.5907525458900107</v>
      </c>
      <c r="GT611">
        <v>5.9493184583271397</v>
      </c>
      <c r="GU611"/>
      <c r="GV611"/>
      <c r="GW611"/>
      <c r="GX611"/>
      <c r="GY611"/>
      <c r="GZ611"/>
      <c r="HA611"/>
      <c r="HB611"/>
      <c r="HC611"/>
    </row>
    <row r="612" spans="1:211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52.906241139104409</v>
      </c>
      <c r="AO612">
        <v>6.589771970488191</v>
      </c>
      <c r="AP612">
        <v>2.6945367317964992</v>
      </c>
      <c r="AQ612">
        <v>44.040756484583923</v>
      </c>
      <c r="AR612">
        <v>6.7933467728147026</v>
      </c>
      <c r="AS612">
        <v>44.93097372975965</v>
      </c>
      <c r="AT612">
        <v>5.484993837957223</v>
      </c>
      <c r="AU612">
        <v>3.5881308897161182</v>
      </c>
      <c r="AV612"/>
      <c r="AW612"/>
      <c r="FY612" s="211">
        <v>607</v>
      </c>
      <c r="FZ612">
        <v>10.298750466323776</v>
      </c>
      <c r="GA612">
        <v>8.9179398133775116</v>
      </c>
      <c r="GB612">
        <v>5.0733291909375016</v>
      </c>
      <c r="GC612">
        <v>2.9152581935059114</v>
      </c>
      <c r="GD612">
        <v>1.4002211577067607</v>
      </c>
      <c r="GE612">
        <v>1.8608884408970103</v>
      </c>
      <c r="GF612">
        <v>0.64770273276041657</v>
      </c>
      <c r="GG612">
        <v>0.46773940755208332</v>
      </c>
      <c r="GH612">
        <v>5.1579319581156247</v>
      </c>
      <c r="GI612">
        <v>4.5061222579946927</v>
      </c>
      <c r="GJ612"/>
      <c r="GK612">
        <v>10.331187090697938</v>
      </c>
      <c r="GL612">
        <v>7.5560597458123375</v>
      </c>
      <c r="GM612">
        <v>8.40267327402176</v>
      </c>
      <c r="GN612">
        <v>8.6972314988599297</v>
      </c>
      <c r="GO612">
        <v>5.4487839181607116</v>
      </c>
      <c r="GP612">
        <v>3.5626730343300115</v>
      </c>
      <c r="GQ612">
        <v>0.79369212962962943</v>
      </c>
      <c r="GR612">
        <v>0.65827546296296291</v>
      </c>
      <c r="GS612">
        <v>5.499903435514975</v>
      </c>
      <c r="GT612">
        <v>6.095247969605003</v>
      </c>
      <c r="GU612"/>
      <c r="GV612"/>
      <c r="GW612"/>
      <c r="GX612"/>
      <c r="GY612"/>
      <c r="GZ612"/>
      <c r="HA612"/>
      <c r="HB612"/>
      <c r="HC612"/>
    </row>
    <row r="613" spans="1:211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73.161836929859618</v>
      </c>
      <c r="AO613">
        <v>8.6774243740207186</v>
      </c>
      <c r="AP613">
        <v>46.907725648132143</v>
      </c>
      <c r="AQ613">
        <v>60.64561501106094</v>
      </c>
      <c r="AR613">
        <v>8.8220480712845912</v>
      </c>
      <c r="AS613">
        <v>56.72103922818421</v>
      </c>
      <c r="AT613" t="e">
        <v>#DIV/0!</v>
      </c>
      <c r="AU613" t="e">
        <v>#DIV/0!</v>
      </c>
      <c r="AV613"/>
      <c r="AW613"/>
      <c r="FY613" s="211">
        <v>608</v>
      </c>
      <c r="FZ613">
        <v>21.57433787960823</v>
      </c>
      <c r="GA613">
        <v>19.525352631288527</v>
      </c>
      <c r="GB613">
        <v>6.3795579787579921</v>
      </c>
      <c r="GC613">
        <v>2.8951154178688649</v>
      </c>
      <c r="GD613">
        <v>1.2132279503818333</v>
      </c>
      <c r="GE613">
        <v>1.5324894516112955</v>
      </c>
      <c r="GF613">
        <v>0.61500395478260861</v>
      </c>
      <c r="GG613">
        <v>0.53548899130434779</v>
      </c>
      <c r="GH613">
        <v>2.5863581670405615</v>
      </c>
      <c r="GI613">
        <v>5.9754064478367175</v>
      </c>
      <c r="GJ613"/>
      <c r="GK613">
        <v>21.658025836730534</v>
      </c>
      <c r="GL613">
        <v>16.543357921064764</v>
      </c>
      <c r="GM613">
        <v>10.570254793074803</v>
      </c>
      <c r="GN613">
        <v>8.6241136703289882</v>
      </c>
      <c r="GO613">
        <v>4.7032913585906329</v>
      </c>
      <c r="GP613">
        <v>2.9339527962347729</v>
      </c>
      <c r="GQ613">
        <v>0.75362318840579701</v>
      </c>
      <c r="GR613">
        <v>0.75362318840579701</v>
      </c>
      <c r="GS613">
        <v>2.7565386399448832</v>
      </c>
      <c r="GT613">
        <v>8.0883467633493282</v>
      </c>
      <c r="GU613"/>
      <c r="GV613"/>
      <c r="GW613"/>
      <c r="GX613"/>
      <c r="GY613"/>
      <c r="GZ613"/>
      <c r="HA613"/>
      <c r="HB613"/>
      <c r="HC613"/>
    </row>
    <row r="614" spans="1:211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68.772952071841061</v>
      </c>
      <c r="AO614">
        <v>7.8288133036716392</v>
      </c>
      <c r="AP614">
        <v>82.148858315699428</v>
      </c>
      <c r="AQ614">
        <v>59.223386554392576</v>
      </c>
      <c r="AR614">
        <v>8.3548149883623779</v>
      </c>
      <c r="AS614">
        <v>52.858738263994923</v>
      </c>
      <c r="AT614" t="e">
        <v>#DIV/0!</v>
      </c>
      <c r="AU614" t="e">
        <v>#DIV/0!</v>
      </c>
      <c r="AV614"/>
      <c r="AW614"/>
      <c r="FY614" s="211">
        <v>609</v>
      </c>
      <c r="FZ614">
        <v>13.768259139026762</v>
      </c>
      <c r="GA614">
        <v>17.086932828066956</v>
      </c>
      <c r="GB614">
        <v>7.2076862723024666</v>
      </c>
      <c r="GC614">
        <v>2.4933019279116686</v>
      </c>
      <c r="GD614">
        <v>1.3375854631376161</v>
      </c>
      <c r="GE614">
        <v>2.163266334945281</v>
      </c>
      <c r="GF614">
        <v>3.9090214610650644</v>
      </c>
      <c r="GG614">
        <v>4.1515246901445382</v>
      </c>
      <c r="GH614">
        <v>8.1498773672774565</v>
      </c>
      <c r="GI614">
        <v>6.5735570650415571</v>
      </c>
      <c r="GJ614"/>
      <c r="GK614">
        <v>13.807571353899244</v>
      </c>
      <c r="GL614">
        <v>14.477030965748581</v>
      </c>
      <c r="GM614">
        <v>12.017316320166756</v>
      </c>
      <c r="GN614">
        <v>7.5429468908647426</v>
      </c>
      <c r="GO614">
        <v>5.1847172664555208</v>
      </c>
      <c r="GP614">
        <v>4.1415758560295162</v>
      </c>
      <c r="GQ614">
        <v>4.7877830088804814</v>
      </c>
      <c r="GR614">
        <v>5.841023749621221</v>
      </c>
      <c r="GS614">
        <v>8.6885383123468838</v>
      </c>
      <c r="GT614">
        <v>8.8971852523497752</v>
      </c>
      <c r="GU614"/>
      <c r="GV614"/>
      <c r="GW614"/>
      <c r="GX614"/>
      <c r="GY614"/>
      <c r="GZ614"/>
      <c r="HA614"/>
      <c r="HB614"/>
      <c r="HC614"/>
    </row>
    <row r="615" spans="1:211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76.045280809688563</v>
      </c>
      <c r="AO615">
        <v>9.3308075272898456</v>
      </c>
      <c r="AP615">
        <v>29.240911969945842</v>
      </c>
      <c r="AQ615">
        <v>70.37286539976877</v>
      </c>
      <c r="AR615">
        <v>9.6318546854323568</v>
      </c>
      <c r="AS615">
        <v>64.826473857939149</v>
      </c>
      <c r="AT615" t="e">
        <v>#DIV/0!</v>
      </c>
      <c r="AU615" t="e">
        <v>#DIV/0!</v>
      </c>
      <c r="AV615"/>
      <c r="AW615"/>
      <c r="FY615" s="211">
        <v>610</v>
      </c>
      <c r="FZ615">
        <v>13.818341353123639</v>
      </c>
      <c r="GA615">
        <v>13.26616606484955</v>
      </c>
      <c r="GB615">
        <v>5.9349286357666555</v>
      </c>
      <c r="GC615">
        <v>2.9398024576763304</v>
      </c>
      <c r="GD615">
        <v>1.9304578081585062</v>
      </c>
      <c r="GE615">
        <v>2.5253864369054138</v>
      </c>
      <c r="GF615">
        <v>0.53719420963541664</v>
      </c>
      <c r="GG615">
        <v>0.46773940755208332</v>
      </c>
      <c r="GH615">
        <v>4.8203690866972515</v>
      </c>
      <c r="GI615">
        <v>5.4685618066652708</v>
      </c>
      <c r="GJ615"/>
      <c r="GK615">
        <v>13.867042447680481</v>
      </c>
      <c r="GL615">
        <v>11.238915955844279</v>
      </c>
      <c r="GM615">
        <v>9.8311643425300463</v>
      </c>
      <c r="GN615">
        <v>8.764005696566473</v>
      </c>
      <c r="GO615">
        <v>7.4951758871988297</v>
      </c>
      <c r="GP615">
        <v>4.8348552026518856</v>
      </c>
      <c r="GQ615">
        <v>0.65827546296296291</v>
      </c>
      <c r="GR615">
        <v>0.65827546296296291</v>
      </c>
      <c r="GS615">
        <v>5.1379224164830708</v>
      </c>
      <c r="GT615">
        <v>7.3979161113710781</v>
      </c>
      <c r="GU615"/>
      <c r="GV615"/>
      <c r="GW615"/>
      <c r="GX615"/>
      <c r="GY615"/>
      <c r="GZ615"/>
      <c r="HA615"/>
      <c r="HB615"/>
      <c r="HC615"/>
    </row>
    <row r="616" spans="1:211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47.246465218467399</v>
      </c>
      <c r="AO616">
        <v>5.8343831252897314</v>
      </c>
      <c r="AP616">
        <v>91.641172028461639</v>
      </c>
      <c r="AQ616">
        <v>39.942030190853593</v>
      </c>
      <c r="AR616">
        <v>6.4238637813804633</v>
      </c>
      <c r="AS616">
        <v>39.889115141566094</v>
      </c>
      <c r="AT616" t="e">
        <v>#DIV/0!</v>
      </c>
      <c r="AU616" t="e">
        <v>#DIV/0!</v>
      </c>
      <c r="AV616"/>
      <c r="AW616"/>
      <c r="FY616" s="211">
        <v>611</v>
      </c>
      <c r="FZ616">
        <v>5.5246705825346805</v>
      </c>
      <c r="GA616">
        <v>3.0179653399152513</v>
      </c>
      <c r="GB616">
        <v>3.7332117370009388</v>
      </c>
      <c r="GC616">
        <v>2.9846805153528733</v>
      </c>
      <c r="GD616">
        <v>1.8583651656923641</v>
      </c>
      <c r="GE616">
        <v>2.1454617332225916</v>
      </c>
      <c r="GF616">
        <v>1.8154988840858985</v>
      </c>
      <c r="GG616">
        <v>1.9063755338945396</v>
      </c>
      <c r="GH616">
        <v>4.3271518553319188</v>
      </c>
      <c r="GI616">
        <v>3.8140916463360242</v>
      </c>
      <c r="GJ616"/>
      <c r="GK616">
        <v>5.5593055806416887</v>
      </c>
      <c r="GL616">
        <v>2.5571098122329339</v>
      </c>
      <c r="GM616">
        <v>6.2184429141342346</v>
      </c>
      <c r="GN616">
        <v>8.9486446905233521</v>
      </c>
      <c r="GO616">
        <v>7.2156518722545862</v>
      </c>
      <c r="GP616">
        <v>4.1074889258028797</v>
      </c>
      <c r="GQ616">
        <v>2.2223894903619632</v>
      </c>
      <c r="GR616">
        <v>2.6813015273990004</v>
      </c>
      <c r="GS616">
        <v>4.6086460477853386</v>
      </c>
      <c r="GT616">
        <v>5.1648871810355628</v>
      </c>
      <c r="GU616"/>
      <c r="GV616"/>
      <c r="GW616"/>
      <c r="GX616"/>
      <c r="GY616"/>
      <c r="GZ616"/>
      <c r="HA616"/>
      <c r="HB616"/>
      <c r="HC616"/>
    </row>
    <row r="617" spans="1:211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59.132207330345445</v>
      </c>
      <c r="AO617">
        <v>7.2130125183872948</v>
      </c>
      <c r="AP617">
        <v>77.629231572973367</v>
      </c>
      <c r="AQ617">
        <v>51.240709268001396</v>
      </c>
      <c r="AR617">
        <v>7.831457854701064</v>
      </c>
      <c r="AS617">
        <v>46.599160232618431</v>
      </c>
      <c r="AT617" t="e">
        <v>#DIV/0!</v>
      </c>
      <c r="AU617" t="e">
        <v>#DIV/0!</v>
      </c>
      <c r="AV617"/>
      <c r="AW617"/>
      <c r="FY617" s="211">
        <v>612</v>
      </c>
      <c r="FZ617">
        <v>11.468521476295503</v>
      </c>
      <c r="GA617">
        <v>10.387708495519778</v>
      </c>
      <c r="GB617">
        <v>7.5135929218343183</v>
      </c>
      <c r="GC617">
        <v>4.1790607602538152</v>
      </c>
      <c r="GD617">
        <v>2.0757220486008703</v>
      </c>
      <c r="GE617">
        <v>3.0238009315565764</v>
      </c>
      <c r="GF617">
        <v>2.3457355970440794</v>
      </c>
      <c r="GG617">
        <v>2.367581559138717</v>
      </c>
      <c r="GH617">
        <v>3.5762793561759105</v>
      </c>
      <c r="GI617">
        <v>5.7253377073511516</v>
      </c>
      <c r="GJ617"/>
      <c r="GK617">
        <v>11.502303022665288</v>
      </c>
      <c r="GL617">
        <v>8.8022375067468346</v>
      </c>
      <c r="GM617">
        <v>12.480915029637538</v>
      </c>
      <c r="GN617">
        <v>12.512784312137727</v>
      </c>
      <c r="GO617">
        <v>8.0686402594534172</v>
      </c>
      <c r="GP617">
        <v>5.789070318930956</v>
      </c>
      <c r="GQ617">
        <v>2.8698242705789996</v>
      </c>
      <c r="GR617">
        <v>3.3287363076160368</v>
      </c>
      <c r="GS617">
        <v>3.811576780844689</v>
      </c>
      <c r="GT617">
        <v>7.7466518726359865</v>
      </c>
      <c r="GU617"/>
      <c r="GV617"/>
      <c r="GW617"/>
      <c r="GX617"/>
      <c r="GY617"/>
      <c r="GZ617"/>
      <c r="HA617"/>
      <c r="HB617"/>
      <c r="HC617"/>
    </row>
    <row r="618" spans="1:211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53.38993432136526</v>
      </c>
      <c r="AO618">
        <v>6.215311976588902</v>
      </c>
      <c r="AP618">
        <v>3.7960754641580166</v>
      </c>
      <c r="AQ618">
        <v>42.086694905604205</v>
      </c>
      <c r="AR618">
        <v>6.4906904723373504</v>
      </c>
      <c r="AS618">
        <v>41.082668631090002</v>
      </c>
      <c r="AT618">
        <v>5.2145716624424132</v>
      </c>
      <c r="AU618">
        <v>5.9046341662890418</v>
      </c>
      <c r="AV618"/>
      <c r="AW618"/>
      <c r="FY618" s="211">
        <v>613</v>
      </c>
      <c r="FZ618">
        <v>15.286938711370265</v>
      </c>
      <c r="GA618">
        <v>11.457012009378698</v>
      </c>
      <c r="GB618">
        <v>4.3386272086695454</v>
      </c>
      <c r="GC618">
        <v>2.7923306664463685</v>
      </c>
      <c r="GD618">
        <v>1.9150042330483494</v>
      </c>
      <c r="GE618">
        <v>2.8544275655481735</v>
      </c>
      <c r="GF618">
        <v>1.2852621711277175</v>
      </c>
      <c r="GG618">
        <v>1.4451695086503624</v>
      </c>
      <c r="GH618">
        <v>4.6998197757192832</v>
      </c>
      <c r="GI618">
        <v>5.4037251949129486</v>
      </c>
      <c r="GJ618"/>
      <c r="GK618">
        <v>15.331505105792038</v>
      </c>
      <c r="GL618">
        <v>9.7080968734593434</v>
      </c>
      <c r="GM618">
        <v>7.1865409837857186</v>
      </c>
      <c r="GN618">
        <v>8.3315966768693954</v>
      </c>
      <c r="GO618">
        <v>7.4454908292267792</v>
      </c>
      <c r="GP618">
        <v>5.4648048172757484</v>
      </c>
      <c r="GQ618">
        <v>1.5749547101449275</v>
      </c>
      <c r="GR618">
        <v>2.0338667471819645</v>
      </c>
      <c r="GS618">
        <v>5.0120994665432601</v>
      </c>
      <c r="GT618">
        <v>7.3101182190985439</v>
      </c>
      <c r="GU618"/>
      <c r="GV618"/>
      <c r="GW618"/>
      <c r="GX618"/>
      <c r="GY618"/>
      <c r="GZ618"/>
      <c r="HA618"/>
      <c r="HB618"/>
      <c r="HC618"/>
    </row>
    <row r="619" spans="1:211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59.543007911874682</v>
      </c>
      <c r="AO619">
        <v>7.2265454697688654</v>
      </c>
      <c r="AP619">
        <v>2.8637787298800412</v>
      </c>
      <c r="AQ619">
        <v>54.070617756661122</v>
      </c>
      <c r="AR619">
        <v>7.6352410197067675</v>
      </c>
      <c r="AS619">
        <v>53.072671342261479</v>
      </c>
      <c r="AT619">
        <v>6.1710095957457192</v>
      </c>
      <c r="AU619">
        <v>0.39637924467930397</v>
      </c>
      <c r="AV619"/>
      <c r="AW619"/>
      <c r="FY619" s="211">
        <v>614</v>
      </c>
      <c r="FZ619">
        <v>12.334825233250355</v>
      </c>
      <c r="GA619">
        <v>7.4436290308993449</v>
      </c>
      <c r="GB619">
        <v>6.1799257395813987</v>
      </c>
      <c r="GC619">
        <v>3.5195741646865621</v>
      </c>
      <c r="GD619">
        <v>2.1537905403993389</v>
      </c>
      <c r="GE619">
        <v>3.270721107199531</v>
      </c>
      <c r="GF619">
        <v>1.8380543676705907</v>
      </c>
      <c r="GG619">
        <v>1.5999335916051376</v>
      </c>
      <c r="GH619">
        <v>3.5217974854472507</v>
      </c>
      <c r="GI619">
        <v>5.4724112631159798</v>
      </c>
      <c r="GJ619"/>
      <c r="GK619">
        <v>12.374077874131748</v>
      </c>
      <c r="GL619">
        <v>6.3072545180002919</v>
      </c>
      <c r="GM619">
        <v>10.314726742768848</v>
      </c>
      <c r="GN619">
        <v>10.606607494794087</v>
      </c>
      <c r="GO619">
        <v>8.3603573321622786</v>
      </c>
      <c r="GP619">
        <v>6.2617992757356644</v>
      </c>
      <c r="GQ619">
        <v>2.2500288824714643</v>
      </c>
      <c r="GR619">
        <v>2.2500288824714643</v>
      </c>
      <c r="GS619">
        <v>3.7525057498164034</v>
      </c>
      <c r="GT619">
        <v>7.4103393162701483</v>
      </c>
      <c r="GU619"/>
      <c r="GV619"/>
      <c r="GW619"/>
      <c r="GX619"/>
      <c r="GY619"/>
      <c r="GZ619"/>
      <c r="HA619"/>
      <c r="HB619"/>
      <c r="HC619"/>
    </row>
    <row r="620" spans="1:211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55.402666848026662</v>
      </c>
      <c r="AO620">
        <v>6.7717392738572979</v>
      </c>
      <c r="AP620">
        <v>3.4990585868866098</v>
      </c>
      <c r="AQ620">
        <v>50.149932682695798</v>
      </c>
      <c r="AR620">
        <v>7.1346771116562842</v>
      </c>
      <c r="AS620">
        <v>43.878409805076437</v>
      </c>
      <c r="AT620">
        <v>5.7310160637064813</v>
      </c>
      <c r="AU620">
        <v>1.9579755633822025</v>
      </c>
      <c r="AV620"/>
      <c r="AW620"/>
      <c r="FY620" s="211">
        <v>615</v>
      </c>
      <c r="FZ620">
        <v>13.880215986366043</v>
      </c>
      <c r="GA620">
        <v>12.865862491252189</v>
      </c>
      <c r="GB620">
        <v>5.5461716017664102</v>
      </c>
      <c r="GC620">
        <v>2.9544290874952077</v>
      </c>
      <c r="GD620">
        <v>2.5693511158832312</v>
      </c>
      <c r="GE620">
        <v>3.8466824114852454</v>
      </c>
      <c r="GF620">
        <v>1.340516432690217</v>
      </c>
      <c r="GG620">
        <v>1.4451695086503624</v>
      </c>
      <c r="GH620">
        <v>4.6300411499572682</v>
      </c>
      <c r="GI620">
        <v>5.8698444353413182</v>
      </c>
      <c r="GJ620"/>
      <c r="GK620">
        <v>13.935810519064773</v>
      </c>
      <c r="GL620">
        <v>10.901549289556504</v>
      </c>
      <c r="GM620">
        <v>9.2623048615705255</v>
      </c>
      <c r="GN620">
        <v>8.9317514351782705</v>
      </c>
      <c r="GO620">
        <v>9.9818387309949372</v>
      </c>
      <c r="GP620">
        <v>7.3644778471642356</v>
      </c>
      <c r="GQ620">
        <v>1.6426630434782605</v>
      </c>
      <c r="GR620">
        <v>2.0338667471819645</v>
      </c>
      <c r="GS620">
        <v>4.9385997847354233</v>
      </c>
      <c r="GT620">
        <v>7.9522433879687844</v>
      </c>
      <c r="GU620"/>
      <c r="GV620"/>
      <c r="GW620"/>
      <c r="GX620"/>
      <c r="GY620"/>
      <c r="GZ620"/>
      <c r="HA620"/>
      <c r="HB620"/>
      <c r="HC620"/>
    </row>
    <row r="621" spans="1:211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50.214629574429104</v>
      </c>
      <c r="AO621">
        <v>5.9173493851303638</v>
      </c>
      <c r="AP621">
        <v>20.320610196994913</v>
      </c>
      <c r="AQ621">
        <v>41.92095315852962</v>
      </c>
      <c r="AR621">
        <v>6.6070819043270834</v>
      </c>
      <c r="AS621">
        <v>41.852234694073985</v>
      </c>
      <c r="AT621" t="e">
        <v>#DIV/0!</v>
      </c>
      <c r="AU621" t="e">
        <v>#DIV/0!</v>
      </c>
      <c r="AV621"/>
      <c r="AW621"/>
      <c r="FY621" s="211">
        <v>616</v>
      </c>
      <c r="FZ621">
        <v>12.888729881681318</v>
      </c>
      <c r="GA621">
        <v>14.497095028323475</v>
      </c>
      <c r="GB621">
        <v>6.5182629545476134</v>
      </c>
      <c r="GC621">
        <v>2.6568782235818689</v>
      </c>
      <c r="GD621">
        <v>1.6074542907564817</v>
      </c>
      <c r="GE621">
        <v>2.5179295779138169</v>
      </c>
      <c r="GF621">
        <v>0.67025821634510852</v>
      </c>
      <c r="GG621">
        <v>0.53548899130434779</v>
      </c>
      <c r="GH621">
        <v>5.1953817519512411</v>
      </c>
      <c r="GI621">
        <v>5.3718408663033044</v>
      </c>
      <c r="GJ621"/>
      <c r="GK621">
        <v>12.93068248699727</v>
      </c>
      <c r="GL621">
        <v>12.283006933591752</v>
      </c>
      <c r="GM621">
        <v>10.794543205789699</v>
      </c>
      <c r="GN621">
        <v>7.9190954630634138</v>
      </c>
      <c r="GO621">
        <v>6.2420537607337065</v>
      </c>
      <c r="GP621">
        <v>4.8205790376404272</v>
      </c>
      <c r="GQ621">
        <v>0.82133152173913027</v>
      </c>
      <c r="GR621">
        <v>0.75362318840579701</v>
      </c>
      <c r="GS621">
        <v>5.5398577734145187</v>
      </c>
      <c r="GT621">
        <v>7.2656937497348641</v>
      </c>
      <c r="GU621"/>
      <c r="GV621"/>
      <c r="GW621"/>
      <c r="GX621"/>
      <c r="GY621"/>
      <c r="GZ621"/>
      <c r="HA621"/>
      <c r="HB621"/>
      <c r="HC621"/>
    </row>
    <row r="622" spans="1:211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46.22235830230661</v>
      </c>
      <c r="AO622">
        <v>5.6889971645089172</v>
      </c>
      <c r="AP622">
        <v>54.866310708106234</v>
      </c>
      <c r="AQ622">
        <v>36.278684109346379</v>
      </c>
      <c r="AR622">
        <v>5.9493184583271379</v>
      </c>
      <c r="AS622">
        <v>35.72748842009316</v>
      </c>
      <c r="AT622" t="e">
        <v>#DIV/0!</v>
      </c>
      <c r="AU622" t="e">
        <v>#DIV/0!</v>
      </c>
      <c r="AV622"/>
      <c r="AW622"/>
      <c r="FY622" s="211">
        <v>617</v>
      </c>
      <c r="FZ622">
        <v>14.663296652097351</v>
      </c>
      <c r="GA622">
        <v>16.394569642079755</v>
      </c>
      <c r="GB622">
        <v>7.5680867087229977</v>
      </c>
      <c r="GC622">
        <v>3.5862993174709716</v>
      </c>
      <c r="GD622">
        <v>1.2403604158416077</v>
      </c>
      <c r="GE622">
        <v>1.5587537052941174</v>
      </c>
      <c r="GF622">
        <v>1.1452406677407898</v>
      </c>
      <c r="GG622">
        <v>0.9966950165485251</v>
      </c>
      <c r="GH622">
        <v>6.7294757014290427</v>
      </c>
      <c r="GI622">
        <v>6.0118911873479801</v>
      </c>
      <c r="GJ622"/>
      <c r="GK622">
        <v>14.707567801037749</v>
      </c>
      <c r="GL622">
        <v>13.89105036821087</v>
      </c>
      <c r="GM622">
        <v>12.571878395878597</v>
      </c>
      <c r="GN622">
        <v>10.741206081994573</v>
      </c>
      <c r="GO622">
        <v>4.8179805728186329</v>
      </c>
      <c r="GP622">
        <v>2.9842357397504453</v>
      </c>
      <c r="GQ622">
        <v>1.4010579686228333</v>
      </c>
      <c r="GR622">
        <v>1.4010579686228333</v>
      </c>
      <c r="GS622">
        <v>7.1746567945644397</v>
      </c>
      <c r="GT622">
        <v>8.1346283065844514</v>
      </c>
      <c r="GU622"/>
      <c r="GV622"/>
      <c r="GW622"/>
      <c r="GX622"/>
      <c r="GY622"/>
      <c r="GZ622"/>
      <c r="HA622"/>
      <c r="HB622"/>
      <c r="HC622"/>
    </row>
    <row r="623" spans="1:211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48.643400491501566</v>
      </c>
      <c r="AO623">
        <v>5.7045727559595258</v>
      </c>
      <c r="AP623">
        <v>67.879967669211865</v>
      </c>
      <c r="AQ623">
        <v>41.245883619171288</v>
      </c>
      <c r="AR623">
        <v>6.095247969605003</v>
      </c>
      <c r="AS623">
        <v>40.072901004290152</v>
      </c>
      <c r="AT623" t="e">
        <v>#DIV/0!</v>
      </c>
      <c r="AU623" t="e">
        <v>#DIV/0!</v>
      </c>
      <c r="AV623"/>
      <c r="AW623"/>
      <c r="FY623" s="211">
        <v>618</v>
      </c>
      <c r="FZ623">
        <v>14.46726500643128</v>
      </c>
      <c r="GA623">
        <v>15.088657529072975</v>
      </c>
      <c r="GB623">
        <v>7.4931856141090147</v>
      </c>
      <c r="GC623">
        <v>3.9864122805812872</v>
      </c>
      <c r="GD623">
        <v>1.3183882621566687</v>
      </c>
      <c r="GE623">
        <v>1.2758253452941177</v>
      </c>
      <c r="GF623">
        <v>1.223050412887982</v>
      </c>
      <c r="GG623">
        <v>1.8128276523841229</v>
      </c>
      <c r="GH623">
        <v>8.7413388724269243</v>
      </c>
      <c r="GI623">
        <v>6.346821247617763</v>
      </c>
      <c r="GJ623"/>
      <c r="GK623">
        <v>14.510061513949866</v>
      </c>
      <c r="GL623">
        <v>12.784211138281071</v>
      </c>
      <c r="GM623">
        <v>12.530777759842245</v>
      </c>
      <c r="GN623">
        <v>12.067175267685519</v>
      </c>
      <c r="GO623">
        <v>5.1300058911500086</v>
      </c>
      <c r="GP623">
        <v>2.4425690730837792</v>
      </c>
      <c r="GQ623">
        <v>1.4964056940656674</v>
      </c>
      <c r="GR623">
        <v>2.5496464348064078</v>
      </c>
      <c r="GS623">
        <v>9.3201708298992294</v>
      </c>
      <c r="GT623">
        <v>8.5974843377814043</v>
      </c>
      <c r="GU623"/>
      <c r="GV623"/>
      <c r="GW623"/>
      <c r="GX623"/>
      <c r="GY623"/>
      <c r="GZ623"/>
      <c r="HA623"/>
      <c r="HB623"/>
      <c r="HC623"/>
    </row>
    <row r="624" spans="1:211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64.8097471236686</v>
      </c>
      <c r="AO624">
        <v>7.7385128156130296</v>
      </c>
      <c r="AP624">
        <v>43.412516275699346</v>
      </c>
      <c r="AQ624">
        <v>62.832338870480982</v>
      </c>
      <c r="AR624">
        <v>8.08834676334933</v>
      </c>
      <c r="AS624">
        <v>51.313016999213822</v>
      </c>
      <c r="AT624" t="e">
        <v>#DIV/0!</v>
      </c>
      <c r="AU624" t="e">
        <v>#DIV/0!</v>
      </c>
      <c r="AV624"/>
      <c r="AW624"/>
      <c r="FY624" s="211">
        <v>619</v>
      </c>
      <c r="FZ624">
        <v>11.868863210143267</v>
      </c>
      <c r="GA624">
        <v>7.0328275122262784</v>
      </c>
      <c r="GB624">
        <v>3.8754141525233816</v>
      </c>
      <c r="GC624">
        <v>2.7296846886205208</v>
      </c>
      <c r="GD624">
        <v>1.4625786159579179</v>
      </c>
      <c r="GE624">
        <v>1.3893803392857145</v>
      </c>
      <c r="GF624">
        <v>1.1452406677407898</v>
      </c>
      <c r="GG624">
        <v>1.7450780686318585</v>
      </c>
      <c r="GH624">
        <v>6.9951682869655025</v>
      </c>
      <c r="GI624">
        <v>4.861450789525402</v>
      </c>
      <c r="GJ624"/>
      <c r="GK624">
        <v>11.92839712650675</v>
      </c>
      <c r="GL624">
        <v>5.9587935351753938</v>
      </c>
      <c r="GM624">
        <v>6.4586199959924677</v>
      </c>
      <c r="GN624">
        <v>8.1976788253939006</v>
      </c>
      <c r="GO624">
        <v>5.6803288897599469</v>
      </c>
      <c r="GP624">
        <v>2.6599702380952386</v>
      </c>
      <c r="GQ624">
        <v>1.4010579686228333</v>
      </c>
      <c r="GR624">
        <v>2.4542987093635737</v>
      </c>
      <c r="GS624">
        <v>7.4573617594424704</v>
      </c>
      <c r="GT624">
        <v>6.5851531480648937</v>
      </c>
      <c r="GU624"/>
      <c r="GV624"/>
      <c r="GW624"/>
      <c r="GX624"/>
      <c r="GY624"/>
      <c r="GZ624"/>
      <c r="HA624"/>
      <c r="HB624"/>
      <c r="HC624"/>
    </row>
    <row r="625" spans="1:211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71.250949111943967</v>
      </c>
      <c r="AO625">
        <v>8.5385688976362708</v>
      </c>
      <c r="AP625">
        <v>63.442056249373408</v>
      </c>
      <c r="AQ625">
        <v>66.841012548919366</v>
      </c>
      <c r="AR625">
        <v>8.8971852523497788</v>
      </c>
      <c r="AS625">
        <v>56.533887617962421</v>
      </c>
      <c r="AT625" t="e">
        <v>#DIV/0!</v>
      </c>
      <c r="AU625" t="e">
        <v>#DIV/0!</v>
      </c>
      <c r="AV625"/>
      <c r="AW625"/>
      <c r="FY625" s="211">
        <v>620</v>
      </c>
      <c r="FZ625">
        <v>17.726128365363333</v>
      </c>
      <c r="GA625">
        <v>16.882799525595928</v>
      </c>
      <c r="GB625">
        <v>4.8205295276410105</v>
      </c>
      <c r="GC625">
        <v>3.0397828084781899</v>
      </c>
      <c r="GD625">
        <v>1.5340542727021043</v>
      </c>
      <c r="GE625">
        <v>1.4634022939368772</v>
      </c>
      <c r="GF625">
        <v>2.9054852902641888</v>
      </c>
      <c r="GG625">
        <v>3.2772620764847313</v>
      </c>
      <c r="GH625">
        <v>8.5025842492527541</v>
      </c>
      <c r="GI625">
        <v>6.5590669232307395</v>
      </c>
      <c r="GJ625"/>
      <c r="GK625">
        <v>17.788630663652409</v>
      </c>
      <c r="GL625">
        <v>14.305576579200725</v>
      </c>
      <c r="GM625">
        <v>8.0236956176911622</v>
      </c>
      <c r="GN625">
        <v>9.1186060934717013</v>
      </c>
      <c r="GO625">
        <v>5.9574606727056834</v>
      </c>
      <c r="GP625">
        <v>2.8016853543743077</v>
      </c>
      <c r="GQ625">
        <v>3.5557391256514634</v>
      </c>
      <c r="GR625">
        <v>4.6089798663922039</v>
      </c>
      <c r="GS625">
        <v>9.0629462187201106</v>
      </c>
      <c r="GT625">
        <v>8.8776944596841663</v>
      </c>
      <c r="GU625"/>
      <c r="GV625"/>
      <c r="GW625"/>
      <c r="GX625"/>
      <c r="GY625"/>
      <c r="GZ625"/>
      <c r="HA625"/>
      <c r="HB625"/>
      <c r="HC625"/>
    </row>
    <row r="626" spans="1:211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59.887519373465182</v>
      </c>
      <c r="AO626">
        <v>6.9883548986252064</v>
      </c>
      <c r="AP626">
        <v>69.914157949714351</v>
      </c>
      <c r="AQ626">
        <v>51.708947267030119</v>
      </c>
      <c r="AR626">
        <v>7.3979161113710799</v>
      </c>
      <c r="AS626">
        <v>48.236103137967064</v>
      </c>
      <c r="AT626" t="e">
        <v>#DIV/0!</v>
      </c>
      <c r="AU626" t="e">
        <v>#DIV/0!</v>
      </c>
      <c r="AV626"/>
      <c r="AW626"/>
      <c r="FY626" s="211">
        <v>621</v>
      </c>
      <c r="FZ626">
        <v>12.157515265657954</v>
      </c>
      <c r="GA626">
        <v>11.246633479824499</v>
      </c>
      <c r="GB626">
        <v>5.1647934266221789</v>
      </c>
      <c r="GC626">
        <v>2.4767739388658954</v>
      </c>
      <c r="GD626">
        <v>1.3012362446871539</v>
      </c>
      <c r="GE626">
        <v>1.6032215416112958</v>
      </c>
      <c r="GF626">
        <v>2.3043963288360505</v>
      </c>
      <c r="GG626">
        <v>2.3806483237545284</v>
      </c>
      <c r="GH626">
        <v>4.4492719468246129</v>
      </c>
      <c r="GI626">
        <v>4.9362375402790493</v>
      </c>
      <c r="GJ626"/>
      <c r="GK626">
        <v>12.208022739966532</v>
      </c>
      <c r="GL626">
        <v>9.5291419897291583</v>
      </c>
      <c r="GM626">
        <v>8.5860135797289665</v>
      </c>
      <c r="GN626">
        <v>7.4323623284843237</v>
      </c>
      <c r="GO626">
        <v>5.0547578764709105</v>
      </c>
      <c r="GP626">
        <v>3.0693694629014399</v>
      </c>
      <c r="GQ626">
        <v>2.8237973027375198</v>
      </c>
      <c r="GR626">
        <v>3.3504176731078901</v>
      </c>
      <c r="GS626">
        <v>4.7458820384795786</v>
      </c>
      <c r="GT626">
        <v>6.6836947074767012</v>
      </c>
      <c r="GU626"/>
      <c r="GV626"/>
      <c r="GW626"/>
      <c r="GX626"/>
      <c r="GY626"/>
      <c r="GZ626"/>
      <c r="HA626"/>
      <c r="HB626"/>
      <c r="HC626"/>
    </row>
    <row r="627" spans="1:211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42.814075441477193</v>
      </c>
      <c r="AO627">
        <v>4.9283868042171539</v>
      </c>
      <c r="AP627">
        <v>3.8349681574417258</v>
      </c>
      <c r="AQ627">
        <v>31.127472993367086</v>
      </c>
      <c r="AR627">
        <v>5.164887181035561</v>
      </c>
      <c r="AS627">
        <v>30.701380347432817</v>
      </c>
      <c r="AT627">
        <v>4.0714534483524387</v>
      </c>
      <c r="AU627">
        <v>0.71034439899803115</v>
      </c>
      <c r="AV627"/>
      <c r="AW627"/>
      <c r="FY627" s="211">
        <v>622</v>
      </c>
      <c r="FZ627">
        <v>18.632061989243194</v>
      </c>
      <c r="GA627">
        <v>19.13108877356526</v>
      </c>
      <c r="GB627">
        <v>7.3285444363783858</v>
      </c>
      <c r="GC627">
        <v>3.4038313169481071</v>
      </c>
      <c r="GD627">
        <v>2.2625664231099116</v>
      </c>
      <c r="GE627">
        <v>2.8645321498338876</v>
      </c>
      <c r="GF627">
        <v>0.66330071966787318</v>
      </c>
      <c r="GG627">
        <v>0.52895560899644167</v>
      </c>
      <c r="GH627">
        <v>4.5683145579147553</v>
      </c>
      <c r="GI627">
        <v>6.6987505357227235</v>
      </c>
      <c r="GJ627"/>
      <c r="GK627">
        <v>18.702903264049692</v>
      </c>
      <c r="GL627">
        <v>16.206877616574904</v>
      </c>
      <c r="GM627">
        <v>12.176521665312661</v>
      </c>
      <c r="GN627">
        <v>10.206515032290453</v>
      </c>
      <c r="GO627">
        <v>8.7821128737023617</v>
      </c>
      <c r="GP627">
        <v>5.4841500553709865</v>
      </c>
      <c r="GQ627">
        <v>0.81049083899320351</v>
      </c>
      <c r="GR627">
        <v>0.74278250565987025</v>
      </c>
      <c r="GS627">
        <v>4.8711839073876684</v>
      </c>
      <c r="GT627">
        <v>9.0686425098891181</v>
      </c>
      <c r="GU627"/>
      <c r="GV627"/>
      <c r="GW627"/>
      <c r="GX627"/>
      <c r="GY627"/>
      <c r="GZ627"/>
      <c r="HA627"/>
      <c r="HB627"/>
      <c r="HC627"/>
    </row>
    <row r="628" spans="1:211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66.545997699769359</v>
      </c>
      <c r="AO628">
        <v>7.6912739681247473</v>
      </c>
      <c r="AP628">
        <v>5.7547792015353245</v>
      </c>
      <c r="AQ628">
        <v>52.66334085377072</v>
      </c>
      <c r="AR628">
        <v>7.7466518726359865</v>
      </c>
      <c r="AS628">
        <v>48.617615758747341</v>
      </c>
      <c r="AT628">
        <v>6.187460745097968</v>
      </c>
      <c r="AU628">
        <v>6.3518273506535285</v>
      </c>
      <c r="AV628"/>
      <c r="AW628"/>
      <c r="FY628" s="211">
        <v>623</v>
      </c>
      <c r="FZ628">
        <v>13.411209744643777</v>
      </c>
      <c r="GA628">
        <v>13.602094909579863</v>
      </c>
      <c r="GB628">
        <v>6.6946223025973506</v>
      </c>
      <c r="GC628">
        <v>3.3093666921936018</v>
      </c>
      <c r="GD628">
        <v>1.6527975447039607</v>
      </c>
      <c r="GE628">
        <v>2.6415891561911278</v>
      </c>
      <c r="GF628">
        <v>2.3697938847916662</v>
      </c>
      <c r="GG628">
        <v>1.8709576302083333</v>
      </c>
      <c r="GH628">
        <v>3.8260770603616336</v>
      </c>
      <c r="GI628">
        <v>5.6154896811143855</v>
      </c>
      <c r="GJ628"/>
      <c r="GK628">
        <v>13.452936681303331</v>
      </c>
      <c r="GL628">
        <v>11.52481921345848</v>
      </c>
      <c r="GM628">
        <v>11.169932589661546</v>
      </c>
      <c r="GN628">
        <v>9.9845159634121465</v>
      </c>
      <c r="GO628">
        <v>6.4178626638404035</v>
      </c>
      <c r="GP628">
        <v>5.0573254407471238</v>
      </c>
      <c r="GQ628">
        <v>2.9039351851851847</v>
      </c>
      <c r="GR628">
        <v>2.6331018518518516</v>
      </c>
      <c r="GS628">
        <v>4.0771347452501931</v>
      </c>
      <c r="GT628">
        <v>7.6043603730481317</v>
      </c>
      <c r="GU628"/>
      <c r="GV628"/>
      <c r="GW628"/>
      <c r="GX628"/>
      <c r="GY628"/>
      <c r="GZ628"/>
      <c r="HA628"/>
      <c r="HB628"/>
      <c r="HC628"/>
    </row>
    <row r="629" spans="1:211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57.930404663713624</v>
      </c>
      <c r="AO629">
        <v>6.9399074429377716</v>
      </c>
      <c r="AP629">
        <v>3.8658140444580202</v>
      </c>
      <c r="AQ629">
        <v>51.478317044871716</v>
      </c>
      <c r="AR629">
        <v>7.3101182190985448</v>
      </c>
      <c r="AS629">
        <v>48.566197802898984</v>
      </c>
      <c r="AT629">
        <v>5.9139849230032704</v>
      </c>
      <c r="AU629">
        <v>5.1617684595718973</v>
      </c>
      <c r="AV629"/>
      <c r="AW629"/>
      <c r="FY629" s="211">
        <v>624</v>
      </c>
      <c r="FZ629">
        <v>9.0541075075984683</v>
      </c>
      <c r="GA629">
        <v>6.3496063652128703</v>
      </c>
      <c r="GB629">
        <v>3.2242956823582207</v>
      </c>
      <c r="GC629">
        <v>2.2935485588779949</v>
      </c>
      <c r="GD629">
        <v>1.0759660924371537</v>
      </c>
      <c r="GE629">
        <v>1.1687244173255813</v>
      </c>
      <c r="GF629">
        <v>3.1716133036835727</v>
      </c>
      <c r="GG629">
        <v>3.412761243989261</v>
      </c>
      <c r="GH629">
        <v>5.4236245436520845</v>
      </c>
      <c r="GI629">
        <v>4.1807865029826488</v>
      </c>
      <c r="GJ629"/>
      <c r="GK629">
        <v>9.0816922900653445</v>
      </c>
      <c r="GL629">
        <v>5.3815145741376957</v>
      </c>
      <c r="GM629">
        <v>5.3447451194704607</v>
      </c>
      <c r="GN629">
        <v>6.8428717677392461</v>
      </c>
      <c r="GO629">
        <v>4.1813203764709099</v>
      </c>
      <c r="GP629">
        <v>2.2375242248062013</v>
      </c>
      <c r="GQ629">
        <v>3.8818512432037986</v>
      </c>
      <c r="GR629">
        <v>4.7996753172778739</v>
      </c>
      <c r="GS629">
        <v>5.7826084003930056</v>
      </c>
      <c r="GT629">
        <v>5.6544434859207033</v>
      </c>
      <c r="GU629"/>
      <c r="GV629"/>
      <c r="GW629"/>
      <c r="GX629"/>
      <c r="GY629"/>
      <c r="GZ629"/>
      <c r="HA629"/>
      <c r="HB629"/>
      <c r="HC629"/>
    </row>
    <row r="630" spans="1:211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56.253669051752503</v>
      </c>
      <c r="AO630">
        <v>6.9887726068622396</v>
      </c>
      <c r="AP630">
        <v>73.839802711228401</v>
      </c>
      <c r="AQ630">
        <v>47.334662523855492</v>
      </c>
      <c r="AR630">
        <v>7.4103393162701492</v>
      </c>
      <c r="AS630">
        <v>46.666310823238206</v>
      </c>
      <c r="AT630" t="e">
        <v>#DIV/0!</v>
      </c>
      <c r="AU630" t="e">
        <v>#DIV/0!</v>
      </c>
      <c r="AV630"/>
      <c r="AW630"/>
      <c r="FY630" s="211">
        <v>625</v>
      </c>
      <c r="FZ630">
        <v>15.053223249108402</v>
      </c>
      <c r="GA630">
        <v>14.828824765804288</v>
      </c>
      <c r="GB630">
        <v>5.3222654993860736</v>
      </c>
      <c r="GC630">
        <v>3.0493067132303291</v>
      </c>
      <c r="GD630">
        <v>1.6327779422864133</v>
      </c>
      <c r="GE630">
        <v>2.0993489645798316</v>
      </c>
      <c r="GF630">
        <v>2.5979486171089929</v>
      </c>
      <c r="GG630">
        <v>2.1158224359857667</v>
      </c>
      <c r="GH630">
        <v>6.2741628321385683</v>
      </c>
      <c r="GI630">
        <v>5.9327378669768871</v>
      </c>
      <c r="GJ630"/>
      <c r="GK630">
        <v>15.098078180869384</v>
      </c>
      <c r="GL630">
        <v>12.566100834749895</v>
      </c>
      <c r="GM630">
        <v>8.8124974237096723</v>
      </c>
      <c r="GN630">
        <v>9.0850546337926534</v>
      </c>
      <c r="GO630">
        <v>6.3409849957259619</v>
      </c>
      <c r="GP630">
        <v>4.019205977845683</v>
      </c>
      <c r="GQ630">
        <v>3.174255022639481</v>
      </c>
      <c r="GR630">
        <v>2.971130022639481</v>
      </c>
      <c r="GS630">
        <v>6.6873809049394772</v>
      </c>
      <c r="GT630">
        <v>8.0226393055767939</v>
      </c>
      <c r="GU630"/>
      <c r="GV630"/>
      <c r="GW630"/>
      <c r="GX630"/>
      <c r="GY630"/>
      <c r="GZ630"/>
      <c r="HA630"/>
      <c r="HB630"/>
      <c r="HC630"/>
    </row>
    <row r="631" spans="1:211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60.774304325518912</v>
      </c>
      <c r="AO631">
        <v>7.6945105646893683</v>
      </c>
      <c r="AP631">
        <v>4.1102952786232176</v>
      </c>
      <c r="AQ631">
        <v>54.948284220887487</v>
      </c>
      <c r="AR631">
        <v>7.9522433879687862</v>
      </c>
      <c r="AS631">
        <v>48.252050563970322</v>
      </c>
      <c r="AT631">
        <v>6.3430532989130954</v>
      </c>
      <c r="AU631">
        <v>3.7308335694384489</v>
      </c>
      <c r="AV631"/>
      <c r="AW631"/>
      <c r="FY631" s="211">
        <v>626</v>
      </c>
      <c r="FZ631">
        <v>13.565982842146457</v>
      </c>
      <c r="GA631">
        <v>14.108322116531742</v>
      </c>
      <c r="GB631">
        <v>6.5294673205279192</v>
      </c>
      <c r="GC631">
        <v>3.5851870657973679</v>
      </c>
      <c r="GD631">
        <v>1.2697918029480519</v>
      </c>
      <c r="GE631">
        <v>1.1519226085714287</v>
      </c>
      <c r="GF631">
        <v>2.2196290870116231</v>
      </c>
      <c r="GG631">
        <v>2.3063653576943581</v>
      </c>
      <c r="GH631">
        <v>4.7396882622973298</v>
      </c>
      <c r="GI631">
        <v>5.4938326874220378</v>
      </c>
      <c r="GJ631"/>
      <c r="GK631">
        <v>13.607076311225514</v>
      </c>
      <c r="GL631">
        <v>11.953223808009776</v>
      </c>
      <c r="GM631">
        <v>10.894707169328059</v>
      </c>
      <c r="GN631">
        <v>10.794424492316145</v>
      </c>
      <c r="GO631">
        <v>4.9218616485212436</v>
      </c>
      <c r="GP631">
        <v>2.2053571428571432</v>
      </c>
      <c r="GQ631">
        <v>2.7176088945487589</v>
      </c>
      <c r="GR631">
        <v>3.2442292649191291</v>
      </c>
      <c r="GS631">
        <v>5.0504738085068768</v>
      </c>
      <c r="GT631">
        <v>7.4383455664260909</v>
      </c>
      <c r="GU631"/>
      <c r="GV631"/>
      <c r="GW631"/>
      <c r="GX631"/>
      <c r="GY631"/>
      <c r="GZ631"/>
      <c r="HA631"/>
      <c r="HB631"/>
      <c r="HC631"/>
    </row>
    <row r="632" spans="1:211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59.818761722512463</v>
      </c>
      <c r="AO632">
        <v>6.9370467121110577</v>
      </c>
      <c r="AP632">
        <v>67.897788459118289</v>
      </c>
      <c r="AQ632">
        <v>52.459319782708576</v>
      </c>
      <c r="AR632">
        <v>7.2656937497348668</v>
      </c>
      <c r="AS632">
        <v>47.2606244927821</v>
      </c>
      <c r="AT632" t="e">
        <v>#DIV/0!</v>
      </c>
      <c r="AU632" t="e">
        <v>#DIV/0!</v>
      </c>
      <c r="AV632"/>
      <c r="AW632"/>
      <c r="FY632" s="211">
        <v>627</v>
      </c>
      <c r="FZ632">
        <v>10.57061284473334</v>
      </c>
      <c r="GA632">
        <v>10.40500951229016</v>
      </c>
      <c r="GB632">
        <v>5.7829209177875232</v>
      </c>
      <c r="GC632">
        <v>2.5241962318931876</v>
      </c>
      <c r="GD632">
        <v>0.96420037143901061</v>
      </c>
      <c r="GE632">
        <v>1.4526555702941177</v>
      </c>
      <c r="GF632">
        <v>1.8707531456483986</v>
      </c>
      <c r="GG632">
        <v>3.7773331641028736</v>
      </c>
      <c r="GH632">
        <v>7.081011298733789</v>
      </c>
      <c r="GI632">
        <v>4.9964301986466744</v>
      </c>
      <c r="GJ632"/>
      <c r="GK632">
        <v>10.603545712707529</v>
      </c>
      <c r="GL632">
        <v>8.8162447709267724</v>
      </c>
      <c r="GM632">
        <v>9.6116131370851701</v>
      </c>
      <c r="GN632">
        <v>7.5748517667929107</v>
      </c>
      <c r="GO632">
        <v>3.7479723676056307</v>
      </c>
      <c r="GP632">
        <v>2.7811107397504458</v>
      </c>
      <c r="GQ632">
        <v>2.2900978236952971</v>
      </c>
      <c r="GR632">
        <v>5.3144033792508534</v>
      </c>
      <c r="GS632">
        <v>7.5528687765691771</v>
      </c>
      <c r="GT632">
        <v>6.7612195635325598</v>
      </c>
      <c r="GU632"/>
      <c r="GV632"/>
      <c r="GW632"/>
      <c r="GX632"/>
      <c r="GY632"/>
      <c r="GZ632"/>
      <c r="HA632"/>
      <c r="HB632"/>
      <c r="HC632"/>
    </row>
    <row r="633" spans="1:211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67.664827604499038</v>
      </c>
      <c r="AO633">
        <v>7.7825319998085423</v>
      </c>
      <c r="AP633">
        <v>103.01983530665748</v>
      </c>
      <c r="AQ633">
        <v>59.89466901457314</v>
      </c>
      <c r="AR633">
        <v>8.1346283065844531</v>
      </c>
      <c r="AS633">
        <v>48.934514411537975</v>
      </c>
      <c r="AT633" t="e">
        <v>#DIV/0!</v>
      </c>
      <c r="AU633" t="e">
        <v>#DIV/0!</v>
      </c>
      <c r="AV633"/>
      <c r="AW633"/>
      <c r="FY633" s="211">
        <v>628</v>
      </c>
      <c r="FZ633">
        <v>10.059043472493213</v>
      </c>
      <c r="GA633">
        <v>9.2868560174984971</v>
      </c>
      <c r="GB633">
        <v>5.7311474288079465</v>
      </c>
      <c r="GC633">
        <v>2.8900496811695886</v>
      </c>
      <c r="GD633">
        <v>2.9447243864426924</v>
      </c>
      <c r="GE633">
        <v>4.7866519085020522</v>
      </c>
      <c r="GF633">
        <v>3.5827010032865325</v>
      </c>
      <c r="GG633">
        <v>3.070901398013651</v>
      </c>
      <c r="GH633">
        <v>6.5987945562092687</v>
      </c>
      <c r="GI633">
        <v>6.2762439632780369</v>
      </c>
      <c r="GJ633"/>
      <c r="GK633">
        <v>10.09414913534971</v>
      </c>
      <c r="GL633">
        <v>7.8683281042601063</v>
      </c>
      <c r="GM633">
        <v>9.4964688903113021</v>
      </c>
      <c r="GN633">
        <v>8.6196710823749019</v>
      </c>
      <c r="GO633">
        <v>11.426292374019029</v>
      </c>
      <c r="GP633">
        <v>9.1640505171413178</v>
      </c>
      <c r="GQ633">
        <v>4.3879113301365207</v>
      </c>
      <c r="GR633">
        <v>4.3202029968031868</v>
      </c>
      <c r="GS633">
        <v>7.0343387649575755</v>
      </c>
      <c r="GT633">
        <v>8.4878320989548275</v>
      </c>
      <c r="GU633"/>
      <c r="GV633"/>
      <c r="GW633"/>
      <c r="GX633"/>
      <c r="GY633"/>
      <c r="GZ633"/>
      <c r="HA633"/>
      <c r="HB633"/>
      <c r="HC633"/>
    </row>
    <row r="634" spans="1:211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66.075698429635494</v>
      </c>
      <c r="AO634">
        <v>8.1428507940545209</v>
      </c>
      <c r="AP634">
        <v>25.087147064911463</v>
      </c>
      <c r="AQ634">
        <v>61.75377222296212</v>
      </c>
      <c r="AR634">
        <v>8.5974843377814061</v>
      </c>
      <c r="AS634">
        <v>52.783461489665108</v>
      </c>
      <c r="AT634" t="e">
        <v>#DIV/0!</v>
      </c>
      <c r="AU634" t="e">
        <v>#DIV/0!</v>
      </c>
      <c r="AV634"/>
      <c r="AW634"/>
      <c r="FY634" s="211">
        <v>629</v>
      </c>
      <c r="FZ634">
        <v>10.690789153442182</v>
      </c>
      <c r="GA634">
        <v>8.5185992795233467</v>
      </c>
      <c r="GB634">
        <v>4.8096745488151367</v>
      </c>
      <c r="GC634">
        <v>3.1933396467611166</v>
      </c>
      <c r="GD634">
        <v>2.2215762754551189</v>
      </c>
      <c r="GE634">
        <v>2.7460423588655467</v>
      </c>
      <c r="GF634">
        <v>1.223050412887982</v>
      </c>
      <c r="GG634">
        <v>1.4386361263424563</v>
      </c>
      <c r="GH634">
        <v>5.0913869740115665</v>
      </c>
      <c r="GI634">
        <v>5.0641219879203909</v>
      </c>
      <c r="GJ634"/>
      <c r="GK634">
        <v>10.738513671933882</v>
      </c>
      <c r="GL634">
        <v>7.2175180791456706</v>
      </c>
      <c r="GM634">
        <v>8.0017434063359634</v>
      </c>
      <c r="GN634">
        <v>9.5627138335088144</v>
      </c>
      <c r="GO634">
        <v>8.6129493021063066</v>
      </c>
      <c r="GP634">
        <v>5.2573012159409229</v>
      </c>
      <c r="GQ634">
        <v>1.4964056940656674</v>
      </c>
      <c r="GR634">
        <v>2.0230260644360376</v>
      </c>
      <c r="GS634">
        <v>5.4301835913839911</v>
      </c>
      <c r="GT634">
        <v>6.8559591331651628</v>
      </c>
      <c r="GU634"/>
      <c r="GV634"/>
      <c r="GW634"/>
      <c r="GX634"/>
      <c r="GY634"/>
      <c r="GZ634"/>
      <c r="HA634"/>
      <c r="HB634"/>
      <c r="HC634"/>
    </row>
    <row r="635" spans="1:211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47.58369049658539</v>
      </c>
      <c r="AO635">
        <v>5.878166019641748</v>
      </c>
      <c r="AP635">
        <v>19.838428910051761</v>
      </c>
      <c r="AQ635">
        <v>43.105686331620632</v>
      </c>
      <c r="AR635">
        <v>6.5851531480648946</v>
      </c>
      <c r="AS635">
        <v>40.957677501216715</v>
      </c>
      <c r="AT635" t="e">
        <v>#DIV/0!</v>
      </c>
      <c r="AU635" t="e">
        <v>#DIV/0!</v>
      </c>
      <c r="AV635"/>
      <c r="AW635"/>
      <c r="FY635" s="211">
        <v>630</v>
      </c>
      <c r="FZ635">
        <v>14.011870839637179</v>
      </c>
      <c r="GA635">
        <v>12.86867695020074</v>
      </c>
      <c r="GB635">
        <v>6.3110069370308706</v>
      </c>
      <c r="GC635">
        <v>3.6971631280114416</v>
      </c>
      <c r="GD635">
        <v>1.5358005529521042</v>
      </c>
      <c r="GE635">
        <v>1.7715921146511631</v>
      </c>
      <c r="GF635">
        <v>1.7602446225233985</v>
      </c>
      <c r="GG635">
        <v>1.9063755338945396</v>
      </c>
      <c r="GH635">
        <v>5.8014141695283419</v>
      </c>
      <c r="GI635">
        <v>5.7417810841264307</v>
      </c>
      <c r="GJ635"/>
      <c r="GK635">
        <v>14.051467159340334</v>
      </c>
      <c r="GL635">
        <v>10.904313539999968</v>
      </c>
      <c r="GM635">
        <v>10.48857860478736</v>
      </c>
      <c r="GN635">
        <v>11.067938485329805</v>
      </c>
      <c r="GO635">
        <v>5.9642315060390168</v>
      </c>
      <c r="GP635">
        <v>3.39171511627907</v>
      </c>
      <c r="GQ635">
        <v>2.1546811570286302</v>
      </c>
      <c r="GR635">
        <v>2.6813015273990004</v>
      </c>
      <c r="GS635">
        <v>6.1862792233740675</v>
      </c>
      <c r="GT635">
        <v>7.7690475301138804</v>
      </c>
      <c r="GU635"/>
      <c r="GV635"/>
      <c r="GW635"/>
      <c r="GX635"/>
      <c r="GY635"/>
      <c r="GZ635"/>
      <c r="HA635"/>
      <c r="HB635"/>
      <c r="HC635"/>
    </row>
    <row r="636" spans="1:211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71.783675748696709</v>
      </c>
      <c r="AO636">
        <v>8.4101014651543942</v>
      </c>
      <c r="AP636">
        <v>44.241861280753781</v>
      </c>
      <c r="AQ636">
        <v>66.711095332949881</v>
      </c>
      <c r="AR636">
        <v>8.8776944596841645</v>
      </c>
      <c r="AS636">
        <v>56.634786141590041</v>
      </c>
      <c r="AT636" t="e">
        <v>#DIV/0!</v>
      </c>
      <c r="AU636" t="e">
        <v>#DIV/0!</v>
      </c>
      <c r="AV636"/>
      <c r="AW636"/>
      <c r="FY636" s="211">
        <v>631</v>
      </c>
      <c r="FZ636">
        <v>12.63820540639983</v>
      </c>
      <c r="GA636">
        <v>13.955952782767044</v>
      </c>
      <c r="GB636">
        <v>4.7140476600885473</v>
      </c>
      <c r="GC636">
        <v>1.9979104157592322</v>
      </c>
      <c r="GD636">
        <v>2.1609629092194651</v>
      </c>
      <c r="GE636">
        <v>3.166910043882158</v>
      </c>
      <c r="GF636">
        <v>0.53719420963541664</v>
      </c>
      <c r="GG636">
        <v>1.2161224596354168</v>
      </c>
      <c r="GH636">
        <v>3.442548669479673</v>
      </c>
      <c r="GI636">
        <v>4.9080940180507238</v>
      </c>
      <c r="GJ636"/>
      <c r="GK636">
        <v>12.684280319780624</v>
      </c>
      <c r="GL636">
        <v>11.823433757202649</v>
      </c>
      <c r="GM636">
        <v>7.8066499430890941</v>
      </c>
      <c r="GN636">
        <v>5.9491261091826564</v>
      </c>
      <c r="GO636">
        <v>8.3786778770704924</v>
      </c>
      <c r="GP636">
        <v>6.0630528770704908</v>
      </c>
      <c r="GQ636">
        <v>0.65827546296296291</v>
      </c>
      <c r="GR636">
        <v>1.7115162037037035</v>
      </c>
      <c r="GS636">
        <v>3.6718317467494916</v>
      </c>
      <c r="GT636">
        <v>6.6399430699305331</v>
      </c>
      <c r="GU636"/>
      <c r="GV636"/>
      <c r="GW636"/>
      <c r="GX636"/>
      <c r="GY636"/>
      <c r="GZ636"/>
      <c r="HA636"/>
      <c r="HB636"/>
      <c r="HC636"/>
    </row>
    <row r="637" spans="1:211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53.872314088550084</v>
      </c>
      <c r="AO637">
        <v>6.3483459699083022</v>
      </c>
      <c r="AP637">
        <v>35.928270768520051</v>
      </c>
      <c r="AQ637">
        <v>48.02072803696322</v>
      </c>
      <c r="AR637">
        <v>6.6836947074767021</v>
      </c>
      <c r="AS637">
        <v>39.680951454026307</v>
      </c>
      <c r="AT637" t="e">
        <v>#DIV/0!</v>
      </c>
      <c r="AU637" t="e">
        <v>#DIV/0!</v>
      </c>
      <c r="AV637"/>
      <c r="AW637"/>
      <c r="FY637" s="211">
        <v>632</v>
      </c>
      <c r="FZ637">
        <v>15.578458390868928</v>
      </c>
      <c r="GA637">
        <v>11.498400565003752</v>
      </c>
      <c r="GB637">
        <v>4.6648632663330654</v>
      </c>
      <c r="GC637">
        <v>3.2866578416274059</v>
      </c>
      <c r="GD637">
        <v>3.1273312020393971</v>
      </c>
      <c r="GE637">
        <v>5.0164096217793643</v>
      </c>
      <c r="GF637">
        <v>1.2557491908657898</v>
      </c>
      <c r="GG637">
        <v>1.3708865425901917</v>
      </c>
      <c r="GH637">
        <v>3.6114067576284996</v>
      </c>
      <c r="GI637">
        <v>6.0448551457142141</v>
      </c>
      <c r="GJ637"/>
      <c r="GK637">
        <v>15.632791675763754</v>
      </c>
      <c r="GL637">
        <v>9.7437312960831495</v>
      </c>
      <c r="GM637">
        <v>7.7624441933208113</v>
      </c>
      <c r="GN637">
        <v>9.837675752280747</v>
      </c>
      <c r="GO637">
        <v>12.124822982603877</v>
      </c>
      <c r="GP637">
        <v>9.6039219202480179</v>
      </c>
      <c r="GQ637">
        <v>1.5364746352894998</v>
      </c>
      <c r="GR637">
        <v>1.9276783389932035</v>
      </c>
      <c r="GS637">
        <v>3.8518417938678424</v>
      </c>
      <c r="GT637">
        <v>8.1816750561691567</v>
      </c>
      <c r="GU637"/>
      <c r="GV637"/>
      <c r="GW637"/>
      <c r="GX637"/>
      <c r="GY637"/>
      <c r="GZ637"/>
      <c r="HA637"/>
      <c r="HB637"/>
      <c r="HC637"/>
    </row>
    <row r="638" spans="1:211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73.269137563477969</v>
      </c>
      <c r="AO638">
        <v>8.7052180269230934</v>
      </c>
      <c r="AP638">
        <v>61.593045746395283</v>
      </c>
      <c r="AQ638">
        <v>66.081946511380522</v>
      </c>
      <c r="AR638">
        <v>9.0686425098891235</v>
      </c>
      <c r="AS638">
        <v>57.898583507696834</v>
      </c>
      <c r="AT638" t="e">
        <v>#DIV/0!</v>
      </c>
      <c r="AU638" t="e">
        <v>#DIV/0!</v>
      </c>
      <c r="AV638"/>
      <c r="AW638"/>
      <c r="FY638" s="211">
        <v>633</v>
      </c>
      <c r="FZ638">
        <v>9.7044463677305153</v>
      </c>
      <c r="GA638">
        <v>10.157111979686233</v>
      </c>
      <c r="GB638">
        <v>6.3578875116029927</v>
      </c>
      <c r="GC638">
        <v>3.0298742391315172</v>
      </c>
      <c r="GD638">
        <v>1.3545062887534987</v>
      </c>
      <c r="GE638">
        <v>1.3893803392857145</v>
      </c>
      <c r="GF638">
        <v>1.1521981644180253</v>
      </c>
      <c r="GG638">
        <v>1.3774199248980978</v>
      </c>
      <c r="GH638">
        <v>4.1240008107535004</v>
      </c>
      <c r="GI638">
        <v>4.6346186271464971</v>
      </c>
      <c r="GJ638"/>
      <c r="GK638">
        <v>9.7448470241704026</v>
      </c>
      <c r="GL638">
        <v>8.6060177141720224</v>
      </c>
      <c r="GM638">
        <v>10.525167767673558</v>
      </c>
      <c r="GN638">
        <v>9.0320353028610079</v>
      </c>
      <c r="GO638">
        <v>5.2722782738557932</v>
      </c>
      <c r="GP638">
        <v>2.6599702380952386</v>
      </c>
      <c r="GQ638">
        <v>1.4118986513687599</v>
      </c>
      <c r="GR638">
        <v>1.9385190217391302</v>
      </c>
      <c r="GS638">
        <v>4.3987167938678429</v>
      </c>
      <c r="GT638">
        <v>6.270581702187271</v>
      </c>
      <c r="GU638"/>
      <c r="GV638"/>
      <c r="GW638"/>
      <c r="GX638"/>
      <c r="GY638"/>
      <c r="GZ638"/>
      <c r="HA638"/>
      <c r="HB638"/>
      <c r="HC638"/>
    </row>
    <row r="639" spans="1:211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60.288866529552237</v>
      </c>
      <c r="AO639">
        <v>7.48259247077584</v>
      </c>
      <c r="AP639">
        <v>52.188943099035853</v>
      </c>
      <c r="AQ639">
        <v>54.993998606385695</v>
      </c>
      <c r="AR639">
        <v>7.6043603730481317</v>
      </c>
      <c r="AS639">
        <v>48.16168972140364</v>
      </c>
      <c r="AT639" t="e">
        <v>#DIV/0!</v>
      </c>
      <c r="AU639" t="e">
        <v>#DIV/0!</v>
      </c>
      <c r="AV639"/>
      <c r="AW639"/>
      <c r="FY639" s="211">
        <v>634</v>
      </c>
      <c r="FZ639">
        <v>19.959680134770085</v>
      </c>
      <c r="GA639">
        <v>20.72961647819881</v>
      </c>
      <c r="GB639">
        <v>5.4567394845218615</v>
      </c>
      <c r="GC639">
        <v>3.0789085960590095</v>
      </c>
      <c r="GD639">
        <v>1.3071072533963559</v>
      </c>
      <c r="GE639">
        <v>1.0357198892857145</v>
      </c>
      <c r="GF639">
        <v>1.3888131975754821</v>
      </c>
      <c r="GG639">
        <v>1.8128276523841229</v>
      </c>
      <c r="GH639">
        <v>5.5432186464727842</v>
      </c>
      <c r="GI639">
        <v>6.1757902640968698</v>
      </c>
      <c r="GJ639"/>
      <c r="GK639">
        <v>20.002359885841436</v>
      </c>
      <c r="GL639">
        <v>17.562832809368981</v>
      </c>
      <c r="GM639">
        <v>9.0763042740962678</v>
      </c>
      <c r="GN639">
        <v>9.2460012164712815</v>
      </c>
      <c r="GO639">
        <v>5.0884985119510313</v>
      </c>
      <c r="GP639">
        <v>1.9828869047619051</v>
      </c>
      <c r="GQ639">
        <v>1.6995306940656674</v>
      </c>
      <c r="GR639">
        <v>2.5496464348064078</v>
      </c>
      <c r="GS639">
        <v>5.910816260411103</v>
      </c>
      <c r="GT639">
        <v>8.3555019252731029</v>
      </c>
      <c r="GU639"/>
      <c r="GV639"/>
      <c r="GW639"/>
      <c r="GX639"/>
      <c r="GY639"/>
      <c r="GZ639"/>
      <c r="HA639"/>
      <c r="HB639"/>
      <c r="HC639"/>
    </row>
    <row r="640" spans="1:211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44.102425433874501</v>
      </c>
      <c r="AO640">
        <v>5.3188246799485235</v>
      </c>
      <c r="AP640">
        <v>2.6960333230360645</v>
      </c>
      <c r="AQ640">
        <v>39.355034218117851</v>
      </c>
      <c r="AR640">
        <v>5.6544434859207033</v>
      </c>
      <c r="AS640">
        <v>35.713717177692352</v>
      </c>
      <c r="AT640">
        <v>4.5845394938814392</v>
      </c>
      <c r="AU640">
        <v>2.0571286181418031</v>
      </c>
      <c r="AV640"/>
      <c r="AW640"/>
      <c r="FY640" s="211">
        <v>635</v>
      </c>
      <c r="FZ640">
        <v>17.245604264399596</v>
      </c>
      <c r="GA640">
        <v>15.314463633199273</v>
      </c>
      <c r="GB640">
        <v>4.8454907299967633</v>
      </c>
      <c r="GC640">
        <v>2.8956663602523247</v>
      </c>
      <c r="GD640">
        <v>2.7320612728838038</v>
      </c>
      <c r="GE640">
        <v>4.4758143624936491</v>
      </c>
      <c r="GF640">
        <v>2.9676970485039238</v>
      </c>
      <c r="GG640">
        <v>3.2837954587926377</v>
      </c>
      <c r="GH640">
        <v>5.6879931602654388</v>
      </c>
      <c r="GI640">
        <v>6.7488737087219572</v>
      </c>
      <c r="GJ640"/>
      <c r="GK640">
        <v>17.322612174146585</v>
      </c>
      <c r="GL640">
        <v>12.976267111175691</v>
      </c>
      <c r="GM640">
        <v>8.0646582240035496</v>
      </c>
      <c r="GN640">
        <v>8.6948610124386754</v>
      </c>
      <c r="GO640">
        <v>10.611224809742817</v>
      </c>
      <c r="GP640">
        <v>8.5689516821527771</v>
      </c>
      <c r="GQ640">
        <v>3.6342881417307238</v>
      </c>
      <c r="GR640">
        <v>4.6198205491381312</v>
      </c>
      <c r="GS640">
        <v>6.062955297205713</v>
      </c>
      <c r="GT640">
        <v>9.1391477293658792</v>
      </c>
      <c r="GU640"/>
      <c r="GV640"/>
      <c r="GW640"/>
      <c r="GX640"/>
      <c r="GY640"/>
      <c r="GZ640"/>
      <c r="HA640"/>
      <c r="HB640"/>
      <c r="HC640"/>
    </row>
    <row r="641" spans="1:211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68.927722573012971</v>
      </c>
      <c r="AO641">
        <v>7.6777327302488469</v>
      </c>
      <c r="AP641">
        <v>80.906994269630474</v>
      </c>
      <c r="AQ641">
        <v>58.906418886605557</v>
      </c>
      <c r="AR641">
        <v>8.0226393055767939</v>
      </c>
      <c r="AS641">
        <v>49.178939263951683</v>
      </c>
      <c r="AT641" t="e">
        <v>#DIV/0!</v>
      </c>
      <c r="AU641" t="e">
        <v>#DIV/0!</v>
      </c>
      <c r="AV641"/>
      <c r="AW641"/>
      <c r="FY641" s="211">
        <v>636</v>
      </c>
      <c r="FZ641">
        <v>12.630541723301194</v>
      </c>
      <c r="GA641">
        <v>12.09370073929656</v>
      </c>
      <c r="GB641">
        <v>6.0659003620234779</v>
      </c>
      <c r="GC641">
        <v>2.6794747305986166</v>
      </c>
      <c r="GD641">
        <v>1.4839072976682466</v>
      </c>
      <c r="GE641">
        <v>2.2323534926196991</v>
      </c>
      <c r="GF641">
        <v>1.2300079095652172</v>
      </c>
      <c r="GG641">
        <v>1.4451695086503624</v>
      </c>
      <c r="GH641">
        <v>3.0385272445625566</v>
      </c>
      <c r="GI641">
        <v>4.9153560887849546</v>
      </c>
      <c r="GJ641"/>
      <c r="GK641">
        <v>12.667867475985885</v>
      </c>
      <c r="GL641">
        <v>10.248039087085003</v>
      </c>
      <c r="GM641">
        <v>10.08476997955743</v>
      </c>
      <c r="GN641">
        <v>8.0449525556984991</v>
      </c>
      <c r="GO641">
        <v>5.7630263543165947</v>
      </c>
      <c r="GP641">
        <v>4.2738432978899805</v>
      </c>
      <c r="GQ641">
        <v>1.507246376811594</v>
      </c>
      <c r="GR641">
        <v>2.0338667471819645</v>
      </c>
      <c r="GS641">
        <v>3.2395632173653159</v>
      </c>
      <c r="GT641">
        <v>6.6524946808073642</v>
      </c>
      <c r="GU641"/>
      <c r="GV641"/>
      <c r="GW641"/>
      <c r="GX641"/>
      <c r="GY641"/>
      <c r="GZ641"/>
      <c r="HA641"/>
      <c r="HB641"/>
      <c r="HC641"/>
    </row>
    <row r="642" spans="1:211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61.30680913460931</v>
      </c>
      <c r="AO642">
        <v>7.2827308106658748</v>
      </c>
      <c r="AP642">
        <v>37.312315542062237</v>
      </c>
      <c r="AQ642">
        <v>54.970189150948315</v>
      </c>
      <c r="AR642">
        <v>7.4383455664260909</v>
      </c>
      <c r="AS642">
        <v>45.820027523998021</v>
      </c>
      <c r="AT642" t="e">
        <v>#DIV/0!</v>
      </c>
      <c r="AU642" t="e">
        <v>#DIV/0!</v>
      </c>
      <c r="AV642"/>
      <c r="AW642"/>
      <c r="FY642" s="211">
        <v>637</v>
      </c>
      <c r="FZ642">
        <v>8.5844795174440094</v>
      </c>
      <c r="GA642">
        <v>5.7867217771987596</v>
      </c>
      <c r="GB642">
        <v>6.2208286685679735</v>
      </c>
      <c r="GC642">
        <v>2.7026666131365755</v>
      </c>
      <c r="GD642">
        <v>2.00404555856296</v>
      </c>
      <c r="GE642">
        <v>3.536847658445379</v>
      </c>
      <c r="GF642">
        <v>2.4235453421912716</v>
      </c>
      <c r="GG642">
        <v>2.0611396168493146</v>
      </c>
      <c r="GH642">
        <v>5.0376984432945129</v>
      </c>
      <c r="GI642">
        <v>5.1854240136194596</v>
      </c>
      <c r="GJ642"/>
      <c r="GK642">
        <v>8.6299499538182971</v>
      </c>
      <c r="GL642">
        <v>4.9011610830022825</v>
      </c>
      <c r="GM642">
        <v>10.377408929052162</v>
      </c>
      <c r="GN642">
        <v>8.1671151752558195</v>
      </c>
      <c r="GO642">
        <v>7.7797527502132189</v>
      </c>
      <c r="GP642">
        <v>6.7712988604532729</v>
      </c>
      <c r="GQ642">
        <v>2.9651719960218337</v>
      </c>
      <c r="GR642">
        <v>2.8974636626885006</v>
      </c>
      <c r="GS642">
        <v>5.3714881909032393</v>
      </c>
      <c r="GT642">
        <v>7.024754364001752</v>
      </c>
      <c r="GU642"/>
      <c r="GV642"/>
      <c r="GW642"/>
      <c r="GX642"/>
      <c r="GY642"/>
      <c r="GZ642"/>
      <c r="HA642"/>
      <c r="HB642"/>
      <c r="HC642"/>
    </row>
    <row r="643" spans="1:211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56.037266812103056</v>
      </c>
      <c r="AO643">
        <v>6.5053928037916346</v>
      </c>
      <c r="AP643">
        <v>3.8020716855927903</v>
      </c>
      <c r="AQ643">
        <v>49.425123255569076</v>
      </c>
      <c r="AR643">
        <v>6.7612195635325616</v>
      </c>
      <c r="AS643">
        <v>42.210582842828778</v>
      </c>
      <c r="AT643">
        <v>5.404214002259903</v>
      </c>
      <c r="AU643">
        <v>3.8177290136840947</v>
      </c>
      <c r="AV643"/>
      <c r="AW643"/>
      <c r="FY643" s="211">
        <v>638</v>
      </c>
      <c r="FZ643">
        <v>18.368933762003312</v>
      </c>
      <c r="GA643">
        <v>18.962388045795166</v>
      </c>
      <c r="GB643">
        <v>7.8905841039089015</v>
      </c>
      <c r="GC643">
        <v>3.8541804493453991</v>
      </c>
      <c r="GD643">
        <v>1.1755544057051184</v>
      </c>
      <c r="GE643">
        <v>1.4526555702941175</v>
      </c>
      <c r="GF643">
        <v>1.8085413874086631</v>
      </c>
      <c r="GG643">
        <v>1.8998421515866333</v>
      </c>
      <c r="GH643">
        <v>5.1383299336682553</v>
      </c>
      <c r="GI643">
        <v>6.4731441468234072</v>
      </c>
      <c r="GJ643"/>
      <c r="GK643">
        <v>18.420255579883136</v>
      </c>
      <c r="GL643">
        <v>16.065105306843254</v>
      </c>
      <c r="GM643">
        <v>13.143657347374626</v>
      </c>
      <c r="GN643">
        <v>11.589245113003248</v>
      </c>
      <c r="GO643">
        <v>4.5572201354396391</v>
      </c>
      <c r="GP643">
        <v>2.7811107397504453</v>
      </c>
      <c r="GQ643">
        <v>2.2115488076160368</v>
      </c>
      <c r="GR643">
        <v>2.6704608446530735</v>
      </c>
      <c r="GS643">
        <v>5.4782340345888443</v>
      </c>
      <c r="GT643">
        <v>8.7621831809804576</v>
      </c>
      <c r="GU643"/>
      <c r="GV643"/>
      <c r="GW643"/>
      <c r="GX643"/>
      <c r="GY643"/>
      <c r="GZ643"/>
      <c r="HA643"/>
      <c r="HB643"/>
      <c r="HC643"/>
    </row>
    <row r="644" spans="1:211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67.254481934157269</v>
      </c>
      <c r="AO644">
        <v>8.0899245294308493</v>
      </c>
      <c r="AP644">
        <v>84.930449258257312</v>
      </c>
      <c r="AQ644">
        <v>55.227113815701479</v>
      </c>
      <c r="AR644">
        <v>8.4878320989548275</v>
      </c>
      <c r="AS644">
        <v>53.902200162593125</v>
      </c>
      <c r="AT644" t="e">
        <v>#DIV/0!</v>
      </c>
      <c r="AU644" t="e">
        <v>#DIV/0!</v>
      </c>
      <c r="AV644"/>
      <c r="AW644"/>
      <c r="FY644" s="211">
        <v>639</v>
      </c>
      <c r="FZ644">
        <v>15.892529320370368</v>
      </c>
      <c r="GA644">
        <v>16.630568651247657</v>
      </c>
      <c r="GB644">
        <v>4.8316542695321232</v>
      </c>
      <c r="GC644">
        <v>2.1979035022668563</v>
      </c>
      <c r="GD644">
        <v>1.0695340326675475</v>
      </c>
      <c r="GE644">
        <v>1.1434629566112957</v>
      </c>
      <c r="GF644">
        <v>1.3818557008982464</v>
      </c>
      <c r="GG644">
        <v>1.4321027440345502</v>
      </c>
      <c r="GH644">
        <v>4.1197694892152947</v>
      </c>
      <c r="GI644">
        <v>5.0548681234296842</v>
      </c>
      <c r="GJ644"/>
      <c r="GK644">
        <v>15.944575213667965</v>
      </c>
      <c r="GL644">
        <v>14.090743736915087</v>
      </c>
      <c r="GM644">
        <v>8.0404875304111645</v>
      </c>
      <c r="GN644">
        <v>6.6038910886719568</v>
      </c>
      <c r="GO644">
        <v>4.1461485014477759</v>
      </c>
      <c r="GP644">
        <v>2.1891611295681064</v>
      </c>
      <c r="GQ644">
        <v>1.6886900113197405</v>
      </c>
      <c r="GR644">
        <v>2.0121853816901107</v>
      </c>
      <c r="GS644">
        <v>4.3914141096118131</v>
      </c>
      <c r="GT644">
        <v>6.8422630732916918</v>
      </c>
      <c r="GU644"/>
      <c r="GV644"/>
      <c r="GW644"/>
      <c r="GX644"/>
      <c r="GY644"/>
      <c r="GZ644"/>
      <c r="HA644"/>
      <c r="HB644"/>
      <c r="HC644"/>
    </row>
    <row r="645" spans="1:211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54.656652937279617</v>
      </c>
      <c r="AO645">
        <v>6.5196313992022423</v>
      </c>
      <c r="AP645">
        <v>21.154826015827965</v>
      </c>
      <c r="AQ645">
        <v>44.997216764024841</v>
      </c>
      <c r="AR645">
        <v>6.8559591331651628</v>
      </c>
      <c r="AS645">
        <v>42.402441022315678</v>
      </c>
      <c r="AT645" t="e">
        <v>#DIV/0!</v>
      </c>
      <c r="AU645" t="e">
        <v>#DIV/0!</v>
      </c>
      <c r="AV645"/>
      <c r="AW645"/>
      <c r="FY645" s="211">
        <v>640</v>
      </c>
      <c r="FZ645">
        <v>11.137826578914691</v>
      </c>
      <c r="GA645">
        <v>13.245673380462637</v>
      </c>
      <c r="GB645">
        <v>5.7295865594365418</v>
      </c>
      <c r="GC645">
        <v>2.5775136476438965</v>
      </c>
      <c r="GD645">
        <v>1.7557118415917341</v>
      </c>
      <c r="GE645">
        <v>2.2307085602941177</v>
      </c>
      <c r="GF645">
        <v>1.8637956489711629</v>
      </c>
      <c r="GG645">
        <v>1.5256506255449667</v>
      </c>
      <c r="GH645">
        <v>4.2617865384931504</v>
      </c>
      <c r="GI645">
        <v>5.073614028650236</v>
      </c>
      <c r="GJ645"/>
      <c r="GK645">
        <v>11.177303069553256</v>
      </c>
      <c r="GL645">
        <v>11.223000034009639</v>
      </c>
      <c r="GM645">
        <v>9.4847929396568453</v>
      </c>
      <c r="GN645">
        <v>7.6893358931019158</v>
      </c>
      <c r="GO645">
        <v>6.8278681802729055</v>
      </c>
      <c r="GP645">
        <v>4.2706940730837788</v>
      </c>
      <c r="GQ645">
        <v>2.2792571409493698</v>
      </c>
      <c r="GR645">
        <v>2.1438404742827033</v>
      </c>
      <c r="GS645">
        <v>4.5468036529680358</v>
      </c>
      <c r="GT645">
        <v>6.8632049966800812</v>
      </c>
      <c r="GU645"/>
      <c r="GV645"/>
      <c r="GW645"/>
      <c r="GX645"/>
      <c r="GY645"/>
      <c r="GZ645"/>
      <c r="HA645"/>
      <c r="HB645"/>
      <c r="HC645"/>
    </row>
    <row r="646" spans="1:211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64.584680282084335</v>
      </c>
      <c r="AO646">
        <v>7.4659553849691136</v>
      </c>
      <c r="AP646">
        <v>28.429478986017784</v>
      </c>
      <c r="AQ646">
        <v>55.405925932556208</v>
      </c>
      <c r="AR646">
        <v>7.7690475301138822</v>
      </c>
      <c r="AS646">
        <v>49.629531969182345</v>
      </c>
      <c r="AT646" t="e">
        <v>#DIV/0!</v>
      </c>
      <c r="AU646" t="e">
        <v>#DIV/0!</v>
      </c>
      <c r="AV646"/>
      <c r="AW646"/>
      <c r="FY646" s="211">
        <v>641</v>
      </c>
      <c r="FZ646">
        <v>6.2383898571085394</v>
      </c>
      <c r="GA646">
        <v>3.6273951571645719</v>
      </c>
      <c r="GB646">
        <v>4.2447525446808854</v>
      </c>
      <c r="GC646">
        <v>2.3537735046871555</v>
      </c>
      <c r="GD646">
        <v>1.9641322851246485</v>
      </c>
      <c r="GE646">
        <v>2.98614781487395</v>
      </c>
      <c r="GF646">
        <v>3.0385492969738808</v>
      </c>
      <c r="GG646">
        <v>2.5966286081536629</v>
      </c>
      <c r="GH646">
        <v>4.0884606896527371</v>
      </c>
      <c r="GI646">
        <v>4.2874896200418195</v>
      </c>
      <c r="GJ646"/>
      <c r="GK646">
        <v>6.2776025951260435</v>
      </c>
      <c r="GL646">
        <v>3.0730582112550566</v>
      </c>
      <c r="GM646">
        <v>7.0258561975502012</v>
      </c>
      <c r="GN646">
        <v>7.009166206212976</v>
      </c>
      <c r="GO646">
        <v>7.6257415688097403</v>
      </c>
      <c r="GP646">
        <v>5.7169833842627966</v>
      </c>
      <c r="GQ646">
        <v>3.718795184427631</v>
      </c>
      <c r="GR646">
        <v>3.651086851094298</v>
      </c>
      <c r="GS646">
        <v>4.3601842255798298</v>
      </c>
      <c r="GT646">
        <v>5.8016359542986899</v>
      </c>
      <c r="GU646"/>
      <c r="GV646"/>
      <c r="GW646"/>
      <c r="GX646"/>
      <c r="GY646"/>
      <c r="GZ646"/>
      <c r="HA646"/>
      <c r="HB646"/>
      <c r="HC646"/>
    </row>
    <row r="647" spans="1:211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55.837782638485351</v>
      </c>
      <c r="AO647">
        <v>6.5386787366742691</v>
      </c>
      <c r="AP647">
        <v>9.7810631918602997</v>
      </c>
      <c r="AQ647">
        <v>48.737948574917496</v>
      </c>
      <c r="AR647">
        <v>6.6399430699305357</v>
      </c>
      <c r="AS647">
        <v>42.195799693725839</v>
      </c>
      <c r="AT647" t="e">
        <v>#DIV/0!</v>
      </c>
      <c r="AU647" t="e">
        <v>#DIV/0!</v>
      </c>
      <c r="AV647"/>
      <c r="AW647"/>
      <c r="FY647" s="211">
        <v>642</v>
      </c>
      <c r="FZ647">
        <v>8.8132510857861188</v>
      </c>
      <c r="GA647">
        <v>6.502647000914572</v>
      </c>
      <c r="GB647">
        <v>4.0640080475783549</v>
      </c>
      <c r="GC647">
        <v>2.3448044208129595</v>
      </c>
      <c r="GD647">
        <v>1.5097999900885934</v>
      </c>
      <c r="GE647">
        <v>1.9231608789368768</v>
      </c>
      <c r="GF647">
        <v>3.7104905068719747</v>
      </c>
      <c r="GG647">
        <v>3.554458562328223</v>
      </c>
      <c r="GH647">
        <v>6.3244782055355993</v>
      </c>
      <c r="GI647">
        <v>4.8393802924544742</v>
      </c>
      <c r="GJ647"/>
      <c r="GK647">
        <v>8.8502557852125676</v>
      </c>
      <c r="GL647">
        <v>5.5105582112550566</v>
      </c>
      <c r="GM647">
        <v>6.7290029483806268</v>
      </c>
      <c r="GN647">
        <v>6.9945696948734932</v>
      </c>
      <c r="GO647">
        <v>5.8729086100846768</v>
      </c>
      <c r="GP647">
        <v>3.6818936877076407</v>
      </c>
      <c r="GQ647">
        <v>4.5352440500384814</v>
      </c>
      <c r="GR647">
        <v>4.9941560870755186</v>
      </c>
      <c r="GS647">
        <v>6.7438496216663326</v>
      </c>
      <c r="GT647">
        <v>6.5462522030765369</v>
      </c>
      <c r="GU647"/>
      <c r="GV647"/>
      <c r="GW647"/>
      <c r="GX647"/>
      <c r="GY647"/>
      <c r="GZ647"/>
      <c r="HA647"/>
      <c r="HB647"/>
      <c r="HC647"/>
    </row>
    <row r="648" spans="1:211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66.652198387716382</v>
      </c>
      <c r="AO648">
        <v>8.0203057644620053</v>
      </c>
      <c r="AP648">
        <v>3.5092809930028648</v>
      </c>
      <c r="AQ648">
        <v>55.455018524450622</v>
      </c>
      <c r="AR648">
        <v>8.1816750561691585</v>
      </c>
      <c r="AS648">
        <v>51.200168864797533</v>
      </c>
      <c r="AT648">
        <v>6.5724218003201242</v>
      </c>
      <c r="AU648">
        <v>5.8735786595398025</v>
      </c>
      <c r="AV648"/>
      <c r="AW648"/>
      <c r="FY648" s="211">
        <v>643</v>
      </c>
      <c r="FZ648">
        <v>6.431261775018311</v>
      </c>
      <c r="GA648">
        <v>7.8130957408747097</v>
      </c>
      <c r="GB648">
        <v>6.0634849791592096</v>
      </c>
      <c r="GC648">
        <v>2.6108700934128044</v>
      </c>
      <c r="GD648">
        <v>1.2506596386923639</v>
      </c>
      <c r="GE648">
        <v>1.4634022939368772</v>
      </c>
      <c r="GF648">
        <v>3.4753782778774136</v>
      </c>
      <c r="GG648">
        <v>2.9288688482012168</v>
      </c>
      <c r="GH648">
        <v>4.7430731587671859</v>
      </c>
      <c r="GI648">
        <v>4.5376174783652807</v>
      </c>
      <c r="GJ648"/>
      <c r="GK648">
        <v>6.4678027439124337</v>
      </c>
      <c r="GL648">
        <v>6.6183510372481358</v>
      </c>
      <c r="GM648">
        <v>10.076107077107315</v>
      </c>
      <c r="GN648">
        <v>7.8369011291680302</v>
      </c>
      <c r="GO648">
        <v>4.8594018722545851</v>
      </c>
      <c r="GP648">
        <v>2.8016853543743081</v>
      </c>
      <c r="GQ648">
        <v>4.2540835298382591</v>
      </c>
      <c r="GR648">
        <v>4.1186668631715921</v>
      </c>
      <c r="GS648">
        <v>5.0583863499170452</v>
      </c>
      <c r="GT648">
        <v>6.1431563146059274</v>
      </c>
      <c r="GU648"/>
      <c r="GV648"/>
      <c r="GW648"/>
      <c r="GX648"/>
      <c r="GY648"/>
      <c r="GZ648"/>
      <c r="HA648"/>
      <c r="HB648"/>
      <c r="HC648"/>
    </row>
    <row r="649" spans="1:211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52.421434596719379</v>
      </c>
      <c r="AO649">
        <v>5.9860032489991024</v>
      </c>
      <c r="AP649">
        <v>20.090857874191578</v>
      </c>
      <c r="AQ649">
        <v>43.28144425340659</v>
      </c>
      <c r="AR649">
        <v>6.2705817021872718</v>
      </c>
      <c r="AS649">
        <v>38.044677858516195</v>
      </c>
      <c r="AT649" t="e">
        <v>#DIV/0!</v>
      </c>
      <c r="AU649" t="e">
        <v>#DIV/0!</v>
      </c>
      <c r="AV649"/>
      <c r="AW649"/>
      <c r="FY649" s="211">
        <v>644</v>
      </c>
      <c r="FZ649">
        <v>16.200113364417479</v>
      </c>
      <c r="GA649">
        <v>11.170551946414351</v>
      </c>
      <c r="GB649">
        <v>5.1563086871019719</v>
      </c>
      <c r="GC649">
        <v>2.702415347484894</v>
      </c>
      <c r="GD649">
        <v>1.8519427994573143</v>
      </c>
      <c r="GE649">
        <v>2.7230679698338882</v>
      </c>
      <c r="GF649">
        <v>1.20049492930329</v>
      </c>
      <c r="GG649">
        <v>1.7450780686318585</v>
      </c>
      <c r="GH649">
        <v>7.4991588146404373</v>
      </c>
      <c r="GI649">
        <v>6.130105876198126</v>
      </c>
      <c r="GJ649"/>
      <c r="GK649">
        <v>16.275473828208192</v>
      </c>
      <c r="GL649">
        <v>9.4642461740308494</v>
      </c>
      <c r="GM649">
        <v>8.5809816510589272</v>
      </c>
      <c r="GN649">
        <v>8.1192328075752389</v>
      </c>
      <c r="GO649">
        <v>7.1907505018226923</v>
      </c>
      <c r="GP649">
        <v>5.2133167220376544</v>
      </c>
      <c r="GQ649">
        <v>1.4687663019561665</v>
      </c>
      <c r="GR649">
        <v>2.4542987093635737</v>
      </c>
      <c r="GS649">
        <v>7.9952469638723782</v>
      </c>
      <c r="GT649">
        <v>8.3022438493836717</v>
      </c>
      <c r="GU649"/>
      <c r="GV649"/>
      <c r="GW649"/>
      <c r="GX649"/>
      <c r="GY649"/>
      <c r="GZ649"/>
      <c r="HA649"/>
      <c r="HB649"/>
      <c r="HC649"/>
    </row>
    <row r="650" spans="1:211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70.473676523837156</v>
      </c>
      <c r="AO650">
        <v>8.1474378917047172</v>
      </c>
      <c r="AP650">
        <v>4.2937834679101865</v>
      </c>
      <c r="AQ650">
        <v>66.4884215967611</v>
      </c>
      <c r="AR650">
        <v>8.3555019252731046</v>
      </c>
      <c r="AS650">
        <v>51.832029680659559</v>
      </c>
      <c r="AT650">
        <v>6.6844352198551817</v>
      </c>
      <c r="AU650">
        <v>1.3183347313899336</v>
      </c>
      <c r="AV650"/>
      <c r="AW650"/>
      <c r="FY650" s="211">
        <v>645</v>
      </c>
      <c r="FZ650">
        <v>17.150178375668283</v>
      </c>
      <c r="GA650">
        <v>16.062912427136737</v>
      </c>
      <c r="GB650">
        <v>6.1452250873463345</v>
      </c>
      <c r="GC650">
        <v>3.612248733001755</v>
      </c>
      <c r="GD650">
        <v>1.4868967161220932</v>
      </c>
      <c r="GE650">
        <v>1.2849271366112962</v>
      </c>
      <c r="GF650">
        <v>1.3266014393357464</v>
      </c>
      <c r="GG650">
        <v>1.4321027440345502</v>
      </c>
      <c r="GH650">
        <v>5.5119098469102292</v>
      </c>
      <c r="GI650">
        <v>6.0150567325272535</v>
      </c>
      <c r="GJ650"/>
      <c r="GK650">
        <v>17.204096019109052</v>
      </c>
      <c r="GL650">
        <v>13.61178580433039</v>
      </c>
      <c r="GM650">
        <v>10.2568782913643</v>
      </c>
      <c r="GN650">
        <v>10.873288208292568</v>
      </c>
      <c r="GO650">
        <v>5.765128391472869</v>
      </c>
      <c r="GP650">
        <v>2.4599944629014403</v>
      </c>
      <c r="GQ650">
        <v>1.620981677986407</v>
      </c>
      <c r="GR650">
        <v>2.0121853816901107</v>
      </c>
      <c r="GS650">
        <v>5.8795863763791214</v>
      </c>
      <c r="GT650">
        <v>8.1453341512623485</v>
      </c>
      <c r="GU650"/>
      <c r="GV650"/>
      <c r="GW650"/>
      <c r="GX650"/>
      <c r="GY650"/>
      <c r="GZ650"/>
      <c r="HA650"/>
      <c r="HB650"/>
      <c r="HC650"/>
    </row>
    <row r="651" spans="1:211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74.425565020153925</v>
      </c>
      <c r="AO651">
        <v>8.9694786731100535</v>
      </c>
      <c r="AP651">
        <v>2.5335000871657689</v>
      </c>
      <c r="AQ651">
        <v>66.197459999509377</v>
      </c>
      <c r="AR651">
        <v>9.1391477293658792</v>
      </c>
      <c r="AS651">
        <v>58.339113365407776</v>
      </c>
      <c r="AT651">
        <v>7.2916792056525495</v>
      </c>
      <c r="AU651">
        <v>-5.5423701566454113</v>
      </c>
      <c r="AV651"/>
      <c r="AW651"/>
      <c r="FY651" s="211">
        <v>646</v>
      </c>
      <c r="FZ651">
        <v>13.869066755911229</v>
      </c>
      <c r="GA651">
        <v>15.370905046375597</v>
      </c>
      <c r="GB651">
        <v>7.7480035325200456</v>
      </c>
      <c r="GC651">
        <v>3.3407909079584654</v>
      </c>
      <c r="GD651">
        <v>2.4916234547823302</v>
      </c>
      <c r="GE651">
        <v>3.9275190857709599</v>
      </c>
      <c r="GF651">
        <v>1.223050412887982</v>
      </c>
      <c r="GG651">
        <v>2.1870191784257891</v>
      </c>
      <c r="GH651">
        <v>4.8677771074791831</v>
      </c>
      <c r="GI651">
        <v>6.3749184863276991</v>
      </c>
      <c r="GJ651"/>
      <c r="GK651">
        <v>13.922156640645717</v>
      </c>
      <c r="GL651">
        <v>13.023881477688835</v>
      </c>
      <c r="GM651">
        <v>12.86707814533395</v>
      </c>
      <c r="GN651">
        <v>9.9983154029861616</v>
      </c>
      <c r="GO651">
        <v>9.6592561623521469</v>
      </c>
      <c r="GP651">
        <v>7.5192397519261407</v>
      </c>
      <c r="GQ651">
        <v>1.4964056940656674</v>
      </c>
      <c r="GR651">
        <v>3.0762668051767781</v>
      </c>
      <c r="GS651">
        <v>5.1894465170192197</v>
      </c>
      <c r="GT651">
        <v>8.6268686318833385</v>
      </c>
      <c r="GU651"/>
      <c r="GV651"/>
      <c r="GW651"/>
      <c r="GX651"/>
      <c r="GY651"/>
      <c r="GZ651"/>
      <c r="HA651"/>
      <c r="HB651"/>
      <c r="HC651"/>
    </row>
    <row r="652" spans="1:211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52.794623028777643</v>
      </c>
      <c r="AO652">
        <v>6.4515669772699642</v>
      </c>
      <c r="AP652">
        <v>21.250992496878297</v>
      </c>
      <c r="AQ652">
        <v>47.814939097070884</v>
      </c>
      <c r="AR652">
        <v>6.6524946808073659</v>
      </c>
      <c r="AS652">
        <v>40.297685375117105</v>
      </c>
      <c r="AT652" t="e">
        <v>#DIV/0!</v>
      </c>
      <c r="AU652" t="e">
        <v>#DIV/0!</v>
      </c>
      <c r="AV652"/>
      <c r="AW652"/>
      <c r="FY652" s="211">
        <v>647</v>
      </c>
      <c r="FZ652">
        <v>13.128953669656021</v>
      </c>
      <c r="GA652">
        <v>8.3628271640877294</v>
      </c>
      <c r="GB652">
        <v>7.4795813538408105</v>
      </c>
      <c r="GC652">
        <v>4.6778947663033286</v>
      </c>
      <c r="GD652">
        <v>0.71846618116233762</v>
      </c>
      <c r="GE652">
        <v>0.49512463000000001</v>
      </c>
      <c r="GF652">
        <v>1.9190499105336629</v>
      </c>
      <c r="GG652">
        <v>1.5256506255449667</v>
      </c>
      <c r="GH652">
        <v>3.9864201664621657</v>
      </c>
      <c r="GI652">
        <v>5.1743814334321607</v>
      </c>
      <c r="GJ652"/>
      <c r="GK652">
        <v>13.171768935982302</v>
      </c>
      <c r="GL652">
        <v>7.0872599235490608</v>
      </c>
      <c r="GM652">
        <v>12.505726388576985</v>
      </c>
      <c r="GN652">
        <v>14.099478057511828</v>
      </c>
      <c r="GO652">
        <v>2.7842128389974334</v>
      </c>
      <c r="GP652">
        <v>0.94791666666666663</v>
      </c>
      <c r="GQ652">
        <v>2.3469654742827033</v>
      </c>
      <c r="GR652">
        <v>2.1438404742827033</v>
      </c>
      <c r="GS652">
        <v>4.2475855610311815</v>
      </c>
      <c r="GT652">
        <v>7.011251839774121</v>
      </c>
      <c r="GU652"/>
      <c r="GV652"/>
      <c r="GW652"/>
      <c r="GX652"/>
      <c r="GY652"/>
      <c r="GZ652"/>
      <c r="HA652"/>
      <c r="HB652"/>
      <c r="HC652"/>
    </row>
    <row r="653" spans="1:211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54.254375206274155</v>
      </c>
      <c r="AO653">
        <v>6.4885564965410385</v>
      </c>
      <c r="AP653">
        <v>65.651964539348668</v>
      </c>
      <c r="AQ653">
        <v>43.543397209310221</v>
      </c>
      <c r="AR653">
        <v>7.0247543640017494</v>
      </c>
      <c r="AS653">
        <v>41.886731629960721</v>
      </c>
      <c r="AT653" t="e">
        <v>#DIV/0!</v>
      </c>
      <c r="AU653" t="e">
        <v>#DIV/0!</v>
      </c>
      <c r="AV653"/>
      <c r="AW653"/>
      <c r="FY653" s="211">
        <v>648</v>
      </c>
      <c r="FZ653">
        <v>7.4006776036728263</v>
      </c>
      <c r="GA653">
        <v>7.156483117946518</v>
      </c>
      <c r="GB653">
        <v>5.2779264107419763</v>
      </c>
      <c r="GC653">
        <v>2.0363957165151003</v>
      </c>
      <c r="GD653">
        <v>1.5536366741624326</v>
      </c>
      <c r="GE653">
        <v>2.3063754472708622</v>
      </c>
      <c r="GF653">
        <v>1.333558936012982</v>
      </c>
      <c r="GG653">
        <v>1.4386361263424563</v>
      </c>
      <c r="GH653">
        <v>7.472611219442725</v>
      </c>
      <c r="GI653">
        <v>4.7028662799407188</v>
      </c>
      <c r="GJ653"/>
      <c r="GK653">
        <v>7.4411262372963884</v>
      </c>
      <c r="GL653">
        <v>6.0612530938768465</v>
      </c>
      <c r="GM653">
        <v>8.7394071997953979</v>
      </c>
      <c r="GN653">
        <v>6.0723132691446233</v>
      </c>
      <c r="GO653">
        <v>6.0333873039289978</v>
      </c>
      <c r="GP653">
        <v>4.4155584141690509</v>
      </c>
      <c r="GQ653">
        <v>1.6318223607323339</v>
      </c>
      <c r="GR653">
        <v>2.0230260644360376</v>
      </c>
      <c r="GS653">
        <v>7.9692415521411899</v>
      </c>
      <c r="GT653">
        <v>6.3629969307788619</v>
      </c>
      <c r="GU653"/>
      <c r="GV653"/>
      <c r="GW653"/>
      <c r="GX653"/>
      <c r="GY653"/>
      <c r="GZ653"/>
      <c r="HA653"/>
      <c r="HB653"/>
      <c r="HC653"/>
    </row>
    <row r="654" spans="1:211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74.42748904594572</v>
      </c>
      <c r="AO654">
        <v>8.5679021090132785</v>
      </c>
      <c r="AP654">
        <v>6.2697630259811357</v>
      </c>
      <c r="AQ654">
        <v>67.024153956538967</v>
      </c>
      <c r="AR654">
        <v>8.7621831809804593</v>
      </c>
      <c r="AS654">
        <v>54.078487906561719</v>
      </c>
      <c r="AT654">
        <v>6.9568947990903967</v>
      </c>
      <c r="AU654">
        <v>-0.23100814122110691</v>
      </c>
      <c r="AV654"/>
      <c r="AW654"/>
      <c r="FY654" s="211">
        <v>649</v>
      </c>
      <c r="FZ654">
        <v>14.00303312434303</v>
      </c>
      <c r="GA654">
        <v>12.251823524511707</v>
      </c>
      <c r="GB654">
        <v>3.9063402297428205</v>
      </c>
      <c r="GC654">
        <v>1.9855867457939669</v>
      </c>
      <c r="GD654">
        <v>1.221657462713128</v>
      </c>
      <c r="GE654">
        <v>1.4263913166112956</v>
      </c>
      <c r="GF654">
        <v>1.2160929162107463</v>
      </c>
      <c r="GG654">
        <v>1.4321027440345502</v>
      </c>
      <c r="GH654">
        <v>8.1840935194551125</v>
      </c>
      <c r="GI654">
        <v>5.2452897153851019</v>
      </c>
      <c r="GJ654"/>
      <c r="GK654">
        <v>14.052969773101227</v>
      </c>
      <c r="GL654">
        <v>10.380817957193434</v>
      </c>
      <c r="GM654">
        <v>6.4680542165334138</v>
      </c>
      <c r="GN654">
        <v>5.921578827982378</v>
      </c>
      <c r="GO654">
        <v>4.7469520522102888</v>
      </c>
      <c r="GP654">
        <v>2.7308277962347729</v>
      </c>
      <c r="GQ654">
        <v>1.4855650113197405</v>
      </c>
      <c r="GR654">
        <v>2.0121853816901107</v>
      </c>
      <c r="GS654">
        <v>8.724712812569571</v>
      </c>
      <c r="GT654">
        <v>7.0956507731468479</v>
      </c>
      <c r="GU654"/>
      <c r="GV654"/>
      <c r="GW654"/>
      <c r="GX654"/>
      <c r="GY654"/>
      <c r="GZ654"/>
      <c r="HA654"/>
      <c r="HB654"/>
      <c r="HC654"/>
    </row>
    <row r="655" spans="1:211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56.669478787546623</v>
      </c>
      <c r="AO655">
        <v>6.5949559776595423</v>
      </c>
      <c r="AP655">
        <v>4.3815776079146591</v>
      </c>
      <c r="AQ655">
        <v>53.754248790273628</v>
      </c>
      <c r="AR655">
        <v>6.8422630732916883</v>
      </c>
      <c r="AS655">
        <v>41.549662590286189</v>
      </c>
      <c r="AT655">
        <v>5.4626214297373776</v>
      </c>
      <c r="AU655">
        <v>-0.64598269460207014</v>
      </c>
      <c r="AV655"/>
      <c r="AW655"/>
      <c r="FY655" s="211">
        <v>650</v>
      </c>
      <c r="FZ655">
        <v>16.31811682808128</v>
      </c>
      <c r="GA655">
        <v>15.104983939784073</v>
      </c>
      <c r="GB655">
        <v>5.8361740866115595</v>
      </c>
      <c r="GC655">
        <v>3.2626148198471632</v>
      </c>
      <c r="GD655">
        <v>2.1484933708013632</v>
      </c>
      <c r="GE655">
        <v>3.2781779661911279</v>
      </c>
      <c r="GF655">
        <v>2.3596505903985503</v>
      </c>
      <c r="GG655">
        <v>2.006456797712862</v>
      </c>
      <c r="GH655">
        <v>4.1013046603102339</v>
      </c>
      <c r="GI655">
        <v>6.1588674567773811</v>
      </c>
      <c r="GJ655"/>
      <c r="GK655">
        <v>16.364395014636663</v>
      </c>
      <c r="GL655">
        <v>12.800146873333302</v>
      </c>
      <c r="GM655">
        <v>9.6992891198110698</v>
      </c>
      <c r="GN655">
        <v>9.7706199618071796</v>
      </c>
      <c r="GO655">
        <v>8.3405627919607337</v>
      </c>
      <c r="GP655">
        <v>6.2760754407471238</v>
      </c>
      <c r="GQ655">
        <v>2.8915056360708529</v>
      </c>
      <c r="GR655">
        <v>2.8237973027375198</v>
      </c>
      <c r="GS655">
        <v>4.3717144013418991</v>
      </c>
      <c r="GT655">
        <v>8.3334933927642467</v>
      </c>
      <c r="GU655"/>
      <c r="GV655"/>
      <c r="GW655"/>
      <c r="GX655"/>
      <c r="GY655"/>
      <c r="GZ655"/>
      <c r="HA655"/>
      <c r="HB655"/>
      <c r="HC655"/>
    </row>
    <row r="656" spans="1:211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58.17429649506505</v>
      </c>
      <c r="AO656">
        <v>6.6506100454558537</v>
      </c>
      <c r="AP656">
        <v>57.105002891684336</v>
      </c>
      <c r="AQ656">
        <v>49.401867410003128</v>
      </c>
      <c r="AR656">
        <v>6.8632049966800839</v>
      </c>
      <c r="AS656">
        <v>44.085265477443826</v>
      </c>
      <c r="AT656" t="e">
        <v>#DIV/0!</v>
      </c>
      <c r="AU656" t="e">
        <v>#DIV/0!</v>
      </c>
      <c r="AV656"/>
      <c r="AW656"/>
      <c r="FY656" s="211">
        <v>651</v>
      </c>
      <c r="FZ656">
        <v>15.730511699192729</v>
      </c>
      <c r="GA656">
        <v>15.850602480897937</v>
      </c>
      <c r="GB656">
        <v>6.6987537136536091</v>
      </c>
      <c r="GC656">
        <v>3.409805596633865</v>
      </c>
      <c r="GD656">
        <v>2.3077046811764705</v>
      </c>
      <c r="GE656">
        <v>3.0669844891596636</v>
      </c>
      <c r="GF656">
        <v>1.7446466356159418</v>
      </c>
      <c r="GG656">
        <v>2.2193508584918478</v>
      </c>
      <c r="GH656">
        <v>6.4535962067505217</v>
      </c>
      <c r="GI656">
        <v>6.6359516504944747</v>
      </c>
      <c r="GJ656"/>
      <c r="GK656">
        <v>15.78363955541959</v>
      </c>
      <c r="GL656">
        <v>13.430992546691751</v>
      </c>
      <c r="GM656">
        <v>11.174075178940823</v>
      </c>
      <c r="GN656">
        <v>10.275298052402212</v>
      </c>
      <c r="GO656">
        <v>8.9476381461675576</v>
      </c>
      <c r="GP656">
        <v>5.8717452890247008</v>
      </c>
      <c r="GQ656">
        <v>2.137882447665056</v>
      </c>
      <c r="GR656">
        <v>3.1234148550724634</v>
      </c>
      <c r="GS656">
        <v>6.8803754859909327</v>
      </c>
      <c r="GT656">
        <v>8.9847221628367926</v>
      </c>
      <c r="GU656"/>
      <c r="GV656"/>
      <c r="GW656"/>
      <c r="GX656"/>
      <c r="GY656"/>
      <c r="GZ656"/>
      <c r="HA656"/>
      <c r="HB656"/>
      <c r="HC656"/>
    </row>
    <row r="657" spans="1:211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47.356797376341284</v>
      </c>
      <c r="AO657">
        <v>5.4260110378617261</v>
      </c>
      <c r="AP657">
        <v>53.673222144879844</v>
      </c>
      <c r="AQ657">
        <v>35.425719378461849</v>
      </c>
      <c r="AR657">
        <v>5.8016359542986882</v>
      </c>
      <c r="AS657">
        <v>35.932210218031599</v>
      </c>
      <c r="AT657" t="e">
        <v>#DIV/0!</v>
      </c>
      <c r="AU657" t="e">
        <v>#DIV/0!</v>
      </c>
      <c r="AV657"/>
      <c r="AW657"/>
      <c r="FY657" s="211">
        <v>652</v>
      </c>
      <c r="FZ657">
        <v>9.1320236749672254</v>
      </c>
      <c r="GA657">
        <v>4.3238774529220283</v>
      </c>
      <c r="GB657">
        <v>4.9619699054100366</v>
      </c>
      <c r="GC657">
        <v>3.272830745373946</v>
      </c>
      <c r="GD657">
        <v>1.8224886178726658</v>
      </c>
      <c r="GE657">
        <v>2.4192883019054134</v>
      </c>
      <c r="GF657">
        <v>1.20049492930329</v>
      </c>
      <c r="GG657">
        <v>1.3708865425901917</v>
      </c>
      <c r="GH657">
        <v>6.2893508040830106</v>
      </c>
      <c r="GI657">
        <v>4.8257574738823239</v>
      </c>
      <c r="GJ657"/>
      <c r="GK657">
        <v>9.1972642488670289</v>
      </c>
      <c r="GL657">
        <v>3.6639490421627312</v>
      </c>
      <c r="GM657">
        <v>8.2540485299629882</v>
      </c>
      <c r="GN657">
        <v>9.795806290740007</v>
      </c>
      <c r="GO657">
        <v>7.0648269702207473</v>
      </c>
      <c r="GP657">
        <v>4.6317302026518856</v>
      </c>
      <c r="GQ657">
        <v>1.4687663019561665</v>
      </c>
      <c r="GR657">
        <v>1.9276783389932035</v>
      </c>
      <c r="GS657">
        <v>6.7035846086431796</v>
      </c>
      <c r="GT657">
        <v>6.5376981319300222</v>
      </c>
      <c r="GU657"/>
      <c r="GV657"/>
      <c r="GW657"/>
      <c r="GX657"/>
      <c r="GY657"/>
      <c r="GZ657"/>
      <c r="HA657"/>
      <c r="HB657"/>
      <c r="HC657"/>
    </row>
    <row r="658" spans="1:211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54.009598771532566</v>
      </c>
      <c r="AO658">
        <v>6.045869089937093</v>
      </c>
      <c r="AP658">
        <v>3.7044241923465249</v>
      </c>
      <c r="AQ658">
        <v>43.586478991307743</v>
      </c>
      <c r="AR658">
        <v>6.5462522030765378</v>
      </c>
      <c r="AS658">
        <v>39.700917069774199</v>
      </c>
      <c r="AT658">
        <v>5.2443771171671862</v>
      </c>
      <c r="AU658">
        <v>2.4610985577012716</v>
      </c>
      <c r="AV658"/>
      <c r="AW658"/>
      <c r="FY658" s="211">
        <v>653</v>
      </c>
      <c r="FZ658">
        <v>13.6005529754582</v>
      </c>
      <c r="GA658">
        <v>11.38084375928319</v>
      </c>
      <c r="GB658">
        <v>6.2614803631094924</v>
      </c>
      <c r="GC658">
        <v>4.0539178407949192</v>
      </c>
      <c r="GD658">
        <v>1.9196668405006989</v>
      </c>
      <c r="GE658">
        <v>2.3115452345798322</v>
      </c>
      <c r="GF658">
        <v>1.1521981644180253</v>
      </c>
      <c r="GG658">
        <v>1.3774199248980978</v>
      </c>
      <c r="GH658">
        <v>6.5613015470709941</v>
      </c>
      <c r="GI658">
        <v>5.9009026553926667</v>
      </c>
      <c r="GJ658"/>
      <c r="GK658">
        <v>13.650151404397004</v>
      </c>
      <c r="GL658">
        <v>9.6446164328926063</v>
      </c>
      <c r="GM658">
        <v>10.446723573506455</v>
      </c>
      <c r="GN658">
        <v>12.193303959599646</v>
      </c>
      <c r="GO658">
        <v>7.4533361862021517</v>
      </c>
      <c r="GP658">
        <v>4.4254559778456839</v>
      </c>
      <c r="GQ658">
        <v>1.4118986513687599</v>
      </c>
      <c r="GR658">
        <v>1.9385190217391302</v>
      </c>
      <c r="GS658">
        <v>6.9946682601686758</v>
      </c>
      <c r="GT658">
        <v>7.9913556151286089</v>
      </c>
      <c r="GU658"/>
      <c r="GV658"/>
      <c r="GW658"/>
      <c r="GX658"/>
      <c r="GY658"/>
      <c r="GZ658"/>
      <c r="HA658"/>
      <c r="HB658"/>
      <c r="HC658"/>
    </row>
    <row r="659" spans="1:211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50.481408709681951</v>
      </c>
      <c r="AO659">
        <v>5.8234542271597629</v>
      </c>
      <c r="AP659">
        <v>62.691727530097985</v>
      </c>
      <c r="AQ659">
        <v>41.317712284305372</v>
      </c>
      <c r="AR659">
        <v>6.1431563146059283</v>
      </c>
      <c r="AS659">
        <v>37.251500231776696</v>
      </c>
      <c r="AT659" t="e">
        <v>#DIV/0!</v>
      </c>
      <c r="AU659" t="e">
        <v>#DIV/0!</v>
      </c>
      <c r="AV659"/>
      <c r="AW659"/>
      <c r="FY659" s="211">
        <v>654</v>
      </c>
      <c r="FZ659">
        <v>14.90630237435221</v>
      </c>
      <c r="GA659">
        <v>19.479370720047363</v>
      </c>
      <c r="GB659">
        <v>6.1960898674858713</v>
      </c>
      <c r="GC659">
        <v>2.4704981654174203</v>
      </c>
      <c r="GD659">
        <v>2.1776312786528371</v>
      </c>
      <c r="GE659">
        <v>3.0484202529138167</v>
      </c>
      <c r="GF659">
        <v>0.7185549812303732</v>
      </c>
      <c r="GG659">
        <v>0.90314713503810828</v>
      </c>
      <c r="GH659">
        <v>4.4647980674095074</v>
      </c>
      <c r="GI659">
        <v>5.814235898741142</v>
      </c>
      <c r="GJ659"/>
      <c r="GK659">
        <v>14.937210128135426</v>
      </c>
      <c r="GL659">
        <v>16.5048493344528</v>
      </c>
      <c r="GM659">
        <v>10.257266508250547</v>
      </c>
      <c r="GN659">
        <v>7.3768122369001743</v>
      </c>
      <c r="GO659">
        <v>8.4732606060180711</v>
      </c>
      <c r="GP659">
        <v>5.8362040376404254</v>
      </c>
      <c r="GQ659">
        <v>0.87819917232653688</v>
      </c>
      <c r="GR659">
        <v>1.2694028760302405</v>
      </c>
      <c r="GS659">
        <v>4.7582860608084916</v>
      </c>
      <c r="GT659">
        <v>7.8608444951078145</v>
      </c>
      <c r="GU659"/>
      <c r="GV659"/>
      <c r="GW659"/>
      <c r="GX659"/>
      <c r="GY659"/>
      <c r="GZ659"/>
      <c r="HA659"/>
      <c r="HB659"/>
      <c r="HC659"/>
    </row>
    <row r="660" spans="1:211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60.233986412048409</v>
      </c>
      <c r="AO660">
        <v>7.5064557509309342</v>
      </c>
      <c r="AP660">
        <v>5.1170612482487297</v>
      </c>
      <c r="AQ660">
        <v>56.379237803483605</v>
      </c>
      <c r="AR660">
        <v>8.3022438493836752</v>
      </c>
      <c r="AS660">
        <v>53.218567829095015</v>
      </c>
      <c r="AT660">
        <v>6.6699016616297016</v>
      </c>
      <c r="AU660">
        <v>4.2834599833695233</v>
      </c>
      <c r="AV660"/>
      <c r="AW660"/>
      <c r="FY660" s="211">
        <v>655</v>
      </c>
      <c r="FZ660">
        <v>10.747520467711526</v>
      </c>
      <c r="GA660">
        <v>9.0153994289013468</v>
      </c>
      <c r="GB660">
        <v>6.0506665615752144</v>
      </c>
      <c r="GC660">
        <v>3.2376583939704813</v>
      </c>
      <c r="GD660">
        <v>2.1232395100547357</v>
      </c>
      <c r="GE660">
        <v>2.7476872911911276</v>
      </c>
      <c r="GF660">
        <v>1.6893923740534418</v>
      </c>
      <c r="GG660">
        <v>2.5935423845335146</v>
      </c>
      <c r="GH660">
        <v>7.321600900682145</v>
      </c>
      <c r="GI660">
        <v>5.7590476619798414</v>
      </c>
      <c r="GJ660"/>
      <c r="GK660">
        <v>10.795820359014151</v>
      </c>
      <c r="GL660">
        <v>7.6383351256684122</v>
      </c>
      <c r="GM660">
        <v>10.058071620026075</v>
      </c>
      <c r="GN660">
        <v>9.7114936226021218</v>
      </c>
      <c r="GO660">
        <v>8.251390958362256</v>
      </c>
      <c r="GP660">
        <v>5.2604504407471238</v>
      </c>
      <c r="GQ660">
        <v>2.0701741143317229</v>
      </c>
      <c r="GR660">
        <v>3.6500352254428337</v>
      </c>
      <c r="GS660">
        <v>7.8075164419962517</v>
      </c>
      <c r="GT660">
        <v>7.7965946987460919</v>
      </c>
      <c r="GU660"/>
      <c r="GV660"/>
      <c r="GW660"/>
      <c r="GX660"/>
      <c r="GY660"/>
      <c r="GZ660"/>
      <c r="HA660"/>
      <c r="HB660"/>
      <c r="HC660"/>
    </row>
    <row r="661" spans="1:211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63.276651466356483</v>
      </c>
      <c r="AO661">
        <v>7.7829258764788607</v>
      </c>
      <c r="AP661">
        <v>4.0066629538794638</v>
      </c>
      <c r="AQ661">
        <v>60.028059238694283</v>
      </c>
      <c r="AR661">
        <v>8.1453341512623538</v>
      </c>
      <c r="AS661">
        <v>52.15354751922635</v>
      </c>
      <c r="AT661">
        <v>6.5143519626838389</v>
      </c>
      <c r="AU661">
        <v>3.0848149405376919</v>
      </c>
      <c r="AV661"/>
      <c r="AW661"/>
      <c r="FY661" s="211">
        <v>656</v>
      </c>
      <c r="FZ661">
        <v>9.3804897547335919</v>
      </c>
      <c r="GA661">
        <v>7.3521699323737302</v>
      </c>
      <c r="GB661">
        <v>6.1752038307392336</v>
      </c>
      <c r="GC661">
        <v>3.7921593644771194</v>
      </c>
      <c r="GD661">
        <v>2.2639432118923981</v>
      </c>
      <c r="GE661">
        <v>2.8184193811911276</v>
      </c>
      <c r="GF661">
        <v>1.2074524259805255</v>
      </c>
      <c r="GG661">
        <v>1.003228398856431</v>
      </c>
      <c r="GH661">
        <v>4.6078881111550078</v>
      </c>
      <c r="GI661">
        <v>5.152113849958071</v>
      </c>
      <c r="GJ661"/>
      <c r="GK661">
        <v>9.427887649064008</v>
      </c>
      <c r="GL661">
        <v>6.2304926792800925</v>
      </c>
      <c r="GM661">
        <v>10.263845371951112</v>
      </c>
      <c r="GN661">
        <v>11.362997037955386</v>
      </c>
      <c r="GO661">
        <v>8.7984281193648215</v>
      </c>
      <c r="GP661">
        <v>5.3958671074137898</v>
      </c>
      <c r="GQ661">
        <v>1.4796069847020934</v>
      </c>
      <c r="GR661">
        <v>1.4118986513687599</v>
      </c>
      <c r="GS661">
        <v>4.9130740976154312</v>
      </c>
      <c r="GT661">
        <v>6.9765684445394935</v>
      </c>
      <c r="GU661"/>
      <c r="GV661"/>
      <c r="GW661"/>
      <c r="GX661"/>
      <c r="GY661"/>
      <c r="GZ661"/>
      <c r="HA661"/>
      <c r="HB661"/>
      <c r="HC661"/>
    </row>
    <row r="662" spans="1:211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73.317787995075449</v>
      </c>
      <c r="AO662">
        <v>8.5378915229077954</v>
      </c>
      <c r="AP662">
        <v>21.628928011037964</v>
      </c>
      <c r="AQ662">
        <v>61.400673968439278</v>
      </c>
      <c r="AR662">
        <v>8.6268686318833367</v>
      </c>
      <c r="AS662">
        <v>53.413410683417425</v>
      </c>
      <c r="AT662" t="e">
        <v>#DIV/0!</v>
      </c>
      <c r="AU662" t="e">
        <v>#DIV/0!</v>
      </c>
      <c r="AV662"/>
      <c r="AW662"/>
      <c r="FY662" s="211">
        <v>657</v>
      </c>
      <c r="FZ662">
        <v>11.165068603191685</v>
      </c>
      <c r="GA662">
        <v>14.133451310600963</v>
      </c>
      <c r="GB662">
        <v>5.8875311253681053</v>
      </c>
      <c r="GC662">
        <v>2.8458806173725977</v>
      </c>
      <c r="GD662">
        <v>3.0202605342616917</v>
      </c>
      <c r="GE662">
        <v>4.4596546930965406</v>
      </c>
      <c r="GF662">
        <v>2.9520990615964671</v>
      </c>
      <c r="GG662">
        <v>3.2225792573482792</v>
      </c>
      <c r="GH662">
        <v>7.6933151000715965</v>
      </c>
      <c r="GI662">
        <v>6.582753358745375</v>
      </c>
      <c r="GJ662"/>
      <c r="GK662">
        <v>11.201543405853862</v>
      </c>
      <c r="GL662">
        <v>11.975077962044752</v>
      </c>
      <c r="GM662">
        <v>9.7917844855568337</v>
      </c>
      <c r="GN662">
        <v>8.5467336159640048</v>
      </c>
      <c r="GO662">
        <v>11.720656089850715</v>
      </c>
      <c r="GP662">
        <v>8.5380139767323424</v>
      </c>
      <c r="GQ662">
        <v>3.6174894323671491</v>
      </c>
      <c r="GR662">
        <v>4.5353135064412236</v>
      </c>
      <c r="GS662">
        <v>8.2009715912962431</v>
      </c>
      <c r="GT662">
        <v>8.9064890009849602</v>
      </c>
      <c r="GU662"/>
      <c r="GV662"/>
      <c r="GW662"/>
      <c r="GX662"/>
      <c r="GY662"/>
      <c r="GZ662"/>
      <c r="HA662"/>
      <c r="HB662"/>
      <c r="HC662"/>
    </row>
    <row r="663" spans="1:211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54.663604608623778</v>
      </c>
      <c r="AO663">
        <v>6.634600616065498</v>
      </c>
      <c r="AP663">
        <v>54.333743913714493</v>
      </c>
      <c r="AQ663">
        <v>47.468349901023181</v>
      </c>
      <c r="AR663">
        <v>7.0112518397741201</v>
      </c>
      <c r="AS663">
        <v>44.091097480619077</v>
      </c>
      <c r="AT663" t="e">
        <v>#DIV/0!</v>
      </c>
      <c r="AU663" t="e">
        <v>#DIV/0!</v>
      </c>
      <c r="AV663"/>
      <c r="AW663"/>
      <c r="FY663" s="211">
        <v>658</v>
      </c>
      <c r="FZ663">
        <v>12.08649992794362</v>
      </c>
      <c r="GA663">
        <v>10.355076941355174</v>
      </c>
      <c r="GB663">
        <v>4.8383124353559754</v>
      </c>
      <c r="GC663">
        <v>2.5626793403397157</v>
      </c>
      <c r="GD663">
        <v>2.6445515382037166</v>
      </c>
      <c r="GE663">
        <v>4.1837842111764711</v>
      </c>
      <c r="GF663">
        <v>2.2818408452513586</v>
      </c>
      <c r="GG663">
        <v>2.312898740002264</v>
      </c>
      <c r="GH663">
        <v>4.1905025795549022</v>
      </c>
      <c r="GI663">
        <v>5.5696821539394161</v>
      </c>
      <c r="GJ663"/>
      <c r="GK663">
        <v>12.133630543171428</v>
      </c>
      <c r="GL663">
        <v>8.7739486768094235</v>
      </c>
      <c r="GM663">
        <v>8.0171751597297316</v>
      </c>
      <c r="GN663">
        <v>7.6448332928333933</v>
      </c>
      <c r="GO663">
        <v>10.263179586856968</v>
      </c>
      <c r="GP663">
        <v>8.0098596256684491</v>
      </c>
      <c r="GQ663">
        <v>2.7961579106280188</v>
      </c>
      <c r="GR663">
        <v>3.2550699476650555</v>
      </c>
      <c r="GS663">
        <v>4.4687204711094717</v>
      </c>
      <c r="GT663">
        <v>7.5357727342991225</v>
      </c>
      <c r="GU663"/>
      <c r="GV663"/>
      <c r="GW663"/>
      <c r="GX663"/>
      <c r="GY663"/>
      <c r="GZ663"/>
      <c r="HA663"/>
      <c r="HB663"/>
      <c r="HC663"/>
    </row>
    <row r="664" spans="1:211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49.226881086117785</v>
      </c>
      <c r="AO664">
        <v>5.6750132426299729</v>
      </c>
      <c r="AP664">
        <v>3.2896496514171782</v>
      </c>
      <c r="AQ664">
        <v>40.679167532048595</v>
      </c>
      <c r="AR664">
        <v>6.362996930778861</v>
      </c>
      <c r="AS664">
        <v>39.499249041493201</v>
      </c>
      <c r="AT664">
        <v>5.1061849865082136</v>
      </c>
      <c r="AU664">
        <v>2.3662174181378379</v>
      </c>
      <c r="AV664"/>
      <c r="AW664"/>
      <c r="FY664" s="211">
        <v>659</v>
      </c>
      <c r="FZ664">
        <v>12.543537155889155</v>
      </c>
      <c r="GA664">
        <v>11.428236569377189</v>
      </c>
      <c r="GB664">
        <v>7.0952316698561528</v>
      </c>
      <c r="GC664">
        <v>3.4388760179632683</v>
      </c>
      <c r="GD664">
        <v>1.2942473386890105</v>
      </c>
      <c r="GE664">
        <v>1.8164206045798319</v>
      </c>
      <c r="GF664">
        <v>3.9642757226275647</v>
      </c>
      <c r="GG664">
        <v>3.7773331641028718</v>
      </c>
      <c r="GH664">
        <v>3.1842562229327984</v>
      </c>
      <c r="GI664">
        <v>5.56659825618003</v>
      </c>
      <c r="GJ664"/>
      <c r="GK664">
        <v>12.591675269705302</v>
      </c>
      <c r="GL664">
        <v>9.6827992895565043</v>
      </c>
      <c r="GM664">
        <v>11.828533970597769</v>
      </c>
      <c r="GN664">
        <v>10.363031883468095</v>
      </c>
      <c r="GO664">
        <v>5.0276598676056308</v>
      </c>
      <c r="GP664">
        <v>3.4775393111790169</v>
      </c>
      <c r="GQ664">
        <v>4.8554913422138144</v>
      </c>
      <c r="GR664">
        <v>5.3144033792508507</v>
      </c>
      <c r="GS664">
        <v>3.3955089338497442</v>
      </c>
      <c r="GT664">
        <v>7.5397738767944533</v>
      </c>
      <c r="GU664"/>
      <c r="GV664"/>
      <c r="GW664"/>
      <c r="GX664"/>
      <c r="GY664"/>
      <c r="GZ664"/>
      <c r="HA664"/>
      <c r="HB664"/>
      <c r="HC664"/>
    </row>
    <row r="665" spans="1:211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55.840212926953015</v>
      </c>
      <c r="AO665">
        <v>6.3619314601981785</v>
      </c>
      <c r="AP665">
        <v>20.633956426084769</v>
      </c>
      <c r="AQ665">
        <v>50.872411298801453</v>
      </c>
      <c r="AR665">
        <v>7.0956507731468497</v>
      </c>
      <c r="AS665">
        <v>44.416581628541827</v>
      </c>
      <c r="AT665" t="e">
        <v>#DIV/0!</v>
      </c>
      <c r="AU665" t="e">
        <v>#DIV/0!</v>
      </c>
      <c r="AV665"/>
      <c r="AW665"/>
      <c r="FY665" s="211">
        <v>660</v>
      </c>
      <c r="FZ665">
        <v>10.446606964095393</v>
      </c>
      <c r="GA665">
        <v>9.609574968764969</v>
      </c>
      <c r="GB665">
        <v>7.4115325929893094</v>
      </c>
      <c r="GC665">
        <v>3.4003011677705173</v>
      </c>
      <c r="GD665">
        <v>1.435815684210328</v>
      </c>
      <c r="GE665">
        <v>1.7725949076196992</v>
      </c>
      <c r="GF665">
        <v>1.7999008971784418</v>
      </c>
      <c r="GG665">
        <v>2.2193508584918478</v>
      </c>
      <c r="GH665">
        <v>3.2896712701549813</v>
      </c>
      <c r="GI665">
        <v>5.0379069764601541</v>
      </c>
      <c r="GJ665"/>
      <c r="GK665">
        <v>10.489531938471345</v>
      </c>
      <c r="GL665">
        <v>8.1408661891149414</v>
      </c>
      <c r="GM665">
        <v>12.347953614804073</v>
      </c>
      <c r="GN665">
        <v>10.236468294393351</v>
      </c>
      <c r="GO665">
        <v>5.5670724645566461</v>
      </c>
      <c r="GP665">
        <v>3.393634964556647</v>
      </c>
      <c r="GQ665">
        <v>2.2055907809983895</v>
      </c>
      <c r="GR665">
        <v>3.1234148550724634</v>
      </c>
      <c r="GS665">
        <v>3.5062718631332781</v>
      </c>
      <c r="GT665">
        <v>6.8232841323927458</v>
      </c>
      <c r="GU665"/>
      <c r="GV665"/>
      <c r="GW665"/>
      <c r="GX665"/>
      <c r="GY665"/>
      <c r="GZ665"/>
      <c r="HA665"/>
      <c r="HB665"/>
      <c r="HC665"/>
    </row>
    <row r="666" spans="1:211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70.049535297099737</v>
      </c>
      <c r="AO666">
        <v>8.167159993521059</v>
      </c>
      <c r="AP666">
        <v>53.462148054438579</v>
      </c>
      <c r="AQ666">
        <v>60.5748405165156</v>
      </c>
      <c r="AR666">
        <v>8.3334933927642432</v>
      </c>
      <c r="AS666">
        <v>52.542341815818745</v>
      </c>
      <c r="AT666" t="e">
        <v>#DIV/0!</v>
      </c>
      <c r="AU666" t="e">
        <v>#DIV/0!</v>
      </c>
      <c r="AV666"/>
      <c r="AW666"/>
      <c r="FY666" s="211">
        <v>661</v>
      </c>
      <c r="FZ666">
        <v>15.02265756164099</v>
      </c>
      <c r="GA666">
        <v>13.742168979894782</v>
      </c>
      <c r="GB666">
        <v>5.0103148481444117</v>
      </c>
      <c r="GC666">
        <v>2.6781189777268204</v>
      </c>
      <c r="GD666">
        <v>1.1616500625493809</v>
      </c>
      <c r="GE666">
        <v>1.3825656196511626</v>
      </c>
      <c r="GF666">
        <v>0.7185549812303732</v>
      </c>
      <c r="GG666">
        <v>0.90314713503810828</v>
      </c>
      <c r="GH666">
        <v>5.9704347489547409</v>
      </c>
      <c r="GI666">
        <v>5.1924902190006303</v>
      </c>
      <c r="GJ666"/>
      <c r="GK666">
        <v>15.077358965813609</v>
      </c>
      <c r="GL666">
        <v>11.645987506746836</v>
      </c>
      <c r="GM666">
        <v>8.30333141098928</v>
      </c>
      <c r="GN666">
        <v>7.9789804967263507</v>
      </c>
      <c r="GO666">
        <v>4.5025648600384089</v>
      </c>
      <c r="GP666">
        <v>2.646923449612403</v>
      </c>
      <c r="GQ666">
        <v>0.87819917232653688</v>
      </c>
      <c r="GR666">
        <v>1.2694028760302405</v>
      </c>
      <c r="GS666">
        <v>6.3656579006156937</v>
      </c>
      <c r="GT666">
        <v>7.0254224619567047</v>
      </c>
      <c r="GU666"/>
      <c r="GV666"/>
      <c r="GW666"/>
      <c r="GX666"/>
      <c r="GY666"/>
      <c r="GZ666"/>
      <c r="HA666"/>
      <c r="HB666"/>
      <c r="HC666"/>
    </row>
    <row r="667" spans="1:211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68.952244276444048</v>
      </c>
      <c r="AO667">
        <v>8.6609783720211873</v>
      </c>
      <c r="AP667">
        <v>6.1283981087715462</v>
      </c>
      <c r="AQ667">
        <v>64.117908012067062</v>
      </c>
      <c r="AR667">
        <v>8.9847221628367908</v>
      </c>
      <c r="AS667">
        <v>58.409132275995695</v>
      </c>
      <c r="AT667">
        <v>7.2346203414144874</v>
      </c>
      <c r="AU667">
        <v>1.4956290453838399</v>
      </c>
      <c r="AV667"/>
      <c r="AW667"/>
      <c r="FY667" s="211">
        <v>662</v>
      </c>
      <c r="FZ667">
        <v>9.9139029388404811</v>
      </c>
      <c r="GA667">
        <v>13.115348447454323</v>
      </c>
      <c r="GB667">
        <v>6.7305603016900513</v>
      </c>
      <c r="GC667">
        <v>2.4054766400240619</v>
      </c>
      <c r="GD667">
        <v>0.69932432337209316</v>
      </c>
      <c r="GE667">
        <v>0.85043001232558135</v>
      </c>
      <c r="GF667">
        <v>2.5705243422554349</v>
      </c>
      <c r="GG667">
        <v>3.6387220693840581</v>
      </c>
      <c r="GH667">
        <v>6.3923123233496577</v>
      </c>
      <c r="GI667">
        <v>4.9947038458906379</v>
      </c>
      <c r="GJ667"/>
      <c r="GK667">
        <v>9.9458076174694323</v>
      </c>
      <c r="GL667">
        <v>11.113796609798221</v>
      </c>
      <c r="GM667">
        <v>11.14374474284709</v>
      </c>
      <c r="GN667">
        <v>7.1552367398483279</v>
      </c>
      <c r="GO667">
        <v>2.7114825581395352</v>
      </c>
      <c r="GP667">
        <v>1.6281492248062015</v>
      </c>
      <c r="GQ667">
        <v>3.149909420289855</v>
      </c>
      <c r="GR667">
        <v>5.1209742351046694</v>
      </c>
      <c r="GS667">
        <v>6.8176406526773405</v>
      </c>
      <c r="GT667">
        <v>6.7537169982846494</v>
      </c>
      <c r="GU667"/>
      <c r="GV667"/>
      <c r="GW667"/>
      <c r="GX667"/>
      <c r="GY667"/>
      <c r="GZ667"/>
      <c r="HA667"/>
      <c r="HB667"/>
      <c r="HC667"/>
    </row>
    <row r="668" spans="1:211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49.83661325574878</v>
      </c>
      <c r="AO668">
        <v>5.9245352666127964</v>
      </c>
      <c r="AP668">
        <v>3.7606762966958649</v>
      </c>
      <c r="AQ668">
        <v>39.618968448310135</v>
      </c>
      <c r="AR668">
        <v>6.5376981319300231</v>
      </c>
      <c r="AS668">
        <v>37.472535253549708</v>
      </c>
      <c r="AT668">
        <v>5.1723645000506968</v>
      </c>
      <c r="AU668">
        <v>3.059942951498634</v>
      </c>
      <c r="AV668"/>
      <c r="AW668"/>
      <c r="FY668" s="211">
        <v>663</v>
      </c>
      <c r="FZ668">
        <v>18.720294613995378</v>
      </c>
      <c r="GA668">
        <v>21.359950131715959</v>
      </c>
      <c r="GB668">
        <v>7.0103551588239235</v>
      </c>
      <c r="GC668">
        <v>2.9580115439216139</v>
      </c>
      <c r="GD668">
        <v>0.9562752850246905</v>
      </c>
      <c r="GE668">
        <v>1.3910252716112959</v>
      </c>
      <c r="GF668">
        <v>1.20049492930329</v>
      </c>
      <c r="GG668">
        <v>0.9966950165485251</v>
      </c>
      <c r="GH668">
        <v>3.8303083818998398</v>
      </c>
      <c r="GI668">
        <v>5.8621170059566872</v>
      </c>
      <c r="GJ668"/>
      <c r="GK668">
        <v>18.778405961225189</v>
      </c>
      <c r="GL668">
        <v>18.098196841930676</v>
      </c>
      <c r="GM668">
        <v>11.605275839210796</v>
      </c>
      <c r="GN668">
        <v>8.7979150105715824</v>
      </c>
      <c r="GO668">
        <v>3.707011596685871</v>
      </c>
      <c r="GP668">
        <v>2.6631194629014399</v>
      </c>
      <c r="GQ668">
        <v>1.4687663019561665</v>
      </c>
      <c r="GR668">
        <v>1.4010579686228333</v>
      </c>
      <c r="GS668">
        <v>4.0844374295062229</v>
      </c>
      <c r="GT668">
        <v>7.928779425716848</v>
      </c>
      <c r="GU668"/>
      <c r="GV668"/>
      <c r="GW668"/>
      <c r="GX668"/>
      <c r="GY668"/>
      <c r="GZ668"/>
      <c r="HA668"/>
      <c r="HB668"/>
      <c r="HC668"/>
    </row>
    <row r="669" spans="1:211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61.946905274035863</v>
      </c>
      <c r="AO669">
        <v>7.6150029082848736</v>
      </c>
      <c r="AP669">
        <v>21.473073558881339</v>
      </c>
      <c r="AQ669">
        <v>54.519829305506107</v>
      </c>
      <c r="AR669">
        <v>7.9913556151286116</v>
      </c>
      <c r="AS669">
        <v>48.372510009623127</v>
      </c>
      <c r="AT669" t="e">
        <v>#DIV/0!</v>
      </c>
      <c r="AU669" t="e">
        <v>#DIV/0!</v>
      </c>
      <c r="AV669"/>
      <c r="AW669"/>
      <c r="FY669" s="211">
        <v>664</v>
      </c>
      <c r="FZ669">
        <v>18.219140378591963</v>
      </c>
      <c r="GA669">
        <v>14.230669333959561</v>
      </c>
      <c r="GB669">
        <v>5.5784523541462576</v>
      </c>
      <c r="GC669">
        <v>3.476136390272591</v>
      </c>
      <c r="GD669">
        <v>1.9844051411474819</v>
      </c>
      <c r="GE669">
        <v>2.4815607399452806</v>
      </c>
      <c r="GF669">
        <v>1.223050412887982</v>
      </c>
      <c r="GG669">
        <v>1.4386361263424563</v>
      </c>
      <c r="GH669">
        <v>4.4202199718588284</v>
      </c>
      <c r="GI669">
        <v>6.128795373193558</v>
      </c>
      <c r="GJ669"/>
      <c r="GK669">
        <v>18.304593107877203</v>
      </c>
      <c r="GL669">
        <v>12.056502490880519</v>
      </c>
      <c r="GM669">
        <v>9.3139439166235505</v>
      </c>
      <c r="GN669">
        <v>10.471916575962393</v>
      </c>
      <c r="GO669">
        <v>7.7036011743608901</v>
      </c>
      <c r="GP669">
        <v>4.7509508560295153</v>
      </c>
      <c r="GQ669">
        <v>1.4964056940656674</v>
      </c>
      <c r="GR669">
        <v>2.0230260644360376</v>
      </c>
      <c r="GS669">
        <v>4.7158326991374944</v>
      </c>
      <c r="GT669">
        <v>8.3068753184129598</v>
      </c>
      <c r="GU669"/>
      <c r="GV669"/>
      <c r="GW669"/>
      <c r="GX669"/>
      <c r="GY669"/>
      <c r="GZ669"/>
      <c r="HA669"/>
      <c r="HB669"/>
      <c r="HC669"/>
    </row>
    <row r="670" spans="1:211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70.73472465665732</v>
      </c>
      <c r="AO670">
        <v>7.8152335455670521</v>
      </c>
      <c r="AP670">
        <v>3.5110056130598761</v>
      </c>
      <c r="AQ670">
        <v>60.179048741288653</v>
      </c>
      <c r="AR670">
        <v>7.8608444951078145</v>
      </c>
      <c r="AS670">
        <v>50.763811360700537</v>
      </c>
      <c r="AT670">
        <v>6.3081092001031243</v>
      </c>
      <c r="AU670">
        <v>1.0256758271760908</v>
      </c>
      <c r="AV670"/>
      <c r="AW670"/>
      <c r="FY670" s="211">
        <v>665</v>
      </c>
      <c r="FZ670">
        <v>11.689961441095257</v>
      </c>
      <c r="GA670">
        <v>11.802104916075738</v>
      </c>
      <c r="GB670">
        <v>6.2255950630750583</v>
      </c>
      <c r="GC670">
        <v>2.9212795179013811</v>
      </c>
      <c r="GD670">
        <v>0.77473783834440746</v>
      </c>
      <c r="GE670">
        <v>0.82352361928571416</v>
      </c>
      <c r="GF670">
        <v>1.8707531456483986</v>
      </c>
      <c r="GG670">
        <v>1.532184007852873</v>
      </c>
      <c r="GH670">
        <v>3.505676657829139</v>
      </c>
      <c r="GI670">
        <v>4.6011530169841111</v>
      </c>
      <c r="GJ670"/>
      <c r="GK670">
        <v>11.726674190881349</v>
      </c>
      <c r="GL670">
        <v>9.9996686917667112</v>
      </c>
      <c r="GM670">
        <v>10.386594618513255</v>
      </c>
      <c r="GN670">
        <v>8.8291948760761798</v>
      </c>
      <c r="GO670">
        <v>3.0228601604722751</v>
      </c>
      <c r="GP670">
        <v>1.5766369047619047</v>
      </c>
      <c r="GQ670">
        <v>2.2900978236952971</v>
      </c>
      <c r="GR670">
        <v>2.1546811570286302</v>
      </c>
      <c r="GS670">
        <v>3.7374795694881251</v>
      </c>
      <c r="GT670">
        <v>6.2327412726100606</v>
      </c>
      <c r="GU670"/>
      <c r="GV670"/>
      <c r="GW670"/>
      <c r="GX670"/>
      <c r="GY670"/>
      <c r="GZ670"/>
      <c r="HA670"/>
      <c r="HB670"/>
      <c r="HC670"/>
    </row>
    <row r="671" spans="1:211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60.72311669604678</v>
      </c>
      <c r="AO671">
        <v>7.3039882606937043</v>
      </c>
      <c r="AP671">
        <v>27.019632452192589</v>
      </c>
      <c r="AQ671">
        <v>51.285754974653365</v>
      </c>
      <c r="AR671">
        <v>7.7965946987460928</v>
      </c>
      <c r="AS671">
        <v>48.674273300739728</v>
      </c>
      <c r="AT671" t="e">
        <v>#DIV/0!</v>
      </c>
      <c r="AU671" t="e">
        <v>#DIV/0!</v>
      </c>
      <c r="AV671"/>
      <c r="AW671"/>
      <c r="FY671" s="211">
        <v>666</v>
      </c>
      <c r="FZ671">
        <v>12.909460085737871</v>
      </c>
      <c r="GA671">
        <v>11.878777753943636</v>
      </c>
      <c r="GB671">
        <v>6.6217655347120363</v>
      </c>
      <c r="GC671">
        <v>3.4499168584053677</v>
      </c>
      <c r="GD671">
        <v>1.7688473786342627</v>
      </c>
      <c r="GE671">
        <v>2.7032194548739499</v>
      </c>
      <c r="GF671">
        <v>1.7376891389387068</v>
      </c>
      <c r="GG671">
        <v>1.4644344241006084</v>
      </c>
      <c r="GH671">
        <v>4.8603023974818766</v>
      </c>
      <c r="GI671">
        <v>5.6315047390454041</v>
      </c>
      <c r="GJ671"/>
      <c r="GK671">
        <v>12.970163392928182</v>
      </c>
      <c r="GL671">
        <v>10.06591897068915</v>
      </c>
      <c r="GM671">
        <v>10.964704141177984</v>
      </c>
      <c r="GN671">
        <v>10.262370360699487</v>
      </c>
      <c r="GO671">
        <v>6.8561002618065654</v>
      </c>
      <c r="GP671">
        <v>5.1753167175961297</v>
      </c>
      <c r="GQ671">
        <v>2.1270417649191296</v>
      </c>
      <c r="GR671">
        <v>2.0593334315857961</v>
      </c>
      <c r="GS671">
        <v>5.1809971284012883</v>
      </c>
      <c r="GT671">
        <v>7.6198013378466305</v>
      </c>
      <c r="GU671"/>
      <c r="GV671"/>
      <c r="GW671"/>
      <c r="GX671"/>
      <c r="GY671"/>
      <c r="GZ671"/>
      <c r="HA671"/>
      <c r="HB671"/>
      <c r="HC671"/>
    </row>
    <row r="672" spans="1:211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54.186109674594228</v>
      </c>
      <c r="AO672">
        <v>6.6260666143254996</v>
      </c>
      <c r="AP672">
        <v>61.008727389469996</v>
      </c>
      <c r="AQ672">
        <v>43.753068261357235</v>
      </c>
      <c r="AR672">
        <v>6.9765684445394935</v>
      </c>
      <c r="AS672">
        <v>44.084583943973101</v>
      </c>
      <c r="AT672" t="e">
        <v>#DIV/0!</v>
      </c>
      <c r="AU672" t="e">
        <v>#DIV/0!</v>
      </c>
      <c r="AV672"/>
      <c r="AW672"/>
      <c r="FY672" s="211">
        <v>667</v>
      </c>
      <c r="FZ672">
        <v>16.005270130859987</v>
      </c>
      <c r="GA672">
        <v>16.644700649666998</v>
      </c>
      <c r="GB672">
        <v>8.6121362382284641</v>
      </c>
      <c r="GC672">
        <v>3.1783746955912577</v>
      </c>
      <c r="GD672">
        <v>1.7036811507310925</v>
      </c>
      <c r="GE672">
        <v>2.8622450781512607</v>
      </c>
      <c r="GF672">
        <v>3.0385492969738808</v>
      </c>
      <c r="GG672">
        <v>3.3450116602369966</v>
      </c>
      <c r="GH672">
        <v>7.3028210191999046</v>
      </c>
      <c r="GI672">
        <v>7.1650373826690039</v>
      </c>
      <c r="GJ672"/>
      <c r="GK672">
        <v>16.058633547254146</v>
      </c>
      <c r="GL672">
        <v>14.102922110723476</v>
      </c>
      <c r="GM672">
        <v>14.302511492021564</v>
      </c>
      <c r="GN672">
        <v>9.5209326939649692</v>
      </c>
      <c r="GO672">
        <v>6.6056643111790176</v>
      </c>
      <c r="GP672">
        <v>5.4797714540361602</v>
      </c>
      <c r="GQ672">
        <v>3.718795184427631</v>
      </c>
      <c r="GR672">
        <v>4.7043275918350389</v>
      </c>
      <c r="GS672">
        <v>7.7842174386301544</v>
      </c>
      <c r="GT672">
        <v>9.6939643947025029</v>
      </c>
      <c r="GU672"/>
      <c r="GV672"/>
      <c r="GW672"/>
      <c r="GX672"/>
      <c r="GY672"/>
      <c r="GZ672"/>
      <c r="HA672"/>
      <c r="HB672"/>
      <c r="HC672"/>
    </row>
    <row r="673" spans="1:211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71.290055264813233</v>
      </c>
      <c r="AO673">
        <v>8.7034073067092077</v>
      </c>
      <c r="AP673">
        <v>4.2862091807252423</v>
      </c>
      <c r="AQ673">
        <v>61.962593661653301</v>
      </c>
      <c r="AR673">
        <v>8.9064890009849602</v>
      </c>
      <c r="AS673">
        <v>58.490897531837703</v>
      </c>
      <c r="AT673">
        <v>7.2030012573733195</v>
      </c>
      <c r="AU673">
        <v>-4.2645282340612987</v>
      </c>
      <c r="AV673"/>
      <c r="AW673"/>
      <c r="FY673" s="211">
        <v>668</v>
      </c>
      <c r="FZ673">
        <v>6.4735826712960911</v>
      </c>
      <c r="GA673">
        <v>4.8131844530579064</v>
      </c>
      <c r="GB673">
        <v>5.709282451528864</v>
      </c>
      <c r="GC673">
        <v>3.1795714729872437</v>
      </c>
      <c r="GD673">
        <v>2.4440404720732545</v>
      </c>
      <c r="GE673">
        <v>3.8028567145251126</v>
      </c>
      <c r="GF673">
        <v>0.60804645810537317</v>
      </c>
      <c r="GG673">
        <v>0.90314713503810828</v>
      </c>
      <c r="GH673">
        <v>4.9161946677389583</v>
      </c>
      <c r="GI673">
        <v>4.646020757448766</v>
      </c>
      <c r="GJ673"/>
      <c r="GK673">
        <v>6.5164293157306732</v>
      </c>
      <c r="GL673">
        <v>4.0770401765015167</v>
      </c>
      <c r="GM673">
        <v>9.4561923088822049</v>
      </c>
      <c r="GN673">
        <v>9.4664876348693383</v>
      </c>
      <c r="GO673">
        <v>9.4755073009929642</v>
      </c>
      <c r="GP673">
        <v>7.2805735005418661</v>
      </c>
      <c r="GQ673">
        <v>0.74278250565987025</v>
      </c>
      <c r="GR673">
        <v>1.2694028760302405</v>
      </c>
      <c r="GS673">
        <v>5.2418585612736104</v>
      </c>
      <c r="GT673">
        <v>6.2865539985078644</v>
      </c>
      <c r="GU673"/>
      <c r="GV673"/>
      <c r="GW673"/>
      <c r="GX673"/>
      <c r="GY673"/>
      <c r="GZ673"/>
      <c r="HA673"/>
      <c r="HB673"/>
      <c r="HC673"/>
    </row>
    <row r="674" spans="1:211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58.710448665970183</v>
      </c>
      <c r="AO674">
        <v>7.2898347948771063</v>
      </c>
      <c r="AP674">
        <v>2.6776017235732072</v>
      </c>
      <c r="AQ674">
        <v>51.025828713122614</v>
      </c>
      <c r="AR674">
        <v>7.5357727342991225</v>
      </c>
      <c r="AS674">
        <v>51.733207738849252</v>
      </c>
      <c r="AT674">
        <v>6.1327918755892723</v>
      </c>
      <c r="AU674">
        <v>4.9549710847699906</v>
      </c>
      <c r="AV674"/>
      <c r="AW674"/>
      <c r="FY674" s="211">
        <v>669</v>
      </c>
      <c r="FZ674">
        <v>10.671171167032259</v>
      </c>
      <c r="GA674">
        <v>10.028393891982649</v>
      </c>
      <c r="GB674">
        <v>6.1720726789190632</v>
      </c>
      <c r="GC674">
        <v>3.4926782450993437</v>
      </c>
      <c r="GD674">
        <v>2.8934687455760533</v>
      </c>
      <c r="GE674">
        <v>4.396379462088138</v>
      </c>
      <c r="GF674">
        <v>1.822456380763134</v>
      </c>
      <c r="GG674">
        <v>2.2871004422441126</v>
      </c>
      <c r="GH674">
        <v>4.8549763521243463</v>
      </c>
      <c r="GI674">
        <v>5.8514180825558872</v>
      </c>
      <c r="GJ674"/>
      <c r="GK674">
        <v>10.712041694666938</v>
      </c>
      <c r="GL674">
        <v>8.4962520808845294</v>
      </c>
      <c r="GM674">
        <v>10.225041074819069</v>
      </c>
      <c r="GN674">
        <v>10.41080932697035</v>
      </c>
      <c r="GO674">
        <v>11.22830355531327</v>
      </c>
      <c r="GP674">
        <v>8.4168734750771339</v>
      </c>
      <c r="GQ674">
        <v>2.2332301731078905</v>
      </c>
      <c r="GR674">
        <v>3.218762580515298</v>
      </c>
      <c r="GS674">
        <v>5.1776325081465089</v>
      </c>
      <c r="GT674">
        <v>7.9152498012107353</v>
      </c>
      <c r="GU674"/>
      <c r="GV674"/>
      <c r="GW674"/>
      <c r="GX674"/>
      <c r="GY674"/>
      <c r="GZ674"/>
      <c r="HA674"/>
      <c r="HB674"/>
      <c r="HC674"/>
    </row>
    <row r="675" spans="1:211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60.309264028592146</v>
      </c>
      <c r="AO675">
        <v>7.4076417124221177</v>
      </c>
      <c r="AP675">
        <v>4.6343812064608043</v>
      </c>
      <c r="AQ675">
        <v>54.109012722197868</v>
      </c>
      <c r="AR675">
        <v>7.5397738767944542</v>
      </c>
      <c r="AS675">
        <v>48.261983043332947</v>
      </c>
      <c r="AT675">
        <v>6.0022467579063488</v>
      </c>
      <c r="AU675">
        <v>5.6405687294005347</v>
      </c>
      <c r="AV675"/>
      <c r="AW675"/>
      <c r="FY675" s="211">
        <v>670</v>
      </c>
      <c r="FZ675">
        <v>10.616270063398622</v>
      </c>
      <c r="GA675">
        <v>7.4228709954424508</v>
      </c>
      <c r="GB675">
        <v>8.5067901474303991</v>
      </c>
      <c r="GC675">
        <v>4.3583396615025256</v>
      </c>
      <c r="GD675">
        <v>2.4330752505980704</v>
      </c>
      <c r="GE675">
        <v>3.8045016468506936</v>
      </c>
      <c r="GF675">
        <v>1.822456380763134</v>
      </c>
      <c r="GG675">
        <v>1.5387173901607791</v>
      </c>
      <c r="GH675">
        <v>5.0268394599592678</v>
      </c>
      <c r="GI675">
        <v>6.184954794842402</v>
      </c>
      <c r="GJ675"/>
      <c r="GK675">
        <v>10.675010556451774</v>
      </c>
      <c r="GL675">
        <v>6.2888818430421427</v>
      </c>
      <c r="GM675">
        <v>14.204272229201027</v>
      </c>
      <c r="GN675">
        <v>13.15777051083862</v>
      </c>
      <c r="GO675">
        <v>9.4439690051331073</v>
      </c>
      <c r="GP675">
        <v>7.283722725348067</v>
      </c>
      <c r="GQ675">
        <v>2.2332301731078905</v>
      </c>
      <c r="GR675">
        <v>2.165521839774557</v>
      </c>
      <c r="GS675">
        <v>5.3572554316242416</v>
      </c>
      <c r="GT675">
        <v>8.3827474791036085</v>
      </c>
      <c r="GU675"/>
      <c r="GV675"/>
      <c r="GW675"/>
      <c r="GX675"/>
      <c r="GY675"/>
      <c r="GZ675"/>
      <c r="HA675"/>
      <c r="HB675"/>
      <c r="HC675"/>
    </row>
    <row r="676" spans="1:211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54.941376138412728</v>
      </c>
      <c r="AO676">
        <v>6.5834089097493873</v>
      </c>
      <c r="AP676">
        <v>4.4329846566017626</v>
      </c>
      <c r="AQ676">
        <v>46.423256287735647</v>
      </c>
      <c r="AR676">
        <v>6.8232841323927458</v>
      </c>
      <c r="AS676">
        <v>38.571000627283837</v>
      </c>
      <c r="AT676">
        <v>5.4147926992324145</v>
      </c>
      <c r="AU676">
        <v>8.896314176422603</v>
      </c>
      <c r="AV676"/>
      <c r="AW676"/>
      <c r="FY676" s="211">
        <v>671</v>
      </c>
      <c r="FZ676">
        <v>11.058937578195351</v>
      </c>
      <c r="GA676">
        <v>11.709718239212084</v>
      </c>
      <c r="GB676">
        <v>3.5763138871434892</v>
      </c>
      <c r="GC676">
        <v>2.0505839602515725</v>
      </c>
      <c r="GD676">
        <v>1.9385532564511612</v>
      </c>
      <c r="GE676">
        <v>2.9170606571995314</v>
      </c>
      <c r="GF676">
        <v>2.9607395518266886</v>
      </c>
      <c r="GG676">
        <v>2.9030705504430645</v>
      </c>
      <c r="GH676">
        <v>6.7977783598763848</v>
      </c>
      <c r="GI676">
        <v>5.238980138352697</v>
      </c>
      <c r="GJ676"/>
      <c r="GK676">
        <v>11.08286469487153</v>
      </c>
      <c r="GL676">
        <v>9.9224197811832244</v>
      </c>
      <c r="GM676">
        <v>5.9631478082157319</v>
      </c>
      <c r="GN676">
        <v>6.1670497830076307</v>
      </c>
      <c r="GO676">
        <v>7.5155872428534298</v>
      </c>
      <c r="GP676">
        <v>5.5847159424023323</v>
      </c>
      <c r="GQ676">
        <v>3.6234474589847969</v>
      </c>
      <c r="GR676">
        <v>4.0823594960218337</v>
      </c>
      <c r="GS676">
        <v>7.2478572943417499</v>
      </c>
      <c r="GT676">
        <v>7.0865808998534474</v>
      </c>
      <c r="GU676"/>
      <c r="GV676"/>
      <c r="GW676"/>
      <c r="GX676"/>
      <c r="GY676"/>
      <c r="GZ676"/>
      <c r="HA676"/>
      <c r="HB676"/>
      <c r="HC676"/>
    </row>
    <row r="677" spans="1:211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54.275606796169086</v>
      </c>
      <c r="AO677">
        <v>6.569382910085606</v>
      </c>
      <c r="AP677">
        <v>3.5189638541737023</v>
      </c>
      <c r="AQ677">
        <v>51.782103133831413</v>
      </c>
      <c r="AR677">
        <v>7.0254224619567065</v>
      </c>
      <c r="AS677">
        <v>46.290859728467012</v>
      </c>
      <c r="AT677">
        <v>5.6853467818012016</v>
      </c>
      <c r="AU677">
        <v>0.11964817684008544</v>
      </c>
      <c r="AV677"/>
      <c r="AW677"/>
      <c r="FY677" s="211">
        <v>672</v>
      </c>
      <c r="FZ677">
        <v>17.989814091590119</v>
      </c>
      <c r="GA677">
        <v>19.497330226615084</v>
      </c>
      <c r="GB677">
        <v>4.1340172590139632</v>
      </c>
      <c r="GC677">
        <v>1.8477886834895005</v>
      </c>
      <c r="GD677">
        <v>0.93800025915259733</v>
      </c>
      <c r="GE677">
        <v>0.89425570928571452</v>
      </c>
      <c r="GF677">
        <v>1.8450118643478259</v>
      </c>
      <c r="GG677">
        <v>1.6064669739130433</v>
      </c>
      <c r="GH677">
        <v>2.5449181563681127</v>
      </c>
      <c r="GI677">
        <v>4.9530092363748137</v>
      </c>
      <c r="GJ677"/>
      <c r="GK677">
        <v>18.033816368603677</v>
      </c>
      <c r="GL677">
        <v>16.5198520244683</v>
      </c>
      <c r="GM677">
        <v>6.84683275845516</v>
      </c>
      <c r="GN677">
        <v>5.5011230438671728</v>
      </c>
      <c r="GO677">
        <v>3.6361540385463358</v>
      </c>
      <c r="GP677">
        <v>1.7120535714285716</v>
      </c>
      <c r="GQ677">
        <v>2.2608695652173911</v>
      </c>
      <c r="GR677">
        <v>2.2608695652173911</v>
      </c>
      <c r="GS677">
        <v>2.7129428469949461</v>
      </c>
      <c r="GT677">
        <v>6.6981231155635017</v>
      </c>
      <c r="GU677"/>
      <c r="GV677"/>
      <c r="GW677"/>
      <c r="GX677"/>
      <c r="GY677"/>
      <c r="GZ677"/>
      <c r="HA677"/>
      <c r="HB677"/>
      <c r="HC677"/>
    </row>
    <row r="678" spans="1:211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57.295131861226096</v>
      </c>
      <c r="AO678">
        <v>6.554045879926532</v>
      </c>
      <c r="AP678">
        <v>2.0327679159825003</v>
      </c>
      <c r="AQ678">
        <v>51.311305244586379</v>
      </c>
      <c r="AR678">
        <v>6.7537169982846512</v>
      </c>
      <c r="AS678">
        <v>43.462704310328206</v>
      </c>
      <c r="AT678">
        <v>5.4560720174783244</v>
      </c>
      <c r="AU678">
        <v>1.4395312037336874</v>
      </c>
      <c r="AV678"/>
      <c r="AW678"/>
      <c r="FY678" s="211">
        <v>673</v>
      </c>
      <c r="FZ678">
        <v>11.145577011328337</v>
      </c>
      <c r="GA678">
        <v>12.361877970136886</v>
      </c>
      <c r="GB678">
        <v>6.8212775808257753</v>
      </c>
      <c r="GC678">
        <v>3.4305586014170224</v>
      </c>
      <c r="GD678">
        <v>1.8426486434423643</v>
      </c>
      <c r="GE678">
        <v>2.2869259132225914</v>
      </c>
      <c r="GF678">
        <v>0.72551247790760864</v>
      </c>
      <c r="GG678">
        <v>0.53548899130434779</v>
      </c>
      <c r="GH678">
        <v>3.0281451819501486</v>
      </c>
      <c r="GI678">
        <v>4.9910941778690994</v>
      </c>
      <c r="GJ678"/>
      <c r="GK678">
        <v>11.16666603413411</v>
      </c>
      <c r="GL678">
        <v>10.473498144481542</v>
      </c>
      <c r="GM678">
        <v>11.29383328103691</v>
      </c>
      <c r="GN678">
        <v>10.218972431731641</v>
      </c>
      <c r="GO678">
        <v>7.1547143722545865</v>
      </c>
      <c r="GP678">
        <v>4.3783222591362128</v>
      </c>
      <c r="GQ678">
        <v>0.88903985507246364</v>
      </c>
      <c r="GR678">
        <v>0.75362318840579701</v>
      </c>
      <c r="GS678">
        <v>3.2261692125566772</v>
      </c>
      <c r="GT678">
        <v>6.7460845510109495</v>
      </c>
      <c r="GU678"/>
      <c r="GV678"/>
      <c r="GW678"/>
      <c r="GX678"/>
      <c r="GY678"/>
      <c r="GZ678"/>
      <c r="HA678"/>
      <c r="HB678"/>
      <c r="HC678"/>
    </row>
    <row r="679" spans="1:211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70.985314002365755</v>
      </c>
      <c r="AO679">
        <v>7.8532965838327637</v>
      </c>
      <c r="AP679">
        <v>50.453548671981679</v>
      </c>
      <c r="AQ679">
        <v>64.285527338801217</v>
      </c>
      <c r="AR679">
        <v>7.9287794257168489</v>
      </c>
      <c r="AS679">
        <v>51.024050913696804</v>
      </c>
      <c r="AT679" t="e">
        <v>#DIV/0!</v>
      </c>
      <c r="AU679" t="e">
        <v>#DIV/0!</v>
      </c>
      <c r="AV679"/>
      <c r="AW679"/>
      <c r="FY679" s="211">
        <v>674</v>
      </c>
      <c r="FZ679">
        <v>17.128461288900482</v>
      </c>
      <c r="GA679">
        <v>14.864662045548664</v>
      </c>
      <c r="GB679">
        <v>5.160781494803091</v>
      </c>
      <c r="GC679">
        <v>2.7432883132273833</v>
      </c>
      <c r="GD679">
        <v>2.2110520821799691</v>
      </c>
      <c r="GE679">
        <v>3.0568799048739499</v>
      </c>
      <c r="GF679">
        <v>1.2160929162107463</v>
      </c>
      <c r="GG679">
        <v>2.1804857961178832</v>
      </c>
      <c r="GH679">
        <v>6.7616525349638721</v>
      </c>
      <c r="GI679">
        <v>6.3616297286105974</v>
      </c>
      <c r="GJ679"/>
      <c r="GK679">
        <v>17.203355747674532</v>
      </c>
      <c r="GL679">
        <v>12.59356811378475</v>
      </c>
      <c r="GM679">
        <v>8.5808913194461169</v>
      </c>
      <c r="GN679">
        <v>8.2385142116503829</v>
      </c>
      <c r="GO679">
        <v>8.5933539200233504</v>
      </c>
      <c r="GP679">
        <v>5.8524000509294627</v>
      </c>
      <c r="GQ679">
        <v>1.4855650113197405</v>
      </c>
      <c r="GR679">
        <v>3.0654261224308517</v>
      </c>
      <c r="GS679">
        <v>7.2102610245075294</v>
      </c>
      <c r="GT679">
        <v>8.6146854045942529</v>
      </c>
      <c r="GU679"/>
      <c r="GV679"/>
      <c r="GW679"/>
      <c r="GX679"/>
      <c r="GY679"/>
      <c r="GZ679"/>
      <c r="HA679"/>
      <c r="HB679"/>
      <c r="HC679"/>
    </row>
    <row r="680" spans="1:211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64.168053995205653</v>
      </c>
      <c r="AO680">
        <v>7.9143647897786238</v>
      </c>
      <c r="AP680">
        <v>21.546654708327988</v>
      </c>
      <c r="AQ680">
        <v>59.181066222345962</v>
      </c>
      <c r="AR680">
        <v>8.3068753184129633</v>
      </c>
      <c r="AS680">
        <v>47.633650035521342</v>
      </c>
      <c r="AT680" t="e">
        <v>#DIV/0!</v>
      </c>
      <c r="AU680" t="e">
        <v>#DIV/0!</v>
      </c>
      <c r="AV680"/>
      <c r="AW680"/>
      <c r="FY680" s="211">
        <v>675</v>
      </c>
      <c r="FZ680">
        <v>12.457414516900307</v>
      </c>
      <c r="GA680">
        <v>12.451242675284009</v>
      </c>
      <c r="GB680">
        <v>6.7970057594463533</v>
      </c>
      <c r="GC680">
        <v>3.1355368775346975</v>
      </c>
      <c r="GD680">
        <v>1.4620969845191476</v>
      </c>
      <c r="GE680">
        <v>1.4189344576196992</v>
      </c>
      <c r="GF680">
        <v>1.7602446225233985</v>
      </c>
      <c r="GG680">
        <v>2.6547585859778726</v>
      </c>
      <c r="GH680">
        <v>3.6603870460845105</v>
      </c>
      <c r="GI680">
        <v>5.2492262078733729</v>
      </c>
      <c r="GJ680"/>
      <c r="GK680">
        <v>12.511922424079527</v>
      </c>
      <c r="GL680">
        <v>10.548972754242977</v>
      </c>
      <c r="GM680">
        <v>11.248810389040619</v>
      </c>
      <c r="GN680">
        <v>9.3539215448945363</v>
      </c>
      <c r="GO680">
        <v>5.6996714229593852</v>
      </c>
      <c r="GP680">
        <v>2.716551631223314</v>
      </c>
      <c r="GQ680">
        <v>2.1546811570286302</v>
      </c>
      <c r="GR680">
        <v>3.7345422681397409</v>
      </c>
      <c r="GS680">
        <v>3.9023957556222038</v>
      </c>
      <c r="GT680">
        <v>7.1034962297460726</v>
      </c>
      <c r="GU680"/>
      <c r="GV680"/>
      <c r="GW680"/>
      <c r="GX680"/>
      <c r="GY680"/>
      <c r="GZ680"/>
      <c r="HA680"/>
      <c r="HB680"/>
      <c r="HC680"/>
    </row>
    <row r="681" spans="1:211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50.568141671206739</v>
      </c>
      <c r="AO681">
        <v>5.9956629265293797</v>
      </c>
      <c r="AP681">
        <v>47.004664839667853</v>
      </c>
      <c r="AQ681">
        <v>45.746969224092084</v>
      </c>
      <c r="AR681">
        <v>6.2327412726100606</v>
      </c>
      <c r="AS681">
        <v>35.048507910549887</v>
      </c>
      <c r="AT681" t="e">
        <v>#DIV/0!</v>
      </c>
      <c r="AU681" t="e">
        <v>#DIV/0!</v>
      </c>
      <c r="AV681"/>
      <c r="AW681"/>
      <c r="FY681" s="211">
        <v>676</v>
      </c>
      <c r="FZ681">
        <v>13.233062119308805</v>
      </c>
      <c r="GA681">
        <v>7.0808433507124624</v>
      </c>
      <c r="GB681">
        <v>4.8640543632819799</v>
      </c>
      <c r="GC681">
        <v>2.9995335608693856</v>
      </c>
      <c r="GD681">
        <v>2.1224272866826426</v>
      </c>
      <c r="GE681">
        <v>3.1451734381512613</v>
      </c>
      <c r="GF681">
        <v>1.9260074072108988</v>
      </c>
      <c r="GG681">
        <v>2.6547585859778726</v>
      </c>
      <c r="GH681">
        <v>6.7397713334361349</v>
      </c>
      <c r="GI681">
        <v>5.7912378468043606</v>
      </c>
      <c r="GJ681"/>
      <c r="GK681">
        <v>13.300024944332819</v>
      </c>
      <c r="GL681">
        <v>5.9996338899170336</v>
      </c>
      <c r="GM681">
        <v>8.1726816057305598</v>
      </c>
      <c r="GN681">
        <v>9.12283154609554</v>
      </c>
      <c r="GO681">
        <v>8.2482417335560534</v>
      </c>
      <c r="GP681">
        <v>6.0214381207028271</v>
      </c>
      <c r="GQ681">
        <v>2.3578061570286302</v>
      </c>
      <c r="GR681">
        <v>3.7345422681397409</v>
      </c>
      <c r="GS681">
        <v>7.1886184655943666</v>
      </c>
      <c r="GT681">
        <v>7.8534745812484861</v>
      </c>
      <c r="GU681"/>
      <c r="GV681"/>
      <c r="GW681"/>
      <c r="GX681"/>
      <c r="GY681"/>
      <c r="GZ681"/>
      <c r="HA681"/>
      <c r="HB681"/>
      <c r="HC681"/>
    </row>
    <row r="682" spans="1:211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64.14128134058204</v>
      </c>
      <c r="AO682">
        <v>7.3281747507650339</v>
      </c>
      <c r="AP682">
        <v>62.254553335019288</v>
      </c>
      <c r="AQ682">
        <v>53.025917765873722</v>
      </c>
      <c r="AR682">
        <v>7.6198013378466305</v>
      </c>
      <c r="AS682">
        <v>47.732399528096494</v>
      </c>
      <c r="AT682" t="e">
        <v>#DIV/0!</v>
      </c>
      <c r="AU682" t="e">
        <v>#DIV/0!</v>
      </c>
      <c r="AV682"/>
      <c r="AW682"/>
      <c r="FY682" s="211">
        <v>677</v>
      </c>
      <c r="FZ682">
        <v>12.951442172666296</v>
      </c>
      <c r="GA682">
        <v>12.372496847479534</v>
      </c>
      <c r="GB682">
        <v>6.8203739084548536</v>
      </c>
      <c r="GC682">
        <v>3.669679820318053</v>
      </c>
      <c r="GD682">
        <v>0.64357317870791819</v>
      </c>
      <c r="GE682">
        <v>0.10609813499999998</v>
      </c>
      <c r="GF682">
        <v>1.8154988840858985</v>
      </c>
      <c r="GG682">
        <v>1.532184007852873</v>
      </c>
      <c r="GH682">
        <v>7.0673111537016124</v>
      </c>
      <c r="GI682">
        <v>5.4099424196801298</v>
      </c>
      <c r="GJ682"/>
      <c r="GK682">
        <v>12.986307161186859</v>
      </c>
      <c r="GL682">
        <v>10.482503382676848</v>
      </c>
      <c r="GM682">
        <v>11.371655059346896</v>
      </c>
      <c r="GN682">
        <v>11.047676287688653</v>
      </c>
      <c r="GO682">
        <v>2.5048080564266137</v>
      </c>
      <c r="GP682">
        <v>0.20312499999999997</v>
      </c>
      <c r="GQ682">
        <v>2.2223894903619632</v>
      </c>
      <c r="GR682">
        <v>2.1546811570286302</v>
      </c>
      <c r="GS682">
        <v>7.5343293520350612</v>
      </c>
      <c r="GT682">
        <v>7.3238978238714791</v>
      </c>
      <c r="GU682"/>
      <c r="GV682"/>
      <c r="GW682"/>
      <c r="GX682"/>
      <c r="GY682"/>
      <c r="GZ682"/>
      <c r="HA682"/>
      <c r="HB682"/>
      <c r="HC682"/>
    </row>
    <row r="683" spans="1:211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78.75903071740143</v>
      </c>
      <c r="AO683">
        <v>9.1971740218774674</v>
      </c>
      <c r="AP683">
        <v>4.8473316034412921</v>
      </c>
      <c r="AQ683">
        <v>69.857827302308849</v>
      </c>
      <c r="AR683">
        <v>9.6939643947025029</v>
      </c>
      <c r="AS683">
        <v>64.052753660739057</v>
      </c>
      <c r="AT683">
        <v>7.7844237944915546</v>
      </c>
      <c r="AU683">
        <v>3.7464490587008221</v>
      </c>
      <c r="AV683"/>
      <c r="AW683"/>
      <c r="FY683" s="211">
        <v>678</v>
      </c>
      <c r="FZ683">
        <v>9.3195008749743735</v>
      </c>
      <c r="GA683">
        <v>8.7934903737258381</v>
      </c>
      <c r="GB683">
        <v>7.8343917928804174</v>
      </c>
      <c r="GC683">
        <v>3.690118597599664</v>
      </c>
      <c r="GD683">
        <v>1.4351370691722036</v>
      </c>
      <c r="GE683">
        <v>2.4453093971428572</v>
      </c>
      <c r="GF683">
        <v>0.60804645810537317</v>
      </c>
      <c r="GG683">
        <v>0.90314713503810828</v>
      </c>
      <c r="GH683">
        <v>5.4108237882972468</v>
      </c>
      <c r="GI683">
        <v>5.0965542847397982</v>
      </c>
      <c r="GJ683"/>
      <c r="GK683">
        <v>9.3488473587077436</v>
      </c>
      <c r="GL683">
        <v>7.4492821973804491</v>
      </c>
      <c r="GM683">
        <v>13.090328954836625</v>
      </c>
      <c r="GN683">
        <v>11.165924233349131</v>
      </c>
      <c r="GO683">
        <v>5.5739300802361376</v>
      </c>
      <c r="GP683">
        <v>4.6815476190476195</v>
      </c>
      <c r="GQ683">
        <v>0.74278250565987025</v>
      </c>
      <c r="GR683">
        <v>1.2694028760302405</v>
      </c>
      <c r="GS683">
        <v>5.7707943915202922</v>
      </c>
      <c r="GT683">
        <v>6.9053366581921338</v>
      </c>
      <c r="GU683"/>
      <c r="GV683"/>
      <c r="GW683"/>
      <c r="GX683"/>
      <c r="GY683"/>
      <c r="GZ683"/>
      <c r="HA683"/>
      <c r="HB683"/>
      <c r="HC683"/>
    </row>
    <row r="684" spans="1:211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50.631823088453828</v>
      </c>
      <c r="AO684">
        <v>5.9812828178990154</v>
      </c>
      <c r="AP684">
        <v>12.822669683233594</v>
      </c>
      <c r="AQ684">
        <v>37.495927253799678</v>
      </c>
      <c r="AR684">
        <v>6.2865539985078662</v>
      </c>
      <c r="AS684">
        <v>40.272658315575846</v>
      </c>
      <c r="AT684" t="e">
        <v>#DIV/0!</v>
      </c>
      <c r="AU684" t="e">
        <v>#DIV/0!</v>
      </c>
      <c r="AV684"/>
      <c r="AW684"/>
      <c r="FY684" s="211">
        <v>679</v>
      </c>
      <c r="FZ684">
        <v>9.2459423427123593</v>
      </c>
      <c r="GA684">
        <v>11.245750437560551</v>
      </c>
      <c r="GB684">
        <v>5.7600694693696548</v>
      </c>
      <c r="GC684">
        <v>1.9563679816089512</v>
      </c>
      <c r="GD684">
        <v>1.6820394957557829</v>
      </c>
      <c r="GE684">
        <v>2.4293928861911276</v>
      </c>
      <c r="GF684">
        <v>0.59244847119791655</v>
      </c>
      <c r="GG684">
        <v>0.84193093359375004</v>
      </c>
      <c r="GH684">
        <v>3.6015022388708462</v>
      </c>
      <c r="GI684">
        <v>4.4221276425786336</v>
      </c>
      <c r="GJ684"/>
      <c r="GK684">
        <v>9.2866955452708027</v>
      </c>
      <c r="GL684">
        <v>9.5282161131941425</v>
      </c>
      <c r="GM684">
        <v>9.5378107340465164</v>
      </c>
      <c r="GN684">
        <v>5.8225253614362602</v>
      </c>
      <c r="GO684">
        <v>6.5210092411982217</v>
      </c>
      <c r="GP684">
        <v>4.6510754407471238</v>
      </c>
      <c r="GQ684">
        <v>0.72598379629629617</v>
      </c>
      <c r="GR684">
        <v>1.1848958333333333</v>
      </c>
      <c r="GS684">
        <v>3.8414157142786651</v>
      </c>
      <c r="GT684">
        <v>5.9825830062180998</v>
      </c>
      <c r="GU684"/>
      <c r="GV684"/>
      <c r="GW684"/>
      <c r="GX684"/>
      <c r="GY684"/>
      <c r="GZ684"/>
      <c r="HA684"/>
      <c r="HB684"/>
      <c r="HC684"/>
    </row>
    <row r="685" spans="1:211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64.807631763346336</v>
      </c>
      <c r="AO685">
        <v>7.8034196270711735</v>
      </c>
      <c r="AP685">
        <v>3.4185936310203426</v>
      </c>
      <c r="AQ685">
        <v>52.470115448384995</v>
      </c>
      <c r="AR685">
        <v>7.9152498012107335</v>
      </c>
      <c r="AS685">
        <v>50.766796443295959</v>
      </c>
      <c r="AT685">
        <v>6.4148865516644138</v>
      </c>
      <c r="AU685">
        <v>3.9949686135710989</v>
      </c>
      <c r="AV685"/>
      <c r="AW685"/>
      <c r="FY685" s="211">
        <v>680</v>
      </c>
      <c r="FZ685">
        <v>8.9377758649122221</v>
      </c>
      <c r="GA685">
        <v>5.4565414006245909</v>
      </c>
      <c r="GB685">
        <v>6.8947370312916281</v>
      </c>
      <c r="GC685">
        <v>4.0422942177352734</v>
      </c>
      <c r="GD685">
        <v>1.222102275911306</v>
      </c>
      <c r="GE685">
        <v>1.4617573616112958</v>
      </c>
      <c r="GF685">
        <v>1.2852621711277175</v>
      </c>
      <c r="GG685">
        <v>1.0709779826086956</v>
      </c>
      <c r="GH685">
        <v>4.7406859421775787</v>
      </c>
      <c r="GI685">
        <v>4.7049226317969302</v>
      </c>
      <c r="GJ685"/>
      <c r="GK685">
        <v>8.9893844029401464</v>
      </c>
      <c r="GL685">
        <v>4.6222001208170953</v>
      </c>
      <c r="GM685">
        <v>11.534113407820936</v>
      </c>
      <c r="GN685">
        <v>12.225186742917533</v>
      </c>
      <c r="GO685">
        <v>4.7589096415191374</v>
      </c>
      <c r="GP685">
        <v>2.7985361295681064</v>
      </c>
      <c r="GQ685">
        <v>1.5749547101449275</v>
      </c>
      <c r="GR685">
        <v>1.507246376811594</v>
      </c>
      <c r="GS685">
        <v>5.0539966550860544</v>
      </c>
      <c r="GT685">
        <v>6.3822717635022403</v>
      </c>
      <c r="GU685"/>
      <c r="GV685"/>
      <c r="GW685"/>
      <c r="GX685"/>
      <c r="GY685"/>
      <c r="GZ685"/>
      <c r="HA685"/>
      <c r="HB685"/>
      <c r="HC685"/>
    </row>
    <row r="686" spans="1:211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62.795587964418964</v>
      </c>
      <c r="AO686">
        <v>7.9192381793625044</v>
      </c>
      <c r="AP686">
        <v>66.866919037335762</v>
      </c>
      <c r="AQ686">
        <v>51.71481579094835</v>
      </c>
      <c r="AR686">
        <v>8.3827474791036085</v>
      </c>
      <c r="AS686">
        <v>50.195238107864036</v>
      </c>
      <c r="AT686" t="e">
        <v>#DIV/0!</v>
      </c>
      <c r="AU686" t="e">
        <v>#DIV/0!</v>
      </c>
      <c r="AV686"/>
      <c r="AW686"/>
      <c r="FY686" s="211">
        <v>681</v>
      </c>
      <c r="FZ686">
        <v>5.9035121985362187</v>
      </c>
      <c r="GA686">
        <v>6.9565909671519321</v>
      </c>
      <c r="GB686">
        <v>4.9650299840242242</v>
      </c>
      <c r="GC686">
        <v>2.4442007249251394</v>
      </c>
      <c r="GD686">
        <v>2.1796849365242319</v>
      </c>
      <c r="GE686">
        <v>2.9968945385167092</v>
      </c>
      <c r="GF686">
        <v>1.8310968709933551</v>
      </c>
      <c r="GG686">
        <v>1.5934002092972313</v>
      </c>
      <c r="GH686">
        <v>2.4424216982267088</v>
      </c>
      <c r="GI686">
        <v>4.0606367244116743</v>
      </c>
      <c r="GJ686"/>
      <c r="GK686">
        <v>5.9424925597551574</v>
      </c>
      <c r="GL686">
        <v>5.8941459971771826</v>
      </c>
      <c r="GM686">
        <v>8.2251574289114728</v>
      </c>
      <c r="GN686">
        <v>7.2988187441364181</v>
      </c>
      <c r="GO686">
        <v>8.470990311288789</v>
      </c>
      <c r="GP686">
        <v>5.7375579988866585</v>
      </c>
      <c r="GQ686">
        <v>2.2391881997255374</v>
      </c>
      <c r="GR686">
        <v>2.2391881997255374</v>
      </c>
      <c r="GS686">
        <v>2.6023604602920813</v>
      </c>
      <c r="GT686">
        <v>5.496037791994608</v>
      </c>
      <c r="GU686"/>
      <c r="GV686"/>
      <c r="GW686"/>
      <c r="GX686"/>
      <c r="GY686"/>
      <c r="GZ686"/>
      <c r="HA686"/>
      <c r="HB686"/>
      <c r="HC686"/>
    </row>
    <row r="687" spans="1:211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57.12092551858332</v>
      </c>
      <c r="AO687">
        <v>6.827603040173571</v>
      </c>
      <c r="AP687">
        <v>4.563607549290972</v>
      </c>
      <c r="AQ687">
        <v>51.151736178952021</v>
      </c>
      <c r="AR687">
        <v>7.0865808998534492</v>
      </c>
      <c r="AS687">
        <v>46.780447685115369</v>
      </c>
      <c r="AT687">
        <v>5.723864784785774</v>
      </c>
      <c r="AU687">
        <v>-3.6179682084545419</v>
      </c>
      <c r="AV687"/>
      <c r="AW687"/>
      <c r="FY687" s="211">
        <v>682</v>
      </c>
      <c r="FZ687">
        <v>14.720999409553691</v>
      </c>
      <c r="GA687">
        <v>11.475675651457099</v>
      </c>
      <c r="GB687">
        <v>4.3691414921582208</v>
      </c>
      <c r="GC687">
        <v>2.6108636114135</v>
      </c>
      <c r="GD687">
        <v>1.0508218058382355</v>
      </c>
      <c r="GE687">
        <v>1.2758253452941177</v>
      </c>
      <c r="GF687">
        <v>1.1521981644180253</v>
      </c>
      <c r="GG687">
        <v>1.003228398856431</v>
      </c>
      <c r="GH687">
        <v>3.8245703604738108</v>
      </c>
      <c r="GI687">
        <v>4.6668402113199647</v>
      </c>
      <c r="GJ687"/>
      <c r="GK687">
        <v>14.787707347545329</v>
      </c>
      <c r="GL687">
        <v>9.7251823194587264</v>
      </c>
      <c r="GM687">
        <v>7.240454563777809</v>
      </c>
      <c r="GN687">
        <v>7.7777613903192977</v>
      </c>
      <c r="GO687">
        <v>4.0743399064171131</v>
      </c>
      <c r="GP687">
        <v>2.4425690730837792</v>
      </c>
      <c r="GQ687">
        <v>1.4118986513687599</v>
      </c>
      <c r="GR687">
        <v>1.4118986513687599</v>
      </c>
      <c r="GS687">
        <v>4.076613664218474</v>
      </c>
      <c r="GT687">
        <v>6.3182028266654973</v>
      </c>
      <c r="GU687"/>
      <c r="GV687"/>
      <c r="GW687"/>
      <c r="GX687"/>
      <c r="GY687"/>
      <c r="GZ687"/>
      <c r="HA687"/>
      <c r="HB687"/>
      <c r="HC687"/>
    </row>
    <row r="688" spans="1:211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57.900089293768985</v>
      </c>
      <c r="AO688">
        <v>6.6182636898362448</v>
      </c>
      <c r="AP688">
        <v>59.495190352410312</v>
      </c>
      <c r="AQ688">
        <v>56.250612460150769</v>
      </c>
      <c r="AR688">
        <v>6.6981231155635035</v>
      </c>
      <c r="AS688">
        <v>41.073613872783049</v>
      </c>
      <c r="AT688" t="e">
        <v>#DIV/0!</v>
      </c>
      <c r="AU688" t="e">
        <v>#DIV/0!</v>
      </c>
      <c r="AV688"/>
      <c r="AW688"/>
      <c r="FY688" s="211">
        <v>683</v>
      </c>
      <c r="FZ688">
        <v>9.8007931690118149</v>
      </c>
      <c r="GA688">
        <v>9.4226901819605438</v>
      </c>
      <c r="GB688">
        <v>7.4320305236308677</v>
      </c>
      <c r="GC688">
        <v>3.7232489849959962</v>
      </c>
      <c r="GD688">
        <v>1.541286781015649</v>
      </c>
      <c r="GE688">
        <v>1.560398637619699</v>
      </c>
      <c r="GF688">
        <v>0.60804645810537317</v>
      </c>
      <c r="GG688">
        <v>1.6515301871214416</v>
      </c>
      <c r="GH688">
        <v>3.7562781949124719</v>
      </c>
      <c r="GI688">
        <v>4.8663590807248696</v>
      </c>
      <c r="GJ688"/>
      <c r="GK688">
        <v>9.8460699964920284</v>
      </c>
      <c r="GL688">
        <v>7.9841607386683435</v>
      </c>
      <c r="GM688">
        <v>12.387510608838305</v>
      </c>
      <c r="GN688">
        <v>11.213224126145477</v>
      </c>
      <c r="GO688">
        <v>5.9862473157702576</v>
      </c>
      <c r="GP688">
        <v>2.987384964556647</v>
      </c>
      <c r="GQ688">
        <v>0.74278250565987025</v>
      </c>
      <c r="GR688">
        <v>2.3226436167709812</v>
      </c>
      <c r="GS688">
        <v>4.0048406805992363</v>
      </c>
      <c r="GT688">
        <v>6.5934902214719395</v>
      </c>
      <c r="GU688"/>
      <c r="GV688"/>
      <c r="GW688"/>
      <c r="GX688"/>
      <c r="GY688"/>
      <c r="GZ688"/>
      <c r="HA688"/>
      <c r="HB688"/>
      <c r="HC688"/>
    </row>
    <row r="689" spans="1:211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59.639278766663665</v>
      </c>
      <c r="AO689">
        <v>6.6300923329820893</v>
      </c>
      <c r="AP689">
        <v>40.919946671046645</v>
      </c>
      <c r="AQ689">
        <v>47.169106549404184</v>
      </c>
      <c r="AR689">
        <v>6.7460845510109513</v>
      </c>
      <c r="AS689">
        <v>44.288234646121282</v>
      </c>
      <c r="AT689" t="e">
        <v>#DIV/0!</v>
      </c>
      <c r="AU689" t="e">
        <v>#DIV/0!</v>
      </c>
      <c r="AV689"/>
      <c r="AW689"/>
      <c r="FY689" s="211">
        <v>684</v>
      </c>
      <c r="FZ689">
        <v>7.5808836245229223</v>
      </c>
      <c r="GA689">
        <v>6.7096197670624678</v>
      </c>
      <c r="GB689">
        <v>4.1673555014064334</v>
      </c>
      <c r="GC689">
        <v>2.2494694956463177</v>
      </c>
      <c r="GD689">
        <v>1.356183155809247</v>
      </c>
      <c r="GE689">
        <v>1.6048664739368772</v>
      </c>
      <c r="GF689">
        <v>1.7532871258461631</v>
      </c>
      <c r="GG689">
        <v>1.5256506255449667</v>
      </c>
      <c r="GH689">
        <v>0.92745285247343956</v>
      </c>
      <c r="GI689">
        <v>3.3896301103711695</v>
      </c>
      <c r="GJ689"/>
      <c r="GK689">
        <v>7.6098167412865703</v>
      </c>
      <c r="GL689">
        <v>5.6853943813176455</v>
      </c>
      <c r="GM689">
        <v>6.9404124500913298</v>
      </c>
      <c r="GN689">
        <v>6.764579017714043</v>
      </c>
      <c r="GO689">
        <v>5.2678029346104447</v>
      </c>
      <c r="GP689">
        <v>3.0725186877076416</v>
      </c>
      <c r="GQ689">
        <v>2.1438404742827033</v>
      </c>
      <c r="GR689">
        <v>2.1438404742827033</v>
      </c>
      <c r="GS689">
        <v>0.98839208559792924</v>
      </c>
      <c r="GT689">
        <v>4.5900529371737955</v>
      </c>
      <c r="GU689"/>
      <c r="GV689"/>
      <c r="GW689"/>
      <c r="GX689"/>
      <c r="GY689"/>
      <c r="GZ689"/>
      <c r="HA689"/>
      <c r="HB689"/>
      <c r="HC689"/>
    </row>
    <row r="690" spans="1:211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69.611612161182819</v>
      </c>
      <c r="AO690">
        <v>8.143802092636097</v>
      </c>
      <c r="AP690">
        <v>21.660320221730434</v>
      </c>
      <c r="AQ690">
        <v>61.684986105436636</v>
      </c>
      <c r="AR690">
        <v>8.6146854045942565</v>
      </c>
      <c r="AS690">
        <v>51.251041827575463</v>
      </c>
      <c r="AT690" t="e">
        <v>#DIV/0!</v>
      </c>
      <c r="AU690" t="e">
        <v>#DIV/0!</v>
      </c>
      <c r="AV690"/>
      <c r="AW690"/>
      <c r="FY690" s="211">
        <v>685</v>
      </c>
      <c r="FZ690">
        <v>11.988014381072876</v>
      </c>
      <c r="GA690">
        <v>8.5367203807770533</v>
      </c>
      <c r="GB690">
        <v>3.7448294075123076</v>
      </c>
      <c r="GC690">
        <v>2.5309206350596387</v>
      </c>
      <c r="GD690">
        <v>2.0567527409234567</v>
      </c>
      <c r="GE690">
        <v>2.9615284935167092</v>
      </c>
      <c r="GF690">
        <v>1.223050412887982</v>
      </c>
      <c r="GG690">
        <v>1.8128276523841229</v>
      </c>
      <c r="GH690">
        <v>5.1948616159257464</v>
      </c>
      <c r="GI690">
        <v>4.916130848621739</v>
      </c>
      <c r="GJ690"/>
      <c r="GK690">
        <v>12.03949479192115</v>
      </c>
      <c r="GL690">
        <v>7.2354724970953841</v>
      </c>
      <c r="GM690">
        <v>6.2069040316044806</v>
      </c>
      <c r="GN690">
        <v>7.5508652306174042</v>
      </c>
      <c r="GO690">
        <v>7.98485785010027</v>
      </c>
      <c r="GP690">
        <v>5.6698496655533255</v>
      </c>
      <c r="GQ690">
        <v>1.4964056940656674</v>
      </c>
      <c r="GR690">
        <v>2.5496464348064078</v>
      </c>
      <c r="GS690">
        <v>5.539302852054802</v>
      </c>
      <c r="GT690">
        <v>6.6533930439492739</v>
      </c>
      <c r="GU690"/>
      <c r="GV690"/>
      <c r="GW690"/>
      <c r="GX690"/>
      <c r="GY690"/>
      <c r="GZ690"/>
      <c r="HA690"/>
      <c r="HB690"/>
      <c r="HC690"/>
    </row>
    <row r="691" spans="1:211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61.501815261665101</v>
      </c>
      <c r="AO691">
        <v>6.8974965576976999</v>
      </c>
      <c r="AP691">
        <v>30.098011593979209</v>
      </c>
      <c r="AQ691">
        <v>51.046847733763364</v>
      </c>
      <c r="AR691">
        <v>7.1034962297460726</v>
      </c>
      <c r="AS691">
        <v>42.124624597260663</v>
      </c>
      <c r="AT691" t="e">
        <v>#DIV/0!</v>
      </c>
      <c r="AU691" t="e">
        <v>#DIV/0!</v>
      </c>
      <c r="AV691"/>
      <c r="AW691"/>
      <c r="FY691" s="211">
        <v>686</v>
      </c>
      <c r="FZ691">
        <v>19.016896857529403</v>
      </c>
      <c r="GA691">
        <v>19.900764865511182</v>
      </c>
      <c r="GB691">
        <v>4.5689466681604145</v>
      </c>
      <c r="GC691">
        <v>2.8286096232944198</v>
      </c>
      <c r="GD691">
        <v>1.9989458148496175</v>
      </c>
      <c r="GE691">
        <v>2.4368497451827245</v>
      </c>
      <c r="GF691">
        <v>1.822456380763134</v>
      </c>
      <c r="GG691">
        <v>1.5387173901607791</v>
      </c>
      <c r="GH691">
        <v>4.1906420952169618</v>
      </c>
      <c r="GI691">
        <v>6.0776516231700191</v>
      </c>
      <c r="GJ691"/>
      <c r="GK691">
        <v>19.061923344107356</v>
      </c>
      <c r="GL691">
        <v>16.862686391433662</v>
      </c>
      <c r="GM691">
        <v>7.5603311901013939</v>
      </c>
      <c r="GN691">
        <v>8.429491061318668</v>
      </c>
      <c r="GO691">
        <v>7.7702124895892828</v>
      </c>
      <c r="GP691">
        <v>4.6653516057585831</v>
      </c>
      <c r="GQ691">
        <v>2.2332301731078905</v>
      </c>
      <c r="GR691">
        <v>2.165521839774557</v>
      </c>
      <c r="GS691">
        <v>4.4671673171865116</v>
      </c>
      <c r="GT691">
        <v>8.2185729028184866</v>
      </c>
      <c r="GU691"/>
      <c r="GV691"/>
      <c r="GW691"/>
      <c r="GX691"/>
      <c r="GY691"/>
      <c r="GZ691"/>
      <c r="HA691"/>
      <c r="HB691"/>
      <c r="HC691"/>
    </row>
    <row r="692" spans="1:211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54.923442304098202</v>
      </c>
      <c r="AO692">
        <v>7.1999293312346069</v>
      </c>
      <c r="AP692">
        <v>4.2103501264773087</v>
      </c>
      <c r="AQ692">
        <v>50.556869292435806</v>
      </c>
      <c r="AR692">
        <v>7.8534745812484879</v>
      </c>
      <c r="AS692">
        <v>45.589425615378438</v>
      </c>
      <c r="AT692">
        <v>6.1948880643898327</v>
      </c>
      <c r="AU692">
        <v>7.3648154642037369</v>
      </c>
      <c r="AV692"/>
      <c r="AW692"/>
      <c r="FY692" s="211">
        <v>687</v>
      </c>
      <c r="FZ692">
        <v>16.778859337753364</v>
      </c>
      <c r="GA692">
        <v>15.558162058553705</v>
      </c>
      <c r="GB692">
        <v>5.7313151724460472</v>
      </c>
      <c r="GC692">
        <v>3.6598892177389142</v>
      </c>
      <c r="GD692">
        <v>1.8818663512045335</v>
      </c>
      <c r="GE692">
        <v>2.8008579379138165</v>
      </c>
      <c r="GF692">
        <v>1.2783046744504822</v>
      </c>
      <c r="GG692">
        <v>1.4386361263424563</v>
      </c>
      <c r="GH692">
        <v>3.215769362363996</v>
      </c>
      <c r="GI692">
        <v>5.7126910529817625</v>
      </c>
      <c r="GJ692"/>
      <c r="GK692">
        <v>16.830957300487768</v>
      </c>
      <c r="GL692">
        <v>13.183684811474384</v>
      </c>
      <c r="GM692">
        <v>9.5340163325552005</v>
      </c>
      <c r="GN692">
        <v>10.962933200773801</v>
      </c>
      <c r="GO692">
        <v>7.3045404092549493</v>
      </c>
      <c r="GP692">
        <v>5.3622457043070924</v>
      </c>
      <c r="GQ692">
        <v>1.5641140273990009</v>
      </c>
      <c r="GR692">
        <v>2.0230260644360376</v>
      </c>
      <c r="GS692">
        <v>3.4298860339133679</v>
      </c>
      <c r="GT692">
        <v>7.7327028207220563</v>
      </c>
      <c r="GU692"/>
      <c r="GV692"/>
      <c r="GW692"/>
      <c r="GX692"/>
      <c r="GY692"/>
      <c r="GZ692"/>
      <c r="HA692"/>
      <c r="HB692"/>
      <c r="HC692"/>
    </row>
    <row r="693" spans="1:211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58.759243400796571</v>
      </c>
      <c r="AO693">
        <v>6.7831372770622993</v>
      </c>
      <c r="AP693">
        <v>90.873362243095372</v>
      </c>
      <c r="AQ693">
        <v>52.388600527947169</v>
      </c>
      <c r="AR693">
        <v>7.32389782387148</v>
      </c>
      <c r="AS693">
        <v>41.26637481551959</v>
      </c>
      <c r="AT693" t="e">
        <v>#DIV/0!</v>
      </c>
      <c r="AU693" t="e">
        <v>#DIV/0!</v>
      </c>
      <c r="AV693"/>
      <c r="AW693"/>
      <c r="FY693" s="211">
        <v>688</v>
      </c>
      <c r="FZ693">
        <v>11.24097414023354</v>
      </c>
      <c r="GA693">
        <v>7.2827589720752286</v>
      </c>
      <c r="GB693">
        <v>5.1419003420834697</v>
      </c>
      <c r="GC693">
        <v>3.0611195629312369</v>
      </c>
      <c r="GD693">
        <v>1.5972184656226658</v>
      </c>
      <c r="GE693">
        <v>1.737228862619699</v>
      </c>
      <c r="GF693">
        <v>0</v>
      </c>
      <c r="GG693">
        <v>0.37419152604166667</v>
      </c>
      <c r="GH693">
        <v>3.3485671933865659</v>
      </c>
      <c r="GI693">
        <v>4.3726396252332327</v>
      </c>
      <c r="GJ693"/>
      <c r="GK693">
        <v>11.288019261792712</v>
      </c>
      <c r="GL693">
        <v>6.1713523600598208</v>
      </c>
      <c r="GM693">
        <v>8.5576909677200614</v>
      </c>
      <c r="GN693">
        <v>9.1754531486952278</v>
      </c>
      <c r="GO693">
        <v>6.1913894702207477</v>
      </c>
      <c r="GP693">
        <v>3.325926631223314</v>
      </c>
      <c r="GQ693">
        <v>0</v>
      </c>
      <c r="GR693">
        <v>0.52662037037037035</v>
      </c>
      <c r="GS693">
        <v>3.5708085913839911</v>
      </c>
      <c r="GT693">
        <v>5.921581658223503</v>
      </c>
      <c r="GU693"/>
      <c r="GV693"/>
      <c r="GW693"/>
      <c r="GX693"/>
      <c r="GY693"/>
      <c r="GZ693"/>
      <c r="HA693"/>
      <c r="HB693"/>
      <c r="HC693"/>
    </row>
    <row r="694" spans="1:211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54.898338418648677</v>
      </c>
      <c r="AO694">
        <v>6.5998176874960253</v>
      </c>
      <c r="AP694">
        <v>13.598527252279942</v>
      </c>
      <c r="AQ694">
        <v>45.53651977167587</v>
      </c>
      <c r="AR694">
        <v>6.9053366581921338</v>
      </c>
      <c r="AS694">
        <v>40.085432044568002</v>
      </c>
      <c r="AT694" t="e">
        <v>#DIV/0!</v>
      </c>
      <c r="AU694" t="e">
        <v>#DIV/0!</v>
      </c>
      <c r="AV694"/>
      <c r="AW694"/>
      <c r="FY694" s="211">
        <v>689</v>
      </c>
      <c r="FZ694">
        <v>16.780614744090709</v>
      </c>
      <c r="GA694">
        <v>16.639195645772226</v>
      </c>
      <c r="GB694">
        <v>5.0415901518906443</v>
      </c>
      <c r="GC694">
        <v>2.5784744995433795</v>
      </c>
      <c r="GD694">
        <v>1.9602726920397855</v>
      </c>
      <c r="GE694">
        <v>2.569212133865546</v>
      </c>
      <c r="GF694">
        <v>2.2974388321588153</v>
      </c>
      <c r="GG694">
        <v>1.9999234154049563</v>
      </c>
      <c r="GH694">
        <v>2.9189987095281098</v>
      </c>
      <c r="GI694">
        <v>5.7272158907666864</v>
      </c>
      <c r="GJ694"/>
      <c r="GK694">
        <v>16.839609328335737</v>
      </c>
      <c r="GL694">
        <v>14.098955140372849</v>
      </c>
      <c r="GM694">
        <v>8.3871098394558139</v>
      </c>
      <c r="GN694">
        <v>7.7503532706032896</v>
      </c>
      <c r="GO694">
        <v>7.6195214954608144</v>
      </c>
      <c r="GP694">
        <v>4.9187595492742551</v>
      </c>
      <c r="GQ694">
        <v>2.812956619991593</v>
      </c>
      <c r="GR694">
        <v>2.812956619991593</v>
      </c>
      <c r="GS694">
        <v>3.1098641375337088</v>
      </c>
      <c r="GT694">
        <v>7.7538122841555337</v>
      </c>
      <c r="GU694"/>
      <c r="GV694"/>
      <c r="GW694"/>
      <c r="GX694"/>
      <c r="GY694"/>
      <c r="GZ694"/>
      <c r="HA694"/>
      <c r="HB694"/>
      <c r="HC694"/>
    </row>
    <row r="695" spans="1:211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48.668548903210223</v>
      </c>
      <c r="AO695">
        <v>5.7082210786019463</v>
      </c>
      <c r="AP695">
        <v>1.8986511111190278</v>
      </c>
      <c r="AQ695">
        <v>41.777571899439579</v>
      </c>
      <c r="AR695">
        <v>5.9825830062180998</v>
      </c>
      <c r="AS695">
        <v>39.093089456564634</v>
      </c>
      <c r="AT695">
        <v>4.8312459040939419</v>
      </c>
      <c r="AU695">
        <v>4.6563045457064298</v>
      </c>
      <c r="AV695"/>
      <c r="AW695"/>
      <c r="FY695" s="211">
        <v>690</v>
      </c>
      <c r="FZ695">
        <v>11.907330989889402</v>
      </c>
      <c r="GA695">
        <v>11.325497748248768</v>
      </c>
      <c r="GB695">
        <v>5.4667335962554011</v>
      </c>
      <c r="GC695">
        <v>2.9545232106483299</v>
      </c>
      <c r="GD695">
        <v>1.6483033247772456</v>
      </c>
      <c r="GE695">
        <v>2.0565260605882347</v>
      </c>
      <c r="GF695">
        <v>1.8085413874086631</v>
      </c>
      <c r="GG695">
        <v>2.2740336776282999</v>
      </c>
      <c r="GH695">
        <v>4.942881035019056</v>
      </c>
      <c r="GI695">
        <v>5.1603842210182087</v>
      </c>
      <c r="GJ695"/>
      <c r="GK695">
        <v>11.950136932762177</v>
      </c>
      <c r="GL695">
        <v>9.5954990210173232</v>
      </c>
      <c r="GM695">
        <v>9.0904130429079615</v>
      </c>
      <c r="GN695">
        <v>8.8602586760116253</v>
      </c>
      <c r="GO695">
        <v>6.4004372740227424</v>
      </c>
      <c r="GP695">
        <v>3.9372214795008906</v>
      </c>
      <c r="GQ695">
        <v>2.2115488076160368</v>
      </c>
      <c r="GR695">
        <v>3.1970812150234438</v>
      </c>
      <c r="GS695">
        <v>5.2725024088499479</v>
      </c>
      <c r="GT695">
        <v>6.9850076932317737</v>
      </c>
      <c r="GU695"/>
      <c r="GV695"/>
      <c r="GW695"/>
      <c r="GX695"/>
      <c r="GY695"/>
      <c r="GZ695"/>
      <c r="HA695"/>
      <c r="HB695"/>
      <c r="HC695"/>
    </row>
    <row r="696" spans="1:211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46.974378741953174</v>
      </c>
      <c r="AO696">
        <v>5.9446799951127769</v>
      </c>
      <c r="AP696">
        <v>64.523268301871965</v>
      </c>
      <c r="AQ696">
        <v>39.817056879797242</v>
      </c>
      <c r="AR696">
        <v>6.3822717635022386</v>
      </c>
      <c r="AS696">
        <v>37.682715417732652</v>
      </c>
      <c r="AT696" t="e">
        <v>#DIV/0!</v>
      </c>
      <c r="AU696" t="e">
        <v>#DIV/0!</v>
      </c>
      <c r="AV696"/>
      <c r="AW696"/>
      <c r="FY696" s="211">
        <v>691</v>
      </c>
      <c r="FZ696">
        <v>12.654396165494862</v>
      </c>
      <c r="GA696">
        <v>10.85349972991296</v>
      </c>
      <c r="GB696">
        <v>7.9471130964420862</v>
      </c>
      <c r="GC696">
        <v>4.2055033315506636</v>
      </c>
      <c r="GD696">
        <v>1.2481518516772878</v>
      </c>
      <c r="GE696">
        <v>1.3202931816112957</v>
      </c>
      <c r="GF696">
        <v>0.61500395478260861</v>
      </c>
      <c r="GG696">
        <v>0.53548899130434779</v>
      </c>
      <c r="GH696">
        <v>2.4756178180405226</v>
      </c>
      <c r="GI696">
        <v>5.0475513954356002</v>
      </c>
      <c r="GJ696"/>
      <c r="GK696">
        <v>12.705486969896333</v>
      </c>
      <c r="GL696">
        <v>9.1961122836088833</v>
      </c>
      <c r="GM696">
        <v>13.275932303783158</v>
      </c>
      <c r="GN696">
        <v>12.689691648029068</v>
      </c>
      <c r="GO696">
        <v>4.8379573018988742</v>
      </c>
      <c r="GP696">
        <v>2.5277027962347733</v>
      </c>
      <c r="GQ696">
        <v>0.75362318840579701</v>
      </c>
      <c r="GR696">
        <v>0.75362318840579701</v>
      </c>
      <c r="GS696">
        <v>2.6362195006384588</v>
      </c>
      <c r="GT696">
        <v>6.8418438529245247</v>
      </c>
      <c r="GU696"/>
      <c r="GV696"/>
      <c r="GW696"/>
      <c r="GX696"/>
      <c r="GY696"/>
      <c r="GZ696"/>
      <c r="HA696"/>
      <c r="HB696"/>
      <c r="HC696"/>
    </row>
    <row r="697" spans="1:211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45.50224552187278</v>
      </c>
      <c r="AO697">
        <v>5.4145937691893451</v>
      </c>
      <c r="AP697">
        <v>58.022420200735425</v>
      </c>
      <c r="AQ697">
        <v>35.373468852607431</v>
      </c>
      <c r="AR697">
        <v>5.4960377919946071</v>
      </c>
      <c r="AS697">
        <v>34.235412940888992</v>
      </c>
      <c r="AT697" t="e">
        <v>#DIV/0!</v>
      </c>
      <c r="AU697" t="e">
        <v>#DIV/0!</v>
      </c>
      <c r="AV697"/>
      <c r="AW697"/>
      <c r="FY697" s="211">
        <v>692</v>
      </c>
      <c r="FZ697">
        <v>13.344744406744027</v>
      </c>
      <c r="GA697">
        <v>10.249178312728972</v>
      </c>
      <c r="GB697">
        <v>3.5814514505134558</v>
      </c>
      <c r="GC697">
        <v>1.9832328156920755</v>
      </c>
      <c r="GD697">
        <v>2.1139935048232541</v>
      </c>
      <c r="GE697">
        <v>3.6260264895251133</v>
      </c>
      <c r="GF697">
        <v>1.8933086292330903</v>
      </c>
      <c r="GG697">
        <v>2.3483166436884702</v>
      </c>
      <c r="GH697">
        <v>8.2585901342793164</v>
      </c>
      <c r="GI697">
        <v>5.7135137147876556</v>
      </c>
      <c r="GJ697"/>
      <c r="GK697">
        <v>13.402111783639677</v>
      </c>
      <c r="GL697">
        <v>8.6835282816171713</v>
      </c>
      <c r="GM697">
        <v>5.9322341537552337</v>
      </c>
      <c r="GN697">
        <v>5.9047222986097214</v>
      </c>
      <c r="GO697">
        <v>8.1958198009929646</v>
      </c>
      <c r="GP697">
        <v>6.9420318338752001</v>
      </c>
      <c r="GQ697">
        <v>2.3177372158047973</v>
      </c>
      <c r="GR697">
        <v>3.3032696232122047</v>
      </c>
      <c r="GS697">
        <v>8.8037207997888487</v>
      </c>
      <c r="GT697">
        <v>7.7303247507963047</v>
      </c>
      <c r="GU697"/>
      <c r="GV697"/>
      <c r="GW697"/>
      <c r="GX697"/>
      <c r="GY697"/>
      <c r="GZ697"/>
      <c r="HA697"/>
      <c r="HB697"/>
      <c r="HC697"/>
    </row>
    <row r="698" spans="1:211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47.652549051663875</v>
      </c>
      <c r="AO698">
        <v>5.9266628394223542</v>
      </c>
      <c r="AP698">
        <v>66.170634026986875</v>
      </c>
      <c r="AQ698">
        <v>46.150164450783095</v>
      </c>
      <c r="AR698">
        <v>6.3182028266654964</v>
      </c>
      <c r="AS698">
        <v>38.539722113684725</v>
      </c>
      <c r="AT698" t="e">
        <v>#DIV/0!</v>
      </c>
      <c r="AU698" t="e">
        <v>#DIV/0!</v>
      </c>
      <c r="AV698"/>
      <c r="AW698"/>
      <c r="FY698" s="211">
        <v>693</v>
      </c>
      <c r="FZ698">
        <v>12.889488910065541</v>
      </c>
      <c r="GA698">
        <v>14.124616803308417</v>
      </c>
      <c r="GB698">
        <v>5.3242695753259612</v>
      </c>
      <c r="GC698">
        <v>2.9183813370959792</v>
      </c>
      <c r="GD698">
        <v>1.6111904113272113</v>
      </c>
      <c r="GE698">
        <v>1.7725949076196992</v>
      </c>
      <c r="GF698">
        <v>1.8777106423256344</v>
      </c>
      <c r="GG698">
        <v>1.9129089162024455</v>
      </c>
      <c r="GH698">
        <v>3.5056110900428838</v>
      </c>
      <c r="GI698">
        <v>5.0376554272050766</v>
      </c>
      <c r="GJ698"/>
      <c r="GK698">
        <v>12.912627148412209</v>
      </c>
      <c r="GL698">
        <v>11.967856508208406</v>
      </c>
      <c r="GM698">
        <v>8.8917298749832323</v>
      </c>
      <c r="GN698">
        <v>8.8038409560832829</v>
      </c>
      <c r="GO698">
        <v>6.2463068602458405</v>
      </c>
      <c r="GP698">
        <v>3.393634964556647</v>
      </c>
      <c r="GQ698">
        <v>2.300938506441224</v>
      </c>
      <c r="GR698">
        <v>2.6921422101449273</v>
      </c>
      <c r="GS698">
        <v>3.7389707893016326</v>
      </c>
      <c r="GT698">
        <v>6.8181146358768281</v>
      </c>
      <c r="GU698"/>
      <c r="GV698"/>
      <c r="GW698"/>
      <c r="GX698"/>
      <c r="GY698"/>
      <c r="GZ698"/>
      <c r="HA698"/>
      <c r="HB698"/>
      <c r="HC698"/>
    </row>
    <row r="699" spans="1:211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51.258253466499312</v>
      </c>
      <c r="AO699">
        <v>6.4068354774973084</v>
      </c>
      <c r="AP699">
        <v>13.802261466399816</v>
      </c>
      <c r="AQ699">
        <v>44.362662199098729</v>
      </c>
      <c r="AR699">
        <v>6.5934902214719404</v>
      </c>
      <c r="AS699">
        <v>40.433916363799895</v>
      </c>
      <c r="AT699" t="e">
        <v>#DIV/0!</v>
      </c>
      <c r="AU699" t="e">
        <v>#DIV/0!</v>
      </c>
      <c r="AV699"/>
      <c r="AW699"/>
      <c r="FY699" s="211">
        <v>694</v>
      </c>
      <c r="FZ699">
        <v>9.2254136680531325</v>
      </c>
      <c r="GA699">
        <v>7.6188440742933174</v>
      </c>
      <c r="GB699">
        <v>8.3210037403251409</v>
      </c>
      <c r="GC699">
        <v>4.4127776534802523</v>
      </c>
      <c r="GD699">
        <v>1.5520105237137005</v>
      </c>
      <c r="GE699">
        <v>2.0656278519054139</v>
      </c>
      <c r="GF699">
        <v>2.9763375387341453</v>
      </c>
      <c r="GG699">
        <v>2.9642867518874225</v>
      </c>
      <c r="GH699">
        <v>6.8279925560673753</v>
      </c>
      <c r="GI699">
        <v>5.916071950878047</v>
      </c>
      <c r="GJ699"/>
      <c r="GK699">
        <v>9.2666212799701189</v>
      </c>
      <c r="GL699">
        <v>6.4560189709419999</v>
      </c>
      <c r="GM699">
        <v>13.815134131306609</v>
      </c>
      <c r="GN699">
        <v>13.193455231528032</v>
      </c>
      <c r="GO699">
        <v>6.0263381309581678</v>
      </c>
      <c r="GP699">
        <v>3.9546468693185526</v>
      </c>
      <c r="GQ699">
        <v>3.6402461683483707</v>
      </c>
      <c r="GR699">
        <v>4.1668665387187405</v>
      </c>
      <c r="GS699">
        <v>7.2747044818577722</v>
      </c>
      <c r="GT699">
        <v>8.0046088384882061</v>
      </c>
      <c r="GU699"/>
      <c r="GV699"/>
      <c r="GW699"/>
      <c r="GX699"/>
      <c r="GY699"/>
      <c r="GZ699"/>
      <c r="HA699"/>
      <c r="HB699"/>
      <c r="HC699"/>
    </row>
    <row r="700" spans="1:211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37.813686213772016</v>
      </c>
      <c r="AO700">
        <v>4.5206650184064809</v>
      </c>
      <c r="AP700">
        <v>38.071853446412668</v>
      </c>
      <c r="AQ700">
        <v>31.264398732620002</v>
      </c>
      <c r="AR700">
        <v>4.5900529371737964</v>
      </c>
      <c r="AS700">
        <v>28.836108248097116</v>
      </c>
      <c r="AT700" t="e">
        <v>#DIV/0!</v>
      </c>
      <c r="AU700" t="e">
        <v>#DIV/0!</v>
      </c>
      <c r="AV700"/>
      <c r="AW700"/>
      <c r="FY700" s="211">
        <v>695</v>
      </c>
      <c r="FZ700">
        <v>16.279486833616989</v>
      </c>
      <c r="GA700">
        <v>16.5134060938937</v>
      </c>
      <c r="GB700">
        <v>6.0027418293819315</v>
      </c>
      <c r="GC700">
        <v>3.3816902416947436</v>
      </c>
      <c r="GD700">
        <v>1.8715311741502823</v>
      </c>
      <c r="GE700">
        <v>2.099991103936877</v>
      </c>
      <c r="GF700">
        <v>5.5254261562500004E-2</v>
      </c>
      <c r="GG700">
        <v>0.37419152604166667</v>
      </c>
      <c r="GH700">
        <v>5.0429818964813018</v>
      </c>
      <c r="GI700">
        <v>5.767315883376118</v>
      </c>
      <c r="GJ700"/>
      <c r="GK700">
        <v>16.325704538446185</v>
      </c>
      <c r="GL700">
        <v>13.991693681256644</v>
      </c>
      <c r="GM700">
        <v>9.9819370274053369</v>
      </c>
      <c r="GN700">
        <v>10.149713641714245</v>
      </c>
      <c r="GO700">
        <v>7.2761890953478661</v>
      </c>
      <c r="GP700">
        <v>4.0204353543743077</v>
      </c>
      <c r="GQ700">
        <v>6.7708333333333329E-2</v>
      </c>
      <c r="GR700">
        <v>0.52662037037037035</v>
      </c>
      <c r="GS700">
        <v>5.3772658150177648</v>
      </c>
      <c r="GT700">
        <v>7.8057609619100976</v>
      </c>
      <c r="GU700"/>
      <c r="GV700"/>
      <c r="GW700"/>
      <c r="GX700"/>
      <c r="GY700"/>
      <c r="GZ700"/>
      <c r="HA700"/>
      <c r="HB700"/>
      <c r="HC700"/>
    </row>
    <row r="701" spans="1:211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49.586166860257549</v>
      </c>
      <c r="AO701">
        <v>6.2926192091768156</v>
      </c>
      <c r="AP701">
        <v>20.488200676472278</v>
      </c>
      <c r="AQ701">
        <v>44.965636568681624</v>
      </c>
      <c r="AR701">
        <v>6.6533930439492748</v>
      </c>
      <c r="AS701">
        <v>44.325796830935779</v>
      </c>
      <c r="AT701" t="e">
        <v>#DIV/0!</v>
      </c>
      <c r="AU701" t="e">
        <v>#DIV/0!</v>
      </c>
      <c r="AV701"/>
      <c r="AW701"/>
      <c r="FY701" s="211">
        <v>696</v>
      </c>
      <c r="FZ701">
        <v>10.012008971519116</v>
      </c>
      <c r="GA701">
        <v>8.2561755001334625</v>
      </c>
      <c r="GB701">
        <v>5.3341701932711869</v>
      </c>
      <c r="GC701">
        <v>3.5302769528108557</v>
      </c>
      <c r="GD701">
        <v>1.7093224554913169</v>
      </c>
      <c r="GE701">
        <v>1.6755985639368771</v>
      </c>
      <c r="GF701">
        <v>0.60804645810537317</v>
      </c>
      <c r="GG701">
        <v>0.90314713503810828</v>
      </c>
      <c r="GH701">
        <v>7.2543922224744515</v>
      </c>
      <c r="GI701">
        <v>5.031432521470812</v>
      </c>
      <c r="GJ701"/>
      <c r="GK701">
        <v>10.04897103801224</v>
      </c>
      <c r="GL701">
        <v>6.9950478410504315</v>
      </c>
      <c r="GM701">
        <v>8.8706995139795239</v>
      </c>
      <c r="GN701">
        <v>10.593286756697971</v>
      </c>
      <c r="GO701">
        <v>6.6574919227519533</v>
      </c>
      <c r="GP701">
        <v>3.2079353543743077</v>
      </c>
      <c r="GQ701">
        <v>0.74278250565987025</v>
      </c>
      <c r="GR701">
        <v>1.2694028760302405</v>
      </c>
      <c r="GS701">
        <v>7.7365694679858015</v>
      </c>
      <c r="GT701">
        <v>6.8113028896778776</v>
      </c>
      <c r="GU701"/>
      <c r="GV701"/>
      <c r="GW701"/>
      <c r="GX701"/>
      <c r="GY701"/>
      <c r="GZ701"/>
      <c r="HA701"/>
      <c r="HB701"/>
      <c r="HC701"/>
    </row>
    <row r="702" spans="1:211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72.921706507164231</v>
      </c>
      <c r="AO702">
        <v>8.1434488315196383</v>
      </c>
      <c r="AP702">
        <v>55.213383621515433</v>
      </c>
      <c r="AQ702">
        <v>64.380481063838644</v>
      </c>
      <c r="AR702">
        <v>8.2185729028184866</v>
      </c>
      <c r="AS702">
        <v>54.149238333058989</v>
      </c>
      <c r="AT702" t="e">
        <v>#DIV/0!</v>
      </c>
      <c r="AU702" t="e">
        <v>#DIV/0!</v>
      </c>
      <c r="AV702"/>
      <c r="AW702"/>
      <c r="FY702" s="211">
        <v>697</v>
      </c>
      <c r="FZ702">
        <v>12.421367031662879</v>
      </c>
      <c r="GA702">
        <v>10.222753542506998</v>
      </c>
      <c r="GB702">
        <v>5.9467707689559628</v>
      </c>
      <c r="GC702">
        <v>4.0888989916336751</v>
      </c>
      <c r="GD702">
        <v>2.1514311663664243</v>
      </c>
      <c r="GE702">
        <v>2.4293928861911276</v>
      </c>
      <c r="GF702">
        <v>0.59244847119791655</v>
      </c>
      <c r="GG702">
        <v>0.84193093359375004</v>
      </c>
      <c r="GH702">
        <v>5.3761077397812373</v>
      </c>
      <c r="GI702">
        <v>5.4922648009386243</v>
      </c>
      <c r="GJ702"/>
      <c r="GK702">
        <v>12.463447535226065</v>
      </c>
      <c r="GL702">
        <v>8.6607514122261549</v>
      </c>
      <c r="GM702">
        <v>9.8873466496933684</v>
      </c>
      <c r="GN702">
        <v>12.248705330308413</v>
      </c>
      <c r="GO702">
        <v>8.3614422769587762</v>
      </c>
      <c r="GP702">
        <v>4.6510754407471238</v>
      </c>
      <c r="GQ702">
        <v>0.72598379629629617</v>
      </c>
      <c r="GR702">
        <v>1.1848958333333333</v>
      </c>
      <c r="GS702">
        <v>5.7328593527810066</v>
      </c>
      <c r="GT702">
        <v>7.4342159221911031</v>
      </c>
      <c r="GU702"/>
      <c r="GV702"/>
      <c r="GW702"/>
      <c r="GX702"/>
      <c r="GY702"/>
      <c r="GZ702"/>
      <c r="HA702"/>
      <c r="HB702"/>
      <c r="HC702"/>
    </row>
    <row r="703" spans="1:211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64.751115722892195</v>
      </c>
      <c r="AO703">
        <v>7.7928106705323659</v>
      </c>
      <c r="AP703">
        <v>3.8471448994695532</v>
      </c>
      <c r="AQ703">
        <v>58.056351291749074</v>
      </c>
      <c r="AR703">
        <v>7.7327028207220589</v>
      </c>
      <c r="AS703">
        <v>47.3986447673079</v>
      </c>
      <c r="AT703">
        <v>6.1973790292529136</v>
      </c>
      <c r="AU703">
        <v>-1.4904032612557145</v>
      </c>
      <c r="AV703"/>
      <c r="AW703"/>
      <c r="FY703" s="211">
        <v>698</v>
      </c>
      <c r="FZ703">
        <v>12.776555734868076</v>
      </c>
      <c r="GA703">
        <v>8.3400077050103487</v>
      </c>
      <c r="GB703">
        <v>3.8480420779671238</v>
      </c>
      <c r="GC703">
        <v>2.6109824558231973</v>
      </c>
      <c r="GD703">
        <v>1.8155014155790679</v>
      </c>
      <c r="GE703">
        <v>2.6324873648739495</v>
      </c>
      <c r="GF703">
        <v>2.9124427869414231</v>
      </c>
      <c r="GG703">
        <v>2.9096039327509704</v>
      </c>
      <c r="GH703">
        <v>6.1521807691485844</v>
      </c>
      <c r="GI703">
        <v>5.3782435867457696</v>
      </c>
      <c r="GJ703"/>
      <c r="GK703">
        <v>12.828421661059318</v>
      </c>
      <c r="GL703">
        <v>7.0679146854538226</v>
      </c>
      <c r="GM703">
        <v>6.4108652905246641</v>
      </c>
      <c r="GN703">
        <v>7.8283587542465067</v>
      </c>
      <c r="GO703">
        <v>7.0384796847138942</v>
      </c>
      <c r="GP703">
        <v>5.0399000509294627</v>
      </c>
      <c r="GQ703">
        <v>3.5665798083973899</v>
      </c>
      <c r="GR703">
        <v>4.0932001787677601</v>
      </c>
      <c r="GS703">
        <v>6.5609749398584958</v>
      </c>
      <c r="GT703">
        <v>7.2810642769107519</v>
      </c>
      <c r="GU703"/>
      <c r="GV703"/>
      <c r="GW703"/>
      <c r="GX703"/>
      <c r="GY703"/>
      <c r="GZ703"/>
      <c r="HA703"/>
      <c r="HB703"/>
      <c r="HC703"/>
    </row>
    <row r="704" spans="1:211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43.165391572060294</v>
      </c>
      <c r="AO704">
        <v>5.4728842459689755</v>
      </c>
      <c r="AP704">
        <v>9.730206063375844</v>
      </c>
      <c r="AQ704">
        <v>38.156598690227305</v>
      </c>
      <c r="AR704">
        <v>5.9215816582235021</v>
      </c>
      <c r="AS704">
        <v>38.265695993597589</v>
      </c>
      <c r="AT704" t="e">
        <v>#DIV/0!</v>
      </c>
      <c r="AU704" t="e">
        <v>#DIV/0!</v>
      </c>
      <c r="AV704"/>
      <c r="AW704"/>
      <c r="FY704" s="211">
        <v>699</v>
      </c>
      <c r="FZ704">
        <v>10.587399027330861</v>
      </c>
      <c r="GA704">
        <v>9.1897814394880051</v>
      </c>
      <c r="GB704">
        <v>5.2214301955611973</v>
      </c>
      <c r="GC704">
        <v>2.7675188538607025</v>
      </c>
      <c r="GD704">
        <v>1.4000858456682466</v>
      </c>
      <c r="GE704">
        <v>1.5957646826196994</v>
      </c>
      <c r="GF704">
        <v>1.9416053941183551</v>
      </c>
      <c r="GG704">
        <v>1.9675917353388979</v>
      </c>
      <c r="GH704">
        <v>6.7345534480356006</v>
      </c>
      <c r="GI704">
        <v>5.0692141085115416</v>
      </c>
      <c r="GJ704"/>
      <c r="GK704">
        <v>10.633712797850396</v>
      </c>
      <c r="GL704">
        <v>7.7874087682176487</v>
      </c>
      <c r="GM704">
        <v>8.6885632997067699</v>
      </c>
      <c r="GN704">
        <v>8.3104178613818593</v>
      </c>
      <c r="GO704">
        <v>5.4380263543165945</v>
      </c>
      <c r="GP704">
        <v>3.055093297889981</v>
      </c>
      <c r="GQ704">
        <v>2.3746048663922039</v>
      </c>
      <c r="GR704">
        <v>2.7658085700959076</v>
      </c>
      <c r="GS704">
        <v>7.1813496216663344</v>
      </c>
      <c r="GT704">
        <v>6.8632513879864598</v>
      </c>
      <c r="GU704"/>
      <c r="GV704"/>
      <c r="GW704"/>
      <c r="GX704"/>
      <c r="GY704"/>
      <c r="GZ704"/>
      <c r="HA704"/>
      <c r="HB704"/>
      <c r="HC704"/>
    </row>
    <row r="705" spans="1:211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64.469080556699097</v>
      </c>
      <c r="AO705">
        <v>7.6103898285175173</v>
      </c>
      <c r="AP705">
        <v>70.42320891712221</v>
      </c>
      <c r="AQ705">
        <v>58.512936715060867</v>
      </c>
      <c r="AR705">
        <v>7.7538122841555328</v>
      </c>
      <c r="AS705">
        <v>46.210379391625274</v>
      </c>
      <c r="AT705" t="e">
        <v>#DIV/0!</v>
      </c>
      <c r="AU705" t="e">
        <v>#DIV/0!</v>
      </c>
      <c r="AV705"/>
      <c r="AW705"/>
      <c r="FY705" s="211">
        <v>700</v>
      </c>
      <c r="FZ705">
        <v>15.896863410874573</v>
      </c>
      <c r="GA705">
        <v>11.479926013986807</v>
      </c>
      <c r="GB705">
        <v>5.5021275010635886</v>
      </c>
      <c r="GC705">
        <v>3.9317668633844658</v>
      </c>
      <c r="GD705">
        <v>2.5718458019546597</v>
      </c>
      <c r="GE705">
        <v>3.1545183879138166</v>
      </c>
      <c r="GF705">
        <v>0.59244847119791655</v>
      </c>
      <c r="GG705">
        <v>0.46773940755208332</v>
      </c>
      <c r="GH705">
        <v>3.1592376801065045</v>
      </c>
      <c r="GI705">
        <v>5.7939598266573826</v>
      </c>
      <c r="GJ705"/>
      <c r="GK705">
        <v>15.950154408479726</v>
      </c>
      <c r="GL705">
        <v>9.7282383730253983</v>
      </c>
      <c r="GM705">
        <v>9.2273949297943645</v>
      </c>
      <c r="GN705">
        <v>11.898277419933219</v>
      </c>
      <c r="GO705">
        <v>9.9915113500425559</v>
      </c>
      <c r="GP705">
        <v>6.0393290376404263</v>
      </c>
      <c r="GQ705">
        <v>0.72598379629629617</v>
      </c>
      <c r="GR705">
        <v>0.65827546296296291</v>
      </c>
      <c r="GS705">
        <v>3.3688172164474102</v>
      </c>
      <c r="GT705">
        <v>7.8527723402120708</v>
      </c>
      <c r="GU705"/>
      <c r="GV705"/>
      <c r="GW705"/>
      <c r="GX705"/>
      <c r="GY705"/>
      <c r="GZ705"/>
      <c r="HA705"/>
      <c r="HB705"/>
      <c r="HC705"/>
    </row>
    <row r="706" spans="1:211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57.860016810813008</v>
      </c>
      <c r="AO706">
        <v>6.7500106550943926</v>
      </c>
      <c r="AP706">
        <v>3.9093318623875546</v>
      </c>
      <c r="AQ706">
        <v>49.544755251481604</v>
      </c>
      <c r="AR706">
        <v>6.9850076932317764</v>
      </c>
      <c r="AS706">
        <v>44.111409558527555</v>
      </c>
      <c r="AT706">
        <v>5.5689119659494368</v>
      </c>
      <c r="AU706">
        <v>3.6195748330798256</v>
      </c>
      <c r="AV706"/>
      <c r="AW706"/>
      <c r="FY706" s="211">
        <v>701</v>
      </c>
      <c r="FZ706">
        <v>16.703379689928255</v>
      </c>
      <c r="GA706">
        <v>14.224014554722967</v>
      </c>
      <c r="GB706">
        <v>4.9324901775227454</v>
      </c>
      <c r="GC706">
        <v>3.3433712581309556</v>
      </c>
      <c r="GD706">
        <v>1.9112487254085062</v>
      </c>
      <c r="GE706">
        <v>2.0555232676196993</v>
      </c>
      <c r="GF706">
        <v>1.3818557008982464</v>
      </c>
      <c r="GG706">
        <v>1.8062942700762166</v>
      </c>
      <c r="GH706">
        <v>6.6064959585588108</v>
      </c>
      <c r="GI706">
        <v>6.0757655629912275</v>
      </c>
      <c r="GJ706"/>
      <c r="GK706">
        <v>16.766102882960496</v>
      </c>
      <c r="GL706">
        <v>12.05265576375527</v>
      </c>
      <c r="GM706">
        <v>8.2054889511297393</v>
      </c>
      <c r="GN706">
        <v>10.01962340270388</v>
      </c>
      <c r="GO706">
        <v>7.4206967205321632</v>
      </c>
      <c r="GP706">
        <v>3.9353016312233144</v>
      </c>
      <c r="GQ706">
        <v>1.6886900113197405</v>
      </c>
      <c r="GR706">
        <v>2.538805752060481</v>
      </c>
      <c r="GS706">
        <v>7.0447279829042833</v>
      </c>
      <c r="GT706">
        <v>8.2251413097692829</v>
      </c>
      <c r="GU706"/>
      <c r="GV706"/>
      <c r="GW706"/>
      <c r="GX706"/>
      <c r="GY706"/>
      <c r="GZ706"/>
      <c r="HA706"/>
      <c r="HB706"/>
      <c r="HC706"/>
    </row>
    <row r="707" spans="1:211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54.873164394335618</v>
      </c>
      <c r="AO707">
        <v>6.6218193033825674</v>
      </c>
      <c r="AP707">
        <v>43.145140159037275</v>
      </c>
      <c r="AQ707">
        <v>46.902619516252237</v>
      </c>
      <c r="AR707">
        <v>6.8418438529245229</v>
      </c>
      <c r="AS707">
        <v>37.622144702699565</v>
      </c>
      <c r="AT707" t="e">
        <v>#DIV/0!</v>
      </c>
      <c r="AU707" t="e">
        <v>#DIV/0!</v>
      </c>
      <c r="AV707"/>
      <c r="AW707"/>
      <c r="FY707" s="211">
        <v>702</v>
      </c>
      <c r="FZ707">
        <v>15.9145602817214</v>
      </c>
      <c r="GA707">
        <v>11.831384943849637</v>
      </c>
      <c r="GB707">
        <v>6.2500790490406271</v>
      </c>
      <c r="GC707">
        <v>4.0527832577525764</v>
      </c>
      <c r="GD707">
        <v>1.1720077211890105</v>
      </c>
      <c r="GE707">
        <v>1.2758253452941177</v>
      </c>
      <c r="GF707">
        <v>2.4009898586065801</v>
      </c>
      <c r="GG707">
        <v>2.367581559138717</v>
      </c>
      <c r="GH707">
        <v>5.1008801398326389</v>
      </c>
      <c r="GI707">
        <v>5.8122396688922171</v>
      </c>
      <c r="GJ707"/>
      <c r="GK707">
        <v>15.973923781656335</v>
      </c>
      <c r="GL707">
        <v>10.027736114025252</v>
      </c>
      <c r="GM707">
        <v>10.508318521038106</v>
      </c>
      <c r="GN707">
        <v>12.309198145497369</v>
      </c>
      <c r="GO707">
        <v>4.5537015342722968</v>
      </c>
      <c r="GP707">
        <v>2.4425690730837792</v>
      </c>
      <c r="GQ707">
        <v>2.9375326039123331</v>
      </c>
      <c r="GR707">
        <v>3.3287363076160368</v>
      </c>
      <c r="GS707">
        <v>5.4382796966893006</v>
      </c>
      <c r="GT707">
        <v>7.8823512275136736</v>
      </c>
      <c r="GU707"/>
      <c r="GV707"/>
      <c r="GW707"/>
      <c r="GX707"/>
      <c r="GY707"/>
      <c r="GZ707"/>
      <c r="HA707"/>
      <c r="HB707"/>
      <c r="HC707"/>
    </row>
    <row r="708" spans="1:211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60.692794530717336</v>
      </c>
      <c r="AO708">
        <v>7.1215500542092114</v>
      </c>
      <c r="AP708">
        <v>3.0689396506851638</v>
      </c>
      <c r="AQ708">
        <v>53.11235610201544</v>
      </c>
      <c r="AR708">
        <v>7.7303247507963047</v>
      </c>
      <c r="AS708">
        <v>49.504847177471277</v>
      </c>
      <c r="AT708">
        <v>6.2245822113313656</v>
      </c>
      <c r="AU708">
        <v>-3.6285489083027631</v>
      </c>
      <c r="AV708"/>
      <c r="AW708"/>
      <c r="FY708" s="211">
        <v>703</v>
      </c>
      <c r="FZ708">
        <v>14.960100425028699</v>
      </c>
      <c r="GA708">
        <v>12.047665217312362</v>
      </c>
      <c r="GB708">
        <v>5.2756089045268819</v>
      </c>
      <c r="GC708">
        <v>3.4159156838506401</v>
      </c>
      <c r="GD708">
        <v>1.0801432412079182</v>
      </c>
      <c r="GE708">
        <v>0.96498779928571432</v>
      </c>
      <c r="GF708">
        <v>1.2160929162107463</v>
      </c>
      <c r="GG708">
        <v>1.4321027440345502</v>
      </c>
      <c r="GH708">
        <v>5.3832785132192846</v>
      </c>
      <c r="GI708">
        <v>5.2020497359370044</v>
      </c>
      <c r="GJ708"/>
      <c r="GK708">
        <v>15.010491824550142</v>
      </c>
      <c r="GL708">
        <v>10.208746037574311</v>
      </c>
      <c r="GM708">
        <v>8.7754534173811169</v>
      </c>
      <c r="GN708">
        <v>10.23416056225398</v>
      </c>
      <c r="GO708">
        <v>4.1975163897599472</v>
      </c>
      <c r="GP708">
        <v>1.8474702380952381</v>
      </c>
      <c r="GQ708">
        <v>1.4855650113197405</v>
      </c>
      <c r="GR708">
        <v>2.0121853816901107</v>
      </c>
      <c r="GS708">
        <v>5.7412661332099271</v>
      </c>
      <c r="GT708">
        <v>7.0420585552441741</v>
      </c>
      <c r="GU708"/>
      <c r="GV708"/>
      <c r="GW708"/>
      <c r="GX708"/>
      <c r="GY708"/>
      <c r="GZ708"/>
      <c r="HA708"/>
      <c r="HB708"/>
      <c r="HC708"/>
    </row>
    <row r="709" spans="1:211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56.550493498460511</v>
      </c>
      <c r="AO709">
        <v>6.7766162454254228</v>
      </c>
      <c r="AP709">
        <v>4.5525374093314035</v>
      </c>
      <c r="AQ709">
        <v>50.97442802051885</v>
      </c>
      <c r="AR709">
        <v>6.818114635876829</v>
      </c>
      <c r="AS709">
        <v>42.775678980912687</v>
      </c>
      <c r="AT709">
        <v>5.4542850018500468</v>
      </c>
      <c r="AU709">
        <v>4.3280893769222608</v>
      </c>
      <c r="AV709"/>
      <c r="AW709"/>
      <c r="FY709" s="211">
        <v>704</v>
      </c>
      <c r="FZ709">
        <v>20.687202458816373</v>
      </c>
      <c r="GA709">
        <v>19.815704269821122</v>
      </c>
      <c r="GB709">
        <v>4.660116235134951</v>
      </c>
      <c r="GC709">
        <v>2.0981607892912471</v>
      </c>
      <c r="GD709">
        <v>1.3104682868559849</v>
      </c>
      <c r="GE709">
        <v>1.40112985589701</v>
      </c>
      <c r="GF709">
        <v>2.9832950354113801</v>
      </c>
      <c r="GG709">
        <v>2.9708201341953293</v>
      </c>
      <c r="GH709">
        <v>4.2807296548326397</v>
      </c>
      <c r="GI709">
        <v>6.1778087278342664</v>
      </c>
      <c r="GJ709"/>
      <c r="GK709">
        <v>20.759049980791684</v>
      </c>
      <c r="GL709">
        <v>16.788537794285652</v>
      </c>
      <c r="GM709">
        <v>7.7542925838671799</v>
      </c>
      <c r="GN709">
        <v>6.3122288214076896</v>
      </c>
      <c r="GO709">
        <v>5.0912972903055262</v>
      </c>
      <c r="GP709">
        <v>2.682464700996678</v>
      </c>
      <c r="GQ709">
        <v>3.6510868510942971</v>
      </c>
      <c r="GR709">
        <v>4.1777072214646678</v>
      </c>
      <c r="GS709">
        <v>4.5632796966893014</v>
      </c>
      <c r="GT709">
        <v>8.3638012805495983</v>
      </c>
      <c r="GU709"/>
      <c r="GV709"/>
      <c r="GW709"/>
      <c r="GX709"/>
      <c r="GY709"/>
      <c r="GZ709"/>
      <c r="HA709"/>
      <c r="HB709"/>
      <c r="HC709"/>
    </row>
    <row r="710" spans="1:211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68.742542343051014</v>
      </c>
      <c r="AO710">
        <v>7.5798640641436581</v>
      </c>
      <c r="AP710">
        <v>47.114450256091025</v>
      </c>
      <c r="AQ710">
        <v>51.880366309337944</v>
      </c>
      <c r="AR710">
        <v>8.0046088384882079</v>
      </c>
      <c r="AS710">
        <v>48.509622041166942</v>
      </c>
      <c r="AT710" t="e">
        <v>#DIV/0!</v>
      </c>
      <c r="AU710" t="e">
        <v>#DIV/0!</v>
      </c>
      <c r="AV710"/>
      <c r="AW710"/>
      <c r="FY710" s="211">
        <v>705</v>
      </c>
      <c r="FZ710">
        <v>22.259590567072564</v>
      </c>
      <c r="GA710">
        <v>19.260762426070595</v>
      </c>
      <c r="GB710">
        <v>3.8884714687375084</v>
      </c>
      <c r="GC710">
        <v>2.4345860866681162</v>
      </c>
      <c r="GD710">
        <v>2.0011195378260536</v>
      </c>
      <c r="GE710">
        <v>2.9615284935167092</v>
      </c>
      <c r="GF710">
        <v>3.5274467417240327</v>
      </c>
      <c r="GG710">
        <v>3.8192844500969856</v>
      </c>
      <c r="GH710">
        <v>8.4393816898955656</v>
      </c>
      <c r="GI710">
        <v>7.3708171346283731</v>
      </c>
      <c r="GJ710"/>
      <c r="GK710">
        <v>22.329871930326696</v>
      </c>
      <c r="GL710">
        <v>16.321398463675074</v>
      </c>
      <c r="GM710">
        <v>6.4406259741826455</v>
      </c>
      <c r="GN710">
        <v>7.2578842083459811</v>
      </c>
      <c r="GO710">
        <v>7.7684077219799388</v>
      </c>
      <c r="GP710">
        <v>5.6698496655533255</v>
      </c>
      <c r="GQ710">
        <v>4.3202029968031876</v>
      </c>
      <c r="GR710">
        <v>5.373443737543929</v>
      </c>
      <c r="GS710">
        <v>8.9952311593418273</v>
      </c>
      <c r="GT710">
        <v>9.9708679565268579</v>
      </c>
      <c r="GU710"/>
      <c r="GV710"/>
      <c r="GW710"/>
      <c r="GX710"/>
      <c r="GY710"/>
      <c r="GZ710"/>
      <c r="HA710"/>
      <c r="HB710"/>
      <c r="HC710"/>
    </row>
    <row r="711" spans="1:211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62.48144171047214</v>
      </c>
      <c r="AO711">
        <v>7.5523028819176146</v>
      </c>
      <c r="AP711">
        <v>10.593532587097384</v>
      </c>
      <c r="AQ711">
        <v>57.388590844136118</v>
      </c>
      <c r="AR711">
        <v>7.8057609619100994</v>
      </c>
      <c r="AS711">
        <v>49.081764735753218</v>
      </c>
      <c r="AT711" t="e">
        <v>#DIV/0!</v>
      </c>
      <c r="AU711" t="e">
        <v>#DIV/0!</v>
      </c>
      <c r="AV711"/>
      <c r="AW711"/>
      <c r="FY711" s="211">
        <v>706</v>
      </c>
      <c r="FZ711">
        <v>14.64465010887443</v>
      </c>
      <c r="GA711">
        <v>12.031792139093447</v>
      </c>
      <c r="GB711">
        <v>5.3603029679890648</v>
      </c>
      <c r="GC711">
        <v>2.8920215105113254</v>
      </c>
      <c r="GD711">
        <v>1.2462161353726657</v>
      </c>
      <c r="GE711">
        <v>2.1262553576196992</v>
      </c>
      <c r="GF711">
        <v>0.7582112558854166</v>
      </c>
      <c r="GG711">
        <v>1.2161224596354168</v>
      </c>
      <c r="GH711">
        <v>3.4311465745034209</v>
      </c>
      <c r="GI711">
        <v>4.8792646460315741</v>
      </c>
      <c r="GJ711"/>
      <c r="GK711">
        <v>14.703928683198116</v>
      </c>
      <c r="GL711">
        <v>10.195333443767172</v>
      </c>
      <c r="GM711">
        <v>8.9170499248528188</v>
      </c>
      <c r="GN711">
        <v>8.6663171082536437</v>
      </c>
      <c r="GO711">
        <v>4.8304519702207473</v>
      </c>
      <c r="GP711">
        <v>4.0707182978899805</v>
      </c>
      <c r="GQ711">
        <v>0.92910879629629617</v>
      </c>
      <c r="GR711">
        <v>1.7115162037037035</v>
      </c>
      <c r="GS711">
        <v>3.6561222820645409</v>
      </c>
      <c r="GT711">
        <v>6.6073323313265053</v>
      </c>
      <c r="GU711"/>
      <c r="GV711"/>
      <c r="GW711"/>
      <c r="GX711"/>
      <c r="GY711"/>
      <c r="GZ711"/>
      <c r="HA711"/>
      <c r="HB711"/>
      <c r="HC711"/>
    </row>
    <row r="712" spans="1:211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53.652365877325586</v>
      </c>
      <c r="AO712">
        <v>6.2933490166220221</v>
      </c>
      <c r="AP712">
        <v>13.52443320418306</v>
      </c>
      <c r="AQ712">
        <v>44.314570974251559</v>
      </c>
      <c r="AR712">
        <v>6.8113028896778793</v>
      </c>
      <c r="AS712">
        <v>39.848466971728875</v>
      </c>
      <c r="AT712" t="e">
        <v>#DIV/0!</v>
      </c>
      <c r="AU712" t="e">
        <v>#DIV/0!</v>
      </c>
      <c r="AV712"/>
      <c r="AW712"/>
      <c r="FY712" s="211">
        <v>707</v>
      </c>
      <c r="FZ712">
        <v>14.390268692001309</v>
      </c>
      <c r="GA712">
        <v>12.20765223387253</v>
      </c>
      <c r="GB712">
        <v>5.8855016556975439</v>
      </c>
      <c r="GC712">
        <v>2.9134685050252789</v>
      </c>
      <c r="GD712">
        <v>2.1090041326803965</v>
      </c>
      <c r="GE712">
        <v>3.3784641745251127</v>
      </c>
      <c r="GF712">
        <v>1.6824348773762066</v>
      </c>
      <c r="GG712">
        <v>1.838625950142275</v>
      </c>
      <c r="GH712">
        <v>6.1122698108475531</v>
      </c>
      <c r="GI712">
        <v>6.0564985698743525</v>
      </c>
      <c r="GJ712"/>
      <c r="GK712">
        <v>14.437351330045441</v>
      </c>
      <c r="GL712">
        <v>10.34372231897977</v>
      </c>
      <c r="GM712">
        <v>9.7909686087082655</v>
      </c>
      <c r="GN712">
        <v>8.7382911763126021</v>
      </c>
      <c r="GO712">
        <v>8.1764745628977256</v>
      </c>
      <c r="GP712">
        <v>6.4680735005418661</v>
      </c>
      <c r="GQ712">
        <v>2.0593334315857961</v>
      </c>
      <c r="GR712">
        <v>2.5859538019561663</v>
      </c>
      <c r="GS712">
        <v>6.5166928412374121</v>
      </c>
      <c r="GT712">
        <v>8.1961641548949267</v>
      </c>
      <c r="GU712"/>
      <c r="GV712"/>
      <c r="GW712"/>
      <c r="GX712"/>
      <c r="GY712"/>
      <c r="GZ712"/>
      <c r="HA712"/>
      <c r="HB712"/>
      <c r="HC712"/>
    </row>
    <row r="713" spans="1:211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60.414375783034885</v>
      </c>
      <c r="AO713">
        <v>7.1350723549761641</v>
      </c>
      <c r="AP713">
        <v>4.3878554106723326</v>
      </c>
      <c r="AQ713">
        <v>49.563366332828593</v>
      </c>
      <c r="AR713">
        <v>7.4342159221911057</v>
      </c>
      <c r="AS713">
        <v>47.888254642106325</v>
      </c>
      <c r="AT713">
        <v>5.9201610648922438</v>
      </c>
      <c r="AU713">
        <v>3.7061708078485038</v>
      </c>
      <c r="AV713"/>
      <c r="AW713"/>
      <c r="FY713" s="211">
        <v>708</v>
      </c>
      <c r="FZ713">
        <v>12.841023432190397</v>
      </c>
      <c r="GA713">
        <v>8.6881475881522352</v>
      </c>
      <c r="GB713">
        <v>4.8253799464153255</v>
      </c>
      <c r="GC713">
        <v>2.994452633918709</v>
      </c>
      <c r="GD713">
        <v>1.0054223043363786</v>
      </c>
      <c r="GE713">
        <v>0.95652814732558133</v>
      </c>
      <c r="GF713">
        <v>2.4079473552838153</v>
      </c>
      <c r="GG713">
        <v>2.3741149414466225</v>
      </c>
      <c r="GH713">
        <v>4.2741019930356003</v>
      </c>
      <c r="GI713">
        <v>4.7724468807833444</v>
      </c>
      <c r="GJ713"/>
      <c r="GK713">
        <v>12.892698363096873</v>
      </c>
      <c r="GL713">
        <v>7.3618783376545096</v>
      </c>
      <c r="GM713">
        <v>7.989124176055924</v>
      </c>
      <c r="GN713">
        <v>8.9102797109355052</v>
      </c>
      <c r="GO713">
        <v>3.8983129152823914</v>
      </c>
      <c r="GP713">
        <v>1.8312742248062013</v>
      </c>
      <c r="GQ713">
        <v>2.9483732866582599</v>
      </c>
      <c r="GR713">
        <v>3.3395769903619632</v>
      </c>
      <c r="GS713">
        <v>4.5563496216663326</v>
      </c>
      <c r="GT713">
        <v>6.4569716725519566</v>
      </c>
      <c r="GU713"/>
      <c r="GV713"/>
      <c r="GW713"/>
      <c r="GX713"/>
      <c r="GY713"/>
      <c r="GZ713"/>
      <c r="HA713"/>
      <c r="HB713"/>
      <c r="HC713"/>
    </row>
    <row r="714" spans="1:211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55.10941508100548</v>
      </c>
      <c r="AO714">
        <v>6.7715759330862069</v>
      </c>
      <c r="AP714">
        <v>44.321170689505635</v>
      </c>
      <c r="AQ714">
        <v>49.376047829708511</v>
      </c>
      <c r="AR714">
        <v>7.2810642769107536</v>
      </c>
      <c r="AS714">
        <v>45.273142697173661</v>
      </c>
      <c r="AT714" t="e">
        <v>#DIV/0!</v>
      </c>
      <c r="AU714" t="e">
        <v>#DIV/0!</v>
      </c>
      <c r="AV714"/>
      <c r="AW714"/>
      <c r="FY714" s="211">
        <v>709</v>
      </c>
      <c r="FZ714">
        <v>11.124542427930425</v>
      </c>
      <c r="GA714">
        <v>11.019442727397252</v>
      </c>
      <c r="GB714">
        <v>4.3440617621836122</v>
      </c>
      <c r="GC714">
        <v>2.5423288042197232</v>
      </c>
      <c r="GD714">
        <v>1.5390301663122612</v>
      </c>
      <c r="GE714">
        <v>1.8063160202941178</v>
      </c>
      <c r="GF714">
        <v>3.0782055716289238</v>
      </c>
      <c r="GG714">
        <v>2.535412406709304</v>
      </c>
      <c r="GH714">
        <v>5.3267468309617945</v>
      </c>
      <c r="GI714">
        <v>4.9967558203015576</v>
      </c>
      <c r="GJ714"/>
      <c r="GK714">
        <v>11.164024832578765</v>
      </c>
      <c r="GL714">
        <v>9.3370409108219405</v>
      </c>
      <c r="GM714">
        <v>7.2363186760194154</v>
      </c>
      <c r="GN714">
        <v>7.6323613422577665</v>
      </c>
      <c r="GO714">
        <v>5.9665207306777335</v>
      </c>
      <c r="GP714">
        <v>3.4581940730837792</v>
      </c>
      <c r="GQ714">
        <v>3.7697048083973907</v>
      </c>
      <c r="GR714">
        <v>3.5665798083973907</v>
      </c>
      <c r="GS714">
        <v>5.6801973157439702</v>
      </c>
      <c r="GT714">
        <v>6.7633532726834549</v>
      </c>
      <c r="GU714"/>
      <c r="GV714"/>
      <c r="GW714"/>
      <c r="GX714"/>
      <c r="GY714"/>
      <c r="GZ714"/>
      <c r="HA714"/>
      <c r="HB714"/>
      <c r="HC714"/>
    </row>
    <row r="715" spans="1:211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51.382816106201155</v>
      </c>
      <c r="AO715">
        <v>6.309823682550415</v>
      </c>
      <c r="AP715">
        <v>3.9919976047623469</v>
      </c>
      <c r="AQ715">
        <v>46.47494473053311</v>
      </c>
      <c r="AR715">
        <v>6.8632513879864598</v>
      </c>
      <c r="AS715">
        <v>42.020188318342008</v>
      </c>
      <c r="AT715">
        <v>5.5083045211639465</v>
      </c>
      <c r="AU715">
        <v>1.4057881410876405</v>
      </c>
      <c r="AV715"/>
      <c r="AW715"/>
      <c r="FY715" s="211">
        <v>710</v>
      </c>
      <c r="FZ715">
        <v>16.271887730516042</v>
      </c>
      <c r="GA715">
        <v>13.651999984139387</v>
      </c>
      <c r="GB715">
        <v>4.5532680199501536</v>
      </c>
      <c r="GC715">
        <v>2.2972551307910809</v>
      </c>
      <c r="GD715">
        <v>1.5558138692441863</v>
      </c>
      <c r="GE715">
        <v>1.6048664739368772</v>
      </c>
      <c r="GF715">
        <v>1.8380543676705907</v>
      </c>
      <c r="GG715">
        <v>1.974125117646804</v>
      </c>
      <c r="GH715">
        <v>4.6443402251103763</v>
      </c>
      <c r="GI715">
        <v>5.4849807837687425</v>
      </c>
      <c r="GJ715"/>
      <c r="GK715">
        <v>16.33181068641824</v>
      </c>
      <c r="GL715">
        <v>11.568474512568416</v>
      </c>
      <c r="GM715">
        <v>7.5410693133434687</v>
      </c>
      <c r="GN715">
        <v>6.841119744737715</v>
      </c>
      <c r="GO715">
        <v>6.0323401162790713</v>
      </c>
      <c r="GP715">
        <v>3.0725186877076416</v>
      </c>
      <c r="GQ715">
        <v>2.2500288824714643</v>
      </c>
      <c r="GR715">
        <v>2.7766492528418345</v>
      </c>
      <c r="GS715">
        <v>4.9495055889357982</v>
      </c>
      <c r="GT715">
        <v>7.4209509174896073</v>
      </c>
      <c r="GU715"/>
      <c r="GV715"/>
      <c r="GW715"/>
      <c r="GX715"/>
      <c r="GY715"/>
      <c r="GZ715"/>
      <c r="HA715"/>
      <c r="HB715"/>
      <c r="HC715"/>
    </row>
    <row r="716" spans="1:211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58.508087843622192</v>
      </c>
      <c r="AO716">
        <v>7.5440754334834441</v>
      </c>
      <c r="AP716">
        <v>43.76983906394161</v>
      </c>
      <c r="AQ716">
        <v>52.550433364691806</v>
      </c>
      <c r="AR716">
        <v>7.8527723402120717</v>
      </c>
      <c r="AS716">
        <v>47.40654446891584</v>
      </c>
      <c r="AT716" t="e">
        <v>#DIV/0!</v>
      </c>
      <c r="AU716" t="e">
        <v>#DIV/0!</v>
      </c>
      <c r="AV716"/>
      <c r="AW716"/>
      <c r="FY716" s="211">
        <v>711</v>
      </c>
      <c r="FZ716">
        <v>15.9820756921665</v>
      </c>
      <c r="GA716">
        <v>16.174233216627396</v>
      </c>
      <c r="GB716">
        <v>7.28950672571069</v>
      </c>
      <c r="GC716">
        <v>3.172915070172329</v>
      </c>
      <c r="GD716">
        <v>1.5069163185396408</v>
      </c>
      <c r="GE716">
        <v>1.6402325189368772</v>
      </c>
      <c r="GF716">
        <v>1.7929434005012066</v>
      </c>
      <c r="GG716">
        <v>1.838625950142275</v>
      </c>
      <c r="GH716">
        <v>2.969226906234967</v>
      </c>
      <c r="GI716">
        <v>5.8141039070607956</v>
      </c>
      <c r="GJ716"/>
      <c r="GK716">
        <v>16.052493480137656</v>
      </c>
      <c r="GL716">
        <v>13.702108934057081</v>
      </c>
      <c r="GM716">
        <v>12.109250102372256</v>
      </c>
      <c r="GN716">
        <v>9.5039967968243886</v>
      </c>
      <c r="GO716">
        <v>5.8420060595873107</v>
      </c>
      <c r="GP716">
        <v>3.1402270210409746</v>
      </c>
      <c r="GQ716">
        <v>2.194750098252463</v>
      </c>
      <c r="GR716">
        <v>2.5859538019561663</v>
      </c>
      <c r="GS716">
        <v>3.162839871008829</v>
      </c>
      <c r="GT716">
        <v>7.8722679222717016</v>
      </c>
      <c r="GU716"/>
      <c r="GV716"/>
      <c r="GW716"/>
      <c r="GX716"/>
      <c r="GY716"/>
      <c r="GZ716"/>
      <c r="HA716"/>
      <c r="HB716"/>
      <c r="HC716"/>
    </row>
    <row r="717" spans="1:211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65.704149800753044</v>
      </c>
      <c r="AO717">
        <v>7.789723440835866</v>
      </c>
      <c r="AP717">
        <v>4.6866862444941075</v>
      </c>
      <c r="AQ717">
        <v>59.040439165857634</v>
      </c>
      <c r="AR717">
        <v>8.2251413097692829</v>
      </c>
      <c r="AS717">
        <v>50.204277794047663</v>
      </c>
      <c r="AT717">
        <v>6.5794798161405312</v>
      </c>
      <c r="AU717">
        <v>-6.8269887652121497E-3</v>
      </c>
      <c r="AV717"/>
      <c r="AW717"/>
      <c r="FY717" s="211">
        <v>712</v>
      </c>
      <c r="FZ717">
        <v>14.806414610406529</v>
      </c>
      <c r="GA717">
        <v>14.098793794221026</v>
      </c>
      <c r="GB717">
        <v>7.3610685866103811</v>
      </c>
      <c r="GC717">
        <v>4.3190640193830321</v>
      </c>
      <c r="GD717">
        <v>1.7875296667373901</v>
      </c>
      <c r="GE717">
        <v>1.5409491035714282</v>
      </c>
      <c r="GF717">
        <v>3.1094015454438368</v>
      </c>
      <c r="GG717">
        <v>2.6578448095980201</v>
      </c>
      <c r="GH717">
        <v>4.2412732647708502</v>
      </c>
      <c r="GI717">
        <v>6.2630651663019865</v>
      </c>
      <c r="GJ717"/>
      <c r="GK717">
        <v>14.865486616286214</v>
      </c>
      <c r="GL717">
        <v>11.944154496728073</v>
      </c>
      <c r="GM717">
        <v>12.265235923485198</v>
      </c>
      <c r="GN717">
        <v>13.001742177847094</v>
      </c>
      <c r="GO717">
        <v>6.9614680060217848</v>
      </c>
      <c r="GP717">
        <v>2.9501488095238093</v>
      </c>
      <c r="GQ717">
        <v>3.8033022271245378</v>
      </c>
      <c r="GR717">
        <v>3.7355938937912048</v>
      </c>
      <c r="GS717">
        <v>4.5210437392414429</v>
      </c>
      <c r="GT717">
        <v>8.483307302431836</v>
      </c>
      <c r="GU717"/>
      <c r="GV717"/>
      <c r="GW717"/>
      <c r="GX717"/>
      <c r="GY717"/>
      <c r="GZ717"/>
      <c r="HA717"/>
      <c r="HB717"/>
      <c r="HC717"/>
    </row>
    <row r="718" spans="1:211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57.862876995195485</v>
      </c>
      <c r="AO718">
        <v>7.5402347005304478</v>
      </c>
      <c r="AP718">
        <v>7.1414677353476206</v>
      </c>
      <c r="AQ718">
        <v>56.178331825317514</v>
      </c>
      <c r="AR718">
        <v>7.8823512275136745</v>
      </c>
      <c r="AS718">
        <v>44.839275713587902</v>
      </c>
      <c r="AT718">
        <v>6.189447812520025</v>
      </c>
      <c r="AU718">
        <v>2.1374744929535492</v>
      </c>
      <c r="AV718"/>
      <c r="AW718"/>
      <c r="FY718" s="211">
        <v>713</v>
      </c>
      <c r="FZ718">
        <v>13.745971563522591</v>
      </c>
      <c r="GA718">
        <v>15.185929163174608</v>
      </c>
      <c r="GB718">
        <v>6.517395499150048</v>
      </c>
      <c r="GC718">
        <v>2.3841911595626826</v>
      </c>
      <c r="GD718">
        <v>1.2678543829388844</v>
      </c>
      <c r="GE718">
        <v>2.0286168745798321</v>
      </c>
      <c r="GF718">
        <v>0.59244847119791655</v>
      </c>
      <c r="GG718">
        <v>0.46773940755208332</v>
      </c>
      <c r="GH718">
        <v>5.9746668140726227</v>
      </c>
      <c r="GI718">
        <v>5.4155524182107113</v>
      </c>
      <c r="GJ718"/>
      <c r="GK718">
        <v>13.801745154443275</v>
      </c>
      <c r="GL718">
        <v>12.866420130015564</v>
      </c>
      <c r="GM718">
        <v>10.866817477106425</v>
      </c>
      <c r="GN718">
        <v>7.2097504781211015</v>
      </c>
      <c r="GO718">
        <v>4.9136055934846912</v>
      </c>
      <c r="GP718">
        <v>3.8837893111790169</v>
      </c>
      <c r="GQ718">
        <v>0.72598379629629617</v>
      </c>
      <c r="GR718">
        <v>0.65827546296296291</v>
      </c>
      <c r="GS718">
        <v>6.366768995103615</v>
      </c>
      <c r="GT718">
        <v>7.3349842032868597</v>
      </c>
      <c r="GU718"/>
      <c r="GV718"/>
      <c r="GW718"/>
      <c r="GX718"/>
      <c r="GY718"/>
      <c r="GZ718"/>
      <c r="HA718"/>
      <c r="HB718"/>
      <c r="HC718"/>
    </row>
    <row r="719" spans="1:211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56.83849203889541</v>
      </c>
      <c r="AO719">
        <v>6.655491355107868</v>
      </c>
      <c r="AP719">
        <v>21.549243077213138</v>
      </c>
      <c r="AQ719">
        <v>50.977945180613808</v>
      </c>
      <c r="AR719">
        <v>7.0420585552441768</v>
      </c>
      <c r="AS719">
        <v>42.3541272764487</v>
      </c>
      <c r="AT719" t="e">
        <v>#DIV/0!</v>
      </c>
      <c r="AU719" t="e">
        <v>#DIV/0!</v>
      </c>
      <c r="AV719"/>
      <c r="AW719"/>
      <c r="FY719" s="211">
        <v>714</v>
      </c>
      <c r="FZ719">
        <v>10.723857000062122</v>
      </c>
      <c r="GA719">
        <v>7.5636573024820581</v>
      </c>
      <c r="GB719">
        <v>5.6718040617181069</v>
      </c>
      <c r="GC719">
        <v>3.0052821321533232</v>
      </c>
      <c r="GD719">
        <v>1.1077044332649504</v>
      </c>
      <c r="GE719">
        <v>1.6840582158970099</v>
      </c>
      <c r="GF719">
        <v>3.5757435066092969</v>
      </c>
      <c r="GG719">
        <v>3.8127510677890792</v>
      </c>
      <c r="GH719">
        <v>4.9875330784455425</v>
      </c>
      <c r="GI719">
        <v>5.0539567494547581</v>
      </c>
      <c r="GJ719"/>
      <c r="GK719">
        <v>10.772314462417686</v>
      </c>
      <c r="GL719">
        <v>6.4093155212128137</v>
      </c>
      <c r="GM719">
        <v>9.4736561946739801</v>
      </c>
      <c r="GN719">
        <v>9.0646364507571615</v>
      </c>
      <c r="GO719">
        <v>4.2948902962347733</v>
      </c>
      <c r="GP719">
        <v>3.2241313676633445</v>
      </c>
      <c r="GQ719">
        <v>4.3770706473905943</v>
      </c>
      <c r="GR719">
        <v>5.3626030547980008</v>
      </c>
      <c r="GS719">
        <v>5.3148938364114944</v>
      </c>
      <c r="GT719">
        <v>6.8465650874257049</v>
      </c>
      <c r="GU719"/>
      <c r="GV719"/>
      <c r="GW719"/>
      <c r="GX719"/>
      <c r="GY719"/>
      <c r="GZ719"/>
      <c r="HA719"/>
      <c r="HB719"/>
      <c r="HC719"/>
    </row>
    <row r="720" spans="1:211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69.456028937474017</v>
      </c>
      <c r="AO720">
        <v>8.0143746221452279</v>
      </c>
      <c r="AP720">
        <v>45.420874478921519</v>
      </c>
      <c r="AQ720">
        <v>66.385435448090305</v>
      </c>
      <c r="AR720">
        <v>8.3638012805495983</v>
      </c>
      <c r="AS720">
        <v>53.139870115788256</v>
      </c>
      <c r="AT720" t="e">
        <v>#DIV/0!</v>
      </c>
      <c r="AU720" t="e">
        <v>#DIV/0!</v>
      </c>
      <c r="AV720"/>
      <c r="AW720"/>
      <c r="FY720" s="211">
        <v>715</v>
      </c>
      <c r="FZ720">
        <v>10.940176476310915</v>
      </c>
      <c r="GA720">
        <v>12.795719762883218</v>
      </c>
      <c r="GB720">
        <v>5.8438094039999742</v>
      </c>
      <c r="GC720">
        <v>2.7271337829313138</v>
      </c>
      <c r="GD720">
        <v>2.5880033524046935</v>
      </c>
      <c r="GE720">
        <v>4.0598814744537819</v>
      </c>
      <c r="GF720">
        <v>1.0743884192708333</v>
      </c>
      <c r="GG720">
        <v>1.6838618671875001</v>
      </c>
      <c r="GH720">
        <v>6.0761872012376994</v>
      </c>
      <c r="GI720">
        <v>5.6995908185329744</v>
      </c>
      <c r="GJ720"/>
      <c r="GK720">
        <v>10.968032403480846</v>
      </c>
      <c r="GL720">
        <v>10.844199923196911</v>
      </c>
      <c r="GM720">
        <v>9.757215679550356</v>
      </c>
      <c r="GN720">
        <v>8.2657717294929949</v>
      </c>
      <c r="GO720">
        <v>10.064391763819456</v>
      </c>
      <c r="GP720">
        <v>7.7726476954418127</v>
      </c>
      <c r="GQ720">
        <v>1.3165509259259258</v>
      </c>
      <c r="GR720">
        <v>2.3697916666666665</v>
      </c>
      <c r="GS720">
        <v>6.4788127382925476</v>
      </c>
      <c r="GT720">
        <v>7.7170007022138263</v>
      </c>
      <c r="GU720"/>
      <c r="GV720"/>
      <c r="GW720"/>
      <c r="GX720"/>
      <c r="GY720"/>
      <c r="GZ720"/>
      <c r="HA720"/>
      <c r="HB720"/>
      <c r="HC720"/>
    </row>
    <row r="721" spans="1:211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79.995029757212194</v>
      </c>
      <c r="AO721">
        <v>9.4447783814279465</v>
      </c>
      <c r="AP721">
        <v>53.775155595405863</v>
      </c>
      <c r="AQ721">
        <v>75.962988596236514</v>
      </c>
      <c r="AR721">
        <v>9.9708679565268579</v>
      </c>
      <c r="AS721">
        <v>64.50199563820982</v>
      </c>
      <c r="AT721" t="e">
        <v>#DIV/0!</v>
      </c>
      <c r="AU721" t="e">
        <v>#DIV/0!</v>
      </c>
      <c r="AV721"/>
      <c r="AW721"/>
      <c r="FY721" s="211">
        <v>716</v>
      </c>
      <c r="FZ721">
        <v>17.611740668662282</v>
      </c>
      <c r="GA721">
        <v>17.814449043537554</v>
      </c>
      <c r="GB721">
        <v>6.2520584511882866</v>
      </c>
      <c r="GC721">
        <v>2.7426003997341541</v>
      </c>
      <c r="GD721">
        <v>1.8594124728571308</v>
      </c>
      <c r="GE721">
        <v>2.952426702199531</v>
      </c>
      <c r="GF721">
        <v>5.5254261562500004E-2</v>
      </c>
      <c r="GG721">
        <v>0.37419152604166667</v>
      </c>
      <c r="GH721">
        <v>4.9665756089222466</v>
      </c>
      <c r="GI721">
        <v>6.0050538196220984</v>
      </c>
      <c r="GJ721"/>
      <c r="GK721">
        <v>17.681833537768668</v>
      </c>
      <c r="GL721">
        <v>15.09548159938822</v>
      </c>
      <c r="GM721">
        <v>10.39518670586806</v>
      </c>
      <c r="GN721">
        <v>8.2320192140898314</v>
      </c>
      <c r="GO721">
        <v>7.2167361144679516</v>
      </c>
      <c r="GP721">
        <v>5.6524242757356644</v>
      </c>
      <c r="GQ721">
        <v>6.7708333333333329E-2</v>
      </c>
      <c r="GR721">
        <v>0.52662037037037035</v>
      </c>
      <c r="GS721">
        <v>5.2968360581869582</v>
      </c>
      <c r="GT721">
        <v>8.1316601499249934</v>
      </c>
      <c r="GU721"/>
      <c r="GV721"/>
      <c r="GW721"/>
      <c r="GX721"/>
      <c r="GY721"/>
      <c r="GZ721"/>
      <c r="HA721"/>
      <c r="HB721"/>
      <c r="HC721"/>
    </row>
    <row r="722" spans="1:211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53.736875962297027</v>
      </c>
      <c r="AO722">
        <v>6.4287879041573532</v>
      </c>
      <c r="AP722">
        <v>4.0256015561971887</v>
      </c>
      <c r="AQ722">
        <v>48.585983155516452</v>
      </c>
      <c r="AR722">
        <v>6.6073323313265035</v>
      </c>
      <c r="AS722">
        <v>39.78643046699321</v>
      </c>
      <c r="AT722">
        <v>5.2554517587164398</v>
      </c>
      <c r="AU722">
        <v>1.8588058205641094</v>
      </c>
      <c r="AV722"/>
      <c r="AW722"/>
      <c r="FY722" s="211">
        <v>717</v>
      </c>
      <c r="FZ722">
        <v>16.842995286071794</v>
      </c>
      <c r="GA722">
        <v>13.081252247509521</v>
      </c>
      <c r="GB722">
        <v>3.9759181942628703</v>
      </c>
      <c r="GC722">
        <v>2.9584577033478845</v>
      </c>
      <c r="GD722">
        <v>2.6381329569668099</v>
      </c>
      <c r="GE722">
        <v>4.1490603055335162</v>
      </c>
      <c r="GF722">
        <v>1.8380543676705907</v>
      </c>
      <c r="GG722">
        <v>1.5999335916051376</v>
      </c>
      <c r="GH722">
        <v>3.684601756013195</v>
      </c>
      <c r="GI722">
        <v>5.8986063032674521</v>
      </c>
      <c r="GJ722"/>
      <c r="GK722">
        <v>16.890944335974687</v>
      </c>
      <c r="GL722">
        <v>11.08756355076212</v>
      </c>
      <c r="GM722">
        <v>6.5821806885096672</v>
      </c>
      <c r="GN722">
        <v>8.8093845782696132</v>
      </c>
      <c r="GO722">
        <v>10.23829289195702</v>
      </c>
      <c r="GP722">
        <v>7.9433806688637398</v>
      </c>
      <c r="GQ722">
        <v>2.2500288824714643</v>
      </c>
      <c r="GR722">
        <v>2.2500288824714643</v>
      </c>
      <c r="GS722">
        <v>3.9272843263189308</v>
      </c>
      <c r="GT722">
        <v>7.977746225046352</v>
      </c>
      <c r="GU722"/>
      <c r="GV722"/>
      <c r="GW722"/>
      <c r="GX722"/>
      <c r="GY722"/>
      <c r="GZ722"/>
      <c r="HA722"/>
      <c r="HB722"/>
      <c r="HC722"/>
    </row>
    <row r="723" spans="1:211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63.154461807175551</v>
      </c>
      <c r="AO723">
        <v>7.7313025727159967</v>
      </c>
      <c r="AP723">
        <v>28.915458781720393</v>
      </c>
      <c r="AQ723">
        <v>56.574188602042554</v>
      </c>
      <c r="AR723">
        <v>8.1961641548949302</v>
      </c>
      <c r="AS723">
        <v>53.201024048645756</v>
      </c>
      <c r="AT723" t="e">
        <v>#DIV/0!</v>
      </c>
      <c r="AU723" t="e">
        <v>#DIV/0!</v>
      </c>
      <c r="AV723"/>
      <c r="AW723"/>
      <c r="FY723" s="211">
        <v>718</v>
      </c>
      <c r="FZ723">
        <v>9.7878994176251091</v>
      </c>
      <c r="GA723">
        <v>8.0524137967635543</v>
      </c>
      <c r="GB723">
        <v>4.3185280062369191</v>
      </c>
      <c r="GC723">
        <v>2.3206917838172276</v>
      </c>
      <c r="GD723">
        <v>1.6372032335488269</v>
      </c>
      <c r="GE723">
        <v>2.000707688571429</v>
      </c>
      <c r="GF723">
        <v>0.61500395478260861</v>
      </c>
      <c r="GG723">
        <v>1.2838720433876809</v>
      </c>
      <c r="GH723">
        <v>5.2243249438281127</v>
      </c>
      <c r="GI723">
        <v>4.3838677084396451</v>
      </c>
      <c r="GJ723"/>
      <c r="GK723">
        <v>9.8452456476071504</v>
      </c>
      <c r="GL723">
        <v>6.8235784947515228</v>
      </c>
      <c r="GM723">
        <v>7.1505455206939228</v>
      </c>
      <c r="GN723">
        <v>6.9150206594616836</v>
      </c>
      <c r="GO723">
        <v>6.3559107763764287</v>
      </c>
      <c r="GP723">
        <v>3.8303571428571432</v>
      </c>
      <c r="GQ723">
        <v>0.75362318840579701</v>
      </c>
      <c r="GR723">
        <v>1.8068639291465376</v>
      </c>
      <c r="GS723">
        <v>5.5716821656807545</v>
      </c>
      <c r="GT723">
        <v>5.9354014597528115</v>
      </c>
      <c r="GU723"/>
      <c r="GV723"/>
      <c r="GW723"/>
      <c r="GX723"/>
      <c r="GY723"/>
      <c r="GZ723"/>
      <c r="HA723"/>
      <c r="HB723"/>
      <c r="HC723"/>
    </row>
    <row r="724" spans="1:211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52.40215370400923</v>
      </c>
      <c r="AO724">
        <v>6.0184839299069912</v>
      </c>
      <c r="AP724">
        <v>4.0054132420317448</v>
      </c>
      <c r="AQ724">
        <v>45.139565222888002</v>
      </c>
      <c r="AR724">
        <v>6.4569716725519557</v>
      </c>
      <c r="AS724">
        <v>42.072282661695688</v>
      </c>
      <c r="AT724">
        <v>5.1875305999841057</v>
      </c>
      <c r="AU724">
        <v>6.2375239115197516</v>
      </c>
      <c r="AV724"/>
      <c r="AW724"/>
      <c r="FY724" s="211">
        <v>719</v>
      </c>
      <c r="FZ724">
        <v>10.53650791531752</v>
      </c>
      <c r="GA724">
        <v>6.9823444354369091</v>
      </c>
      <c r="GB724">
        <v>4.6925773180839903</v>
      </c>
      <c r="GC724">
        <v>2.8465411239986027</v>
      </c>
      <c r="GD724">
        <v>2.4694807812991368</v>
      </c>
      <c r="GE724">
        <v>4.1221539124936495</v>
      </c>
      <c r="GF724">
        <v>1.2783046744504822</v>
      </c>
      <c r="GG724">
        <v>1.0644446003007895</v>
      </c>
      <c r="GH724">
        <v>4.2745565612748404</v>
      </c>
      <c r="GI724">
        <v>5.0362217920998553</v>
      </c>
      <c r="GJ724"/>
      <c r="GK724">
        <v>10.584548028642791</v>
      </c>
      <c r="GL724">
        <v>5.9176692802579698</v>
      </c>
      <c r="GM724">
        <v>7.8157054494264493</v>
      </c>
      <c r="GN724">
        <v>8.5381923768701338</v>
      </c>
      <c r="GO724">
        <v>9.5734026163883073</v>
      </c>
      <c r="GP724">
        <v>7.891868348819445</v>
      </c>
      <c r="GQ724">
        <v>1.5641140273990009</v>
      </c>
      <c r="GR724">
        <v>1.4964056940656674</v>
      </c>
      <c r="GS724">
        <v>4.5583957628395568</v>
      </c>
      <c r="GT724">
        <v>6.819233176939222</v>
      </c>
      <c r="GU724"/>
      <c r="GV724"/>
      <c r="GW724"/>
      <c r="GX724"/>
      <c r="GY724"/>
      <c r="GZ724"/>
      <c r="HA724"/>
      <c r="HB724"/>
      <c r="HC724"/>
    </row>
    <row r="725" spans="1:211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52.385301815675952</v>
      </c>
      <c r="AO725">
        <v>6.4574295770661623</v>
      </c>
      <c r="AP725">
        <v>69.486943270211114</v>
      </c>
      <c r="AQ725">
        <v>48.31284253793897</v>
      </c>
      <c r="AR725">
        <v>6.7633532726834549</v>
      </c>
      <c r="AS725">
        <v>40.781298059329572</v>
      </c>
      <c r="AT725" t="e">
        <v>#DIV/0!</v>
      </c>
      <c r="AU725" t="e">
        <v>#DIV/0!</v>
      </c>
      <c r="AV725"/>
      <c r="AW725"/>
      <c r="FY725" s="211">
        <v>720</v>
      </c>
      <c r="FZ725">
        <v>10.970184664791431</v>
      </c>
      <c r="GA725">
        <v>8.3548635064704744</v>
      </c>
      <c r="GB725">
        <v>5.7714296985433409</v>
      </c>
      <c r="GC725">
        <v>2.7729993031935507</v>
      </c>
      <c r="GD725">
        <v>1.7088599589285718</v>
      </c>
      <c r="GE725">
        <v>2.3998387678571436</v>
      </c>
      <c r="GF725">
        <v>0.67025821634510852</v>
      </c>
      <c r="GG725">
        <v>0.90968051734601452</v>
      </c>
      <c r="GH725">
        <v>4.2010465103129668</v>
      </c>
      <c r="GI725">
        <v>4.8111258505859817</v>
      </c>
      <c r="GJ725"/>
      <c r="GK725">
        <v>11.026213597751909</v>
      </c>
      <c r="GL725">
        <v>7.0786049736511254</v>
      </c>
      <c r="GM725">
        <v>9.6718461071029456</v>
      </c>
      <c r="GN725">
        <v>8.428639775622166</v>
      </c>
      <c r="GO725">
        <v>6.6257440476190492</v>
      </c>
      <c r="GP725">
        <v>4.5944940476190483</v>
      </c>
      <c r="GQ725">
        <v>0.82133152173913027</v>
      </c>
      <c r="GR725">
        <v>1.2802435587761674</v>
      </c>
      <c r="GS725">
        <v>4.479353935292286</v>
      </c>
      <c r="GT725">
        <v>6.5248978419010646</v>
      </c>
      <c r="GU725"/>
      <c r="GV725"/>
      <c r="GW725"/>
      <c r="GX725"/>
      <c r="GY725"/>
      <c r="GZ725"/>
      <c r="HA725"/>
      <c r="HB725"/>
      <c r="HC725"/>
    </row>
    <row r="726" spans="1:211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58.276541863338672</v>
      </c>
      <c r="AO726">
        <v>6.8784467702793268</v>
      </c>
      <c r="AP726">
        <v>28.648807250196867</v>
      </c>
      <c r="AQ726">
        <v>53.876591702774242</v>
      </c>
      <c r="AR726">
        <v>7.4209509174896091</v>
      </c>
      <c r="AS726">
        <v>46.514174061489932</v>
      </c>
      <c r="AT726" t="e">
        <v>#DIV/0!</v>
      </c>
      <c r="AU726" t="e">
        <v>#DIV/0!</v>
      </c>
      <c r="AV726"/>
      <c r="AW726"/>
      <c r="FY726" s="211">
        <v>721</v>
      </c>
      <c r="FZ726">
        <v>8.8955171137357194</v>
      </c>
      <c r="GA726">
        <v>7.7655216685646185</v>
      </c>
      <c r="GB726">
        <v>4.614278342462744</v>
      </c>
      <c r="GC726">
        <v>2.4926165963921685</v>
      </c>
      <c r="GD726">
        <v>1.7923646526654464</v>
      </c>
      <c r="GE726">
        <v>2.765491892913817</v>
      </c>
      <c r="GF726">
        <v>1.2783046744504822</v>
      </c>
      <c r="GG726">
        <v>1.4386361263424563</v>
      </c>
      <c r="GH726">
        <v>5.0658175625866297</v>
      </c>
      <c r="GI726">
        <v>4.5105107990205884</v>
      </c>
      <c r="GJ726"/>
      <c r="GK726">
        <v>8.9260219589682048</v>
      </c>
      <c r="GL726">
        <v>6.5807872942449901</v>
      </c>
      <c r="GM726">
        <v>7.6803346391897902</v>
      </c>
      <c r="GN726">
        <v>7.4768291923281458</v>
      </c>
      <c r="GO726">
        <v>6.9487717666629525</v>
      </c>
      <c r="GP726">
        <v>5.2945373709737602</v>
      </c>
      <c r="GQ726">
        <v>1.5641140273990009</v>
      </c>
      <c r="GR726">
        <v>2.0230260644360376</v>
      </c>
      <c r="GS726">
        <v>5.4027150536207493</v>
      </c>
      <c r="GT726">
        <v>6.1043914891681403</v>
      </c>
      <c r="GU726"/>
      <c r="GV726"/>
      <c r="GW726"/>
      <c r="GX726"/>
      <c r="GY726"/>
      <c r="GZ726"/>
      <c r="HA726"/>
      <c r="HB726"/>
      <c r="HC726"/>
    </row>
    <row r="727" spans="1:211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65.951634279206004</v>
      </c>
      <c r="AO727">
        <v>7.6165894087508832</v>
      </c>
      <c r="AP727">
        <v>4.1556511116636452</v>
      </c>
      <c r="AQ727">
        <v>58.180779706092672</v>
      </c>
      <c r="AR727">
        <v>7.8722679222717034</v>
      </c>
      <c r="AS727">
        <v>49.076643718785384</v>
      </c>
      <c r="AT727">
        <v>6.2583501937693891</v>
      </c>
      <c r="AU727">
        <v>5.0399037695576983</v>
      </c>
      <c r="AV727"/>
      <c r="AW727"/>
      <c r="FY727" s="211">
        <v>722</v>
      </c>
      <c r="FZ727">
        <v>13.190311508754283</v>
      </c>
      <c r="GA727">
        <v>7.9465151681373545</v>
      </c>
      <c r="GB727">
        <v>5.3713438025697551</v>
      </c>
      <c r="GC727">
        <v>3.3714879366943658</v>
      </c>
      <c r="GD727">
        <v>2.966620998727834</v>
      </c>
      <c r="GE727">
        <v>4.6981152167793638</v>
      </c>
      <c r="GF727">
        <v>3.6605107484337247</v>
      </c>
      <c r="GG727">
        <v>3.1386509817659163</v>
      </c>
      <c r="GH727">
        <v>6.8973361096976227</v>
      </c>
      <c r="GI727">
        <v>6.7276908204958996</v>
      </c>
      <c r="GJ727"/>
      <c r="GK727">
        <v>13.236488513729789</v>
      </c>
      <c r="GL727">
        <v>6.7331580995592724</v>
      </c>
      <c r="GM727">
        <v>8.9333159954320873</v>
      </c>
      <c r="GN727">
        <v>10.10244102438242</v>
      </c>
      <c r="GO727">
        <v>11.51268010479496</v>
      </c>
      <c r="GP727">
        <v>8.9945469202480162</v>
      </c>
      <c r="GQ727">
        <v>4.4832590555793548</v>
      </c>
      <c r="GR727">
        <v>4.4155507222460209</v>
      </c>
      <c r="GS727">
        <v>7.3511439951036159</v>
      </c>
      <c r="GT727">
        <v>9.1033775329279614</v>
      </c>
      <c r="GU727"/>
      <c r="GV727"/>
      <c r="GW727"/>
      <c r="GX727"/>
      <c r="GY727"/>
      <c r="GZ727"/>
      <c r="HA727"/>
      <c r="HB727"/>
      <c r="HC727"/>
    </row>
    <row r="728" spans="1:211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70.6276956520082</v>
      </c>
      <c r="AO728">
        <v>8.2531483192481208</v>
      </c>
      <c r="AP728">
        <v>58.301695643479562</v>
      </c>
      <c r="AQ728">
        <v>60.185404567044486</v>
      </c>
      <c r="AR728">
        <v>8.483307302431836</v>
      </c>
      <c r="AS728">
        <v>50.437791705043814</v>
      </c>
      <c r="AT728" t="e">
        <v>#DIV/0!</v>
      </c>
      <c r="AU728" t="e">
        <v>#DIV/0!</v>
      </c>
      <c r="AV728"/>
      <c r="AW728"/>
      <c r="FY728" s="211">
        <v>723</v>
      </c>
      <c r="FZ728">
        <v>8.5824460566950052</v>
      </c>
      <c r="GA728">
        <v>9.5418446221325759</v>
      </c>
      <c r="GB728">
        <v>7.2632587099253971</v>
      </c>
      <c r="GC728">
        <v>3.590132705993748</v>
      </c>
      <c r="GD728">
        <v>2.1346435714954577</v>
      </c>
      <c r="GE728">
        <v>3.0500651852393981</v>
      </c>
      <c r="GF728">
        <v>1.7602446225233985</v>
      </c>
      <c r="GG728">
        <v>1.9063755338945396</v>
      </c>
      <c r="GH728">
        <v>5.6353330420017809</v>
      </c>
      <c r="GI728">
        <v>5.4853471510764455</v>
      </c>
      <c r="GJ728"/>
      <c r="GK728">
        <v>8.6180456938043406</v>
      </c>
      <c r="GL728">
        <v>8.084004629064335</v>
      </c>
      <c r="GM728">
        <v>12.025052568235935</v>
      </c>
      <c r="GN728">
        <v>10.687886168583402</v>
      </c>
      <c r="GO728">
        <v>8.2853748812290995</v>
      </c>
      <c r="GP728">
        <v>5.839353262446628</v>
      </c>
      <c r="GQ728">
        <v>2.1546811570286302</v>
      </c>
      <c r="GR728">
        <v>2.6813015273990004</v>
      </c>
      <c r="GS728">
        <v>6.0080046423053295</v>
      </c>
      <c r="GT728">
        <v>7.4182317885206661</v>
      </c>
      <c r="GU728"/>
      <c r="GV728"/>
      <c r="GW728"/>
      <c r="GX728"/>
      <c r="GY728"/>
      <c r="GZ728"/>
      <c r="HA728"/>
      <c r="HB728"/>
      <c r="HC728"/>
    </row>
    <row r="729" spans="1:211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58.934065310085977</v>
      </c>
      <c r="AO729">
        <v>6.8628140601999803</v>
      </c>
      <c r="AP729">
        <v>78.395854504331609</v>
      </c>
      <c r="AQ729">
        <v>53.580365753961978</v>
      </c>
      <c r="AR729">
        <v>7.3349842032868589</v>
      </c>
      <c r="AS729">
        <v>43.939573528770964</v>
      </c>
      <c r="AT729" t="e">
        <v>#DIV/0!</v>
      </c>
      <c r="AU729" t="e">
        <v>#DIV/0!</v>
      </c>
      <c r="AV729"/>
      <c r="AW729"/>
      <c r="FY729" s="211">
        <v>724</v>
      </c>
      <c r="FZ729">
        <v>8.3768689270463845</v>
      </c>
      <c r="GA729">
        <v>7.4304404046930976</v>
      </c>
      <c r="GB729">
        <v>4.4780242056168973</v>
      </c>
      <c r="GC729">
        <v>2.5695271664957864</v>
      </c>
      <c r="GD729">
        <v>1.3702866285541631</v>
      </c>
      <c r="GE729">
        <v>1.6486921708970099</v>
      </c>
      <c r="GF729">
        <v>1.0743884192708333</v>
      </c>
      <c r="GG729">
        <v>1.3096703411458332</v>
      </c>
      <c r="GH729">
        <v>2.9930170369178839</v>
      </c>
      <c r="GI729">
        <v>3.7941335643756942</v>
      </c>
      <c r="GJ729"/>
      <c r="GK729">
        <v>8.4038799295265658</v>
      </c>
      <c r="GL729">
        <v>6.2974719854079799</v>
      </c>
      <c r="GM729">
        <v>7.4182346936571957</v>
      </c>
      <c r="GN729">
        <v>7.6698266963907242</v>
      </c>
      <c r="GO729">
        <v>5.3334632129477084</v>
      </c>
      <c r="GP729">
        <v>3.156423034330011</v>
      </c>
      <c r="GQ729">
        <v>1.3165509259259258</v>
      </c>
      <c r="GR729">
        <v>1.8431712962962961</v>
      </c>
      <c r="GS729">
        <v>3.1920957893016331</v>
      </c>
      <c r="GT729">
        <v>5.132844910271805</v>
      </c>
      <c r="GU729"/>
      <c r="GV729"/>
      <c r="GW729"/>
      <c r="GX729"/>
      <c r="GY729"/>
      <c r="GZ729"/>
      <c r="HA729"/>
      <c r="HB729"/>
      <c r="HC729"/>
    </row>
    <row r="730" spans="1:211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53.085418470285205</v>
      </c>
      <c r="AO730">
        <v>6.5140076918985557</v>
      </c>
      <c r="AP730">
        <v>3.5858787672421299</v>
      </c>
      <c r="AQ730">
        <v>47.186347547876245</v>
      </c>
      <c r="AR730">
        <v>6.8465650874257049</v>
      </c>
      <c r="AS730">
        <v>40.081555442543461</v>
      </c>
      <c r="AT730">
        <v>5.4247775533275187</v>
      </c>
      <c r="AU730">
        <v>2.8431773929744875</v>
      </c>
      <c r="AV730"/>
      <c r="AW730"/>
      <c r="FY730" s="211">
        <v>725</v>
      </c>
      <c r="FZ730">
        <v>8.847431150052687</v>
      </c>
      <c r="GA730">
        <v>6.5285829772392114</v>
      </c>
      <c r="GB730">
        <v>6.9416715081924494</v>
      </c>
      <c r="GC730">
        <v>3.8991551058940024</v>
      </c>
      <c r="GD730">
        <v>1.7977425904521041</v>
      </c>
      <c r="GE730">
        <v>2.099991103936877</v>
      </c>
      <c r="GF730">
        <v>2.8898873033567316</v>
      </c>
      <c r="GG730">
        <v>3.9644289271237061</v>
      </c>
      <c r="GH730">
        <v>6.5588717383106454</v>
      </c>
      <c r="GI730">
        <v>5.6050777515086994</v>
      </c>
      <c r="GJ730"/>
      <c r="GK730">
        <v>8.8970655043603379</v>
      </c>
      <c r="GL730">
        <v>5.5324740116431617</v>
      </c>
      <c r="GM730">
        <v>11.531448339716404</v>
      </c>
      <c r="GN730">
        <v>11.666728813071286</v>
      </c>
      <c r="GO730">
        <v>6.9798565060390168</v>
      </c>
      <c r="GP730">
        <v>4.0204353543743077</v>
      </c>
      <c r="GQ730">
        <v>3.5389404162878897</v>
      </c>
      <c r="GR730">
        <v>5.5777135644360376</v>
      </c>
      <c r="GS730">
        <v>6.9926915691974285</v>
      </c>
      <c r="GT730">
        <v>7.5880004671202164</v>
      </c>
      <c r="GU730"/>
      <c r="GV730"/>
      <c r="GW730"/>
      <c r="GX730"/>
      <c r="GY730"/>
      <c r="GZ730"/>
      <c r="HA730"/>
      <c r="HB730"/>
      <c r="HC730"/>
    </row>
    <row r="731" spans="1:211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59.592743927307801</v>
      </c>
      <c r="AO731">
        <v>7.5554415228081337</v>
      </c>
      <c r="AP731">
        <v>20.358529524115067</v>
      </c>
      <c r="AQ731">
        <v>53.488752559212905</v>
      </c>
      <c r="AR731">
        <v>7.7170007022138289</v>
      </c>
      <c r="AS731">
        <v>51.679141658249804</v>
      </c>
      <c r="AT731" t="e">
        <v>#DIV/0!</v>
      </c>
      <c r="AU731" t="e">
        <v>#DIV/0!</v>
      </c>
      <c r="AV731"/>
      <c r="AW731"/>
      <c r="FY731" s="211">
        <v>726</v>
      </c>
      <c r="FZ731">
        <v>12.297726285303987</v>
      </c>
      <c r="GA731">
        <v>11.013235943454626</v>
      </c>
      <c r="GB731">
        <v>6.2033950892647898</v>
      </c>
      <c r="GC731">
        <v>3.5155944197607902</v>
      </c>
      <c r="GD731">
        <v>2.0142889536930633</v>
      </c>
      <c r="GE731">
        <v>2.516926784945281</v>
      </c>
      <c r="GF731">
        <v>1.2852621711277175</v>
      </c>
      <c r="GG731">
        <v>1.4451695086503624</v>
      </c>
      <c r="GH731">
        <v>4.8194362310235839</v>
      </c>
      <c r="GI731">
        <v>5.4982547464736422</v>
      </c>
      <c r="GJ731"/>
      <c r="GK731">
        <v>12.341824628007888</v>
      </c>
      <c r="GL731">
        <v>9.3315289502755476</v>
      </c>
      <c r="GM731">
        <v>10.350772511494901</v>
      </c>
      <c r="GN731">
        <v>10.6014812191706</v>
      </c>
      <c r="GO731">
        <v>7.8304463917900708</v>
      </c>
      <c r="GP731">
        <v>4.8186591893628501</v>
      </c>
      <c r="GQ731">
        <v>1.5749547101449275</v>
      </c>
      <c r="GR731">
        <v>2.0338667471819645</v>
      </c>
      <c r="GS731">
        <v>5.1390999398584958</v>
      </c>
      <c r="GT731">
        <v>7.4474196362592568</v>
      </c>
      <c r="GU731"/>
      <c r="GV731"/>
      <c r="GW731"/>
      <c r="GX731"/>
      <c r="GY731"/>
      <c r="GZ731"/>
      <c r="HA731"/>
      <c r="HB731"/>
      <c r="HC731"/>
    </row>
    <row r="732" spans="1:211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63.956817787181912</v>
      </c>
      <c r="AO732">
        <v>7.8296506359134046</v>
      </c>
      <c r="AP732">
        <v>10.31710062950382</v>
      </c>
      <c r="AQ732">
        <v>60.633762954327445</v>
      </c>
      <c r="AR732">
        <v>8.131660149924997</v>
      </c>
      <c r="AS732">
        <v>52.301577073291213</v>
      </c>
      <c r="AT732" t="e">
        <v>#DIV/0!</v>
      </c>
      <c r="AU732" t="e">
        <v>#DIV/0!</v>
      </c>
      <c r="AV732"/>
      <c r="AW732"/>
      <c r="FY732" s="211">
        <v>727</v>
      </c>
      <c r="FZ732">
        <v>15.45304818881203</v>
      </c>
      <c r="GA732">
        <v>15.205914631957661</v>
      </c>
      <c r="GB732">
        <v>6.0614823713172239</v>
      </c>
      <c r="GC732">
        <v>2.8607770653745916</v>
      </c>
      <c r="GD732">
        <v>1.6122597802436323</v>
      </c>
      <c r="GE732">
        <v>1.940080182857143</v>
      </c>
      <c r="GF732">
        <v>1.8777106423256344</v>
      </c>
      <c r="GG732">
        <v>1.5387173901607791</v>
      </c>
      <c r="GH732">
        <v>3.6627205544854573</v>
      </c>
      <c r="GI732">
        <v>5.6214790478538283</v>
      </c>
      <c r="GJ732"/>
      <c r="GK732">
        <v>15.520123791074042</v>
      </c>
      <c r="GL732">
        <v>12.884057455410332</v>
      </c>
      <c r="GM732">
        <v>10.079642477245521</v>
      </c>
      <c r="GN732">
        <v>8.5883106283371262</v>
      </c>
      <c r="GO732">
        <v>6.2606860326170901</v>
      </c>
      <c r="GP732">
        <v>3.7142857142857149</v>
      </c>
      <c r="GQ732">
        <v>2.300938506441224</v>
      </c>
      <c r="GR732">
        <v>2.165521839774557</v>
      </c>
      <c r="GS732">
        <v>3.9056417674057675</v>
      </c>
      <c r="GT732">
        <v>7.6134065149567292</v>
      </c>
      <c r="GU732"/>
      <c r="GV732"/>
      <c r="GW732"/>
      <c r="GX732"/>
      <c r="GY732"/>
      <c r="GZ732"/>
      <c r="HA732"/>
      <c r="HB732"/>
      <c r="HC732"/>
    </row>
    <row r="733" spans="1:211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66.406183990674975</v>
      </c>
      <c r="AO733">
        <v>7.7956835030645042</v>
      </c>
      <c r="AP733">
        <v>74.747613903365192</v>
      </c>
      <c r="AQ733">
        <v>56.667012712248763</v>
      </c>
      <c r="AR733">
        <v>7.9777462250463529</v>
      </c>
      <c r="AS733">
        <v>51.482242534197667</v>
      </c>
      <c r="AT733" t="e">
        <v>#DIV/0!</v>
      </c>
      <c r="AU733" t="e">
        <v>#DIV/0!</v>
      </c>
      <c r="AV733"/>
      <c r="AW733"/>
      <c r="FY733" s="211">
        <v>728</v>
      </c>
      <c r="FZ733">
        <v>16.440125068141796</v>
      </c>
      <c r="GA733">
        <v>16.166968847410846</v>
      </c>
      <c r="GB733">
        <v>7.448306105319471</v>
      </c>
      <c r="GC733">
        <v>3.6746843868872943</v>
      </c>
      <c r="GD733">
        <v>1.5061179935339717</v>
      </c>
      <c r="GE733">
        <v>1.9864361099452803</v>
      </c>
      <c r="GF733">
        <v>1.2627066875430251</v>
      </c>
      <c r="GG733">
        <v>1.7516114509397644</v>
      </c>
      <c r="GH733">
        <v>4.638601460104673</v>
      </c>
      <c r="GI733">
        <v>6.0931502304339151</v>
      </c>
      <c r="GJ733"/>
      <c r="GK733">
        <v>16.491860593246749</v>
      </c>
      <c r="GL733">
        <v>13.696975712418768</v>
      </c>
      <c r="GM733">
        <v>12.414336545534374</v>
      </c>
      <c r="GN733">
        <v>11.076350987625865</v>
      </c>
      <c r="GO733">
        <v>5.8586324450732183</v>
      </c>
      <c r="GP733">
        <v>3.8030341893628488</v>
      </c>
      <c r="GQ733">
        <v>1.5473153180354264</v>
      </c>
      <c r="GR733">
        <v>2.4651393921095006</v>
      </c>
      <c r="GS733">
        <v>4.9478734134161586</v>
      </c>
      <c r="GT733">
        <v>8.252003663061183</v>
      </c>
      <c r="GU733"/>
      <c r="GV733"/>
      <c r="GW733"/>
      <c r="GX733"/>
      <c r="GY733"/>
      <c r="GZ733"/>
      <c r="HA733"/>
      <c r="HB733"/>
      <c r="HC733"/>
    </row>
    <row r="734" spans="1:211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45.511156635239978</v>
      </c>
      <c r="AO734">
        <v>5.4988228984733754</v>
      </c>
      <c r="AP734">
        <v>11.102443480919018</v>
      </c>
      <c r="AQ734">
        <v>39.624512577001113</v>
      </c>
      <c r="AR734">
        <v>5.9354014597528106</v>
      </c>
      <c r="AS734">
        <v>37.488250180332614</v>
      </c>
      <c r="AT734" t="e">
        <v>#DIV/0!</v>
      </c>
      <c r="AU734" t="e">
        <v>#DIV/0!</v>
      </c>
      <c r="AV734"/>
      <c r="AW734"/>
      <c r="FY734" s="211">
        <v>729</v>
      </c>
      <c r="FZ734">
        <v>14.67687323740633</v>
      </c>
      <c r="GA734">
        <v>14.474129768435155</v>
      </c>
      <c r="GB734">
        <v>7.6337639208304857</v>
      </c>
      <c r="GC734">
        <v>4.0100580239431878</v>
      </c>
      <c r="GD734">
        <v>1.3420328583963557</v>
      </c>
      <c r="GE734">
        <v>1.2479161592857144</v>
      </c>
      <c r="GF734">
        <v>1.7999008971784418</v>
      </c>
      <c r="GG734">
        <v>1.4709678064085145</v>
      </c>
      <c r="GH734">
        <v>2.248860119828767</v>
      </c>
      <c r="GI734">
        <v>5.5057829964759195</v>
      </c>
      <c r="GJ734"/>
      <c r="GK734">
        <v>14.722679733867695</v>
      </c>
      <c r="GL734">
        <v>12.262618736915087</v>
      </c>
      <c r="GM734">
        <v>12.756607576794934</v>
      </c>
      <c r="GN734">
        <v>12.130093703698517</v>
      </c>
      <c r="GO734">
        <v>5.2239151786176974</v>
      </c>
      <c r="GP734">
        <v>2.3891369047619051</v>
      </c>
      <c r="GQ734">
        <v>2.2055907809983895</v>
      </c>
      <c r="GR734">
        <v>2.0701741143317229</v>
      </c>
      <c r="GS734">
        <v>2.39925799086758</v>
      </c>
      <c r="GT734">
        <v>7.4616102522292591</v>
      </c>
      <c r="GU734"/>
      <c r="GV734"/>
      <c r="GW734"/>
      <c r="GX734"/>
      <c r="GY734"/>
      <c r="GZ734"/>
      <c r="HA734"/>
      <c r="HB734"/>
      <c r="HC734"/>
    </row>
    <row r="735" spans="1:211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50.740988440096515</v>
      </c>
      <c r="AO735">
        <v>6.4759534761648538</v>
      </c>
      <c r="AP735">
        <v>57.800665026525614</v>
      </c>
      <c r="AQ735">
        <v>43.303133114755781</v>
      </c>
      <c r="AR735">
        <v>6.819233176939222</v>
      </c>
      <c r="AS735">
        <v>44.078000780315364</v>
      </c>
      <c r="AT735" t="e">
        <v>#DIV/0!</v>
      </c>
      <c r="AU735" t="e">
        <v>#DIV/0!</v>
      </c>
      <c r="AV735"/>
      <c r="AW735"/>
      <c r="FY735" s="211">
        <v>730</v>
      </c>
      <c r="FZ735">
        <v>15.620283933261085</v>
      </c>
      <c r="GA735">
        <v>12.558622369838021</v>
      </c>
      <c r="GB735">
        <v>5.5406490737269269</v>
      </c>
      <c r="GC735">
        <v>3.2897131228983545</v>
      </c>
      <c r="GD735">
        <v>2.2889345030882358</v>
      </c>
      <c r="GE735">
        <v>2.7460423588655467</v>
      </c>
      <c r="GF735">
        <v>0.59244847119791655</v>
      </c>
      <c r="GG735">
        <v>1.5903139856770834</v>
      </c>
      <c r="GH735">
        <v>6.6306116321997255</v>
      </c>
      <c r="GI735">
        <v>6.1429715514758385</v>
      </c>
      <c r="GJ735"/>
      <c r="GK735">
        <v>15.704144354643578</v>
      </c>
      <c r="GL735">
        <v>10.642358990976712</v>
      </c>
      <c r="GM735">
        <v>9.2551527247810501</v>
      </c>
      <c r="GN735">
        <v>9.9131549036140783</v>
      </c>
      <c r="GO735">
        <v>8.8748607397504475</v>
      </c>
      <c r="GP735">
        <v>5.2573012159409229</v>
      </c>
      <c r="GQ735">
        <v>0.72598379629629617</v>
      </c>
      <c r="GR735">
        <v>2.238136574074074</v>
      </c>
      <c r="GS735">
        <v>7.0687584732102096</v>
      </c>
      <c r="GT735">
        <v>8.3257800177363173</v>
      </c>
      <c r="GU735"/>
      <c r="GV735"/>
      <c r="GW735"/>
      <c r="GX735"/>
      <c r="GY735"/>
      <c r="GZ735"/>
      <c r="HA735"/>
      <c r="HB735"/>
      <c r="HC735"/>
    </row>
    <row r="736" spans="1:211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46.961242527252537</v>
      </c>
      <c r="AO736">
        <v>6.0531369407074909</v>
      </c>
      <c r="AP736">
        <v>4.616935145749494</v>
      </c>
      <c r="AQ736">
        <v>42.570286994374584</v>
      </c>
      <c r="AR736">
        <v>6.5248978419010637</v>
      </c>
      <c r="AS736">
        <v>37.204150680834871</v>
      </c>
      <c r="AT736">
        <v>5.1320130488690392</v>
      </c>
      <c r="AU736">
        <v>6.9916174802555933</v>
      </c>
      <c r="AV736"/>
      <c r="AW736"/>
      <c r="FY736" s="211">
        <v>731</v>
      </c>
      <c r="FZ736">
        <v>11.88086065319372</v>
      </c>
      <c r="GA736">
        <v>9.1756244363403496</v>
      </c>
      <c r="GB736">
        <v>6.6387610926291147</v>
      </c>
      <c r="GC736">
        <v>4.4031928845252963</v>
      </c>
      <c r="GD736">
        <v>2.2171069313002056</v>
      </c>
      <c r="GE736">
        <v>2.2693644699452808</v>
      </c>
      <c r="GF736">
        <v>2.0038171523580908</v>
      </c>
      <c r="GG736">
        <v>1.974125117646804</v>
      </c>
      <c r="GH736">
        <v>5.0870593521139567</v>
      </c>
      <c r="GI736">
        <v>5.8315574701373265</v>
      </c>
      <c r="GJ736"/>
      <c r="GK736">
        <v>11.934200651047352</v>
      </c>
      <c r="GL736">
        <v>7.7746128613379915</v>
      </c>
      <c r="GM736">
        <v>11.071410961355138</v>
      </c>
      <c r="GN736">
        <v>13.243256079740366</v>
      </c>
      <c r="GO736">
        <v>8.6168303203614993</v>
      </c>
      <c r="GP736">
        <v>4.3447008560295162</v>
      </c>
      <c r="GQ736">
        <v>2.4531538824714643</v>
      </c>
      <c r="GR736">
        <v>2.7766492528418345</v>
      </c>
      <c r="GS736">
        <v>5.4241502279402765</v>
      </c>
      <c r="GT736">
        <v>7.8999492086351459</v>
      </c>
      <c r="GU736"/>
      <c r="GV736"/>
      <c r="GW736"/>
      <c r="GX736"/>
      <c r="GY736"/>
      <c r="GZ736"/>
      <c r="HA736"/>
      <c r="HB736"/>
      <c r="HC736"/>
    </row>
    <row r="737" spans="1:211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48.148069013212229</v>
      </c>
      <c r="AO737">
        <v>5.8001528856991769</v>
      </c>
      <c r="AP737">
        <v>2.584242101443047</v>
      </c>
      <c r="AQ737">
        <v>40.619059429134666</v>
      </c>
      <c r="AR737">
        <v>6.1043914891681403</v>
      </c>
      <c r="AS737">
        <v>39.049407028653384</v>
      </c>
      <c r="AT737">
        <v>4.8957813657302056</v>
      </c>
      <c r="AU737">
        <v>2.6584209365038278</v>
      </c>
      <c r="AV737"/>
      <c r="AW737"/>
      <c r="FY737" s="211">
        <v>732</v>
      </c>
      <c r="FZ737">
        <v>18.581384351643834</v>
      </c>
      <c r="GA737">
        <v>17.329417410659698</v>
      </c>
      <c r="GB737">
        <v>4.7518622957973058</v>
      </c>
      <c r="GC737">
        <v>3.2253399336898294</v>
      </c>
      <c r="GD737">
        <v>1.6473037466441287</v>
      </c>
      <c r="GE737">
        <v>2.0211600155882352</v>
      </c>
      <c r="GF737">
        <v>1.8933086292330903</v>
      </c>
      <c r="GG737">
        <v>1.974125117646804</v>
      </c>
      <c r="GH737">
        <v>5.4018089099105993</v>
      </c>
      <c r="GI737">
        <v>6.0614054706310174</v>
      </c>
      <c r="GJ737"/>
      <c r="GK737">
        <v>18.634471735241295</v>
      </c>
      <c r="GL737">
        <v>14.686064051687376</v>
      </c>
      <c r="GM737">
        <v>7.9072293979455512</v>
      </c>
      <c r="GN737">
        <v>9.6656117692892423</v>
      </c>
      <c r="GO737">
        <v>6.3958175030452686</v>
      </c>
      <c r="GP737">
        <v>3.8695131461675576</v>
      </c>
      <c r="GQ737">
        <v>2.3177372158047973</v>
      </c>
      <c r="GR737">
        <v>2.7766492528418345</v>
      </c>
      <c r="GS737">
        <v>5.7594746216663317</v>
      </c>
      <c r="GT737">
        <v>8.2029460947406481</v>
      </c>
      <c r="GU737"/>
      <c r="GV737"/>
      <c r="GW737"/>
      <c r="GX737"/>
      <c r="GY737"/>
      <c r="GZ737"/>
      <c r="HA737"/>
      <c r="HB737"/>
      <c r="HC737"/>
    </row>
    <row r="738" spans="1:211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70.96353356734042</v>
      </c>
      <c r="AO738">
        <v>8.4865961964003507</v>
      </c>
      <c r="AP738">
        <v>88.491230438922983</v>
      </c>
      <c r="AQ738">
        <v>57.968583292056117</v>
      </c>
      <c r="AR738">
        <v>9.1033775329279614</v>
      </c>
      <c r="AS738">
        <v>57.206872064682507</v>
      </c>
      <c r="AT738" t="e">
        <v>#DIV/0!</v>
      </c>
      <c r="AU738" t="e">
        <v>#DIV/0!</v>
      </c>
      <c r="AV738"/>
      <c r="AW738"/>
      <c r="FY738" s="211">
        <v>733</v>
      </c>
      <c r="FZ738">
        <v>16.108913376616847</v>
      </c>
      <c r="GA738">
        <v>15.029959991647848</v>
      </c>
      <c r="GB738">
        <v>4.6695416748191274</v>
      </c>
      <c r="GC738">
        <v>2.7736882893176871</v>
      </c>
      <c r="GD738">
        <v>1.730997456601902</v>
      </c>
      <c r="GE738">
        <v>2.0925342449452806</v>
      </c>
      <c r="GF738">
        <v>1.7999008971784418</v>
      </c>
      <c r="GG738">
        <v>1.8451593324501812</v>
      </c>
      <c r="GH738">
        <v>6.7786309036682564</v>
      </c>
      <c r="GI738">
        <v>5.9201882562892481</v>
      </c>
      <c r="GJ738"/>
      <c r="GK738">
        <v>16.162812146497913</v>
      </c>
      <c r="GL738">
        <v>12.73487231872692</v>
      </c>
      <c r="GM738">
        <v>7.7355330650976448</v>
      </c>
      <c r="GN738">
        <v>8.2594708413109057</v>
      </c>
      <c r="GO738">
        <v>6.7100892902650457</v>
      </c>
      <c r="GP738">
        <v>4.0061591893628492</v>
      </c>
      <c r="GQ738">
        <v>2.2055907809983895</v>
      </c>
      <c r="GR738">
        <v>2.5967944847020932</v>
      </c>
      <c r="GS738">
        <v>7.2282340345888452</v>
      </c>
      <c r="GT738">
        <v>8.0084518634895687</v>
      </c>
      <c r="GU738"/>
      <c r="GV738"/>
      <c r="GW738"/>
      <c r="GX738"/>
      <c r="GY738"/>
      <c r="GZ738"/>
      <c r="HA738"/>
      <c r="HB738"/>
      <c r="HC738"/>
    </row>
    <row r="739" spans="1:211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64.557598756051348</v>
      </c>
      <c r="AO739">
        <v>7.1801936318617363</v>
      </c>
      <c r="AP739">
        <v>28.44454479506766</v>
      </c>
      <c r="AQ739">
        <v>48.949691200977753</v>
      </c>
      <c r="AR739">
        <v>7.4182317885206688</v>
      </c>
      <c r="AS739">
        <v>46.233777584709522</v>
      </c>
      <c r="AT739" t="e">
        <v>#DIV/0!</v>
      </c>
      <c r="AU739" t="e">
        <v>#DIV/0!</v>
      </c>
      <c r="AV739"/>
      <c r="AW739"/>
      <c r="FY739" s="211">
        <v>734</v>
      </c>
      <c r="FZ739">
        <v>12.305751277621686</v>
      </c>
      <c r="GA739">
        <v>11.324458448497051</v>
      </c>
      <c r="GB739">
        <v>6.7115949084297988</v>
      </c>
      <c r="GC739">
        <v>3.0956906044876007</v>
      </c>
      <c r="GD739">
        <v>1.3462585355396406</v>
      </c>
      <c r="GE739">
        <v>1.8170627439368772</v>
      </c>
      <c r="GF739">
        <v>2.4787996037537718</v>
      </c>
      <c r="GG739">
        <v>2.8095226689326482</v>
      </c>
      <c r="GH739">
        <v>6.1052391762034839</v>
      </c>
      <c r="GI739">
        <v>5.659930769245471</v>
      </c>
      <c r="GJ739"/>
      <c r="GK739">
        <v>12.35733991844741</v>
      </c>
      <c r="GL739">
        <v>9.5958097912143341</v>
      </c>
      <c r="GM739">
        <v>11.233566265287561</v>
      </c>
      <c r="GN739">
        <v>9.3938239520655564</v>
      </c>
      <c r="GO739">
        <v>5.2190893929206439</v>
      </c>
      <c r="GP739">
        <v>3.4787686877076416</v>
      </c>
      <c r="GQ739">
        <v>3.0328803293551672</v>
      </c>
      <c r="GR739">
        <v>3.9507044034292411</v>
      </c>
      <c r="GS739">
        <v>6.5088620776346326</v>
      </c>
      <c r="GT739">
        <v>7.6703475967290835</v>
      </c>
      <c r="GU739"/>
      <c r="GV739"/>
      <c r="GW739"/>
      <c r="GX739"/>
      <c r="GY739"/>
      <c r="GZ739"/>
      <c r="HA739"/>
      <c r="HB739"/>
      <c r="HC739"/>
    </row>
    <row r="740" spans="1:211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40.659175685875951</v>
      </c>
      <c r="AO740">
        <v>4.9763962474055843</v>
      </c>
      <c r="AP740">
        <v>18.370734055986706</v>
      </c>
      <c r="AQ740">
        <v>35.045048865013577</v>
      </c>
      <c r="AR740">
        <v>5.1328449102718068</v>
      </c>
      <c r="AS740">
        <v>33.011107346505796</v>
      </c>
      <c r="AT740" t="e">
        <v>#DIV/0!</v>
      </c>
      <c r="AU740" t="e">
        <v>#DIV/0!</v>
      </c>
      <c r="AV740"/>
      <c r="AW740"/>
      <c r="FY740" s="211">
        <v>735</v>
      </c>
      <c r="FZ740">
        <v>15.724267047978492</v>
      </c>
      <c r="GA740">
        <v>14.403933293138829</v>
      </c>
      <c r="GB740">
        <v>7.7845493833881214</v>
      </c>
      <c r="GC740">
        <v>4.1314923519092144</v>
      </c>
      <c r="GD740">
        <v>1.7401639775155233</v>
      </c>
      <c r="GE740">
        <v>2.6314845719054141</v>
      </c>
      <c r="GF740">
        <v>1.822456380763134</v>
      </c>
      <c r="GG740">
        <v>1.5387173901607791</v>
      </c>
      <c r="GH740">
        <v>2.8720333973878232</v>
      </c>
      <c r="GI740">
        <v>6.0262378927277922</v>
      </c>
      <c r="GJ740"/>
      <c r="GK740">
        <v>15.78065079983374</v>
      </c>
      <c r="GL740">
        <v>12.206999411508741</v>
      </c>
      <c r="GM740">
        <v>13.003948372571067</v>
      </c>
      <c r="GN740">
        <v>12.463898053546231</v>
      </c>
      <c r="GO740">
        <v>6.7456305416493203</v>
      </c>
      <c r="GP740">
        <v>5.0379802026518865</v>
      </c>
      <c r="GQ740">
        <v>2.2332301731078905</v>
      </c>
      <c r="GR740">
        <v>2.165521839774557</v>
      </c>
      <c r="GS740">
        <v>3.0630210810317191</v>
      </c>
      <c r="GT740">
        <v>8.1652961936387491</v>
      </c>
      <c r="GU740"/>
      <c r="GV740"/>
      <c r="GW740"/>
      <c r="GX740"/>
      <c r="GY740"/>
      <c r="GZ740"/>
      <c r="HA740"/>
      <c r="HB740"/>
      <c r="HC740"/>
    </row>
    <row r="741" spans="1:211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61.510659583768721</v>
      </c>
      <c r="AO741">
        <v>7.2325354546246086</v>
      </c>
      <c r="AP741">
        <v>3.4088702590732849</v>
      </c>
      <c r="AQ741">
        <v>49.132840156067111</v>
      </c>
      <c r="AR741">
        <v>7.5880004671202155</v>
      </c>
      <c r="AS741">
        <v>46.102647931985189</v>
      </c>
      <c r="AT741">
        <v>6.0459610080387494</v>
      </c>
      <c r="AU741">
        <v>5.3162586469709687</v>
      </c>
      <c r="AV741"/>
      <c r="AW741"/>
      <c r="FY741" s="211">
        <v>736</v>
      </c>
      <c r="FZ741">
        <v>10.935994045671794</v>
      </c>
      <c r="GA741">
        <v>10.328652171133198</v>
      </c>
      <c r="GB741">
        <v>6.5862827519960083</v>
      </c>
      <c r="GC741">
        <v>3.4166153016733154</v>
      </c>
      <c r="GD741">
        <v>2.0003580310609772</v>
      </c>
      <c r="GE741">
        <v>3.1013477411911277</v>
      </c>
      <c r="GF741">
        <v>0.78076673947010866</v>
      </c>
      <c r="GG741">
        <v>0.90968051734601452</v>
      </c>
      <c r="GH741">
        <v>4.1719945353471823</v>
      </c>
      <c r="GI741">
        <v>5.1818388660627397</v>
      </c>
      <c r="GJ741"/>
      <c r="GK741">
        <v>10.974110835287886</v>
      </c>
      <c r="GL741">
        <v>8.7511718074184053</v>
      </c>
      <c r="GM741">
        <v>10.904890970110602</v>
      </c>
      <c r="GN741">
        <v>10.163137686236182</v>
      </c>
      <c r="GO741">
        <v>7.7537339849575586</v>
      </c>
      <c r="GP741">
        <v>5.9375337740804568</v>
      </c>
      <c r="GQ741">
        <v>0.95674818840579701</v>
      </c>
      <c r="GR741">
        <v>1.2802435587761674</v>
      </c>
      <c r="GS741">
        <v>4.4493045959502009</v>
      </c>
      <c r="GT741">
        <v>7.0077577149424091</v>
      </c>
      <c r="GU741"/>
      <c r="GV741"/>
      <c r="GW741"/>
      <c r="GX741"/>
      <c r="GY741"/>
      <c r="GZ741"/>
      <c r="HA741"/>
      <c r="HB741"/>
      <c r="HC741"/>
    </row>
    <row r="742" spans="1:211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57.633995090376438</v>
      </c>
      <c r="AO742">
        <v>7.1470053923546502</v>
      </c>
      <c r="AP742">
        <v>4.0075842610427337</v>
      </c>
      <c r="AQ742">
        <v>50.609290133697833</v>
      </c>
      <c r="AR742">
        <v>7.4474196362592577</v>
      </c>
      <c r="AS742">
        <v>46.255460081921029</v>
      </c>
      <c r="AT742">
        <v>5.9214265429964259</v>
      </c>
      <c r="AU742">
        <v>4.3670667392715874</v>
      </c>
      <c r="AV742"/>
      <c r="AW742"/>
      <c r="FY742" s="211">
        <v>737</v>
      </c>
      <c r="FZ742">
        <v>18.193758714940365</v>
      </c>
      <c r="GA742">
        <v>19.663429481587148</v>
      </c>
      <c r="GB742">
        <v>8.2508083007479307</v>
      </c>
      <c r="GC742">
        <v>3.1419537630883903</v>
      </c>
      <c r="GD742">
        <v>0.55451118225337248</v>
      </c>
      <c r="GE742">
        <v>0.53049067500000002</v>
      </c>
      <c r="GF742">
        <v>1.7220911520312501</v>
      </c>
      <c r="GG742">
        <v>2.151601274739583</v>
      </c>
      <c r="GH742">
        <v>6.0087309678587104</v>
      </c>
      <c r="GI742">
        <v>6.2971982124264478</v>
      </c>
      <c r="GJ742"/>
      <c r="GK742">
        <v>18.253824804273357</v>
      </c>
      <c r="GL742">
        <v>16.659544004949339</v>
      </c>
      <c r="GM742">
        <v>13.661220408126407</v>
      </c>
      <c r="GN742">
        <v>9.3545377347999068</v>
      </c>
      <c r="GO742">
        <v>2.1587448330681873</v>
      </c>
      <c r="GP742">
        <v>1.015625</v>
      </c>
      <c r="GQ742">
        <v>2.1102430555555554</v>
      </c>
      <c r="GR742">
        <v>3.0280671296296289</v>
      </c>
      <c r="GS742">
        <v>6.4050023813611006</v>
      </c>
      <c r="GT742">
        <v>8.5178070964769219</v>
      </c>
      <c r="GU742"/>
      <c r="GV742"/>
      <c r="GW742"/>
      <c r="GX742"/>
      <c r="GY742"/>
      <c r="GZ742"/>
      <c r="HA742"/>
      <c r="HB742"/>
      <c r="HC742"/>
    </row>
    <row r="743" spans="1:211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58.931508513874498</v>
      </c>
      <c r="AO743">
        <v>7.3032614727548095</v>
      </c>
      <c r="AP743">
        <v>48.936845909163267</v>
      </c>
      <c r="AQ743">
        <v>55.834189855387976</v>
      </c>
      <c r="AR743">
        <v>7.61340651495673</v>
      </c>
      <c r="AS743">
        <v>49.976611168927185</v>
      </c>
      <c r="AT743" t="e">
        <v>#DIV/0!</v>
      </c>
      <c r="AU743" t="e">
        <v>#DIV/0!</v>
      </c>
      <c r="AV743"/>
      <c r="AW743"/>
      <c r="FY743" s="211">
        <v>738</v>
      </c>
      <c r="FZ743">
        <v>11.425543011413955</v>
      </c>
      <c r="GA743">
        <v>11.070284591148077</v>
      </c>
      <c r="GB743">
        <v>6.1981373924475438</v>
      </c>
      <c r="GC743">
        <v>3.5563632744584401</v>
      </c>
      <c r="GD743">
        <v>1.882563620585221</v>
      </c>
      <c r="GE743">
        <v>2.2060892389368774</v>
      </c>
      <c r="GF743">
        <v>1.2627066875430251</v>
      </c>
      <c r="GG743">
        <v>1.003228398856431</v>
      </c>
      <c r="GH743">
        <v>6.4318237883116991</v>
      </c>
      <c r="GI743">
        <v>5.5441688656191479</v>
      </c>
      <c r="GJ743"/>
      <c r="GK743">
        <v>11.459451887973586</v>
      </c>
      <c r="GL743">
        <v>9.3798920455136425</v>
      </c>
      <c r="GM743">
        <v>10.381697932823462</v>
      </c>
      <c r="GN743">
        <v>10.774243694047454</v>
      </c>
      <c r="GO743">
        <v>7.3094762770164898</v>
      </c>
      <c r="GP743">
        <v>4.2235603543743085</v>
      </c>
      <c r="GQ743">
        <v>1.5473153180354264</v>
      </c>
      <c r="GR743">
        <v>1.4118986513687599</v>
      </c>
      <c r="GS743">
        <v>6.8569578741536192</v>
      </c>
      <c r="GT743">
        <v>7.5109798580005167</v>
      </c>
      <c r="GU743"/>
      <c r="GV743"/>
      <c r="GW743"/>
      <c r="GX743"/>
      <c r="GY743"/>
      <c r="GZ743"/>
      <c r="HA743"/>
      <c r="HB743"/>
      <c r="HC743"/>
    </row>
    <row r="744" spans="1:211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66.055772605649096</v>
      </c>
      <c r="AO744">
        <v>8.0553522259884112</v>
      </c>
      <c r="AP744">
        <v>5.0326943050216579</v>
      </c>
      <c r="AQ744">
        <v>60.968708340260029</v>
      </c>
      <c r="AR744">
        <v>8.2520036630611848</v>
      </c>
      <c r="AS744">
        <v>50.60073375826245</v>
      </c>
      <c r="AT744">
        <v>6.5710576948760222</v>
      </c>
      <c r="AU744">
        <v>4.4103138445848868</v>
      </c>
      <c r="AV744"/>
      <c r="AW744"/>
      <c r="FY744" s="211">
        <v>739</v>
      </c>
      <c r="FZ744">
        <v>10.468666685272538</v>
      </c>
      <c r="GA744">
        <v>10.525812842193869</v>
      </c>
      <c r="GB744">
        <v>5.8556230271025029</v>
      </c>
      <c r="GC744">
        <v>3.0809767469544154</v>
      </c>
      <c r="GD744">
        <v>1.7689957916164243</v>
      </c>
      <c r="GE744">
        <v>1.9847911776196987</v>
      </c>
      <c r="GF744">
        <v>2.2904813354815796</v>
      </c>
      <c r="GG744">
        <v>2.367581559138717</v>
      </c>
      <c r="GH744">
        <v>5.8181004612710572</v>
      </c>
      <c r="GI744">
        <v>5.3356969417048346</v>
      </c>
      <c r="GJ744"/>
      <c r="GK744">
        <v>10.516043433838643</v>
      </c>
      <c r="GL744">
        <v>8.9170643856388221</v>
      </c>
      <c r="GM744">
        <v>9.6970074623113156</v>
      </c>
      <c r="GN744">
        <v>9.1910431065034075</v>
      </c>
      <c r="GO744">
        <v>6.8786297769587756</v>
      </c>
      <c r="GP744">
        <v>3.7998849645566466</v>
      </c>
      <c r="GQ744">
        <v>2.8021159372456665</v>
      </c>
      <c r="GR744">
        <v>3.3287363076160368</v>
      </c>
      <c r="GS744">
        <v>6.2015747224054323</v>
      </c>
      <c r="GT744">
        <v>7.2190742665519672</v>
      </c>
      <c r="GU744"/>
      <c r="GV744"/>
      <c r="GW744"/>
      <c r="GX744"/>
      <c r="GY744"/>
      <c r="GZ744"/>
      <c r="HA744"/>
      <c r="HB744"/>
      <c r="HC744"/>
    </row>
    <row r="745" spans="1:211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60.124154989245866</v>
      </c>
      <c r="AO745">
        <v>7.3621684973082795</v>
      </c>
      <c r="AP745">
        <v>33.562020168403023</v>
      </c>
      <c r="AQ745">
        <v>54.41028578818888</v>
      </c>
      <c r="AR745">
        <v>7.4616102522292618</v>
      </c>
      <c r="AS745">
        <v>44.772883805917161</v>
      </c>
      <c r="AT745" t="e">
        <v>#DIV/0!</v>
      </c>
      <c r="AU745" t="e">
        <v>#DIV/0!</v>
      </c>
      <c r="AV745"/>
      <c r="AW745"/>
      <c r="FY745" s="211">
        <v>740</v>
      </c>
      <c r="FZ745">
        <v>12.281546081062025</v>
      </c>
      <c r="GA745">
        <v>10.862953038038729</v>
      </c>
      <c r="GB745">
        <v>5.8661413250539152</v>
      </c>
      <c r="GC745">
        <v>2.9204398573843307</v>
      </c>
      <c r="GD745">
        <v>2.1834730998174714</v>
      </c>
      <c r="GE745">
        <v>3.1013477411911281</v>
      </c>
      <c r="GF745">
        <v>0.53719420963541664</v>
      </c>
      <c r="GG745">
        <v>0.84193093359375004</v>
      </c>
      <c r="GH745">
        <v>5.9333223601799006</v>
      </c>
      <c r="GI745">
        <v>5.5459572331776075</v>
      </c>
      <c r="GJ745"/>
      <c r="GK745">
        <v>12.32591102120843</v>
      </c>
      <c r="GL745">
        <v>9.2033289956767774</v>
      </c>
      <c r="GM745">
        <v>9.7507663923863053</v>
      </c>
      <c r="GN745">
        <v>8.75018853114838</v>
      </c>
      <c r="GO745">
        <v>8.4659563931280761</v>
      </c>
      <c r="GP745">
        <v>5.9375337740804577</v>
      </c>
      <c r="GQ745">
        <v>0.65827546296296291</v>
      </c>
      <c r="GR745">
        <v>1.1848958333333333</v>
      </c>
      <c r="GS745">
        <v>6.3280954711094708</v>
      </c>
      <c r="GT745">
        <v>7.5058009481590497</v>
      </c>
      <c r="GU745"/>
      <c r="GV745"/>
      <c r="GW745"/>
      <c r="GX745"/>
      <c r="GY745"/>
      <c r="GZ745"/>
      <c r="HA745"/>
      <c r="HB745"/>
      <c r="HC745"/>
    </row>
    <row r="746" spans="1:211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60.681231269273255</v>
      </c>
      <c r="AO746">
        <v>7.8005631791023688</v>
      </c>
      <c r="AP746">
        <v>3.0730812720412715</v>
      </c>
      <c r="AQ746">
        <v>57.000591002228731</v>
      </c>
      <c r="AR746">
        <v>8.3257800177363155</v>
      </c>
      <c r="AS746">
        <v>51.936339522729767</v>
      </c>
      <c r="AT746">
        <v>6.6440495460177322</v>
      </c>
      <c r="AU746">
        <v>1.0449932581163885</v>
      </c>
      <c r="AV746"/>
      <c r="AW746"/>
      <c r="FY746" s="211">
        <v>741</v>
      </c>
      <c r="FZ746">
        <v>7.5033455811826943</v>
      </c>
      <c r="GA746">
        <v>8.4233731389828215</v>
      </c>
      <c r="GB746">
        <v>3.9631358246773689</v>
      </c>
      <c r="GC746">
        <v>1.8094538341627182</v>
      </c>
      <c r="GD746">
        <v>1.9549116401949196</v>
      </c>
      <c r="GE746">
        <v>2.765491892913817</v>
      </c>
      <c r="GF746">
        <v>1.7446466356159418</v>
      </c>
      <c r="GG746">
        <v>1.4709678064085145</v>
      </c>
      <c r="GH746">
        <v>5.2979005625762401</v>
      </c>
      <c r="GI746">
        <v>4.3588402116676574</v>
      </c>
      <c r="GJ746"/>
      <c r="GK746">
        <v>7.5291835567396257</v>
      </c>
      <c r="GL746">
        <v>7.1368873850474488</v>
      </c>
      <c r="GM746">
        <v>6.561515481277377</v>
      </c>
      <c r="GN746">
        <v>5.4059093462761982</v>
      </c>
      <c r="GO746">
        <v>7.6002233829247912</v>
      </c>
      <c r="GP746">
        <v>5.2945373709737602</v>
      </c>
      <c r="GQ746">
        <v>2.137882447665056</v>
      </c>
      <c r="GR746">
        <v>2.0701741143317229</v>
      </c>
      <c r="GS746">
        <v>5.6492327734145178</v>
      </c>
      <c r="GT746">
        <v>5.8956075284042742</v>
      </c>
      <c r="GU746"/>
      <c r="GV746"/>
      <c r="GW746"/>
      <c r="GX746"/>
      <c r="GY746"/>
      <c r="GZ746"/>
      <c r="HA746"/>
      <c r="HB746"/>
      <c r="HC746"/>
    </row>
    <row r="747" spans="1:211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61.212111112360859</v>
      </c>
      <c r="AO747">
        <v>7.5538914301760602</v>
      </c>
      <c r="AP747">
        <v>4.64534767182107</v>
      </c>
      <c r="AQ747">
        <v>51.481469560190149</v>
      </c>
      <c r="AR747">
        <v>7.8999492086351459</v>
      </c>
      <c r="AS747">
        <v>48.274339135950058</v>
      </c>
      <c r="AT747">
        <v>6.2733721075003492</v>
      </c>
      <c r="AU747">
        <v>5.0124497348694801</v>
      </c>
      <c r="AV747"/>
      <c r="AW747"/>
      <c r="FY747" s="211">
        <v>742</v>
      </c>
      <c r="FZ747">
        <v>10.322565593838263</v>
      </c>
      <c r="GA747">
        <v>10.602075637820107</v>
      </c>
      <c r="GB747">
        <v>4.6977826357900723</v>
      </c>
      <c r="GC747">
        <v>2.1103988060347922</v>
      </c>
      <c r="GD747">
        <v>1.5629808563025211</v>
      </c>
      <c r="GE747">
        <v>2.099348964579832</v>
      </c>
      <c r="GF747">
        <v>1.822456380763134</v>
      </c>
      <c r="GG747">
        <v>1.9129089162024455</v>
      </c>
      <c r="GH747">
        <v>3.4875813332695933</v>
      </c>
      <c r="GI747">
        <v>4.4600846172019581</v>
      </c>
      <c r="GJ747"/>
      <c r="GK747">
        <v>10.3663506139132</v>
      </c>
      <c r="GL747">
        <v>8.9813410876763751</v>
      </c>
      <c r="GM747">
        <v>7.8155990871775609</v>
      </c>
      <c r="GN747">
        <v>6.339520871348479</v>
      </c>
      <c r="GO747">
        <v>6.0601285968933034</v>
      </c>
      <c r="GP747">
        <v>4.0192059778456839</v>
      </c>
      <c r="GQ747">
        <v>2.2332301731078905</v>
      </c>
      <c r="GR747">
        <v>2.6921422101449273</v>
      </c>
      <c r="GS747">
        <v>3.716331249593714</v>
      </c>
      <c r="GT747">
        <v>6.0383279441371345</v>
      </c>
      <c r="GU747"/>
      <c r="GV747"/>
      <c r="GW747"/>
      <c r="GX747"/>
      <c r="GY747"/>
      <c r="GZ747"/>
      <c r="HA747"/>
      <c r="HB747"/>
      <c r="HC747"/>
    </row>
    <row r="748" spans="1:211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67.475325793535475</v>
      </c>
      <c r="AO748">
        <v>8.0215514788429907</v>
      </c>
      <c r="AP748">
        <v>3.847105503720591</v>
      </c>
      <c r="AQ748">
        <v>62.887115881444551</v>
      </c>
      <c r="AR748">
        <v>8.2029460947406498</v>
      </c>
      <c r="AS748">
        <v>50.428397439449469</v>
      </c>
      <c r="AT748">
        <v>6.5764772220609524</v>
      </c>
      <c r="AU748">
        <v>-3.7840923540008173</v>
      </c>
      <c r="AV748"/>
      <c r="AW748"/>
      <c r="FY748" s="211">
        <v>743</v>
      </c>
      <c r="FZ748">
        <v>16.198698157593078</v>
      </c>
      <c r="GA748">
        <v>12.478754263067188</v>
      </c>
      <c r="GB748">
        <v>5.2436089743937568</v>
      </c>
      <c r="GC748">
        <v>2.7357423022298231</v>
      </c>
      <c r="GD748">
        <v>1.7658034163305838</v>
      </c>
      <c r="GE748">
        <v>2.348556211905414</v>
      </c>
      <c r="GF748">
        <v>5.5254261562500004E-2</v>
      </c>
      <c r="GG748">
        <v>0.37419152604166667</v>
      </c>
      <c r="GH748">
        <v>4.3889864868836677</v>
      </c>
      <c r="GI748">
        <v>5.4015612423032682</v>
      </c>
      <c r="GJ748"/>
      <c r="GK748">
        <v>16.255338160372521</v>
      </c>
      <c r="GL748">
        <v>10.574650657643378</v>
      </c>
      <c r="GM748">
        <v>8.6854285528241526</v>
      </c>
      <c r="GN748">
        <v>8.1517968651764665</v>
      </c>
      <c r="GO748">
        <v>6.8545308599806942</v>
      </c>
      <c r="GP748">
        <v>4.4963135359852195</v>
      </c>
      <c r="GQ748">
        <v>6.7708333333333329E-2</v>
      </c>
      <c r="GR748">
        <v>0.52662037037037035</v>
      </c>
      <c r="GS748">
        <v>4.6804784619770503</v>
      </c>
      <c r="GT748">
        <v>7.3086968736975502</v>
      </c>
      <c r="GU748"/>
      <c r="GV748"/>
      <c r="GW748"/>
      <c r="GX748"/>
      <c r="GY748"/>
      <c r="GZ748"/>
      <c r="HA748"/>
      <c r="HB748"/>
      <c r="HC748"/>
    </row>
    <row r="749" spans="1:211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64.210397942810474</v>
      </c>
      <c r="AO749">
        <v>7.5648008015040187</v>
      </c>
      <c r="AP749">
        <v>2.3232779811302176</v>
      </c>
      <c r="AQ749">
        <v>58.749514423534826</v>
      </c>
      <c r="AR749">
        <v>8.0084518634895687</v>
      </c>
      <c r="AS749">
        <v>50.111497530376113</v>
      </c>
      <c r="AT749">
        <v>6.4584272754783436</v>
      </c>
      <c r="AU749">
        <v>-1.0152625675713161</v>
      </c>
      <c r="AV749"/>
      <c r="AW749"/>
      <c r="FY749" s="211">
        <v>744</v>
      </c>
      <c r="FZ749">
        <v>13.881671898033211</v>
      </c>
      <c r="GA749">
        <v>11.887440209873361</v>
      </c>
      <c r="GB749">
        <v>5.7945954631081138</v>
      </c>
      <c r="GC749">
        <v>3.3465392487227863</v>
      </c>
      <c r="GD749">
        <v>2.4815245806953472</v>
      </c>
      <c r="GE749">
        <v>3.8651291525649798</v>
      </c>
      <c r="GF749">
        <v>1.2074524259805255</v>
      </c>
      <c r="GG749">
        <v>1.7516114509397644</v>
      </c>
      <c r="GH749">
        <v>5.9143373952493441</v>
      </c>
      <c r="GI749">
        <v>6.0532724930938633</v>
      </c>
      <c r="GJ749"/>
      <c r="GK749">
        <v>13.914435714048352</v>
      </c>
      <c r="GL749">
        <v>10.072468301904731</v>
      </c>
      <c r="GM749">
        <v>9.597602084022844</v>
      </c>
      <c r="GN749">
        <v>9.9609121133516787</v>
      </c>
      <c r="GO749">
        <v>9.6208440257991672</v>
      </c>
      <c r="GP749">
        <v>7.3997941539194958</v>
      </c>
      <c r="GQ749">
        <v>1.4796069847020934</v>
      </c>
      <c r="GR749">
        <v>2.4651393921095006</v>
      </c>
      <c r="GS749">
        <v>6.3078408414798401</v>
      </c>
      <c r="GT749">
        <v>8.1840659300104601</v>
      </c>
      <c r="GU749"/>
      <c r="GV749"/>
      <c r="GW749"/>
      <c r="GX749"/>
      <c r="GY749"/>
      <c r="GZ749"/>
      <c r="HA749"/>
      <c r="HB749"/>
      <c r="HC749"/>
    </row>
    <row r="750" spans="1:211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57.563016909382711</v>
      </c>
      <c r="AO750">
        <v>7.2441192414791287</v>
      </c>
      <c r="AP750">
        <v>7.0653960365410846</v>
      </c>
      <c r="AQ750">
        <v>53.654308736648034</v>
      </c>
      <c r="AR750">
        <v>7.6703475967290853</v>
      </c>
      <c r="AS750">
        <v>46.2837068966491</v>
      </c>
      <c r="AT750">
        <v>6.0762172504115277</v>
      </c>
      <c r="AU750">
        <v>3.1697345509961394</v>
      </c>
      <c r="AV750"/>
      <c r="AW750"/>
      <c r="FY750" s="211">
        <v>745</v>
      </c>
      <c r="FZ750">
        <v>10.389572660648273</v>
      </c>
      <c r="GA750">
        <v>7.8289071071365814</v>
      </c>
      <c r="GB750">
        <v>6.2110482656872072</v>
      </c>
      <c r="GC750">
        <v>3.4902950742769296</v>
      </c>
      <c r="GD750">
        <v>1.7895105462501137</v>
      </c>
      <c r="GE750">
        <v>2.7301258479138166</v>
      </c>
      <c r="GF750">
        <v>3.7935747551434162</v>
      </c>
      <c r="GG750">
        <v>3.2064005655181811</v>
      </c>
      <c r="GH750">
        <v>3.21997907499828</v>
      </c>
      <c r="GI750">
        <v>5.2881018229196251</v>
      </c>
      <c r="GJ750"/>
      <c r="GK750">
        <v>10.425098512219371</v>
      </c>
      <c r="GL750">
        <v>6.6337965392581157</v>
      </c>
      <c r="GM750">
        <v>10.323115540441577</v>
      </c>
      <c r="GN750">
        <v>10.462161137159415</v>
      </c>
      <c r="GO750">
        <v>6.9574272933507952</v>
      </c>
      <c r="GP750">
        <v>5.2268290376404254</v>
      </c>
      <c r="GQ750">
        <v>4.6463151143555219</v>
      </c>
      <c r="GR750">
        <v>4.5108984476888558</v>
      </c>
      <c r="GS750">
        <v>3.4322045151041527</v>
      </c>
      <c r="GT750">
        <v>7.1568321950942835</v>
      </c>
      <c r="GU750"/>
      <c r="GV750"/>
      <c r="GW750"/>
      <c r="GX750"/>
      <c r="GY750"/>
      <c r="GZ750"/>
      <c r="HA750"/>
      <c r="HB750"/>
      <c r="HC750"/>
    </row>
    <row r="751" spans="1:211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65.664760342695928</v>
      </c>
      <c r="AO751">
        <v>8.0866176669313905</v>
      </c>
      <c r="AP751">
        <v>39.431852100951595</v>
      </c>
      <c r="AQ751">
        <v>58.67533568687513</v>
      </c>
      <c r="AR751">
        <v>8.1652961936387474</v>
      </c>
      <c r="AS751">
        <v>48.946369868508334</v>
      </c>
      <c r="AT751" t="e">
        <v>#DIV/0!</v>
      </c>
      <c r="AU751" t="e">
        <v>#DIV/0!</v>
      </c>
      <c r="AV751"/>
      <c r="AW751"/>
      <c r="FY751" s="211">
        <v>746</v>
      </c>
      <c r="FZ751">
        <v>7.2919678945096313</v>
      </c>
      <c r="GA751">
        <v>6.8535183637903732</v>
      </c>
      <c r="GB751">
        <v>4.6261032295210063</v>
      </c>
      <c r="GC751">
        <v>2.3387915967031985</v>
      </c>
      <c r="GD751">
        <v>2.3591670216285752</v>
      </c>
      <c r="GE751">
        <v>3.7674906695251131</v>
      </c>
      <c r="GF751">
        <v>3.5135317483695623</v>
      </c>
      <c r="GG751">
        <v>3.0578346333978397</v>
      </c>
      <c r="GH751">
        <v>5.1492544847897541</v>
      </c>
      <c r="GI751">
        <v>5.0175947629094182</v>
      </c>
      <c r="GJ751"/>
      <c r="GK751">
        <v>7.3255203593502607</v>
      </c>
      <c r="GL751">
        <v>5.8057363819349934</v>
      </c>
      <c r="GM751">
        <v>7.6641997432322793</v>
      </c>
      <c r="GN751">
        <v>6.9776879170371036</v>
      </c>
      <c r="GO751">
        <v>9.1566613188732422</v>
      </c>
      <c r="GP751">
        <v>7.212865167208534</v>
      </c>
      <c r="GQ751">
        <v>4.2985216313113339</v>
      </c>
      <c r="GR751">
        <v>4.2985216313113339</v>
      </c>
      <c r="GS751">
        <v>5.4909755740543345</v>
      </c>
      <c r="GT751">
        <v>6.7871757253642899</v>
      </c>
      <c r="GU751"/>
      <c r="GV751"/>
      <c r="GW751"/>
      <c r="GX751"/>
      <c r="GY751"/>
      <c r="GZ751"/>
      <c r="HA751"/>
      <c r="HB751"/>
      <c r="HC751"/>
    </row>
    <row r="752" spans="1:211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60.459401290191693</v>
      </c>
      <c r="AO752">
        <v>6.8178633116165672</v>
      </c>
      <c r="AP752">
        <v>3.0126198157300861</v>
      </c>
      <c r="AQ752">
        <v>47.413530700952464</v>
      </c>
      <c r="AR752">
        <v>7.0077577149424082</v>
      </c>
      <c r="AS752">
        <v>46.2177180937096</v>
      </c>
      <c r="AT752">
        <v>5.631546555166743</v>
      </c>
      <c r="AU752">
        <v>4.9621516436389621</v>
      </c>
      <c r="AV752"/>
      <c r="AW752"/>
      <c r="FY752" s="211">
        <v>747</v>
      </c>
      <c r="FZ752">
        <v>12.992788131249473</v>
      </c>
      <c r="GA752">
        <v>8.8120057233461555</v>
      </c>
      <c r="GB752">
        <v>4.2653548125679439</v>
      </c>
      <c r="GC752">
        <v>3.0599190757698782</v>
      </c>
      <c r="GD752">
        <v>1.6896051618261985</v>
      </c>
      <c r="GE752">
        <v>2.0918921055882356</v>
      </c>
      <c r="GF752">
        <v>2.3682910806287722</v>
      </c>
      <c r="GG752">
        <v>2.0611396168493146</v>
      </c>
      <c r="GH752">
        <v>4.0557205047897558</v>
      </c>
      <c r="GI752">
        <v>5.0183770142586965</v>
      </c>
      <c r="GJ752"/>
      <c r="GK752">
        <v>13.035000967270467</v>
      </c>
      <c r="GL752">
        <v>7.4673014228622616</v>
      </c>
      <c r="GM752">
        <v>7.1779566846630569</v>
      </c>
      <c r="GN752">
        <v>9.3076555262863536</v>
      </c>
      <c r="GO752">
        <v>6.5802981578534441</v>
      </c>
      <c r="GP752">
        <v>4.0049298128342246</v>
      </c>
      <c r="GQ752">
        <v>2.8974636626885006</v>
      </c>
      <c r="GR752">
        <v>2.8974636626885006</v>
      </c>
      <c r="GS752">
        <v>4.3243089073876684</v>
      </c>
      <c r="GT752">
        <v>6.8030056759726278</v>
      </c>
      <c r="GU752"/>
      <c r="GV752"/>
      <c r="GW752"/>
      <c r="GX752"/>
      <c r="GY752"/>
      <c r="GZ752"/>
      <c r="HA752"/>
      <c r="HB752"/>
      <c r="HC752"/>
    </row>
    <row r="753" spans="1:211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73.658818139183538</v>
      </c>
      <c r="AO753">
        <v>8.1164616448240388</v>
      </c>
      <c r="AP753">
        <v>2.2140244287376278</v>
      </c>
      <c r="AQ753">
        <v>66.514573724673198</v>
      </c>
      <c r="AR753">
        <v>8.5178070964769219</v>
      </c>
      <c r="AS753">
        <v>52.814333233069995</v>
      </c>
      <c r="AT753">
        <v>6.7999850502584138</v>
      </c>
      <c r="AU753">
        <v>0.53285832771760688</v>
      </c>
      <c r="AV753"/>
      <c r="AW753"/>
      <c r="FY753" s="211">
        <v>748</v>
      </c>
      <c r="FZ753">
        <v>14.549440129453492</v>
      </c>
      <c r="GA753">
        <v>10.826918702203209</v>
      </c>
      <c r="GB753">
        <v>5.380506989115613</v>
      </c>
      <c r="GC753">
        <v>4.003709019275516</v>
      </c>
      <c r="GD753">
        <v>2.1676504108288532</v>
      </c>
      <c r="GE753">
        <v>2.1454617332225916</v>
      </c>
      <c r="GF753">
        <v>3.4823357745546484</v>
      </c>
      <c r="GG753">
        <v>2.9354022305091227</v>
      </c>
      <c r="GH753">
        <v>3.8678321236112625</v>
      </c>
      <c r="GI753">
        <v>5.9635432813489562</v>
      </c>
      <c r="GJ753"/>
      <c r="GK753">
        <v>14.603400632480277</v>
      </c>
      <c r="GL753">
        <v>9.1745720609498864</v>
      </c>
      <c r="GM753">
        <v>8.9504241851324853</v>
      </c>
      <c r="GN753">
        <v>11.99796405877542</v>
      </c>
      <c r="GO753">
        <v>8.4243289763002469</v>
      </c>
      <c r="GP753">
        <v>4.1074889258028797</v>
      </c>
      <c r="GQ753">
        <v>4.2649242125841855</v>
      </c>
      <c r="GR753">
        <v>4.1295075459175186</v>
      </c>
      <c r="GS753">
        <v>4.124329833296315</v>
      </c>
      <c r="GT753">
        <v>8.0734815679587015</v>
      </c>
      <c r="GU753"/>
      <c r="GV753"/>
      <c r="GW753"/>
      <c r="GX753"/>
      <c r="GY753"/>
      <c r="GZ753"/>
      <c r="HA753"/>
      <c r="HB753"/>
      <c r="HC753"/>
    </row>
    <row r="754" spans="1:211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56.387566684029437</v>
      </c>
      <c r="AO754">
        <v>7.0855473893307259</v>
      </c>
      <c r="AP754">
        <v>84.44085239631022</v>
      </c>
      <c r="AQ754">
        <v>50.58090886932041</v>
      </c>
      <c r="AR754">
        <v>7.5109798580005167</v>
      </c>
      <c r="AS754">
        <v>46.541946468208586</v>
      </c>
      <c r="AT754" t="e">
        <v>#DIV/0!</v>
      </c>
      <c r="AU754" t="e">
        <v>#DIV/0!</v>
      </c>
      <c r="AV754"/>
      <c r="AW754"/>
      <c r="FY754" s="211">
        <v>749</v>
      </c>
      <c r="FZ754">
        <v>9.3388513618257001</v>
      </c>
      <c r="GA754">
        <v>5.8346759037278968</v>
      </c>
      <c r="GB754">
        <v>6.739935186600702</v>
      </c>
      <c r="GC754">
        <v>3.9964250788873827</v>
      </c>
      <c r="GD754">
        <v>1.2025025039792356</v>
      </c>
      <c r="GE754">
        <v>0.88579605732558131</v>
      </c>
      <c r="GF754">
        <v>2.8120775582095394</v>
      </c>
      <c r="GG754">
        <v>3.1482962912881081</v>
      </c>
      <c r="GH754">
        <v>4.9590242151207651</v>
      </c>
      <c r="GI754">
        <v>5.0174120823264188</v>
      </c>
      <c r="GJ754"/>
      <c r="GK754">
        <v>9.377360147124941</v>
      </c>
      <c r="GL754">
        <v>4.9440343459467586</v>
      </c>
      <c r="GM754">
        <v>11.15768821118656</v>
      </c>
      <c r="GN754">
        <v>11.888579460477896</v>
      </c>
      <c r="GO754">
        <v>4.6624498200442961</v>
      </c>
      <c r="GP754">
        <v>1.6958575581395348</v>
      </c>
      <c r="GQ754">
        <v>3.4435926908450547</v>
      </c>
      <c r="GR754">
        <v>4.4291250982524621</v>
      </c>
      <c r="GS754">
        <v>5.2863212024753627</v>
      </c>
      <c r="GT754">
        <v>6.7854824143352435</v>
      </c>
      <c r="GU754"/>
      <c r="GV754"/>
      <c r="GW754"/>
      <c r="GX754"/>
      <c r="GY754"/>
      <c r="GZ754"/>
      <c r="HA754"/>
      <c r="HB754"/>
      <c r="HC754"/>
    </row>
    <row r="755" spans="1:211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60.368281188358011</v>
      </c>
      <c r="AO755">
        <v>6.8551174363626712</v>
      </c>
      <c r="AP755">
        <v>36.768753100252319</v>
      </c>
      <c r="AQ755">
        <v>49.496726568355633</v>
      </c>
      <c r="AR755">
        <v>7.2190742665519689</v>
      </c>
      <c r="AS755">
        <v>43.20539363441376</v>
      </c>
      <c r="AT755" t="e">
        <v>#DIV/0!</v>
      </c>
      <c r="AU755" t="e">
        <v>#DIV/0!</v>
      </c>
      <c r="AV755"/>
      <c r="AW755"/>
      <c r="FY755" s="211">
        <v>750</v>
      </c>
      <c r="FZ755">
        <v>14.67045199156089</v>
      </c>
      <c r="GA755">
        <v>16.554664642582875</v>
      </c>
      <c r="GB755">
        <v>4.2692480651266056</v>
      </c>
      <c r="GC755">
        <v>1.9021331052110912</v>
      </c>
      <c r="GD755">
        <v>1.9949969792161115</v>
      </c>
      <c r="GE755">
        <v>3.5906604445251133</v>
      </c>
      <c r="GF755">
        <v>1.7446466356159418</v>
      </c>
      <c r="GG755">
        <v>1.8451593324501812</v>
      </c>
      <c r="GH755">
        <v>5.2366822469616299</v>
      </c>
      <c r="GI755">
        <v>5.5099749246096179</v>
      </c>
      <c r="GJ755"/>
      <c r="GK755">
        <v>14.704158844657336</v>
      </c>
      <c r="GL755">
        <v>14.028193914651812</v>
      </c>
      <c r="GM755">
        <v>7.1122811099678138</v>
      </c>
      <c r="GN755">
        <v>5.7246928238252153</v>
      </c>
      <c r="GO755">
        <v>7.7344358724215363</v>
      </c>
      <c r="GP755">
        <v>6.874323500541867</v>
      </c>
      <c r="GQ755">
        <v>2.137882447665056</v>
      </c>
      <c r="GR755">
        <v>2.5967944847020932</v>
      </c>
      <c r="GS755">
        <v>5.5850067202874154</v>
      </c>
      <c r="GT755">
        <v>7.4547529989998322</v>
      </c>
      <c r="GU755"/>
      <c r="GV755"/>
      <c r="GW755"/>
      <c r="GX755"/>
      <c r="GY755"/>
      <c r="GZ755"/>
      <c r="HA755"/>
      <c r="HB755"/>
      <c r="HC755"/>
    </row>
    <row r="756" spans="1:211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58.862730184921439</v>
      </c>
      <c r="AO756">
        <v>7.0110752823193252</v>
      </c>
      <c r="AP756">
        <v>11.069663871669643</v>
      </c>
      <c r="AQ756">
        <v>50.074305879134272</v>
      </c>
      <c r="AR756">
        <v>7.5058009481590524</v>
      </c>
      <c r="AS756">
        <v>47.767880036152668</v>
      </c>
      <c r="AT756" t="e">
        <v>#DIV/0!</v>
      </c>
      <c r="AU756" t="e">
        <v>#DIV/0!</v>
      </c>
      <c r="AV756"/>
      <c r="AW756"/>
      <c r="FY756" s="211">
        <v>751</v>
      </c>
      <c r="FZ756">
        <v>11.581135892238553</v>
      </c>
      <c r="GA756">
        <v>7.2800012417894253</v>
      </c>
      <c r="GB756">
        <v>4.1207911489105635</v>
      </c>
      <c r="GC756">
        <v>3.4024376964261522</v>
      </c>
      <c r="GD756">
        <v>2.325807641465683</v>
      </c>
      <c r="GE756">
        <v>2.95078176987395</v>
      </c>
      <c r="GF756">
        <v>0.67025821634510852</v>
      </c>
      <c r="GG756">
        <v>0.90968051734601452</v>
      </c>
      <c r="GH756">
        <v>6.8229140658811422</v>
      </c>
      <c r="GI756">
        <v>5.2601926165914215</v>
      </c>
      <c r="GJ756"/>
      <c r="GK756">
        <v>11.624766750704278</v>
      </c>
      <c r="GL756">
        <v>6.170508677541231</v>
      </c>
      <c r="GM756">
        <v>6.8251857509571039</v>
      </c>
      <c r="GN756">
        <v>10.146496762908134</v>
      </c>
      <c r="GO756">
        <v>9.0382943962138267</v>
      </c>
      <c r="GP756">
        <v>5.6492750509294627</v>
      </c>
      <c r="GQ756">
        <v>0.82133152173913027</v>
      </c>
      <c r="GR756">
        <v>1.2802435587761674</v>
      </c>
      <c r="GS756">
        <v>7.2742032445239886</v>
      </c>
      <c r="GT756">
        <v>7.1167563328276664</v>
      </c>
      <c r="GU756"/>
      <c r="GV756"/>
      <c r="GW756"/>
      <c r="GX756"/>
      <c r="GY756"/>
      <c r="GZ756"/>
      <c r="HA756"/>
      <c r="HB756"/>
      <c r="HC756"/>
    </row>
    <row r="757" spans="1:211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46.588364328512135</v>
      </c>
      <c r="AO757">
        <v>5.5281153387054767</v>
      </c>
      <c r="AP757">
        <v>68.214545148973428</v>
      </c>
      <c r="AQ757">
        <v>39.292067128382691</v>
      </c>
      <c r="AR757">
        <v>5.8956075284042733</v>
      </c>
      <c r="AS757">
        <v>36.980440922877236</v>
      </c>
      <c r="AT757" t="e">
        <v>#DIV/0!</v>
      </c>
      <c r="AU757" t="e">
        <v>#DIV/0!</v>
      </c>
      <c r="AV757"/>
      <c r="AW757"/>
      <c r="FY757" s="211">
        <v>752</v>
      </c>
      <c r="FZ757">
        <v>7.8085931753030327</v>
      </c>
      <c r="GA757">
        <v>11.700183197695251</v>
      </c>
      <c r="GB757">
        <v>9.1464901295391705</v>
      </c>
      <c r="GC757">
        <v>3.8820116499993658</v>
      </c>
      <c r="GD757">
        <v>1.907565025149339</v>
      </c>
      <c r="GE757">
        <v>2.4118314429138166</v>
      </c>
      <c r="GF757">
        <v>2.9054852902641888</v>
      </c>
      <c r="GG757">
        <v>2.5288790244013981</v>
      </c>
      <c r="GH757">
        <v>2.0323241032431119</v>
      </c>
      <c r="GI757">
        <v>5.343264469218969</v>
      </c>
      <c r="GJ757"/>
      <c r="GK757">
        <v>7.8410511720941933</v>
      </c>
      <c r="GL757">
        <v>9.9126649681191843</v>
      </c>
      <c r="GM757">
        <v>15.180569749120723</v>
      </c>
      <c r="GN757">
        <v>11.615644385047199</v>
      </c>
      <c r="GO757">
        <v>7.4056698321622783</v>
      </c>
      <c r="GP757">
        <v>4.6174540376404263</v>
      </c>
      <c r="GQ757">
        <v>3.5557391256514634</v>
      </c>
      <c r="GR757">
        <v>3.5557391256514634</v>
      </c>
      <c r="GS757">
        <v>2.1660678469949457</v>
      </c>
      <c r="GT757">
        <v>7.2298195452047196</v>
      </c>
      <c r="GU757"/>
      <c r="GV757"/>
      <c r="GW757"/>
      <c r="GX757"/>
      <c r="GY757"/>
      <c r="GZ757"/>
      <c r="HA757"/>
      <c r="HB757"/>
      <c r="HC757"/>
    </row>
    <row r="758" spans="1:211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50.041066625899603</v>
      </c>
      <c r="AO758">
        <v>5.8262177811838276</v>
      </c>
      <c r="AP758">
        <v>2.6473724667721621</v>
      </c>
      <c r="AQ758">
        <v>43.078183741802718</v>
      </c>
      <c r="AR758">
        <v>6.0383279441371336</v>
      </c>
      <c r="AS758">
        <v>36.526298387607831</v>
      </c>
      <c r="AT758">
        <v>4.7951321317966906</v>
      </c>
      <c r="AU758">
        <v>2.1413974636291968</v>
      </c>
      <c r="AV758"/>
      <c r="AW758"/>
      <c r="FY758" s="211">
        <v>753</v>
      </c>
      <c r="FZ758">
        <v>12.496741394647538</v>
      </c>
      <c r="GA758">
        <v>9.8676000931670611</v>
      </c>
      <c r="GB758">
        <v>3.7079696061996645</v>
      </c>
      <c r="GC758">
        <v>2.4991558964742091</v>
      </c>
      <c r="GD758">
        <v>1.3702211072989532</v>
      </c>
      <c r="GE758">
        <v>1.2479161592857142</v>
      </c>
      <c r="GF758">
        <v>1.8154988840858985</v>
      </c>
      <c r="GG758">
        <v>1.9063755338945396</v>
      </c>
      <c r="GH758">
        <v>3.0733395934379661</v>
      </c>
      <c r="GI758">
        <v>4.3642349675700052</v>
      </c>
      <c r="GJ758"/>
      <c r="GK758">
        <v>12.547293433838645</v>
      </c>
      <c r="GL758">
        <v>8.3612141531259425</v>
      </c>
      <c r="GM758">
        <v>6.1801435211936608</v>
      </c>
      <c r="GN758">
        <v>7.5199193625277498</v>
      </c>
      <c r="GO758">
        <v>5.3324650504973672</v>
      </c>
      <c r="GP758">
        <v>2.3891369047619047</v>
      </c>
      <c r="GQ758">
        <v>2.2223894903619632</v>
      </c>
      <c r="GR758">
        <v>2.6813015273990004</v>
      </c>
      <c r="GS758">
        <v>3.2762289352922842</v>
      </c>
      <c r="GT758">
        <v>5.9117040862367851</v>
      </c>
      <c r="GU758"/>
      <c r="GV758"/>
      <c r="GW758"/>
      <c r="GX758"/>
      <c r="GY758"/>
      <c r="GZ758"/>
      <c r="HA758"/>
      <c r="HB758"/>
      <c r="HC758"/>
    </row>
    <row r="759" spans="1:211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56.431485242548113</v>
      </c>
      <c r="AO759">
        <v>6.7601562671360735</v>
      </c>
      <c r="AP759">
        <v>8.0600480998072115</v>
      </c>
      <c r="AQ759">
        <v>50.991156842310943</v>
      </c>
      <c r="AR759">
        <v>7.3086968736975537</v>
      </c>
      <c r="AS759">
        <v>46.997343554977306</v>
      </c>
      <c r="AT759" t="e">
        <v>#DIV/0!</v>
      </c>
      <c r="AU759" t="e">
        <v>#DIV/0!</v>
      </c>
      <c r="AV759"/>
      <c r="AW759"/>
      <c r="FY759" s="211">
        <v>754</v>
      </c>
      <c r="FZ759">
        <v>18.974246316591753</v>
      </c>
      <c r="GA759">
        <v>19.999539588533555</v>
      </c>
      <c r="GB759">
        <v>6.3168766239187804</v>
      </c>
      <c r="GC759">
        <v>3.1518744447749554</v>
      </c>
      <c r="GD759">
        <v>1.8887965507656492</v>
      </c>
      <c r="GE759">
        <v>2.348556211905414</v>
      </c>
      <c r="GF759">
        <v>1.8707531456483986</v>
      </c>
      <c r="GG759">
        <v>1.532184007852873</v>
      </c>
      <c r="GH759">
        <v>4.9954650926104573</v>
      </c>
      <c r="GI759">
        <v>6.5711693405407487</v>
      </c>
      <c r="GJ759"/>
      <c r="GK759">
        <v>19.030073455593069</v>
      </c>
      <c r="GL759">
        <v>16.944828148902786</v>
      </c>
      <c r="GM759">
        <v>10.456031053591342</v>
      </c>
      <c r="GN759">
        <v>9.3863990163615814</v>
      </c>
      <c r="GO759">
        <v>7.3336431491035921</v>
      </c>
      <c r="GP759">
        <v>4.4963135359852195</v>
      </c>
      <c r="GQ759">
        <v>2.2900978236952971</v>
      </c>
      <c r="GR759">
        <v>2.1546811570286302</v>
      </c>
      <c r="GS759">
        <v>5.3275167674057675</v>
      </c>
      <c r="GT759">
        <v>8.8874724498778122</v>
      </c>
      <c r="GU759"/>
      <c r="GV759"/>
      <c r="GW759"/>
      <c r="GX759"/>
      <c r="GY759"/>
      <c r="GZ759"/>
      <c r="HA759"/>
      <c r="HB759"/>
      <c r="HC759"/>
    </row>
    <row r="760" spans="1:211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67.546084677059383</v>
      </c>
      <c r="AO760">
        <v>7.9002709541348164</v>
      </c>
      <c r="AP760">
        <v>2.7643791369243016</v>
      </c>
      <c r="AQ760">
        <v>56.1835743182613</v>
      </c>
      <c r="AR760">
        <v>8.1840659300104619</v>
      </c>
      <c r="AS760">
        <v>52.966765559381201</v>
      </c>
      <c r="AT760">
        <v>6.6461820073572939</v>
      </c>
      <c r="AU760">
        <v>5.1629214616849337</v>
      </c>
      <c r="AV760"/>
      <c r="AW760"/>
      <c r="FY760" s="211">
        <v>755</v>
      </c>
      <c r="FZ760">
        <v>16.765092108452514</v>
      </c>
      <c r="GA760">
        <v>15.362979831898887</v>
      </c>
      <c r="GB760">
        <v>5.2698841582691642</v>
      </c>
      <c r="GC760">
        <v>2.741041113209334</v>
      </c>
      <c r="GD760">
        <v>1.157848420723441</v>
      </c>
      <c r="GE760">
        <v>1.525032592619699</v>
      </c>
      <c r="GF760">
        <v>2.983295035411381</v>
      </c>
      <c r="GG760">
        <v>2.9708201341953293</v>
      </c>
      <c r="GH760">
        <v>4.9863846464375561</v>
      </c>
      <c r="GI760">
        <v>5.7703704962663016</v>
      </c>
      <c r="GJ760"/>
      <c r="GK760">
        <v>16.817920284409738</v>
      </c>
      <c r="GL760">
        <v>13.017215064426845</v>
      </c>
      <c r="GM760">
        <v>8.7673331850641762</v>
      </c>
      <c r="GN760">
        <v>8.2280400107861649</v>
      </c>
      <c r="GO760">
        <v>4.4973135980759329</v>
      </c>
      <c r="GP760">
        <v>2.919676631223314</v>
      </c>
      <c r="GQ760">
        <v>3.651086851094298</v>
      </c>
      <c r="GR760">
        <v>4.1777072214646678</v>
      </c>
      <c r="GS760">
        <v>5.3176882173653155</v>
      </c>
      <c r="GT760">
        <v>7.8102684272018923</v>
      </c>
      <c r="GU760"/>
      <c r="GV760"/>
      <c r="GW760"/>
      <c r="GX760"/>
      <c r="GY760"/>
      <c r="GZ760"/>
      <c r="HA760"/>
      <c r="HB760"/>
      <c r="HC760"/>
    </row>
    <row r="761" spans="1:211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59.260516768640855</v>
      </c>
      <c r="AO761">
        <v>6.9774678332312519</v>
      </c>
      <c r="AP761">
        <v>43.872372756832014</v>
      </c>
      <c r="AQ761">
        <v>47.947515720492419</v>
      </c>
      <c r="AR761">
        <v>7.1568321950942835</v>
      </c>
      <c r="AS761">
        <v>46.030127063113675</v>
      </c>
      <c r="AT761" t="e">
        <v>#DIV/0!</v>
      </c>
      <c r="AU761" t="e">
        <v>#DIV/0!</v>
      </c>
      <c r="AV761"/>
      <c r="AW761"/>
      <c r="FY761" s="211">
        <v>756</v>
      </c>
      <c r="FZ761">
        <v>12.632249364450319</v>
      </c>
      <c r="GA761">
        <v>7.1347754811586555</v>
      </c>
      <c r="GB761">
        <v>4.2411349576766817</v>
      </c>
      <c r="GC761">
        <v>3.3154615035113335</v>
      </c>
      <c r="GD761">
        <v>2.5175199744454919</v>
      </c>
      <c r="GE761">
        <v>3.4047284282079353</v>
      </c>
      <c r="GF761">
        <v>0.59244847119791655</v>
      </c>
      <c r="GG761">
        <v>0.84193093359375004</v>
      </c>
      <c r="GH761">
        <v>3.3167166488945932</v>
      </c>
      <c r="GI761">
        <v>4.9898250187007305</v>
      </c>
      <c r="GJ761"/>
      <c r="GK761">
        <v>12.689836839677016</v>
      </c>
      <c r="GL761">
        <v>6.0454264228622616</v>
      </c>
      <c r="GM761">
        <v>7.0647744040958811</v>
      </c>
      <c r="GN761">
        <v>9.9485870849817566</v>
      </c>
      <c r="GO761">
        <v>9.7801302950060034</v>
      </c>
      <c r="GP761">
        <v>6.5183564440575399</v>
      </c>
      <c r="GQ761">
        <v>0.72598379629629617</v>
      </c>
      <c r="GR761">
        <v>1.1848958333333333</v>
      </c>
      <c r="GS761">
        <v>3.5340395829270475</v>
      </c>
      <c r="GT761">
        <v>6.7589529836004498</v>
      </c>
      <c r="GU761"/>
      <c r="GV761"/>
      <c r="GW761"/>
      <c r="GX761"/>
      <c r="GY761"/>
      <c r="GZ761"/>
      <c r="HA761"/>
      <c r="HB761"/>
      <c r="HC761"/>
    </row>
    <row r="762" spans="1:211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55.205484042760602</v>
      </c>
      <c r="AO762">
        <v>6.5017865449677696</v>
      </c>
      <c r="AP762">
        <v>116.6190316560663</v>
      </c>
      <c r="AQ762">
        <v>43.975254405144476</v>
      </c>
      <c r="AR762">
        <v>6.7871757253642926</v>
      </c>
      <c r="AS762">
        <v>44.2866242317562</v>
      </c>
      <c r="AT762" t="e">
        <v>#DIV/0!</v>
      </c>
      <c r="AU762" t="e">
        <v>#DIV/0!</v>
      </c>
      <c r="AV762"/>
      <c r="AW762"/>
      <c r="FY762" s="211">
        <v>757</v>
      </c>
      <c r="FZ762">
        <v>16.439857568583204</v>
      </c>
      <c r="GA762">
        <v>16.123660931505515</v>
      </c>
      <c r="GB762">
        <v>6.3032697680757552</v>
      </c>
      <c r="GC762">
        <v>3.1008047913655936</v>
      </c>
      <c r="GD762">
        <v>1.1051459296428574</v>
      </c>
      <c r="GE762">
        <v>1.1519226085714287</v>
      </c>
      <c r="GF762">
        <v>2.2974388321588148</v>
      </c>
      <c r="GG762">
        <v>1.9999234154049559</v>
      </c>
      <c r="GH762">
        <v>4.4435771407012421</v>
      </c>
      <c r="GI762">
        <v>5.7345311126907008</v>
      </c>
      <c r="GJ762"/>
      <c r="GK762">
        <v>16.493901404397008</v>
      </c>
      <c r="GL762">
        <v>13.66437679233508</v>
      </c>
      <c r="GM762">
        <v>10.47687577145415</v>
      </c>
      <c r="GN762">
        <v>9.2866786849864944</v>
      </c>
      <c r="GO762">
        <v>4.284970238095239</v>
      </c>
      <c r="GP762">
        <v>2.2053571428571432</v>
      </c>
      <c r="GQ762">
        <v>2.812956619991593</v>
      </c>
      <c r="GR762">
        <v>2.812956619991593</v>
      </c>
      <c r="GS762">
        <v>4.7377744400811856</v>
      </c>
      <c r="GT762">
        <v>7.7612956948038345</v>
      </c>
      <c r="GU762"/>
      <c r="GV762"/>
      <c r="GW762"/>
      <c r="GX762"/>
      <c r="GY762"/>
      <c r="GZ762"/>
      <c r="HA762"/>
      <c r="HB762"/>
      <c r="HC762"/>
    </row>
    <row r="763" spans="1:211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51.796877421650514</v>
      </c>
      <c r="AO763">
        <v>6.4495384480507116</v>
      </c>
      <c r="AP763">
        <v>87.20322815608607</v>
      </c>
      <c r="AQ763">
        <v>46.415093226874419</v>
      </c>
      <c r="AR763">
        <v>6.8030056759726261</v>
      </c>
      <c r="AS763">
        <v>38.891691486335674</v>
      </c>
      <c r="AT763" t="e">
        <v>#DIV/0!</v>
      </c>
      <c r="AU763" t="e">
        <v>#DIV/0!</v>
      </c>
      <c r="AV763"/>
      <c r="AW763"/>
      <c r="FY763" s="211">
        <v>758</v>
      </c>
      <c r="FZ763">
        <v>11.821486074759825</v>
      </c>
      <c r="GA763">
        <v>12.504425997961102</v>
      </c>
      <c r="GB763">
        <v>7.6684781055006859</v>
      </c>
      <c r="GC763">
        <v>3.8272746597073128</v>
      </c>
      <c r="GD763">
        <v>2.5006872163664244</v>
      </c>
      <c r="GE763">
        <v>2.8790468869054138</v>
      </c>
      <c r="GF763">
        <v>1.1296426808333333</v>
      </c>
      <c r="GG763">
        <v>1.3096703411458332</v>
      </c>
      <c r="GH763">
        <v>5.4174514500942834</v>
      </c>
      <c r="GI763">
        <v>6.1323018778328029</v>
      </c>
      <c r="GJ763"/>
      <c r="GK763">
        <v>11.8574478052365</v>
      </c>
      <c r="GL763">
        <v>10.59563583972802</v>
      </c>
      <c r="GM763">
        <v>12.777841960398604</v>
      </c>
      <c r="GN763">
        <v>11.531709861644142</v>
      </c>
      <c r="GO763">
        <v>9.715608943625444</v>
      </c>
      <c r="GP763">
        <v>5.5119385359852195</v>
      </c>
      <c r="GQ763">
        <v>1.3842592592592591</v>
      </c>
      <c r="GR763">
        <v>1.8431712962962961</v>
      </c>
      <c r="GS763">
        <v>5.7777244665432601</v>
      </c>
      <c r="GT763">
        <v>8.3025764870126118</v>
      </c>
      <c r="GU763"/>
      <c r="GV763"/>
      <c r="GW763"/>
      <c r="GX763"/>
      <c r="GY763"/>
      <c r="GZ763"/>
      <c r="HA763"/>
      <c r="HB763"/>
      <c r="HC763"/>
    </row>
    <row r="764" spans="1:211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63.309286015646464</v>
      </c>
      <c r="AO764">
        <v>7.7850421999197916</v>
      </c>
      <c r="AP764">
        <v>51.988335468418583</v>
      </c>
      <c r="AQ764">
        <v>55.32280039412327</v>
      </c>
      <c r="AR764">
        <v>8.0734815679587015</v>
      </c>
      <c r="AS764">
        <v>51.97265525712146</v>
      </c>
      <c r="AT764" t="e">
        <v>#DIV/0!</v>
      </c>
      <c r="AU764" t="e">
        <v>#DIV/0!</v>
      </c>
      <c r="AV764"/>
      <c r="AW764"/>
      <c r="FY764" s="211">
        <v>759</v>
      </c>
      <c r="FZ764">
        <v>10.169674297219501</v>
      </c>
      <c r="GA764">
        <v>11.174226798361358</v>
      </c>
      <c r="GB764">
        <v>6.096980444758004</v>
      </c>
      <c r="GC764">
        <v>2.4989562667045098</v>
      </c>
      <c r="GD764">
        <v>1.2238992727683229</v>
      </c>
      <c r="GE764">
        <v>1.2849271366112958</v>
      </c>
      <c r="GF764">
        <v>1.767202119200634</v>
      </c>
      <c r="GG764">
        <v>1.9129089162024455</v>
      </c>
      <c r="GH764">
        <v>5.3643591160749837</v>
      </c>
      <c r="GI764">
        <v>4.8710521678934429</v>
      </c>
      <c r="GJ764"/>
      <c r="GK764">
        <v>10.212457617386171</v>
      </c>
      <c r="GL764">
        <v>9.4678565337261738</v>
      </c>
      <c r="GM764">
        <v>10.099047531872811</v>
      </c>
      <c r="GN764">
        <v>7.4521382121672088</v>
      </c>
      <c r="GO764">
        <v>4.7541559626362941</v>
      </c>
      <c r="GP764">
        <v>2.4599944629014399</v>
      </c>
      <c r="GQ764">
        <v>2.165521839774557</v>
      </c>
      <c r="GR764">
        <v>2.6921422101449273</v>
      </c>
      <c r="GS764">
        <v>5.7195202837667898</v>
      </c>
      <c r="GT764">
        <v>6.5901406470873241</v>
      </c>
      <c r="GU764"/>
      <c r="GV764"/>
      <c r="GW764"/>
      <c r="GX764"/>
      <c r="GY764"/>
      <c r="GZ764"/>
      <c r="HA764"/>
      <c r="HB764"/>
      <c r="HC764"/>
    </row>
    <row r="765" spans="1:211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56.808317642487928</v>
      </c>
      <c r="AO765">
        <v>6.3670490948828116</v>
      </c>
      <c r="AP765">
        <v>4.2362552155603508</v>
      </c>
      <c r="AQ765">
        <v>43.934996239291323</v>
      </c>
      <c r="AR765">
        <v>6.7854824143352443</v>
      </c>
      <c r="AS765">
        <v>43.014087195664878</v>
      </c>
      <c r="AT765">
        <v>5.4657170884679678</v>
      </c>
      <c r="AU765">
        <v>9.1024945494811096</v>
      </c>
      <c r="AV765"/>
      <c r="AW765"/>
      <c r="FY765" s="211">
        <v>760</v>
      </c>
      <c r="FZ765">
        <v>17.657843371680944</v>
      </c>
      <c r="GA765">
        <v>16.745008939720961</v>
      </c>
      <c r="GB765">
        <v>5.2434937565818691</v>
      </c>
      <c r="GC765">
        <v>3.3553943785297919</v>
      </c>
      <c r="GD765">
        <v>1.1189520958899881</v>
      </c>
      <c r="GE765">
        <v>0.64669339428571448</v>
      </c>
      <c r="GF765">
        <v>1.2074524259805255</v>
      </c>
      <c r="GG765">
        <v>1.003228398856431</v>
      </c>
      <c r="GH765">
        <v>2.4448828626921215</v>
      </c>
      <c r="GI765">
        <v>5.1509271023189358</v>
      </c>
      <c r="GJ765"/>
      <c r="GK765">
        <v>17.722823260439903</v>
      </c>
      <c r="GL765">
        <v>14.187288037812765</v>
      </c>
      <c r="GM765">
        <v>8.6896497397135342</v>
      </c>
      <c r="GN765">
        <v>10.025332220527218</v>
      </c>
      <c r="GO765">
        <v>4.368455377901455</v>
      </c>
      <c r="GP765">
        <v>1.2380952380952384</v>
      </c>
      <c r="GQ765">
        <v>1.4796069847020934</v>
      </c>
      <c r="GR765">
        <v>1.4118986513687599</v>
      </c>
      <c r="GS765">
        <v>2.6066882210136204</v>
      </c>
      <c r="GT765">
        <v>6.9734447167541225</v>
      </c>
      <c r="GU765"/>
      <c r="GV765"/>
      <c r="GW765"/>
      <c r="GX765"/>
      <c r="GY765"/>
      <c r="GZ765"/>
      <c r="HA765"/>
      <c r="HB765"/>
      <c r="HC765"/>
    </row>
    <row r="766" spans="1:211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60.39890095103042</v>
      </c>
      <c r="AO766">
        <v>7.3952522717719988</v>
      </c>
      <c r="AP766">
        <v>3.9860187840392207</v>
      </c>
      <c r="AQ766">
        <v>57.318618367860054</v>
      </c>
      <c r="AR766">
        <v>7.454752998999834</v>
      </c>
      <c r="AS766">
        <v>49.022440559353136</v>
      </c>
      <c r="AT766">
        <v>6.0300425244753519</v>
      </c>
      <c r="AU766">
        <v>-0.54048327647008154</v>
      </c>
      <c r="AV766"/>
      <c r="AW766"/>
      <c r="FY766" s="211">
        <v>761</v>
      </c>
      <c r="FZ766">
        <v>11.64536484982839</v>
      </c>
      <c r="GA766">
        <v>10.463971291146015</v>
      </c>
      <c r="GB766">
        <v>4.386367593827817</v>
      </c>
      <c r="GC766">
        <v>2.8652113081815815</v>
      </c>
      <c r="GD766">
        <v>2.1924539696746139</v>
      </c>
      <c r="GE766">
        <v>2.6062231111911278</v>
      </c>
      <c r="GF766">
        <v>2.4305028388685068</v>
      </c>
      <c r="GG766">
        <v>2.0676729991572205</v>
      </c>
      <c r="GH766">
        <v>3.3911811644340562</v>
      </c>
      <c r="GI766">
        <v>5.0333476375197419</v>
      </c>
      <c r="GJ766"/>
      <c r="GK766">
        <v>11.688247191271017</v>
      </c>
      <c r="GL766">
        <v>8.8665142087843876</v>
      </c>
      <c r="GM766">
        <v>7.2583796100569558</v>
      </c>
      <c r="GN766">
        <v>8.5218396663204015</v>
      </c>
      <c r="GO766">
        <v>8.5007778216995042</v>
      </c>
      <c r="GP766">
        <v>4.9896171074137898</v>
      </c>
      <c r="GQ766">
        <v>2.976012678767761</v>
      </c>
      <c r="GR766">
        <v>2.9083043454344271</v>
      </c>
      <c r="GS766">
        <v>3.6168880901641396</v>
      </c>
      <c r="GT766">
        <v>6.8080610783918765</v>
      </c>
      <c r="GU766"/>
      <c r="GV766"/>
      <c r="GW766"/>
      <c r="GX766"/>
      <c r="GY766"/>
      <c r="GZ766"/>
      <c r="HA766"/>
      <c r="HB766"/>
      <c r="HC766"/>
    </row>
    <row r="767" spans="1:211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54.643716617866247</v>
      </c>
      <c r="AO767">
        <v>6.5947062047120992</v>
      </c>
      <c r="AP767">
        <v>3.2165951380498119</v>
      </c>
      <c r="AQ767">
        <v>45.324000806868014</v>
      </c>
      <c r="AR767">
        <v>7.1167563328276664</v>
      </c>
      <c r="AS767">
        <v>46.365959455515998</v>
      </c>
      <c r="AT767">
        <v>5.7470167925563311</v>
      </c>
      <c r="AU767">
        <v>1.6375816641345811</v>
      </c>
      <c r="AV767"/>
      <c r="AW767"/>
      <c r="FY767" s="211">
        <v>762</v>
      </c>
      <c r="FZ767">
        <v>10.324866223593471</v>
      </c>
      <c r="GA767">
        <v>8.7046302563511091</v>
      </c>
      <c r="GB767">
        <v>5.40866770578047</v>
      </c>
      <c r="GC767">
        <v>3.4893555219483998</v>
      </c>
      <c r="GD767">
        <v>1.9019084352074591</v>
      </c>
      <c r="GE767">
        <v>2.2778241219054132</v>
      </c>
      <c r="GF767">
        <v>1.223050412887982</v>
      </c>
      <c r="GG767">
        <v>1.0644446003007895</v>
      </c>
      <c r="GH767">
        <v>4.7229935904650642</v>
      </c>
      <c r="GI767">
        <v>4.9209942025966704</v>
      </c>
      <c r="GJ767"/>
      <c r="GK767">
        <v>10.360025548711006</v>
      </c>
      <c r="GL767">
        <v>7.3765774259747205</v>
      </c>
      <c r="GM767">
        <v>9.035982297509527</v>
      </c>
      <c r="GN767">
        <v>10.531801860065592</v>
      </c>
      <c r="GO767">
        <v>7.4042034376961974</v>
      </c>
      <c r="GP767">
        <v>4.3608968693185517</v>
      </c>
      <c r="GQ767">
        <v>1.4964056940656674</v>
      </c>
      <c r="GR767">
        <v>1.4964056940656674</v>
      </c>
      <c r="GS767">
        <v>5.0337490237714562</v>
      </c>
      <c r="GT767">
        <v>6.6660732003507706</v>
      </c>
      <c r="GU767"/>
      <c r="GV767"/>
      <c r="GW767"/>
      <c r="GX767"/>
      <c r="GY767"/>
      <c r="GZ767"/>
      <c r="HA767"/>
      <c r="HB767"/>
      <c r="HC767"/>
    </row>
    <row r="768" spans="1:211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65.260911774772524</v>
      </c>
      <c r="AO768">
        <v>7.3080419787686592</v>
      </c>
      <c r="AP768">
        <v>69.974296387343003</v>
      </c>
      <c r="AQ768">
        <v>49.66662750772764</v>
      </c>
      <c r="AR768">
        <v>7.2298195452047178</v>
      </c>
      <c r="AS768">
        <v>45.432209406026871</v>
      </c>
      <c r="AT768" t="e">
        <v>#DIV/0!</v>
      </c>
      <c r="AU768" t="e">
        <v>#DIV/0!</v>
      </c>
      <c r="AV768"/>
      <c r="AW768"/>
      <c r="FY768" s="211">
        <v>763</v>
      </c>
      <c r="FZ768">
        <v>12.992585211688562</v>
      </c>
      <c r="GA768">
        <v>11.961919881273074</v>
      </c>
      <c r="GB768">
        <v>7.8025561869398548</v>
      </c>
      <c r="GC768">
        <v>3.8935317204709055</v>
      </c>
      <c r="GD768">
        <v>0.92808533241754765</v>
      </c>
      <c r="GE768">
        <v>0.96663273161129593</v>
      </c>
      <c r="GF768">
        <v>3.5757435066092969</v>
      </c>
      <c r="GG768">
        <v>3.8127510677890792</v>
      </c>
      <c r="GH768">
        <v>6.2946342572698013</v>
      </c>
      <c r="GI768">
        <v>6.0199895761582649</v>
      </c>
      <c r="GJ768"/>
      <c r="GK768">
        <v>13.059560770187508</v>
      </c>
      <c r="GL768">
        <v>10.1339728505514</v>
      </c>
      <c r="GM768">
        <v>13.079914134840671</v>
      </c>
      <c r="GN768">
        <v>11.830736170873376</v>
      </c>
      <c r="GO768">
        <v>3.597711001447776</v>
      </c>
      <c r="GP768">
        <v>1.8506194629014401</v>
      </c>
      <c r="GQ768">
        <v>4.3770706473905943</v>
      </c>
      <c r="GR768">
        <v>5.3626030547980008</v>
      </c>
      <c r="GS768">
        <v>6.7093622327577052</v>
      </c>
      <c r="GT768">
        <v>8.1647237573248521</v>
      </c>
      <c r="GU768"/>
      <c r="GV768"/>
      <c r="GW768"/>
      <c r="GX768"/>
      <c r="GY768"/>
      <c r="GZ768"/>
      <c r="HA768"/>
      <c r="HB768"/>
      <c r="HC768"/>
    </row>
    <row r="769" spans="1:211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45.866444152859039</v>
      </c>
      <c r="AO769">
        <v>5.6421796465235303</v>
      </c>
      <c r="AP769">
        <v>3.4432760782375342</v>
      </c>
      <c r="AQ769">
        <v>42.34905323606155</v>
      </c>
      <c r="AR769">
        <v>5.9117040862367851</v>
      </c>
      <c r="AS769">
        <v>35.577727723709692</v>
      </c>
      <c r="AT769">
        <v>4.697842771491354</v>
      </c>
      <c r="AU769">
        <v>4.6111990357583315</v>
      </c>
      <c r="AV769"/>
      <c r="AW769"/>
      <c r="FY769" s="211">
        <v>764</v>
      </c>
      <c r="FZ769">
        <v>10.124774716774859</v>
      </c>
      <c r="GA769">
        <v>8.1514960514671753</v>
      </c>
      <c r="GB769">
        <v>6.7729561197519335</v>
      </c>
      <c r="GC769">
        <v>3.8147036645500365</v>
      </c>
      <c r="GD769">
        <v>2.4853440128267517</v>
      </c>
      <c r="GE769">
        <v>3.4744577252393976</v>
      </c>
      <c r="GF769">
        <v>2.983295035411381</v>
      </c>
      <c r="GG769">
        <v>2.9708201341953293</v>
      </c>
      <c r="GH769">
        <v>5.4758279808800481</v>
      </c>
      <c r="GI769">
        <v>5.9945464199721457</v>
      </c>
      <c r="GJ769"/>
      <c r="GK769">
        <v>10.166903878604137</v>
      </c>
      <c r="GL769">
        <v>6.9072004348843166</v>
      </c>
      <c r="GM769">
        <v>11.254029005383483</v>
      </c>
      <c r="GN769">
        <v>11.429507823034088</v>
      </c>
      <c r="GO769">
        <v>9.6561189081820871</v>
      </c>
      <c r="GP769">
        <v>6.6518532624466271</v>
      </c>
      <c r="GQ769">
        <v>3.651086851094298</v>
      </c>
      <c r="GR769">
        <v>4.1777072214646678</v>
      </c>
      <c r="GS769">
        <v>5.8355146836661467</v>
      </c>
      <c r="GT769">
        <v>8.1127306653860316</v>
      </c>
      <c r="GU769"/>
      <c r="GV769"/>
      <c r="GW769"/>
      <c r="GX769"/>
      <c r="GY769"/>
      <c r="GZ769"/>
      <c r="HA769"/>
      <c r="HB769"/>
      <c r="HC769"/>
    </row>
    <row r="770" spans="1:211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76.383449823982119</v>
      </c>
      <c r="AO770">
        <v>8.630705655754511</v>
      </c>
      <c r="AP770">
        <v>65.840313394933276</v>
      </c>
      <c r="AQ770">
        <v>67.649461323142589</v>
      </c>
      <c r="AR770">
        <v>8.8874724498778175</v>
      </c>
      <c r="AS770">
        <v>57.731950152001936</v>
      </c>
      <c r="AT770" t="e">
        <v>#DIV/0!</v>
      </c>
      <c r="AU770" t="e">
        <v>#DIV/0!</v>
      </c>
      <c r="AV770"/>
      <c r="AW770"/>
      <c r="FY770" s="211">
        <v>765</v>
      </c>
      <c r="FZ770">
        <v>9.8603313523274387</v>
      </c>
      <c r="GA770">
        <v>8.598431924889022</v>
      </c>
      <c r="GB770">
        <v>5.6197332703680241</v>
      </c>
      <c r="GC770">
        <v>3.5913397239399449</v>
      </c>
      <c r="GD770">
        <v>1.5886841126682465</v>
      </c>
      <c r="GE770">
        <v>1.4896665476196993</v>
      </c>
      <c r="GF770">
        <v>1.8310968709933551</v>
      </c>
      <c r="GG770">
        <v>1.9675917353388979</v>
      </c>
      <c r="GH770">
        <v>5.2318338659066104</v>
      </c>
      <c r="GI770">
        <v>4.9078849425974544</v>
      </c>
      <c r="GJ770"/>
      <c r="GK770">
        <v>9.8958070686906581</v>
      </c>
      <c r="GL770">
        <v>7.2868884847211808</v>
      </c>
      <c r="GM770">
        <v>9.3076888510836984</v>
      </c>
      <c r="GN770">
        <v>10.699548731626141</v>
      </c>
      <c r="GO770">
        <v>6.1692763543165947</v>
      </c>
      <c r="GP770">
        <v>2.851968297889981</v>
      </c>
      <c r="GQ770">
        <v>2.2391881997255374</v>
      </c>
      <c r="GR770">
        <v>2.7658085700959076</v>
      </c>
      <c r="GS770">
        <v>5.5762892647348856</v>
      </c>
      <c r="GT770">
        <v>6.6376499477102744</v>
      </c>
      <c r="GU770"/>
      <c r="GV770"/>
      <c r="GW770"/>
      <c r="GX770"/>
      <c r="GY770"/>
      <c r="GZ770"/>
      <c r="HA770"/>
      <c r="HB770"/>
      <c r="HC770"/>
    </row>
    <row r="771" spans="1:211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63.613399445301091</v>
      </c>
      <c r="AO771">
        <v>7.5204249491112334</v>
      </c>
      <c r="AP771">
        <v>47.270864937590581</v>
      </c>
      <c r="AQ771">
        <v>59.532748537483613</v>
      </c>
      <c r="AR771">
        <v>7.8102684272018932</v>
      </c>
      <c r="AS771">
        <v>50.894574548883334</v>
      </c>
      <c r="AT771" t="e">
        <v>#DIV/0!</v>
      </c>
      <c r="AU771" t="e">
        <v>#DIV/0!</v>
      </c>
      <c r="AV771"/>
      <c r="AW771"/>
      <c r="FY771" s="211">
        <v>766</v>
      </c>
      <c r="FZ771">
        <v>10.3938446060512</v>
      </c>
      <c r="GA771">
        <v>8.7478672494461289</v>
      </c>
      <c r="GB771">
        <v>5.0510816675045032</v>
      </c>
      <c r="GC771">
        <v>2.3458798089113597</v>
      </c>
      <c r="GD771">
        <v>1.4585177050493807</v>
      </c>
      <c r="GE771">
        <v>1.9686315082225914</v>
      </c>
      <c r="GF771">
        <v>2.3043963288360505</v>
      </c>
      <c r="GG771">
        <v>2.3806483237545284</v>
      </c>
      <c r="GH771">
        <v>5.6822983541420671</v>
      </c>
      <c r="GI771">
        <v>4.9283768876002814</v>
      </c>
      <c r="GJ771"/>
      <c r="GK771">
        <v>10.44541357918483</v>
      </c>
      <c r="GL771">
        <v>7.4125004905427625</v>
      </c>
      <c r="GM771">
        <v>8.3624304335616131</v>
      </c>
      <c r="GN771">
        <v>6.9772795194247239</v>
      </c>
      <c r="GO771">
        <v>5.653606526705075</v>
      </c>
      <c r="GP771">
        <v>3.7689472591362123</v>
      </c>
      <c r="GQ771">
        <v>2.8237973027375198</v>
      </c>
      <c r="GR771">
        <v>3.3504176731078901</v>
      </c>
      <c r="GS771">
        <v>6.0548476988073192</v>
      </c>
      <c r="GT771">
        <v>6.668019108199271</v>
      </c>
      <c r="GU771"/>
      <c r="GV771"/>
      <c r="GW771"/>
      <c r="GX771"/>
      <c r="GY771"/>
      <c r="GZ771"/>
      <c r="HA771"/>
      <c r="HB771"/>
      <c r="HC771"/>
    </row>
    <row r="772" spans="1:211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51.328705841554566</v>
      </c>
      <c r="AO772">
        <v>6.4250983686837584</v>
      </c>
      <c r="AP772">
        <v>3.0338465817829063</v>
      </c>
      <c r="AQ772">
        <v>42.986790781837406</v>
      </c>
      <c r="AR772">
        <v>6.7589529836004498</v>
      </c>
      <c r="AS772">
        <v>39.676100193430436</v>
      </c>
      <c r="AT772">
        <v>5.414292191500941</v>
      </c>
      <c r="AU772">
        <v>5.19295539220664</v>
      </c>
      <c r="AV772"/>
      <c r="AW772"/>
      <c r="FY772" s="211">
        <v>767</v>
      </c>
      <c r="FZ772">
        <v>10.103563538745743</v>
      </c>
      <c r="GA772">
        <v>9.6410976823754471</v>
      </c>
      <c r="GB772">
        <v>5.2732117852825588</v>
      </c>
      <c r="GC772">
        <v>3.0290390246860914</v>
      </c>
      <c r="GD772">
        <v>1.706922538919404</v>
      </c>
      <c r="GE772">
        <v>2.0639829195798316</v>
      </c>
      <c r="GF772">
        <v>1.9190499105336629</v>
      </c>
      <c r="GG772">
        <v>1.8998421515866333</v>
      </c>
      <c r="GH772">
        <v>2.5113190637072678</v>
      </c>
      <c r="GI772">
        <v>4.5144825907055584</v>
      </c>
      <c r="GJ772"/>
      <c r="GK772">
        <v>10.148730543424277</v>
      </c>
      <c r="GL772">
        <v>8.1692870608498218</v>
      </c>
      <c r="GM772">
        <v>8.7718658350118233</v>
      </c>
      <c r="GN772">
        <v>9.0783815385554174</v>
      </c>
      <c r="GO772">
        <v>6.6174879925824959</v>
      </c>
      <c r="GP772">
        <v>3.95149764451235</v>
      </c>
      <c r="GQ772">
        <v>2.3469654742827033</v>
      </c>
      <c r="GR772">
        <v>2.6704608446530735</v>
      </c>
      <c r="GS772">
        <v>2.6781831180687563</v>
      </c>
      <c r="GT772">
        <v>6.112646592674011</v>
      </c>
      <c r="GU772"/>
      <c r="GV772"/>
      <c r="GW772"/>
      <c r="GX772"/>
      <c r="GY772"/>
      <c r="GZ772"/>
      <c r="HA772"/>
      <c r="HB772"/>
      <c r="HC772"/>
    </row>
    <row r="773" spans="1:211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62.474048794400552</v>
      </c>
      <c r="AO773">
        <v>7.4537143408993334</v>
      </c>
      <c r="AP773">
        <v>90.391704567260945</v>
      </c>
      <c r="AQ773">
        <v>58.700132098700081</v>
      </c>
      <c r="AR773">
        <v>7.7612956948038345</v>
      </c>
      <c r="AS773">
        <v>49.311744836678592</v>
      </c>
      <c r="AT773" t="e">
        <v>#DIV/0!</v>
      </c>
      <c r="AU773" t="e">
        <v>#DIV/0!</v>
      </c>
      <c r="AV773"/>
      <c r="AW773"/>
      <c r="FY773" s="211">
        <v>768</v>
      </c>
      <c r="FZ773">
        <v>9.2171464414953483</v>
      </c>
      <c r="GA773">
        <v>5.6718231729389705</v>
      </c>
      <c r="GB773">
        <v>7.1691271669224594</v>
      </c>
      <c r="GC773">
        <v>4.2673105532053741</v>
      </c>
      <c r="GD773">
        <v>1.5218189137130023</v>
      </c>
      <c r="GE773">
        <v>1.96698657589701</v>
      </c>
      <c r="GF773">
        <v>1.1296426808333333</v>
      </c>
      <c r="GG773">
        <v>1.6838618671875001</v>
      </c>
      <c r="GH773">
        <v>8.1333967821149695</v>
      </c>
      <c r="GI773">
        <v>5.4879449927567734</v>
      </c>
      <c r="GJ773"/>
      <c r="GK773">
        <v>9.2732098217524594</v>
      </c>
      <c r="GL773">
        <v>4.8060471169872248</v>
      </c>
      <c r="GM773">
        <v>11.945177973495497</v>
      </c>
      <c r="GN773">
        <v>12.809123373733737</v>
      </c>
      <c r="GO773">
        <v>5.8990436114226839</v>
      </c>
      <c r="GP773">
        <v>3.765798034330011</v>
      </c>
      <c r="GQ773">
        <v>1.3842592592592591</v>
      </c>
      <c r="GR773">
        <v>2.3697916666666665</v>
      </c>
      <c r="GS773">
        <v>8.6723276103281481</v>
      </c>
      <c r="GT773">
        <v>7.434803655251609</v>
      </c>
      <c r="GU773"/>
      <c r="GV773"/>
      <c r="GW773"/>
      <c r="GX773"/>
      <c r="GY773"/>
      <c r="GZ773"/>
      <c r="HA773"/>
      <c r="HB773"/>
      <c r="HC773"/>
    </row>
    <row r="774" spans="1:211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63.442012004721263</v>
      </c>
      <c r="AO774">
        <v>7.9297914455729366</v>
      </c>
      <c r="AP774">
        <v>4.502618031801874</v>
      </c>
      <c r="AQ774">
        <v>55.19046529110701</v>
      </c>
      <c r="AR774">
        <v>8.3025764870126153</v>
      </c>
      <c r="AS774">
        <v>52.657142951508597</v>
      </c>
      <c r="AT774">
        <v>6.6680073429881075</v>
      </c>
      <c r="AU774">
        <v>7.1527217901612374</v>
      </c>
      <c r="AV774"/>
      <c r="AW774"/>
      <c r="FY774" s="211">
        <v>769</v>
      </c>
      <c r="FZ774">
        <v>10.70886553848112</v>
      </c>
      <c r="GA774">
        <v>10.807860811758198</v>
      </c>
      <c r="GB774">
        <v>7.0902321197202145</v>
      </c>
      <c r="GC774">
        <v>3.7850287464497323</v>
      </c>
      <c r="GD774">
        <v>2.1390773812805994</v>
      </c>
      <c r="GE774">
        <v>3.1383587185167094</v>
      </c>
      <c r="GF774">
        <v>1.8380543676705907</v>
      </c>
      <c r="GG774">
        <v>1.5999335916051376</v>
      </c>
      <c r="GH774">
        <v>4.077601706317493</v>
      </c>
      <c r="GI774">
        <v>5.5292139625899459</v>
      </c>
      <c r="GJ774"/>
      <c r="GK774">
        <v>10.753255375817963</v>
      </c>
      <c r="GL774">
        <v>9.1574218074184053</v>
      </c>
      <c r="GM774">
        <v>11.745899654706459</v>
      </c>
      <c r="GN774">
        <v>11.280484106406643</v>
      </c>
      <c r="GO774">
        <v>8.304054278671698</v>
      </c>
      <c r="GP774">
        <v>6.0083913322199924</v>
      </c>
      <c r="GQ774">
        <v>2.2500288824714643</v>
      </c>
      <c r="GR774">
        <v>2.2500288824714643</v>
      </c>
      <c r="GS774">
        <v>4.3459514663008312</v>
      </c>
      <c r="GT774">
        <v>7.4798379315936829</v>
      </c>
      <c r="GU774"/>
      <c r="GV774"/>
      <c r="GW774"/>
      <c r="GX774"/>
      <c r="GY774"/>
      <c r="GZ774"/>
      <c r="HA774"/>
      <c r="HB774"/>
      <c r="HC774"/>
    </row>
    <row r="775" spans="1:211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51.514821954942043</v>
      </c>
      <c r="AO775">
        <v>6.1612975301463697</v>
      </c>
      <c r="AP775">
        <v>28.488630039644821</v>
      </c>
      <c r="AQ775">
        <v>46.364186535794502</v>
      </c>
      <c r="AR775">
        <v>6.5901406470873258</v>
      </c>
      <c r="AS775">
        <v>41.756098740519214</v>
      </c>
      <c r="AT775" t="e">
        <v>#DIV/0!</v>
      </c>
      <c r="AU775" t="e">
        <v>#DIV/0!</v>
      </c>
      <c r="AV775"/>
      <c r="AW775"/>
      <c r="FY775" s="211">
        <v>770</v>
      </c>
      <c r="FZ775">
        <v>14.995039517679491</v>
      </c>
      <c r="GA775">
        <v>15.669419890263745</v>
      </c>
      <c r="GB775">
        <v>7.4685664994831527</v>
      </c>
      <c r="GC775">
        <v>3.5454925010564251</v>
      </c>
      <c r="GD775">
        <v>1.8374601417103287</v>
      </c>
      <c r="GE775">
        <v>2.8436808419054138</v>
      </c>
      <c r="GF775">
        <v>1.3179609491055253</v>
      </c>
      <c r="GG775">
        <v>1.003228398856431</v>
      </c>
      <c r="GH775">
        <v>3.2787153633284181</v>
      </c>
      <c r="GI775">
        <v>5.8674412498235213</v>
      </c>
      <c r="GJ775"/>
      <c r="GK775">
        <v>15.039246205112855</v>
      </c>
      <c r="GL775">
        <v>13.277029218435841</v>
      </c>
      <c r="GM775">
        <v>12.445624531161567</v>
      </c>
      <c r="GN775">
        <v>10.669112462555812</v>
      </c>
      <c r="GO775">
        <v>7.1243641312233157</v>
      </c>
      <c r="GP775">
        <v>5.4442302026518865</v>
      </c>
      <c r="GQ775">
        <v>1.6150236513687599</v>
      </c>
      <c r="GR775">
        <v>1.4118986513687599</v>
      </c>
      <c r="GS775">
        <v>3.4911792539174957</v>
      </c>
      <c r="GT775">
        <v>7.943087554556798</v>
      </c>
      <c r="GU775"/>
      <c r="GV775"/>
      <c r="GW775"/>
      <c r="GX775"/>
      <c r="GY775"/>
      <c r="GZ775"/>
      <c r="HA775"/>
      <c r="HB775"/>
      <c r="HC775"/>
    </row>
    <row r="776" spans="1:211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56.80600687057116</v>
      </c>
      <c r="AO776">
        <v>6.8703282448328711</v>
      </c>
      <c r="AP776">
        <v>34.256934926215379</v>
      </c>
      <c r="AQ776">
        <v>54.573876726537279</v>
      </c>
      <c r="AR776">
        <v>6.9734447167541234</v>
      </c>
      <c r="AS776">
        <v>44.549714197889635</v>
      </c>
      <c r="AT776" t="e">
        <v>#DIV/0!</v>
      </c>
      <c r="AU776" t="e">
        <v>#DIV/0!</v>
      </c>
      <c r="AV776"/>
      <c r="AW776"/>
      <c r="FY776" s="211">
        <v>771</v>
      </c>
      <c r="FZ776">
        <v>12.500371541523338</v>
      </c>
      <c r="GA776">
        <v>13.062928616782134</v>
      </c>
      <c r="GB776">
        <v>6.6323644856208297</v>
      </c>
      <c r="GC776">
        <v>2.9117919397842233</v>
      </c>
      <c r="GD776">
        <v>0.80759369887209298</v>
      </c>
      <c r="GE776">
        <v>0.99189419232558129</v>
      </c>
      <c r="GF776">
        <v>1.7602446225233985</v>
      </c>
      <c r="GG776">
        <v>1.532184007852873</v>
      </c>
      <c r="GH776">
        <v>5.0700496277045106</v>
      </c>
      <c r="GI776">
        <v>5.0627535715654632</v>
      </c>
      <c r="GJ776"/>
      <c r="GK776">
        <v>12.527998958072837</v>
      </c>
      <c r="GL776">
        <v>11.066645606306105</v>
      </c>
      <c r="GM776">
        <v>11.021128099236131</v>
      </c>
      <c r="GN776">
        <v>8.7244192856172535</v>
      </c>
      <c r="GO776">
        <v>3.1312742248062015</v>
      </c>
      <c r="GP776">
        <v>1.8989825581395348</v>
      </c>
      <c r="GQ776">
        <v>2.1546811570286302</v>
      </c>
      <c r="GR776">
        <v>2.1546811570286302</v>
      </c>
      <c r="GS776">
        <v>5.4038261481086689</v>
      </c>
      <c r="GT776">
        <v>6.8477817174504931</v>
      </c>
      <c r="GU776"/>
      <c r="GV776"/>
      <c r="GW776"/>
      <c r="GX776"/>
      <c r="GY776"/>
      <c r="GZ776"/>
      <c r="HA776"/>
      <c r="HB776"/>
      <c r="HC776"/>
    </row>
    <row r="777" spans="1:211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58.110335445493789</v>
      </c>
      <c r="AO777">
        <v>6.6134641798304257</v>
      </c>
      <c r="AP777">
        <v>45.706134239304639</v>
      </c>
      <c r="AQ777">
        <v>47.082296763829071</v>
      </c>
      <c r="AR777">
        <v>6.8080610783918747</v>
      </c>
      <c r="AS777">
        <v>40.971741058754091</v>
      </c>
      <c r="AT777" t="e">
        <v>#DIV/0!</v>
      </c>
      <c r="AU777" t="e">
        <v>#DIV/0!</v>
      </c>
      <c r="AV777"/>
      <c r="AW777"/>
      <c r="FY777" s="211">
        <v>772</v>
      </c>
      <c r="FZ777">
        <v>8.354116147646284</v>
      </c>
      <c r="GA777">
        <v>10.31172399928751</v>
      </c>
      <c r="GB777">
        <v>6.2352148258486242</v>
      </c>
      <c r="GC777">
        <v>2.7702958485317959</v>
      </c>
      <c r="GD777">
        <v>1.3859202590772115</v>
      </c>
      <c r="GE777">
        <v>2.0908893126196992</v>
      </c>
      <c r="GF777">
        <v>1.932964903888134</v>
      </c>
      <c r="GG777">
        <v>1.5387173901607791</v>
      </c>
      <c r="GH777">
        <v>4.6860645557868565</v>
      </c>
      <c r="GI777">
        <v>4.6514434045863622</v>
      </c>
      <c r="GJ777"/>
      <c r="GK777">
        <v>8.3739763209638429</v>
      </c>
      <c r="GL777">
        <v>8.7361612144554854</v>
      </c>
      <c r="GM777">
        <v>10.326352684667338</v>
      </c>
      <c r="GN777">
        <v>8.2469195788131628</v>
      </c>
      <c r="GO777">
        <v>5.3728693602458408</v>
      </c>
      <c r="GP777">
        <v>4.0030099645566475</v>
      </c>
      <c r="GQ777">
        <v>2.368646839774557</v>
      </c>
      <c r="GR777">
        <v>2.165521839774557</v>
      </c>
      <c r="GS777">
        <v>4.9964787779807276</v>
      </c>
      <c r="GT777">
        <v>6.2876647967264621</v>
      </c>
      <c r="GU777"/>
      <c r="GV777"/>
      <c r="GW777"/>
      <c r="GX777"/>
      <c r="GY777"/>
      <c r="GZ777"/>
      <c r="HA777"/>
      <c r="HB777"/>
      <c r="HC777"/>
    </row>
    <row r="778" spans="1:211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51.991465687828693</v>
      </c>
      <c r="AO778">
        <v>6.3762121051529146</v>
      </c>
      <c r="AP778">
        <v>77.892207882606627</v>
      </c>
      <c r="AQ778">
        <v>44.038735071036825</v>
      </c>
      <c r="AR778">
        <v>6.6660732003507706</v>
      </c>
      <c r="AS778">
        <v>40.686751636109456</v>
      </c>
      <c r="AT778" t="e">
        <v>#DIV/0!</v>
      </c>
      <c r="AU778" t="e">
        <v>#DIV/0!</v>
      </c>
      <c r="AV778"/>
      <c r="AW778"/>
      <c r="FY778" s="211">
        <v>773</v>
      </c>
      <c r="FZ778">
        <v>17.418868750752509</v>
      </c>
      <c r="GA778">
        <v>12.105358916390923</v>
      </c>
      <c r="GB778">
        <v>4.987136095465285</v>
      </c>
      <c r="GC778">
        <v>3.1764744264307057</v>
      </c>
      <c r="GD778">
        <v>1.4841554401598958</v>
      </c>
      <c r="GE778">
        <v>1.7715921146511626</v>
      </c>
      <c r="GF778">
        <v>1.2627066875430251</v>
      </c>
      <c r="GG778">
        <v>1.7516114509397644</v>
      </c>
      <c r="GH778">
        <v>7.0990529151046733</v>
      </c>
      <c r="GI778">
        <v>6.0064850633688351</v>
      </c>
      <c r="GJ778"/>
      <c r="GK778">
        <v>17.491633388982276</v>
      </c>
      <c r="GL778">
        <v>10.256733555083295</v>
      </c>
      <c r="GM778">
        <v>8.2997632087355928</v>
      </c>
      <c r="GN778">
        <v>9.5239210585379368</v>
      </c>
      <c r="GO778">
        <v>5.7617561216780224</v>
      </c>
      <c r="GP778">
        <v>3.3917151162790695</v>
      </c>
      <c r="GQ778">
        <v>1.5473153180354264</v>
      </c>
      <c r="GR778">
        <v>2.4651393921095006</v>
      </c>
      <c r="GS778">
        <v>7.5728734134161586</v>
      </c>
      <c r="GT778">
        <v>8.1346682901694933</v>
      </c>
      <c r="GU778"/>
      <c r="GV778"/>
      <c r="GW778"/>
      <c r="GX778"/>
      <c r="GY778"/>
      <c r="GZ778"/>
      <c r="HA778"/>
      <c r="HB778"/>
      <c r="HC778"/>
    </row>
    <row r="779" spans="1:211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61.538662583901747</v>
      </c>
      <c r="AO779">
        <v>7.8166274083073333</v>
      </c>
      <c r="AP779">
        <v>10.306592556821682</v>
      </c>
      <c r="AQ779">
        <v>58.248429472227684</v>
      </c>
      <c r="AR779">
        <v>8.1647237573248521</v>
      </c>
      <c r="AS779">
        <v>48.483566877849796</v>
      </c>
      <c r="AT779">
        <v>6.420422553287751</v>
      </c>
      <c r="AU779">
        <v>-1.4522626945462154</v>
      </c>
      <c r="AV779"/>
      <c r="AW779"/>
      <c r="FY779" s="211">
        <v>774</v>
      </c>
      <c r="FZ779">
        <v>15.1771880943512</v>
      </c>
      <c r="GA779">
        <v>14.29938385140842</v>
      </c>
      <c r="GB779">
        <v>6.0847688477604471</v>
      </c>
      <c r="GC779">
        <v>3.0018987312744287</v>
      </c>
      <c r="GD779">
        <v>1.2984341809943312</v>
      </c>
      <c r="GE779">
        <v>1.3111913902941177</v>
      </c>
      <c r="GF779">
        <v>0.66330071966787318</v>
      </c>
      <c r="GG779">
        <v>0.90314713503810828</v>
      </c>
      <c r="GH779">
        <v>5.0325342660826387</v>
      </c>
      <c r="GI779">
        <v>5.4009077127327343</v>
      </c>
      <c r="GJ779"/>
      <c r="GK779">
        <v>15.237413913891762</v>
      </c>
      <c r="GL779">
        <v>12.11828619457126</v>
      </c>
      <c r="GM779">
        <v>10.079082539050226</v>
      </c>
      <c r="GN779">
        <v>8.958514371166812</v>
      </c>
      <c r="GO779">
        <v>5.0541263854859073</v>
      </c>
      <c r="GP779">
        <v>2.5102774064171123</v>
      </c>
      <c r="GQ779">
        <v>0.81049083899320351</v>
      </c>
      <c r="GR779">
        <v>1.2694028760302405</v>
      </c>
      <c r="GS779">
        <v>5.3653630300226345</v>
      </c>
      <c r="GT779">
        <v>7.3092953414887472</v>
      </c>
      <c r="GU779"/>
      <c r="GV779"/>
      <c r="GW779"/>
      <c r="GX779"/>
      <c r="GY779"/>
      <c r="GZ779"/>
      <c r="HA779"/>
      <c r="HB779"/>
      <c r="HC779"/>
    </row>
    <row r="780" spans="1:211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66.460562312014474</v>
      </c>
      <c r="AO780">
        <v>7.7842652734145874</v>
      </c>
      <c r="AP780">
        <v>47.082165150859907</v>
      </c>
      <c r="AQ780">
        <v>52.248221861069055</v>
      </c>
      <c r="AR780">
        <v>8.1127306653860316</v>
      </c>
      <c r="AS780">
        <v>49.445121196419962</v>
      </c>
      <c r="AT780" t="e">
        <v>#DIV/0!</v>
      </c>
      <c r="AU780" t="e">
        <v>#DIV/0!</v>
      </c>
      <c r="AV780"/>
      <c r="AW780"/>
      <c r="FY780" s="211">
        <v>775</v>
      </c>
      <c r="FZ780">
        <v>11.575092770421639</v>
      </c>
      <c r="GA780">
        <v>7.4414400919901249</v>
      </c>
      <c r="GB780">
        <v>5.5505919185905945</v>
      </c>
      <c r="GC780">
        <v>2.8254691840293131</v>
      </c>
      <c r="GD780">
        <v>1.2505302998864893</v>
      </c>
      <c r="GE780">
        <v>1.4348509685714284</v>
      </c>
      <c r="GF780">
        <v>1.7532871258461631</v>
      </c>
      <c r="GG780">
        <v>1.8998421515866333</v>
      </c>
      <c r="GH780">
        <v>3.4339883593322682</v>
      </c>
      <c r="GI780">
        <v>4.6523789883105957</v>
      </c>
      <c r="GJ780"/>
      <c r="GK780">
        <v>11.641184635748656</v>
      </c>
      <c r="GL780">
        <v>6.3051710275707107</v>
      </c>
      <c r="GM780">
        <v>9.1917197960815624</v>
      </c>
      <c r="GN780">
        <v>8.4183567412607339</v>
      </c>
      <c r="GO780">
        <v>4.8581562707123274</v>
      </c>
      <c r="GP780">
        <v>2.7470238095238093</v>
      </c>
      <c r="GQ780">
        <v>2.1438404742827033</v>
      </c>
      <c r="GR780">
        <v>2.6704608446530735</v>
      </c>
      <c r="GS780">
        <v>3.6625581180687568</v>
      </c>
      <c r="GT780">
        <v>6.2994918589788016</v>
      </c>
      <c r="GU780"/>
      <c r="GV780"/>
      <c r="GW780"/>
      <c r="GX780"/>
      <c r="GY780"/>
      <c r="GZ780"/>
      <c r="HA780"/>
      <c r="HB780"/>
      <c r="HC780"/>
    </row>
    <row r="781" spans="1:211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55.408299247246859</v>
      </c>
      <c r="AO781">
        <v>6.3430113770594856</v>
      </c>
      <c r="AP781">
        <v>29.423059403475047</v>
      </c>
      <c r="AQ781">
        <v>44.686594346648697</v>
      </c>
      <c r="AR781">
        <v>6.6376499477102744</v>
      </c>
      <c r="AS781">
        <v>41.360193035348665</v>
      </c>
      <c r="AT781" t="e">
        <v>#DIV/0!</v>
      </c>
      <c r="AU781" t="e">
        <v>#DIV/0!</v>
      </c>
      <c r="AV781"/>
      <c r="AW781"/>
      <c r="FY781" s="211">
        <v>776</v>
      </c>
      <c r="FZ781">
        <v>12.344016137806918</v>
      </c>
      <c r="GA781">
        <v>11.188632249064689</v>
      </c>
      <c r="GB781">
        <v>4.2499386339671537</v>
      </c>
      <c r="GC781">
        <v>2.0490898073129347</v>
      </c>
      <c r="GD781">
        <v>1.4316559059113059</v>
      </c>
      <c r="GE781">
        <v>1.8154178116112956</v>
      </c>
      <c r="GF781">
        <v>2.8968448000339668</v>
      </c>
      <c r="GG781">
        <v>3.2225792573482792</v>
      </c>
      <c r="GH781">
        <v>3.442548669479673</v>
      </c>
      <c r="GI781">
        <v>4.7614941151035488</v>
      </c>
      <c r="GJ781"/>
      <c r="GK781">
        <v>12.403639527619882</v>
      </c>
      <c r="GL781">
        <v>9.4796742895565043</v>
      </c>
      <c r="GM781">
        <v>7.0345599591561951</v>
      </c>
      <c r="GN781">
        <v>6.114727494217604</v>
      </c>
      <c r="GO781">
        <v>5.5714096415191365</v>
      </c>
      <c r="GP781">
        <v>3.4756194629014394</v>
      </c>
      <c r="GQ781">
        <v>3.5497810990338157</v>
      </c>
      <c r="GR781">
        <v>4.5353135064412236</v>
      </c>
      <c r="GS781">
        <v>3.6718317467494916</v>
      </c>
      <c r="GT781">
        <v>6.4462443948157038</v>
      </c>
      <c r="GU781"/>
      <c r="GV781"/>
      <c r="GW781"/>
      <c r="GX781"/>
      <c r="GY781"/>
      <c r="GZ781"/>
      <c r="HA781"/>
      <c r="HB781"/>
      <c r="HC781"/>
    </row>
    <row r="782" spans="1:211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53.916492242454638</v>
      </c>
      <c r="AO782">
        <v>6.1517259591407223</v>
      </c>
      <c r="AP782">
        <v>35.227390929869401</v>
      </c>
      <c r="AQ782">
        <v>45.261542439518088</v>
      </c>
      <c r="AR782">
        <v>6.668019108199271</v>
      </c>
      <c r="AS782">
        <v>42.296697860355998</v>
      </c>
      <c r="AT782" t="e">
        <v>#DIV/0!</v>
      </c>
      <c r="AU782" t="e">
        <v>#DIV/0!</v>
      </c>
      <c r="AV782"/>
      <c r="AW782"/>
      <c r="FY782" s="211">
        <v>777</v>
      </c>
      <c r="FZ782">
        <v>14.382810363359987</v>
      </c>
      <c r="GA782">
        <v>12.741308049392952</v>
      </c>
      <c r="GB782">
        <v>6.5488268753119963</v>
      </c>
      <c r="GC782">
        <v>3.3317071026055523</v>
      </c>
      <c r="GD782">
        <v>1.5123353216434299</v>
      </c>
      <c r="GE782">
        <v>1.922518739579832</v>
      </c>
      <c r="GF782">
        <v>0.66330071966787318</v>
      </c>
      <c r="GG782">
        <v>0.90314713503810828</v>
      </c>
      <c r="GH782">
        <v>8.2857226897091039</v>
      </c>
      <c r="GI782">
        <v>6.0357208550111068</v>
      </c>
      <c r="GJ782"/>
      <c r="GK782">
        <v>14.433633547254146</v>
      </c>
      <c r="GL782">
        <v>10.796255084967251</v>
      </c>
      <c r="GM782">
        <v>10.920458542627875</v>
      </c>
      <c r="GN782">
        <v>10.030735883477863</v>
      </c>
      <c r="GO782">
        <v>5.8622729835097838</v>
      </c>
      <c r="GP782">
        <v>3.6806643111790169</v>
      </c>
      <c r="GQ782">
        <v>0.81049083899320351</v>
      </c>
      <c r="GR782">
        <v>1.2694028760302405</v>
      </c>
      <c r="GS782">
        <v>8.8349815028343546</v>
      </c>
      <c r="GT782">
        <v>8.1723674830438728</v>
      </c>
      <c r="GU782"/>
      <c r="GV782"/>
      <c r="GW782"/>
      <c r="GX782"/>
      <c r="GY782"/>
      <c r="GZ782"/>
      <c r="HA782"/>
      <c r="HB782"/>
      <c r="HC782"/>
    </row>
    <row r="783" spans="1:211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50.03919286905996</v>
      </c>
      <c r="AO783">
        <v>6.0545506644614733</v>
      </c>
      <c r="AP783">
        <v>4.6712087326947129</v>
      </c>
      <c r="AQ783">
        <v>42.662511206122204</v>
      </c>
      <c r="AR783">
        <v>6.112646592674011</v>
      </c>
      <c r="AS783">
        <v>39.424634990860049</v>
      </c>
      <c r="AT783">
        <v>4.8932797410244122</v>
      </c>
      <c r="AU783">
        <v>4.4092901178438426</v>
      </c>
      <c r="AV783"/>
      <c r="AW783"/>
      <c r="FY783" s="211">
        <v>778</v>
      </c>
      <c r="FZ783">
        <v>13.250507260673675</v>
      </c>
      <c r="GA783">
        <v>14.159002249412259</v>
      </c>
      <c r="GB783">
        <v>5.5885942746241133</v>
      </c>
      <c r="GC783">
        <v>2.4969797674947549</v>
      </c>
      <c r="GD783">
        <v>1.5498228376746139</v>
      </c>
      <c r="GE783">
        <v>1.8079609526196991</v>
      </c>
      <c r="GF783">
        <v>2.912442786941424</v>
      </c>
      <c r="GG783">
        <v>2.9096039327509708</v>
      </c>
      <c r="GH783">
        <v>2.4153539670035005</v>
      </c>
      <c r="GI783">
        <v>5.1316078796255509</v>
      </c>
      <c r="GJ783"/>
      <c r="GK783">
        <v>13.280450148801878</v>
      </c>
      <c r="GL783">
        <v>11.995637718619241</v>
      </c>
      <c r="GM783">
        <v>9.2574154183686037</v>
      </c>
      <c r="GN783">
        <v>7.4405524763585627</v>
      </c>
      <c r="GO783">
        <v>6.0091111550328371</v>
      </c>
      <c r="GP783">
        <v>3.4613432978899805</v>
      </c>
      <c r="GQ783">
        <v>3.5665798083973907</v>
      </c>
      <c r="GR783">
        <v>4.093200178767761</v>
      </c>
      <c r="GS783">
        <v>2.5758001272011763</v>
      </c>
      <c r="GT783">
        <v>6.9378713315603768</v>
      </c>
      <c r="GU783"/>
      <c r="GV783"/>
      <c r="GW783"/>
      <c r="GX783"/>
      <c r="GY783"/>
      <c r="GZ783"/>
      <c r="HA783"/>
      <c r="HB783"/>
      <c r="HC783"/>
    </row>
    <row r="784" spans="1:211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57.505102631335532</v>
      </c>
      <c r="AO784">
        <v>6.8359582123227298</v>
      </c>
      <c r="AP784">
        <v>4.5165554953651919</v>
      </c>
      <c r="AQ784">
        <v>46.249059147064749</v>
      </c>
      <c r="AR784">
        <v>7.4348036552516117</v>
      </c>
      <c r="AS784">
        <v>43.410045068765726</v>
      </c>
      <c r="AT784">
        <v>5.8619317576486898</v>
      </c>
      <c r="AU784">
        <v>1.7170693767868954</v>
      </c>
      <c r="AV784"/>
      <c r="AW784"/>
      <c r="FY784" s="211">
        <v>779</v>
      </c>
      <c r="FZ784">
        <v>14.716727464150761</v>
      </c>
      <c r="GA784">
        <v>15.46282793407023</v>
      </c>
      <c r="GB784">
        <v>8.0110952001027158</v>
      </c>
      <c r="GC784">
        <v>3.5635039601336622</v>
      </c>
      <c r="GD784">
        <v>2.068412244203961</v>
      </c>
      <c r="GE784">
        <v>2.7830533361911285</v>
      </c>
      <c r="GF784">
        <v>0.60804645810537317</v>
      </c>
      <c r="GG784">
        <v>1.6515301871214416</v>
      </c>
      <c r="GH784">
        <v>5.2574778483392688</v>
      </c>
      <c r="GI784">
        <v>6.2735222435038516</v>
      </c>
      <c r="GJ784"/>
      <c r="GK784">
        <v>14.767392280579864</v>
      </c>
      <c r="GL784">
        <v>13.100886852340677</v>
      </c>
      <c r="GM784">
        <v>13.303816603053132</v>
      </c>
      <c r="GN784">
        <v>10.673947191234522</v>
      </c>
      <c r="GO784">
        <v>8.0293209971737376</v>
      </c>
      <c r="GP784">
        <v>5.3281587740804577</v>
      </c>
      <c r="GQ784">
        <v>0.74278250565987025</v>
      </c>
      <c r="GR784">
        <v>2.3226436167709812</v>
      </c>
      <c r="GS784">
        <v>5.605825039137776</v>
      </c>
      <c r="GT784">
        <v>8.489827485120875</v>
      </c>
      <c r="GU784"/>
      <c r="GV784"/>
      <c r="GW784"/>
      <c r="GX784"/>
      <c r="GY784"/>
      <c r="GZ784"/>
      <c r="HA784"/>
      <c r="HB784"/>
      <c r="HC784"/>
    </row>
    <row r="785" spans="1:211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62.681871689196576</v>
      </c>
      <c r="AO785">
        <v>7.3575353718078587</v>
      </c>
      <c r="AP785">
        <v>80.384477756381443</v>
      </c>
      <c r="AQ785">
        <v>50.71422694438975</v>
      </c>
      <c r="AR785">
        <v>7.4798379315936847</v>
      </c>
      <c r="AS785">
        <v>46.32399591375998</v>
      </c>
      <c r="AT785" t="e">
        <v>#DIV/0!</v>
      </c>
      <c r="AU785" t="e">
        <v>#DIV/0!</v>
      </c>
      <c r="AV785"/>
      <c r="AW785"/>
      <c r="FY785" s="211">
        <v>780</v>
      </c>
      <c r="FZ785">
        <v>9.5080850774045764</v>
      </c>
      <c r="GA785">
        <v>6.7673134661410286</v>
      </c>
      <c r="GB785">
        <v>6.7010557552253971</v>
      </c>
      <c r="GC785">
        <v>3.2722314734786053</v>
      </c>
      <c r="GD785">
        <v>1.4439302066792703</v>
      </c>
      <c r="GE785">
        <v>2.1700810545798324</v>
      </c>
      <c r="GF785">
        <v>3.0471897872041014</v>
      </c>
      <c r="GG785">
        <v>3.3996944793734478</v>
      </c>
      <c r="GH785">
        <v>5.497091379311299</v>
      </c>
      <c r="GI785">
        <v>5.3041106239355482</v>
      </c>
      <c r="GJ785"/>
      <c r="GK785">
        <v>9.5641174203864754</v>
      </c>
      <c r="GL785">
        <v>5.7333818988266296</v>
      </c>
      <c r="GM785">
        <v>11.179315716252054</v>
      </c>
      <c r="GN785">
        <v>9.87238231080938</v>
      </c>
      <c r="GO785">
        <v>5.6087677338211996</v>
      </c>
      <c r="GP785">
        <v>4.1546226445123509</v>
      </c>
      <c r="GQ785">
        <v>3.7247532110452775</v>
      </c>
      <c r="GR785">
        <v>4.7779939517860184</v>
      </c>
      <c r="GS785">
        <v>5.8619340610509205</v>
      </c>
      <c r="GT785">
        <v>7.187777628511185</v>
      </c>
      <c r="GU785"/>
      <c r="GV785"/>
      <c r="GW785"/>
      <c r="GX785"/>
      <c r="GY785"/>
      <c r="GZ785"/>
      <c r="HA785"/>
      <c r="HB785"/>
      <c r="HC785"/>
    </row>
    <row r="786" spans="1:211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66.634293159655442</v>
      </c>
      <c r="AO786">
        <v>7.8460795862353097</v>
      </c>
      <c r="AP786">
        <v>42.9542122937751</v>
      </c>
      <c r="AQ786">
        <v>57.827005353212442</v>
      </c>
      <c r="AR786">
        <v>7.943087554556798</v>
      </c>
      <c r="AS786">
        <v>47.706632666367028</v>
      </c>
      <c r="AT786" t="e">
        <v>#DIV/0!</v>
      </c>
      <c r="AU786" t="e">
        <v>#DIV/0!</v>
      </c>
      <c r="AV786"/>
      <c r="AW786"/>
      <c r="FY786" s="211">
        <v>781</v>
      </c>
      <c r="FZ786">
        <v>9.9540495999096308</v>
      </c>
      <c r="GA786">
        <v>9.2306812012157256</v>
      </c>
      <c r="GB786">
        <v>6.5763163075562829</v>
      </c>
      <c r="GC786">
        <v>3.8368027931217048</v>
      </c>
      <c r="GD786">
        <v>2.1621058961620045</v>
      </c>
      <c r="GE786">
        <v>2.4445497626196993</v>
      </c>
      <c r="GF786">
        <v>3.0003958264817316</v>
      </c>
      <c r="GG786">
        <v>2.4676628229570396</v>
      </c>
      <c r="GH786">
        <v>4.0059566231232804</v>
      </c>
      <c r="GI786">
        <v>5.5107110299241668</v>
      </c>
      <c r="GJ786"/>
      <c r="GK786">
        <v>9.9923538600370598</v>
      </c>
      <c r="GL786">
        <v>7.8221821218385426</v>
      </c>
      <c r="GM786">
        <v>10.970622717133661</v>
      </c>
      <c r="GN786">
        <v>11.569944231925888</v>
      </c>
      <c r="GO786">
        <v>8.4138083277212896</v>
      </c>
      <c r="GP786">
        <v>4.6800932978899805</v>
      </c>
      <c r="GQ786">
        <v>3.6743570829545567</v>
      </c>
      <c r="GR786">
        <v>3.4712320829545567</v>
      </c>
      <c r="GS786">
        <v>4.2707461817708197</v>
      </c>
      <c r="GT786">
        <v>7.4643776339234789</v>
      </c>
      <c r="GU786"/>
      <c r="GV786"/>
      <c r="GW786"/>
      <c r="GX786"/>
      <c r="GY786"/>
      <c r="GZ786"/>
      <c r="HA786"/>
      <c r="HB786"/>
      <c r="HC786"/>
    </row>
    <row r="787" spans="1:211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58.407937682609507</v>
      </c>
      <c r="AO787">
        <v>6.4931418911794498</v>
      </c>
      <c r="AP787">
        <v>90.835069968114837</v>
      </c>
      <c r="AQ787">
        <v>50.332176304554459</v>
      </c>
      <c r="AR787">
        <v>6.8477817174504949</v>
      </c>
      <c r="AS787">
        <v>41.643526634856642</v>
      </c>
      <c r="AT787" t="e">
        <v>#DIV/0!</v>
      </c>
      <c r="AU787" t="e">
        <v>#DIV/0!</v>
      </c>
      <c r="AV787"/>
      <c r="AW787"/>
      <c r="FY787" s="211">
        <v>782</v>
      </c>
      <c r="FZ787">
        <v>6.8700962233783329</v>
      </c>
      <c r="GA787">
        <v>5.5562594958600569</v>
      </c>
      <c r="GB787">
        <v>6.0708789093029312</v>
      </c>
      <c r="GC787">
        <v>3.2818619287529955</v>
      </c>
      <c r="GD787">
        <v>2.2450436303020624</v>
      </c>
      <c r="GE787">
        <v>2.5179295779138169</v>
      </c>
      <c r="GF787">
        <v>1.2074524259805255</v>
      </c>
      <c r="GG787">
        <v>1.7516114509397644</v>
      </c>
      <c r="GH787">
        <v>4.4035573993113006</v>
      </c>
      <c r="GI787">
        <v>4.7092499122377136</v>
      </c>
      <c r="GJ787"/>
      <c r="GK787">
        <v>6.9195111610150377</v>
      </c>
      <c r="GL787">
        <v>4.7067377195022964</v>
      </c>
      <c r="GM787">
        <v>10.057354490678797</v>
      </c>
      <c r="GN787">
        <v>9.7934217470698481</v>
      </c>
      <c r="GO787">
        <v>8.7251489781628866</v>
      </c>
      <c r="GP787">
        <v>4.8205790376404272</v>
      </c>
      <c r="GQ787">
        <v>1.4796069847020934</v>
      </c>
      <c r="GR787">
        <v>2.4651393921095006</v>
      </c>
      <c r="GS787">
        <v>4.6952673943842553</v>
      </c>
      <c r="GT787">
        <v>6.3753778017886145</v>
      </c>
      <c r="GU787"/>
      <c r="GV787"/>
      <c r="GW787"/>
      <c r="GX787"/>
      <c r="GY787"/>
      <c r="GZ787"/>
      <c r="HA787"/>
      <c r="HB787"/>
      <c r="HC787"/>
    </row>
    <row r="788" spans="1:211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53.475857337027186</v>
      </c>
      <c r="AO788">
        <v>6.0877601377958621</v>
      </c>
      <c r="AP788">
        <v>61.062435154007659</v>
      </c>
      <c r="AQ788">
        <v>43.957350647433245</v>
      </c>
      <c r="AR788">
        <v>6.2876647967264621</v>
      </c>
      <c r="AS788">
        <v>41.761171739668193</v>
      </c>
      <c r="AT788" t="e">
        <v>#DIV/0!</v>
      </c>
      <c r="AU788" t="e">
        <v>#DIV/0!</v>
      </c>
      <c r="AV788"/>
      <c r="AW788"/>
      <c r="FY788" s="211">
        <v>783</v>
      </c>
      <c r="FZ788">
        <v>11.220055396529137</v>
      </c>
      <c r="GA788">
        <v>10.889790342149517</v>
      </c>
      <c r="GB788">
        <v>5.0945055082964386</v>
      </c>
      <c r="GC788">
        <v>2.3042406471376018</v>
      </c>
      <c r="GD788">
        <v>1.8314153637137005</v>
      </c>
      <c r="GE788">
        <v>2.3485562119054131</v>
      </c>
      <c r="GF788">
        <v>1.1452406677407898</v>
      </c>
      <c r="GG788">
        <v>0.9966950165485251</v>
      </c>
      <c r="GH788">
        <v>5.6257666718845769</v>
      </c>
      <c r="GI788">
        <v>5.0595323124324079</v>
      </c>
      <c r="GJ788"/>
      <c r="GK788">
        <v>11.271679622468309</v>
      </c>
      <c r="GL788">
        <v>9.226102703888829</v>
      </c>
      <c r="GM788">
        <v>8.4749113081016407</v>
      </c>
      <c r="GN788">
        <v>6.9271200479103268</v>
      </c>
      <c r="GO788">
        <v>7.1096714642915009</v>
      </c>
      <c r="GP788">
        <v>4.4963135359852187</v>
      </c>
      <c r="GQ788">
        <v>1.4010579686228333</v>
      </c>
      <c r="GR788">
        <v>1.4010579686228333</v>
      </c>
      <c r="GS788">
        <v>5.9937788813413624</v>
      </c>
      <c r="GT788">
        <v>6.8502198489651294</v>
      </c>
      <c r="GU788"/>
      <c r="GV788"/>
      <c r="GW788"/>
      <c r="GX788"/>
      <c r="GY788"/>
      <c r="GZ788"/>
      <c r="HA788"/>
      <c r="HB788"/>
      <c r="HC788"/>
    </row>
    <row r="789" spans="1:211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60.032805375970064</v>
      </c>
      <c r="AO789">
        <v>7.4445518863026763</v>
      </c>
      <c r="AP789">
        <v>3.9301053064435001</v>
      </c>
      <c r="AQ789">
        <v>57.063441860806776</v>
      </c>
      <c r="AR789">
        <v>8.1346682901694987</v>
      </c>
      <c r="AS789">
        <v>53.846987513295744</v>
      </c>
      <c r="AT789">
        <v>6.531376213910363</v>
      </c>
      <c r="AU789">
        <v>2.789536962035676</v>
      </c>
      <c r="AV789"/>
      <c r="AW789"/>
      <c r="FY789" s="211">
        <v>784</v>
      </c>
      <c r="FZ789">
        <v>10.791318715914992</v>
      </c>
      <c r="GA789">
        <v>8.501026056292547</v>
      </c>
      <c r="GB789">
        <v>5.3458254058604728</v>
      </c>
      <c r="GC789">
        <v>2.765988439728178</v>
      </c>
      <c r="GD789">
        <v>0.949487212320271</v>
      </c>
      <c r="GE789">
        <v>1.072730866611296</v>
      </c>
      <c r="GF789">
        <v>1.2713471777732464</v>
      </c>
      <c r="GG789">
        <v>1.4321027440345502</v>
      </c>
      <c r="GH789">
        <v>4.1410984554327985</v>
      </c>
      <c r="GI789">
        <v>4.3400480786889455</v>
      </c>
      <c r="GJ789"/>
      <c r="GK789">
        <v>10.849846726514365</v>
      </c>
      <c r="GL789">
        <v>7.2028830639118615</v>
      </c>
      <c r="GM789">
        <v>8.8895486839099949</v>
      </c>
      <c r="GN789">
        <v>8.2991260181439959</v>
      </c>
      <c r="GO789">
        <v>3.6916693141150505</v>
      </c>
      <c r="GP789">
        <v>2.0537444629014403</v>
      </c>
      <c r="GQ789">
        <v>1.5532733446530738</v>
      </c>
      <c r="GR789">
        <v>2.0121853816901107</v>
      </c>
      <c r="GS789">
        <v>4.4163422671830777</v>
      </c>
      <c r="GT789">
        <v>5.880136067275112</v>
      </c>
      <c r="GU789"/>
      <c r="GV789"/>
      <c r="GW789"/>
      <c r="GX789"/>
      <c r="GY789"/>
      <c r="GZ789"/>
      <c r="HA789"/>
      <c r="HB789"/>
      <c r="HC789"/>
    </row>
    <row r="790" spans="1:211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56.638688932175818</v>
      </c>
      <c r="AO790">
        <v>6.8712252897117905</v>
      </c>
      <c r="AP790">
        <v>4.1565599439184577</v>
      </c>
      <c r="AQ790">
        <v>53.172754929604309</v>
      </c>
      <c r="AR790">
        <v>7.3092953414887489</v>
      </c>
      <c r="AS790">
        <v>47.568520531106458</v>
      </c>
      <c r="AT790">
        <v>5.9159331957577335</v>
      </c>
      <c r="AU790">
        <v>3.1341259718168732</v>
      </c>
      <c r="AV790"/>
      <c r="AW790"/>
      <c r="FY790" s="211">
        <v>785</v>
      </c>
      <c r="FZ790">
        <v>10.408370863736275</v>
      </c>
      <c r="GA790">
        <v>13.060291682578949</v>
      </c>
      <c r="GB790">
        <v>6.1040608231909408</v>
      </c>
      <c r="GC790">
        <v>2.4949147454192833</v>
      </c>
      <c r="GD790">
        <v>0.97717822771312812</v>
      </c>
      <c r="GE790">
        <v>1.2141950466112956</v>
      </c>
      <c r="GF790">
        <v>3.0385492969738808</v>
      </c>
      <c r="GG790">
        <v>3.3450116602369966</v>
      </c>
      <c r="GH790">
        <v>5.6889476248430277</v>
      </c>
      <c r="GI790">
        <v>5.0531817406275552</v>
      </c>
      <c r="GJ790"/>
      <c r="GK790">
        <v>10.440395256677803</v>
      </c>
      <c r="GL790">
        <v>11.066227349297671</v>
      </c>
      <c r="GM790">
        <v>10.189245139968948</v>
      </c>
      <c r="GN790">
        <v>7.5582622287046917</v>
      </c>
      <c r="GO790">
        <v>3.7990353855436219</v>
      </c>
      <c r="GP790">
        <v>2.3245777962347729</v>
      </c>
      <c r="GQ790">
        <v>3.718795184427631</v>
      </c>
      <c r="GR790">
        <v>4.7043275918350389</v>
      </c>
      <c r="GS790">
        <v>6.066761976895533</v>
      </c>
      <c r="GT790">
        <v>6.8428465887027068</v>
      </c>
      <c r="GU790"/>
      <c r="GV790"/>
      <c r="GW790"/>
      <c r="GX790"/>
      <c r="GY790"/>
      <c r="GZ790"/>
      <c r="HA790"/>
      <c r="HB790"/>
      <c r="HC790"/>
    </row>
    <row r="791" spans="1:211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48.991225228080317</v>
      </c>
      <c r="AO791">
        <v>5.7937963576881142</v>
      </c>
      <c r="AP791">
        <v>28.18780684768987</v>
      </c>
      <c r="AQ791">
        <v>41.817471858565249</v>
      </c>
      <c r="AR791">
        <v>6.2994918589788025</v>
      </c>
      <c r="AS791">
        <v>38.813823430287975</v>
      </c>
      <c r="AT791" t="e">
        <v>#DIV/0!</v>
      </c>
      <c r="AU791" t="e">
        <v>#DIV/0!</v>
      </c>
      <c r="AV791"/>
      <c r="AW791"/>
      <c r="FY791" s="211">
        <v>786</v>
      </c>
      <c r="FZ791">
        <v>13.62532866075424</v>
      </c>
      <c r="GA791">
        <v>8.9267480701181707</v>
      </c>
      <c r="GB791">
        <v>5.598513285933751</v>
      </c>
      <c r="GC791">
        <v>3.4127123909540824</v>
      </c>
      <c r="GD791">
        <v>3.1313172110509928</v>
      </c>
      <c r="GE791">
        <v>5.4317003704621856</v>
      </c>
      <c r="GF791">
        <v>0.1657627846875</v>
      </c>
      <c r="GG791">
        <v>0.74838305208333333</v>
      </c>
      <c r="GH791">
        <v>7.9187920471680897</v>
      </c>
      <c r="GI791">
        <v>6.4689579509708643</v>
      </c>
      <c r="GJ791"/>
      <c r="GK791">
        <v>13.686666229657435</v>
      </c>
      <c r="GL791">
        <v>7.5636520356093424</v>
      </c>
      <c r="GM791">
        <v>9.3129757468194381</v>
      </c>
      <c r="GN791">
        <v>10.217882671711422</v>
      </c>
      <c r="GO791">
        <v>12.139533774189692</v>
      </c>
      <c r="GP791">
        <v>10.398996530430354</v>
      </c>
      <c r="GQ791">
        <v>0.203125</v>
      </c>
      <c r="GR791">
        <v>1.0532407407407407</v>
      </c>
      <c r="GS791">
        <v>8.4455434391322903</v>
      </c>
      <c r="GT791">
        <v>8.75756883795977</v>
      </c>
      <c r="GU791"/>
      <c r="GV791"/>
      <c r="GW791"/>
      <c r="GX791"/>
      <c r="GY791"/>
      <c r="GZ791"/>
      <c r="HA791"/>
      <c r="HB791"/>
      <c r="HC791"/>
    </row>
    <row r="792" spans="1:211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52.367734226792606</v>
      </c>
      <c r="AO792">
        <v>6.2282801122011007</v>
      </c>
      <c r="AP792">
        <v>2.7194170477146584</v>
      </c>
      <c r="AQ792">
        <v>47.402217387639766</v>
      </c>
      <c r="AR792">
        <v>6.4462443948157055</v>
      </c>
      <c r="AS792">
        <v>39.606226912563706</v>
      </c>
      <c r="AT792">
        <v>5.174978073967762</v>
      </c>
      <c r="AU792">
        <v>4.0845238164131104</v>
      </c>
      <c r="AV792"/>
      <c r="AW792"/>
      <c r="FY792" s="211">
        <v>787</v>
      </c>
      <c r="FZ792">
        <v>15.910958894671712</v>
      </c>
      <c r="GA792">
        <v>14.097608693658371</v>
      </c>
      <c r="GB792">
        <v>6.3040785305300737</v>
      </c>
      <c r="GC792">
        <v>3.2114192142029103</v>
      </c>
      <c r="GD792">
        <v>1.9179843778013634</v>
      </c>
      <c r="GE792">
        <v>2.5001249761911275</v>
      </c>
      <c r="GF792">
        <v>1.3110034524282899</v>
      </c>
      <c r="GG792">
        <v>1.7450780686318585</v>
      </c>
      <c r="GH792">
        <v>6.5869371494141014</v>
      </c>
      <c r="GI792">
        <v>6.2800958630099348</v>
      </c>
      <c r="GJ792"/>
      <c r="GK792">
        <v>15.990381184801073</v>
      </c>
      <c r="GL792">
        <v>11.94342230834366</v>
      </c>
      <c r="GM792">
        <v>10.442054777832762</v>
      </c>
      <c r="GN792">
        <v>9.5733749820941636</v>
      </c>
      <c r="GO792">
        <v>7.4468127919607348</v>
      </c>
      <c r="GP792">
        <v>4.7864921074137898</v>
      </c>
      <c r="GQ792">
        <v>1.6041829686228333</v>
      </c>
      <c r="GR792">
        <v>2.4542987093635737</v>
      </c>
      <c r="GS792">
        <v>7.0227747488675103</v>
      </c>
      <c r="GT792">
        <v>8.5012412944169817</v>
      </c>
      <c r="GU792"/>
      <c r="GV792"/>
      <c r="GW792"/>
      <c r="GX792"/>
      <c r="GY792"/>
      <c r="GZ792"/>
      <c r="HA792"/>
      <c r="HB792"/>
      <c r="HC792"/>
    </row>
    <row r="793" spans="1:211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62.983929422283872</v>
      </c>
      <c r="AO793">
        <v>7.4811263053917596</v>
      </c>
      <c r="AP793">
        <v>4.3043788712875841</v>
      </c>
      <c r="AQ793">
        <v>56.327397851319937</v>
      </c>
      <c r="AR793">
        <v>8.1723674830438728</v>
      </c>
      <c r="AS793">
        <v>49.664293498302499</v>
      </c>
      <c r="AT793">
        <v>6.490313050808747</v>
      </c>
      <c r="AU793">
        <v>0.72979331879825615</v>
      </c>
      <c r="AV793"/>
      <c r="AW793"/>
      <c r="FY793" s="211">
        <v>788</v>
      </c>
      <c r="FZ793">
        <v>10.580587712440245</v>
      </c>
      <c r="GA793">
        <v>11.227289324955832</v>
      </c>
      <c r="GB793">
        <v>6.9421571023523052</v>
      </c>
      <c r="GC793">
        <v>3.7682754649165009</v>
      </c>
      <c r="GD793">
        <v>2.2092516779138607</v>
      </c>
      <c r="GE793">
        <v>3.1730826241596639</v>
      </c>
      <c r="GF793">
        <v>1.2074524259805255</v>
      </c>
      <c r="GG793">
        <v>1.7516114509397644</v>
      </c>
      <c r="GH793">
        <v>5.2389614240419986</v>
      </c>
      <c r="GI793">
        <v>5.58759549146043</v>
      </c>
      <c r="GJ793"/>
      <c r="GK793">
        <v>10.618926534616318</v>
      </c>
      <c r="GL793">
        <v>9.5140941937010624</v>
      </c>
      <c r="GM793">
        <v>11.535698824910389</v>
      </c>
      <c r="GN793">
        <v>11.301002343098538</v>
      </c>
      <c r="GO793">
        <v>8.5966061521893415</v>
      </c>
      <c r="GP793">
        <v>6.0748702890247008</v>
      </c>
      <c r="GQ793">
        <v>1.4796069847020934</v>
      </c>
      <c r="GR793">
        <v>2.4651393921095006</v>
      </c>
      <c r="GS793">
        <v>5.5849798782744502</v>
      </c>
      <c r="GT793">
        <v>7.5631636749385187</v>
      </c>
      <c r="GU793"/>
      <c r="GV793"/>
      <c r="GW793"/>
      <c r="GX793"/>
      <c r="GY793"/>
      <c r="GZ793"/>
      <c r="HA793"/>
      <c r="HB793"/>
      <c r="HC793"/>
    </row>
    <row r="794" spans="1:211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58.537381293242433</v>
      </c>
      <c r="AO794">
        <v>6.861796166099781</v>
      </c>
      <c r="AP794">
        <v>45.441056465841456</v>
      </c>
      <c r="AQ794">
        <v>52.221875908820557</v>
      </c>
      <c r="AR794">
        <v>6.9378713315603795</v>
      </c>
      <c r="AS794">
        <v>45.783767607479589</v>
      </c>
      <c r="AT794" t="e">
        <v>#DIV/0!</v>
      </c>
      <c r="AU794" t="e">
        <v>#DIV/0!</v>
      </c>
      <c r="AV794"/>
      <c r="AW794"/>
      <c r="FY794" s="211">
        <v>789</v>
      </c>
      <c r="FZ794">
        <v>14.868708072520221</v>
      </c>
      <c r="GA794">
        <v>11.357389705497535</v>
      </c>
      <c r="GB794">
        <v>3.6171169550909448</v>
      </c>
      <c r="GC794">
        <v>2.2684270976787957</v>
      </c>
      <c r="GD794">
        <v>1.756694426842162</v>
      </c>
      <c r="GE794">
        <v>2.4562992792309957</v>
      </c>
      <c r="GF794">
        <v>1.7446466356159418</v>
      </c>
      <c r="GG794">
        <v>1.8451593324501812</v>
      </c>
      <c r="GH794">
        <v>5.736984564739366</v>
      </c>
      <c r="GI794">
        <v>5.3187183718697169</v>
      </c>
      <c r="GJ794"/>
      <c r="GK794">
        <v>14.927682989073153</v>
      </c>
      <c r="GL794">
        <v>9.6233671672130292</v>
      </c>
      <c r="GM794">
        <v>5.995321041616875</v>
      </c>
      <c r="GN794">
        <v>6.758839264817821</v>
      </c>
      <c r="GO794">
        <v>6.8104679898139482</v>
      </c>
      <c r="GP794">
        <v>4.7025877607914222</v>
      </c>
      <c r="GQ794">
        <v>2.137882447665056</v>
      </c>
      <c r="GR794">
        <v>2.5967944847020932</v>
      </c>
      <c r="GS794">
        <v>6.1170659458672452</v>
      </c>
      <c r="GT794">
        <v>7.1976840828072568</v>
      </c>
      <c r="GU794"/>
      <c r="GV794"/>
      <c r="GW794"/>
      <c r="GX794"/>
      <c r="GY794"/>
      <c r="GZ794"/>
      <c r="HA794"/>
      <c r="HB794"/>
      <c r="HC794"/>
    </row>
    <row r="795" spans="1:211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70.799635848692816</v>
      </c>
      <c r="AO795">
        <v>8.2364601345151875</v>
      </c>
      <c r="AP795">
        <v>13.504824226039766</v>
      </c>
      <c r="AQ795">
        <v>60.396196875922399</v>
      </c>
      <c r="AR795">
        <v>8.489827485120875</v>
      </c>
      <c r="AS795">
        <v>53.754995430463232</v>
      </c>
      <c r="AT795" t="e">
        <v>#DIV/0!</v>
      </c>
      <c r="AU795" t="e">
        <v>#DIV/0!</v>
      </c>
      <c r="AV795"/>
      <c r="AW795"/>
      <c r="FY795" s="211">
        <v>790</v>
      </c>
      <c r="FZ795">
        <v>11.512460498958596</v>
      </c>
      <c r="GA795">
        <v>12.262099408767952</v>
      </c>
      <c r="GB795">
        <v>6.7788235443572962</v>
      </c>
      <c r="GC795">
        <v>3.6754943039960866</v>
      </c>
      <c r="GD795">
        <v>1.6339072368144569</v>
      </c>
      <c r="GE795">
        <v>1.8540737212624585</v>
      </c>
      <c r="GF795">
        <v>1.2783046744504822</v>
      </c>
      <c r="GG795">
        <v>1.0644446003007895</v>
      </c>
      <c r="GH795">
        <v>3.1468496443998406</v>
      </c>
      <c r="GI795">
        <v>5.0339552368546361</v>
      </c>
      <c r="GJ795"/>
      <c r="GK795">
        <v>11.546505459402157</v>
      </c>
      <c r="GL795">
        <v>10.390005084967251</v>
      </c>
      <c r="GM795">
        <v>11.226575478902529</v>
      </c>
      <c r="GN795">
        <v>10.950981498635361</v>
      </c>
      <c r="GO795">
        <v>6.3453635970607865</v>
      </c>
      <c r="GP795">
        <v>3.5496262458471759</v>
      </c>
      <c r="GQ795">
        <v>1.5641140273990009</v>
      </c>
      <c r="GR795">
        <v>1.4964056940656674</v>
      </c>
      <c r="GS795">
        <v>3.3552707628395568</v>
      </c>
      <c r="GT795">
        <v>6.8075658651208064</v>
      </c>
      <c r="GU795"/>
      <c r="GV795"/>
      <c r="GW795"/>
      <c r="GX795"/>
      <c r="GY795"/>
      <c r="GZ795"/>
      <c r="HA795"/>
      <c r="HB795"/>
      <c r="HC795"/>
    </row>
    <row r="796" spans="1:211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54.685242948556564</v>
      </c>
      <c r="AO796">
        <v>6.766504657700148</v>
      </c>
      <c r="AP796">
        <v>49.155790527747371</v>
      </c>
      <c r="AQ796">
        <v>47.110783303333115</v>
      </c>
      <c r="AR796">
        <v>7.1877776285111858</v>
      </c>
      <c r="AS796">
        <v>41.48354527151151</v>
      </c>
      <c r="AT796" t="e">
        <v>#DIV/0!</v>
      </c>
      <c r="AU796" t="e">
        <v>#DIV/0!</v>
      </c>
      <c r="AV796"/>
      <c r="AW796"/>
      <c r="FY796" s="211">
        <v>791</v>
      </c>
      <c r="FZ796">
        <v>9.2591285284237763</v>
      </c>
      <c r="GA796">
        <v>13.275532656289956</v>
      </c>
      <c r="GB796">
        <v>7.2559834752228323</v>
      </c>
      <c r="GC796">
        <v>2.845664229022566</v>
      </c>
      <c r="GD796">
        <v>1.5442130724007097</v>
      </c>
      <c r="GE796">
        <v>2.1740130585880397</v>
      </c>
      <c r="GF796">
        <v>0.77380924279287322</v>
      </c>
      <c r="GG796">
        <v>0.52895560899644167</v>
      </c>
      <c r="GH796">
        <v>5.2831253102799707</v>
      </c>
      <c r="GI796">
        <v>5.010139006187651</v>
      </c>
      <c r="GJ796"/>
      <c r="GK796">
        <v>9.289353590011137</v>
      </c>
      <c r="GL796">
        <v>11.247548043043743</v>
      </c>
      <c r="GM796">
        <v>12.017209422368856</v>
      </c>
      <c r="GN796">
        <v>8.4708366622852083</v>
      </c>
      <c r="GO796">
        <v>5.9858722382222398</v>
      </c>
      <c r="GP796">
        <v>4.1621504706533772</v>
      </c>
      <c r="GQ796">
        <v>0.94590750565987025</v>
      </c>
      <c r="GR796">
        <v>0.74278250565987025</v>
      </c>
      <c r="GS796">
        <v>5.6312966249756746</v>
      </c>
      <c r="GT796">
        <v>6.773927876247555</v>
      </c>
      <c r="GU796"/>
      <c r="GV796"/>
      <c r="GW796"/>
      <c r="GX796"/>
      <c r="GY796"/>
      <c r="GZ796"/>
      <c r="HA796"/>
      <c r="HB796"/>
      <c r="HC796"/>
    </row>
    <row r="797" spans="1:211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57.525104191504305</v>
      </c>
      <c r="AO797">
        <v>7.2329717538149838</v>
      </c>
      <c r="AP797">
        <v>53.2185125640178</v>
      </c>
      <c r="AQ797">
        <v>49.189231863071264</v>
      </c>
      <c r="AR797">
        <v>7.464377633923478</v>
      </c>
      <c r="AS797">
        <v>48.080317409929862</v>
      </c>
      <c r="AT797" t="e">
        <v>#DIV/0!</v>
      </c>
      <c r="AU797" t="e">
        <v>#DIV/0!</v>
      </c>
      <c r="AV797"/>
      <c r="AW797"/>
      <c r="FY797" s="211">
        <v>792</v>
      </c>
      <c r="FZ797">
        <v>15.547867768635397</v>
      </c>
      <c r="GA797">
        <v>12.526385064040026</v>
      </c>
      <c r="GB797">
        <v>6.560361326789689</v>
      </c>
      <c r="GC797">
        <v>4.3736457271032618</v>
      </c>
      <c r="GD797">
        <v>3.2977684967915222</v>
      </c>
      <c r="GE797">
        <v>4.6118655967393005</v>
      </c>
      <c r="GF797">
        <v>2.9676970485039238</v>
      </c>
      <c r="GG797">
        <v>3.2837954587926377</v>
      </c>
      <c r="GH797">
        <v>7.4307905884068415</v>
      </c>
      <c r="GI797">
        <v>7.5206258323340531</v>
      </c>
      <c r="GJ797"/>
      <c r="GK797">
        <v>15.608197953702266</v>
      </c>
      <c r="GL797">
        <v>10.614134968571397</v>
      </c>
      <c r="GM797">
        <v>10.89995726175405</v>
      </c>
      <c r="GN797">
        <v>13.117326070960463</v>
      </c>
      <c r="GO797">
        <v>12.836822243113453</v>
      </c>
      <c r="GP797">
        <v>8.8294219246895373</v>
      </c>
      <c r="GQ797">
        <v>3.6342881417307238</v>
      </c>
      <c r="GR797">
        <v>4.6198205491381312</v>
      </c>
      <c r="GS797">
        <v>7.9235376839085774</v>
      </c>
      <c r="GT797">
        <v>10.180560656841813</v>
      </c>
      <c r="GU797"/>
      <c r="GV797"/>
      <c r="GW797"/>
      <c r="GX797"/>
      <c r="GY797"/>
      <c r="GZ797"/>
      <c r="HA797"/>
      <c r="HB797"/>
      <c r="HC797"/>
    </row>
    <row r="798" spans="1:211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48.701428736674998</v>
      </c>
      <c r="AO798">
        <v>6.0038144707053753</v>
      </c>
      <c r="AP798">
        <v>3.0192902804900923</v>
      </c>
      <c r="AQ798">
        <v>38.613940953979508</v>
      </c>
      <c r="AR798">
        <v>6.3753778017886145</v>
      </c>
      <c r="AS798">
        <v>39.602950394968133</v>
      </c>
      <c r="AT798">
        <v>5.137555171966393</v>
      </c>
      <c r="AU798">
        <v>7.5142203095365616</v>
      </c>
      <c r="AV798"/>
      <c r="AW798"/>
      <c r="FY798" s="211">
        <v>793</v>
      </c>
      <c r="FZ798">
        <v>12.445153068798868</v>
      </c>
      <c r="GA798">
        <v>9.8690060087256004</v>
      </c>
      <c r="GB798">
        <v>2.7683807335830903</v>
      </c>
      <c r="GC798">
        <v>1.7475614678822318</v>
      </c>
      <c r="GD798">
        <v>1.1856781555639031</v>
      </c>
      <c r="GE798">
        <v>1.6032215416112958</v>
      </c>
      <c r="GF798">
        <v>1.8707531456483986</v>
      </c>
      <c r="GG798">
        <v>2.2805670599362062</v>
      </c>
      <c r="GH798">
        <v>5.1886453070652898</v>
      </c>
      <c r="GI798">
        <v>4.3646199586937335</v>
      </c>
      <c r="GJ798"/>
      <c r="GK798">
        <v>12.485259616996506</v>
      </c>
      <c r="GL798">
        <v>8.3648418993055902</v>
      </c>
      <c r="GM798">
        <v>4.6240723720451928</v>
      </c>
      <c r="GN798">
        <v>5.2803025824173826</v>
      </c>
      <c r="GO798">
        <v>4.6169386800654726</v>
      </c>
      <c r="GP798">
        <v>3.0693694629014399</v>
      </c>
      <c r="GQ798">
        <v>2.2900978236952971</v>
      </c>
      <c r="GR798">
        <v>3.2079218977693706</v>
      </c>
      <c r="GS798">
        <v>5.5347027513157023</v>
      </c>
      <c r="GT798">
        <v>5.9102142488236336</v>
      </c>
      <c r="GU798"/>
      <c r="GV798"/>
      <c r="GW798"/>
      <c r="GX798"/>
      <c r="GY798"/>
      <c r="GZ798"/>
      <c r="HA798"/>
      <c r="HB798"/>
      <c r="HC798"/>
    </row>
    <row r="799" spans="1:211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54.493302102930919</v>
      </c>
      <c r="AO799">
        <v>6.315191335019799</v>
      </c>
      <c r="AP799">
        <v>87.370874867396154</v>
      </c>
      <c r="AQ799">
        <v>46.515798138338099</v>
      </c>
      <c r="AR799">
        <v>6.8502198489651294</v>
      </c>
      <c r="AS799">
        <v>41.457364446186105</v>
      </c>
      <c r="AT799" t="e">
        <v>#DIV/0!</v>
      </c>
      <c r="AU799" t="e">
        <v>#DIV/0!</v>
      </c>
      <c r="AV799"/>
      <c r="AW799"/>
      <c r="FY799" s="211">
        <v>794</v>
      </c>
      <c r="FZ799">
        <v>15.408693831785246</v>
      </c>
      <c r="GA799">
        <v>15.126081986591979</v>
      </c>
      <c r="GB799">
        <v>6.54779811020894</v>
      </c>
      <c r="GC799">
        <v>3.1727427919410451</v>
      </c>
      <c r="GD799">
        <v>1.4525435594215994</v>
      </c>
      <c r="GE799">
        <v>1.5610407769767443</v>
      </c>
      <c r="GF799">
        <v>1.8380543676705907</v>
      </c>
      <c r="GG799">
        <v>1.5999335916051376</v>
      </c>
      <c r="GH799">
        <v>5.1573148985988109</v>
      </c>
      <c r="GI799">
        <v>5.8689337696870982</v>
      </c>
      <c r="GJ799"/>
      <c r="GK799">
        <v>15.459592959241844</v>
      </c>
      <c r="GL799">
        <v>12.814687049834818</v>
      </c>
      <c r="GM799">
        <v>10.841700505677386</v>
      </c>
      <c r="GN799">
        <v>9.4528720398761958</v>
      </c>
      <c r="GO799">
        <v>5.642164192298881</v>
      </c>
      <c r="GP799">
        <v>2.9886143410852712</v>
      </c>
      <c r="GQ799">
        <v>2.2500288824714643</v>
      </c>
      <c r="GR799">
        <v>2.2500288824714643</v>
      </c>
      <c r="GS799">
        <v>5.498488664218474</v>
      </c>
      <c r="GT799">
        <v>7.9383950407816091</v>
      </c>
      <c r="GU799"/>
      <c r="GV799"/>
      <c r="GW799"/>
      <c r="GX799"/>
      <c r="GY799"/>
      <c r="GZ799"/>
      <c r="HA799"/>
      <c r="HB799"/>
      <c r="HC799"/>
    </row>
    <row r="800" spans="1:211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46.137839921515102</v>
      </c>
      <c r="AO800">
        <v>5.4848755330298076</v>
      </c>
      <c r="AP800">
        <v>4.8992474990913388</v>
      </c>
      <c r="AQ800">
        <v>40.610973152657294</v>
      </c>
      <c r="AR800">
        <v>5.880136067275112</v>
      </c>
      <c r="AS800">
        <v>33.035091199154259</v>
      </c>
      <c r="AT800">
        <v>4.660173943262806</v>
      </c>
      <c r="AU800">
        <v>4.5842398013135917</v>
      </c>
      <c r="AV800"/>
      <c r="AW800"/>
      <c r="FY800" s="211">
        <v>795</v>
      </c>
      <c r="FZ800">
        <v>16.21105018006952</v>
      </c>
      <c r="GA800">
        <v>14.548149878224816</v>
      </c>
      <c r="GB800">
        <v>5.0867441328576009</v>
      </c>
      <c r="GC800">
        <v>3.2177968122618243</v>
      </c>
      <c r="GD800">
        <v>1.5740927870553207</v>
      </c>
      <c r="GE800">
        <v>1.1771840692857145</v>
      </c>
      <c r="GF800">
        <v>1.2300079095652172</v>
      </c>
      <c r="GG800">
        <v>1.0709779826086956</v>
      </c>
      <c r="GH800">
        <v>5.7079758050762415</v>
      </c>
      <c r="GI800">
        <v>5.6768441700678665</v>
      </c>
      <c r="GJ800"/>
      <c r="GK800">
        <v>16.248239508614876</v>
      </c>
      <c r="GL800">
        <v>12.326541989476306</v>
      </c>
      <c r="GM800">
        <v>8.4248442981609273</v>
      </c>
      <c r="GN800">
        <v>9.5911995831944434</v>
      </c>
      <c r="GO800">
        <v>6.113445684546944</v>
      </c>
      <c r="GP800">
        <v>2.2537202380952386</v>
      </c>
      <c r="GQ800">
        <v>1.507246376811594</v>
      </c>
      <c r="GR800">
        <v>1.507246376811594</v>
      </c>
      <c r="GS800">
        <v>6.0867327734145187</v>
      </c>
      <c r="GT800">
        <v>7.6761017283097708</v>
      </c>
      <c r="GU800"/>
      <c r="GV800"/>
      <c r="GW800"/>
      <c r="GX800"/>
      <c r="GY800"/>
      <c r="GZ800"/>
      <c r="HA800"/>
      <c r="HB800"/>
      <c r="HC800"/>
    </row>
    <row r="801" spans="1:211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54.444098283072833</v>
      </c>
      <c r="AO801">
        <v>6.6710474498288423</v>
      </c>
      <c r="AP801">
        <v>6.3287609676500294</v>
      </c>
      <c r="AQ801">
        <v>51.384701711931335</v>
      </c>
      <c r="AR801">
        <v>6.8428465887027077</v>
      </c>
      <c r="AS801">
        <v>42.653227562052138</v>
      </c>
      <c r="AT801">
        <v>5.4523127877910786</v>
      </c>
      <c r="AU801">
        <v>1.0994556710163685</v>
      </c>
      <c r="AV801"/>
      <c r="AW801"/>
      <c r="FY801" s="211">
        <v>796</v>
      </c>
      <c r="FZ801">
        <v>13.303886482478879</v>
      </c>
      <c r="GA801">
        <v>8.7681102404537938</v>
      </c>
      <c r="GB801">
        <v>4.4469169016747383</v>
      </c>
      <c r="GC801">
        <v>2.435300245410708</v>
      </c>
      <c r="GD801">
        <v>1.742594846036287</v>
      </c>
      <c r="GE801">
        <v>2.569212133865546</v>
      </c>
      <c r="GF801">
        <v>1.8310968709933551</v>
      </c>
      <c r="GG801">
        <v>1.9675917353388979</v>
      </c>
      <c r="GH801">
        <v>4.4511160517732113</v>
      </c>
      <c r="GI801">
        <v>5.096782010039802</v>
      </c>
      <c r="GJ801"/>
      <c r="GK801">
        <v>13.360303543813945</v>
      </c>
      <c r="GL801">
        <v>7.4303829324586559</v>
      </c>
      <c r="GM801">
        <v>7.4065663688217915</v>
      </c>
      <c r="GN801">
        <v>7.3127682154933593</v>
      </c>
      <c r="GO801">
        <v>6.7550557216050215</v>
      </c>
      <c r="GP801">
        <v>4.9187595492742551</v>
      </c>
      <c r="GQ801">
        <v>2.2391881997255374</v>
      </c>
      <c r="GR801">
        <v>2.7658085700959076</v>
      </c>
      <c r="GS801">
        <v>4.7487950279046167</v>
      </c>
      <c r="GT801">
        <v>6.9019817723741825</v>
      </c>
      <c r="GU801"/>
      <c r="GV801"/>
      <c r="GW801"/>
      <c r="GX801"/>
      <c r="GY801"/>
      <c r="GZ801"/>
      <c r="HA801"/>
      <c r="HB801"/>
      <c r="HC801"/>
    </row>
    <row r="802" spans="1:211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65.924467717137418</v>
      </c>
      <c r="AO802">
        <v>8.177918500625049</v>
      </c>
      <c r="AP802">
        <v>16.311024080924931</v>
      </c>
      <c r="AQ802">
        <v>55.428215824183212</v>
      </c>
      <c r="AR802">
        <v>8.7575688379597736</v>
      </c>
      <c r="AS802">
        <v>57.113938451023564</v>
      </c>
      <c r="AT802" t="e">
        <v>#DIV/0!</v>
      </c>
      <c r="AU802" t="e">
        <v>#DIV/0!</v>
      </c>
      <c r="AV802"/>
      <c r="AW802"/>
      <c r="FY802" s="211">
        <v>797</v>
      </c>
      <c r="FZ802">
        <v>18.585060873544268</v>
      </c>
      <c r="GA802">
        <v>15.108683796459399</v>
      </c>
      <c r="GB802">
        <v>6.1451327576866417</v>
      </c>
      <c r="GC802">
        <v>2.9331605648415815</v>
      </c>
      <c r="GD802">
        <v>0.80678147550000001</v>
      </c>
      <c r="GE802">
        <v>1.2125501142857145</v>
      </c>
      <c r="GF802">
        <v>2.4235453421912716</v>
      </c>
      <c r="GG802">
        <v>2.0611396168493146</v>
      </c>
      <c r="GH802">
        <v>6.2399675427799703</v>
      </c>
      <c r="GI802">
        <v>6.148470716258684</v>
      </c>
      <c r="GJ802"/>
      <c r="GK802">
        <v>18.645826367179595</v>
      </c>
      <c r="GL802">
        <v>12.804374766099899</v>
      </c>
      <c r="GM802">
        <v>10.213988957193783</v>
      </c>
      <c r="GN802">
        <v>8.7849843731517865</v>
      </c>
      <c r="GO802">
        <v>3.1281250000000003</v>
      </c>
      <c r="GP802">
        <v>2.3214285714285716</v>
      </c>
      <c r="GQ802">
        <v>2.9651719960218337</v>
      </c>
      <c r="GR802">
        <v>2.8974636626885006</v>
      </c>
      <c r="GS802">
        <v>6.6521299583090077</v>
      </c>
      <c r="GT802">
        <v>8.3210484557408453</v>
      </c>
      <c r="GU802"/>
      <c r="GV802"/>
      <c r="GW802"/>
      <c r="GX802"/>
      <c r="GY802"/>
      <c r="GZ802"/>
      <c r="HA802"/>
      <c r="HB802"/>
      <c r="HC802"/>
    </row>
    <row r="803" spans="1:211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67.31823622379099</v>
      </c>
      <c r="AO803">
        <v>7.9765035873717078</v>
      </c>
      <c r="AP803">
        <v>4.3576525469166194</v>
      </c>
      <c r="AQ803">
        <v>59.865289220539736</v>
      </c>
      <c r="AR803">
        <v>8.5012412944169853</v>
      </c>
      <c r="AS803">
        <v>55.818721942948486</v>
      </c>
      <c r="AT803">
        <v>6.8262920444259771</v>
      </c>
      <c r="AU803">
        <v>1.0444581882988881</v>
      </c>
      <c r="AV803"/>
      <c r="AW803"/>
      <c r="FY803" s="211">
        <v>798</v>
      </c>
      <c r="FZ803">
        <v>14.250881280737186</v>
      </c>
      <c r="GA803">
        <v>10.659877320841623</v>
      </c>
      <c r="GB803">
        <v>6.4207344175394523</v>
      </c>
      <c r="GC803">
        <v>3.791644807794182</v>
      </c>
      <c r="GD803">
        <v>1.8421387288227005</v>
      </c>
      <c r="GE803">
        <v>2.9154157248739501</v>
      </c>
      <c r="GF803">
        <v>5.5254261562500004E-2</v>
      </c>
      <c r="GG803">
        <v>0.37419152604166667</v>
      </c>
      <c r="GH803">
        <v>5.1218717009893666</v>
      </c>
      <c r="GI803">
        <v>5.5632049028051407</v>
      </c>
      <c r="GJ803"/>
      <c r="GK803">
        <v>14.308013095185814</v>
      </c>
      <c r="GL803">
        <v>9.0314958702208461</v>
      </c>
      <c r="GM803">
        <v>10.672610994388574</v>
      </c>
      <c r="GN803">
        <v>11.350954320664917</v>
      </c>
      <c r="GO803">
        <v>7.1512490506643172</v>
      </c>
      <c r="GP803">
        <v>5.5815667175961297</v>
      </c>
      <c r="GQ803">
        <v>6.7708333333333329E-2</v>
      </c>
      <c r="GR803">
        <v>0.52662037037037035</v>
      </c>
      <c r="GS803">
        <v>5.4608159458672452</v>
      </c>
      <c r="GT803">
        <v>7.5320794838878582</v>
      </c>
      <c r="GU803"/>
      <c r="GV803"/>
      <c r="GW803"/>
      <c r="GX803"/>
      <c r="GY803"/>
      <c r="GZ803"/>
      <c r="HA803"/>
      <c r="HB803"/>
      <c r="HC803"/>
    </row>
    <row r="804" spans="1:211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62.475813339581897</v>
      </c>
      <c r="AO804">
        <v>7.4734088267564918</v>
      </c>
      <c r="AP804">
        <v>4.2141634963423922</v>
      </c>
      <c r="AQ804">
        <v>51.686264699161114</v>
      </c>
      <c r="AR804">
        <v>7.5631636749385187</v>
      </c>
      <c r="AS804">
        <v>46.815948842969988</v>
      </c>
      <c r="AT804">
        <v>6.0367724585172651</v>
      </c>
      <c r="AU804">
        <v>1.3952397871892552</v>
      </c>
      <c r="AV804"/>
      <c r="AW804"/>
      <c r="FY804" s="211">
        <v>799</v>
      </c>
      <c r="FZ804">
        <v>12.622187416876017</v>
      </c>
      <c r="GA804">
        <v>10.287752409405478</v>
      </c>
      <c r="GB804">
        <v>6.8738630953050937</v>
      </c>
      <c r="GC804">
        <v>3.9550322654728491</v>
      </c>
      <c r="GD804">
        <v>1.4716736423836898</v>
      </c>
      <c r="GE804">
        <v>1.6395903795798319</v>
      </c>
      <c r="GF804">
        <v>0.53719420963541664</v>
      </c>
      <c r="GG804">
        <v>0.84193093359375004</v>
      </c>
      <c r="GH804">
        <v>7.5828014434237954</v>
      </c>
      <c r="GI804">
        <v>5.6996101436006281</v>
      </c>
      <c r="GJ804"/>
      <c r="GK804">
        <v>12.685317382916214</v>
      </c>
      <c r="GL804">
        <v>8.7163984537975114</v>
      </c>
      <c r="GM804">
        <v>11.499821824332216</v>
      </c>
      <c r="GN804">
        <v>11.949254055081255</v>
      </c>
      <c r="GO804">
        <v>5.7053600163920191</v>
      </c>
      <c r="GP804">
        <v>3.1389976445123504</v>
      </c>
      <c r="GQ804">
        <v>0.65827546296296291</v>
      </c>
      <c r="GR804">
        <v>1.1848958333333333</v>
      </c>
      <c r="GS804">
        <v>8.0825922813185969</v>
      </c>
      <c r="GT804">
        <v>7.7262733935844023</v>
      </c>
      <c r="GU804"/>
      <c r="GV804"/>
      <c r="GW804"/>
      <c r="GX804"/>
      <c r="GY804"/>
      <c r="GZ804"/>
      <c r="HA804"/>
      <c r="HB804"/>
      <c r="HC804"/>
    </row>
    <row r="805" spans="1:211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54.519659224665915</v>
      </c>
      <c r="AO805">
        <v>6.6867693174367897</v>
      </c>
      <c r="AP805">
        <v>1.7989995315050669</v>
      </c>
      <c r="AQ805">
        <v>50.970144441535858</v>
      </c>
      <c r="AR805">
        <v>7.1976840828072586</v>
      </c>
      <c r="AS805">
        <v>47.397369489875821</v>
      </c>
      <c r="AT805">
        <v>5.8219306686773571</v>
      </c>
      <c r="AU805">
        <v>1.5319700546272674</v>
      </c>
      <c r="AV805"/>
      <c r="AW805"/>
      <c r="FY805" s="211">
        <v>800</v>
      </c>
      <c r="FZ805">
        <v>11.151882417480266</v>
      </c>
      <c r="GA805">
        <v>8.0165357184158079</v>
      </c>
      <c r="GB805">
        <v>4.278613255372461</v>
      </c>
      <c r="GC805">
        <v>2.3618685560022943</v>
      </c>
      <c r="GD805">
        <v>1.511229199182643</v>
      </c>
      <c r="GE805">
        <v>2.0387214588655462</v>
      </c>
      <c r="GF805">
        <v>1.223050412887982</v>
      </c>
      <c r="GG805">
        <v>1.8128276523841229</v>
      </c>
      <c r="GH805">
        <v>7.5185564992191649</v>
      </c>
      <c r="GI805">
        <v>4.9798553489604682</v>
      </c>
      <c r="GJ805"/>
      <c r="GK805">
        <v>11.198885361113529</v>
      </c>
      <c r="GL805">
        <v>6.7935849132926096</v>
      </c>
      <c r="GM805">
        <v>7.1258569342900246</v>
      </c>
      <c r="GN805">
        <v>7.1080159426876559</v>
      </c>
      <c r="GO805">
        <v>5.8784500668893864</v>
      </c>
      <c r="GP805">
        <v>3.9031345492742551</v>
      </c>
      <c r="GQ805">
        <v>1.4964056940656674</v>
      </c>
      <c r="GR805">
        <v>2.5496464348064078</v>
      </c>
      <c r="GS805">
        <v>8.0137691487668672</v>
      </c>
      <c r="GT805">
        <v>6.7426734410250955</v>
      </c>
      <c r="GU805"/>
      <c r="GV805"/>
      <c r="GW805"/>
      <c r="GX805"/>
      <c r="GY805"/>
      <c r="GZ805"/>
      <c r="HA805"/>
      <c r="HB805"/>
      <c r="HC805"/>
    </row>
    <row r="806" spans="1:211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58.460994538784789</v>
      </c>
      <c r="AO806">
        <v>6.7232413714240291</v>
      </c>
      <c r="AP806">
        <v>43.1321478300056</v>
      </c>
      <c r="AQ806">
        <v>48.240412870162601</v>
      </c>
      <c r="AR806">
        <v>6.8075658651208073</v>
      </c>
      <c r="AS806">
        <v>43.84687262973469</v>
      </c>
      <c r="AT806" t="e">
        <v>#DIV/0!</v>
      </c>
      <c r="AU806" t="e">
        <v>#DIV/0!</v>
      </c>
      <c r="AV806"/>
      <c r="AW806"/>
      <c r="FY806" s="211">
        <v>801</v>
      </c>
      <c r="FZ806">
        <v>12.807374541981019</v>
      </c>
      <c r="GA806">
        <v>10.728351491948819</v>
      </c>
      <c r="GB806">
        <v>6.0921469874572995</v>
      </c>
      <c r="GC806">
        <v>4.0099878712288328</v>
      </c>
      <c r="GD806">
        <v>1.8576015776336896</v>
      </c>
      <c r="GE806">
        <v>2.1094535488655461</v>
      </c>
      <c r="GF806">
        <v>0.64770273276041657</v>
      </c>
      <c r="GG806">
        <v>1.2161224596354168</v>
      </c>
      <c r="GH806">
        <v>6.5033377359334024</v>
      </c>
      <c r="GI806">
        <v>5.6050332128363314</v>
      </c>
      <c r="GJ806"/>
      <c r="GK806">
        <v>12.848518601275369</v>
      </c>
      <c r="GL806">
        <v>9.0914403538593493</v>
      </c>
      <c r="GM806">
        <v>10.169158572454094</v>
      </c>
      <c r="GN806">
        <v>12.05566786708361</v>
      </c>
      <c r="GO806">
        <v>7.2017141830586864</v>
      </c>
      <c r="GP806">
        <v>4.038551215940922</v>
      </c>
      <c r="GQ806">
        <v>0.79369212962962943</v>
      </c>
      <c r="GR806">
        <v>1.7115162037037035</v>
      </c>
      <c r="GS806">
        <v>6.9351455983106476</v>
      </c>
      <c r="GT806">
        <v>7.5896458169456862</v>
      </c>
      <c r="GU806"/>
      <c r="GV806"/>
      <c r="GW806"/>
      <c r="GX806"/>
      <c r="GY806"/>
      <c r="GZ806"/>
      <c r="HA806"/>
      <c r="HB806"/>
      <c r="HC806"/>
    </row>
    <row r="807" spans="1:211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58.696538143940927</v>
      </c>
      <c r="AO807">
        <v>6.5266884939127534</v>
      </c>
      <c r="AP807">
        <v>67.557510408761289</v>
      </c>
      <c r="AQ807">
        <v>47.950564188204815</v>
      </c>
      <c r="AR807">
        <v>6.7739278762475532</v>
      </c>
      <c r="AS807">
        <v>41.63784232325542</v>
      </c>
      <c r="AT807" t="e">
        <v>#DIV/0!</v>
      </c>
      <c r="AU807" t="e">
        <v>#DIV/0!</v>
      </c>
      <c r="AV807"/>
      <c r="AW807"/>
      <c r="FY807" s="211">
        <v>802</v>
      </c>
      <c r="FZ807">
        <v>11.808212809181011</v>
      </c>
      <c r="GA807">
        <v>8.4993496701854045</v>
      </c>
      <c r="GB807">
        <v>5.1518240662230843</v>
      </c>
      <c r="GC807">
        <v>3.1233239914504094</v>
      </c>
      <c r="GD807">
        <v>1.2363219865184489</v>
      </c>
      <c r="GE807">
        <v>1.1687244173255813</v>
      </c>
      <c r="GF807">
        <v>1.8933086292330903</v>
      </c>
      <c r="GG807">
        <v>1.974125117646804</v>
      </c>
      <c r="GH807">
        <v>5.6158614095472466</v>
      </c>
      <c r="GI807">
        <v>4.9527313868830483</v>
      </c>
      <c r="GJ807"/>
      <c r="GK807">
        <v>11.865651125644153</v>
      </c>
      <c r="GL807">
        <v>7.2032665445883906</v>
      </c>
      <c r="GM807">
        <v>8.5388083400255841</v>
      </c>
      <c r="GN807">
        <v>9.3252961760924453</v>
      </c>
      <c r="GO807">
        <v>4.8140435700905657</v>
      </c>
      <c r="GP807">
        <v>2.2375242248062013</v>
      </c>
      <c r="GQ807">
        <v>2.3177372158047973</v>
      </c>
      <c r="GR807">
        <v>2.7766492528418345</v>
      </c>
      <c r="GS807">
        <v>5.9895443915202922</v>
      </c>
      <c r="GT807">
        <v>6.7051569286170798</v>
      </c>
      <c r="GU807"/>
      <c r="GV807"/>
      <c r="GW807"/>
      <c r="GX807"/>
      <c r="GY807"/>
      <c r="GZ807"/>
      <c r="HA807"/>
      <c r="HB807"/>
      <c r="HC807"/>
    </row>
    <row r="808" spans="1:211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82.427248592426309</v>
      </c>
      <c r="AO808">
        <v>9.8264067454410391</v>
      </c>
      <c r="AP808">
        <v>5.4638839138917339</v>
      </c>
      <c r="AQ808">
        <v>68.120802908136653</v>
      </c>
      <c r="AR808">
        <v>10.180560656841815</v>
      </c>
      <c r="AS808">
        <v>64.612974067543888</v>
      </c>
      <c r="AT808">
        <v>8.1344848845280016</v>
      </c>
      <c r="AU808">
        <v>2.4901158825485137</v>
      </c>
      <c r="AV808"/>
      <c r="AW808"/>
      <c r="FY808" s="211">
        <v>803</v>
      </c>
      <c r="FZ808">
        <v>23.79577986077862</v>
      </c>
      <c r="GA808">
        <v>25.849030985206443</v>
      </c>
      <c r="GB808">
        <v>6.6669730298707615</v>
      </c>
      <c r="GC808">
        <v>3.1825969990805159</v>
      </c>
      <c r="GD808">
        <v>1.8384714946715996</v>
      </c>
      <c r="GE808">
        <v>2.6775973405481732</v>
      </c>
      <c r="GF808">
        <v>1.9260074072108988</v>
      </c>
      <c r="GG808">
        <v>1.532184007852873</v>
      </c>
      <c r="GH808">
        <v>6.8523690136939566</v>
      </c>
      <c r="GI808">
        <v>7.6506844865210892</v>
      </c>
      <c r="GJ808"/>
      <c r="GK808">
        <v>23.856749878455332</v>
      </c>
      <c r="GL808">
        <v>21.902653827564762</v>
      </c>
      <c r="GM808">
        <v>11.118923315515513</v>
      </c>
      <c r="GN808">
        <v>9.6021780435864379</v>
      </c>
      <c r="GO808">
        <v>7.1385183589655483</v>
      </c>
      <c r="GP808">
        <v>5.1262631506090814</v>
      </c>
      <c r="GQ808">
        <v>2.3578061570286302</v>
      </c>
      <c r="GR808">
        <v>2.1546811570286302</v>
      </c>
      <c r="GS808">
        <v>7.3051532724458834</v>
      </c>
      <c r="GT808">
        <v>10.355430196482182</v>
      </c>
      <c r="GU808"/>
      <c r="GV808"/>
      <c r="GW808"/>
      <c r="GX808"/>
      <c r="GY808"/>
      <c r="GZ808"/>
      <c r="HA808"/>
      <c r="HB808"/>
      <c r="HC808"/>
    </row>
    <row r="809" spans="1:211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43.199621812484096</v>
      </c>
      <c r="AO809">
        <v>5.5383721335335592</v>
      </c>
      <c r="AP809">
        <v>2.6434596726944601</v>
      </c>
      <c r="AQ809">
        <v>43.323586447508617</v>
      </c>
      <c r="AR809">
        <v>5.9102142488236344</v>
      </c>
      <c r="AS809">
        <v>37.891640734384467</v>
      </c>
      <c r="AT809">
        <v>4.7668240862975848</v>
      </c>
      <c r="AU809">
        <v>2.2639045366950317</v>
      </c>
      <c r="AV809"/>
      <c r="AW809"/>
      <c r="FY809" s="211">
        <v>804</v>
      </c>
      <c r="FZ809">
        <v>8.9095623974482301</v>
      </c>
      <c r="GA809">
        <v>7.8422837147650322</v>
      </c>
      <c r="GB809">
        <v>6.8379588229395925</v>
      </c>
      <c r="GC809">
        <v>3.8670081518305848</v>
      </c>
      <c r="GD809">
        <v>2.2129146002921956</v>
      </c>
      <c r="GE809">
        <v>2.917060657199531</v>
      </c>
      <c r="GF809">
        <v>0.61500395478260861</v>
      </c>
      <c r="GG809">
        <v>0.90968051734601452</v>
      </c>
      <c r="GH809">
        <v>4.4388243164259498</v>
      </c>
      <c r="GI809">
        <v>5.0856020580982637</v>
      </c>
      <c r="GJ809"/>
      <c r="GK809">
        <v>8.9423112072122297</v>
      </c>
      <c r="GL809">
        <v>6.6436454599720101</v>
      </c>
      <c r="GM809">
        <v>11.440329398485003</v>
      </c>
      <c r="GN809">
        <v>11.69613301033084</v>
      </c>
      <c r="GO809">
        <v>8.5895984035908484</v>
      </c>
      <c r="GP809">
        <v>5.5847159424023305</v>
      </c>
      <c r="GQ809">
        <v>0.75362318840579701</v>
      </c>
      <c r="GR809">
        <v>1.2802435587761674</v>
      </c>
      <c r="GS809">
        <v>4.7339792534844474</v>
      </c>
      <c r="GT809">
        <v>6.8919682902356652</v>
      </c>
      <c r="GU809"/>
      <c r="GV809"/>
      <c r="GW809"/>
      <c r="GX809"/>
      <c r="GY809"/>
      <c r="GZ809"/>
      <c r="HA809"/>
      <c r="HB809"/>
      <c r="HC809"/>
    </row>
    <row r="810" spans="1:211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66.501095214725225</v>
      </c>
      <c r="AO810">
        <v>7.5136572557957404</v>
      </c>
      <c r="AP810">
        <v>93.735881429836112</v>
      </c>
      <c r="AQ810">
        <v>57.733137684487197</v>
      </c>
      <c r="AR810">
        <v>7.9383950407816126</v>
      </c>
      <c r="AS810">
        <v>48.554120347730517</v>
      </c>
      <c r="AT810" t="e">
        <v>#DIV/0!</v>
      </c>
      <c r="AU810" t="e">
        <v>#DIV/0!</v>
      </c>
      <c r="AV810"/>
      <c r="AW810"/>
      <c r="FY810" s="211">
        <v>805</v>
      </c>
      <c r="FZ810">
        <v>12.230123794991485</v>
      </c>
      <c r="GA810">
        <v>10.220891666624803</v>
      </c>
      <c r="GB810">
        <v>5.5268324822851227</v>
      </c>
      <c r="GC810">
        <v>2.838401193222126</v>
      </c>
      <c r="GD810">
        <v>1.9591412092772458</v>
      </c>
      <c r="GE810">
        <v>2.9861478148739491</v>
      </c>
      <c r="GF810">
        <v>2.9054852902641888</v>
      </c>
      <c r="GG810">
        <v>2.5288790244013981</v>
      </c>
      <c r="GH810">
        <v>3.4074631166181506</v>
      </c>
      <c r="GI810">
        <v>5.3578063813617236</v>
      </c>
      <c r="GJ810"/>
      <c r="GK810">
        <v>12.274116294674554</v>
      </c>
      <c r="GL810">
        <v>8.6590917667172445</v>
      </c>
      <c r="GM810">
        <v>9.1903178273082613</v>
      </c>
      <c r="GN810">
        <v>8.5163804058749886</v>
      </c>
      <c r="GO810">
        <v>7.6056456073560765</v>
      </c>
      <c r="GP810">
        <v>5.7169833842627957</v>
      </c>
      <c r="GQ810">
        <v>3.5557391256514634</v>
      </c>
      <c r="GR810">
        <v>3.5557391256514634</v>
      </c>
      <c r="GS810">
        <v>3.6353453196347032</v>
      </c>
      <c r="GT810">
        <v>7.2522328349250111</v>
      </c>
      <c r="GU810"/>
      <c r="GV810"/>
      <c r="GW810"/>
      <c r="GX810"/>
      <c r="GY810"/>
      <c r="GZ810"/>
      <c r="HA810"/>
      <c r="HB810"/>
      <c r="HC810"/>
    </row>
    <row r="811" spans="1:211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61.325782286094771</v>
      </c>
      <c r="AO811">
        <v>7.1735318557436232</v>
      </c>
      <c r="AP811">
        <v>91.781467650413589</v>
      </c>
      <c r="AQ811">
        <v>55.500823727072813</v>
      </c>
      <c r="AR811">
        <v>7.6761017283097743</v>
      </c>
      <c r="AS811">
        <v>49.727629182545257</v>
      </c>
      <c r="AT811" t="e">
        <v>#DIV/0!</v>
      </c>
      <c r="AU811" t="e">
        <v>#DIV/0!</v>
      </c>
      <c r="AV811"/>
      <c r="AW811"/>
      <c r="FY811" s="211">
        <v>806</v>
      </c>
      <c r="FZ811">
        <v>10.284983237022923</v>
      </c>
      <c r="GA811">
        <v>9.4678653109462818</v>
      </c>
      <c r="GB811">
        <v>3.981634227227691</v>
      </c>
      <c r="GC811">
        <v>2.0267901885155148</v>
      </c>
      <c r="GD811">
        <v>1.888365700630122</v>
      </c>
      <c r="GE811">
        <v>2.5413029478571434</v>
      </c>
      <c r="GF811">
        <v>3.4909762647848699</v>
      </c>
      <c r="GG811">
        <v>3.3642765756872417</v>
      </c>
      <c r="GH811">
        <v>3.7609648282695933</v>
      </c>
      <c r="GI811">
        <v>4.8106681185414626</v>
      </c>
      <c r="GJ811"/>
      <c r="GK811">
        <v>10.318150074619904</v>
      </c>
      <c r="GL811">
        <v>8.0226076789271747</v>
      </c>
      <c r="GM811">
        <v>6.5945756374109408</v>
      </c>
      <c r="GN811">
        <v>6.0543429162316871</v>
      </c>
      <c r="GO811">
        <v>7.3407173033294173</v>
      </c>
      <c r="GP811">
        <v>4.8653273809523823</v>
      </c>
      <c r="GQ811">
        <v>4.2708822392018329</v>
      </c>
      <c r="GR811">
        <v>4.7297942762388701</v>
      </c>
      <c r="GS811">
        <v>4.0079979162603809</v>
      </c>
      <c r="GT811">
        <v>6.5064646341644954</v>
      </c>
      <c r="GU811"/>
      <c r="GV811"/>
      <c r="GW811"/>
      <c r="GX811"/>
      <c r="GY811"/>
      <c r="GZ811"/>
      <c r="HA811"/>
      <c r="HB811"/>
      <c r="HC811"/>
    </row>
    <row r="812" spans="1:211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50.263065519380412</v>
      </c>
      <c r="AO812">
        <v>6.3839609901567282</v>
      </c>
      <c r="AP812">
        <v>30.96375994821668</v>
      </c>
      <c r="AQ812">
        <v>46.612607518065225</v>
      </c>
      <c r="AR812">
        <v>6.9019817723741852</v>
      </c>
      <c r="AS812">
        <v>45.130845615750381</v>
      </c>
      <c r="AT812" t="e">
        <v>#DIV/0!</v>
      </c>
      <c r="AU812" t="e">
        <v>#DIV/0!</v>
      </c>
      <c r="AV812"/>
      <c r="AW812"/>
      <c r="FY812" s="211">
        <v>807</v>
      </c>
      <c r="FZ812">
        <v>15.480478752736872</v>
      </c>
      <c r="GA812">
        <v>14.574256660088709</v>
      </c>
      <c r="GB812">
        <v>4.8639126356976785</v>
      </c>
      <c r="GC812">
        <v>3.0624939707591876</v>
      </c>
      <c r="GD812">
        <v>1.5861487811134098</v>
      </c>
      <c r="GE812">
        <v>1.384210551976744</v>
      </c>
      <c r="GF812">
        <v>2.9537820551494529</v>
      </c>
      <c r="GG812">
        <v>2.8965371681351582</v>
      </c>
      <c r="GH812">
        <v>2.3095582994178843</v>
      </c>
      <c r="GI812">
        <v>5.2979783844464121</v>
      </c>
      <c r="GJ812"/>
      <c r="GK812">
        <v>15.521222860768138</v>
      </c>
      <c r="GL812">
        <v>12.350118281517105</v>
      </c>
      <c r="GM812">
        <v>8.0523415653521404</v>
      </c>
      <c r="GN812">
        <v>9.1429982485562942</v>
      </c>
      <c r="GO812">
        <v>6.1799119808914877</v>
      </c>
      <c r="GP812">
        <v>2.6500726744186043</v>
      </c>
      <c r="GQ812">
        <v>3.6126067762388696</v>
      </c>
      <c r="GR812">
        <v>4.0715188132759064</v>
      </c>
      <c r="GS812">
        <v>2.4629291226349666</v>
      </c>
      <c r="GT812">
        <v>7.1658024611771216</v>
      </c>
      <c r="GU812"/>
      <c r="GV812"/>
      <c r="GW812"/>
      <c r="GX812"/>
      <c r="GY812"/>
      <c r="GZ812"/>
      <c r="HA812"/>
      <c r="HB812"/>
      <c r="HC812"/>
    </row>
    <row r="813" spans="1:211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65.469907521399037</v>
      </c>
      <c r="AO813">
        <v>7.6734542107813821</v>
      </c>
      <c r="AP813">
        <v>79.887293768215471</v>
      </c>
      <c r="AQ813">
        <v>61.66449280039685</v>
      </c>
      <c r="AR813">
        <v>8.3210484557408435</v>
      </c>
      <c r="AS813">
        <v>50.36029719103675</v>
      </c>
      <c r="AT813" t="e">
        <v>#DIV/0!</v>
      </c>
      <c r="AU813" t="e">
        <v>#DIV/0!</v>
      </c>
      <c r="AV813"/>
      <c r="AW813"/>
      <c r="FY813" s="211">
        <v>808</v>
      </c>
      <c r="FZ813">
        <v>14.825715227725617</v>
      </c>
      <c r="GA813">
        <v>13.337755507380434</v>
      </c>
      <c r="GB813">
        <v>5.4697544190240484</v>
      </c>
      <c r="GC813">
        <v>3.0725629114970867</v>
      </c>
      <c r="GD813">
        <v>2.693456658904549</v>
      </c>
      <c r="GE813">
        <v>4.3181905130965426</v>
      </c>
      <c r="GF813">
        <v>2.9607395518266886</v>
      </c>
      <c r="GG813">
        <v>2.5288790244013981</v>
      </c>
      <c r="GH813">
        <v>6.5603902977960624</v>
      </c>
      <c r="GI813">
        <v>6.6590287837140991</v>
      </c>
      <c r="GJ813"/>
      <c r="GK813">
        <v>14.886250390691988</v>
      </c>
      <c r="GL813">
        <v>11.302419370807579</v>
      </c>
      <c r="GM813">
        <v>9.1328665405708236</v>
      </c>
      <c r="GN813">
        <v>9.2700070839871387</v>
      </c>
      <c r="GO813">
        <v>10.45354299461262</v>
      </c>
      <c r="GP813">
        <v>8.2671806433990103</v>
      </c>
      <c r="GQ813">
        <v>3.6234474589847969</v>
      </c>
      <c r="GR813">
        <v>3.5557391256514634</v>
      </c>
      <c r="GS813">
        <v>6.9905777473682118</v>
      </c>
      <c r="GT813">
        <v>9.0173370264456878</v>
      </c>
      <c r="GU813"/>
      <c r="GV813"/>
      <c r="GW813"/>
      <c r="GX813"/>
      <c r="GY813"/>
      <c r="GZ813"/>
      <c r="HA813"/>
      <c r="HB813"/>
      <c r="HC813"/>
    </row>
    <row r="814" spans="1:211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61.075253339100541</v>
      </c>
      <c r="AO814">
        <v>7.1683114182179413</v>
      </c>
      <c r="AP814">
        <v>10.227896578173194</v>
      </c>
      <c r="AQ814">
        <v>50.995214672007776</v>
      </c>
      <c r="AR814">
        <v>7.5320794838878573</v>
      </c>
      <c r="AS814">
        <v>45.987862511191445</v>
      </c>
      <c r="AT814" t="e">
        <v>#DIV/0!</v>
      </c>
      <c r="AU814" t="e">
        <v>#DIV/0!</v>
      </c>
      <c r="AV814"/>
      <c r="AW814"/>
      <c r="FY814" s="211">
        <v>809</v>
      </c>
      <c r="FZ814">
        <v>12.261194001033999</v>
      </c>
      <c r="GA814">
        <v>10.756660161045918</v>
      </c>
      <c r="GB814">
        <v>5.0616394196862586</v>
      </c>
      <c r="GC814">
        <v>2.7508913095922529</v>
      </c>
      <c r="GD814">
        <v>1.3253822792684489</v>
      </c>
      <c r="GE814">
        <v>1.0019987766112959</v>
      </c>
      <c r="GF814">
        <v>1.7929434005012066</v>
      </c>
      <c r="GG814">
        <v>2.2128174761839414</v>
      </c>
      <c r="GH814">
        <v>7.5851230922271471</v>
      </c>
      <c r="GI814">
        <v>5.343128143193363</v>
      </c>
      <c r="GJ814"/>
      <c r="GK814">
        <v>12.321368889532256</v>
      </c>
      <c r="GL814">
        <v>9.1128437929524253</v>
      </c>
      <c r="GM814">
        <v>8.4189794499790018</v>
      </c>
      <c r="GN814">
        <v>8.2664239102159165</v>
      </c>
      <c r="GO814">
        <v>5.1593560700905661</v>
      </c>
      <c r="GP814">
        <v>1.9183277962347733</v>
      </c>
      <c r="GQ814">
        <v>2.194750098252463</v>
      </c>
      <c r="GR814">
        <v>3.1125741723265365</v>
      </c>
      <c r="GS814">
        <v>8.0884731959630969</v>
      </c>
      <c r="GT814">
        <v>7.2365855407634765</v>
      </c>
      <c r="GU814"/>
      <c r="GV814"/>
      <c r="GW814"/>
      <c r="GX814"/>
      <c r="GY814"/>
      <c r="GZ814"/>
      <c r="HA814"/>
      <c r="HB814"/>
      <c r="HC814"/>
    </row>
    <row r="815" spans="1:211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57.575003129358251</v>
      </c>
      <c r="AO815">
        <v>7.134718634823086</v>
      </c>
      <c r="AP815">
        <v>13.721802412719832</v>
      </c>
      <c r="AQ815">
        <v>51.511635939276552</v>
      </c>
      <c r="AR815">
        <v>7.7262733935844015</v>
      </c>
      <c r="AS815">
        <v>46.468875223094344</v>
      </c>
      <c r="AT815" t="e">
        <v>#DIV/0!</v>
      </c>
      <c r="AU815" t="e">
        <v>#DIV/0!</v>
      </c>
      <c r="AV815"/>
      <c r="AW815"/>
      <c r="FY815" s="211">
        <v>810</v>
      </c>
      <c r="FZ815">
        <v>12.133447349050321</v>
      </c>
      <c r="GA815">
        <v>10.15861506860697</v>
      </c>
      <c r="GB815">
        <v>6.0867034460016578</v>
      </c>
      <c r="GC815">
        <v>2.4936264818893208</v>
      </c>
      <c r="GD815">
        <v>2.0283044235973908</v>
      </c>
      <c r="GE815">
        <v>3.3060871521995314</v>
      </c>
      <c r="GF815">
        <v>2.4235453421912716</v>
      </c>
      <c r="GG815">
        <v>3.1837141949743142</v>
      </c>
      <c r="GH815">
        <v>6.1151004796584818</v>
      </c>
      <c r="GI815">
        <v>5.8598211548107049</v>
      </c>
      <c r="GJ815"/>
      <c r="GK815">
        <v>12.189670005656886</v>
      </c>
      <c r="GL815">
        <v>8.6059504799066531</v>
      </c>
      <c r="GM815">
        <v>10.1180124313584</v>
      </c>
      <c r="GN815">
        <v>7.4876791357331509</v>
      </c>
      <c r="GO815">
        <v>7.8723231473501878</v>
      </c>
      <c r="GP815">
        <v>6.3295076090689983</v>
      </c>
      <c r="GQ815">
        <v>2.9651719960218337</v>
      </c>
      <c r="GR815">
        <v>4.4773247737996105</v>
      </c>
      <c r="GS815">
        <v>6.5195719903344553</v>
      </c>
      <c r="GT815">
        <v>7.9329499141443529</v>
      </c>
      <c r="GU815"/>
      <c r="GV815"/>
      <c r="GW815"/>
      <c r="GX815"/>
      <c r="GY815"/>
      <c r="GZ815"/>
      <c r="HA815"/>
      <c r="HB815"/>
      <c r="HC815"/>
    </row>
    <row r="816" spans="1:211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50.168497821919942</v>
      </c>
      <c r="AO816">
        <v>6.0810422486211495</v>
      </c>
      <c r="AP816">
        <v>19.810522469048109</v>
      </c>
      <c r="AQ816">
        <v>44.893140518770764</v>
      </c>
      <c r="AR816">
        <v>6.7426734410250955</v>
      </c>
      <c r="AS816">
        <v>40.600670998463954</v>
      </c>
      <c r="AT816" t="e">
        <v>#DIV/0!</v>
      </c>
      <c r="AU816" t="e">
        <v>#DIV/0!</v>
      </c>
      <c r="AV816"/>
      <c r="AW816"/>
      <c r="FY816" s="211">
        <v>811</v>
      </c>
      <c r="FZ816">
        <v>17.180086494531924</v>
      </c>
      <c r="GA816">
        <v>15.021510521868644</v>
      </c>
      <c r="GB816">
        <v>6.2386704883936641</v>
      </c>
      <c r="GC816">
        <v>3.471537185451135</v>
      </c>
      <c r="GD816">
        <v>1.9572671869850189</v>
      </c>
      <c r="GE816">
        <v>3.0322605835167091</v>
      </c>
      <c r="GF816">
        <v>3.7710192715587247</v>
      </c>
      <c r="GG816">
        <v>3.8870340338492504</v>
      </c>
      <c r="GH816">
        <v>9.4124319267038565</v>
      </c>
      <c r="GI816">
        <v>7.3734140739435423</v>
      </c>
      <c r="GJ816"/>
      <c r="GK816">
        <v>17.230590671291363</v>
      </c>
      <c r="GL816">
        <v>12.729006908704191</v>
      </c>
      <c r="GM816">
        <v>10.450112804979728</v>
      </c>
      <c r="GN816">
        <v>10.510669858118085</v>
      </c>
      <c r="GO816">
        <v>7.5881465612425183</v>
      </c>
      <c r="GP816">
        <v>5.8052663322199924</v>
      </c>
      <c r="GQ816">
        <v>4.6186757222460217</v>
      </c>
      <c r="GR816">
        <v>5.4687914629867631</v>
      </c>
      <c r="GS816">
        <v>10.034583656255178</v>
      </c>
      <c r="GT816">
        <v>9.9844218832029608</v>
      </c>
      <c r="GU816"/>
      <c r="GV816"/>
      <c r="GW816"/>
      <c r="GX816"/>
      <c r="GY816"/>
      <c r="GZ816"/>
      <c r="HA816"/>
      <c r="HB816"/>
      <c r="HC816"/>
    </row>
    <row r="817" spans="1:211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58.441564389393037</v>
      </c>
      <c r="AO817">
        <v>7.2435050542261692</v>
      </c>
      <c r="AP817">
        <v>2.8665542999328757</v>
      </c>
      <c r="AQ817">
        <v>51.577112160280763</v>
      </c>
      <c r="AR817">
        <v>7.5896458169456862</v>
      </c>
      <c r="AS817">
        <v>46.138699367274256</v>
      </c>
      <c r="AT817">
        <v>6.0535254046050184</v>
      </c>
      <c r="AU817">
        <v>2.0267473884254823</v>
      </c>
      <c r="AV817"/>
      <c r="AW817"/>
      <c r="FY817" s="211">
        <v>812</v>
      </c>
      <c r="FZ817">
        <v>16.63068547089091</v>
      </c>
      <c r="GA817">
        <v>18.707044881758591</v>
      </c>
      <c r="GB817">
        <v>5.8497905589450205</v>
      </c>
      <c r="GC817">
        <v>2.8840524745175511</v>
      </c>
      <c r="GD817">
        <v>2.2406094006831965</v>
      </c>
      <c r="GE817">
        <v>3.5273852135167094</v>
      </c>
      <c r="GF817">
        <v>2.9451415649192318</v>
      </c>
      <c r="GG817">
        <v>2.4676628229570388</v>
      </c>
      <c r="GH817">
        <v>6.1815060685482397</v>
      </c>
      <c r="GI817">
        <v>6.6961075283755411</v>
      </c>
      <c r="GJ817"/>
      <c r="GK817">
        <v>16.666904249853189</v>
      </c>
      <c r="GL817">
        <v>15.850364142110939</v>
      </c>
      <c r="GM817">
        <v>9.7294936706466792</v>
      </c>
      <c r="GN817">
        <v>8.6576671787550978</v>
      </c>
      <c r="GO817">
        <v>8.6969791505513676</v>
      </c>
      <c r="GP817">
        <v>6.7531829988866585</v>
      </c>
      <c r="GQ817">
        <v>3.6066487496212227</v>
      </c>
      <c r="GR817">
        <v>3.4712320829545558</v>
      </c>
      <c r="GS817">
        <v>6.5825242278711897</v>
      </c>
      <c r="GT817">
        <v>9.0565100097087292</v>
      </c>
      <c r="GU817"/>
      <c r="GV817"/>
      <c r="GW817"/>
      <c r="GX817"/>
      <c r="GY817"/>
      <c r="GZ817"/>
      <c r="HA817"/>
      <c r="HB817"/>
      <c r="HC817"/>
    </row>
    <row r="818" spans="1:211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48.228217175021094</v>
      </c>
      <c r="AO818">
        <v>6.1773677770031341</v>
      </c>
      <c r="AP818">
        <v>3.659577257252332</v>
      </c>
      <c r="AQ818">
        <v>45.423783484194132</v>
      </c>
      <c r="AR818">
        <v>6.7051569286170807</v>
      </c>
      <c r="AS818">
        <v>43.236477686645429</v>
      </c>
      <c r="AT818">
        <v>5.4470371894841589</v>
      </c>
      <c r="AU818">
        <v>4.1959652417423321</v>
      </c>
      <c r="AV818"/>
      <c r="AW818"/>
      <c r="FY818" s="211">
        <v>813</v>
      </c>
      <c r="FZ818">
        <v>8.612238335865138</v>
      </c>
      <c r="GA818">
        <v>9.660931876965023</v>
      </c>
      <c r="GB818">
        <v>7.9653664039117791</v>
      </c>
      <c r="GC818">
        <v>3.7531501393429143</v>
      </c>
      <c r="GD818">
        <v>1.2405532593053208</v>
      </c>
      <c r="GE818">
        <v>0.92962175428571447</v>
      </c>
      <c r="GF818">
        <v>2.2904813354815796</v>
      </c>
      <c r="GG818">
        <v>2.367581559138717</v>
      </c>
      <c r="GH818">
        <v>5.1701804781602281</v>
      </c>
      <c r="GI818">
        <v>5.1763215000350637</v>
      </c>
      <c r="GJ818"/>
      <c r="GK818">
        <v>8.65823878375571</v>
      </c>
      <c r="GL818">
        <v>8.1842075568488983</v>
      </c>
      <c r="GM818">
        <v>13.268504206867121</v>
      </c>
      <c r="GN818">
        <v>11.300179667211701</v>
      </c>
      <c r="GO818">
        <v>4.8202165178802776</v>
      </c>
      <c r="GP818">
        <v>1.7797619047619051</v>
      </c>
      <c r="GQ818">
        <v>2.8021159372456665</v>
      </c>
      <c r="GR818">
        <v>3.3287363076160368</v>
      </c>
      <c r="GS818">
        <v>5.5150030430457875</v>
      </c>
      <c r="GT818">
        <v>7.0128156977589144</v>
      </c>
      <c r="GU818"/>
      <c r="GV818"/>
      <c r="GW818"/>
      <c r="GX818"/>
      <c r="GY818"/>
      <c r="GZ818"/>
      <c r="HA818"/>
      <c r="HB818"/>
      <c r="HC818"/>
    </row>
    <row r="819" spans="1:211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85.182746625965422</v>
      </c>
      <c r="AO819">
        <v>10.0918357357682</v>
      </c>
      <c r="AP819">
        <v>88.88990056681186</v>
      </c>
      <c r="AQ819">
        <v>81.971694625434935</v>
      </c>
      <c r="AR819">
        <v>10.355430196482184</v>
      </c>
      <c r="AS819">
        <v>65.165517141144107</v>
      </c>
      <c r="AT819" t="e">
        <v>#DIV/0!</v>
      </c>
      <c r="AU819" t="e">
        <v>#DIV/0!</v>
      </c>
      <c r="AV819"/>
      <c r="AW819"/>
      <c r="FY819" s="211">
        <v>814</v>
      </c>
      <c r="FZ819">
        <v>16.603229641647555</v>
      </c>
      <c r="GA819">
        <v>14.982113849061662</v>
      </c>
      <c r="GB819">
        <v>5.4210822085662906</v>
      </c>
      <c r="GC819">
        <v>3.6664842808260962</v>
      </c>
      <c r="GD819">
        <v>3.1282825646928187</v>
      </c>
      <c r="GE819">
        <v>4.5744556385020534</v>
      </c>
      <c r="GF819">
        <v>1.8450118643478259</v>
      </c>
      <c r="GG819">
        <v>2.3548500259963765</v>
      </c>
      <c r="GH819">
        <v>3.2839108962453549</v>
      </c>
      <c r="GI819">
        <v>6.4404527072730051</v>
      </c>
      <c r="GJ819"/>
      <c r="GK819">
        <v>16.645742159087479</v>
      </c>
      <c r="GL819">
        <v>12.694166320817928</v>
      </c>
      <c r="GM819">
        <v>9.0164127439362094</v>
      </c>
      <c r="GN819">
        <v>10.991617386004917</v>
      </c>
      <c r="GO819">
        <v>12.149721648139968</v>
      </c>
      <c r="GP819">
        <v>8.7578005171413196</v>
      </c>
      <c r="GQ819">
        <v>2.2608695652173911</v>
      </c>
      <c r="GR819">
        <v>3.3141103059581321</v>
      </c>
      <c r="GS819">
        <v>3.4996554845483931</v>
      </c>
      <c r="GT819">
        <v>8.7144803201858902</v>
      </c>
      <c r="GU819"/>
      <c r="GV819"/>
      <c r="GW819"/>
      <c r="GX819"/>
      <c r="GY819"/>
      <c r="GZ819"/>
      <c r="HA819"/>
      <c r="HB819"/>
      <c r="HC819"/>
    </row>
    <row r="820" spans="1:211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53.032699150545589</v>
      </c>
      <c r="AO820">
        <v>6.6556547712895338</v>
      </c>
      <c r="AP820">
        <v>13.715356860079961</v>
      </c>
      <c r="AQ820">
        <v>43.635899191128004</v>
      </c>
      <c r="AR820">
        <v>6.8919682902356643</v>
      </c>
      <c r="AS820">
        <v>40.634091604027411</v>
      </c>
      <c r="AT820" t="e">
        <v>#DIV/0!</v>
      </c>
      <c r="AU820" t="e">
        <v>#DIV/0!</v>
      </c>
      <c r="AV820"/>
      <c r="AW820"/>
      <c r="FY820" s="211">
        <v>815</v>
      </c>
      <c r="FZ820">
        <v>15.194635670612479</v>
      </c>
      <c r="GA820">
        <v>13.546101355513185</v>
      </c>
      <c r="GB820">
        <v>5.3127819595824954</v>
      </c>
      <c r="GC820">
        <v>2.7822525876764512</v>
      </c>
      <c r="GD820">
        <v>1.7371758429324977</v>
      </c>
      <c r="GE820">
        <v>2.6153249025083065</v>
      </c>
      <c r="GF820">
        <v>1.2074524259805255</v>
      </c>
      <c r="GG820">
        <v>1.3774199248980978</v>
      </c>
      <c r="GH820">
        <v>4.778548455661368</v>
      </c>
      <c r="GI820">
        <v>5.5222847150906826</v>
      </c>
      <c r="GJ820"/>
      <c r="GK820">
        <v>15.255093982281307</v>
      </c>
      <c r="GL820">
        <v>11.478054117376164</v>
      </c>
      <c r="GM820">
        <v>8.7951042029875754</v>
      </c>
      <c r="GN820">
        <v>8.2751498454164043</v>
      </c>
      <c r="GO820">
        <v>6.7347887976825493</v>
      </c>
      <c r="GP820">
        <v>5.0070424972314527</v>
      </c>
      <c r="GQ820">
        <v>1.4796069847020934</v>
      </c>
      <c r="GR820">
        <v>1.9385190217391302</v>
      </c>
      <c r="GS820">
        <v>5.0922185482504565</v>
      </c>
      <c r="GT820">
        <v>7.4713625031807975</v>
      </c>
      <c r="GU820"/>
      <c r="GV820"/>
      <c r="GW820"/>
      <c r="GX820"/>
      <c r="GY820"/>
      <c r="GZ820"/>
      <c r="HA820"/>
      <c r="HB820"/>
      <c r="HC820"/>
    </row>
    <row r="821" spans="1:211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58.858991716990772</v>
      </c>
      <c r="AO821">
        <v>6.9961591692056562</v>
      </c>
      <c r="AP821">
        <v>87.770637092817765</v>
      </c>
      <c r="AQ821">
        <v>49.961171973920202</v>
      </c>
      <c r="AR821">
        <v>7.2522328349250129</v>
      </c>
      <c r="AS821">
        <v>48.281911668693176</v>
      </c>
      <c r="AT821" t="e">
        <v>#DIV/0!</v>
      </c>
      <c r="AU821" t="e">
        <v>#DIV/0!</v>
      </c>
      <c r="AV821"/>
      <c r="AW821"/>
      <c r="FY821" s="211">
        <v>816</v>
      </c>
      <c r="FZ821">
        <v>12.452802371984445</v>
      </c>
      <c r="GA821">
        <v>12.91309904385842</v>
      </c>
      <c r="GB821">
        <v>5.2163780400791353</v>
      </c>
      <c r="GC821">
        <v>2.9997359643358186</v>
      </c>
      <c r="GD821">
        <v>2.5183512719938732</v>
      </c>
      <c r="GE821">
        <v>3.1292569271995316</v>
      </c>
      <c r="GF821">
        <v>1.2074524259805255</v>
      </c>
      <c r="GG821">
        <v>1.003228398856431</v>
      </c>
      <c r="GH821">
        <v>3.753902094340785</v>
      </c>
      <c r="GI821">
        <v>5.3856747272047718</v>
      </c>
      <c r="GJ821"/>
      <c r="GK821">
        <v>12.503090997101776</v>
      </c>
      <c r="GL821">
        <v>10.940968792952429</v>
      </c>
      <c r="GM821">
        <v>8.6797476018180433</v>
      </c>
      <c r="GN821">
        <v>9.0320529458856598</v>
      </c>
      <c r="GO821">
        <v>9.8045634334221585</v>
      </c>
      <c r="GP821">
        <v>5.9909659424023323</v>
      </c>
      <c r="GQ821">
        <v>1.4796069847020934</v>
      </c>
      <c r="GR821">
        <v>1.4118986513687599</v>
      </c>
      <c r="GS821">
        <v>4.0040076726754181</v>
      </c>
      <c r="GT821">
        <v>7.2942033379438982</v>
      </c>
      <c r="GU821"/>
      <c r="GV821"/>
      <c r="GW821"/>
      <c r="GX821"/>
      <c r="GY821"/>
      <c r="GZ821"/>
      <c r="HA821"/>
      <c r="HB821"/>
      <c r="HC821"/>
    </row>
    <row r="822" spans="1:211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54.116231918497967</v>
      </c>
      <c r="AO822">
        <v>6.2710860057337081</v>
      </c>
      <c r="AP822">
        <v>3.3707860297094818</v>
      </c>
      <c r="AQ822">
        <v>45.617827399482849</v>
      </c>
      <c r="AR822">
        <v>6.5064646341644945</v>
      </c>
      <c r="AS822">
        <v>42.53715907486739</v>
      </c>
      <c r="AT822">
        <v>5.2474332701402018</v>
      </c>
      <c r="AU822">
        <v>4.495608018248042</v>
      </c>
      <c r="AV822"/>
      <c r="AW822"/>
      <c r="FY822" s="211">
        <v>817</v>
      </c>
      <c r="FZ822">
        <v>9.3495961433222821</v>
      </c>
      <c r="GA822">
        <v>7.3263902135368637</v>
      </c>
      <c r="GB822">
        <v>5.3725458490810283</v>
      </c>
      <c r="GC822">
        <v>2.6364974196027453</v>
      </c>
      <c r="GD822">
        <v>2.1874053624020124</v>
      </c>
      <c r="GE822">
        <v>3.5712109104768421</v>
      </c>
      <c r="GF822">
        <v>0.11050852312500001</v>
      </c>
      <c r="GG822">
        <v>0.37419152604166667</v>
      </c>
      <c r="GH822">
        <v>5.8379318512699641</v>
      </c>
      <c r="GI822">
        <v>4.8987026901164841</v>
      </c>
      <c r="GJ822"/>
      <c r="GK822">
        <v>9.3961671878308159</v>
      </c>
      <c r="GL822">
        <v>6.2073402321599636</v>
      </c>
      <c r="GM822">
        <v>8.8994634617986197</v>
      </c>
      <c r="GN822">
        <v>7.8582094338997148</v>
      </c>
      <c r="GO822">
        <v>8.4892034790283137</v>
      </c>
      <c r="GP822">
        <v>6.8370873455090289</v>
      </c>
      <c r="GQ822">
        <v>0.13541666666666666</v>
      </c>
      <c r="GR822">
        <v>0.52662037037037035</v>
      </c>
      <c r="GS822">
        <v>6.2212194948809261</v>
      </c>
      <c r="GT822">
        <v>6.6282940580410674</v>
      </c>
      <c r="GU822"/>
      <c r="GV822"/>
      <c r="GW822"/>
      <c r="GX822"/>
      <c r="GY822"/>
      <c r="GZ822"/>
      <c r="HA822"/>
      <c r="HB822"/>
      <c r="HC822"/>
    </row>
    <row r="823" spans="1:211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61.933097339513004</v>
      </c>
      <c r="AO823">
        <v>7.1209522784830641</v>
      </c>
      <c r="AP823">
        <v>5.2894655217842192</v>
      </c>
      <c r="AQ823">
        <v>54.409357259521506</v>
      </c>
      <c r="AR823">
        <v>7.1658024611771225</v>
      </c>
      <c r="AS823">
        <v>45.735454796731631</v>
      </c>
      <c r="AT823">
        <v>5.7840414622347707</v>
      </c>
      <c r="AU823">
        <v>6.0997699786709063</v>
      </c>
      <c r="AV823"/>
      <c r="AW823"/>
      <c r="FY823" s="211">
        <v>818</v>
      </c>
      <c r="FZ823">
        <v>12.430276056747788</v>
      </c>
      <c r="GA823">
        <v>10.027905098085313</v>
      </c>
      <c r="GB823">
        <v>6.9495133114251351</v>
      </c>
      <c r="GC823">
        <v>3.2770437813599447</v>
      </c>
      <c r="GD823">
        <v>2.2114254008902976</v>
      </c>
      <c r="GE823">
        <v>3.5815586532079347</v>
      </c>
      <c r="GF823">
        <v>1.9968596556808551</v>
      </c>
      <c r="GG823">
        <v>1.5934002092972313</v>
      </c>
      <c r="GH823">
        <v>3.0542577050160928</v>
      </c>
      <c r="GI823">
        <v>5.6607213562178336</v>
      </c>
      <c r="GJ823"/>
      <c r="GK823">
        <v>12.496468536174991</v>
      </c>
      <c r="GL823">
        <v>8.4953910118816172</v>
      </c>
      <c r="GM823">
        <v>11.544643041934032</v>
      </c>
      <c r="GN823">
        <v>9.825900318612641</v>
      </c>
      <c r="GO823">
        <v>8.5948013845799984</v>
      </c>
      <c r="GP823">
        <v>6.856898110724206</v>
      </c>
      <c r="GQ823">
        <v>2.4423131997255374</v>
      </c>
      <c r="GR823">
        <v>2.2391881997255374</v>
      </c>
      <c r="GS823">
        <v>3.2551144557258715</v>
      </c>
      <c r="GT823">
        <v>7.6666681236280851</v>
      </c>
      <c r="GU823"/>
      <c r="GV823"/>
      <c r="GW823"/>
      <c r="GX823"/>
      <c r="GY823"/>
      <c r="GZ823"/>
      <c r="HA823"/>
      <c r="HB823"/>
      <c r="HC823"/>
    </row>
    <row r="824" spans="1:211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72.289495739363801</v>
      </c>
      <c r="AO824">
        <v>8.6499368382519322</v>
      </c>
      <c r="AP824">
        <v>84.267364783065332</v>
      </c>
      <c r="AQ824">
        <v>62.42647289536653</v>
      </c>
      <c r="AR824">
        <v>9.0173370264456896</v>
      </c>
      <c r="AS824">
        <v>54.636197466827724</v>
      </c>
      <c r="AT824" t="e">
        <v>#DIV/0!</v>
      </c>
      <c r="AU824" t="e">
        <v>#DIV/0!</v>
      </c>
      <c r="AV824"/>
      <c r="AW824"/>
      <c r="FY824" s="211">
        <v>819</v>
      </c>
      <c r="FZ824">
        <v>9.3297250372668241</v>
      </c>
      <c r="GA824">
        <v>7.6691708935949148</v>
      </c>
      <c r="GB824">
        <v>6.0966869068185634</v>
      </c>
      <c r="GC824">
        <v>3.9361094022456165</v>
      </c>
      <c r="GD824">
        <v>2.1636530468228261</v>
      </c>
      <c r="GE824">
        <v>2.6223827805882354</v>
      </c>
      <c r="GF824">
        <v>3.0315918002966447</v>
      </c>
      <c r="GG824">
        <v>2.9642867518874225</v>
      </c>
      <c r="GH824">
        <v>4.4093609885235843</v>
      </c>
      <c r="GI824">
        <v>5.3671923275059896</v>
      </c>
      <c r="GJ824"/>
      <c r="GK824">
        <v>9.3703174854035947</v>
      </c>
      <c r="GL824">
        <v>6.4983798725914488</v>
      </c>
      <c r="GM824">
        <v>10.140400610499499</v>
      </c>
      <c r="GN824">
        <v>11.802450630124667</v>
      </c>
      <c r="GO824">
        <v>8.4095741581185894</v>
      </c>
      <c r="GP824">
        <v>5.0205548128342246</v>
      </c>
      <c r="GQ824">
        <v>3.7079545016817037</v>
      </c>
      <c r="GR824">
        <v>4.1668665387187405</v>
      </c>
      <c r="GS824">
        <v>4.7015999398584958</v>
      </c>
      <c r="GT824">
        <v>7.2659693391123774</v>
      </c>
      <c r="GU824"/>
      <c r="GV824"/>
      <c r="GW824"/>
      <c r="GX824"/>
      <c r="GY824"/>
      <c r="GZ824"/>
      <c r="HA824"/>
      <c r="HB824"/>
      <c r="HC824"/>
    </row>
    <row r="825" spans="1:211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54.844649596943079</v>
      </c>
      <c r="AO825">
        <v>6.5829682916310501</v>
      </c>
      <c r="AP825">
        <v>4.0031800009249352</v>
      </c>
      <c r="AQ825">
        <v>50.091778059343831</v>
      </c>
      <c r="AR825">
        <v>7.2365855407634765</v>
      </c>
      <c r="AS825">
        <v>44.539920313948357</v>
      </c>
      <c r="AT825">
        <v>5.7661571015387532</v>
      </c>
      <c r="AU825">
        <v>0.50806352542590894</v>
      </c>
      <c r="AV825"/>
      <c r="AW825"/>
      <c r="FY825" s="211">
        <v>820</v>
      </c>
      <c r="FZ825">
        <v>8.9496946786043239</v>
      </c>
      <c r="GA825">
        <v>9.7981024161832</v>
      </c>
      <c r="GB825">
        <v>5.8661991738738006</v>
      </c>
      <c r="GC825">
        <v>3.2339240021749935</v>
      </c>
      <c r="GD825">
        <v>1.2519188634971308</v>
      </c>
      <c r="GE825">
        <v>1.2479161592857142</v>
      </c>
      <c r="GF825">
        <v>1.8481976620637066</v>
      </c>
      <c r="GG825">
        <v>2.2128174761839414</v>
      </c>
      <c r="GH825">
        <v>4.0381990244443653</v>
      </c>
      <c r="GI825">
        <v>4.4566709645135587</v>
      </c>
      <c r="GJ825"/>
      <c r="GK825">
        <v>8.990275986090392</v>
      </c>
      <c r="GL825">
        <v>8.3034892090372399</v>
      </c>
      <c r="GM825">
        <v>9.7116593327799272</v>
      </c>
      <c r="GN825">
        <v>9.6485749064060471</v>
      </c>
      <c r="GO825">
        <v>4.8840059731395495</v>
      </c>
      <c r="GP825">
        <v>2.3891369047619047</v>
      </c>
      <c r="GQ825">
        <v>2.2624584315857961</v>
      </c>
      <c r="GR825">
        <v>3.1125741723265365</v>
      </c>
      <c r="GS825">
        <v>4.3048591919004018</v>
      </c>
      <c r="GT825">
        <v>6.030651783099211</v>
      </c>
      <c r="GU825"/>
      <c r="GV825"/>
      <c r="GW825"/>
      <c r="GX825"/>
      <c r="GY825"/>
      <c r="GZ825"/>
      <c r="HA825"/>
      <c r="HB825"/>
      <c r="HC825"/>
    </row>
    <row r="826" spans="1:211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63.645804390570433</v>
      </c>
      <c r="AO826">
        <v>7.4498161483374528</v>
      </c>
      <c r="AP826">
        <v>4.1557392570982836</v>
      </c>
      <c r="AQ826">
        <v>53.788965092979964</v>
      </c>
      <c r="AR826">
        <v>7.9329499141443529</v>
      </c>
      <c r="AS826">
        <v>49.617128357123569</v>
      </c>
      <c r="AT826">
        <v>6.3159385656907121</v>
      </c>
      <c r="AU826">
        <v>6.2412132221527816</v>
      </c>
      <c r="AV826"/>
      <c r="AW826"/>
      <c r="FY826" s="211">
        <v>821</v>
      </c>
      <c r="FZ826">
        <v>18.822153693588778</v>
      </c>
      <c r="GA826">
        <v>16.719946794807004</v>
      </c>
      <c r="GB826">
        <v>6.3178710401926352</v>
      </c>
      <c r="GC826">
        <v>3.9350034228731685</v>
      </c>
      <c r="GD826">
        <v>1.1557960467228681</v>
      </c>
      <c r="GE826">
        <v>1.2849271366112958</v>
      </c>
      <c r="GF826">
        <v>3.5601455197018406</v>
      </c>
      <c r="GG826">
        <v>3.7515348663447212</v>
      </c>
      <c r="GH826">
        <v>8.193065182539101</v>
      </c>
      <c r="GI826">
        <v>6.9417410275142579</v>
      </c>
      <c r="GJ826"/>
      <c r="GK826">
        <v>18.87676960524206</v>
      </c>
      <c r="GL826">
        <v>14.167589350241192</v>
      </c>
      <c r="GM826">
        <v>10.498622993955996</v>
      </c>
      <c r="GN826">
        <v>11.773550376924097</v>
      </c>
      <c r="GO826">
        <v>4.4908441859947192</v>
      </c>
      <c r="GP826">
        <v>2.4599944629014399</v>
      </c>
      <c r="GQ826">
        <v>4.3602719380270196</v>
      </c>
      <c r="GR826">
        <v>5.2780960121010949</v>
      </c>
      <c r="GS826">
        <v>8.7363164155341764</v>
      </c>
      <c r="GT826">
        <v>9.392565027750793</v>
      </c>
      <c r="GU826"/>
      <c r="GV826"/>
      <c r="GW826"/>
      <c r="GX826"/>
      <c r="GY826"/>
      <c r="GZ826"/>
      <c r="HA826"/>
      <c r="HB826"/>
      <c r="HC826"/>
    </row>
    <row r="827" spans="1:211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76.504642747863528</v>
      </c>
      <c r="AO827">
        <v>9.4420265861246797</v>
      </c>
      <c r="AP827">
        <v>5.1856320585850995</v>
      </c>
      <c r="AQ827">
        <v>71.34523176680247</v>
      </c>
      <c r="AR827">
        <v>9.9844218832029643</v>
      </c>
      <c r="AS827">
        <v>59.059414281350243</v>
      </c>
      <c r="AT827">
        <v>7.9546563180838481</v>
      </c>
      <c r="AU827">
        <v>-2.5589281887696735</v>
      </c>
      <c r="AV827"/>
      <c r="AW827"/>
      <c r="FY827" s="211">
        <v>822</v>
      </c>
      <c r="FZ827">
        <v>15.902288278766891</v>
      </c>
      <c r="GA827">
        <v>15.213030708716124</v>
      </c>
      <c r="GB827">
        <v>6.8445169855442112</v>
      </c>
      <c r="GC827">
        <v>3.069497990941557</v>
      </c>
      <c r="GD827">
        <v>1.238236924942238</v>
      </c>
      <c r="GE827">
        <v>1.7463306539368768</v>
      </c>
      <c r="GF827">
        <v>4.1977049580691403</v>
      </c>
      <c r="GG827">
        <v>3.6063903893179994</v>
      </c>
      <c r="GH827">
        <v>5.088153332353607</v>
      </c>
      <c r="GI827">
        <v>6.3079117861674057</v>
      </c>
      <c r="GJ827"/>
      <c r="GK827">
        <v>15.941967931257063</v>
      </c>
      <c r="GL827">
        <v>12.890124456531078</v>
      </c>
      <c r="GM827">
        <v>11.330921673327818</v>
      </c>
      <c r="GN827">
        <v>9.1273129199099738</v>
      </c>
      <c r="GO827">
        <v>4.7995142648003135</v>
      </c>
      <c r="GP827">
        <v>3.3433520210409742</v>
      </c>
      <c r="GQ827">
        <v>5.1415345185423167</v>
      </c>
      <c r="GR827">
        <v>5.0738261852089837</v>
      </c>
      <c r="GS827">
        <v>5.4264037537071372</v>
      </c>
      <c r="GT827">
        <v>8.5280684283269306</v>
      </c>
      <c r="GU827"/>
      <c r="GV827"/>
      <c r="GW827"/>
      <c r="GX827"/>
      <c r="GY827"/>
      <c r="GZ827"/>
      <c r="HA827"/>
      <c r="HB827"/>
      <c r="HC827"/>
    </row>
    <row r="828" spans="1:211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77.505674783335124</v>
      </c>
      <c r="AO828">
        <v>8.907150646095964</v>
      </c>
      <c r="AP828">
        <v>78.170086893311534</v>
      </c>
      <c r="AQ828">
        <v>68.129985985112029</v>
      </c>
      <c r="AR828">
        <v>9.0565100097087292</v>
      </c>
      <c r="AS828">
        <v>56.481969190963575</v>
      </c>
      <c r="AT828" t="e">
        <v>#DIV/0!</v>
      </c>
      <c r="AU828" t="e">
        <v>#DIV/0!</v>
      </c>
      <c r="AV828"/>
      <c r="AW828"/>
      <c r="FY828" s="211">
        <v>823</v>
      </c>
      <c r="FZ828">
        <v>16.07856116356341</v>
      </c>
      <c r="GA828">
        <v>15.153370131547803</v>
      </c>
      <c r="GB828">
        <v>4.264343245716546</v>
      </c>
      <c r="GC828">
        <v>2.4726338544976545</v>
      </c>
      <c r="GD828">
        <v>1.4096235617539263</v>
      </c>
      <c r="GE828">
        <v>1.4886637546511627</v>
      </c>
      <c r="GF828">
        <v>1.8933086292330903</v>
      </c>
      <c r="GG828">
        <v>2.3483166436884702</v>
      </c>
      <c r="GH828">
        <v>5.9052353401725233</v>
      </c>
      <c r="GI828">
        <v>5.5110765714755523</v>
      </c>
      <c r="GJ828"/>
      <c r="GK828">
        <v>16.122826171841346</v>
      </c>
      <c r="GL828">
        <v>12.841960637355818</v>
      </c>
      <c r="GM828">
        <v>7.0637332625091025</v>
      </c>
      <c r="GN828">
        <v>7.3630497382712656</v>
      </c>
      <c r="GO828">
        <v>5.4647739167301683</v>
      </c>
      <c r="GP828">
        <v>2.850048449612403</v>
      </c>
      <c r="GQ828">
        <v>2.3177372158047973</v>
      </c>
      <c r="GR828">
        <v>3.3032696232122047</v>
      </c>
      <c r="GS828">
        <v>6.293028088374145</v>
      </c>
      <c r="GT828">
        <v>7.4524197310519114</v>
      </c>
      <c r="GU828"/>
      <c r="GV828"/>
      <c r="GW828"/>
      <c r="GX828"/>
      <c r="GY828"/>
      <c r="GZ828"/>
      <c r="HA828"/>
      <c r="HB828"/>
      <c r="HC828"/>
    </row>
    <row r="829" spans="1:211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54.999596484185531</v>
      </c>
      <c r="AO829">
        <v>6.6669779622992023</v>
      </c>
      <c r="AP829">
        <v>37.78081398711209</v>
      </c>
      <c r="AQ829">
        <v>47.166426642491473</v>
      </c>
      <c r="AR829">
        <v>7.0128156977589127</v>
      </c>
      <c r="AS829">
        <v>41.609334874744619</v>
      </c>
      <c r="AT829" t="e">
        <v>#DIV/0!</v>
      </c>
      <c r="AU829" t="e">
        <v>#DIV/0!</v>
      </c>
      <c r="AV829"/>
      <c r="AW829"/>
      <c r="FY829" s="211">
        <v>824</v>
      </c>
      <c r="FZ829">
        <v>11.052552152521486</v>
      </c>
      <c r="GA829">
        <v>6.9315025716860843</v>
      </c>
      <c r="GB829">
        <v>4.3070099552660466</v>
      </c>
      <c r="GC829">
        <v>3.374124514091819</v>
      </c>
      <c r="GD829">
        <v>2.5697900205449953</v>
      </c>
      <c r="GE829">
        <v>3.4297467304768423</v>
      </c>
      <c r="GF829">
        <v>2.4374603355457425</v>
      </c>
      <c r="GG829">
        <v>2.4483979075067932</v>
      </c>
      <c r="GH829">
        <v>3.5924873604841991</v>
      </c>
      <c r="GI829">
        <v>5.1830379894546255</v>
      </c>
      <c r="GJ829"/>
      <c r="GK829">
        <v>11.089699870049028</v>
      </c>
      <c r="GL829">
        <v>5.8748181455662669</v>
      </c>
      <c r="GM829">
        <v>7.2150407463271193</v>
      </c>
      <c r="GN829">
        <v>10.186657721999993</v>
      </c>
      <c r="GO829">
        <v>9.9835404912444901</v>
      </c>
      <c r="GP829">
        <v>6.5662540121756958</v>
      </c>
      <c r="GQ829">
        <v>2.986853361513687</v>
      </c>
      <c r="GR829">
        <v>3.4457653985507242</v>
      </c>
      <c r="GS829">
        <v>3.8300959444247047</v>
      </c>
      <c r="GT829">
        <v>7.0210460827118055</v>
      </c>
      <c r="GU829"/>
      <c r="GV829"/>
      <c r="GW829"/>
      <c r="GX829"/>
      <c r="GY829"/>
      <c r="GZ829"/>
      <c r="HA829"/>
      <c r="HB829"/>
      <c r="HC829"/>
    </row>
    <row r="830" spans="1:211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73.788278182914738</v>
      </c>
      <c r="AO830">
        <v>8.8044576451037635</v>
      </c>
      <c r="AP830">
        <v>30.9701250003199</v>
      </c>
      <c r="AQ830">
        <v>62.299873677159034</v>
      </c>
      <c r="AR830">
        <v>8.7144803201858885</v>
      </c>
      <c r="AS830">
        <v>52.684802974919492</v>
      </c>
      <c r="AT830" t="e">
        <v>#DIV/0!</v>
      </c>
      <c r="AU830" t="e">
        <v>#DIV/0!</v>
      </c>
      <c r="AV830"/>
      <c r="AW830"/>
      <c r="FY830" s="211">
        <v>825</v>
      </c>
      <c r="FZ830">
        <v>12.063454714218805</v>
      </c>
      <c r="GA830">
        <v>7.7738148808560492</v>
      </c>
      <c r="GB830">
        <v>5.6315108786688217</v>
      </c>
      <c r="GC830">
        <v>3.3008010389679638</v>
      </c>
      <c r="GD830">
        <v>1.5505057222408327</v>
      </c>
      <c r="GE830">
        <v>2.3822773245798321</v>
      </c>
      <c r="GF830">
        <v>0.67025821634510852</v>
      </c>
      <c r="GG830">
        <v>0.90968051734601452</v>
      </c>
      <c r="GH830">
        <v>4.2270942091723303</v>
      </c>
      <c r="GI830">
        <v>4.8528552495353221</v>
      </c>
      <c r="GJ830"/>
      <c r="GK830">
        <v>12.101893238753245</v>
      </c>
      <c r="GL830">
        <v>6.5878893509997418</v>
      </c>
      <c r="GM830">
        <v>9.4462131827631737</v>
      </c>
      <c r="GN830">
        <v>10.00501630975576</v>
      </c>
      <c r="GO830">
        <v>6.011014778296782</v>
      </c>
      <c r="GP830">
        <v>4.5608726445123509</v>
      </c>
      <c r="GQ830">
        <v>0.82133152173913027</v>
      </c>
      <c r="GR830">
        <v>1.2802435587761674</v>
      </c>
      <c r="GS830">
        <v>4.5035988085068777</v>
      </c>
      <c r="GT830">
        <v>6.5768103060118426</v>
      </c>
      <c r="GU830"/>
      <c r="GV830"/>
      <c r="GW830"/>
      <c r="GX830"/>
      <c r="GY830"/>
      <c r="GZ830"/>
      <c r="HA830"/>
      <c r="HB830"/>
      <c r="HC830"/>
    </row>
    <row r="831" spans="1:211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62.841780023511262</v>
      </c>
      <c r="AO831">
        <v>7.1526940500847926</v>
      </c>
      <c r="AP831">
        <v>2.4535264131850423</v>
      </c>
      <c r="AQ831">
        <v>54.073977840456088</v>
      </c>
      <c r="AR831">
        <v>7.4713625031807958</v>
      </c>
      <c r="AS831">
        <v>47.684218568812142</v>
      </c>
      <c r="AT831">
        <v>6.0009003572394066</v>
      </c>
      <c r="AU831">
        <v>-0.55674859361968032</v>
      </c>
      <c r="AV831"/>
      <c r="AW831"/>
      <c r="FY831" s="211">
        <v>826</v>
      </c>
      <c r="FZ831">
        <v>11.583880616183555</v>
      </c>
      <c r="GA831">
        <v>10.184524794379719</v>
      </c>
      <c r="GB831">
        <v>5.1149393257941531</v>
      </c>
      <c r="GC831">
        <v>2.8334324761324967</v>
      </c>
      <c r="GD831">
        <v>1.0285670570800109</v>
      </c>
      <c r="GE831">
        <v>0.74433187732558137</v>
      </c>
      <c r="GF831">
        <v>3.1490578200988804</v>
      </c>
      <c r="GG831">
        <v>3.3450116602369953</v>
      </c>
      <c r="GH831">
        <v>4.2569611330536441</v>
      </c>
      <c r="GI831">
        <v>4.8077556884111692</v>
      </c>
      <c r="GJ831"/>
      <c r="GK831">
        <v>11.631933007976341</v>
      </c>
      <c r="GL831">
        <v>8.6282371162554181</v>
      </c>
      <c r="GM831">
        <v>8.5496098051647298</v>
      </c>
      <c r="GN831">
        <v>8.5641727001731525</v>
      </c>
      <c r="GO831">
        <v>3.9975406145661481</v>
      </c>
      <c r="GP831">
        <v>1.4250242248062015</v>
      </c>
      <c r="GQ831">
        <v>3.8542118510942975</v>
      </c>
      <c r="GR831">
        <v>4.7043275918350371</v>
      </c>
      <c r="GS831">
        <v>4.5390079814617428</v>
      </c>
      <c r="GT831">
        <v>6.5144606520526507</v>
      </c>
      <c r="GU831"/>
      <c r="GV831"/>
      <c r="GW831"/>
      <c r="GX831"/>
      <c r="GY831"/>
      <c r="GZ831"/>
      <c r="HA831"/>
      <c r="HB831"/>
      <c r="HC831"/>
    </row>
    <row r="832" spans="1:211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56.395233552104706</v>
      </c>
      <c r="AO832">
        <v>7.1141106360272577</v>
      </c>
      <c r="AP832">
        <v>51.049008851135468</v>
      </c>
      <c r="AQ832">
        <v>50.579881265833741</v>
      </c>
      <c r="AR832">
        <v>7.2942033379439</v>
      </c>
      <c r="AS832">
        <v>46.779566552914503</v>
      </c>
      <c r="AT832" t="e">
        <v>#DIV/0!</v>
      </c>
      <c r="AU832" t="e">
        <v>#DIV/0!</v>
      </c>
      <c r="AV832"/>
      <c r="AW832"/>
      <c r="FY832" s="211">
        <v>827</v>
      </c>
      <c r="FZ832">
        <v>18.288307300697543</v>
      </c>
      <c r="GA832">
        <v>15.486338716518631</v>
      </c>
      <c r="GB832">
        <v>6.5154407770543239</v>
      </c>
      <c r="GC832">
        <v>3.6130007124185175</v>
      </c>
      <c r="GD832">
        <v>1.4607574338109777</v>
      </c>
      <c r="GE832">
        <v>2.0656278519054139</v>
      </c>
      <c r="GF832">
        <v>2.8898873033567316</v>
      </c>
      <c r="GG832">
        <v>2.8418543489987065</v>
      </c>
      <c r="GH832">
        <v>6.1958468718446555</v>
      </c>
      <c r="GI832">
        <v>6.6473860758116556</v>
      </c>
      <c r="GJ832"/>
      <c r="GK832">
        <v>18.366839871744521</v>
      </c>
      <c r="GL832">
        <v>13.12405668594513</v>
      </c>
      <c r="GM832">
        <v>10.825744796067271</v>
      </c>
      <c r="GN832">
        <v>10.80567508604708</v>
      </c>
      <c r="GO832">
        <v>5.6615464849575599</v>
      </c>
      <c r="GP832">
        <v>3.9546468693185526</v>
      </c>
      <c r="GQ832">
        <v>3.5389404162878897</v>
      </c>
      <c r="GR832">
        <v>3.9978524533249269</v>
      </c>
      <c r="GS832">
        <v>6.6055293784971383</v>
      </c>
      <c r="GT832">
        <v>8.9997201895108763</v>
      </c>
      <c r="GU832"/>
      <c r="GV832"/>
      <c r="GW832"/>
      <c r="GX832"/>
      <c r="GY832"/>
      <c r="GZ832"/>
      <c r="HA832"/>
      <c r="HB832"/>
      <c r="HC832"/>
    </row>
    <row r="833" spans="1:211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52.227663601553651</v>
      </c>
      <c r="AO833">
        <v>6.1199021730185494</v>
      </c>
      <c r="AP833">
        <v>8.9772183208519252</v>
      </c>
      <c r="AQ833">
        <v>41.664980488974884</v>
      </c>
      <c r="AR833">
        <v>6.6282940580410683</v>
      </c>
      <c r="AS833">
        <v>41.663962840760796</v>
      </c>
      <c r="AT833" t="e">
        <v>#DIV/0!</v>
      </c>
      <c r="AU833" t="e">
        <v>#DIV/0!</v>
      </c>
      <c r="AV833"/>
      <c r="AW833"/>
      <c r="FY833" s="211">
        <v>828</v>
      </c>
      <c r="FZ833">
        <v>6.8831928943259459</v>
      </c>
      <c r="GA833">
        <v>9.0276000106360836</v>
      </c>
      <c r="GB833">
        <v>6.6317628475937642</v>
      </c>
      <c r="GC833">
        <v>2.8521442915304154</v>
      </c>
      <c r="GD833">
        <v>1.1150671425033725</v>
      </c>
      <c r="GE833">
        <v>1.1418180242857141</v>
      </c>
      <c r="GF833">
        <v>1.8863511325558551</v>
      </c>
      <c r="GG833">
        <v>1.9675917353388979</v>
      </c>
      <c r="GH833">
        <v>3.6608332342341994</v>
      </c>
      <c r="GI833">
        <v>4.2056569986158125</v>
      </c>
      <c r="GJ833"/>
      <c r="GK833">
        <v>6.8957757069828718</v>
      </c>
      <c r="GL833">
        <v>7.6486751255683476</v>
      </c>
      <c r="GM833">
        <v>10.981824147016837</v>
      </c>
      <c r="GN833">
        <v>8.4971765926119165</v>
      </c>
      <c r="GO833">
        <v>4.3321823330681877</v>
      </c>
      <c r="GP833">
        <v>2.1860119047619047</v>
      </c>
      <c r="GQ833">
        <v>2.3068965330588709</v>
      </c>
      <c r="GR833">
        <v>2.7658085700959076</v>
      </c>
      <c r="GS833">
        <v>3.9030126110913717</v>
      </c>
      <c r="GT833">
        <v>5.6839382662436275</v>
      </c>
      <c r="GU833"/>
      <c r="GV833"/>
      <c r="GW833"/>
      <c r="GX833"/>
      <c r="GY833"/>
      <c r="GZ833"/>
      <c r="HA833"/>
      <c r="HB833"/>
      <c r="HC833"/>
    </row>
    <row r="834" spans="1:211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62.917061719774196</v>
      </c>
      <c r="AO834">
        <v>7.3417386382712522</v>
      </c>
      <c r="AP834">
        <v>41.476528345409378</v>
      </c>
      <c r="AQ834">
        <v>50.782961227928425</v>
      </c>
      <c r="AR834">
        <v>7.6666681236280851</v>
      </c>
      <c r="AS834">
        <v>46.336610150677444</v>
      </c>
      <c r="AT834" t="e">
        <v>#DIV/0!</v>
      </c>
      <c r="AU834" t="e">
        <v>#DIV/0!</v>
      </c>
      <c r="AV834"/>
      <c r="AW834"/>
      <c r="FY834" s="211">
        <v>829</v>
      </c>
      <c r="FZ834">
        <v>8.0399936278966351</v>
      </c>
      <c r="GA834">
        <v>8.8636134345647086</v>
      </c>
      <c r="GB834">
        <v>5.7852186145099198</v>
      </c>
      <c r="GC834">
        <v>2.4822034521652387</v>
      </c>
      <c r="GD834">
        <v>1.2332492565039264</v>
      </c>
      <c r="GE834">
        <v>1.5341343839368771</v>
      </c>
      <c r="GF834">
        <v>1.20049492930329</v>
      </c>
      <c r="GG834">
        <v>0.9966950165485251</v>
      </c>
      <c r="GH834">
        <v>3.8686701685900644</v>
      </c>
      <c r="GI834">
        <v>4.1439965082663006</v>
      </c>
      <c r="GJ834"/>
      <c r="GK834">
        <v>8.0822216985295796</v>
      </c>
      <c r="GL834">
        <v>7.5102024053350096</v>
      </c>
      <c r="GM834">
        <v>9.5771161445489135</v>
      </c>
      <c r="GN834">
        <v>7.3832017063316693</v>
      </c>
      <c r="GO834">
        <v>4.780919750063501</v>
      </c>
      <c r="GP834">
        <v>2.9371020210409746</v>
      </c>
      <c r="GQ834">
        <v>1.4687663019561665</v>
      </c>
      <c r="GR834">
        <v>1.4010579686228333</v>
      </c>
      <c r="GS834">
        <v>4.1222906904381222</v>
      </c>
      <c r="GT834">
        <v>5.6062629171072569</v>
      </c>
      <c r="GU834"/>
      <c r="GV834"/>
      <c r="GW834"/>
      <c r="GX834"/>
      <c r="GY834"/>
      <c r="GZ834"/>
      <c r="HA834"/>
      <c r="HB834"/>
      <c r="HC834"/>
    </row>
    <row r="835" spans="1:211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57.819457794904494</v>
      </c>
      <c r="AO835">
        <v>7.1084067888943352</v>
      </c>
      <c r="AP835">
        <v>5.9029569403150175</v>
      </c>
      <c r="AQ835">
        <v>47.590159935550616</v>
      </c>
      <c r="AR835">
        <v>7.2659693391123783</v>
      </c>
      <c r="AS835">
        <v>44.723568543547763</v>
      </c>
      <c r="AT835">
        <v>5.8389079799535084</v>
      </c>
      <c r="AU835">
        <v>3.783168568618839</v>
      </c>
      <c r="AV835"/>
      <c r="AW835"/>
      <c r="FY835" s="211">
        <v>830</v>
      </c>
      <c r="FZ835">
        <v>9.3771783671122098</v>
      </c>
      <c r="GA835">
        <v>6.7147177104509668</v>
      </c>
      <c r="GB835">
        <v>3.2990458256238431</v>
      </c>
      <c r="GC835">
        <v>1.969126359900649</v>
      </c>
      <c r="GD835">
        <v>1.5912312190512372</v>
      </c>
      <c r="GE835">
        <v>2.7830533361911276</v>
      </c>
      <c r="GF835">
        <v>1.333558936012982</v>
      </c>
      <c r="GG835">
        <v>1.0644446003007895</v>
      </c>
      <c r="GH835">
        <v>2.8231075607001488</v>
      </c>
      <c r="GI835">
        <v>3.7974997901918197</v>
      </c>
      <c r="GJ835"/>
      <c r="GK835">
        <v>9.4089238841437144</v>
      </c>
      <c r="GL835">
        <v>5.6910383836615059</v>
      </c>
      <c r="GM835">
        <v>5.462419357490532</v>
      </c>
      <c r="GN835">
        <v>5.8567662645206147</v>
      </c>
      <c r="GO835">
        <v>6.1681751845064623</v>
      </c>
      <c r="GP835">
        <v>5.3281587740804568</v>
      </c>
      <c r="GQ835">
        <v>1.6318223607323339</v>
      </c>
      <c r="GR835">
        <v>1.4964056940656674</v>
      </c>
      <c r="GS835">
        <v>3.0074192125566772</v>
      </c>
      <c r="GT835">
        <v>5.1357519998859429</v>
      </c>
      <c r="GU835"/>
      <c r="GV835"/>
      <c r="GW835"/>
      <c r="GX835"/>
      <c r="GY835"/>
      <c r="GZ835"/>
      <c r="HA835"/>
      <c r="HB835"/>
      <c r="HC835"/>
    </row>
    <row r="836" spans="1:211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52.103595001678684</v>
      </c>
      <c r="AO836">
        <v>5.9637685891127017</v>
      </c>
      <c r="AP836">
        <v>4.4088943114070487</v>
      </c>
      <c r="AQ836">
        <v>42.903640420824736</v>
      </c>
      <c r="AR836">
        <v>6.0306517830992137</v>
      </c>
      <c r="AS836">
        <v>37.042719607617094</v>
      </c>
      <c r="AT836">
        <v>4.8206151143417655</v>
      </c>
      <c r="AU836">
        <v>1.2719775875134394</v>
      </c>
      <c r="AV836"/>
      <c r="AW836"/>
      <c r="FY836" s="211">
        <v>831</v>
      </c>
      <c r="FZ836">
        <v>10.786515596454869</v>
      </c>
      <c r="GA836">
        <v>7.2577755788169478</v>
      </c>
      <c r="GB836">
        <v>4.3695520788052056</v>
      </c>
      <c r="GC836">
        <v>2.9128587081093897</v>
      </c>
      <c r="GD836">
        <v>1.7336156798836897</v>
      </c>
      <c r="GE836">
        <v>2.0639829195798316</v>
      </c>
      <c r="GF836">
        <v>1.20049492930329</v>
      </c>
      <c r="GG836">
        <v>0.9966950165485251</v>
      </c>
      <c r="GH836">
        <v>4.790979706670691</v>
      </c>
      <c r="GI836">
        <v>4.6366050436933959</v>
      </c>
      <c r="GJ836"/>
      <c r="GK836">
        <v>10.826901702222633</v>
      </c>
      <c r="GL836">
        <v>6.1505411646062731</v>
      </c>
      <c r="GM836">
        <v>7.2318538299234874</v>
      </c>
      <c r="GN836">
        <v>8.6643326916153889</v>
      </c>
      <c r="GO836">
        <v>6.7209850163920191</v>
      </c>
      <c r="GP836">
        <v>3.95149764451235</v>
      </c>
      <c r="GQ836">
        <v>1.4687663019561665</v>
      </c>
      <c r="GR836">
        <v>1.4010579686228333</v>
      </c>
      <c r="GS836">
        <v>5.1054811687476658</v>
      </c>
      <c r="GT836">
        <v>6.2707976038483944</v>
      </c>
      <c r="GU836"/>
      <c r="GV836"/>
      <c r="GW836"/>
      <c r="GX836"/>
      <c r="GY836"/>
      <c r="GZ836"/>
      <c r="HA836"/>
      <c r="HB836"/>
      <c r="HC836"/>
    </row>
    <row r="837" spans="1:211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78.348042237612361</v>
      </c>
      <c r="AO837">
        <v>9.0034620368672584</v>
      </c>
      <c r="AP837">
        <v>5.098057923913812</v>
      </c>
      <c r="AQ837">
        <v>70.682184730895671</v>
      </c>
      <c r="AR837">
        <v>9.3925650277507948</v>
      </c>
      <c r="AS837">
        <v>61.380531552290627</v>
      </c>
      <c r="AT837">
        <v>7.4997339513714287</v>
      </c>
      <c r="AU837">
        <v>-2.6768637683819758</v>
      </c>
      <c r="AV837"/>
      <c r="AW837"/>
      <c r="FY837" s="211">
        <v>832</v>
      </c>
      <c r="FZ837">
        <v>15.463782084903157</v>
      </c>
      <c r="GA837">
        <v>14.79756629362454</v>
      </c>
      <c r="GB837">
        <v>5.7001164115825853</v>
      </c>
      <c r="GC837">
        <v>2.9514635999848728</v>
      </c>
      <c r="GD837">
        <v>1.1630809753479754</v>
      </c>
      <c r="GE837">
        <v>1.4526555702941175</v>
      </c>
      <c r="GF837">
        <v>5.5254261562500004E-2</v>
      </c>
      <c r="GG837">
        <v>0</v>
      </c>
      <c r="GH837">
        <v>2.2114103259931515</v>
      </c>
      <c r="GI837">
        <v>4.7144390356052082</v>
      </c>
      <c r="GJ837"/>
      <c r="GK837">
        <v>15.517449274397771</v>
      </c>
      <c r="GL837">
        <v>12.538610581318478</v>
      </c>
      <c r="GM837">
        <v>9.4421380536624859</v>
      </c>
      <c r="GN837">
        <v>8.7867670294246487</v>
      </c>
      <c r="GO837">
        <v>4.5088570402015433</v>
      </c>
      <c r="GP837">
        <v>2.7811107397504453</v>
      </c>
      <c r="GQ837">
        <v>6.7708333333333329E-2</v>
      </c>
      <c r="GR837">
        <v>0</v>
      </c>
      <c r="GS837">
        <v>2.3593036529680371</v>
      </c>
      <c r="GT837">
        <v>6.3790912709126335</v>
      </c>
      <c r="GU837"/>
      <c r="GV837"/>
      <c r="GW837"/>
      <c r="GX837"/>
      <c r="GY837"/>
      <c r="GZ837"/>
      <c r="HA837"/>
      <c r="HB837"/>
      <c r="HC837"/>
    </row>
    <row r="838" spans="1:211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72.883189353248909</v>
      </c>
      <c r="AO838">
        <v>8.1603026152652589</v>
      </c>
      <c r="AP838">
        <v>65.567315637134342</v>
      </c>
      <c r="AQ838">
        <v>63.214062008756045</v>
      </c>
      <c r="AR838">
        <v>8.5280684283269288</v>
      </c>
      <c r="AS838">
        <v>55.954263099087953</v>
      </c>
      <c r="AT838" t="e">
        <v>#DIV/0!</v>
      </c>
      <c r="AU838" t="e">
        <v>#DIV/0!</v>
      </c>
      <c r="AV838"/>
      <c r="AW838"/>
      <c r="FY838" s="211">
        <v>833</v>
      </c>
      <c r="FZ838">
        <v>9.6661193624440092</v>
      </c>
      <c r="GA838">
        <v>13.357195453603401</v>
      </c>
      <c r="GB838">
        <v>9.5426911304855331</v>
      </c>
      <c r="GC838">
        <v>3.6578571323241302</v>
      </c>
      <c r="GD838">
        <v>1.990941663951161</v>
      </c>
      <c r="GE838">
        <v>3.5536494671995311</v>
      </c>
      <c r="GF838">
        <v>1.8707531456483986</v>
      </c>
      <c r="GG838">
        <v>1.532184007852873</v>
      </c>
      <c r="GH838">
        <v>2.9062063342628233</v>
      </c>
      <c r="GI838">
        <v>5.7177692787540888</v>
      </c>
      <c r="GJ838"/>
      <c r="GK838">
        <v>9.713283287151631</v>
      </c>
      <c r="GL838">
        <v>11.317275059274557</v>
      </c>
      <c r="GM838">
        <v>15.920534073028644</v>
      </c>
      <c r="GN838">
        <v>11.063725384946956</v>
      </c>
      <c r="GO838">
        <v>7.7187122428534289</v>
      </c>
      <c r="GP838">
        <v>6.8034659424023314</v>
      </c>
      <c r="GQ838">
        <v>2.2900978236952971</v>
      </c>
      <c r="GR838">
        <v>2.1546811570286302</v>
      </c>
      <c r="GS838">
        <v>3.0994794143650526</v>
      </c>
      <c r="GT838">
        <v>7.7484213682188088</v>
      </c>
      <c r="GU838"/>
      <c r="GV838"/>
      <c r="GW838"/>
      <c r="GX838"/>
      <c r="GY838"/>
      <c r="GZ838"/>
      <c r="HA838"/>
      <c r="HB838"/>
      <c r="HC838"/>
    </row>
    <row r="839" spans="1:211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60.818643431457659</v>
      </c>
      <c r="AO839">
        <v>7.1072846834763155</v>
      </c>
      <c r="AP839">
        <v>2.602957892983083</v>
      </c>
      <c r="AQ839">
        <v>56.525132896300136</v>
      </c>
      <c r="AR839">
        <v>7.4524197310519114</v>
      </c>
      <c r="AS839">
        <v>52.029936082898416</v>
      </c>
      <c r="AT839">
        <v>6.0338299321182314</v>
      </c>
      <c r="AU839">
        <v>-0.14943952576945208</v>
      </c>
      <c r="AV839"/>
      <c r="AW839"/>
      <c r="FY839" s="211">
        <v>834</v>
      </c>
      <c r="FZ839">
        <v>12.05790694628752</v>
      </c>
      <c r="GA839">
        <v>11.850885356206074</v>
      </c>
      <c r="GB839">
        <v>5.5246304173628475</v>
      </c>
      <c r="GC839">
        <v>3.4178047517781209</v>
      </c>
      <c r="GD839">
        <v>1.7585760191306758</v>
      </c>
      <c r="GE839">
        <v>1.7918012832225916</v>
      </c>
      <c r="GF839">
        <v>1.1452406677407898</v>
      </c>
      <c r="GG839">
        <v>0.9966950165485251</v>
      </c>
      <c r="GH839">
        <v>4.4031230707592055</v>
      </c>
      <c r="GI839">
        <v>5.0575562483148202</v>
      </c>
      <c r="GJ839"/>
      <c r="GK839">
        <v>12.095585016736042</v>
      </c>
      <c r="GL839">
        <v>10.041547263321323</v>
      </c>
      <c r="GM839">
        <v>9.2301063053839627</v>
      </c>
      <c r="GN839">
        <v>10.307641958775184</v>
      </c>
      <c r="GO839">
        <v>6.8279963869913987</v>
      </c>
      <c r="GP839">
        <v>3.4304055924695467</v>
      </c>
      <c r="GQ839">
        <v>1.4010579686228333</v>
      </c>
      <c r="GR839">
        <v>1.4010579686228333</v>
      </c>
      <c r="GS839">
        <v>4.6920156360541503</v>
      </c>
      <c r="GT839">
        <v>6.8493522627576775</v>
      </c>
      <c r="GU839"/>
      <c r="GV839"/>
      <c r="GW839"/>
      <c r="GX839"/>
      <c r="GY839"/>
      <c r="GZ839"/>
      <c r="HA839"/>
      <c r="HB839"/>
      <c r="HC839"/>
    </row>
    <row r="840" spans="1:211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51.343883575938527</v>
      </c>
      <c r="AO840">
        <v>6.8199771774563516</v>
      </c>
      <c r="AP840">
        <v>4.1737421545151392</v>
      </c>
      <c r="AQ840">
        <v>45.326109537578638</v>
      </c>
      <c r="AR840">
        <v>7.0210460827118055</v>
      </c>
      <c r="AS840">
        <v>45.503661353715536</v>
      </c>
      <c r="AT840">
        <v>5.6514423662102784</v>
      </c>
      <c r="AU840">
        <v>5.472089374986755</v>
      </c>
      <c r="AV840"/>
      <c r="AW840"/>
      <c r="FY840" s="211">
        <v>835</v>
      </c>
      <c r="FZ840">
        <v>19.003764366410223</v>
      </c>
      <c r="GA840">
        <v>19.197647458047228</v>
      </c>
      <c r="GB840">
        <v>6.9708886896997235</v>
      </c>
      <c r="GC840">
        <v>3.6062450689317269</v>
      </c>
      <c r="GD840">
        <v>0.95615563975337259</v>
      </c>
      <c r="GE840">
        <v>1.0710859342857144</v>
      </c>
      <c r="GF840">
        <v>2.4927145971082427</v>
      </c>
      <c r="GG840">
        <v>2.8225894335484596</v>
      </c>
      <c r="GH840">
        <v>6.268910734656842</v>
      </c>
      <c r="GI840">
        <v>6.5195398712212764</v>
      </c>
      <c r="GJ840"/>
      <c r="GK840">
        <v>19.060302733751669</v>
      </c>
      <c r="GL840">
        <v>16.264377991805773</v>
      </c>
      <c r="GM840">
        <v>11.620691659733327</v>
      </c>
      <c r="GN840">
        <v>10.858949943513057</v>
      </c>
      <c r="GO840">
        <v>3.7160364997348538</v>
      </c>
      <c r="GP840">
        <v>2.0505952380952381</v>
      </c>
      <c r="GQ840">
        <v>3.0545616948470209</v>
      </c>
      <c r="GR840">
        <v>3.9723857689210944</v>
      </c>
      <c r="GS840">
        <v>6.6839543505752443</v>
      </c>
      <c r="GT840">
        <v>8.8271093877284219</v>
      </c>
      <c r="GU840"/>
      <c r="GV840"/>
      <c r="GW840"/>
      <c r="GX840"/>
      <c r="GY840"/>
      <c r="GZ840"/>
      <c r="HA840"/>
      <c r="HB840"/>
      <c r="HC840"/>
    </row>
    <row r="841" spans="1:211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47.99905435843182</v>
      </c>
      <c r="AO841">
        <v>6.1894883700115084</v>
      </c>
      <c r="AP841">
        <v>6.010719901764757</v>
      </c>
      <c r="AQ841">
        <v>43.362252751931081</v>
      </c>
      <c r="AR841">
        <v>6.5768103060118408</v>
      </c>
      <c r="AS841">
        <v>39.235075512298629</v>
      </c>
      <c r="AT841">
        <v>5.213317902538793</v>
      </c>
      <c r="AU841">
        <v>5.5266470742317004</v>
      </c>
      <c r="AV841"/>
      <c r="AW841"/>
      <c r="FY841" s="211">
        <v>836</v>
      </c>
      <c r="FZ841">
        <v>8.5329055715083886</v>
      </c>
      <c r="GA841">
        <v>11.748963637825588</v>
      </c>
      <c r="GB841">
        <v>7.1920556498410351</v>
      </c>
      <c r="GC841">
        <v>3.2297858951697132</v>
      </c>
      <c r="GD841">
        <v>1.3285598499060962</v>
      </c>
      <c r="GE841">
        <v>1.1064519792857144</v>
      </c>
      <c r="GF841">
        <v>1.223050412887982</v>
      </c>
      <c r="GG841">
        <v>1.0644446003007895</v>
      </c>
      <c r="GH841">
        <v>6.8622735324516126</v>
      </c>
      <c r="GI841">
        <v>5.0953926456967702</v>
      </c>
      <c r="GJ841"/>
      <c r="GK841">
        <v>8.5664976006656204</v>
      </c>
      <c r="GL841">
        <v>9.9545435396737965</v>
      </c>
      <c r="GM841">
        <v>11.905471934619746</v>
      </c>
      <c r="GN841">
        <v>9.6270690406814126</v>
      </c>
      <c r="GO841">
        <v>5.1709323124021296</v>
      </c>
      <c r="GP841">
        <v>2.1183035714285716</v>
      </c>
      <c r="GQ841">
        <v>1.4964056940656674</v>
      </c>
      <c r="GR841">
        <v>1.4964056940656674</v>
      </c>
      <c r="GS841">
        <v>7.315579352035062</v>
      </c>
      <c r="GT841">
        <v>6.8909773787576443</v>
      </c>
      <c r="GU841"/>
      <c r="GV841"/>
      <c r="GW841"/>
      <c r="GX841"/>
      <c r="GY841"/>
      <c r="GZ841"/>
      <c r="HA841"/>
      <c r="HB841"/>
      <c r="HC841"/>
    </row>
    <row r="842" spans="1:211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51.355107373945678</v>
      </c>
      <c r="AO842">
        <v>6.2408525545385718</v>
      </c>
      <c r="AP842">
        <v>5.1665269375175633</v>
      </c>
      <c r="AQ842">
        <v>47.048462448696213</v>
      </c>
      <c r="AR842">
        <v>6.5144606520526525</v>
      </c>
      <c r="AS842">
        <v>38.453293880939164</v>
      </c>
      <c r="AT842">
        <v>5.1302019854179193</v>
      </c>
      <c r="AU842">
        <v>4.5148034060566848</v>
      </c>
      <c r="AV842"/>
      <c r="AW842"/>
      <c r="FY842" s="211">
        <v>837</v>
      </c>
      <c r="FZ842">
        <v>15.585006031260942</v>
      </c>
      <c r="GA842">
        <v>14.265689374771677</v>
      </c>
      <c r="GB842">
        <v>5.1752188754454469</v>
      </c>
      <c r="GC842">
        <v>2.2198863035065877</v>
      </c>
      <c r="GD842">
        <v>2.0844961766278756</v>
      </c>
      <c r="GE842">
        <v>3.7042154385167088</v>
      </c>
      <c r="GF842">
        <v>2.9607395518266886</v>
      </c>
      <c r="GG842">
        <v>2.9030705504430645</v>
      </c>
      <c r="GH842">
        <v>3.165314473304901</v>
      </c>
      <c r="GI842">
        <v>5.8086877907071406</v>
      </c>
      <c r="GJ842"/>
      <c r="GK842">
        <v>15.642907170521305</v>
      </c>
      <c r="GL842">
        <v>12.086187728875689</v>
      </c>
      <c r="GM842">
        <v>8.5674881673199899</v>
      </c>
      <c r="GN842">
        <v>6.604653174439771</v>
      </c>
      <c r="GO842">
        <v>8.0814501326710886</v>
      </c>
      <c r="GP842">
        <v>7.0917246655533246</v>
      </c>
      <c r="GQ842">
        <v>3.6234474589847969</v>
      </c>
      <c r="GR842">
        <v>4.0823594960218337</v>
      </c>
      <c r="GS842">
        <v>3.3749704711094703</v>
      </c>
      <c r="GT842">
        <v>7.8580526801213306</v>
      </c>
      <c r="GU842"/>
      <c r="GV842"/>
      <c r="GW842"/>
      <c r="GX842"/>
      <c r="GY842"/>
      <c r="GZ842"/>
      <c r="HA842"/>
      <c r="HB842"/>
      <c r="HC842"/>
    </row>
    <row r="843" spans="1:211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72.493244138049221</v>
      </c>
      <c r="AO843">
        <v>8.5880552231700946</v>
      </c>
      <c r="AP843">
        <v>3.9799272868337541</v>
      </c>
      <c r="AQ843">
        <v>66.004447392417148</v>
      </c>
      <c r="AR843">
        <v>8.9997201895108745</v>
      </c>
      <c r="AS843">
        <v>56.160792192230339</v>
      </c>
      <c r="AT843">
        <v>7.1948852172849351</v>
      </c>
      <c r="AU843">
        <v>-2.245443849022509</v>
      </c>
      <c r="AV843"/>
      <c r="AW843"/>
      <c r="FY843" s="211">
        <v>838</v>
      </c>
      <c r="FZ843">
        <v>11.567851741254282</v>
      </c>
      <c r="GA843">
        <v>11.258043209363191</v>
      </c>
      <c r="GB843">
        <v>6.923372331436406</v>
      </c>
      <c r="GC843">
        <v>3.4624598335026939</v>
      </c>
      <c r="GD843">
        <v>1.5978506335818679</v>
      </c>
      <c r="GE843">
        <v>2.2054470995798323</v>
      </c>
      <c r="GF843">
        <v>0.59244847119791655</v>
      </c>
      <c r="GG843">
        <v>0.46773940755208332</v>
      </c>
      <c r="GH843">
        <v>2.5587389440867936</v>
      </c>
      <c r="GI843">
        <v>4.8389188025845629</v>
      </c>
      <c r="GJ843"/>
      <c r="GK843">
        <v>11.611488513729787</v>
      </c>
      <c r="GL843">
        <v>9.5388146087767751</v>
      </c>
      <c r="GM843">
        <v>11.455120886275555</v>
      </c>
      <c r="GN843">
        <v>10.29856784931663</v>
      </c>
      <c r="GO843">
        <v>6.2048176057008702</v>
      </c>
      <c r="GP843">
        <v>4.2223309778456848</v>
      </c>
      <c r="GQ843">
        <v>0.72598379629629617</v>
      </c>
      <c r="GR843">
        <v>0.65827546296296291</v>
      </c>
      <c r="GS843">
        <v>2.7270723157439698</v>
      </c>
      <c r="GT843">
        <v>6.5448966235492945</v>
      </c>
      <c r="GU843"/>
      <c r="GV843"/>
      <c r="GW843"/>
      <c r="GX843"/>
      <c r="GY843"/>
      <c r="GZ843"/>
      <c r="HA843"/>
      <c r="HB843"/>
      <c r="HC843"/>
    </row>
    <row r="844" spans="1:211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50.443487226418284</v>
      </c>
      <c r="AO844">
        <v>5.5201301790499837</v>
      </c>
      <c r="AP844">
        <v>4.1796172291530045</v>
      </c>
      <c r="AQ844">
        <v>39.37201831162006</v>
      </c>
      <c r="AR844">
        <v>5.6839382662436293</v>
      </c>
      <c r="AS844">
        <v>36.659531710147569</v>
      </c>
      <c r="AT844">
        <v>4.582654291828999</v>
      </c>
      <c r="AU844">
        <v>4.4759052770892653</v>
      </c>
      <c r="AV844"/>
      <c r="AW844"/>
      <c r="FY844" s="211">
        <v>839</v>
      </c>
      <c r="FZ844">
        <v>11.415178074661872</v>
      </c>
      <c r="GA844">
        <v>9.602628587906505</v>
      </c>
      <c r="GB844">
        <v>5.6802322486232626</v>
      </c>
      <c r="GC844">
        <v>2.7536679773246799</v>
      </c>
      <c r="GD844">
        <v>1.9267741078993388</v>
      </c>
      <c r="GE844">
        <v>3.1292569271995307</v>
      </c>
      <c r="GF844">
        <v>0.64770273276041657</v>
      </c>
      <c r="GG844">
        <v>1.2161224596354168</v>
      </c>
      <c r="GH844">
        <v>6.1696911334760545</v>
      </c>
      <c r="GI844">
        <v>5.2808274132155919</v>
      </c>
      <c r="GJ844"/>
      <c r="GK844">
        <v>11.447805692041076</v>
      </c>
      <c r="GL844">
        <v>8.1349335448268452</v>
      </c>
      <c r="GM844">
        <v>9.4033349793316514</v>
      </c>
      <c r="GN844">
        <v>8.1991478743400741</v>
      </c>
      <c r="GO844">
        <v>7.4801489988289447</v>
      </c>
      <c r="GP844">
        <v>5.9909659424023314</v>
      </c>
      <c r="GQ844">
        <v>0.79369212962962943</v>
      </c>
      <c r="GR844">
        <v>1.7115162037037035</v>
      </c>
      <c r="GS844">
        <v>6.5768679684385889</v>
      </c>
      <c r="GT844">
        <v>7.1403699536539786</v>
      </c>
      <c r="GU844"/>
      <c r="GV844"/>
      <c r="GW844"/>
      <c r="GX844"/>
      <c r="GY844"/>
      <c r="GZ844"/>
      <c r="HA844"/>
      <c r="HB844"/>
      <c r="HC844"/>
    </row>
    <row r="845" spans="1:211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47.879917095086007</v>
      </c>
      <c r="AO845">
        <v>5.2869141603974033</v>
      </c>
      <c r="AP845">
        <v>49.289563918516706</v>
      </c>
      <c r="AQ845">
        <v>38.148269392285478</v>
      </c>
      <c r="AR845">
        <v>5.606262917107256</v>
      </c>
      <c r="AS845">
        <v>35.627529891641693</v>
      </c>
      <c r="AT845" t="e">
        <v>#DIV/0!</v>
      </c>
      <c r="AU845" t="e">
        <v>#DIV/0!</v>
      </c>
      <c r="AV845"/>
      <c r="AW845"/>
      <c r="FY845" s="211">
        <v>840</v>
      </c>
      <c r="FZ845">
        <v>15.110774346699662</v>
      </c>
      <c r="GA845">
        <v>15.457563276517122</v>
      </c>
      <c r="GB845">
        <v>5.9498369650101939</v>
      </c>
      <c r="GC845">
        <v>3.3902125736520068</v>
      </c>
      <c r="GD845">
        <v>2.0717885668417337</v>
      </c>
      <c r="GE845">
        <v>2.0286168745798321</v>
      </c>
      <c r="GF845">
        <v>1.2074524259805255</v>
      </c>
      <c r="GG845">
        <v>1.3774199248980978</v>
      </c>
      <c r="GH845">
        <v>4.3799716084970228</v>
      </c>
      <c r="GI845">
        <v>5.7976695443306356</v>
      </c>
      <c r="GJ845"/>
      <c r="GK845">
        <v>15.166560100758163</v>
      </c>
      <c r="GL845">
        <v>13.09875910204229</v>
      </c>
      <c r="GM845">
        <v>9.8557937535787143</v>
      </c>
      <c r="GN845">
        <v>10.118431805657799</v>
      </c>
      <c r="GO845">
        <v>8.0533890136062389</v>
      </c>
      <c r="GP845">
        <v>3.8837893111790169</v>
      </c>
      <c r="GQ845">
        <v>1.4796069847020934</v>
      </c>
      <c r="GR845">
        <v>1.9385190217391302</v>
      </c>
      <c r="GS845">
        <v>4.6691586921230916</v>
      </c>
      <c r="GT845">
        <v>7.8449017089536603</v>
      </c>
      <c r="GU845"/>
      <c r="GV845"/>
      <c r="GW845"/>
      <c r="GX845"/>
      <c r="GY845"/>
      <c r="GZ845"/>
      <c r="HA845"/>
      <c r="HB845"/>
      <c r="HC845"/>
    </row>
    <row r="846" spans="1:211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43.034779888299738</v>
      </c>
      <c r="AO846">
        <v>4.918688111564391</v>
      </c>
      <c r="AP846">
        <v>36.241606774393119</v>
      </c>
      <c r="AQ846">
        <v>34.75296370553577</v>
      </c>
      <c r="AR846">
        <v>5.1357519998859429</v>
      </c>
      <c r="AS846">
        <v>33.79628863777819</v>
      </c>
      <c r="AT846" t="e">
        <v>#DIV/0!</v>
      </c>
      <c r="AU846" t="e">
        <v>#DIV/0!</v>
      </c>
      <c r="AV846"/>
      <c r="AW846"/>
      <c r="FY846" s="211">
        <v>841</v>
      </c>
      <c r="FZ846">
        <v>13.50591348477364</v>
      </c>
      <c r="GA846">
        <v>11.916107665931914</v>
      </c>
      <c r="GB846">
        <v>5.9784979939482206</v>
      </c>
      <c r="GC846">
        <v>2.8820547092550699</v>
      </c>
      <c r="GD846">
        <v>1.7524631540552895</v>
      </c>
      <c r="GE846">
        <v>2.801500077270862</v>
      </c>
      <c r="GF846">
        <v>5.5254261562500004E-2</v>
      </c>
      <c r="GG846">
        <v>0</v>
      </c>
      <c r="GH846">
        <v>3.1989875138415513</v>
      </c>
      <c r="GI846">
        <v>4.9944661521579334</v>
      </c>
      <c r="GJ846"/>
      <c r="GK846">
        <v>13.55470928170061</v>
      </c>
      <c r="GL846">
        <v>10.095598620772085</v>
      </c>
      <c r="GM846">
        <v>10.018952496567504</v>
      </c>
      <c r="GN846">
        <v>8.7664022963378336</v>
      </c>
      <c r="GO846">
        <v>6.8042950420242354</v>
      </c>
      <c r="GP846">
        <v>5.363475080835717</v>
      </c>
      <c r="GQ846">
        <v>6.7708333333333329E-2</v>
      </c>
      <c r="GR846">
        <v>0</v>
      </c>
      <c r="GS846">
        <v>3.4096682659262081</v>
      </c>
      <c r="GT846">
        <v>6.7710666839103792</v>
      </c>
      <c r="GU846"/>
      <c r="GV846"/>
      <c r="GW846"/>
      <c r="GX846"/>
      <c r="GY846"/>
      <c r="GZ846"/>
      <c r="HA846"/>
      <c r="HB846"/>
      <c r="HC846"/>
    </row>
    <row r="847" spans="1:211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51.543915738272382</v>
      </c>
      <c r="AO847">
        <v>5.7792215092447217</v>
      </c>
      <c r="AP847">
        <v>61.830670232941053</v>
      </c>
      <c r="AQ847">
        <v>40.749075257865833</v>
      </c>
      <c r="AR847">
        <v>6.2707976038483917</v>
      </c>
      <c r="AS847">
        <v>40.867601509596554</v>
      </c>
      <c r="AT847" t="e">
        <v>#DIV/0!</v>
      </c>
      <c r="AU847" t="e">
        <v>#DIV/0!</v>
      </c>
      <c r="AV847"/>
      <c r="AW847"/>
      <c r="FY847" s="211">
        <v>842</v>
      </c>
      <c r="FZ847">
        <v>8.5677432043787274</v>
      </c>
      <c r="GA847">
        <v>7.2359386908285392</v>
      </c>
      <c r="GB847">
        <v>7.367982314991032</v>
      </c>
      <c r="GC847">
        <v>3.2771681295997621</v>
      </c>
      <c r="GD847">
        <v>2.3439359580601606</v>
      </c>
      <c r="GE847">
        <v>4.0245154294537819</v>
      </c>
      <c r="GF847">
        <v>0.61500395478260861</v>
      </c>
      <c r="GG847">
        <v>1.2838720433876809</v>
      </c>
      <c r="GH847">
        <v>8.9607403930366143</v>
      </c>
      <c r="GI847">
        <v>5.9500639759332472</v>
      </c>
      <c r="GJ847"/>
      <c r="GK847">
        <v>8.607531882686855</v>
      </c>
      <c r="GL847">
        <v>6.1289645883891488</v>
      </c>
      <c r="GM847">
        <v>12.277753269827352</v>
      </c>
      <c r="GN847">
        <v>9.8719962914131116</v>
      </c>
      <c r="GO847">
        <v>9.0873731625595777</v>
      </c>
      <c r="GP847">
        <v>7.7049393621084805</v>
      </c>
      <c r="GQ847">
        <v>0.75362318840579701</v>
      </c>
      <c r="GR847">
        <v>1.8068639291465376</v>
      </c>
      <c r="GS847">
        <v>9.5545270040542043</v>
      </c>
      <c r="GT847">
        <v>8.0561617015067579</v>
      </c>
      <c r="GU847"/>
      <c r="GV847"/>
      <c r="GW847"/>
      <c r="GX847"/>
      <c r="GY847"/>
      <c r="GZ847"/>
      <c r="HA847"/>
      <c r="HB847"/>
      <c r="HC847"/>
    </row>
    <row r="848" spans="1:211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52.993324808877034</v>
      </c>
      <c r="AO848">
        <v>6.2381035975969379</v>
      </c>
      <c r="AP848">
        <v>30.199896914404704</v>
      </c>
      <c r="AQ848">
        <v>48.509768558898116</v>
      </c>
      <c r="AR848">
        <v>6.3790912709126335</v>
      </c>
      <c r="AS848">
        <v>39.650046985495578</v>
      </c>
      <c r="AT848" t="e">
        <v>#DIV/0!</v>
      </c>
      <c r="AU848" t="e">
        <v>#DIV/0!</v>
      </c>
      <c r="AV848"/>
      <c r="AW848"/>
      <c r="FY848" s="211">
        <v>843</v>
      </c>
      <c r="FZ848">
        <v>14.635397059216588</v>
      </c>
      <c r="GA848">
        <v>15.456334885703948</v>
      </c>
      <c r="GB848">
        <v>7.3585394848481762</v>
      </c>
      <c r="GC848">
        <v>3.3770930525286227</v>
      </c>
      <c r="GD848">
        <v>1.2997952607649503</v>
      </c>
      <c r="GE848">
        <v>1.5678554966112959</v>
      </c>
      <c r="GF848">
        <v>2.912442786941424</v>
      </c>
      <c r="GG848">
        <v>3.2837954587926377</v>
      </c>
      <c r="GH848">
        <v>4.5882428714049812</v>
      </c>
      <c r="GI848">
        <v>5.9694391816904986</v>
      </c>
      <c r="GJ848"/>
      <c r="GK848">
        <v>14.689102901863681</v>
      </c>
      <c r="GL848">
        <v>13.097477349297671</v>
      </c>
      <c r="GM848">
        <v>12.185607624741928</v>
      </c>
      <c r="GN848">
        <v>10.050479624168823</v>
      </c>
      <c r="GO848">
        <v>5.0396819629014402</v>
      </c>
      <c r="GP848">
        <v>3.0016611295681064</v>
      </c>
      <c r="GQ848">
        <v>3.5665798083973907</v>
      </c>
      <c r="GR848">
        <v>4.6198205491381312</v>
      </c>
      <c r="GS848">
        <v>4.8916885297999455</v>
      </c>
      <c r="GT848">
        <v>8.0745321655408784</v>
      </c>
      <c r="GU848"/>
      <c r="GV848"/>
      <c r="GW848"/>
      <c r="GX848"/>
      <c r="GY848"/>
      <c r="GZ848"/>
      <c r="HA848"/>
      <c r="HB848"/>
      <c r="HC848"/>
    </row>
    <row r="849" spans="1:211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62.751796313804505</v>
      </c>
      <c r="AO849">
        <v>7.7829675752965342</v>
      </c>
      <c r="AP849">
        <v>42.861925402348831</v>
      </c>
      <c r="AQ849">
        <v>53.795366976525962</v>
      </c>
      <c r="AR849">
        <v>7.7484213682188123</v>
      </c>
      <c r="AS849">
        <v>46.092390135626722</v>
      </c>
      <c r="AT849" t="e">
        <v>#DIV/0!</v>
      </c>
      <c r="AU849" t="e">
        <v>#DIV/0!</v>
      </c>
      <c r="AV849"/>
      <c r="AW849"/>
      <c r="FY849" s="211">
        <v>844</v>
      </c>
      <c r="FZ849">
        <v>19.993364845151035</v>
      </c>
      <c r="GA849">
        <v>17.378157052186662</v>
      </c>
      <c r="GB849">
        <v>4.1866547098795568</v>
      </c>
      <c r="GC849">
        <v>2.6182279495977183</v>
      </c>
      <c r="GD849">
        <v>1.6943932808416076</v>
      </c>
      <c r="GE849">
        <v>2.2660746052941176</v>
      </c>
      <c r="GF849">
        <v>1.8933086292330903</v>
      </c>
      <c r="GG849">
        <v>1.974125117646804</v>
      </c>
      <c r="GH849">
        <v>4.1050814136092004</v>
      </c>
      <c r="GI849">
        <v>5.9540222791492239</v>
      </c>
      <c r="GJ849"/>
      <c r="GK849">
        <v>20.071895712050793</v>
      </c>
      <c r="GL849">
        <v>14.725416320817928</v>
      </c>
      <c r="GM849">
        <v>6.9760483805773852</v>
      </c>
      <c r="GN849">
        <v>7.8670350580489625</v>
      </c>
      <c r="GO849">
        <v>6.5783972394852999</v>
      </c>
      <c r="GP849">
        <v>4.3384024064171127</v>
      </c>
      <c r="GQ849">
        <v>2.3177372158047973</v>
      </c>
      <c r="GR849">
        <v>2.7766492528418345</v>
      </c>
      <c r="GS849">
        <v>4.3769709444247056</v>
      </c>
      <c r="GT849">
        <v>8.0642098984685973</v>
      </c>
      <c r="GU849"/>
      <c r="GV849"/>
      <c r="GW849"/>
      <c r="GX849"/>
      <c r="GY849"/>
      <c r="GZ849"/>
      <c r="HA849"/>
      <c r="HB849"/>
      <c r="HC849"/>
    </row>
    <row r="850" spans="1:211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53.853024629217963</v>
      </c>
      <c r="AO850">
        <v>6.6276766359734962</v>
      </c>
      <c r="AP850">
        <v>75.332656243563036</v>
      </c>
      <c r="AQ850">
        <v>48.00421977735116</v>
      </c>
      <c r="AR850">
        <v>6.8493522627576766</v>
      </c>
      <c r="AS850">
        <v>40.718400559271082</v>
      </c>
      <c r="AT850" t="e">
        <v>#DIV/0!</v>
      </c>
      <c r="AU850" t="e">
        <v>#DIV/0!</v>
      </c>
      <c r="AV850"/>
      <c r="AW850"/>
      <c r="FY850" s="211">
        <v>845</v>
      </c>
      <c r="FZ850">
        <v>13.420574808935138</v>
      </c>
      <c r="GA850">
        <v>12.216460490613191</v>
      </c>
      <c r="GB850">
        <v>5.0560795674332217</v>
      </c>
      <c r="GC850">
        <v>2.3139122349110712</v>
      </c>
      <c r="GD850">
        <v>1.6845307744181206</v>
      </c>
      <c r="GE850">
        <v>2.5253864369054138</v>
      </c>
      <c r="GF850">
        <v>1.8793936358786199</v>
      </c>
      <c r="GG850">
        <v>1.9610583530309917</v>
      </c>
      <c r="GH850">
        <v>7.4683059500287143</v>
      </c>
      <c r="GI850">
        <v>5.7173934014013303</v>
      </c>
      <c r="GJ850"/>
      <c r="GK850">
        <v>13.460775604495495</v>
      </c>
      <c r="GL850">
        <v>10.351314608776777</v>
      </c>
      <c r="GM850">
        <v>8.4524449986543999</v>
      </c>
      <c r="GN850">
        <v>7.0077305447173917</v>
      </c>
      <c r="GO850">
        <v>6.5291804135289881</v>
      </c>
      <c r="GP850">
        <v>4.8348552026518856</v>
      </c>
      <c r="GQ850">
        <v>2.2960558503129445</v>
      </c>
      <c r="GR850">
        <v>2.7549678873499812</v>
      </c>
      <c r="GS850">
        <v>7.9620008019946136</v>
      </c>
      <c r="GT850">
        <v>7.7400915337972886</v>
      </c>
      <c r="GU850"/>
      <c r="GV850"/>
      <c r="GW850"/>
      <c r="GX850"/>
      <c r="GY850"/>
      <c r="GZ850"/>
      <c r="HA850"/>
      <c r="HB850"/>
      <c r="HC850"/>
    </row>
    <row r="851" spans="1:211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73.815787176508067</v>
      </c>
      <c r="AO851">
        <v>8.6108965268705724</v>
      </c>
      <c r="AP851">
        <v>4.7913401290355493</v>
      </c>
      <c r="AQ851">
        <v>68.909541793662797</v>
      </c>
      <c r="AR851">
        <v>8.8271093877284237</v>
      </c>
      <c r="AS851">
        <v>53.235871601623671</v>
      </c>
      <c r="AT851">
        <v>6.9822344244113621</v>
      </c>
      <c r="AU851">
        <v>-2.5797323772220437</v>
      </c>
      <c r="AV851"/>
      <c r="AW851"/>
      <c r="FY851" s="211">
        <v>846</v>
      </c>
      <c r="FZ851">
        <v>12.04948805986465</v>
      </c>
      <c r="GA851">
        <v>15.549032831719575</v>
      </c>
      <c r="GB851">
        <v>7.8522948458366182</v>
      </c>
      <c r="GC851">
        <v>3.54542518234453</v>
      </c>
      <c r="GD851">
        <v>1.6040911337585826</v>
      </c>
      <c r="GE851">
        <v>1.7901563508970102</v>
      </c>
      <c r="GF851">
        <v>1.8450118643478259</v>
      </c>
      <c r="GG851">
        <v>2.3548500259963765</v>
      </c>
      <c r="GH851">
        <v>7.521560775325586</v>
      </c>
      <c r="GI851">
        <v>6.1572371962721792</v>
      </c>
      <c r="GJ851"/>
      <c r="GK851">
        <v>12.090515931899581</v>
      </c>
      <c r="GL851">
        <v>13.173241335449042</v>
      </c>
      <c r="GM851">
        <v>13.079032966274704</v>
      </c>
      <c r="GN851">
        <v>10.680529309442971</v>
      </c>
      <c r="GO851">
        <v>6.2290138288518628</v>
      </c>
      <c r="GP851">
        <v>3.427256367663345</v>
      </c>
      <c r="GQ851">
        <v>2.2608695652173911</v>
      </c>
      <c r="GR851">
        <v>3.3141103059581321</v>
      </c>
      <c r="GS851">
        <v>8.0195736148943588</v>
      </c>
      <c r="GT851">
        <v>8.3358011814275788</v>
      </c>
      <c r="GU851"/>
      <c r="GV851"/>
      <c r="GW851"/>
      <c r="GX851"/>
      <c r="GY851"/>
      <c r="GZ851"/>
      <c r="HA851"/>
      <c r="HB851"/>
      <c r="HC851"/>
    </row>
    <row r="852" spans="1:211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58.799699468343952</v>
      </c>
      <c r="AO852">
        <v>6.4542186118395311</v>
      </c>
      <c r="AP852">
        <v>105.40246665804804</v>
      </c>
      <c r="AQ852">
        <v>47.383883774873681</v>
      </c>
      <c r="AR852">
        <v>6.8909773787576443</v>
      </c>
      <c r="AS852">
        <v>43.549026365972544</v>
      </c>
      <c r="AT852" t="e">
        <v>#DIV/0!</v>
      </c>
      <c r="AU852" t="e">
        <v>#DIV/0!</v>
      </c>
      <c r="AV852"/>
      <c r="AW852"/>
      <c r="FY852" s="211">
        <v>847</v>
      </c>
      <c r="FZ852">
        <v>15.075116930507406</v>
      </c>
      <c r="GA852">
        <v>12.448155390324027</v>
      </c>
      <c r="GB852">
        <v>4.3456864822817796</v>
      </c>
      <c r="GC852">
        <v>2.9875491632825617</v>
      </c>
      <c r="GD852">
        <v>2.429950584801936</v>
      </c>
      <c r="GE852">
        <v>3.5536494671995316</v>
      </c>
      <c r="GF852">
        <v>1.1521981644180253</v>
      </c>
      <c r="GG852">
        <v>1.003228398856431</v>
      </c>
      <c r="GH852">
        <v>3.3114980199143833</v>
      </c>
      <c r="GI852">
        <v>5.4274597549273924</v>
      </c>
      <c r="GJ852"/>
      <c r="GK852">
        <v>15.114350585928417</v>
      </c>
      <c r="GL852">
        <v>10.549681964867569</v>
      </c>
      <c r="GM852">
        <v>7.2344419655957193</v>
      </c>
      <c r="GN852">
        <v>8.9580029083679804</v>
      </c>
      <c r="GO852">
        <v>9.4303655373752804</v>
      </c>
      <c r="GP852">
        <v>6.8034659424023323</v>
      </c>
      <c r="GQ852">
        <v>1.4118986513687599</v>
      </c>
      <c r="GR852">
        <v>1.4118986513687599</v>
      </c>
      <c r="GS852">
        <v>3.5329623287671232</v>
      </c>
      <c r="GT852">
        <v>7.3448038138070597</v>
      </c>
      <c r="GU852"/>
      <c r="GV852"/>
      <c r="GW852"/>
      <c r="GX852"/>
      <c r="GY852"/>
      <c r="GZ852"/>
      <c r="HA852"/>
      <c r="HB852"/>
      <c r="HC852"/>
    </row>
    <row r="853" spans="1:211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67.228607232800158</v>
      </c>
      <c r="AO853">
        <v>7.7013241145618592</v>
      </c>
      <c r="AP853">
        <v>3.9940516285894403</v>
      </c>
      <c r="AQ853">
        <v>57.872324566411024</v>
      </c>
      <c r="AR853">
        <v>7.8580526801213306</v>
      </c>
      <c r="AS853">
        <v>50.565388826666464</v>
      </c>
      <c r="AT853">
        <v>6.3302310115477907</v>
      </c>
      <c r="AU853">
        <v>3.6350043875376468</v>
      </c>
      <c r="AV853"/>
      <c r="AW853"/>
      <c r="FY853" s="211">
        <v>848</v>
      </c>
      <c r="FZ853">
        <v>13.361391205045502</v>
      </c>
      <c r="GA853">
        <v>13.347491342459131</v>
      </c>
      <c r="GB853">
        <v>6.6938290052391443</v>
      </c>
      <c r="GC853">
        <v>3.4657136967031321</v>
      </c>
      <c r="GD853">
        <v>1.6398847898513289</v>
      </c>
      <c r="GE853">
        <v>1.9938929689368772</v>
      </c>
      <c r="GF853">
        <v>1.2074524259805255</v>
      </c>
      <c r="GG853">
        <v>1.7516114509397644</v>
      </c>
      <c r="GH853">
        <v>4.5930040757698247</v>
      </c>
      <c r="GI853">
        <v>5.5099184023511212</v>
      </c>
      <c r="GJ853"/>
      <c r="GK853">
        <v>13.39813635599862</v>
      </c>
      <c r="GL853">
        <v>11.31049873246787</v>
      </c>
      <c r="GM853">
        <v>11.165453203717329</v>
      </c>
      <c r="GN853">
        <v>10.436640045821102</v>
      </c>
      <c r="GO853">
        <v>6.3583073781838317</v>
      </c>
      <c r="GP853">
        <v>3.8173103543743081</v>
      </c>
      <c r="GQ853">
        <v>1.4796069847020934</v>
      </c>
      <c r="GR853">
        <v>2.4651393921095006</v>
      </c>
      <c r="GS853">
        <v>4.8969130021007388</v>
      </c>
      <c r="GT853">
        <v>7.4596833849405231</v>
      </c>
      <c r="GU853"/>
      <c r="GV853"/>
      <c r="GW853"/>
      <c r="GX853"/>
      <c r="GY853"/>
      <c r="GZ853"/>
      <c r="HA853"/>
      <c r="HB853"/>
      <c r="HC853"/>
    </row>
    <row r="854" spans="1:211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59.59423074991971</v>
      </c>
      <c r="AO854">
        <v>6.3987368640197824</v>
      </c>
      <c r="AP854">
        <v>35.604872143744217</v>
      </c>
      <c r="AQ854">
        <v>45.472870474139633</v>
      </c>
      <c r="AR854">
        <v>6.5448966235492945</v>
      </c>
      <c r="AS854">
        <v>39.444483262468275</v>
      </c>
      <c r="AT854" t="e">
        <v>#DIV/0!</v>
      </c>
      <c r="AU854" t="e">
        <v>#DIV/0!</v>
      </c>
      <c r="AV854"/>
      <c r="AW854"/>
      <c r="FY854" s="211">
        <v>849</v>
      </c>
      <c r="FZ854">
        <v>11.541887643849671</v>
      </c>
      <c r="GA854">
        <v>9.3193930261323725</v>
      </c>
      <c r="GB854">
        <v>5.32236009291071</v>
      </c>
      <c r="GC854">
        <v>2.9230887789299036</v>
      </c>
      <c r="GD854">
        <v>1.7057369321407565</v>
      </c>
      <c r="GE854">
        <v>2.3748204655882357</v>
      </c>
      <c r="GF854">
        <v>2.3526930937213151</v>
      </c>
      <c r="GG854">
        <v>2.3741149414466225</v>
      </c>
      <c r="GH854">
        <v>6.338276640770685</v>
      </c>
      <c r="GI854">
        <v>5.419474024209161</v>
      </c>
      <c r="GJ854"/>
      <c r="GK854">
        <v>11.594307682335517</v>
      </c>
      <c r="GL854">
        <v>7.8958206727267042</v>
      </c>
      <c r="GM854">
        <v>8.8158359703291538</v>
      </c>
      <c r="GN854">
        <v>8.7028823361164083</v>
      </c>
      <c r="GO854">
        <v>6.6136351699770817</v>
      </c>
      <c r="GP854">
        <v>4.5465964795008915</v>
      </c>
      <c r="GQ854">
        <v>2.8806649533249269</v>
      </c>
      <c r="GR854">
        <v>3.3395769903619632</v>
      </c>
      <c r="GS854">
        <v>6.759186477118222</v>
      </c>
      <c r="GT854">
        <v>7.33272605061698</v>
      </c>
      <c r="GU854"/>
      <c r="GV854"/>
      <c r="GW854"/>
      <c r="GX854"/>
      <c r="GY854"/>
      <c r="GZ854"/>
      <c r="HA854"/>
      <c r="HB854"/>
      <c r="HC854"/>
    </row>
    <row r="855" spans="1:211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60.310292830116566</v>
      </c>
      <c r="AO855">
        <v>6.6878783287196821</v>
      </c>
      <c r="AP855">
        <v>2.637564287941883</v>
      </c>
      <c r="AQ855">
        <v>47.822081662702665</v>
      </c>
      <c r="AR855">
        <v>7.1403699536539778</v>
      </c>
      <c r="AS855">
        <v>43.700219327377702</v>
      </c>
      <c r="AT855">
        <v>5.7353936664053577</v>
      </c>
      <c r="AU855">
        <v>3.9783015849706249</v>
      </c>
      <c r="AV855"/>
      <c r="AW855"/>
      <c r="FY855" s="211">
        <v>850</v>
      </c>
      <c r="FZ855">
        <v>5.6574232735393926</v>
      </c>
      <c r="GA855">
        <v>5.1872603125244341</v>
      </c>
      <c r="GB855">
        <v>7.0522477945919384</v>
      </c>
      <c r="GC855">
        <v>3.6797015521279568</v>
      </c>
      <c r="GD855">
        <v>2.0522855850030397</v>
      </c>
      <c r="GE855">
        <v>2.4900203919054138</v>
      </c>
      <c r="GF855">
        <v>2.9676970485039238</v>
      </c>
      <c r="GG855">
        <v>3.2837954587926377</v>
      </c>
      <c r="GH855">
        <v>5.0112269087690562</v>
      </c>
      <c r="GI855">
        <v>5.0765723608567495</v>
      </c>
      <c r="GJ855"/>
      <c r="GK855">
        <v>5.6893896858917508</v>
      </c>
      <c r="GL855">
        <v>4.3929196290903096</v>
      </c>
      <c r="GM855">
        <v>11.676770955192257</v>
      </c>
      <c r="GN855">
        <v>10.988898945242106</v>
      </c>
      <c r="GO855">
        <v>7.9982361551253769</v>
      </c>
      <c r="GP855">
        <v>4.7671468693185526</v>
      </c>
      <c r="GQ855">
        <v>3.6342881417307238</v>
      </c>
      <c r="GR855">
        <v>4.6198205491381312</v>
      </c>
      <c r="GS855">
        <v>5.3454190755166149</v>
      </c>
      <c r="GT855">
        <v>6.8688208026913458</v>
      </c>
      <c r="GU855"/>
      <c r="GV855"/>
      <c r="GW855"/>
      <c r="GX855"/>
      <c r="GY855"/>
      <c r="GZ855"/>
      <c r="HA855"/>
      <c r="HB855"/>
      <c r="HC855"/>
    </row>
    <row r="856" spans="1:211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62.237841939540957</v>
      </c>
      <c r="AO856">
        <v>7.6108909494340198</v>
      </c>
      <c r="AP856">
        <v>4.0602094155291759</v>
      </c>
      <c r="AQ856">
        <v>56.771306107006836</v>
      </c>
      <c r="AR856">
        <v>7.8449017089536603</v>
      </c>
      <c r="AS856">
        <v>51.81856842343889</v>
      </c>
      <c r="AT856">
        <v>6.3601549847745433</v>
      </c>
      <c r="AU856">
        <v>2.7550578507015455</v>
      </c>
      <c r="AV856"/>
      <c r="AW856"/>
      <c r="FY856" s="211">
        <v>851</v>
      </c>
      <c r="FZ856">
        <v>17.496103804914966</v>
      </c>
      <c r="GA856">
        <v>15.372095620320792</v>
      </c>
      <c r="GB856">
        <v>3.8447809581126942</v>
      </c>
      <c r="GC856">
        <v>2.3891451219121369</v>
      </c>
      <c r="GD856">
        <v>1.231133484786413</v>
      </c>
      <c r="GE856">
        <v>1.6749564245798323</v>
      </c>
      <c r="GF856">
        <v>3.0315918002966447</v>
      </c>
      <c r="GG856">
        <v>2.5900952258457561</v>
      </c>
      <c r="GH856">
        <v>4.3371644135988117</v>
      </c>
      <c r="GI856">
        <v>5.4747470211289473</v>
      </c>
      <c r="GJ856"/>
      <c r="GK856">
        <v>17.56513983435752</v>
      </c>
      <c r="GL856">
        <v>13.026287536887514</v>
      </c>
      <c r="GM856">
        <v>6.3676442424172794</v>
      </c>
      <c r="GN856">
        <v>7.1210009201723796</v>
      </c>
      <c r="GO856">
        <v>4.783693329059294</v>
      </c>
      <c r="GP856">
        <v>3.2067059778456839</v>
      </c>
      <c r="GQ856">
        <v>3.7079545016817037</v>
      </c>
      <c r="GR856">
        <v>3.6402461683483707</v>
      </c>
      <c r="GS856">
        <v>4.623488664218474</v>
      </c>
      <c r="GT856">
        <v>7.4095841143468553</v>
      </c>
      <c r="GU856"/>
      <c r="GV856"/>
      <c r="GW856"/>
      <c r="GX856"/>
      <c r="GY856"/>
      <c r="GZ856"/>
      <c r="HA856"/>
      <c r="HB856"/>
      <c r="HC856"/>
    </row>
    <row r="857" spans="1:211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51.000576809118307</v>
      </c>
      <c r="AO857">
        <v>6.485187610140791</v>
      </c>
      <c r="AP857">
        <v>44.91670487490628</v>
      </c>
      <c r="AQ857">
        <v>47.085245012796982</v>
      </c>
      <c r="AR857">
        <v>6.7710666839103801</v>
      </c>
      <c r="AS857">
        <v>40.221988500127608</v>
      </c>
      <c r="AT857" t="e">
        <v>#DIV/0!</v>
      </c>
      <c r="AU857" t="e">
        <v>#DIV/0!</v>
      </c>
      <c r="AV857"/>
      <c r="AW857"/>
      <c r="FY857" s="211">
        <v>852</v>
      </c>
      <c r="FZ857">
        <v>15.082801723312169</v>
      </c>
      <c r="GA857">
        <v>10.467576602290611</v>
      </c>
      <c r="GB857">
        <v>6.5440495205656939</v>
      </c>
      <c r="GC857">
        <v>3.6319394023939462</v>
      </c>
      <c r="GD857">
        <v>1.4472337087137008</v>
      </c>
      <c r="GE857">
        <v>1.6664967726196991</v>
      </c>
      <c r="GF857">
        <v>0.72551247790760864</v>
      </c>
      <c r="GG857">
        <v>0.90968051734601452</v>
      </c>
      <c r="GH857">
        <v>3.2232127166562385</v>
      </c>
      <c r="GI857">
        <v>5.3095576995491012</v>
      </c>
      <c r="GJ857"/>
      <c r="GK857">
        <v>15.141349516355646</v>
      </c>
      <c r="GL857">
        <v>8.8699458400801685</v>
      </c>
      <c r="GM857">
        <v>10.835854670865098</v>
      </c>
      <c r="GN857">
        <v>10.814607179244353</v>
      </c>
      <c r="GO857">
        <v>5.6200881309581678</v>
      </c>
      <c r="GP857">
        <v>3.190509964556647</v>
      </c>
      <c r="GQ857">
        <v>0.88903985507246364</v>
      </c>
      <c r="GR857">
        <v>1.2802435587761674</v>
      </c>
      <c r="GS857">
        <v>3.4359843527810066</v>
      </c>
      <c r="GT857">
        <v>7.1844633052064779</v>
      </c>
      <c r="GU857"/>
      <c r="GV857"/>
      <c r="GW857"/>
      <c r="GX857"/>
      <c r="GY857"/>
      <c r="GZ857"/>
      <c r="HA857"/>
      <c r="HB857"/>
      <c r="HC857"/>
    </row>
    <row r="858" spans="1:211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61.071909298260479</v>
      </c>
      <c r="AO858">
        <v>7.3849734380097818</v>
      </c>
      <c r="AP858">
        <v>14.819946896858141</v>
      </c>
      <c r="AQ858">
        <v>49.626964094452156</v>
      </c>
      <c r="AR858">
        <v>8.0561617015067597</v>
      </c>
      <c r="AS858">
        <v>48.518044302575817</v>
      </c>
      <c r="AT858" t="e">
        <v>#DIV/0!</v>
      </c>
      <c r="AU858" t="e">
        <v>#DIV/0!</v>
      </c>
      <c r="AV858"/>
      <c r="AW858"/>
      <c r="FY858" s="211">
        <v>853</v>
      </c>
      <c r="FZ858">
        <v>11.64367019842874</v>
      </c>
      <c r="GA858">
        <v>7.7867789545956869</v>
      </c>
      <c r="GB858">
        <v>5.5598349033018089</v>
      </c>
      <c r="GC858">
        <v>3.0651888006967223</v>
      </c>
      <c r="GD858">
        <v>1.2329304816434299</v>
      </c>
      <c r="GE858">
        <v>1.7456885145798315</v>
      </c>
      <c r="GF858">
        <v>1.8310968709933551</v>
      </c>
      <c r="GG858">
        <v>2.3417832613805647</v>
      </c>
      <c r="GH858">
        <v>6.1223144683991864</v>
      </c>
      <c r="GI858">
        <v>5.0965526665262662</v>
      </c>
      <c r="GJ858"/>
      <c r="GK858">
        <v>11.708825734816621</v>
      </c>
      <c r="GL858">
        <v>6.5977414328926045</v>
      </c>
      <c r="GM858">
        <v>9.2820223528017181</v>
      </c>
      <c r="GN858">
        <v>9.2344145362025429</v>
      </c>
      <c r="GO858">
        <v>4.7789396501764507</v>
      </c>
      <c r="GP858">
        <v>3.34212264451235</v>
      </c>
      <c r="GQ858">
        <v>2.2391881997255374</v>
      </c>
      <c r="GR858">
        <v>3.2924289404662783</v>
      </c>
      <c r="GS858">
        <v>6.5276949376527318</v>
      </c>
      <c r="GT858">
        <v>6.9073341750346122</v>
      </c>
      <c r="GU858"/>
      <c r="GV858"/>
      <c r="GW858"/>
      <c r="GX858"/>
      <c r="GY858"/>
      <c r="GZ858"/>
      <c r="HA858"/>
      <c r="HB858"/>
      <c r="HC858"/>
    </row>
    <row r="859" spans="1:211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68.671102124139168</v>
      </c>
      <c r="AO859">
        <v>7.9216631645417994</v>
      </c>
      <c r="AP859">
        <v>45.293383584667524</v>
      </c>
      <c r="AQ859">
        <v>60.448935538503122</v>
      </c>
      <c r="AR859">
        <v>8.0745321655408766</v>
      </c>
      <c r="AS859">
        <v>49.903769331685545</v>
      </c>
      <c r="AT859" t="e">
        <v>#DIV/0!</v>
      </c>
      <c r="AU859" t="e">
        <v>#DIV/0!</v>
      </c>
      <c r="AV859"/>
      <c r="AW859"/>
      <c r="FY859" s="211">
        <v>854</v>
      </c>
      <c r="FZ859">
        <v>15.926406395459155</v>
      </c>
      <c r="GA859">
        <v>13.425746020903444</v>
      </c>
      <c r="GB859">
        <v>4.4287601132814345</v>
      </c>
      <c r="GC859">
        <v>2.5704560292285752</v>
      </c>
      <c r="GD859">
        <v>3.0539412973532989</v>
      </c>
      <c r="GE859">
        <v>4.8765903741049446</v>
      </c>
      <c r="GF859">
        <v>1.8777106423256344</v>
      </c>
      <c r="GG859">
        <v>1.9129089162024455</v>
      </c>
      <c r="GH859">
        <v>6.0957892256850688</v>
      </c>
      <c r="GI859">
        <v>6.5034271281537883</v>
      </c>
      <c r="GJ859"/>
      <c r="GK859">
        <v>15.984258193644029</v>
      </c>
      <c r="GL859">
        <v>11.37556926924297</v>
      </c>
      <c r="GM859">
        <v>7.3738089147377961</v>
      </c>
      <c r="GN859">
        <v>7.7295692530728353</v>
      </c>
      <c r="GO859">
        <v>11.859990829336013</v>
      </c>
      <c r="GP859">
        <v>9.3362378117208831</v>
      </c>
      <c r="GQ859">
        <v>2.300938506441224</v>
      </c>
      <c r="GR859">
        <v>2.6921422101449273</v>
      </c>
      <c r="GS859">
        <v>6.5004821392186782</v>
      </c>
      <c r="GT859">
        <v>8.803895716675548</v>
      </c>
      <c r="GU859"/>
      <c r="GV859"/>
      <c r="GW859"/>
      <c r="GX859"/>
      <c r="GY859"/>
      <c r="GZ859"/>
      <c r="HA859"/>
      <c r="HB859"/>
      <c r="HC859"/>
    </row>
    <row r="860" spans="1:211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63.103949131623018</v>
      </c>
      <c r="AO860">
        <v>7.8092762428937395</v>
      </c>
      <c r="AP860">
        <v>4.2515486839441738</v>
      </c>
      <c r="AQ860">
        <v>62.063409882589013</v>
      </c>
      <c r="AR860">
        <v>8.064209898468599</v>
      </c>
      <c r="AS860">
        <v>48.760516190335963</v>
      </c>
      <c r="AT860">
        <v>6.4584393039697696</v>
      </c>
      <c r="AU860">
        <v>-2.5287094610492797</v>
      </c>
      <c r="AV860"/>
      <c r="AW860"/>
      <c r="FY860" s="211">
        <v>855</v>
      </c>
      <c r="FZ860">
        <v>17.522866245382971</v>
      </c>
      <c r="GA860">
        <v>17.231298195699274</v>
      </c>
      <c r="GB860">
        <v>4.4278425111846946</v>
      </c>
      <c r="GC860">
        <v>2.6427907502181185</v>
      </c>
      <c r="GD860">
        <v>1.7543785770090292</v>
      </c>
      <c r="GE860">
        <v>2.5354910211911279</v>
      </c>
      <c r="GF860">
        <v>0.67025821634510852</v>
      </c>
      <c r="GG860">
        <v>0.53548899130434779</v>
      </c>
      <c r="GH860">
        <v>4.214271101333896</v>
      </c>
      <c r="GI860">
        <v>5.4747134421208319</v>
      </c>
      <c r="GJ860"/>
      <c r="GK860">
        <v>17.5667212978619</v>
      </c>
      <c r="GL860">
        <v>14.601267111175691</v>
      </c>
      <c r="GM860">
        <v>7.3394656123239468</v>
      </c>
      <c r="GN860">
        <v>7.8717071325673782</v>
      </c>
      <c r="GO860">
        <v>6.798512300145469</v>
      </c>
      <c r="GP860">
        <v>4.8542004407471238</v>
      </c>
      <c r="GQ860">
        <v>0.82133152173913027</v>
      </c>
      <c r="GR860">
        <v>0.75362318840579701</v>
      </c>
      <c r="GS860">
        <v>4.4929921863370295</v>
      </c>
      <c r="GT860">
        <v>7.4038045836814952</v>
      </c>
      <c r="GU860"/>
      <c r="GV860"/>
      <c r="GW860"/>
      <c r="GX860"/>
      <c r="GY860"/>
      <c r="GZ860"/>
      <c r="HA860"/>
      <c r="HB860"/>
      <c r="HC860"/>
    </row>
    <row r="861" spans="1:211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59.71491687265992</v>
      </c>
      <c r="AO861">
        <v>7.1389417446279761</v>
      </c>
      <c r="AP861">
        <v>7.3700486995328314</v>
      </c>
      <c r="AQ861">
        <v>54.24309565355582</v>
      </c>
      <c r="AR861">
        <v>7.7400915337972878</v>
      </c>
      <c r="AS861">
        <v>47.939647651620888</v>
      </c>
      <c r="AT861">
        <v>6.1819764316580423</v>
      </c>
      <c r="AU861">
        <v>1.4480088943928475</v>
      </c>
      <c r="AV861"/>
      <c r="AW861"/>
      <c r="FY861" s="211">
        <v>856</v>
      </c>
      <c r="FZ861">
        <v>8.497030855842171</v>
      </c>
      <c r="GA861">
        <v>7.2501274179106261</v>
      </c>
      <c r="GB861">
        <v>7.1885018593125807</v>
      </c>
      <c r="GC861">
        <v>3.4812142057084823</v>
      </c>
      <c r="GD861">
        <v>1.7755864384362108</v>
      </c>
      <c r="GE861">
        <v>2.95078176987395</v>
      </c>
      <c r="GF861">
        <v>1.2074524259805255</v>
      </c>
      <c r="GG861">
        <v>1.7516114509397644</v>
      </c>
      <c r="GH861">
        <v>5.4137200248944284</v>
      </c>
      <c r="GI861">
        <v>5.1146558857696958</v>
      </c>
      <c r="GJ861"/>
      <c r="GK861">
        <v>8.5402664250634572</v>
      </c>
      <c r="GL861">
        <v>6.1430635301224106</v>
      </c>
      <c r="GM861">
        <v>11.940945048405849</v>
      </c>
      <c r="GN861">
        <v>10.414309282676854</v>
      </c>
      <c r="GO861">
        <v>6.8837177799519891</v>
      </c>
      <c r="GP861">
        <v>5.6492750509294627</v>
      </c>
      <c r="GQ861">
        <v>1.4796069847020934</v>
      </c>
      <c r="GR861">
        <v>2.4651393921095006</v>
      </c>
      <c r="GS861">
        <v>5.772182320803827</v>
      </c>
      <c r="GT861">
        <v>6.9233437117854431</v>
      </c>
      <c r="GU861"/>
      <c r="GV861"/>
      <c r="GW861"/>
      <c r="GX861"/>
      <c r="GY861"/>
      <c r="GZ861"/>
      <c r="HA861"/>
      <c r="HB861"/>
      <c r="HC861"/>
    </row>
    <row r="862" spans="1:211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67.866605376639114</v>
      </c>
      <c r="AO862">
        <v>8.0609944407078977</v>
      </c>
      <c r="AP862">
        <v>31.711883956806005</v>
      </c>
      <c r="AQ862">
        <v>60.269148266362933</v>
      </c>
      <c r="AR862">
        <v>8.3358011814275805</v>
      </c>
      <c r="AS862">
        <v>51.645172763933921</v>
      </c>
      <c r="AT862" t="e">
        <v>#DIV/0!</v>
      </c>
      <c r="AU862" t="e">
        <v>#DIV/0!</v>
      </c>
      <c r="AV862"/>
      <c r="AW862"/>
      <c r="FY862" s="211">
        <v>857</v>
      </c>
      <c r="FZ862">
        <v>11.623218048783848</v>
      </c>
      <c r="GA862">
        <v>7.6706739825156536</v>
      </c>
      <c r="GB862">
        <v>7.5400209052124607</v>
      </c>
      <c r="GC862">
        <v>4.3018772656729825</v>
      </c>
      <c r="GD862">
        <v>2.0626761699442206</v>
      </c>
      <c r="GE862">
        <v>2.9952496061911282</v>
      </c>
      <c r="GF862">
        <v>2.4530583224531988</v>
      </c>
      <c r="GG862">
        <v>2.8838056349928185</v>
      </c>
      <c r="GH862">
        <v>5.4621027499410948</v>
      </c>
      <c r="GI862">
        <v>6.0629978677517595</v>
      </c>
      <c r="GJ862"/>
      <c r="GK862">
        <v>11.672597061051704</v>
      </c>
      <c r="GL862">
        <v>6.4983126383260812</v>
      </c>
      <c r="GM862">
        <v>12.521004724619663</v>
      </c>
      <c r="GN862">
        <v>12.864326321602647</v>
      </c>
      <c r="GO862">
        <v>8.0078246967226399</v>
      </c>
      <c r="GP862">
        <v>5.7344087740804577</v>
      </c>
      <c r="GQ862">
        <v>3.0036520708772612</v>
      </c>
      <c r="GR862">
        <v>4.0568928116180016</v>
      </c>
      <c r="GS862">
        <v>5.8263074838729159</v>
      </c>
      <c r="GT862">
        <v>8.2062772074288368</v>
      </c>
      <c r="GU862"/>
      <c r="GV862"/>
      <c r="GW862"/>
      <c r="GX862"/>
      <c r="GY862"/>
      <c r="GZ862"/>
      <c r="HA862"/>
      <c r="HB862"/>
      <c r="HC862"/>
    </row>
    <row r="863" spans="1:211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58.582495711241869</v>
      </c>
      <c r="AO863">
        <v>7.1791872349848997</v>
      </c>
      <c r="AP863">
        <v>61.299864178461043</v>
      </c>
      <c r="AQ863">
        <v>51.734492356513464</v>
      </c>
      <c r="AR863">
        <v>7.3448038138070633</v>
      </c>
      <c r="AS863">
        <v>46.014487038314002</v>
      </c>
      <c r="AT863" t="e">
        <v>#DIV/0!</v>
      </c>
      <c r="AU863" t="e">
        <v>#DIV/0!</v>
      </c>
      <c r="AV863"/>
      <c r="AW863"/>
      <c r="FY863" s="211">
        <v>858</v>
      </c>
      <c r="FZ863">
        <v>19.838668272662691</v>
      </c>
      <c r="GA863">
        <v>20.082342950335555</v>
      </c>
      <c r="GB863">
        <v>6.0126662370172657</v>
      </c>
      <c r="GC863">
        <v>3.0331904087056074</v>
      </c>
      <c r="GD863">
        <v>2.8045441846982921</v>
      </c>
      <c r="GE863">
        <v>4.058878681485246</v>
      </c>
      <c r="GF863">
        <v>3.0073533231589673</v>
      </c>
      <c r="GG863">
        <v>2.8483877313066115</v>
      </c>
      <c r="GH863">
        <v>5.616751049918256</v>
      </c>
      <c r="GI863">
        <v>7.456435147191173</v>
      </c>
      <c r="GJ863"/>
      <c r="GK863">
        <v>19.901601673664373</v>
      </c>
      <c r="GL863">
        <v>17.015726158189739</v>
      </c>
      <c r="GM863">
        <v>9.9608406373643241</v>
      </c>
      <c r="GN863">
        <v>9.0602658220616572</v>
      </c>
      <c r="GO863">
        <v>10.903239049326313</v>
      </c>
      <c r="GP863">
        <v>7.7707278471642374</v>
      </c>
      <c r="GQ863">
        <v>3.6851977657004826</v>
      </c>
      <c r="GR863">
        <v>4.0086931360708524</v>
      </c>
      <c r="GS863">
        <v>5.9886507012555112</v>
      </c>
      <c r="GT863">
        <v>10.0879059654622</v>
      </c>
      <c r="GU863"/>
      <c r="GV863"/>
      <c r="GW863"/>
      <c r="GX863"/>
      <c r="GY863"/>
      <c r="GZ863"/>
      <c r="HA863"/>
      <c r="HB863"/>
      <c r="HC863"/>
    </row>
    <row r="864" spans="1:211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58.862238102764096</v>
      </c>
      <c r="AO864">
        <v>7.2787688834415913</v>
      </c>
      <c r="AP864">
        <v>3.6355225342437549</v>
      </c>
      <c r="AQ864">
        <v>53.564189363276348</v>
      </c>
      <c r="AR864">
        <v>7.4596833849405222</v>
      </c>
      <c r="AS864">
        <v>46.262037163705756</v>
      </c>
      <c r="AT864">
        <v>5.9714546425977693</v>
      </c>
      <c r="AU864">
        <v>4.3024836937147706</v>
      </c>
      <c r="AV864"/>
      <c r="AW864"/>
      <c r="FY864" s="211">
        <v>859</v>
      </c>
      <c r="FZ864">
        <v>13.742544336207699</v>
      </c>
      <c r="GA864">
        <v>11.107104795885343</v>
      </c>
      <c r="GB864">
        <v>4.7209463182224942</v>
      </c>
      <c r="GC864">
        <v>2.920255643794075</v>
      </c>
      <c r="GD864">
        <v>1.4110007281254655</v>
      </c>
      <c r="GE864">
        <v>1.5324894516112955</v>
      </c>
      <c r="GF864">
        <v>3.0315918002966447</v>
      </c>
      <c r="GG864">
        <v>2.5900952258457561</v>
      </c>
      <c r="GH864">
        <v>3.290191406180476</v>
      </c>
      <c r="GI864">
        <v>5.0717008716791963</v>
      </c>
      <c r="GJ864"/>
      <c r="GK864">
        <v>13.796479827292037</v>
      </c>
      <c r="GL864">
        <v>9.4132698372205628</v>
      </c>
      <c r="GM864">
        <v>7.8232908381983828</v>
      </c>
      <c r="GN864">
        <v>8.7096794408454663</v>
      </c>
      <c r="GO864">
        <v>5.4796023912077221</v>
      </c>
      <c r="GP864">
        <v>2.9339527962347729</v>
      </c>
      <c r="GQ864">
        <v>3.7079545016817037</v>
      </c>
      <c r="GR864">
        <v>3.6402461683483707</v>
      </c>
      <c r="GS864">
        <v>3.5068267844929943</v>
      </c>
      <c r="GT864">
        <v>6.8628308685745667</v>
      </c>
      <c r="GU864"/>
      <c r="GV864"/>
      <c r="GW864"/>
      <c r="GX864"/>
      <c r="GY864"/>
      <c r="GZ864"/>
      <c r="HA864"/>
      <c r="HB864"/>
      <c r="HC864"/>
    </row>
    <row r="865" spans="1:211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57.719530915615735</v>
      </c>
      <c r="AO865">
        <v>6.8481232782407844</v>
      </c>
      <c r="AP865">
        <v>3.18336696077849</v>
      </c>
      <c r="AQ865">
        <v>49.671845639699427</v>
      </c>
      <c r="AR865">
        <v>7.3327260506169818</v>
      </c>
      <c r="AS865">
        <v>48.253620599607146</v>
      </c>
      <c r="AT865">
        <v>5.9242338333184419</v>
      </c>
      <c r="AU865">
        <v>1.2100434407817815</v>
      </c>
      <c r="AV865"/>
      <c r="AW865"/>
      <c r="FY865" s="211">
        <v>860</v>
      </c>
      <c r="FZ865">
        <v>7.2745740128405831</v>
      </c>
      <c r="GA865">
        <v>7.7930552793407273</v>
      </c>
      <c r="GB865">
        <v>7.1919611875157816</v>
      </c>
      <c r="GC865">
        <v>4.0591001569001017</v>
      </c>
      <c r="GD865">
        <v>2.0355499906099119</v>
      </c>
      <c r="GE865">
        <v>2.3138323062624586</v>
      </c>
      <c r="GF865">
        <v>1.2074524259805255</v>
      </c>
      <c r="GG865">
        <v>1.7516114509397644</v>
      </c>
      <c r="GH865">
        <v>5.111284554928643</v>
      </c>
      <c r="GI865">
        <v>5.037394337255761</v>
      </c>
      <c r="GJ865"/>
      <c r="GK865">
        <v>7.308877725345357</v>
      </c>
      <c r="GL865">
        <v>6.6034321218385426</v>
      </c>
      <c r="GM865">
        <v>11.953729443690976</v>
      </c>
      <c r="GN865">
        <v>12.155989223173743</v>
      </c>
      <c r="GO865">
        <v>7.9019045403690287</v>
      </c>
      <c r="GP865">
        <v>4.4298345791805103</v>
      </c>
      <c r="GQ865">
        <v>1.4796069847020934</v>
      </c>
      <c r="GR865">
        <v>2.4651393921095006</v>
      </c>
      <c r="GS865">
        <v>5.4504663147950758</v>
      </c>
      <c r="GT865">
        <v>6.8189170017805054</v>
      </c>
      <c r="GU865"/>
      <c r="GV865"/>
      <c r="GW865"/>
      <c r="GX865"/>
      <c r="GY865"/>
      <c r="GZ865"/>
      <c r="HA865"/>
      <c r="HB865"/>
      <c r="HC865"/>
    </row>
    <row r="866" spans="1:211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56.74381382829273</v>
      </c>
      <c r="AO866">
        <v>6.5981710808937164</v>
      </c>
      <c r="AP866">
        <v>5.8829654517756058</v>
      </c>
      <c r="AQ866">
        <v>42.458230686614542</v>
      </c>
      <c r="AR866">
        <v>6.8688208026913475</v>
      </c>
      <c r="AS866">
        <v>44.027930892359507</v>
      </c>
      <c r="AT866">
        <v>5.5186030913294752</v>
      </c>
      <c r="AU866">
        <v>7.9460871743764541</v>
      </c>
      <c r="AV866"/>
      <c r="AW866"/>
      <c r="FY866" s="211">
        <v>861</v>
      </c>
      <c r="FZ866">
        <v>14.568755126685634</v>
      </c>
      <c r="GA866">
        <v>12.272400297752512</v>
      </c>
      <c r="GB866">
        <v>4.5271168388207457</v>
      </c>
      <c r="GC866">
        <v>2.5075862228804779</v>
      </c>
      <c r="GD866">
        <v>2.1096363006395986</v>
      </c>
      <c r="GE866">
        <v>3.4576559164852454</v>
      </c>
      <c r="GF866">
        <v>1.8637956489711629</v>
      </c>
      <c r="GG866">
        <v>1.8998421515866333</v>
      </c>
      <c r="GH866">
        <v>4.6405850807153328</v>
      </c>
      <c r="GI866">
        <v>5.5491278223350431</v>
      </c>
      <c r="GJ866"/>
      <c r="GK866">
        <v>14.622745870575514</v>
      </c>
      <c r="GL866">
        <v>10.399809745812338</v>
      </c>
      <c r="GM866">
        <v>7.5005244595007659</v>
      </c>
      <c r="GN866">
        <v>7.4791883183885117</v>
      </c>
      <c r="GO866">
        <v>8.189902698377848</v>
      </c>
      <c r="GP866">
        <v>6.6196861804975695</v>
      </c>
      <c r="GQ866">
        <v>2.2792571409493698</v>
      </c>
      <c r="GR866">
        <v>2.6704608446530735</v>
      </c>
      <c r="GS866">
        <v>4.9492332489182367</v>
      </c>
      <c r="GT866">
        <v>7.5083326836643467</v>
      </c>
      <c r="GU866"/>
      <c r="GV866"/>
      <c r="GW866"/>
      <c r="GX866"/>
      <c r="GY866"/>
      <c r="GZ866"/>
      <c r="HA866"/>
      <c r="HB866"/>
      <c r="HC866"/>
    </row>
    <row r="867" spans="1:211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61.666229474098103</v>
      </c>
      <c r="AO867">
        <v>7.1451745289335076</v>
      </c>
      <c r="AP867">
        <v>56.640458382397341</v>
      </c>
      <c r="AQ867">
        <v>57.441813875496997</v>
      </c>
      <c r="AR867">
        <v>7.4095841143468562</v>
      </c>
      <c r="AS867">
        <v>48.588800997949747</v>
      </c>
      <c r="AT867" t="e">
        <v>#DIV/0!</v>
      </c>
      <c r="AU867" t="e">
        <v>#DIV/0!</v>
      </c>
      <c r="AV867"/>
      <c r="AW867"/>
      <c r="FY867" s="211">
        <v>862</v>
      </c>
      <c r="FZ867">
        <v>10.330413991524761</v>
      </c>
      <c r="GA867">
        <v>9.4766223124067359</v>
      </c>
      <c r="GB867">
        <v>6.9844496087765364</v>
      </c>
      <c r="GC867">
        <v>3.3287679586262202</v>
      </c>
      <c r="GD867">
        <v>1.8872883418836899</v>
      </c>
      <c r="GE867">
        <v>3.039075303151261</v>
      </c>
      <c r="GF867">
        <v>1.223050412887982</v>
      </c>
      <c r="GG867">
        <v>1.0644446003007895</v>
      </c>
      <c r="GH867">
        <v>3.451129219314224</v>
      </c>
      <c r="GI867">
        <v>5.0936099918094984</v>
      </c>
      <c r="GJ867"/>
      <c r="GK867">
        <v>10.366333770728213</v>
      </c>
      <c r="GL867">
        <v>8.0299532716135715</v>
      </c>
      <c r="GM867">
        <v>11.603690794440897</v>
      </c>
      <c r="GN867">
        <v>9.9631563586493126</v>
      </c>
      <c r="GO867">
        <v>7.3168183497253532</v>
      </c>
      <c r="GP867">
        <v>5.8183131207028271</v>
      </c>
      <c r="GQ867">
        <v>1.4964056940656674</v>
      </c>
      <c r="GR867">
        <v>1.4964056940656674</v>
      </c>
      <c r="GS867">
        <v>3.679899758273347</v>
      </c>
      <c r="GT867">
        <v>6.8926296734466952</v>
      </c>
      <c r="GU867"/>
      <c r="GV867"/>
      <c r="GW867"/>
      <c r="GX867"/>
      <c r="GY867"/>
      <c r="GZ867"/>
      <c r="HA867"/>
      <c r="HB867"/>
      <c r="HC867"/>
    </row>
    <row r="868" spans="1:211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57.964508403210516</v>
      </c>
      <c r="AO868">
        <v>6.7262086373896199</v>
      </c>
      <c r="AP868">
        <v>2.802640282277876</v>
      </c>
      <c r="AQ868">
        <v>49.008061141354787</v>
      </c>
      <c r="AR868">
        <v>7.1844633052064779</v>
      </c>
      <c r="AS868">
        <v>47.036549661472662</v>
      </c>
      <c r="AT868">
        <v>5.7798784948195587</v>
      </c>
      <c r="AU868">
        <v>10.763115675285118</v>
      </c>
      <c r="AV868"/>
      <c r="AW868"/>
      <c r="FY868" s="211">
        <v>863</v>
      </c>
      <c r="FZ868">
        <v>11.545842220161767</v>
      </c>
      <c r="GA868">
        <v>10.580457073180435</v>
      </c>
      <c r="GB868">
        <v>5.3965045454018759</v>
      </c>
      <c r="GC868">
        <v>2.4122018464261386</v>
      </c>
      <c r="GD868">
        <v>1.936433657490833</v>
      </c>
      <c r="GE868">
        <v>2.8268790331512612</v>
      </c>
      <c r="GF868">
        <v>2.2818408452513586</v>
      </c>
      <c r="GG868">
        <v>2.312898740002264</v>
      </c>
      <c r="GH868">
        <v>6.0454082845017805</v>
      </c>
      <c r="GI868">
        <v>5.5109804828296758</v>
      </c>
      <c r="GJ868"/>
      <c r="GK868">
        <v>11.608914546439809</v>
      </c>
      <c r="GL868">
        <v>8.9646368073183407</v>
      </c>
      <c r="GM868">
        <v>8.9336661851180423</v>
      </c>
      <c r="GN868">
        <v>7.1777190469550218</v>
      </c>
      <c r="GO868">
        <v>7.5073689449634493</v>
      </c>
      <c r="GP868">
        <v>5.412063120702828</v>
      </c>
      <c r="GQ868">
        <v>2.7961579106280188</v>
      </c>
      <c r="GR868">
        <v>3.2550699476650555</v>
      </c>
      <c r="GS868">
        <v>6.4455046423053295</v>
      </c>
      <c r="GT868">
        <v>7.4583224458909303</v>
      </c>
      <c r="GU868"/>
      <c r="GV868"/>
      <c r="GW868"/>
      <c r="GX868"/>
      <c r="GY868"/>
      <c r="GZ868"/>
      <c r="HA868"/>
      <c r="HB868"/>
      <c r="HC868"/>
    </row>
    <row r="869" spans="1:211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53.616909206867646</v>
      </c>
      <c r="AO869">
        <v>6.3910712604281459</v>
      </c>
      <c r="AP869">
        <v>29.956818339823638</v>
      </c>
      <c r="AQ869">
        <v>46.425839120545589</v>
      </c>
      <c r="AR869">
        <v>6.9073341750346104</v>
      </c>
      <c r="AS869">
        <v>41.664783712783574</v>
      </c>
      <c r="AT869" t="e">
        <v>#DIV/0!</v>
      </c>
      <c r="AU869" t="e">
        <v>#DIV/0!</v>
      </c>
      <c r="AV869"/>
      <c r="AW869"/>
      <c r="FY869" s="211">
        <v>864</v>
      </c>
      <c r="FZ869">
        <v>17.614410257756536</v>
      </c>
      <c r="GA869">
        <v>18.847515692087267</v>
      </c>
      <c r="GB869">
        <v>6.5059435015923759</v>
      </c>
      <c r="GC869">
        <v>3.1276110297432247</v>
      </c>
      <c r="GD869">
        <v>1.5390939838629256</v>
      </c>
      <c r="GE869">
        <v>2.4900203919054138</v>
      </c>
      <c r="GF869">
        <v>2.4305028388685068</v>
      </c>
      <c r="GG869">
        <v>2.4418645251988869</v>
      </c>
      <c r="GH869">
        <v>6.6173556854737319</v>
      </c>
      <c r="GI869">
        <v>6.5769132308587208</v>
      </c>
      <c r="GJ869"/>
      <c r="GK869">
        <v>17.661187759957691</v>
      </c>
      <c r="GL869">
        <v>15.969620504867539</v>
      </c>
      <c r="GM869">
        <v>10.852383448450666</v>
      </c>
      <c r="GN869">
        <v>9.4263429208169072</v>
      </c>
      <c r="GO869">
        <v>5.96676816976965</v>
      </c>
      <c r="GP869">
        <v>4.7671468693185526</v>
      </c>
      <c r="GQ869">
        <v>2.976012678767761</v>
      </c>
      <c r="GR869">
        <v>3.4349247158047973</v>
      </c>
      <c r="GS869">
        <v>7.0527691524151734</v>
      </c>
      <c r="GT869">
        <v>8.9018242418721893</v>
      </c>
      <c r="GU869"/>
      <c r="GV869"/>
      <c r="GW869"/>
      <c r="GX869"/>
      <c r="GY869"/>
      <c r="GZ869"/>
      <c r="HA869"/>
      <c r="HB869"/>
      <c r="HC869"/>
    </row>
    <row r="870" spans="1:211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68.172130061224664</v>
      </c>
      <c r="AO870">
        <v>8.3956892844234883</v>
      </c>
      <c r="AP870">
        <v>2.3497875118355371</v>
      </c>
      <c r="AQ870">
        <v>60.671736142697782</v>
      </c>
      <c r="AR870">
        <v>8.8038957166755498</v>
      </c>
      <c r="AS870">
        <v>55.751849661117745</v>
      </c>
      <c r="AT870">
        <v>7.0790414937800987</v>
      </c>
      <c r="AU870">
        <v>1.6605892701603899</v>
      </c>
      <c r="AV870"/>
      <c r="AW870"/>
      <c r="FY870" s="211">
        <v>865</v>
      </c>
      <c r="FZ870">
        <v>11.58969555312105</v>
      </c>
      <c r="GA870">
        <v>9.0516100436586555</v>
      </c>
      <c r="GB870">
        <v>4.6589380858239045</v>
      </c>
      <c r="GC870">
        <v>3.0029523947008845</v>
      </c>
      <c r="GD870">
        <v>1.4250444812106868</v>
      </c>
      <c r="GE870">
        <v>1.9955379012624588</v>
      </c>
      <c r="GF870">
        <v>1.1521981644180253</v>
      </c>
      <c r="GG870">
        <v>1.7516114509397644</v>
      </c>
      <c r="GH870">
        <v>5.9263140780194279</v>
      </c>
      <c r="GI870">
        <v>4.8274015887772119</v>
      </c>
      <c r="GJ870"/>
      <c r="GK870">
        <v>11.620011904777396</v>
      </c>
      <c r="GL870">
        <v>7.6704264228622625</v>
      </c>
      <c r="GM870">
        <v>7.7922629583045939</v>
      </c>
      <c r="GN870">
        <v>9.0704208772857093</v>
      </c>
      <c r="GO870">
        <v>5.5442870015575458</v>
      </c>
      <c r="GP870">
        <v>3.8204595791805103</v>
      </c>
      <c r="GQ870">
        <v>1.4118986513687599</v>
      </c>
      <c r="GR870">
        <v>2.4651393921095006</v>
      </c>
      <c r="GS870">
        <v>6.3190573208038261</v>
      </c>
      <c r="GT870">
        <v>6.5375035673624247</v>
      </c>
      <c r="GU870"/>
      <c r="GV870"/>
      <c r="GW870"/>
      <c r="GX870"/>
      <c r="GY870"/>
      <c r="GZ870"/>
      <c r="HA870"/>
      <c r="HB870"/>
      <c r="HC870"/>
    </row>
    <row r="871" spans="1:211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61.083663034731202</v>
      </c>
      <c r="AO871">
        <v>7.2503625374984964</v>
      </c>
      <c r="AP871">
        <v>55.30273440696152</v>
      </c>
      <c r="AQ871">
        <v>57.009399051789401</v>
      </c>
      <c r="AR871">
        <v>7.4038045836814987</v>
      </c>
      <c r="AS871">
        <v>49.26300933071321</v>
      </c>
      <c r="AT871" t="e">
        <v>#DIV/0!</v>
      </c>
      <c r="AU871" t="e">
        <v>#DIV/0!</v>
      </c>
      <c r="AV871"/>
      <c r="AW871"/>
      <c r="FY871" s="211">
        <v>866</v>
      </c>
      <c r="FZ871">
        <v>13.541661805893281</v>
      </c>
      <c r="GA871">
        <v>12.937910385753874</v>
      </c>
      <c r="GB871">
        <v>5.5097632565498635</v>
      </c>
      <c r="GC871">
        <v>3.1341103131363832</v>
      </c>
      <c r="GD871">
        <v>1.7116835332287772</v>
      </c>
      <c r="GE871">
        <v>2.0925342449452806</v>
      </c>
      <c r="GF871">
        <v>0.64770273276041657</v>
      </c>
      <c r="GG871">
        <v>0.46773940755208332</v>
      </c>
      <c r="GH871">
        <v>4.2517208951695133</v>
      </c>
      <c r="GI871">
        <v>5.1287884481614885</v>
      </c>
      <c r="GJ871"/>
      <c r="GK871">
        <v>13.589345851755587</v>
      </c>
      <c r="GL871">
        <v>10.961107865785209</v>
      </c>
      <c r="GM871">
        <v>9.120969143048665</v>
      </c>
      <c r="GN871">
        <v>9.3447846771398115</v>
      </c>
      <c r="GO871">
        <v>6.6571577013138796</v>
      </c>
      <c r="GP871">
        <v>4.0061591893628492</v>
      </c>
      <c r="GQ871">
        <v>0.79369212962962943</v>
      </c>
      <c r="GR871">
        <v>0.65827546296296291</v>
      </c>
      <c r="GS871">
        <v>4.5329465242365732</v>
      </c>
      <c r="GT871">
        <v>6.9388222699968676</v>
      </c>
      <c r="GU871"/>
      <c r="GV871"/>
      <c r="GW871"/>
      <c r="GX871"/>
      <c r="GY871"/>
      <c r="GZ871"/>
      <c r="HA871"/>
      <c r="HB871"/>
      <c r="HC871"/>
    </row>
    <row r="872" spans="1:211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56.108824339120169</v>
      </c>
      <c r="AO872">
        <v>6.6211849526550894</v>
      </c>
      <c r="AP872">
        <v>3.2621123249652317</v>
      </c>
      <c r="AQ872">
        <v>44.630682334668428</v>
      </c>
      <c r="AR872">
        <v>6.9233437117854439</v>
      </c>
      <c r="AS872">
        <v>43.68264222161239</v>
      </c>
      <c r="AT872">
        <v>5.5379670975127917</v>
      </c>
      <c r="AU872">
        <v>3.2854844220571255</v>
      </c>
      <c r="AV872"/>
      <c r="AW872"/>
      <c r="FY872" s="211">
        <v>867</v>
      </c>
      <c r="FZ872">
        <v>15.322155858432716</v>
      </c>
      <c r="GA872">
        <v>14.902496545309329</v>
      </c>
      <c r="GB872">
        <v>4.9880275546995225</v>
      </c>
      <c r="GC872">
        <v>2.2217843303324387</v>
      </c>
      <c r="GD872">
        <v>1.8462498718083038</v>
      </c>
      <c r="GE872">
        <v>3.1191523429138166</v>
      </c>
      <c r="GF872">
        <v>0.22101704625000002</v>
      </c>
      <c r="GG872">
        <v>0.37419152604166667</v>
      </c>
      <c r="GH872">
        <v>6.1778910629471717</v>
      </c>
      <c r="GI872">
        <v>5.5692004916681404</v>
      </c>
      <c r="GJ872"/>
      <c r="GK872">
        <v>15.363511718520742</v>
      </c>
      <c r="GL872">
        <v>12.626017602223385</v>
      </c>
      <c r="GM872">
        <v>8.299325145484417</v>
      </c>
      <c r="GN872">
        <v>6.672907135712558</v>
      </c>
      <c r="GO872">
        <v>7.1577003380915238</v>
      </c>
      <c r="GP872">
        <v>5.9716207043070924</v>
      </c>
      <c r="GQ872">
        <v>0.27083333333333331</v>
      </c>
      <c r="GR872">
        <v>0.52662037037037035</v>
      </c>
      <c r="GS872">
        <v>6.5828279046797684</v>
      </c>
      <c r="GT872">
        <v>7.5348396880219575</v>
      </c>
      <c r="GU872"/>
      <c r="GV872"/>
      <c r="GW872"/>
      <c r="GX872"/>
      <c r="GY872"/>
      <c r="GZ872"/>
      <c r="HA872"/>
      <c r="HB872"/>
      <c r="HC872"/>
    </row>
    <row r="873" spans="1:211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67.297826655230395</v>
      </c>
      <c r="AO873">
        <v>7.8391603790200195</v>
      </c>
      <c r="AP873">
        <v>40.928246250473308</v>
      </c>
      <c r="AQ873">
        <v>53.055680553459162</v>
      </c>
      <c r="AR873">
        <v>8.2062772074288368</v>
      </c>
      <c r="AS873">
        <v>51.012965079211213</v>
      </c>
      <c r="AT873" t="e">
        <v>#DIV/0!</v>
      </c>
      <c r="AU873" t="e">
        <v>#DIV/0!</v>
      </c>
      <c r="AV873"/>
      <c r="AW873"/>
      <c r="FY873" s="211">
        <v>868</v>
      </c>
      <c r="FZ873">
        <v>13.760952470250526</v>
      </c>
      <c r="GA873">
        <v>13.33516449125924</v>
      </c>
      <c r="GB873">
        <v>4.0252571219645903</v>
      </c>
      <c r="GC873">
        <v>1.8087373141495557</v>
      </c>
      <c r="GD873">
        <v>0.74491613964494607</v>
      </c>
      <c r="GE873">
        <v>0.56750165232558147</v>
      </c>
      <c r="GF873">
        <v>1.2852621711277175</v>
      </c>
      <c r="GG873">
        <v>1.0709779826086956</v>
      </c>
      <c r="GH873">
        <v>4.2412732647708502</v>
      </c>
      <c r="GI873">
        <v>4.355280853336482</v>
      </c>
      <c r="GJ873"/>
      <c r="GK873">
        <v>13.815511197726751</v>
      </c>
      <c r="GL873">
        <v>11.298059436243518</v>
      </c>
      <c r="GM873">
        <v>6.6640877648395556</v>
      </c>
      <c r="GN873">
        <v>5.3897858885869825</v>
      </c>
      <c r="GO873">
        <v>2.8955116587765843</v>
      </c>
      <c r="GP873">
        <v>1.086482558139535</v>
      </c>
      <c r="GQ873">
        <v>1.5749547101449275</v>
      </c>
      <c r="GR873">
        <v>1.507246376811594</v>
      </c>
      <c r="GS873">
        <v>4.5210437392414429</v>
      </c>
      <c r="GT873">
        <v>5.8942218141458529</v>
      </c>
      <c r="GU873"/>
      <c r="GV873"/>
      <c r="GW873"/>
      <c r="GX873"/>
      <c r="GY873"/>
      <c r="GZ873"/>
      <c r="HA873"/>
      <c r="HB873"/>
      <c r="HC873"/>
    </row>
    <row r="874" spans="1:211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81.991958775944937</v>
      </c>
      <c r="AO874">
        <v>9.838284875625968</v>
      </c>
      <c r="AP874">
        <v>2.6274697792818227</v>
      </c>
      <c r="AQ874">
        <v>74.759217986479655</v>
      </c>
      <c r="AR874">
        <v>10.087905965462202</v>
      </c>
      <c r="AS874">
        <v>67.92868411824189</v>
      </c>
      <c r="AT874">
        <v>8.1667633020423001</v>
      </c>
      <c r="AU874">
        <v>-5.2971464156302162E-2</v>
      </c>
      <c r="AV874"/>
      <c r="AW874"/>
      <c r="FY874" s="211">
        <v>869</v>
      </c>
      <c r="FZ874">
        <v>9.7296763715170247</v>
      </c>
      <c r="GA874">
        <v>7.666439413861001</v>
      </c>
      <c r="GB874">
        <v>4.2972722415975149</v>
      </c>
      <c r="GC874">
        <v>2.9384536284769802</v>
      </c>
      <c r="GD874">
        <v>2.8607765832121852</v>
      </c>
      <c r="GE874">
        <v>3.9612401984453789</v>
      </c>
      <c r="GF874">
        <v>1.1521981644180253</v>
      </c>
      <c r="GG874">
        <v>1.3774199248980978</v>
      </c>
      <c r="GH874">
        <v>5.746889083497023</v>
      </c>
      <c r="GI874">
        <v>5.2533487815475262</v>
      </c>
      <c r="GJ874"/>
      <c r="GK874">
        <v>9.7839577011554439</v>
      </c>
      <c r="GL874">
        <v>6.4971653541122008</v>
      </c>
      <c r="GM874">
        <v>7.1533472565609344</v>
      </c>
      <c r="GN874">
        <v>8.8038663425815269</v>
      </c>
      <c r="GO874">
        <v>11.092057789024702</v>
      </c>
      <c r="GP874">
        <v>7.5837988604532729</v>
      </c>
      <c r="GQ874">
        <v>1.4118986513687599</v>
      </c>
      <c r="GR874">
        <v>1.9385190217391302</v>
      </c>
      <c r="GS874">
        <v>6.1274920254564256</v>
      </c>
      <c r="GT874">
        <v>7.1137506847132528</v>
      </c>
      <c r="GU874"/>
      <c r="GV874"/>
      <c r="GW874"/>
      <c r="GX874"/>
      <c r="GY874"/>
      <c r="GZ874"/>
      <c r="HA874"/>
      <c r="HB874"/>
      <c r="HC874"/>
    </row>
    <row r="875" spans="1:211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54.543651599129461</v>
      </c>
      <c r="AO875">
        <v>6.5874133454096579</v>
      </c>
      <c r="AP875">
        <v>43.84159246390314</v>
      </c>
      <c r="AQ875">
        <v>49.417920577848456</v>
      </c>
      <c r="AR875">
        <v>6.8628308685745676</v>
      </c>
      <c r="AS875">
        <v>45.206718538896077</v>
      </c>
      <c r="AT875" t="e">
        <v>#DIV/0!</v>
      </c>
      <c r="AU875" t="e">
        <v>#DIV/0!</v>
      </c>
      <c r="AV875"/>
      <c r="AW875"/>
      <c r="FY875" s="211">
        <v>870</v>
      </c>
      <c r="FZ875">
        <v>15.835140437497252</v>
      </c>
      <c r="GA875">
        <v>18.469752788085081</v>
      </c>
      <c r="GB875">
        <v>9.023696007177163</v>
      </c>
      <c r="GC875">
        <v>3.312824101974805</v>
      </c>
      <c r="GD875">
        <v>1.3397706480493805</v>
      </c>
      <c r="GE875">
        <v>1.9938929689368767</v>
      </c>
      <c r="GF875">
        <v>1.8380543676705907</v>
      </c>
      <c r="GG875">
        <v>1.5999335916051376</v>
      </c>
      <c r="GH875">
        <v>2.9759849600248405</v>
      </c>
      <c r="GI875">
        <v>6.1335620154665644</v>
      </c>
      <c r="GJ875"/>
      <c r="GK875">
        <v>15.893043963714232</v>
      </c>
      <c r="GL875">
        <v>15.64777131998682</v>
      </c>
      <c r="GM875">
        <v>15.019437909972353</v>
      </c>
      <c r="GN875">
        <v>9.9744679237077474</v>
      </c>
      <c r="GO875">
        <v>5.1931898600384079</v>
      </c>
      <c r="GP875">
        <v>3.8173103543743072</v>
      </c>
      <c r="GQ875">
        <v>2.2500288824714643</v>
      </c>
      <c r="GR875">
        <v>2.2500288824714643</v>
      </c>
      <c r="GS875">
        <v>3.1729790961728903</v>
      </c>
      <c r="GT875">
        <v>8.3057359424738699</v>
      </c>
      <c r="GU875"/>
      <c r="GV875"/>
      <c r="GW875"/>
      <c r="GX875"/>
      <c r="GY875"/>
      <c r="GZ875"/>
      <c r="HA875"/>
      <c r="HB875"/>
      <c r="HC875"/>
    </row>
    <row r="876" spans="1:211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53.786827898910801</v>
      </c>
      <c r="AO876">
        <v>6.6567897326985328</v>
      </c>
      <c r="AP876">
        <v>3.201861102647134</v>
      </c>
      <c r="AQ876">
        <v>43.775815702574256</v>
      </c>
      <c r="AR876">
        <v>6.818917001780509</v>
      </c>
      <c r="AS876">
        <v>42.645080187676861</v>
      </c>
      <c r="AT876">
        <v>5.4777378701389239</v>
      </c>
      <c r="AU876">
        <v>2.9589368729622194</v>
      </c>
      <c r="AV876"/>
      <c r="AW876"/>
      <c r="FY876" s="211">
        <v>871</v>
      </c>
      <c r="FZ876">
        <v>14.777529194425712</v>
      </c>
      <c r="GA876">
        <v>12.765671395994442</v>
      </c>
      <c r="GB876">
        <v>5.8954059374521206</v>
      </c>
      <c r="GC876">
        <v>3.4346946082257439</v>
      </c>
      <c r="GD876">
        <v>1.7555900080859201</v>
      </c>
      <c r="GE876">
        <v>2.4562992792309948</v>
      </c>
      <c r="GF876">
        <v>0.64770273276041657</v>
      </c>
      <c r="GG876">
        <v>0.46773940755208332</v>
      </c>
      <c r="GH876">
        <v>2.5506785302777373</v>
      </c>
      <c r="GI876">
        <v>5.1683530518826952</v>
      </c>
      <c r="GJ876"/>
      <c r="GK876">
        <v>14.825607393995369</v>
      </c>
      <c r="GL876">
        <v>10.81805939122118</v>
      </c>
      <c r="GM876">
        <v>9.8444126704572135</v>
      </c>
      <c r="GN876">
        <v>10.365668401816395</v>
      </c>
      <c r="GO876">
        <v>6.8273957965519756</v>
      </c>
      <c r="GP876">
        <v>4.7025877607914204</v>
      </c>
      <c r="GQ876">
        <v>0.79369212962962943</v>
      </c>
      <c r="GR876">
        <v>0.65827546296296291</v>
      </c>
      <c r="GS876">
        <v>2.7195592255798302</v>
      </c>
      <c r="GT876">
        <v>7.0021334432428031</v>
      </c>
      <c r="GU876"/>
      <c r="GV876"/>
      <c r="GW876"/>
      <c r="GX876"/>
      <c r="GY876"/>
      <c r="GZ876"/>
      <c r="HA876"/>
      <c r="HB876"/>
      <c r="HC876"/>
    </row>
    <row r="877" spans="1:211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59.410159336990034</v>
      </c>
      <c r="AO877">
        <v>7.221914119133757</v>
      </c>
      <c r="AP877">
        <v>4.4081919733704096</v>
      </c>
      <c r="AQ877">
        <v>53.396501406872389</v>
      </c>
      <c r="AR877">
        <v>7.5083326836643476</v>
      </c>
      <c r="AS877">
        <v>51.052517098077878</v>
      </c>
      <c r="AT877">
        <v>6.0860674039960942</v>
      </c>
      <c r="AU877">
        <v>3.0318586509499967</v>
      </c>
      <c r="AV877"/>
      <c r="AW877"/>
      <c r="FY877" s="211">
        <v>872</v>
      </c>
      <c r="FZ877">
        <v>11.440105089270602</v>
      </c>
      <c r="GA877">
        <v>8.8910262492581982</v>
      </c>
      <c r="GB877">
        <v>5.9896379951279055</v>
      </c>
      <c r="GC877">
        <v>3.0236144918912449</v>
      </c>
      <c r="GD877">
        <v>0.74736351651844868</v>
      </c>
      <c r="GE877">
        <v>0.53213560732558129</v>
      </c>
      <c r="GF877">
        <v>1.7532871258461631</v>
      </c>
      <c r="GG877">
        <v>2.2740336776282999</v>
      </c>
      <c r="GH877">
        <v>5.9371730613546729</v>
      </c>
      <c r="GI877">
        <v>4.8529172269286427</v>
      </c>
      <c r="GJ877"/>
      <c r="GK877">
        <v>11.479789629854412</v>
      </c>
      <c r="GL877">
        <v>7.5324218074184062</v>
      </c>
      <c r="GM877">
        <v>9.9949670914693733</v>
      </c>
      <c r="GN877">
        <v>9.1333246086688824</v>
      </c>
      <c r="GO877">
        <v>2.9182102367572331</v>
      </c>
      <c r="GP877">
        <v>1.0187742248062015</v>
      </c>
      <c r="GQ877">
        <v>2.1438404742827033</v>
      </c>
      <c r="GR877">
        <v>3.1970812150234438</v>
      </c>
      <c r="GS877">
        <v>6.3332900800828256</v>
      </c>
      <c r="GT877">
        <v>6.5740195024893087</v>
      </c>
      <c r="GU877"/>
      <c r="GV877"/>
      <c r="GW877"/>
      <c r="GX877"/>
      <c r="GY877"/>
      <c r="GZ877"/>
      <c r="HA877"/>
      <c r="HB877"/>
      <c r="HC877"/>
    </row>
    <row r="878" spans="1:211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57.064506825580828</v>
      </c>
      <c r="AO878">
        <v>6.6663606485711542</v>
      </c>
      <c r="AP878">
        <v>63.604736474909679</v>
      </c>
      <c r="AQ878">
        <v>45.878851740681704</v>
      </c>
      <c r="AR878">
        <v>6.8926296734466961</v>
      </c>
      <c r="AS878">
        <v>42.846726951300518</v>
      </c>
      <c r="AT878" t="e">
        <v>#DIV/0!</v>
      </c>
      <c r="AU878" t="e">
        <v>#DIV/0!</v>
      </c>
      <c r="AV878"/>
      <c r="AW878"/>
      <c r="FY878" s="211">
        <v>873</v>
      </c>
      <c r="FZ878">
        <v>12.493454941792276</v>
      </c>
      <c r="GA878">
        <v>14.694589481617284</v>
      </c>
      <c r="GB878">
        <v>8.7628856954174363</v>
      </c>
      <c r="GC878">
        <v>3.5771872900139816</v>
      </c>
      <c r="GD878">
        <v>1.6436310237903398</v>
      </c>
      <c r="GE878">
        <v>2.2339984249452804</v>
      </c>
      <c r="GF878">
        <v>2.983295035411381</v>
      </c>
      <c r="GG878">
        <v>3.3450116602369966</v>
      </c>
      <c r="GH878">
        <v>4.1781676289049816</v>
      </c>
      <c r="GI878">
        <v>6.1425662628325091</v>
      </c>
      <c r="GJ878"/>
      <c r="GK878">
        <v>12.532204175924063</v>
      </c>
      <c r="GL878">
        <v>12.450008858515174</v>
      </c>
      <c r="GM878">
        <v>14.507829792222729</v>
      </c>
      <c r="GN878">
        <v>10.649978338858732</v>
      </c>
      <c r="GO878">
        <v>6.3823214124561298</v>
      </c>
      <c r="GP878">
        <v>4.2769925226961822</v>
      </c>
      <c r="GQ878">
        <v>3.651086851094298</v>
      </c>
      <c r="GR878">
        <v>4.7043275918350389</v>
      </c>
      <c r="GS878">
        <v>4.4541885297999455</v>
      </c>
      <c r="GT878">
        <v>8.3055261522994321</v>
      </c>
      <c r="GU878"/>
      <c r="GV878"/>
      <c r="GW878"/>
      <c r="GX878"/>
      <c r="GY878"/>
      <c r="GZ878"/>
      <c r="HA878"/>
      <c r="HB878"/>
      <c r="HC878"/>
    </row>
    <row r="879" spans="1:211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58.828090759971346</v>
      </c>
      <c r="AO879">
        <v>6.9559423597986818</v>
      </c>
      <c r="AP879">
        <v>2.780058356052181</v>
      </c>
      <c r="AQ879">
        <v>50.849446728397382</v>
      </c>
      <c r="AR879">
        <v>7.4583224458909321</v>
      </c>
      <c r="AS879">
        <v>45.973971136382715</v>
      </c>
      <c r="AT879">
        <v>6.0134406384693841</v>
      </c>
      <c r="AU879">
        <v>1.5285986293984113</v>
      </c>
      <c r="AV879"/>
      <c r="AW879"/>
      <c r="FY879" s="211">
        <v>874</v>
      </c>
      <c r="FZ879">
        <v>11.054498533403089</v>
      </c>
      <c r="GA879">
        <v>10.813263305092553</v>
      </c>
      <c r="GB879">
        <v>6.7562228199987526</v>
      </c>
      <c r="GC879">
        <v>2.752361399367576</v>
      </c>
      <c r="GD879">
        <v>1.4219152329936322</v>
      </c>
      <c r="GE879">
        <v>2.0714397785714285</v>
      </c>
      <c r="GF879">
        <v>1.3179609491055253</v>
      </c>
      <c r="GG879">
        <v>1.003228398856431</v>
      </c>
      <c r="GH879">
        <v>4.5664704529661551</v>
      </c>
      <c r="GI879">
        <v>5.0765000312204105</v>
      </c>
      <c r="GJ879"/>
      <c r="GK879">
        <v>11.112465495210969</v>
      </c>
      <c r="GL879">
        <v>9.1608953835478104</v>
      </c>
      <c r="GM879">
        <v>11.304305199616721</v>
      </c>
      <c r="GN879">
        <v>8.3777949187409764</v>
      </c>
      <c r="GO879">
        <v>5.5226651992837557</v>
      </c>
      <c r="GP879">
        <v>3.9657738095238093</v>
      </c>
      <c r="GQ879">
        <v>1.6150236513687599</v>
      </c>
      <c r="GR879">
        <v>1.4118986513687599</v>
      </c>
      <c r="GS879">
        <v>4.8682709179626285</v>
      </c>
      <c r="GT879">
        <v>6.8845460926885664</v>
      </c>
      <c r="GU879"/>
      <c r="GV879"/>
      <c r="GW879"/>
      <c r="GX879"/>
      <c r="GY879"/>
      <c r="GZ879"/>
      <c r="HA879"/>
      <c r="HB879"/>
      <c r="HC879"/>
    </row>
    <row r="880" spans="1:211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74.309547835068813</v>
      </c>
      <c r="AO880">
        <v>8.7008980462040935</v>
      </c>
      <c r="AP880">
        <v>4.6468905827131115</v>
      </c>
      <c r="AQ880">
        <v>68.191231137347586</v>
      </c>
      <c r="AR880">
        <v>8.9018242418721911</v>
      </c>
      <c r="AS880">
        <v>54.416553800039566</v>
      </c>
      <c r="AT880">
        <v>7.0766070646177255</v>
      </c>
      <c r="AU880">
        <v>-5.1373935265216542</v>
      </c>
      <c r="AV880"/>
      <c r="AW880"/>
      <c r="FY880" s="211">
        <v>875</v>
      </c>
      <c r="FZ880">
        <v>12.784848226744369</v>
      </c>
      <c r="GA880">
        <v>9.2756055271829698</v>
      </c>
      <c r="GB880">
        <v>5.3977239646754667</v>
      </c>
      <c r="GC880">
        <v>3.699600561704274</v>
      </c>
      <c r="GD880">
        <v>1.4109500115184488</v>
      </c>
      <c r="GE880">
        <v>1.4971234066112957</v>
      </c>
      <c r="GF880">
        <v>3.6482787486322397</v>
      </c>
      <c r="GG880">
        <v>3.5479251800203171</v>
      </c>
      <c r="GH880">
        <v>3.1590981644444445</v>
      </c>
      <c r="GI880">
        <v>5.1895195045116429</v>
      </c>
      <c r="GJ880"/>
      <c r="GK880">
        <v>12.841896140348588</v>
      </c>
      <c r="GL880">
        <v>7.8610694473585854</v>
      </c>
      <c r="GM880">
        <v>8.9809379111459862</v>
      </c>
      <c r="GN880">
        <v>11.09244251493919</v>
      </c>
      <c r="GO880">
        <v>5.4911269034238988</v>
      </c>
      <c r="GP880">
        <v>2.8662444629014399</v>
      </c>
      <c r="GQ880">
        <v>4.456695033959222</v>
      </c>
      <c r="GR880">
        <v>4.9833154043295922</v>
      </c>
      <c r="GS880">
        <v>3.3703703703703702</v>
      </c>
      <c r="GT880">
        <v>7.0282052718496129</v>
      </c>
      <c r="GU880"/>
      <c r="GV880"/>
      <c r="GW880"/>
      <c r="GX880"/>
      <c r="GY880"/>
      <c r="GZ880"/>
      <c r="HA880"/>
      <c r="HB880"/>
      <c r="HC880"/>
    </row>
    <row r="881" spans="1:211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51.139341653131844</v>
      </c>
      <c r="AO881">
        <v>6.2251467675612533</v>
      </c>
      <c r="AP881">
        <v>19.910589734637345</v>
      </c>
      <c r="AQ881">
        <v>45.381303741932072</v>
      </c>
      <c r="AR881">
        <v>6.5375035673624255</v>
      </c>
      <c r="AS881">
        <v>40.140351633430697</v>
      </c>
      <c r="AT881" t="e">
        <v>#DIV/0!</v>
      </c>
      <c r="AU881" t="e">
        <v>#DIV/0!</v>
      </c>
      <c r="AV881"/>
      <c r="AW881"/>
      <c r="FY881" s="211">
        <v>876</v>
      </c>
      <c r="FZ881">
        <v>14.172534008928107</v>
      </c>
      <c r="GA881">
        <v>11.963703005499598</v>
      </c>
      <c r="GB881">
        <v>5.3740732244812257</v>
      </c>
      <c r="GC881">
        <v>3.5507291061770383</v>
      </c>
      <c r="GD881">
        <v>2.1780080694684827</v>
      </c>
      <c r="GE881">
        <v>2.6399442238655464</v>
      </c>
      <c r="GF881">
        <v>3.7640617748814891</v>
      </c>
      <c r="GG881">
        <v>3.1321175994580104</v>
      </c>
      <c r="GH881">
        <v>3.9019311126104581</v>
      </c>
      <c r="GI881">
        <v>5.9673455097369326</v>
      </c>
      <c r="GJ881"/>
      <c r="GK881">
        <v>14.221497721146607</v>
      </c>
      <c r="GL881">
        <v>10.136745003942286</v>
      </c>
      <c r="GM881">
        <v>8.9038415241573183</v>
      </c>
      <c r="GN881">
        <v>10.602807782866364</v>
      </c>
      <c r="GO881">
        <v>8.4754656505341348</v>
      </c>
      <c r="GP881">
        <v>5.054176215940922</v>
      </c>
      <c r="GQ881">
        <v>4.6078350395000953</v>
      </c>
      <c r="GR881">
        <v>4.4047100395000953</v>
      </c>
      <c r="GS881">
        <v>4.1608501007391014</v>
      </c>
      <c r="GT881">
        <v>8.0738980072154529</v>
      </c>
      <c r="GU881"/>
      <c r="GV881"/>
      <c r="GW881"/>
      <c r="GX881"/>
      <c r="GY881"/>
      <c r="GZ881"/>
      <c r="HA881"/>
      <c r="HB881"/>
      <c r="HC881"/>
    </row>
    <row r="882" spans="1:211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58.844295091570771</v>
      </c>
      <c r="AO882">
        <v>6.6603260815232019</v>
      </c>
      <c r="AP882">
        <v>57.050586933777112</v>
      </c>
      <c r="AQ882">
        <v>49.423615023150958</v>
      </c>
      <c r="AR882">
        <v>6.9388222699968676</v>
      </c>
      <c r="AS882">
        <v>41.495602161742674</v>
      </c>
      <c r="AT882" t="e">
        <v>#DIV/0!</v>
      </c>
      <c r="AU882" t="e">
        <v>#DIV/0!</v>
      </c>
      <c r="AV882"/>
      <c r="AW882"/>
      <c r="FY882" s="211">
        <v>877</v>
      </c>
      <c r="FZ882">
        <v>19.925965274399445</v>
      </c>
      <c r="GA882">
        <v>17.757743388930503</v>
      </c>
      <c r="GB882">
        <v>5.0090353931313114</v>
      </c>
      <c r="GC882">
        <v>2.874820955904406</v>
      </c>
      <c r="GD882">
        <v>2.1157414887777994</v>
      </c>
      <c r="GE882">
        <v>3.120797275239398</v>
      </c>
      <c r="GF882">
        <v>1.7532871258461631</v>
      </c>
      <c r="GG882">
        <v>1.8998421515866333</v>
      </c>
      <c r="GH882">
        <v>3.9066714541562382</v>
      </c>
      <c r="GI882">
        <v>6.3326332764717144</v>
      </c>
      <c r="GJ882"/>
      <c r="GK882">
        <v>19.979627575800418</v>
      </c>
      <c r="GL882">
        <v>15.046936614571614</v>
      </c>
      <c r="GM882">
        <v>8.3758718474084883</v>
      </c>
      <c r="GN882">
        <v>8.6789951000957473</v>
      </c>
      <c r="GO882">
        <v>8.2033413576847227</v>
      </c>
      <c r="GP882">
        <v>5.9747699291132941</v>
      </c>
      <c r="GQ882">
        <v>2.1438404742827033</v>
      </c>
      <c r="GR882">
        <v>2.6704608446530735</v>
      </c>
      <c r="GS882">
        <v>4.1651510194476735</v>
      </c>
      <c r="GT882">
        <v>8.5735664549248014</v>
      </c>
      <c r="GU882"/>
      <c r="GV882"/>
      <c r="GW882"/>
      <c r="GX882"/>
      <c r="GY882"/>
      <c r="GZ882"/>
      <c r="HA882"/>
      <c r="HB882"/>
      <c r="HC882"/>
    </row>
    <row r="883" spans="1:211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61.463570020137368</v>
      </c>
      <c r="AO883">
        <v>7.1006203940745154</v>
      </c>
      <c r="AP883">
        <v>9.4840032242356997</v>
      </c>
      <c r="AQ883">
        <v>54.742166630403105</v>
      </c>
      <c r="AR883">
        <v>7.5348396880219548</v>
      </c>
      <c r="AS883">
        <v>46.522878966201091</v>
      </c>
      <c r="AT883" t="e">
        <v>#DIV/0!</v>
      </c>
      <c r="AU883" t="e">
        <v>#DIV/0!</v>
      </c>
      <c r="AV883"/>
      <c r="AW883"/>
      <c r="FY883" s="211">
        <v>878</v>
      </c>
      <c r="FZ883">
        <v>14.931012089486973</v>
      </c>
      <c r="GA883">
        <v>12.545281223614726</v>
      </c>
      <c r="GB883">
        <v>4.9947065349336377</v>
      </c>
      <c r="GC883">
        <v>2.711447240278249</v>
      </c>
      <c r="GD883">
        <v>1.5532012416059855</v>
      </c>
      <c r="GE883">
        <v>2.366117655182725</v>
      </c>
      <c r="GF883">
        <v>2.3526930937213151</v>
      </c>
      <c r="GG883">
        <v>2.7483064674882898</v>
      </c>
      <c r="GH883">
        <v>6.174539514531074</v>
      </c>
      <c r="GI883">
        <v>5.7313347441251006</v>
      </c>
      <c r="GJ883"/>
      <c r="GK883">
        <v>14.995172405176341</v>
      </c>
      <c r="GL883">
        <v>10.630847998020638</v>
      </c>
      <c r="GM883">
        <v>8.3148986835967094</v>
      </c>
      <c r="GN883">
        <v>8.1461462304089469</v>
      </c>
      <c r="GO883">
        <v>6.0324431236388607</v>
      </c>
      <c r="GP883">
        <v>4.529934939091917</v>
      </c>
      <c r="GQ883">
        <v>2.8806649533249269</v>
      </c>
      <c r="GR883">
        <v>3.8661973607323343</v>
      </c>
      <c r="GS883">
        <v>6.5855854239911178</v>
      </c>
      <c r="GT883">
        <v>7.7617529179455911</v>
      </c>
      <c r="GU883"/>
      <c r="GV883"/>
      <c r="GW883"/>
      <c r="GX883"/>
      <c r="GY883"/>
      <c r="GZ883"/>
      <c r="HA883"/>
      <c r="HB883"/>
      <c r="HC883"/>
    </row>
    <row r="884" spans="1:211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48.558793322640767</v>
      </c>
      <c r="AO884">
        <v>5.4646905144656746</v>
      </c>
      <c r="AP884">
        <v>53.697879593168814</v>
      </c>
      <c r="AQ884">
        <v>45.195323461438178</v>
      </c>
      <c r="AR884">
        <v>5.8942218141458511</v>
      </c>
      <c r="AS884">
        <v>37.783107087626007</v>
      </c>
      <c r="AT884" t="e">
        <v>#DIV/0!</v>
      </c>
      <c r="AU884" t="e">
        <v>#DIV/0!</v>
      </c>
      <c r="AV884"/>
      <c r="AW884"/>
      <c r="FY884" s="211">
        <v>879</v>
      </c>
      <c r="FZ884">
        <v>12.991588833735442</v>
      </c>
      <c r="GA884">
        <v>16.134363543798134</v>
      </c>
      <c r="GB884">
        <v>7.9192548810684231</v>
      </c>
      <c r="GC884">
        <v>2.6447998162369371</v>
      </c>
      <c r="GD884">
        <v>1.0136547683720931</v>
      </c>
      <c r="GE884">
        <v>1.4718619458970104</v>
      </c>
      <c r="GF884">
        <v>1.333558936012982</v>
      </c>
      <c r="GG884">
        <v>1.8128276523841229</v>
      </c>
      <c r="GH884">
        <v>6.5072540048944276</v>
      </c>
      <c r="GI884">
        <v>5.716279632702566</v>
      </c>
      <c r="GJ884"/>
      <c r="GK884">
        <v>13.032853403754485</v>
      </c>
      <c r="GL884">
        <v>13.668316046520697</v>
      </c>
      <c r="GM884">
        <v>13.116565582713175</v>
      </c>
      <c r="GN884">
        <v>7.8757756145939934</v>
      </c>
      <c r="GO884">
        <v>3.9302325581395352</v>
      </c>
      <c r="GP884">
        <v>2.817881367663345</v>
      </c>
      <c r="GQ884">
        <v>1.6318223607323339</v>
      </c>
      <c r="GR884">
        <v>2.5496464348064078</v>
      </c>
      <c r="GS884">
        <v>6.9388489874704931</v>
      </c>
      <c r="GT884">
        <v>7.7300645785620041</v>
      </c>
      <c r="GU884"/>
      <c r="GV884"/>
      <c r="GW884"/>
      <c r="GX884"/>
      <c r="GY884"/>
      <c r="GZ884"/>
      <c r="HA884"/>
      <c r="HB884"/>
      <c r="HC884"/>
    </row>
    <row r="885" spans="1:211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54.252356411090489</v>
      </c>
      <c r="AO885">
        <v>6.7505853687165658</v>
      </c>
      <c r="AP885">
        <v>18.953687543926975</v>
      </c>
      <c r="AQ885">
        <v>44.983714391470755</v>
      </c>
      <c r="AR885">
        <v>7.1137506847132537</v>
      </c>
      <c r="AS885">
        <v>46.369326531568547</v>
      </c>
      <c r="AT885" t="e">
        <v>#DIV/0!</v>
      </c>
      <c r="AU885" t="e">
        <v>#DIV/0!</v>
      </c>
      <c r="AV885"/>
      <c r="AW885"/>
      <c r="FY885" s="211">
        <v>880</v>
      </c>
      <c r="FZ885">
        <v>15.628476355520508</v>
      </c>
      <c r="GA885">
        <v>15.080896400929401</v>
      </c>
      <c r="GB885">
        <v>5.7126900880653588</v>
      </c>
      <c r="GC885">
        <v>2.9173695353325222</v>
      </c>
      <c r="GD885">
        <v>1.8316568424908328</v>
      </c>
      <c r="GE885">
        <v>2.4984800438655466</v>
      </c>
      <c r="GF885">
        <v>2.4787996037537718</v>
      </c>
      <c r="GG885">
        <v>2.0611396168493146</v>
      </c>
      <c r="GH885">
        <v>3.5521413300514006</v>
      </c>
      <c r="GI885">
        <v>5.7783620482955982</v>
      </c>
      <c r="GJ885"/>
      <c r="GK885">
        <v>15.685932291844102</v>
      </c>
      <c r="GL885">
        <v>12.778519714889436</v>
      </c>
      <c r="GM885">
        <v>9.5034708170446773</v>
      </c>
      <c r="GN885">
        <v>8.7499155479197572</v>
      </c>
      <c r="GO885">
        <v>7.1011189449634493</v>
      </c>
      <c r="GP885">
        <v>4.783342882607589</v>
      </c>
      <c r="GQ885">
        <v>3.0328803293551672</v>
      </c>
      <c r="GR885">
        <v>2.8974636626885006</v>
      </c>
      <c r="GS885">
        <v>3.7887536772416279</v>
      </c>
      <c r="GT885">
        <v>7.8224312120898043</v>
      </c>
      <c r="GU885"/>
      <c r="GV885"/>
      <c r="GW885"/>
      <c r="GX885"/>
      <c r="GY885"/>
      <c r="GZ885"/>
      <c r="HA885"/>
      <c r="HB885"/>
      <c r="HC885"/>
    </row>
    <row r="886" spans="1:211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69.91406206447644</v>
      </c>
      <c r="AO886">
        <v>8.1523994135383582</v>
      </c>
      <c r="AP886">
        <v>67.585250451122732</v>
      </c>
      <c r="AQ886">
        <v>62.522611886487695</v>
      </c>
      <c r="AR886">
        <v>8.3057359424738699</v>
      </c>
      <c r="AS886">
        <v>51.063947332879088</v>
      </c>
      <c r="AT886" t="e">
        <v>#DIV/0!</v>
      </c>
      <c r="AU886" t="e">
        <v>#DIV/0!</v>
      </c>
      <c r="AV886"/>
      <c r="AW886"/>
      <c r="FY886" s="211">
        <v>881</v>
      </c>
      <c r="FZ886">
        <v>10.017620988895702</v>
      </c>
      <c r="GA886">
        <v>6.3781792757406954</v>
      </c>
      <c r="GB886">
        <v>6.5157220539632874</v>
      </c>
      <c r="GC886">
        <v>4.2359925734773283</v>
      </c>
      <c r="GD886">
        <v>1.4696892907656491</v>
      </c>
      <c r="GE886">
        <v>1.6311307276196991</v>
      </c>
      <c r="GF886">
        <v>1.2557491908657898</v>
      </c>
      <c r="GG886">
        <v>2.1192695946735247</v>
      </c>
      <c r="GH886">
        <v>5.4697085955109115</v>
      </c>
      <c r="GI886">
        <v>5.0227841635993169</v>
      </c>
      <c r="GJ886"/>
      <c r="GK886">
        <v>10.061609737730336</v>
      </c>
      <c r="GL886">
        <v>5.4038486315342364</v>
      </c>
      <c r="GM886">
        <v>10.905425692939641</v>
      </c>
      <c r="GN886">
        <v>12.791053558619229</v>
      </c>
      <c r="GO886">
        <v>5.7086431491035912</v>
      </c>
      <c r="GP886">
        <v>3.122801631223314</v>
      </c>
      <c r="GQ886">
        <v>1.5364746352894998</v>
      </c>
      <c r="GR886">
        <v>2.980919079733944</v>
      </c>
      <c r="GS886">
        <v>5.8317744328638321</v>
      </c>
      <c r="GT886">
        <v>6.8087855295853803</v>
      </c>
      <c r="GU886"/>
      <c r="GV886"/>
      <c r="GW886"/>
      <c r="GX886"/>
      <c r="GY886"/>
      <c r="GZ886"/>
      <c r="HA886"/>
      <c r="HB886"/>
      <c r="HC886"/>
    </row>
    <row r="887" spans="1:211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53.267685451011133</v>
      </c>
      <c r="AO887">
        <v>6.8557391676248773</v>
      </c>
      <c r="AP887">
        <v>36.701129486376367</v>
      </c>
      <c r="AQ887">
        <v>49.919664145887864</v>
      </c>
      <c r="AR887">
        <v>7.0021334432428057</v>
      </c>
      <c r="AS887">
        <v>43.375956163354978</v>
      </c>
      <c r="AT887" t="e">
        <v>#DIV/0!</v>
      </c>
      <c r="AU887" t="e">
        <v>#DIV/0!</v>
      </c>
      <c r="AV887"/>
      <c r="AW887"/>
      <c r="FY887" s="211">
        <v>882</v>
      </c>
      <c r="FZ887">
        <v>7.5561830740776355</v>
      </c>
      <c r="GA887">
        <v>5.7736631579283939</v>
      </c>
      <c r="GB887">
        <v>6.8778136599712374</v>
      </c>
      <c r="GC887">
        <v>3.4771635137125814</v>
      </c>
      <c r="GD887">
        <v>1.125741872298953</v>
      </c>
      <c r="GE887">
        <v>0.89425570928571452</v>
      </c>
      <c r="GF887">
        <v>0.66330071966787318</v>
      </c>
      <c r="GG887">
        <v>1.277338661079775</v>
      </c>
      <c r="GH887">
        <v>5.7947432924286435</v>
      </c>
      <c r="GI887">
        <v>4.4920126556334479</v>
      </c>
      <c r="GJ887"/>
      <c r="GK887">
        <v>7.6011139511091734</v>
      </c>
      <c r="GL887">
        <v>4.8905127396386066</v>
      </c>
      <c r="GM887">
        <v>11.46836404366989</v>
      </c>
      <c r="GN887">
        <v>10.48844135452865</v>
      </c>
      <c r="GO887">
        <v>4.3845483838307002</v>
      </c>
      <c r="GP887">
        <v>1.7120535714285716</v>
      </c>
      <c r="GQ887">
        <v>0.81049083899320351</v>
      </c>
      <c r="GR887">
        <v>1.796023246400611</v>
      </c>
      <c r="GS887">
        <v>6.1796329814617428</v>
      </c>
      <c r="GT887">
        <v>6.0888300398129429</v>
      </c>
      <c r="GU887"/>
      <c r="GV887"/>
      <c r="GW887"/>
      <c r="GX887"/>
      <c r="GY887"/>
      <c r="GZ887"/>
      <c r="HA887"/>
      <c r="HB887"/>
      <c r="HC887"/>
    </row>
    <row r="888" spans="1:211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50.562883560442749</v>
      </c>
      <c r="AO888">
        <v>6.0325718870852789</v>
      </c>
      <c r="AP888">
        <v>29.810795107710899</v>
      </c>
      <c r="AQ888">
        <v>45.44129404114976</v>
      </c>
      <c r="AR888">
        <v>6.5740195024893087</v>
      </c>
      <c r="AS888">
        <v>39.516430171100836</v>
      </c>
      <c r="AT888" t="e">
        <v>#DIV/0!</v>
      </c>
      <c r="AU888" t="e">
        <v>#DIV/0!</v>
      </c>
      <c r="AV888"/>
      <c r="AW888"/>
      <c r="FY888" s="211">
        <v>883</v>
      </c>
      <c r="FZ888">
        <v>16.423413689842636</v>
      </c>
      <c r="GA888">
        <v>13.955742778351913</v>
      </c>
      <c r="GB888">
        <v>5.716135295755814</v>
      </c>
      <c r="GC888">
        <v>3.4354273080419384</v>
      </c>
      <c r="GD888">
        <v>1.4075602103479756</v>
      </c>
      <c r="GE888">
        <v>2.1246104252941178</v>
      </c>
      <c r="GF888">
        <v>1.3888131975754821</v>
      </c>
      <c r="GG888">
        <v>1.8128276523841229</v>
      </c>
      <c r="GH888">
        <v>4.0006529302493457</v>
      </c>
      <c r="GI888">
        <v>5.5247895838619634</v>
      </c>
      <c r="GJ888"/>
      <c r="GK888">
        <v>16.473317029121016</v>
      </c>
      <c r="GL888">
        <v>11.826400444887916</v>
      </c>
      <c r="GM888">
        <v>9.4669387512507885</v>
      </c>
      <c r="GN888">
        <v>10.223638066167867</v>
      </c>
      <c r="GO888">
        <v>5.4567737068682103</v>
      </c>
      <c r="GP888">
        <v>4.0675690730837788</v>
      </c>
      <c r="GQ888">
        <v>1.6995306940656674</v>
      </c>
      <c r="GR888">
        <v>2.5496464348064078</v>
      </c>
      <c r="GS888">
        <v>4.266174174813175</v>
      </c>
      <c r="GT888">
        <v>7.4725468712237717</v>
      </c>
      <c r="GU888"/>
      <c r="GV888"/>
      <c r="GW888"/>
      <c r="GX888"/>
      <c r="GY888"/>
      <c r="GZ888"/>
      <c r="HA888"/>
      <c r="HB888"/>
      <c r="HC888"/>
    </row>
    <row r="889" spans="1:211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74.078567389407567</v>
      </c>
      <c r="AO889">
        <v>8.1914464225701717</v>
      </c>
      <c r="AP889">
        <v>46.462073799865784</v>
      </c>
      <c r="AQ889">
        <v>60.054787444962471</v>
      </c>
      <c r="AR889">
        <v>8.3055261522994339</v>
      </c>
      <c r="AS889">
        <v>52.302074952300991</v>
      </c>
      <c r="AT889" t="e">
        <v>#DIV/0!</v>
      </c>
      <c r="AU889" t="e">
        <v>#DIV/0!</v>
      </c>
      <c r="AV889"/>
      <c r="AW889"/>
      <c r="FY889" s="211">
        <v>884</v>
      </c>
      <c r="FZ889">
        <v>10.217951235446794</v>
      </c>
      <c r="GA889">
        <v>11.880995435051895</v>
      </c>
      <c r="GB889">
        <v>6.3735187221111484</v>
      </c>
      <c r="GC889">
        <v>2.7650917212726869</v>
      </c>
      <c r="GD889">
        <v>2.570269505993942</v>
      </c>
      <c r="GE889">
        <v>3.7937549232079344</v>
      </c>
      <c r="GF889">
        <v>1.2627066875430251</v>
      </c>
      <c r="GG889">
        <v>1.3774199248980978</v>
      </c>
      <c r="GH889">
        <v>3.7016338329062384</v>
      </c>
      <c r="GI889">
        <v>5.3661281210472529</v>
      </c>
      <c r="GJ889"/>
      <c r="GK889">
        <v>10.25552766930802</v>
      </c>
      <c r="GL889">
        <v>10.065654887094217</v>
      </c>
      <c r="GM889">
        <v>10.596280825322818</v>
      </c>
      <c r="GN889">
        <v>8.2946775842288183</v>
      </c>
      <c r="GO889">
        <v>9.9656778726289676</v>
      </c>
      <c r="GP889">
        <v>7.2631481107242042</v>
      </c>
      <c r="GQ889">
        <v>1.5473153180354264</v>
      </c>
      <c r="GR889">
        <v>1.9385190217391302</v>
      </c>
      <c r="GS889">
        <v>3.9464010194476731</v>
      </c>
      <c r="GT889">
        <v>7.2622405409485804</v>
      </c>
      <c r="GU889"/>
      <c r="GV889"/>
      <c r="GW889"/>
      <c r="GX889"/>
      <c r="GY889"/>
      <c r="GZ889"/>
      <c r="HA889"/>
      <c r="HB889"/>
      <c r="HC889"/>
    </row>
    <row r="890" spans="1:211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50.829104213597766</v>
      </c>
      <c r="AO890">
        <v>6.4223639319312751</v>
      </c>
      <c r="AP890">
        <v>62.081023190593093</v>
      </c>
      <c r="AQ890">
        <v>46.833860901575555</v>
      </c>
      <c r="AR890">
        <v>6.8845460926885682</v>
      </c>
      <c r="AS890">
        <v>39.597424524521251</v>
      </c>
      <c r="AT890" t="e">
        <v>#DIV/0!</v>
      </c>
      <c r="AU890" t="e">
        <v>#DIV/0!</v>
      </c>
      <c r="AV890"/>
      <c r="AW890"/>
      <c r="FY890" s="211">
        <v>885</v>
      </c>
      <c r="FZ890">
        <v>18.07198921461233</v>
      </c>
      <c r="GA890">
        <v>13.999374019813546</v>
      </c>
      <c r="GB890">
        <v>5.6070446301858201</v>
      </c>
      <c r="GC890">
        <v>3.5457086345465116</v>
      </c>
      <c r="GD890">
        <v>1.8863639785403397</v>
      </c>
      <c r="GE890">
        <v>2.3754626049452812</v>
      </c>
      <c r="GF890">
        <v>1.8380543676705907</v>
      </c>
      <c r="GG890">
        <v>1.5999335916051376</v>
      </c>
      <c r="GH890">
        <v>5.6021801374906248</v>
      </c>
      <c r="GI890">
        <v>6.3615059344133194</v>
      </c>
      <c r="GJ890"/>
      <c r="GK890">
        <v>18.12715548713409</v>
      </c>
      <c r="GL890">
        <v>11.86238831698806</v>
      </c>
      <c r="GM890">
        <v>9.4423912768148739</v>
      </c>
      <c r="GN890">
        <v>10.801316177644878</v>
      </c>
      <c r="GO890">
        <v>7.3234672457894634</v>
      </c>
      <c r="GP890">
        <v>4.5478258560295162</v>
      </c>
      <c r="GQ890">
        <v>2.2500288824714643</v>
      </c>
      <c r="GR890">
        <v>2.2500288824714643</v>
      </c>
      <c r="GS890">
        <v>5.973861768848308</v>
      </c>
      <c r="GT890">
        <v>8.6233809322116404</v>
      </c>
      <c r="GU890"/>
      <c r="GV890"/>
      <c r="GW890"/>
      <c r="GX890"/>
      <c r="GY890"/>
      <c r="GZ890"/>
      <c r="HA890"/>
      <c r="HB890"/>
      <c r="HC890"/>
    </row>
    <row r="891" spans="1:211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57.90123805320367</v>
      </c>
      <c r="AO891">
        <v>6.8972303460626492</v>
      </c>
      <c r="AP891">
        <v>57.044595560043085</v>
      </c>
      <c r="AQ891">
        <v>49.610673296045462</v>
      </c>
      <c r="AR891">
        <v>7.0282052718496146</v>
      </c>
      <c r="AS891">
        <v>43.144469022262193</v>
      </c>
      <c r="AT891" t="e">
        <v>#DIV/0!</v>
      </c>
      <c r="AU891" t="e">
        <v>#DIV/0!</v>
      </c>
      <c r="AV891"/>
      <c r="AW891"/>
      <c r="FY891" s="211">
        <v>886</v>
      </c>
      <c r="FZ891">
        <v>11.968815223534243</v>
      </c>
      <c r="GA891">
        <v>12.263929560715717</v>
      </c>
      <c r="GB891">
        <v>5.6400593044088367</v>
      </c>
      <c r="GC891">
        <v>3.0232079516154502</v>
      </c>
      <c r="GD891">
        <v>2.6665356246367296</v>
      </c>
      <c r="GE891">
        <v>3.8820484564852453</v>
      </c>
      <c r="GF891">
        <v>2.414904851961051</v>
      </c>
      <c r="GG891">
        <v>2.3806483237545284</v>
      </c>
      <c r="GH891">
        <v>6.8637370170367777</v>
      </c>
      <c r="GI891">
        <v>6.2149689268154074</v>
      </c>
      <c r="GJ891"/>
      <c r="GK891">
        <v>12.006451116056857</v>
      </c>
      <c r="GL891">
        <v>10.390361695622556</v>
      </c>
      <c r="GM891">
        <v>9.4173685551845576</v>
      </c>
      <c r="GN891">
        <v>9.1571947707349679</v>
      </c>
      <c r="GO891">
        <v>10.379117004850729</v>
      </c>
      <c r="GP891">
        <v>7.4321861804975686</v>
      </c>
      <c r="GQ891">
        <v>2.9592139694041868</v>
      </c>
      <c r="GR891">
        <v>3.3504176731078901</v>
      </c>
      <c r="GS891">
        <v>7.3163842661774261</v>
      </c>
      <c r="GT891">
        <v>8.4157069823347506</v>
      </c>
      <c r="GU891"/>
      <c r="GV891"/>
      <c r="GW891"/>
      <c r="GX891"/>
      <c r="GY891"/>
      <c r="GZ891"/>
      <c r="HA891"/>
      <c r="HB891"/>
      <c r="HC891"/>
    </row>
    <row r="892" spans="1:211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65.782439143346593</v>
      </c>
      <c r="AO892">
        <v>7.8641827085542362</v>
      </c>
      <c r="AP892">
        <v>52.012176915862554</v>
      </c>
      <c r="AQ892">
        <v>56.644447635106893</v>
      </c>
      <c r="AR892">
        <v>8.0738980072154529</v>
      </c>
      <c r="AS892">
        <v>53.881759443966097</v>
      </c>
      <c r="AT892" t="e">
        <v>#DIV/0!</v>
      </c>
      <c r="AU892" t="e">
        <v>#DIV/0!</v>
      </c>
      <c r="AV892"/>
      <c r="AW892"/>
      <c r="FY892" s="211">
        <v>887</v>
      </c>
      <c r="FZ892">
        <v>21.461507554354803</v>
      </c>
      <c r="GA892">
        <v>18.445468683227507</v>
      </c>
      <c r="GB892">
        <v>3.7965134936951661</v>
      </c>
      <c r="GC892">
        <v>2.955822939606791</v>
      </c>
      <c r="GD892">
        <v>2.3949645696603628</v>
      </c>
      <c r="GE892">
        <v>3.173082624159663</v>
      </c>
      <c r="GF892">
        <v>0.7185549812303732</v>
      </c>
      <c r="GG892">
        <v>0.52895560899644167</v>
      </c>
      <c r="GH892">
        <v>5.1911504304130354</v>
      </c>
      <c r="GI892">
        <v>6.4344013689175616</v>
      </c>
      <c r="GJ892"/>
      <c r="GK892">
        <v>21.517574004371848</v>
      </c>
      <c r="GL892">
        <v>15.630481852792894</v>
      </c>
      <c r="GM892">
        <v>6.2863358395415521</v>
      </c>
      <c r="GN892">
        <v>8.8074547766497151</v>
      </c>
      <c r="GO892">
        <v>9.2962028783335491</v>
      </c>
      <c r="GP892">
        <v>6.0748702890246999</v>
      </c>
      <c r="GQ892">
        <v>0.87819917232653688</v>
      </c>
      <c r="GR892">
        <v>0.74278250565987025</v>
      </c>
      <c r="GS892">
        <v>5.532555089158488</v>
      </c>
      <c r="GT892">
        <v>8.7021733967463941</v>
      </c>
      <c r="GU892"/>
      <c r="GV892"/>
      <c r="GW892"/>
      <c r="GX892"/>
      <c r="GY892"/>
      <c r="GZ892"/>
      <c r="HA892"/>
      <c r="HB892"/>
      <c r="HC892"/>
    </row>
    <row r="893" spans="1:211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68.730218382621914</v>
      </c>
      <c r="AO893">
        <v>8.3812561217982537</v>
      </c>
      <c r="AP893">
        <v>29.05857956210761</v>
      </c>
      <c r="AQ893">
        <v>64.69653778444362</v>
      </c>
      <c r="AR893">
        <v>8.5735664549248032</v>
      </c>
      <c r="AS893">
        <v>54.787952644996217</v>
      </c>
      <c r="AT893" t="e">
        <v>#DIV/0!</v>
      </c>
      <c r="AU893" t="e">
        <v>#DIV/0!</v>
      </c>
      <c r="AV893"/>
      <c r="AW893"/>
      <c r="FY893" s="211">
        <v>888</v>
      </c>
      <c r="FZ893">
        <v>13.334769539037124</v>
      </c>
      <c r="GA893">
        <v>10.884123607384435</v>
      </c>
      <c r="GB893">
        <v>5.8971113550872669</v>
      </c>
      <c r="GC893">
        <v>2.742056872112117</v>
      </c>
      <c r="GD893">
        <v>1.3793161337247251</v>
      </c>
      <c r="GE893">
        <v>2.2509177288655469</v>
      </c>
      <c r="GF893">
        <v>2.5566093489009645</v>
      </c>
      <c r="GG893">
        <v>2.5030807266432462</v>
      </c>
      <c r="GH893">
        <v>4.7851761174584073</v>
      </c>
      <c r="GI893">
        <v>5.4334579925319693</v>
      </c>
      <c r="GJ893"/>
      <c r="GK893">
        <v>13.386730961730889</v>
      </c>
      <c r="GL893">
        <v>9.22169850945596</v>
      </c>
      <c r="GM893">
        <v>9.8025526986400084</v>
      </c>
      <c r="GN893">
        <v>8.2250024984103369</v>
      </c>
      <c r="GO893">
        <v>5.3574961771294412</v>
      </c>
      <c r="GP893">
        <v>4.309384549274256</v>
      </c>
      <c r="GQ893">
        <v>3.1282280547980017</v>
      </c>
      <c r="GR893">
        <v>3.5194317585017054</v>
      </c>
      <c r="GS893">
        <v>5.0991486232734253</v>
      </c>
      <c r="GT893">
        <v>7.3548313031143522</v>
      </c>
      <c r="GU893"/>
      <c r="GV893"/>
      <c r="GW893"/>
      <c r="GX893"/>
      <c r="GY893"/>
      <c r="GZ893"/>
      <c r="HA893"/>
      <c r="HB893"/>
      <c r="HC893"/>
    </row>
    <row r="894" spans="1:211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57.85053541478171</v>
      </c>
      <c r="AO894">
        <v>7.3743644035927378</v>
      </c>
      <c r="AP894">
        <v>4.6930178589226008</v>
      </c>
      <c r="AQ894">
        <v>56.108639804968071</v>
      </c>
      <c r="AR894">
        <v>7.7617529179455946</v>
      </c>
      <c r="AS894">
        <v>49.042701736481931</v>
      </c>
      <c r="AT894">
        <v>6.2674747268352791</v>
      </c>
      <c r="AU894">
        <v>-0.47067103973497559</v>
      </c>
      <c r="AV894"/>
      <c r="AW894"/>
      <c r="FY894" s="211">
        <v>889</v>
      </c>
      <c r="FZ894">
        <v>12.973458754104275</v>
      </c>
      <c r="GA894">
        <v>12.960195132851927</v>
      </c>
      <c r="GB894">
        <v>6.6964390546845225</v>
      </c>
      <c r="GC894">
        <v>3.1551444967166504</v>
      </c>
      <c r="GD894">
        <v>1.659775473296726</v>
      </c>
      <c r="GE894">
        <v>2.5516506905882355</v>
      </c>
      <c r="GF894">
        <v>0.53719420963541664</v>
      </c>
      <c r="GG894">
        <v>0.84193093359375004</v>
      </c>
      <c r="GH894">
        <v>7.3918996624696574</v>
      </c>
      <c r="GI894">
        <v>5.7854030699046604</v>
      </c>
      <c r="GJ894"/>
      <c r="GK894">
        <v>13.017074265485766</v>
      </c>
      <c r="GL894">
        <v>10.983533712433161</v>
      </c>
      <c r="GM894">
        <v>11.172083330299277</v>
      </c>
      <c r="GN894">
        <v>9.5236270609092095</v>
      </c>
      <c r="GO894">
        <v>6.4434298749249379</v>
      </c>
      <c r="GP894">
        <v>4.8851381461675585</v>
      </c>
      <c r="GQ894">
        <v>0.65827546296296291</v>
      </c>
      <c r="GR894">
        <v>1.1848958333333333</v>
      </c>
      <c r="GS894">
        <v>7.8815710451638061</v>
      </c>
      <c r="GT894">
        <v>7.8344867957673499</v>
      </c>
      <c r="GU894"/>
      <c r="GV894"/>
      <c r="GW894"/>
      <c r="GX894"/>
      <c r="GY894"/>
      <c r="GZ894"/>
      <c r="HA894"/>
      <c r="HB894"/>
      <c r="HC894"/>
    </row>
    <row r="895" spans="1:211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64.825601708367088</v>
      </c>
      <c r="AO895">
        <v>7.3292006934956477</v>
      </c>
      <c r="AP895">
        <v>3.9442521302678686</v>
      </c>
      <c r="AQ895">
        <v>57.545444015102142</v>
      </c>
      <c r="AR895">
        <v>7.7300645785620041</v>
      </c>
      <c r="AS895">
        <v>48.332652055045266</v>
      </c>
      <c r="AT895">
        <v>6.2270084396924119</v>
      </c>
      <c r="AU895">
        <v>2.4339428788895834</v>
      </c>
      <c r="AV895"/>
      <c r="AW895"/>
      <c r="FY895" s="211">
        <v>890</v>
      </c>
      <c r="FZ895">
        <v>12.91278724343589</v>
      </c>
      <c r="GA895">
        <v>12.586165191467394</v>
      </c>
      <c r="GB895">
        <v>4.8793428532977803</v>
      </c>
      <c r="GC895">
        <v>2.9799484819012401</v>
      </c>
      <c r="GD895">
        <v>2.5422672857368753</v>
      </c>
      <c r="GE895">
        <v>3.7759503214852455</v>
      </c>
      <c r="GF895">
        <v>0.61500395478260861</v>
      </c>
      <c r="GG895">
        <v>0.90968051734601452</v>
      </c>
      <c r="GH895">
        <v>4.8868276401959934</v>
      </c>
      <c r="GI895">
        <v>5.4552321264156189</v>
      </c>
      <c r="GJ895"/>
      <c r="GK895">
        <v>12.943742177990668</v>
      </c>
      <c r="GL895">
        <v>10.663712582288744</v>
      </c>
      <c r="GM895">
        <v>8.1611114374981444</v>
      </c>
      <c r="GN895">
        <v>8.9937336503852823</v>
      </c>
      <c r="GO895">
        <v>9.85636105237724</v>
      </c>
      <c r="GP895">
        <v>7.2290611804975695</v>
      </c>
      <c r="GQ895">
        <v>0.75362318840579701</v>
      </c>
      <c r="GR895">
        <v>1.2802435587761674</v>
      </c>
      <c r="GS895">
        <v>5.2082099268353419</v>
      </c>
      <c r="GT895">
        <v>7.3846095566214398</v>
      </c>
      <c r="GU895"/>
      <c r="GV895"/>
      <c r="GW895"/>
      <c r="GX895"/>
      <c r="GY895"/>
      <c r="GZ895"/>
      <c r="HA895"/>
      <c r="HB895"/>
      <c r="HC895"/>
    </row>
    <row r="896" spans="1:211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62.346105099875231</v>
      </c>
      <c r="AO896">
        <v>7.6143829080644121</v>
      </c>
      <c r="AP896">
        <v>48.830211255615737</v>
      </c>
      <c r="AQ896">
        <v>57.540011865154256</v>
      </c>
      <c r="AR896">
        <v>7.822431212089807</v>
      </c>
      <c r="AS896">
        <v>48.278665010354956</v>
      </c>
      <c r="AT896" t="e">
        <v>#DIV/0!</v>
      </c>
      <c r="AU896" t="e">
        <v>#DIV/0!</v>
      </c>
      <c r="AV896"/>
      <c r="AW896"/>
      <c r="FY896" s="211">
        <v>891</v>
      </c>
      <c r="FZ896">
        <v>8.2618380416546202</v>
      </c>
      <c r="GA896">
        <v>3.4117953964921073</v>
      </c>
      <c r="GB896">
        <v>3.500248894441087</v>
      </c>
      <c r="GC896">
        <v>2.7384153756005425</v>
      </c>
      <c r="GD896">
        <v>2.0974838333774484</v>
      </c>
      <c r="GE896">
        <v>2.1801856388655461</v>
      </c>
      <c r="GF896">
        <v>2.4235453421912716</v>
      </c>
      <c r="GG896">
        <v>3.1837141949743142</v>
      </c>
      <c r="GH896">
        <v>6.2955231540611356</v>
      </c>
      <c r="GI896">
        <v>4.7192427527092731</v>
      </c>
      <c r="GJ896"/>
      <c r="GK896">
        <v>8.3014397044588257</v>
      </c>
      <c r="GL896">
        <v>2.8900106377347079</v>
      </c>
      <c r="GM896">
        <v>5.7932974207272112</v>
      </c>
      <c r="GN896">
        <v>8.1687942235149631</v>
      </c>
      <c r="GO896">
        <v>8.1530169897967149</v>
      </c>
      <c r="GP896">
        <v>4.1739678826075881</v>
      </c>
      <c r="GQ896">
        <v>2.9651719960218337</v>
      </c>
      <c r="GR896">
        <v>4.4773247737996105</v>
      </c>
      <c r="GS896">
        <v>6.7146601322610344</v>
      </c>
      <c r="GT896">
        <v>6.3855172486531231</v>
      </c>
      <c r="GU896"/>
      <c r="GV896"/>
      <c r="GW896"/>
      <c r="GX896"/>
      <c r="GY896"/>
      <c r="GZ896"/>
      <c r="HA896"/>
      <c r="HB896"/>
      <c r="HC896"/>
    </row>
    <row r="897" spans="1:211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52.857828979829364</v>
      </c>
      <c r="AO897">
        <v>6.5151336078623006</v>
      </c>
      <c r="AP897">
        <v>5.7786481720804028</v>
      </c>
      <c r="AQ897">
        <v>44.115846455111907</v>
      </c>
      <c r="AR897">
        <v>6.8087855295853803</v>
      </c>
      <c r="AS897">
        <v>38.151417169336284</v>
      </c>
      <c r="AT897">
        <v>5.3305079842430674</v>
      </c>
      <c r="AU897">
        <v>4.7969957069488203</v>
      </c>
      <c r="AV897"/>
      <c r="AW897"/>
      <c r="FY897" s="211">
        <v>892</v>
      </c>
      <c r="FZ897">
        <v>8.12143987252432</v>
      </c>
      <c r="GA897">
        <v>8.3878893090016877</v>
      </c>
      <c r="GB897">
        <v>3.2363826030354725</v>
      </c>
      <c r="GC897">
        <v>1.7909910381744205</v>
      </c>
      <c r="GD897">
        <v>1.3438276670188765</v>
      </c>
      <c r="GE897">
        <v>1.9955379012624588</v>
      </c>
      <c r="GF897">
        <v>0.60804645810537317</v>
      </c>
      <c r="GG897">
        <v>0.52895560899644167</v>
      </c>
      <c r="GH897">
        <v>7.4317890118667638</v>
      </c>
      <c r="GI897">
        <v>4.0503302384498969</v>
      </c>
      <c r="GJ897"/>
      <c r="GK897">
        <v>8.1468126394767104</v>
      </c>
      <c r="GL897">
        <v>7.1069586111206347</v>
      </c>
      <c r="GM897">
        <v>5.3615326322566057</v>
      </c>
      <c r="GN897">
        <v>5.3340207771110943</v>
      </c>
      <c r="GO897">
        <v>5.2096642129649409</v>
      </c>
      <c r="GP897">
        <v>3.8204595791805103</v>
      </c>
      <c r="GQ897">
        <v>0.74278250565987025</v>
      </c>
      <c r="GR897">
        <v>0.74278250565987025</v>
      </c>
      <c r="GS897">
        <v>7.9208689407196431</v>
      </c>
      <c r="GT897">
        <v>5.4763321862155534</v>
      </c>
      <c r="GU897"/>
      <c r="GV897"/>
      <c r="GW897"/>
      <c r="GX897"/>
      <c r="GY897"/>
      <c r="GZ897"/>
      <c r="HA897"/>
      <c r="HB897"/>
      <c r="HC897"/>
    </row>
    <row r="898" spans="1:211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44.544701560811475</v>
      </c>
      <c r="AO898">
        <v>5.542001115087408</v>
      </c>
      <c r="AP898">
        <v>5.360800323365301</v>
      </c>
      <c r="AQ898">
        <v>37.932216316084258</v>
      </c>
      <c r="AR898">
        <v>6.0888300398129429</v>
      </c>
      <c r="AS898">
        <v>35.068398397858914</v>
      </c>
      <c r="AT898">
        <v>4.8033611527610036</v>
      </c>
      <c r="AU898">
        <v>7.0826759079400112</v>
      </c>
      <c r="AV898"/>
      <c r="AW898"/>
      <c r="FY898" s="211">
        <v>893</v>
      </c>
      <c r="FZ898">
        <v>12.83012732138112</v>
      </c>
      <c r="GA898">
        <v>12.310677319424608</v>
      </c>
      <c r="GB898">
        <v>6.5152152466765516</v>
      </c>
      <c r="GC898">
        <v>3.0709738119856151</v>
      </c>
      <c r="GD898">
        <v>1.7572149393600565</v>
      </c>
      <c r="GE898">
        <v>1.9948957619054135</v>
      </c>
      <c r="GF898">
        <v>0.64770273276041657</v>
      </c>
      <c r="GG898">
        <v>1.2161224596354168</v>
      </c>
      <c r="GH898">
        <v>5.0509990949876995</v>
      </c>
      <c r="GI898">
        <v>5.425593798061354</v>
      </c>
      <c r="GJ898"/>
      <c r="GK898">
        <v>12.878422209838094</v>
      </c>
      <c r="GL898">
        <v>10.428920130015564</v>
      </c>
      <c r="GM898">
        <v>10.830451074319786</v>
      </c>
      <c r="GN898">
        <v>9.2344867332861043</v>
      </c>
      <c r="GO898">
        <v>6.8424408095758666</v>
      </c>
      <c r="GP898">
        <v>3.8192302026518856</v>
      </c>
      <c r="GQ898">
        <v>0.79369212962962943</v>
      </c>
      <c r="GR898">
        <v>1.7115162037037035</v>
      </c>
      <c r="GS898">
        <v>5.3850627382925484</v>
      </c>
      <c r="GT898">
        <v>7.3460137923311857</v>
      </c>
      <c r="GU898"/>
      <c r="GV898"/>
      <c r="GW898"/>
      <c r="GX898"/>
      <c r="GY898"/>
      <c r="GZ898"/>
      <c r="HA898"/>
      <c r="HB898"/>
      <c r="HC898"/>
    </row>
    <row r="899" spans="1:211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63.274120834170915</v>
      </c>
      <c r="AO899">
        <v>7.3502535246288598</v>
      </c>
      <c r="AP899">
        <v>4.3997228097210925</v>
      </c>
      <c r="AQ899">
        <v>55.789973071705305</v>
      </c>
      <c r="AR899">
        <v>7.4725468712237726</v>
      </c>
      <c r="AS899">
        <v>48.196436668221693</v>
      </c>
      <c r="AT899">
        <v>6.0358088077722085</v>
      </c>
      <c r="AU899">
        <v>2.795938219627633</v>
      </c>
      <c r="AV899"/>
      <c r="AW899"/>
      <c r="FY899" s="211">
        <v>894</v>
      </c>
      <c r="FZ899">
        <v>11.311028920166329</v>
      </c>
      <c r="GA899">
        <v>8.838036245201522</v>
      </c>
      <c r="GB899">
        <v>6.673287834503693</v>
      </c>
      <c r="GC899">
        <v>3.8986291333168555</v>
      </c>
      <c r="GD899">
        <v>2.0889304062467415</v>
      </c>
      <c r="GE899">
        <v>2.9524267021995314</v>
      </c>
      <c r="GF899">
        <v>2.3457355970440794</v>
      </c>
      <c r="GG899">
        <v>1.9933900330970502</v>
      </c>
      <c r="GH899">
        <v>5.4891397485911559</v>
      </c>
      <c r="GI899">
        <v>5.806278155899065</v>
      </c>
      <c r="GJ899"/>
      <c r="GK899">
        <v>11.361060156542649</v>
      </c>
      <c r="GL899">
        <v>7.4900134847211808</v>
      </c>
      <c r="GM899">
        <v>11.126826496213921</v>
      </c>
      <c r="GN899">
        <v>11.72628233821003</v>
      </c>
      <c r="GO899">
        <v>8.1096199602826093</v>
      </c>
      <c r="GP899">
        <v>5.6524242757356653</v>
      </c>
      <c r="GQ899">
        <v>2.8698242705789996</v>
      </c>
      <c r="GR899">
        <v>2.8021159372456665</v>
      </c>
      <c r="GS899">
        <v>5.8526459179626293</v>
      </c>
      <c r="GT899">
        <v>7.8639953603161628</v>
      </c>
      <c r="GU899"/>
      <c r="GV899"/>
      <c r="GW899"/>
      <c r="GX899"/>
      <c r="GY899"/>
      <c r="GZ899"/>
      <c r="HA899"/>
      <c r="HB899"/>
      <c r="HC899"/>
    </row>
    <row r="900" spans="1:211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58.61455471447006</v>
      </c>
      <c r="AO900">
        <v>7.1135442849477837</v>
      </c>
      <c r="AP900">
        <v>3.4970265498870741</v>
      </c>
      <c r="AQ900">
        <v>49.309470109479022</v>
      </c>
      <c r="AR900">
        <v>7.2622405409485804</v>
      </c>
      <c r="AS900">
        <v>46.957373608108306</v>
      </c>
      <c r="AT900">
        <v>5.8427497932161359</v>
      </c>
      <c r="AU900">
        <v>5.2907263875740167</v>
      </c>
      <c r="AV900"/>
      <c r="AW900"/>
      <c r="FY900" s="211">
        <v>895</v>
      </c>
      <c r="FZ900">
        <v>11.682517492366994</v>
      </c>
      <c r="GA900">
        <v>13.024271540890993</v>
      </c>
      <c r="GB900">
        <v>7.2421216394348953</v>
      </c>
      <c r="GC900">
        <v>3.5172362526429062</v>
      </c>
      <c r="GD900">
        <v>1.1016596552683227</v>
      </c>
      <c r="GE900">
        <v>1.0373648216112961</v>
      </c>
      <c r="GF900">
        <v>2.375248577306007</v>
      </c>
      <c r="GG900">
        <v>2.0676729991572205</v>
      </c>
      <c r="GH900">
        <v>4.6456753100514003</v>
      </c>
      <c r="GI900">
        <v>5.3047712025014375</v>
      </c>
      <c r="GJ900"/>
      <c r="GK900">
        <v>11.721537871779523</v>
      </c>
      <c r="GL900">
        <v>11.032225702161551</v>
      </c>
      <c r="GM900">
        <v>12.029439797732511</v>
      </c>
      <c r="GN900">
        <v>10.535410518602026</v>
      </c>
      <c r="GO900">
        <v>4.2801976293029602</v>
      </c>
      <c r="GP900">
        <v>1.9860361295681068</v>
      </c>
      <c r="GQ900">
        <v>2.9083043454344271</v>
      </c>
      <c r="GR900">
        <v>2.9083043454344271</v>
      </c>
      <c r="GS900">
        <v>4.955420343908294</v>
      </c>
      <c r="GT900">
        <v>7.1789799976315418</v>
      </c>
      <c r="GU900"/>
      <c r="GV900"/>
      <c r="GW900"/>
      <c r="GX900"/>
      <c r="GY900"/>
      <c r="GZ900"/>
      <c r="HA900"/>
      <c r="HB900"/>
      <c r="HC900"/>
    </row>
    <row r="901" spans="1:211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62.867467347206912</v>
      </c>
      <c r="AO901">
        <v>8.1201844826403775</v>
      </c>
      <c r="AP901">
        <v>102.22339121202005</v>
      </c>
      <c r="AQ901">
        <v>60.887617113823509</v>
      </c>
      <c r="AR901">
        <v>8.6233809322116404</v>
      </c>
      <c r="AS901">
        <v>50.966246571672542</v>
      </c>
      <c r="AT901" t="e">
        <v>#DIV/0!</v>
      </c>
      <c r="AU901" t="e">
        <v>#DIV/0!</v>
      </c>
      <c r="AV901"/>
      <c r="AW901"/>
      <c r="FY901" s="211">
        <v>896</v>
      </c>
      <c r="FZ901">
        <v>14.309913224761733</v>
      </c>
      <c r="GA901">
        <v>16.900771844303314</v>
      </c>
      <c r="GB901">
        <v>5.8799423295345896</v>
      </c>
      <c r="GC901">
        <v>1.9933545777479473</v>
      </c>
      <c r="GD901">
        <v>1.4924433543272115</v>
      </c>
      <c r="GE901">
        <v>2.0908893126196992</v>
      </c>
      <c r="GF901">
        <v>2.3526930937213151</v>
      </c>
      <c r="GG901">
        <v>1.9999234154049563</v>
      </c>
      <c r="GH901">
        <v>2.2966927198564662</v>
      </c>
      <c r="GI901">
        <v>5.2061948568231076</v>
      </c>
      <c r="GJ901"/>
      <c r="GK901">
        <v>14.358994717063885</v>
      </c>
      <c r="GL901">
        <v>14.318837429690893</v>
      </c>
      <c r="GM901">
        <v>9.7393668240104958</v>
      </c>
      <c r="GN901">
        <v>5.937027879971672</v>
      </c>
      <c r="GO901">
        <v>5.7858901935791742</v>
      </c>
      <c r="GP901">
        <v>4.0030099645566475</v>
      </c>
      <c r="GQ901">
        <v>2.8806649533249269</v>
      </c>
      <c r="GR901">
        <v>2.812956619991593</v>
      </c>
      <c r="GS901">
        <v>2.4464147438076527</v>
      </c>
      <c r="GT901">
        <v>7.0422662863572274</v>
      </c>
      <c r="GU901"/>
      <c r="GV901"/>
      <c r="GW901"/>
      <c r="GX901"/>
      <c r="GY901"/>
      <c r="GZ901"/>
      <c r="HA901"/>
      <c r="HB901"/>
      <c r="HC901"/>
    </row>
    <row r="902" spans="1:211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65.605786947303258</v>
      </c>
      <c r="AO902">
        <v>8.0824402213971478</v>
      </c>
      <c r="AP902">
        <v>5.4834424101617572</v>
      </c>
      <c r="AQ902">
        <v>57.318855240963984</v>
      </c>
      <c r="AR902">
        <v>8.4157069823347506</v>
      </c>
      <c r="AS902">
        <v>51.355061667803028</v>
      </c>
      <c r="AT902">
        <v>6.7156425721167823</v>
      </c>
      <c r="AU902">
        <v>-0.76731151168069012</v>
      </c>
      <c r="AV902"/>
      <c r="AW902"/>
      <c r="FY902" s="211">
        <v>897</v>
      </c>
      <c r="FZ902">
        <v>15.81448536829145</v>
      </c>
      <c r="GA902">
        <v>13.146299524137147</v>
      </c>
      <c r="GB902">
        <v>4.8070420909129146</v>
      </c>
      <c r="GC902">
        <v>2.4314071021556889</v>
      </c>
      <c r="GD902">
        <v>1.1181207983416077</v>
      </c>
      <c r="GE902">
        <v>1.2758253452941177</v>
      </c>
      <c r="GF902">
        <v>1.2627066875430251</v>
      </c>
      <c r="GG902">
        <v>1.003228398856431</v>
      </c>
      <c r="GH902">
        <v>4.0053395636064666</v>
      </c>
      <c r="GI902">
        <v>5.0242677993978102</v>
      </c>
      <c r="GJ902"/>
      <c r="GK902">
        <v>15.88137509286636</v>
      </c>
      <c r="GL902">
        <v>11.137292176713997</v>
      </c>
      <c r="GM902">
        <v>7.9652073600596047</v>
      </c>
      <c r="GN902">
        <v>7.2529983437851122</v>
      </c>
      <c r="GO902">
        <v>4.3440222394852999</v>
      </c>
      <c r="GP902">
        <v>2.4425690730837792</v>
      </c>
      <c r="GQ902">
        <v>1.5473153180354264</v>
      </c>
      <c r="GR902">
        <v>1.4118986513687599</v>
      </c>
      <c r="GS902">
        <v>4.2693314104743196</v>
      </c>
      <c r="GT902">
        <v>6.8014502841842024</v>
      </c>
      <c r="GU902"/>
      <c r="GV902"/>
      <c r="GW902"/>
      <c r="GX902"/>
      <c r="GY902"/>
      <c r="GZ902"/>
      <c r="HA902"/>
      <c r="HB902"/>
      <c r="HC902"/>
    </row>
    <row r="903" spans="1:211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72.232101541753082</v>
      </c>
      <c r="AO903">
        <v>8.3468629804605534</v>
      </c>
      <c r="AP903">
        <v>67.064785065563441</v>
      </c>
      <c r="AQ903">
        <v>65.100422254261701</v>
      </c>
      <c r="AR903">
        <v>8.7021733967463959</v>
      </c>
      <c r="AS903">
        <v>58.156596676564732</v>
      </c>
      <c r="AT903" t="e">
        <v>#DIV/0!</v>
      </c>
      <c r="AU903" t="e">
        <v>#DIV/0!</v>
      </c>
      <c r="AV903"/>
      <c r="AW903"/>
      <c r="FY903" s="211">
        <v>898</v>
      </c>
      <c r="FZ903">
        <v>15.375713065032706</v>
      </c>
      <c r="GA903">
        <v>14.541983892885559</v>
      </c>
      <c r="GB903">
        <v>5.381933319980825</v>
      </c>
      <c r="GC903">
        <v>3.4291207546935656</v>
      </c>
      <c r="GD903">
        <v>1.3343614454210462</v>
      </c>
      <c r="GE903">
        <v>1.1434629566112957</v>
      </c>
      <c r="GF903">
        <v>1.7929434005012066</v>
      </c>
      <c r="GG903">
        <v>1.838625950142275</v>
      </c>
      <c r="GH903">
        <v>3.6495699113403326</v>
      </c>
      <c r="GI903">
        <v>5.267950358855841</v>
      </c>
      <c r="GJ903"/>
      <c r="GK903">
        <v>15.414930803610051</v>
      </c>
      <c r="GL903">
        <v>12.323556331353972</v>
      </c>
      <c r="GM903">
        <v>8.9506443927409745</v>
      </c>
      <c r="GN903">
        <v>10.283649400741728</v>
      </c>
      <c r="GO903">
        <v>5.1934267753035686</v>
      </c>
      <c r="GP903">
        <v>2.1891611295681064</v>
      </c>
      <c r="GQ903">
        <v>2.194750098252463</v>
      </c>
      <c r="GR903">
        <v>2.5859538019561663</v>
      </c>
      <c r="GS903">
        <v>3.8919415822515706</v>
      </c>
      <c r="GT903">
        <v>7.1291387304317251</v>
      </c>
      <c r="GU903"/>
      <c r="GV903"/>
      <c r="GW903"/>
      <c r="GX903"/>
      <c r="GY903"/>
      <c r="GZ903"/>
      <c r="HA903"/>
      <c r="HB903"/>
      <c r="HC903"/>
    </row>
    <row r="904" spans="1:211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60.659904381402193</v>
      </c>
      <c r="AO904">
        <v>6.9404505134328378</v>
      </c>
      <c r="AP904">
        <v>3.7464669859815007</v>
      </c>
      <c r="AQ904">
        <v>51.766619421745801</v>
      </c>
      <c r="AR904">
        <v>7.3548313031143531</v>
      </c>
      <c r="AS904">
        <v>43.730261878404761</v>
      </c>
      <c r="AT904">
        <v>5.8404164724256189</v>
      </c>
      <c r="AU904">
        <v>3.7610459721922656</v>
      </c>
      <c r="AV904"/>
      <c r="AW904"/>
      <c r="FY904" s="211">
        <v>899</v>
      </c>
      <c r="FZ904">
        <v>11.401081200701149</v>
      </c>
      <c r="GA904">
        <v>6.318982487741394</v>
      </c>
      <c r="GB904">
        <v>4.4522704192614047</v>
      </c>
      <c r="GC904">
        <v>2.8412889399658496</v>
      </c>
      <c r="GD904">
        <v>1.7388604291701029</v>
      </c>
      <c r="GE904">
        <v>2.7739515448739498</v>
      </c>
      <c r="GF904">
        <v>1.3818557008982464</v>
      </c>
      <c r="GG904">
        <v>1.4321027440345502</v>
      </c>
      <c r="GH904">
        <v>7.8846198538727661</v>
      </c>
      <c r="GI904">
        <v>5.2774410253802291</v>
      </c>
      <c r="GJ904"/>
      <c r="GK904">
        <v>11.451545359267001</v>
      </c>
      <c r="GL904">
        <v>5.355928348290619</v>
      </c>
      <c r="GM904">
        <v>7.4496177562843933</v>
      </c>
      <c r="GN904">
        <v>8.5801848807436549</v>
      </c>
      <c r="GO904">
        <v>6.7515533454513141</v>
      </c>
      <c r="GP904">
        <v>5.3107333842627966</v>
      </c>
      <c r="GQ904">
        <v>1.6886900113197405</v>
      </c>
      <c r="GR904">
        <v>2.0121853816901107</v>
      </c>
      <c r="GS904">
        <v>8.4028935160308489</v>
      </c>
      <c r="GT904">
        <v>7.1488599976706588</v>
      </c>
      <c r="GU904"/>
      <c r="GV904"/>
      <c r="GW904"/>
      <c r="GX904"/>
      <c r="GY904"/>
      <c r="GZ904"/>
      <c r="HA904"/>
      <c r="HB904"/>
      <c r="HC904"/>
    </row>
    <row r="905" spans="1:211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57.875800908569147</v>
      </c>
      <c r="AO905">
        <v>7.3584115527447356</v>
      </c>
      <c r="AP905">
        <v>14.253259017358866</v>
      </c>
      <c r="AQ905">
        <v>54.553091477845818</v>
      </c>
      <c r="AR905">
        <v>7.8344867957673516</v>
      </c>
      <c r="AS905">
        <v>48.586293474818476</v>
      </c>
      <c r="AT905" t="e">
        <v>#DIV/0!</v>
      </c>
      <c r="AU905" t="e">
        <v>#DIV/0!</v>
      </c>
      <c r="AV905"/>
      <c r="AW905"/>
      <c r="FY905" s="211">
        <v>900</v>
      </c>
      <c r="FZ905">
        <v>14.330265304789757</v>
      </c>
      <c r="GA905">
        <v>13.066377670438953</v>
      </c>
      <c r="GB905">
        <v>5.508761814429473</v>
      </c>
      <c r="GC905">
        <v>3.874416101576597</v>
      </c>
      <c r="GD905">
        <v>2.5796334527921956</v>
      </c>
      <c r="GE905">
        <v>3.5182834221995316</v>
      </c>
      <c r="GF905">
        <v>1.8085413874086631</v>
      </c>
      <c r="GG905">
        <v>1.5256506255449667</v>
      </c>
      <c r="GH905">
        <v>4.004449923235458</v>
      </c>
      <c r="GI905">
        <v>5.9165401961580661</v>
      </c>
      <c r="GJ905"/>
      <c r="GK905">
        <v>14.363536848740054</v>
      </c>
      <c r="GL905">
        <v>11.071313884333909</v>
      </c>
      <c r="GM905">
        <v>9.16557834117447</v>
      </c>
      <c r="GN905">
        <v>11.605663816828965</v>
      </c>
      <c r="GO905">
        <v>10.011473403590848</v>
      </c>
      <c r="GP905">
        <v>6.7357576090689983</v>
      </c>
      <c r="GQ905">
        <v>2.2115488076160368</v>
      </c>
      <c r="GR905">
        <v>2.1438404742827033</v>
      </c>
      <c r="GS905">
        <v>4.2702251007391014</v>
      </c>
      <c r="GT905">
        <v>8.0044725003721027</v>
      </c>
      <c r="GU905"/>
      <c r="GV905"/>
      <c r="GW905"/>
      <c r="GX905"/>
      <c r="GY905"/>
      <c r="GZ905"/>
      <c r="HA905"/>
      <c r="HB905"/>
      <c r="HC905"/>
    </row>
    <row r="906" spans="1:211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59.354418995600476</v>
      </c>
      <c r="AO906">
        <v>7.2474408311676388</v>
      </c>
      <c r="AP906">
        <v>14.343252251622502</v>
      </c>
      <c r="AQ906">
        <v>51.543205616064661</v>
      </c>
      <c r="AR906">
        <v>7.3846095566214407</v>
      </c>
      <c r="AS906">
        <v>46.600019633913703</v>
      </c>
      <c r="AT906" t="e">
        <v>#DIV/0!</v>
      </c>
      <c r="AU906" t="e">
        <v>#DIV/0!</v>
      </c>
      <c r="AV906"/>
      <c r="AW906"/>
      <c r="FY906" s="211">
        <v>901</v>
      </c>
      <c r="FZ906">
        <v>14.856320229872201</v>
      </c>
      <c r="GA906">
        <v>17.511179249347311</v>
      </c>
      <c r="GB906">
        <v>6.5447611446354994</v>
      </c>
      <c r="GC906">
        <v>3.1585110742157236</v>
      </c>
      <c r="GD906">
        <v>1.8724652310281893</v>
      </c>
      <c r="GE906">
        <v>1.93162053089701</v>
      </c>
      <c r="GF906">
        <v>1.8933086292330903</v>
      </c>
      <c r="GG906">
        <v>1.974125117646804</v>
      </c>
      <c r="GH906">
        <v>5.1611007755670029</v>
      </c>
      <c r="GI906">
        <v>6.0387133638050416</v>
      </c>
      <c r="GJ906"/>
      <c r="GK906">
        <v>14.909425576442937</v>
      </c>
      <c r="GL906">
        <v>14.836507966718845</v>
      </c>
      <c r="GM906">
        <v>10.839284562487927</v>
      </c>
      <c r="GN906">
        <v>9.4242260580012971</v>
      </c>
      <c r="GO906">
        <v>7.2798107038749977</v>
      </c>
      <c r="GP906">
        <v>3.698089700996678</v>
      </c>
      <c r="GQ906">
        <v>2.3177372158047973</v>
      </c>
      <c r="GR906">
        <v>2.7766492528418345</v>
      </c>
      <c r="GS906">
        <v>5.498982903237227</v>
      </c>
      <c r="GT906">
        <v>8.1690481923695781</v>
      </c>
      <c r="GU906"/>
      <c r="GV906"/>
      <c r="GW906"/>
      <c r="GX906"/>
      <c r="GY906"/>
      <c r="GZ906"/>
      <c r="HA906"/>
      <c r="HB906"/>
      <c r="HC906"/>
    </row>
    <row r="907" spans="1:211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49.324391537929216</v>
      </c>
      <c r="AO907">
        <v>5.8023201009575605</v>
      </c>
      <c r="AP907">
        <v>4.618628655701313</v>
      </c>
      <c r="AQ907">
        <v>38.811992624367342</v>
      </c>
      <c r="AR907">
        <v>6.385517248653124</v>
      </c>
      <c r="AS907">
        <v>40.927757765320699</v>
      </c>
      <c r="AT907">
        <v>5.1534936979119346</v>
      </c>
      <c r="AU907">
        <v>9.3560496542889773</v>
      </c>
      <c r="AV907"/>
      <c r="AW907"/>
      <c r="FY907" s="211">
        <v>902</v>
      </c>
      <c r="FZ907">
        <v>9.3176401837965841</v>
      </c>
      <c r="GA907">
        <v>8.2727527138630617</v>
      </c>
      <c r="GB907">
        <v>5.5972957094230953</v>
      </c>
      <c r="GC907">
        <v>3.4980831410282489</v>
      </c>
      <c r="GD907">
        <v>1.931391865036413</v>
      </c>
      <c r="GE907">
        <v>2.0993489645798316</v>
      </c>
      <c r="GF907">
        <v>1.2852621711277175</v>
      </c>
      <c r="GG907">
        <v>1.0709779826086956</v>
      </c>
      <c r="GH907">
        <v>4.9286482712318769</v>
      </c>
      <c r="GI907">
        <v>4.8746590684206881</v>
      </c>
      <c r="GJ907"/>
      <c r="GK907">
        <v>9.359186811945083</v>
      </c>
      <c r="GL907">
        <v>7.0105431908414548</v>
      </c>
      <c r="GM907">
        <v>9.313998149384517</v>
      </c>
      <c r="GN907">
        <v>10.490180321318036</v>
      </c>
      <c r="GO907">
        <v>7.4987974957259613</v>
      </c>
      <c r="GP907">
        <v>4.019205977845683</v>
      </c>
      <c r="GQ907">
        <v>1.5749547101449275</v>
      </c>
      <c r="GR907">
        <v>1.507246376811594</v>
      </c>
      <c r="GS907">
        <v>5.2539137950679553</v>
      </c>
      <c r="GT907">
        <v>6.6001701924536889</v>
      </c>
      <c r="GU907"/>
      <c r="GV907"/>
      <c r="GW907"/>
      <c r="GX907"/>
      <c r="GY907"/>
      <c r="GZ907"/>
      <c r="HA907"/>
      <c r="HB907"/>
      <c r="HC907"/>
    </row>
    <row r="908" spans="1:211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44.297431982309675</v>
      </c>
      <c r="AO908">
        <v>4.9862214590365426</v>
      </c>
      <c r="AP908">
        <v>101.5726004753442</v>
      </c>
      <c r="AQ908">
        <v>37.49518970843571</v>
      </c>
      <c r="AR908">
        <v>5.4763321862155516</v>
      </c>
      <c r="AS908">
        <v>34.438253262805091</v>
      </c>
      <c r="AT908" t="e">
        <v>#DIV/0!</v>
      </c>
      <c r="AU908" t="e">
        <v>#DIV/0!</v>
      </c>
      <c r="AV908"/>
      <c r="AW908"/>
      <c r="FY908" s="211">
        <v>903</v>
      </c>
      <c r="FZ908">
        <v>11.871087314884138</v>
      </c>
      <c r="GA908">
        <v>9.3558294391798675</v>
      </c>
      <c r="GB908">
        <v>7.1584085777312545</v>
      </c>
      <c r="GC908">
        <v>3.2903687773276369</v>
      </c>
      <c r="GD908">
        <v>1.570288956994885</v>
      </c>
      <c r="GE908">
        <v>1.9157040199452806</v>
      </c>
      <c r="GF908">
        <v>1.7929434005012066</v>
      </c>
      <c r="GG908">
        <v>1.838625950142275</v>
      </c>
      <c r="GH908">
        <v>5.6515410463100704</v>
      </c>
      <c r="GI908">
        <v>5.6311019123382087</v>
      </c>
      <c r="GJ908"/>
      <c r="GK908">
        <v>11.938226469768786</v>
      </c>
      <c r="GL908">
        <v>7.9268540515880748</v>
      </c>
      <c r="GM908">
        <v>11.85140937934738</v>
      </c>
      <c r="GN908">
        <v>9.7990873218300578</v>
      </c>
      <c r="GO908">
        <v>6.0986971358145547</v>
      </c>
      <c r="GP908">
        <v>3.6676175226961827</v>
      </c>
      <c r="GQ908">
        <v>2.194750098252463</v>
      </c>
      <c r="GR908">
        <v>2.5859538019561663</v>
      </c>
      <c r="GS908">
        <v>6.0265238058853461</v>
      </c>
      <c r="GT908">
        <v>7.621921377813706</v>
      </c>
      <c r="GU908"/>
      <c r="GV908"/>
      <c r="GW908"/>
      <c r="GX908"/>
      <c r="GY908"/>
      <c r="GZ908"/>
      <c r="HA908"/>
      <c r="HB908"/>
      <c r="HC908"/>
    </row>
    <row r="909" spans="1:211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57.007483625769297</v>
      </c>
      <c r="AO909">
        <v>6.9270236023644376</v>
      </c>
      <c r="AP909">
        <v>5.1881798519352946</v>
      </c>
      <c r="AQ909">
        <v>50.819522486178244</v>
      </c>
      <c r="AR909">
        <v>7.3460137923311875</v>
      </c>
      <c r="AS909">
        <v>44.779996430735636</v>
      </c>
      <c r="AT909">
        <v>5.8802900605979884</v>
      </c>
      <c r="AU909">
        <v>6.791533481453544</v>
      </c>
      <c r="AV909"/>
      <c r="AW909"/>
      <c r="FY909" s="211">
        <v>904</v>
      </c>
      <c r="FZ909">
        <v>14.597463948035248</v>
      </c>
      <c r="GA909">
        <v>12.861466327911547</v>
      </c>
      <c r="GB909">
        <v>5.3111011717227408</v>
      </c>
      <c r="GC909">
        <v>3.1056784602094147</v>
      </c>
      <c r="GD909">
        <v>2.2282578038318683</v>
      </c>
      <c r="GE909">
        <v>3.3321082474369756</v>
      </c>
      <c r="GF909">
        <v>1.8154988840858985</v>
      </c>
      <c r="GG909">
        <v>2.2805670599362062</v>
      </c>
      <c r="GH909">
        <v>5.3846680499286439</v>
      </c>
      <c r="GI909">
        <v>5.9250725143461551</v>
      </c>
      <c r="GJ909"/>
      <c r="GK909">
        <v>14.647092959241844</v>
      </c>
      <c r="GL909">
        <v>10.89745027740841</v>
      </c>
      <c r="GM909">
        <v>8.8404855599558534</v>
      </c>
      <c r="GN909">
        <v>9.3202174643078202</v>
      </c>
      <c r="GO909">
        <v>8.6490884390342035</v>
      </c>
      <c r="GP909">
        <v>6.3793250254647322</v>
      </c>
      <c r="GQ909">
        <v>2.2223894903619632</v>
      </c>
      <c r="GR909">
        <v>3.2079218977693706</v>
      </c>
      <c r="GS909">
        <v>5.7421329814617419</v>
      </c>
      <c r="GT909">
        <v>8.0202378860111203</v>
      </c>
      <c r="GU909"/>
      <c r="GV909"/>
      <c r="GW909"/>
      <c r="GX909"/>
      <c r="GY909"/>
      <c r="GZ909"/>
      <c r="HA909"/>
      <c r="HB909"/>
      <c r="HC909"/>
    </row>
    <row r="910" spans="1:211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61.946754390080308</v>
      </c>
      <c r="AO910">
        <v>7.4854808197809515</v>
      </c>
      <c r="AP910">
        <v>71.554031101218328</v>
      </c>
      <c r="AQ910">
        <v>51.396882776266018</v>
      </c>
      <c r="AR910">
        <v>7.8639953603161645</v>
      </c>
      <c r="AS910">
        <v>48.766818537397747</v>
      </c>
      <c r="AT910" t="e">
        <v>#DIV/0!</v>
      </c>
      <c r="AU910" t="e">
        <v>#DIV/0!</v>
      </c>
      <c r="AV910"/>
      <c r="AW910"/>
      <c r="FY910" s="211">
        <v>905</v>
      </c>
      <c r="FZ910">
        <v>16.456330207149882</v>
      </c>
      <c r="GA910">
        <v>14.967244609189313</v>
      </c>
      <c r="GB910">
        <v>7.3239565933940263</v>
      </c>
      <c r="GC910">
        <v>3.791668008216198</v>
      </c>
      <c r="GD910">
        <v>1.38086706938369</v>
      </c>
      <c r="GE910">
        <v>2.0639829195798316</v>
      </c>
      <c r="GF910">
        <v>1.2713471777732464</v>
      </c>
      <c r="GG910">
        <v>1.4321027440345502</v>
      </c>
      <c r="GH910">
        <v>4.5152306039850059</v>
      </c>
      <c r="GI910">
        <v>5.9752026108247831</v>
      </c>
      <c r="GJ910"/>
      <c r="GK910">
        <v>16.511648707051918</v>
      </c>
      <c r="GL910">
        <v>12.682105029055954</v>
      </c>
      <c r="GM910">
        <v>12.247461807663218</v>
      </c>
      <c r="GN910">
        <v>11.464602371745588</v>
      </c>
      <c r="GO910">
        <v>5.3532766830586871</v>
      </c>
      <c r="GP910">
        <v>3.95149764451235</v>
      </c>
      <c r="GQ910">
        <v>1.5532733446530738</v>
      </c>
      <c r="GR910">
        <v>2.0121853816901107</v>
      </c>
      <c r="GS910">
        <v>4.8144090103152539</v>
      </c>
      <c r="GT910">
        <v>8.0960139105484288</v>
      </c>
      <c r="GU910"/>
      <c r="GV910"/>
      <c r="GW910"/>
      <c r="GX910"/>
      <c r="GY910"/>
      <c r="GZ910"/>
      <c r="HA910"/>
      <c r="HB910"/>
      <c r="HC910"/>
    </row>
    <row r="911" spans="1:211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61.299829437052793</v>
      </c>
      <c r="AO911">
        <v>6.9535856681555357</v>
      </c>
      <c r="AP911">
        <v>96.52300748852582</v>
      </c>
      <c r="AQ911">
        <v>51.998539491231476</v>
      </c>
      <c r="AR911">
        <v>7.1789799976315436</v>
      </c>
      <c r="AS911">
        <v>45.325542486380463</v>
      </c>
      <c r="AT911" t="e">
        <v>#DIV/0!</v>
      </c>
      <c r="AU911" t="e">
        <v>#DIV/0!</v>
      </c>
      <c r="AV911"/>
      <c r="AW911"/>
      <c r="FY911" s="211">
        <v>906</v>
      </c>
      <c r="FZ911">
        <v>19.930778948712636</v>
      </c>
      <c r="GA911">
        <v>18.958617266309538</v>
      </c>
      <c r="GB911">
        <v>9.328184638009299</v>
      </c>
      <c r="GC911">
        <v>4.6076509312146445</v>
      </c>
      <c r="GD911">
        <v>0.87521956300687098</v>
      </c>
      <c r="GE911">
        <v>0.28292836000000005</v>
      </c>
      <c r="GF911">
        <v>3.0385492969738808</v>
      </c>
      <c r="GG911">
        <v>2.9708201341953293</v>
      </c>
      <c r="GH911">
        <v>5.2655285153471825</v>
      </c>
      <c r="GI911">
        <v>7.1298230845617683</v>
      </c>
      <c r="GJ911"/>
      <c r="GK911">
        <v>20.007865643408401</v>
      </c>
      <c r="GL911">
        <v>16.06420155856102</v>
      </c>
      <c r="GM911">
        <v>15.519923738887577</v>
      </c>
      <c r="GN911">
        <v>13.849836841842533</v>
      </c>
      <c r="GO911">
        <v>3.4226897735906472</v>
      </c>
      <c r="GP911">
        <v>0.54166666666666674</v>
      </c>
      <c r="GQ911">
        <v>3.718795184427631</v>
      </c>
      <c r="GR911">
        <v>4.1777072214646678</v>
      </c>
      <c r="GS911">
        <v>5.6159712626168679</v>
      </c>
      <c r="GT911">
        <v>9.6570491205862261</v>
      </c>
      <c r="GU911"/>
      <c r="GV911"/>
      <c r="GW911"/>
      <c r="GX911"/>
      <c r="GY911"/>
      <c r="GZ911"/>
      <c r="HA911"/>
      <c r="HB911"/>
      <c r="HC911"/>
    </row>
    <row r="912" spans="1:211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60.493087847688159</v>
      </c>
      <c r="AO912">
        <v>6.9325429612354155</v>
      </c>
      <c r="AP912">
        <v>30.271756565858404</v>
      </c>
      <c r="AQ912">
        <v>54.522818729100351</v>
      </c>
      <c r="AR912">
        <v>7.0422662863572283</v>
      </c>
      <c r="AS912">
        <v>41.842672941286054</v>
      </c>
      <c r="AT912" t="e">
        <v>#DIV/0!</v>
      </c>
      <c r="AU912" t="e">
        <v>#DIV/0!</v>
      </c>
      <c r="AV912"/>
      <c r="AW912"/>
      <c r="FY912" s="211">
        <v>907</v>
      </c>
      <c r="FZ912">
        <v>13.864313836535734</v>
      </c>
      <c r="GA912">
        <v>9.8214211258347515</v>
      </c>
      <c r="GB912">
        <v>5.9999518358142376</v>
      </c>
      <c r="GC912">
        <v>3.9606693473583596</v>
      </c>
      <c r="GD912">
        <v>2.5841471667289224</v>
      </c>
      <c r="GE912">
        <v>3.0467753205882353</v>
      </c>
      <c r="GF912">
        <v>2.9194002836186588</v>
      </c>
      <c r="GG912">
        <v>2.5419457890172099</v>
      </c>
      <c r="GH912">
        <v>6.1782716833106051</v>
      </c>
      <c r="GI912">
        <v>6.5173460333000097</v>
      </c>
      <c r="GJ912"/>
      <c r="GK912">
        <v>13.923149144431306</v>
      </c>
      <c r="GL912">
        <v>8.3214159108219405</v>
      </c>
      <c r="GM912">
        <v>9.9768543082836505</v>
      </c>
      <c r="GN912">
        <v>11.88806364128121</v>
      </c>
      <c r="GO912">
        <v>10.059673137187385</v>
      </c>
      <c r="GP912">
        <v>5.8330548128342254</v>
      </c>
      <c r="GQ912">
        <v>3.5774204911433167</v>
      </c>
      <c r="GR912">
        <v>3.5774204911433167</v>
      </c>
      <c r="GS912">
        <v>6.5849359799624443</v>
      </c>
      <c r="GT912">
        <v>8.8244066122016207</v>
      </c>
      <c r="GU912"/>
      <c r="GV912"/>
      <c r="GW912"/>
      <c r="GX912"/>
      <c r="GY912"/>
      <c r="GZ912"/>
      <c r="HA912"/>
      <c r="HB912"/>
      <c r="HC912"/>
    </row>
    <row r="913" spans="1:211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52.663271395039416</v>
      </c>
      <c r="AO913">
        <v>6.3053459950056849</v>
      </c>
      <c r="AP913">
        <v>52.074210443361586</v>
      </c>
      <c r="AQ913">
        <v>49.888722678536659</v>
      </c>
      <c r="AR913">
        <v>6.8014502841842024</v>
      </c>
      <c r="AS913">
        <v>44.181339908534497</v>
      </c>
      <c r="AT913" t="e">
        <v>#DIV/0!</v>
      </c>
      <c r="AU913" t="e">
        <v>#DIV/0!</v>
      </c>
      <c r="AV913"/>
      <c r="AW913"/>
      <c r="FY913" s="211">
        <v>908</v>
      </c>
      <c r="FZ913">
        <v>12.520567077015093</v>
      </c>
      <c r="GA913">
        <v>10.263071074445905</v>
      </c>
      <c r="GB913">
        <v>5.9673963407590849</v>
      </c>
      <c r="GC913">
        <v>3.0366391327988591</v>
      </c>
      <c r="GD913">
        <v>1.2196714073905417</v>
      </c>
      <c r="GE913">
        <v>1.1350033046511629</v>
      </c>
      <c r="GF913">
        <v>1.6893923740534418</v>
      </c>
      <c r="GG913">
        <v>1.4709678064085145</v>
      </c>
      <c r="GH913">
        <v>2.3399028876017089</v>
      </c>
      <c r="GI913">
        <v>4.6940489720951364</v>
      </c>
      <c r="GJ913"/>
      <c r="GK913">
        <v>12.587750000370157</v>
      </c>
      <c r="GL913">
        <v>8.6953935701933656</v>
      </c>
      <c r="GM913">
        <v>9.8813027669399283</v>
      </c>
      <c r="GN913">
        <v>9.0595921488303848</v>
      </c>
      <c r="GO913">
        <v>4.7494844615634335</v>
      </c>
      <c r="GP913">
        <v>2.17296511627907</v>
      </c>
      <c r="GQ913">
        <v>2.0701741143317229</v>
      </c>
      <c r="GR913">
        <v>2.0701741143317229</v>
      </c>
      <c r="GS913">
        <v>2.4929854602920813</v>
      </c>
      <c r="GT913">
        <v>6.3563393606994651</v>
      </c>
      <c r="GU913"/>
      <c r="GV913"/>
      <c r="GW913"/>
      <c r="GX913"/>
      <c r="GY913"/>
      <c r="GZ913"/>
      <c r="HA913"/>
      <c r="HB913"/>
      <c r="HC913"/>
    </row>
    <row r="914" spans="1:211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59.080812334967959</v>
      </c>
      <c r="AO914">
        <v>7.0157153046210325</v>
      </c>
      <c r="AP914">
        <v>4.427277473945022</v>
      </c>
      <c r="AQ914">
        <v>53.755665055464647</v>
      </c>
      <c r="AR914">
        <v>7.1291387304317269</v>
      </c>
      <c r="AS914">
        <v>47.206753077946345</v>
      </c>
      <c r="AT914">
        <v>5.7035834764505617</v>
      </c>
      <c r="AU914">
        <v>4.739630121215205</v>
      </c>
      <c r="AV914"/>
      <c r="AW914"/>
      <c r="FY914" s="211">
        <v>909</v>
      </c>
      <c r="FZ914">
        <v>9.7229770712599262</v>
      </c>
      <c r="GA914">
        <v>8.4127859855746081</v>
      </c>
      <c r="GB914">
        <v>4.4610612553745517</v>
      </c>
      <c r="GC914">
        <v>2.4809622185397116</v>
      </c>
      <c r="GD914">
        <v>1.8797484559487505</v>
      </c>
      <c r="GE914">
        <v>2.0993489645798316</v>
      </c>
      <c r="GF914">
        <v>2.375248577306007</v>
      </c>
      <c r="GG914">
        <v>2.0676729991572205</v>
      </c>
      <c r="GH914">
        <v>6.5205441637016133</v>
      </c>
      <c r="GI914">
        <v>5.0725847214313715</v>
      </c>
      <c r="GJ914"/>
      <c r="GK914">
        <v>9.7621845797790918</v>
      </c>
      <c r="GL914">
        <v>7.1291851817057506</v>
      </c>
      <c r="GM914">
        <v>7.3904624963545498</v>
      </c>
      <c r="GN914">
        <v>7.3985191715265097</v>
      </c>
      <c r="GO914">
        <v>7.2970728347233944</v>
      </c>
      <c r="GP914">
        <v>4.019205977845683</v>
      </c>
      <c r="GQ914">
        <v>2.9083043454344271</v>
      </c>
      <c r="GR914">
        <v>2.9083043454344271</v>
      </c>
      <c r="GS914">
        <v>6.950996018701729</v>
      </c>
      <c r="GT914">
        <v>6.8618040549986388</v>
      </c>
      <c r="GU914"/>
      <c r="GV914"/>
      <c r="GW914"/>
      <c r="GX914"/>
      <c r="GY914"/>
      <c r="GZ914"/>
      <c r="HA914"/>
      <c r="HB914"/>
      <c r="HC914"/>
    </row>
    <row r="915" spans="1:211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53.202928850636098</v>
      </c>
      <c r="AO915">
        <v>6.4152191981011146</v>
      </c>
      <c r="AP915">
        <v>3.645806966696699</v>
      </c>
      <c r="AQ915">
        <v>45.502454345899636</v>
      </c>
      <c r="AR915">
        <v>7.1488599976706588</v>
      </c>
      <c r="AS915">
        <v>42.765903639041959</v>
      </c>
      <c r="AT915">
        <v>5.6467868697375332</v>
      </c>
      <c r="AU915">
        <v>0.76468685472200981</v>
      </c>
      <c r="AV915"/>
      <c r="AW915"/>
      <c r="FY915" s="211">
        <v>910</v>
      </c>
      <c r="FZ915">
        <v>6.10139015546702</v>
      </c>
      <c r="GA915">
        <v>9.1313964170384274</v>
      </c>
      <c r="GB915">
        <v>9.1519639079002388</v>
      </c>
      <c r="GC915">
        <v>3.9865721057772396</v>
      </c>
      <c r="GD915">
        <v>1.6292950753209698</v>
      </c>
      <c r="GE915">
        <v>1.9948957619054135</v>
      </c>
      <c r="GF915">
        <v>3.1576983103291019</v>
      </c>
      <c r="GG915">
        <v>3.0255029533317814</v>
      </c>
      <c r="GH915">
        <v>4.3694500302225538</v>
      </c>
      <c r="GI915">
        <v>5.347289387261414</v>
      </c>
      <c r="GJ915"/>
      <c r="GK915">
        <v>6.1310779299162341</v>
      </c>
      <c r="GL915">
        <v>7.7355966551994513</v>
      </c>
      <c r="GM915">
        <v>15.190629412391468</v>
      </c>
      <c r="GN915">
        <v>11.937058054857333</v>
      </c>
      <c r="GO915">
        <v>6.3377138336505352</v>
      </c>
      <c r="GP915">
        <v>3.8192302026518856</v>
      </c>
      <c r="GQ915">
        <v>3.8601698777119449</v>
      </c>
      <c r="GR915">
        <v>4.2513735814156481</v>
      </c>
      <c r="GS915">
        <v>4.6573178412374121</v>
      </c>
      <c r="GT915">
        <v>7.2353817789815196</v>
      </c>
      <c r="GU915"/>
      <c r="GV915"/>
      <c r="GW915"/>
      <c r="GX915"/>
      <c r="GY915"/>
      <c r="GZ915"/>
      <c r="HA915"/>
      <c r="HB915"/>
      <c r="HC915"/>
    </row>
    <row r="916" spans="1:211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66.77802936278988</v>
      </c>
      <c r="AO916">
        <v>7.9583410786747182</v>
      </c>
      <c r="AP916">
        <v>53.330780128663903</v>
      </c>
      <c r="AQ916">
        <v>56.132919898573654</v>
      </c>
      <c r="AR916">
        <v>8.0044725003721044</v>
      </c>
      <c r="AS916">
        <v>51.001603560480063</v>
      </c>
      <c r="AT916" t="e">
        <v>#DIV/0!</v>
      </c>
      <c r="AU916" t="e">
        <v>#DIV/0!</v>
      </c>
      <c r="AV916"/>
      <c r="AW916"/>
      <c r="FY916" s="211">
        <v>911</v>
      </c>
      <c r="FZ916">
        <v>11.939716333139454</v>
      </c>
      <c r="GA916">
        <v>10.799052555017539</v>
      </c>
      <c r="GB916">
        <v>4.7298665501168742</v>
      </c>
      <c r="GC916">
        <v>3.0318227762114089</v>
      </c>
      <c r="GD916">
        <v>1.2955508870344306</v>
      </c>
      <c r="GE916">
        <v>0.8150639673255814</v>
      </c>
      <c r="GF916">
        <v>2.5013550873384638</v>
      </c>
      <c r="GG916">
        <v>2.1288892006015789</v>
      </c>
      <c r="GH916">
        <v>4.8080549988663925</v>
      </c>
      <c r="GI916">
        <v>4.885474033113641</v>
      </c>
      <c r="GJ916"/>
      <c r="GK916">
        <v>11.985838653366807</v>
      </c>
      <c r="GL916">
        <v>9.1498295176213986</v>
      </c>
      <c r="GM916">
        <v>7.8745584572707399</v>
      </c>
      <c r="GN916">
        <v>9.0881539715792385</v>
      </c>
      <c r="GO916">
        <v>5.0217370638036352</v>
      </c>
      <c r="GP916">
        <v>1.5604408914728682</v>
      </c>
      <c r="GQ916">
        <v>3.0605197214646678</v>
      </c>
      <c r="GR916">
        <v>2.9928113881313347</v>
      </c>
      <c r="GS916">
        <v>5.1243140287657649</v>
      </c>
      <c r="GT916">
        <v>6.6133935849343244</v>
      </c>
      <c r="GU916"/>
      <c r="GV916"/>
      <c r="GW916"/>
      <c r="GX916"/>
      <c r="GY916"/>
      <c r="GZ916"/>
      <c r="HA916"/>
      <c r="HB916"/>
      <c r="HC916"/>
    </row>
    <row r="917" spans="1:211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69.808849285196715</v>
      </c>
      <c r="AO917">
        <v>7.9749762132776096</v>
      </c>
      <c r="AP917">
        <v>3.9943213262482549</v>
      </c>
      <c r="AQ917">
        <v>60.942105346247871</v>
      </c>
      <c r="AR917">
        <v>8.1690481923695799</v>
      </c>
      <c r="AS917">
        <v>51.154825552897236</v>
      </c>
      <c r="AT917">
        <v>6.546796165081731</v>
      </c>
      <c r="AU917">
        <v>-1.5038717884964576</v>
      </c>
      <c r="AV917"/>
      <c r="AW917"/>
      <c r="FY917" s="211">
        <v>912</v>
      </c>
      <c r="FZ917">
        <v>9.9015150961924654</v>
      </c>
      <c r="GA917">
        <v>8.4347316132413059</v>
      </c>
      <c r="GB917">
        <v>5.1616478479813788</v>
      </c>
      <c r="GC917">
        <v>2.4369371823734194</v>
      </c>
      <c r="GD917">
        <v>2.4286977530635325</v>
      </c>
      <c r="GE917">
        <v>3.9790448001680678</v>
      </c>
      <c r="GF917">
        <v>3.0938035585363806</v>
      </c>
      <c r="GG917">
        <v>2.9708201341953293</v>
      </c>
      <c r="GH917">
        <v>4.7972176244350679</v>
      </c>
      <c r="GI917">
        <v>5.4464449079476562</v>
      </c>
      <c r="GJ917"/>
      <c r="GK917">
        <v>9.9275502048392159</v>
      </c>
      <c r="GL917">
        <v>7.1463133069844575</v>
      </c>
      <c r="GM917">
        <v>8.5884626010824885</v>
      </c>
      <c r="GN917">
        <v>7.3240093078828998</v>
      </c>
      <c r="GO917">
        <v>9.4247638289610975</v>
      </c>
      <c r="GP917">
        <v>7.6178857906799085</v>
      </c>
      <c r="GQ917">
        <v>3.7865035177609641</v>
      </c>
      <c r="GR917">
        <v>4.1777072214646678</v>
      </c>
      <c r="GS917">
        <v>5.1150654725520113</v>
      </c>
      <c r="GT917">
        <v>7.3684691250391552</v>
      </c>
      <c r="GU917"/>
      <c r="GV917"/>
      <c r="GW917"/>
      <c r="GX917"/>
      <c r="GY917"/>
      <c r="GZ917"/>
      <c r="HA917"/>
      <c r="HB917"/>
      <c r="HC917"/>
    </row>
    <row r="918" spans="1:211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48.868015364360247</v>
      </c>
      <c r="AO918">
        <v>6.2628197021538892</v>
      </c>
      <c r="AP918">
        <v>64.40055593834515</v>
      </c>
      <c r="AQ918">
        <v>42.876060071116221</v>
      </c>
      <c r="AR918">
        <v>6.6001701924536889</v>
      </c>
      <c r="AS918">
        <v>41.023964981359249</v>
      </c>
      <c r="AT918" t="e">
        <v>#DIV/0!</v>
      </c>
      <c r="AU918" t="e">
        <v>#DIV/0!</v>
      </c>
      <c r="AV918"/>
      <c r="AW918"/>
      <c r="FY918" s="211">
        <v>913</v>
      </c>
      <c r="FZ918">
        <v>11.27576539807924</v>
      </c>
      <c r="GA918">
        <v>11.165021937791263</v>
      </c>
      <c r="GB918">
        <v>5.3425835803503015</v>
      </c>
      <c r="GC918">
        <v>2.928567934802826</v>
      </c>
      <c r="GD918">
        <v>1.5919255008565578</v>
      </c>
      <c r="GE918">
        <v>2.4900203919054134</v>
      </c>
      <c r="GF918">
        <v>3.2734813365783513</v>
      </c>
      <c r="GG918">
        <v>2.9838868988111407</v>
      </c>
      <c r="GH918">
        <v>2.2364288688194449</v>
      </c>
      <c r="GI918">
        <v>4.8433058085072025</v>
      </c>
      <c r="GJ918"/>
      <c r="GK918">
        <v>11.298404436109838</v>
      </c>
      <c r="GL918">
        <v>9.459661670608952</v>
      </c>
      <c r="GM918">
        <v>8.884384833201656</v>
      </c>
      <c r="GN918">
        <v>8.7791398237190066</v>
      </c>
      <c r="GO918">
        <v>6.1811000357200729</v>
      </c>
      <c r="GP918">
        <v>4.7671468693185517</v>
      </c>
      <c r="GQ918">
        <v>4.0113098832528173</v>
      </c>
      <c r="GR918">
        <v>4.1993885869565206</v>
      </c>
      <c r="GS918">
        <v>2.3859953703703707</v>
      </c>
      <c r="GT918">
        <v>6.5522389117309512</v>
      </c>
      <c r="GU918"/>
      <c r="GV918"/>
      <c r="GW918"/>
      <c r="GX918"/>
      <c r="GY918"/>
      <c r="GZ918"/>
      <c r="HA918"/>
      <c r="HB918"/>
      <c r="HC918"/>
    </row>
    <row r="919" spans="1:211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59.796054058048888</v>
      </c>
      <c r="AO919">
        <v>6.9711040964952717</v>
      </c>
      <c r="AP919">
        <v>3.9663469966067302</v>
      </c>
      <c r="AQ919">
        <v>50.075899395354824</v>
      </c>
      <c r="AR919">
        <v>7.6219213778137078</v>
      </c>
      <c r="AS919">
        <v>45.817800303023986</v>
      </c>
      <c r="AT919">
        <v>6.1252347818866646</v>
      </c>
      <c r="AU919">
        <v>8.398678543974226</v>
      </c>
      <c r="AV919"/>
      <c r="AW919"/>
      <c r="FY919" s="211">
        <v>914</v>
      </c>
      <c r="FZ919">
        <v>10.730062336597181</v>
      </c>
      <c r="GA919">
        <v>10.014398483520981</v>
      </c>
      <c r="GB919">
        <v>6.9948884155871056</v>
      </c>
      <c r="GC919">
        <v>3.9446048996338283</v>
      </c>
      <c r="GD919">
        <v>2.2365443918836898</v>
      </c>
      <c r="GE919">
        <v>2.5591075495798323</v>
      </c>
      <c r="GF919">
        <v>2.2748833485741229</v>
      </c>
      <c r="GG919">
        <v>2.3063653576943581</v>
      </c>
      <c r="GH919">
        <v>2.8530484324572676</v>
      </c>
      <c r="GI919">
        <v>5.4521804364620952</v>
      </c>
      <c r="GJ919"/>
      <c r="GK919">
        <v>10.772847247308357</v>
      </c>
      <c r="GL919">
        <v>8.4864079019390868</v>
      </c>
      <c r="GM919">
        <v>11.626130774226846</v>
      </c>
      <c r="GN919">
        <v>11.805638815595998</v>
      </c>
      <c r="GO919">
        <v>8.6709850163920201</v>
      </c>
      <c r="GP919">
        <v>4.8994143111790178</v>
      </c>
      <c r="GQ919">
        <v>2.7853172278820928</v>
      </c>
      <c r="GR919">
        <v>3.2442292649191291</v>
      </c>
      <c r="GS919">
        <v>3.0427664514020893</v>
      </c>
      <c r="GT919">
        <v>7.3796093434422794</v>
      </c>
      <c r="GU919"/>
      <c r="GV919"/>
      <c r="GW919"/>
      <c r="GX919"/>
      <c r="GY919"/>
      <c r="GZ919"/>
      <c r="HA919"/>
      <c r="HB919"/>
      <c r="HC919"/>
    </row>
    <row r="920" spans="1:211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62.950747161964856</v>
      </c>
      <c r="AO920">
        <v>7.7926341981017044</v>
      </c>
      <c r="AP920">
        <v>3.9425048420312327</v>
      </c>
      <c r="AQ920">
        <v>56.841882467444698</v>
      </c>
      <c r="AR920">
        <v>8.0202378860111239</v>
      </c>
      <c r="AS920">
        <v>51.737434805139316</v>
      </c>
      <c r="AT920">
        <v>6.4704398587430569</v>
      </c>
      <c r="AU920">
        <v>0.81438949354324741</v>
      </c>
      <c r="AV920"/>
      <c r="AW920"/>
      <c r="FY920" s="211">
        <v>915</v>
      </c>
      <c r="FZ920">
        <v>13.470277508839903</v>
      </c>
      <c r="GA920">
        <v>12.558263582876569</v>
      </c>
      <c r="GB920">
        <v>6.5228375718973739</v>
      </c>
      <c r="GC920">
        <v>2.5854806612126011</v>
      </c>
      <c r="GD920">
        <v>1.1640285107585826</v>
      </c>
      <c r="GE920">
        <v>1.8608884408970099</v>
      </c>
      <c r="GF920">
        <v>1.20049492930329</v>
      </c>
      <c r="GG920">
        <v>0.9966950165485251</v>
      </c>
      <c r="GH920">
        <v>6.8266678435645964</v>
      </c>
      <c r="GI920">
        <v>5.5600931973121313</v>
      </c>
      <c r="GJ920"/>
      <c r="GK920">
        <v>13.529274367569259</v>
      </c>
      <c r="GL920">
        <v>10.640632111202434</v>
      </c>
      <c r="GM920">
        <v>10.842508436800754</v>
      </c>
      <c r="GN920">
        <v>7.7648670640828339</v>
      </c>
      <c r="GO920">
        <v>4.522763828851863</v>
      </c>
      <c r="GP920">
        <v>3.562673034330011</v>
      </c>
      <c r="GQ920">
        <v>1.4687663019561665</v>
      </c>
      <c r="GR920">
        <v>1.4010579686228333</v>
      </c>
      <c r="GS920">
        <v>7.2785380035605591</v>
      </c>
      <c r="GT920">
        <v>7.528370187747722</v>
      </c>
      <c r="GU920"/>
      <c r="GV920"/>
      <c r="GW920"/>
      <c r="GX920"/>
      <c r="GY920"/>
      <c r="GZ920"/>
      <c r="HA920"/>
      <c r="HB920"/>
      <c r="HC920"/>
    </row>
    <row r="921" spans="1:211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64.231136847798851</v>
      </c>
      <c r="AO921">
        <v>7.8686473890294595</v>
      </c>
      <c r="AP921">
        <v>7.4508842548855636</v>
      </c>
      <c r="AQ921">
        <v>59.177932543530524</v>
      </c>
      <c r="AR921">
        <v>8.096013910548427</v>
      </c>
      <c r="AS921">
        <v>48.028422552594314</v>
      </c>
      <c r="AT921">
        <v>6.3917884365444726</v>
      </c>
      <c r="AU921">
        <v>3.2666632024376021</v>
      </c>
      <c r="AV921"/>
      <c r="AW921"/>
      <c r="FY921" s="211">
        <v>916</v>
      </c>
      <c r="FZ921">
        <v>8.6735712401972833</v>
      </c>
      <c r="GA921">
        <v>5.4198565400214234</v>
      </c>
      <c r="GB921">
        <v>4.1742968737633088</v>
      </c>
      <c r="GC921">
        <v>2.9296128623017252</v>
      </c>
      <c r="GD921">
        <v>2.0225214177287771</v>
      </c>
      <c r="GE921">
        <v>2.4108286499452807</v>
      </c>
      <c r="GF921">
        <v>1.7602446225233985</v>
      </c>
      <c r="GG921">
        <v>1.532184007852873</v>
      </c>
      <c r="GH921">
        <v>5.9552467770102968</v>
      </c>
      <c r="GI921">
        <v>4.7290342088037898</v>
      </c>
      <c r="GJ921"/>
      <c r="GK921">
        <v>8.719083854497482</v>
      </c>
      <c r="GL921">
        <v>4.5921448930050488</v>
      </c>
      <c r="GM921">
        <v>6.9179563502215808</v>
      </c>
      <c r="GN921">
        <v>8.7480717065760008</v>
      </c>
      <c r="GO921">
        <v>7.8623660346472128</v>
      </c>
      <c r="GP921">
        <v>4.6155341893628492</v>
      </c>
      <c r="GQ921">
        <v>2.1546811570286302</v>
      </c>
      <c r="GR921">
        <v>2.1546811570286302</v>
      </c>
      <c r="GS921">
        <v>6.3494541969119904</v>
      </c>
      <c r="GT921">
        <v>6.400708318661378</v>
      </c>
      <c r="GU921"/>
      <c r="GV921"/>
      <c r="GW921"/>
      <c r="GX921"/>
      <c r="GY921"/>
      <c r="GZ921"/>
      <c r="HA921"/>
      <c r="HB921"/>
      <c r="HC921"/>
    </row>
    <row r="922" spans="1:211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79.330758735988837</v>
      </c>
      <c r="AO922">
        <v>9.2575707012052249</v>
      </c>
      <c r="AP922">
        <v>5.8101698660834122</v>
      </c>
      <c r="AQ922">
        <v>72.388100738331147</v>
      </c>
      <c r="AR922">
        <v>9.6570491205862261</v>
      </c>
      <c r="AS922">
        <v>57.925440557192175</v>
      </c>
      <c r="AT922">
        <v>7.6349074410462725</v>
      </c>
      <c r="AU922">
        <v>4.8025392178153599</v>
      </c>
      <c r="AV922"/>
      <c r="AW922"/>
      <c r="FY922" s="211">
        <v>917</v>
      </c>
      <c r="FZ922">
        <v>9.7681799714347335</v>
      </c>
      <c r="GA922">
        <v>8.2065882777477057</v>
      </c>
      <c r="GB922">
        <v>5.6969855894651182</v>
      </c>
      <c r="GC922">
        <v>2.5234391215446532</v>
      </c>
      <c r="GD922">
        <v>1.6139345660057829</v>
      </c>
      <c r="GE922">
        <v>2.4192883019054139</v>
      </c>
      <c r="GF922">
        <v>0.67025821634510852</v>
      </c>
      <c r="GG922">
        <v>2.0322550954710144</v>
      </c>
      <c r="GH922">
        <v>6.4051046986149434</v>
      </c>
      <c r="GI922">
        <v>4.903078935398808</v>
      </c>
      <c r="GJ922"/>
      <c r="GK922">
        <v>9.8310535717987282</v>
      </c>
      <c r="GL922">
        <v>6.9531076231426878</v>
      </c>
      <c r="GM922">
        <v>9.4703141951086494</v>
      </c>
      <c r="GN922">
        <v>7.5665302533694421</v>
      </c>
      <c r="GO922">
        <v>6.256946741198222</v>
      </c>
      <c r="GP922">
        <v>4.6317302026518865</v>
      </c>
      <c r="GQ922">
        <v>0.82133152173913027</v>
      </c>
      <c r="GR922">
        <v>2.8601046698872783</v>
      </c>
      <c r="GS922">
        <v>6.8280253758459963</v>
      </c>
      <c r="GT922">
        <v>6.6415342811381466</v>
      </c>
      <c r="GU922"/>
      <c r="GV922"/>
      <c r="GW922"/>
      <c r="GX922"/>
      <c r="GY922"/>
      <c r="GZ922"/>
      <c r="HA922"/>
      <c r="HB922"/>
      <c r="HC922"/>
    </row>
    <row r="923" spans="1:211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67.372636934913032</v>
      </c>
      <c r="AO923">
        <v>8.2566394529290417</v>
      </c>
      <c r="AP923">
        <v>121.91458715732955</v>
      </c>
      <c r="AQ923">
        <v>57.434242422106728</v>
      </c>
      <c r="AR923">
        <v>8.8244066122016207</v>
      </c>
      <c r="AS923">
        <v>57.647418406025878</v>
      </c>
      <c r="AT923" t="e">
        <v>#DIV/0!</v>
      </c>
      <c r="AU923" t="e">
        <v>#DIV/0!</v>
      </c>
      <c r="AV923"/>
      <c r="AW923"/>
      <c r="FY923" s="211">
        <v>918</v>
      </c>
      <c r="FZ923">
        <v>6.6691241783001143</v>
      </c>
      <c r="GA923">
        <v>6.6972929158625742</v>
      </c>
      <c r="GB923">
        <v>6.2466731901157058</v>
      </c>
      <c r="GC923">
        <v>3.7852115597603384</v>
      </c>
      <c r="GD923">
        <v>1.6050949167235671</v>
      </c>
      <c r="GE923">
        <v>1.6664967726196991</v>
      </c>
      <c r="GF923">
        <v>0.7185549812303732</v>
      </c>
      <c r="GG923">
        <v>0.90314713503810828</v>
      </c>
      <c r="GH923">
        <v>3.913842227594285</v>
      </c>
      <c r="GI923">
        <v>4.1971631311156719</v>
      </c>
      <c r="GJ923"/>
      <c r="GK923">
        <v>6.6859836867060904</v>
      </c>
      <c r="GL923">
        <v>5.6729550850932924</v>
      </c>
      <c r="GM923">
        <v>10.463416062446491</v>
      </c>
      <c r="GN923">
        <v>11.466822995622749</v>
      </c>
      <c r="GO923">
        <v>6.2431387055302041</v>
      </c>
      <c r="GP923">
        <v>3.190509964556647</v>
      </c>
      <c r="GQ923">
        <v>0.87819917232653688</v>
      </c>
      <c r="GR923">
        <v>1.2694028760302405</v>
      </c>
      <c r="GS923">
        <v>4.173557799876594</v>
      </c>
      <c r="GT923">
        <v>5.6888590853771834</v>
      </c>
      <c r="GU923"/>
      <c r="GV923"/>
      <c r="GW923"/>
      <c r="GX923"/>
      <c r="GY923"/>
      <c r="GZ923"/>
      <c r="HA923"/>
      <c r="HB923"/>
      <c r="HC923"/>
    </row>
    <row r="924" spans="1:211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50.463530908600482</v>
      </c>
      <c r="AO924">
        <v>6.0136161113831337</v>
      </c>
      <c r="AP924">
        <v>57.566533006007603</v>
      </c>
      <c r="AQ924">
        <v>44.336660377219452</v>
      </c>
      <c r="AR924">
        <v>6.356339360699466</v>
      </c>
      <c r="AS924">
        <v>39.038544529216836</v>
      </c>
      <c r="AT924" t="e">
        <v>#DIV/0!</v>
      </c>
      <c r="AU924" t="e">
        <v>#DIV/0!</v>
      </c>
      <c r="AV924"/>
      <c r="AW924"/>
      <c r="FY924" s="211">
        <v>919</v>
      </c>
      <c r="FZ924">
        <v>12.892153283936221</v>
      </c>
      <c r="GA924">
        <v>10.969054196138611</v>
      </c>
      <c r="GB924">
        <v>5.6769339785510606</v>
      </c>
      <c r="GC924">
        <v>2.8609912033514058</v>
      </c>
      <c r="GD924">
        <v>1.5131475450155227</v>
      </c>
      <c r="GE924">
        <v>2.2424580769054132</v>
      </c>
      <c r="GF924">
        <v>1.767202119200634</v>
      </c>
      <c r="GG924">
        <v>2.2871004422441126</v>
      </c>
      <c r="GH924">
        <v>4.9422639755022439</v>
      </c>
      <c r="GI924">
        <v>5.2721094628131437</v>
      </c>
      <c r="GJ924"/>
      <c r="GK924">
        <v>12.942659393775291</v>
      </c>
      <c r="GL924">
        <v>9.2967129173753289</v>
      </c>
      <c r="GM924">
        <v>9.4425892343284126</v>
      </c>
      <c r="GN924">
        <v>8.5759968940457547</v>
      </c>
      <c r="GO924">
        <v>5.8654222083159846</v>
      </c>
      <c r="GP924">
        <v>4.2931885359852187</v>
      </c>
      <c r="GQ924">
        <v>2.165521839774557</v>
      </c>
      <c r="GR924">
        <v>3.218762580515298</v>
      </c>
      <c r="GS924">
        <v>5.2710876375534479</v>
      </c>
      <c r="GT924">
        <v>7.1374560627495391</v>
      </c>
      <c r="GU924"/>
      <c r="GV924"/>
      <c r="GW924"/>
      <c r="GX924"/>
      <c r="GY924"/>
      <c r="GZ924"/>
      <c r="HA924"/>
      <c r="HB924"/>
      <c r="HC924"/>
    </row>
    <row r="925" spans="1:211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52.122836967290461</v>
      </c>
      <c r="AO925">
        <v>6.2626039006504204</v>
      </c>
      <c r="AP925">
        <v>116.15783243086008</v>
      </c>
      <c r="AQ925">
        <v>45.092934412873589</v>
      </c>
      <c r="AR925">
        <v>6.861804054998637</v>
      </c>
      <c r="AS925">
        <v>44.032263473885479</v>
      </c>
      <c r="AT925" t="e">
        <v>#DIV/0!</v>
      </c>
      <c r="AU925" t="e">
        <v>#DIV/0!</v>
      </c>
      <c r="AV925"/>
      <c r="AW925"/>
      <c r="FY925" s="211">
        <v>920</v>
      </c>
      <c r="FZ925">
        <v>11.179338246723617</v>
      </c>
      <c r="GA925">
        <v>12.590989682571898</v>
      </c>
      <c r="GB925">
        <v>4.977797608130242</v>
      </c>
      <c r="GC925">
        <v>1.9056870926114893</v>
      </c>
      <c r="GD925">
        <v>1.5324906559332154</v>
      </c>
      <c r="GE925">
        <v>2.3040883755882349</v>
      </c>
      <c r="GF925">
        <v>2.3752485773060066</v>
      </c>
      <c r="GG925">
        <v>2.4418645251988869</v>
      </c>
      <c r="GH925">
        <v>4.3451592596216129</v>
      </c>
      <c r="GI925">
        <v>4.8729324637746867</v>
      </c>
      <c r="GJ925"/>
      <c r="GK925">
        <v>11.220047451879232</v>
      </c>
      <c r="GL925">
        <v>10.669717202610657</v>
      </c>
      <c r="GM925">
        <v>8.2376769051536485</v>
      </c>
      <c r="GN925">
        <v>5.6804552373835833</v>
      </c>
      <c r="GO925">
        <v>5.9593986456372638</v>
      </c>
      <c r="GP925">
        <v>4.4111798128342237</v>
      </c>
      <c r="GQ925">
        <v>2.9083043454344271</v>
      </c>
      <c r="GR925">
        <v>3.4349247158047973</v>
      </c>
      <c r="GS925">
        <v>4.632492974196122</v>
      </c>
      <c r="GT925">
        <v>6.5915840644601387</v>
      </c>
      <c r="GU925"/>
      <c r="GV925"/>
      <c r="GW925"/>
      <c r="GX925"/>
      <c r="GY925"/>
      <c r="GZ925"/>
      <c r="HA925"/>
      <c r="HB925"/>
      <c r="HC925"/>
    </row>
    <row r="926" spans="1:211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65.030975131084318</v>
      </c>
      <c r="AO926">
        <v>7.1155549168013437</v>
      </c>
      <c r="AP926">
        <v>6.275080718664916</v>
      </c>
      <c r="AQ926">
        <v>47.895454104554155</v>
      </c>
      <c r="AR926">
        <v>7.2353817789815205</v>
      </c>
      <c r="AS926">
        <v>41.784108029355643</v>
      </c>
      <c r="AT926">
        <v>5.7235096745346334</v>
      </c>
      <c r="AU926">
        <v>4.125371078012984</v>
      </c>
      <c r="AV926"/>
      <c r="AW926"/>
      <c r="FY926" s="211">
        <v>921</v>
      </c>
      <c r="FZ926">
        <v>11.931005012391875</v>
      </c>
      <c r="GA926">
        <v>6.9031213800511857</v>
      </c>
      <c r="GB926">
        <v>4.9706641480363896</v>
      </c>
      <c r="GC926">
        <v>2.8286476968666974</v>
      </c>
      <c r="GD926">
        <v>0.62790907676948049</v>
      </c>
      <c r="GE926">
        <v>0.56585671999999998</v>
      </c>
      <c r="GF926">
        <v>0.78076673947010866</v>
      </c>
      <c r="GG926">
        <v>0.53548899130434779</v>
      </c>
      <c r="GH926">
        <v>4.3419703229308473</v>
      </c>
      <c r="GI926">
        <v>4.1746225977296563</v>
      </c>
      <c r="GJ926"/>
      <c r="GK926">
        <v>11.97893587267489</v>
      </c>
      <c r="GL926">
        <v>5.849585369195526</v>
      </c>
      <c r="GM926">
        <v>8.2661955412625492</v>
      </c>
      <c r="GN926">
        <v>8.470075819901469</v>
      </c>
      <c r="GO926">
        <v>2.4330967675688622</v>
      </c>
      <c r="GP926">
        <v>1.0833333333333333</v>
      </c>
      <c r="GQ926">
        <v>0.95674818840579701</v>
      </c>
      <c r="GR926">
        <v>0.75362318840579701</v>
      </c>
      <c r="GS926">
        <v>4.6262983631135386</v>
      </c>
      <c r="GT926">
        <v>5.6522549466051286</v>
      </c>
      <c r="GU926"/>
      <c r="GV926"/>
      <c r="GW926"/>
      <c r="GX926"/>
      <c r="GY926"/>
      <c r="GZ926"/>
      <c r="HA926"/>
      <c r="HB926"/>
      <c r="HC926"/>
    </row>
    <row r="927" spans="1:211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53.065545785666288</v>
      </c>
      <c r="AO927">
        <v>6.2471597278410771</v>
      </c>
      <c r="AP927">
        <v>62.015007639416446</v>
      </c>
      <c r="AQ927">
        <v>46.934846388765365</v>
      </c>
      <c r="AR927">
        <v>6.6133935849343217</v>
      </c>
      <c r="AS927">
        <v>39.754916876181973</v>
      </c>
      <c r="AT927" t="e">
        <v>#DIV/0!</v>
      </c>
      <c r="AU927" t="e">
        <v>#DIV/0!</v>
      </c>
      <c r="AV927"/>
      <c r="AW927"/>
      <c r="FY927" s="211">
        <v>922</v>
      </c>
      <c r="FZ927">
        <v>7.4524028789211378</v>
      </c>
      <c r="GA927">
        <v>7.3382637322445738</v>
      </c>
      <c r="GB927">
        <v>5.7966040541746189</v>
      </c>
      <c r="GC927">
        <v>2.9730177525271917</v>
      </c>
      <c r="GD927">
        <v>2.5510760900111382</v>
      </c>
      <c r="GE927">
        <v>3.6783118384453783</v>
      </c>
      <c r="GF927">
        <v>3.1646558070063375</v>
      </c>
      <c r="GG927">
        <v>2.6578448095980201</v>
      </c>
      <c r="GH927">
        <v>4.6618184901531095</v>
      </c>
      <c r="GI927">
        <v>5.3008992470455141</v>
      </c>
      <c r="GJ927"/>
      <c r="GK927">
        <v>7.5000477030019681</v>
      </c>
      <c r="GL927">
        <v>6.2172563871392263</v>
      </c>
      <c r="GM927">
        <v>9.6379027289944936</v>
      </c>
      <c r="GN927">
        <v>8.926688689628282</v>
      </c>
      <c r="GO927">
        <v>9.9109811728554025</v>
      </c>
      <c r="GP927">
        <v>7.0421321937866059</v>
      </c>
      <c r="GQ927">
        <v>3.8710105604578717</v>
      </c>
      <c r="GR927">
        <v>3.7355938937912048</v>
      </c>
      <c r="GS927">
        <v>4.9692391375337088</v>
      </c>
      <c r="GT927">
        <v>7.1778362605686885</v>
      </c>
      <c r="GU927"/>
      <c r="GV927"/>
      <c r="GW927"/>
      <c r="GX927"/>
      <c r="GY927"/>
      <c r="GZ927"/>
      <c r="HA927"/>
      <c r="HB927"/>
      <c r="HC927"/>
    </row>
    <row r="928" spans="1:211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58.876679136127606</v>
      </c>
      <c r="AO928">
        <v>7.047673037724687</v>
      </c>
      <c r="AP928">
        <v>5.155337226103927</v>
      </c>
      <c r="AQ928">
        <v>48.650860518134607</v>
      </c>
      <c r="AR928">
        <v>7.3684691250391552</v>
      </c>
      <c r="AS928">
        <v>47.519380506720069</v>
      </c>
      <c r="AT928">
        <v>5.9409621448405403</v>
      </c>
      <c r="AU928">
        <v>6.7814064723628755</v>
      </c>
      <c r="AV928"/>
      <c r="AW928"/>
      <c r="FY928" s="211">
        <v>923</v>
      </c>
      <c r="FZ928">
        <v>14.950341466632175</v>
      </c>
      <c r="GA928">
        <v>12.692614325947977</v>
      </c>
      <c r="GB928">
        <v>4.8901737609276417</v>
      </c>
      <c r="GC928">
        <v>2.268250966392749</v>
      </c>
      <c r="GD928">
        <v>1.1750051294728681</v>
      </c>
      <c r="GE928">
        <v>1.4971234066112962</v>
      </c>
      <c r="GF928">
        <v>3.0159938133891888</v>
      </c>
      <c r="GG928">
        <v>2.5288790244013981</v>
      </c>
      <c r="GH928">
        <v>4.3461368202624735</v>
      </c>
      <c r="GI928">
        <v>5.3225858366134196</v>
      </c>
      <c r="GJ928"/>
      <c r="GK928">
        <v>15.013099106961047</v>
      </c>
      <c r="GL928">
        <v>10.752961138281071</v>
      </c>
      <c r="GM928">
        <v>8.1370881904101235</v>
      </c>
      <c r="GN928">
        <v>6.8205444366137815</v>
      </c>
      <c r="GO928">
        <v>4.5653233526613866</v>
      </c>
      <c r="GP928">
        <v>2.8662444629014403</v>
      </c>
      <c r="GQ928">
        <v>3.6911557923181304</v>
      </c>
      <c r="GR928">
        <v>3.5557391256514634</v>
      </c>
      <c r="GS928">
        <v>4.6289006774149684</v>
      </c>
      <c r="GT928">
        <v>7.20711342395313</v>
      </c>
      <c r="GU928"/>
      <c r="GV928"/>
      <c r="GW928"/>
      <c r="GX928"/>
      <c r="GY928"/>
      <c r="GZ928"/>
      <c r="HA928"/>
      <c r="HB928"/>
      <c r="HC928"/>
    </row>
    <row r="929" spans="1:211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57.188965473344844</v>
      </c>
      <c r="AO929">
        <v>6.6518770420988744</v>
      </c>
      <c r="AP929">
        <v>2.4172846724762707</v>
      </c>
      <c r="AQ929">
        <v>48.130987656501738</v>
      </c>
      <c r="AR929">
        <v>6.552238911730953</v>
      </c>
      <c r="AS929">
        <v>43.23088113097873</v>
      </c>
      <c r="AT929">
        <v>5.2564175005283502</v>
      </c>
      <c r="AU929">
        <v>5.3889749300846921</v>
      </c>
      <c r="AV929"/>
      <c r="AW929"/>
      <c r="FY929" s="211">
        <v>924</v>
      </c>
      <c r="FZ929">
        <v>15.091297134749373</v>
      </c>
      <c r="GA929">
        <v>15.426793598234713</v>
      </c>
      <c r="GB929">
        <v>5.0761932037375459</v>
      </c>
      <c r="GC929">
        <v>2.6392048476709604</v>
      </c>
      <c r="GD929">
        <v>1.5868181871469285</v>
      </c>
      <c r="GE929">
        <v>1.8164206045798319</v>
      </c>
      <c r="GF929">
        <v>1.8310968709933551</v>
      </c>
      <c r="GG929">
        <v>1.9675917353388979</v>
      </c>
      <c r="GH929">
        <v>3.9692793064802099</v>
      </c>
      <c r="GI929">
        <v>5.3525427563625447</v>
      </c>
      <c r="GJ929"/>
      <c r="GK929">
        <v>15.130264192727877</v>
      </c>
      <c r="GL929">
        <v>13.072129917613788</v>
      </c>
      <c r="GM929">
        <v>8.4419311726535895</v>
      </c>
      <c r="GN929">
        <v>7.9291742873593698</v>
      </c>
      <c r="GO929">
        <v>6.1715304240322437</v>
      </c>
      <c r="GP929">
        <v>3.4775393111790169</v>
      </c>
      <c r="GQ929">
        <v>2.2391881997255374</v>
      </c>
      <c r="GR929">
        <v>2.7658085700959076</v>
      </c>
      <c r="GS929">
        <v>4.2302439208265907</v>
      </c>
      <c r="GT929">
        <v>7.2426315819931659</v>
      </c>
      <c r="GU929"/>
      <c r="GV929"/>
      <c r="GW929"/>
      <c r="GX929"/>
      <c r="GY929"/>
      <c r="GZ929"/>
      <c r="HA929"/>
      <c r="HB929"/>
      <c r="HC929"/>
    </row>
    <row r="930" spans="1:211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58.979661525086577</v>
      </c>
      <c r="AO930">
        <v>7.2713346354286914</v>
      </c>
      <c r="AP930">
        <v>3.7549990680004353</v>
      </c>
      <c r="AQ930">
        <v>49.366083651990458</v>
      </c>
      <c r="AR930">
        <v>7.3796093434422776</v>
      </c>
      <c r="AS930">
        <v>46.315951080241199</v>
      </c>
      <c r="AT930">
        <v>5.944279643135765</v>
      </c>
      <c r="AU930">
        <v>8.7454112429706257</v>
      </c>
      <c r="AV930"/>
      <c r="AW930"/>
      <c r="FY930" s="211">
        <v>925</v>
      </c>
      <c r="FZ930">
        <v>12.294236912887817</v>
      </c>
      <c r="GA930">
        <v>8.9277519084647352</v>
      </c>
      <c r="GB930">
        <v>4.6527198149849651</v>
      </c>
      <c r="GC930">
        <v>2.8187671789090261</v>
      </c>
      <c r="GD930">
        <v>2.8584657797964623</v>
      </c>
      <c r="GE930">
        <v>4.7866519085020522</v>
      </c>
      <c r="GF930">
        <v>3.4909762647848699</v>
      </c>
      <c r="GG930">
        <v>3.3642765756872417</v>
      </c>
      <c r="GH930">
        <v>4.8526547033209937</v>
      </c>
      <c r="GI930">
        <v>6.0015568550794338</v>
      </c>
      <c r="GJ930"/>
      <c r="GK930">
        <v>12.35129517301035</v>
      </c>
      <c r="GL930">
        <v>7.5650033376545096</v>
      </c>
      <c r="GM930">
        <v>7.7439105729655706</v>
      </c>
      <c r="GN930">
        <v>8.4493667030832462</v>
      </c>
      <c r="GO930">
        <v>11.083098136188935</v>
      </c>
      <c r="GP930">
        <v>9.1640505171413178</v>
      </c>
      <c r="GQ930">
        <v>4.2708822392018329</v>
      </c>
      <c r="GR930">
        <v>4.7297942762388701</v>
      </c>
      <c r="GS930">
        <v>5.171751593502008</v>
      </c>
      <c r="GT930">
        <v>8.1241875429737398</v>
      </c>
      <c r="GU930"/>
      <c r="GV930"/>
      <c r="GW930"/>
      <c r="GX930"/>
      <c r="GY930"/>
      <c r="GZ930"/>
      <c r="HA930"/>
      <c r="HB930"/>
      <c r="HC930"/>
    </row>
    <row r="931" spans="1:211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57.151420634626234</v>
      </c>
      <c r="AO931">
        <v>6.8539451304724439</v>
      </c>
      <c r="AP931">
        <v>87.559884301480125</v>
      </c>
      <c r="AQ931">
        <v>52.745727263210568</v>
      </c>
      <c r="AR931">
        <v>7.5283701877477212</v>
      </c>
      <c r="AS931">
        <v>45.008213971782141</v>
      </c>
      <c r="AT931" t="e">
        <v>#DIV/0!</v>
      </c>
      <c r="AU931" t="e">
        <v>#DIV/0!</v>
      </c>
      <c r="AV931"/>
      <c r="AW931"/>
      <c r="FY931" s="211">
        <v>926</v>
      </c>
      <c r="FZ931">
        <v>13.5719599938021</v>
      </c>
      <c r="GA931">
        <v>13.380122896623737</v>
      </c>
      <c r="GB931">
        <v>6.3599414629079627</v>
      </c>
      <c r="GC931">
        <v>3.2009757175861226</v>
      </c>
      <c r="GD931">
        <v>0.94624241672286835</v>
      </c>
      <c r="GE931">
        <v>0.92116210232558149</v>
      </c>
      <c r="GF931">
        <v>0.59244847119791655</v>
      </c>
      <c r="GG931">
        <v>0.46773940755208332</v>
      </c>
      <c r="GH931">
        <v>4.7382247777121655</v>
      </c>
      <c r="GI931">
        <v>4.9712135240143756</v>
      </c>
      <c r="GJ931"/>
      <c r="GK931">
        <v>13.612105877961618</v>
      </c>
      <c r="GL931">
        <v>11.338787562405283</v>
      </c>
      <c r="GM931">
        <v>10.57385826535282</v>
      </c>
      <c r="GN931">
        <v>9.5967875482315108</v>
      </c>
      <c r="GO931">
        <v>3.6783441859947201</v>
      </c>
      <c r="GP931">
        <v>1.7635658914728685</v>
      </c>
      <c r="GQ931">
        <v>0.72598379629629617</v>
      </c>
      <c r="GR931">
        <v>0.65827546296296291</v>
      </c>
      <c r="GS931">
        <v>5.0496688943645145</v>
      </c>
      <c r="GT931">
        <v>6.7279922039939937</v>
      </c>
      <c r="GU931"/>
      <c r="GV931"/>
      <c r="GW931"/>
      <c r="GX931"/>
      <c r="GY931"/>
      <c r="GZ931"/>
      <c r="HA931"/>
      <c r="HB931"/>
      <c r="HC931"/>
    </row>
    <row r="932" spans="1:211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47.181860082139217</v>
      </c>
      <c r="AO932">
        <v>5.8514681857940811</v>
      </c>
      <c r="AP932">
        <v>101.82955650431907</v>
      </c>
      <c r="AQ932">
        <v>39.607397200148149</v>
      </c>
      <c r="AR932">
        <v>6.4007083186613798</v>
      </c>
      <c r="AS932">
        <v>42.743910236235187</v>
      </c>
      <c r="AT932" t="e">
        <v>#DIV/0!</v>
      </c>
      <c r="AU932" t="e">
        <v>#DIV/0!</v>
      </c>
      <c r="AV932"/>
      <c r="AW932"/>
      <c r="FY932" s="211">
        <v>927</v>
      </c>
      <c r="FZ932">
        <v>11.378757805025401</v>
      </c>
      <c r="GA932">
        <v>10.733986502779473</v>
      </c>
      <c r="GB932">
        <v>6.6875954263797412</v>
      </c>
      <c r="GC932">
        <v>2.8940309581481642</v>
      </c>
      <c r="GD932">
        <v>1.8955304994539608</v>
      </c>
      <c r="GE932">
        <v>2.8790468869054147</v>
      </c>
      <c r="GF932">
        <v>3.1094015454438373</v>
      </c>
      <c r="GG932">
        <v>3.4062278616813542</v>
      </c>
      <c r="GH932">
        <v>5.894463533527456</v>
      </c>
      <c r="GI932">
        <v>5.9066382849673378</v>
      </c>
      <c r="GJ932"/>
      <c r="GK932">
        <v>11.420363095423173</v>
      </c>
      <c r="GL932">
        <v>9.0945415134386138</v>
      </c>
      <c r="GM932">
        <v>11.074655596087389</v>
      </c>
      <c r="GN932">
        <v>8.6248030914563412</v>
      </c>
      <c r="GO932">
        <v>7.359008497173738</v>
      </c>
      <c r="GP932">
        <v>5.5119385359852204</v>
      </c>
      <c r="GQ932">
        <v>3.8033022271245382</v>
      </c>
      <c r="GR932">
        <v>4.7888346345319457</v>
      </c>
      <c r="GS932">
        <v>6.2822883123468838</v>
      </c>
      <c r="GT932">
        <v>7.987923545631145</v>
      </c>
      <c r="GU932"/>
      <c r="GV932"/>
      <c r="GW932"/>
      <c r="GX932"/>
      <c r="GY932"/>
      <c r="GZ932"/>
      <c r="HA932"/>
      <c r="HB932"/>
      <c r="HC932"/>
    </row>
    <row r="933" spans="1:211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51.83820681660724</v>
      </c>
      <c r="AO933">
        <v>6.1860678435880168</v>
      </c>
      <c r="AP933">
        <v>2.9600594851185287</v>
      </c>
      <c r="AQ933">
        <v>44.239112773933279</v>
      </c>
      <c r="AR933">
        <v>6.6415342811381457</v>
      </c>
      <c r="AS933">
        <v>40.33207101669138</v>
      </c>
      <c r="AT933">
        <v>5.2622024965324892</v>
      </c>
      <c r="AU933">
        <v>3.2458800961628356</v>
      </c>
      <c r="AV933"/>
      <c r="AW933"/>
      <c r="FY933" s="211">
        <v>928</v>
      </c>
      <c r="FZ933">
        <v>12.941390779945056</v>
      </c>
      <c r="GA933">
        <v>8.3171882459329662</v>
      </c>
      <c r="GB933">
        <v>5.1651726508659621</v>
      </c>
      <c r="GC933">
        <v>3.2257249405013551</v>
      </c>
      <c r="GD933">
        <v>0.88910441215259739</v>
      </c>
      <c r="GE933">
        <v>1.0003538442857145</v>
      </c>
      <c r="GF933">
        <v>2.508312584015699</v>
      </c>
      <c r="GG933">
        <v>2.5096141089511512</v>
      </c>
      <c r="GH933">
        <v>5.8868576879576393</v>
      </c>
      <c r="GI933">
        <v>5.0816544936176786</v>
      </c>
      <c r="GJ933"/>
      <c r="GK933">
        <v>12.987080747742304</v>
      </c>
      <c r="GL933">
        <v>7.0485694473585845</v>
      </c>
      <c r="GM933">
        <v>8.6329821714335715</v>
      </c>
      <c r="GN933">
        <v>9.7187048018220814</v>
      </c>
      <c r="GO933">
        <v>3.4465707052130026</v>
      </c>
      <c r="GP933">
        <v>1.9151785714285716</v>
      </c>
      <c r="GQ933">
        <v>3.0713604042105942</v>
      </c>
      <c r="GR933">
        <v>3.5302724412476314</v>
      </c>
      <c r="GS933">
        <v>6.2768213633559684</v>
      </c>
      <c r="GT933">
        <v>6.8829630783910885</v>
      </c>
      <c r="GU933"/>
      <c r="GV933"/>
      <c r="GW933"/>
      <c r="GX933"/>
      <c r="GY933"/>
      <c r="GZ933"/>
      <c r="HA933"/>
      <c r="HB933"/>
      <c r="HC933"/>
    </row>
    <row r="934" spans="1:211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44.512976563116567</v>
      </c>
      <c r="AO934">
        <v>5.5732845433566034</v>
      </c>
      <c r="AP934">
        <v>6.9551989590006951</v>
      </c>
      <c r="AQ934">
        <v>36.402601008360435</v>
      </c>
      <c r="AR934">
        <v>5.6888590853771834</v>
      </c>
      <c r="AS934">
        <v>33.083966127350813</v>
      </c>
      <c r="AT934">
        <v>4.4727491958807919</v>
      </c>
      <c r="AU934">
        <v>3.7126715443917058</v>
      </c>
      <c r="AV934"/>
      <c r="AW934"/>
      <c r="FY934" s="211">
        <v>929</v>
      </c>
      <c r="FZ934">
        <v>16.796935722792302</v>
      </c>
      <c r="GA934">
        <v>16.482970197844423</v>
      </c>
      <c r="GB934">
        <v>7.6510240494166926</v>
      </c>
      <c r="GC934">
        <v>3.8825328143222837</v>
      </c>
      <c r="GD934">
        <v>1.7745327362869858</v>
      </c>
      <c r="GE934">
        <v>2.6931148705882353</v>
      </c>
      <c r="GF934">
        <v>3.1163590421210725</v>
      </c>
      <c r="GG934">
        <v>3.412761243989261</v>
      </c>
      <c r="GH934">
        <v>5.3319647163623287</v>
      </c>
      <c r="GI934">
        <v>6.7913560671178388</v>
      </c>
      <c r="GJ934"/>
      <c r="GK934">
        <v>16.845699004371848</v>
      </c>
      <c r="GL934">
        <v>13.966173843531145</v>
      </c>
      <c r="GM934">
        <v>12.707521253462785</v>
      </c>
      <c r="GN934">
        <v>11.616530170125902</v>
      </c>
      <c r="GO934">
        <v>6.8891210744738407</v>
      </c>
      <c r="GP934">
        <v>5.1559714795008915</v>
      </c>
      <c r="GQ934">
        <v>3.8141429098704651</v>
      </c>
      <c r="GR934">
        <v>4.7996753172778739</v>
      </c>
      <c r="GS934">
        <v>5.6874661596720033</v>
      </c>
      <c r="GT934">
        <v>9.1887900803701879</v>
      </c>
      <c r="GU934"/>
      <c r="GV934"/>
      <c r="GW934"/>
      <c r="GX934"/>
      <c r="GY934"/>
      <c r="GZ934"/>
      <c r="HA934"/>
      <c r="HB934"/>
      <c r="HC934"/>
    </row>
    <row r="935" spans="1:211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53.903912617812566</v>
      </c>
      <c r="AO935">
        <v>6.8209397304418831</v>
      </c>
      <c r="AP935">
        <v>28.825346579949461</v>
      </c>
      <c r="AQ935">
        <v>50.42341428365836</v>
      </c>
      <c r="AR935">
        <v>7.1374560627495409</v>
      </c>
      <c r="AS935">
        <v>46.830400503970047</v>
      </c>
      <c r="AT935" t="e">
        <v>#DIV/0!</v>
      </c>
      <c r="AU935" t="e">
        <v>#DIV/0!</v>
      </c>
      <c r="AV935"/>
      <c r="AW935"/>
      <c r="FY935" s="211">
        <v>930</v>
      </c>
      <c r="FZ935">
        <v>20.682096350178469</v>
      </c>
      <c r="GA935">
        <v>22.347555386856278</v>
      </c>
      <c r="GB935">
        <v>5.9845451526977449</v>
      </c>
      <c r="GC935">
        <v>3.6083704280028459</v>
      </c>
      <c r="GD935">
        <v>1.8069108150702708</v>
      </c>
      <c r="GE935">
        <v>1.93162053089701</v>
      </c>
      <c r="GF935">
        <v>2.9054852902641888</v>
      </c>
      <c r="GG935">
        <v>3.6514536025263982</v>
      </c>
      <c r="GH935">
        <v>6.8512401982412019</v>
      </c>
      <c r="GI935">
        <v>7.1812829881470837</v>
      </c>
      <c r="GJ935"/>
      <c r="GK935">
        <v>20.728978217328244</v>
      </c>
      <c r="GL935">
        <v>18.935991264654547</v>
      </c>
      <c r="GM935">
        <v>9.9873847482201619</v>
      </c>
      <c r="GN935">
        <v>10.866617515391777</v>
      </c>
      <c r="GO935">
        <v>7.0161484807817169</v>
      </c>
      <c r="GP935">
        <v>3.698089700996678</v>
      </c>
      <c r="GQ935">
        <v>3.5557391256514634</v>
      </c>
      <c r="GR935">
        <v>5.1356002367625742</v>
      </c>
      <c r="GS935">
        <v>7.3046128654937252</v>
      </c>
      <c r="GT935">
        <v>9.7185726874950618</v>
      </c>
      <c r="GU935"/>
      <c r="GV935"/>
      <c r="GW935"/>
      <c r="GX935"/>
      <c r="GY935"/>
      <c r="GZ935"/>
      <c r="HA935"/>
      <c r="HB935"/>
      <c r="HC935"/>
    </row>
    <row r="936" spans="1:211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56.702188547893613</v>
      </c>
      <c r="AO936">
        <v>6.3745781355394104</v>
      </c>
      <c r="AP936">
        <v>36.710985238665195</v>
      </c>
      <c r="AQ936">
        <v>48.525596487459886</v>
      </c>
      <c r="AR936">
        <v>6.5915840644601378</v>
      </c>
      <c r="AS936">
        <v>42.34953381458034</v>
      </c>
      <c r="AT936" t="e">
        <v>#DIV/0!</v>
      </c>
      <c r="AU936" t="e">
        <v>#DIV/0!</v>
      </c>
      <c r="AV936"/>
      <c r="AW936"/>
      <c r="FY936" s="211">
        <v>931</v>
      </c>
      <c r="FZ936">
        <v>5.5759162739740127</v>
      </c>
      <c r="GA936">
        <v>4.6676882218785352</v>
      </c>
      <c r="GB936">
        <v>4.3872279688727787</v>
      </c>
      <c r="GC936">
        <v>3.1168877946327287</v>
      </c>
      <c r="GD936">
        <v>1.371725908771821</v>
      </c>
      <c r="GE936">
        <v>1.0272602373255812</v>
      </c>
      <c r="GF936">
        <v>0.66330071966787318</v>
      </c>
      <c r="GG936">
        <v>1.6515301871214416</v>
      </c>
      <c r="GH936">
        <v>5.2679478312215284</v>
      </c>
      <c r="GI936">
        <v>3.6425313816630291</v>
      </c>
      <c r="GJ936"/>
      <c r="GK936">
        <v>5.595568173551051</v>
      </c>
      <c r="GL936">
        <v>3.9559691486787245</v>
      </c>
      <c r="GM936">
        <v>7.2624252730091108</v>
      </c>
      <c r="GN936">
        <v>9.2991607788734143</v>
      </c>
      <c r="GO936">
        <v>5.3477884031587539</v>
      </c>
      <c r="GP936">
        <v>1.9666908914728682</v>
      </c>
      <c r="GQ936">
        <v>0.81049083899320351</v>
      </c>
      <c r="GR936">
        <v>2.3226436167709812</v>
      </c>
      <c r="GS936">
        <v>5.6165204374300419</v>
      </c>
      <c r="GT936">
        <v>4.9265586252284326</v>
      </c>
      <c r="GU936"/>
      <c r="GV936"/>
      <c r="GW936"/>
      <c r="GX936"/>
      <c r="GY936"/>
      <c r="GZ936"/>
      <c r="HA936"/>
      <c r="HB936"/>
      <c r="HC936"/>
    </row>
    <row r="937" spans="1:211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44.06889131727111</v>
      </c>
      <c r="AO937">
        <v>5.0070147390466895</v>
      </c>
      <c r="AP937">
        <v>55.476925062369993</v>
      </c>
      <c r="AQ937">
        <v>37.660052685550589</v>
      </c>
      <c r="AR937">
        <v>5.652254946605126</v>
      </c>
      <c r="AS937">
        <v>33.732221863494274</v>
      </c>
      <c r="AT937" t="e">
        <v>#DIV/0!</v>
      </c>
      <c r="AU937" t="e">
        <v>#DIV/0!</v>
      </c>
      <c r="AV937"/>
      <c r="AW937"/>
      <c r="FY937" s="211">
        <v>932</v>
      </c>
      <c r="FZ937">
        <v>12.34631676756212</v>
      </c>
      <c r="GA937">
        <v>11.593998304645394</v>
      </c>
      <c r="GB937">
        <v>8.0354467731796362</v>
      </c>
      <c r="GC937">
        <v>4.1070597313876247</v>
      </c>
      <c r="GD937">
        <v>1.968373251446077</v>
      </c>
      <c r="GE937">
        <v>2.8345790505882356</v>
      </c>
      <c r="GF937">
        <v>1.7376891389387068</v>
      </c>
      <c r="GG937">
        <v>2.2128174761839414</v>
      </c>
      <c r="GH937">
        <v>5.1772432120890377</v>
      </c>
      <c r="GI937">
        <v>6.0631856231283043</v>
      </c>
      <c r="GJ937"/>
      <c r="GK937">
        <v>12.397314462417688</v>
      </c>
      <c r="GL937">
        <v>9.8243470304303173</v>
      </c>
      <c r="GM937">
        <v>13.348743198616861</v>
      </c>
      <c r="GN937">
        <v>12.294313225267578</v>
      </c>
      <c r="GO937">
        <v>7.6421850211906932</v>
      </c>
      <c r="GP937">
        <v>5.4268048128342254</v>
      </c>
      <c r="GQ937">
        <v>2.1270417649191296</v>
      </c>
      <c r="GR937">
        <v>3.1125741723265365</v>
      </c>
      <c r="GS937">
        <v>5.5189932866307512</v>
      </c>
      <c r="GT937">
        <v>8.2068555467550244</v>
      </c>
      <c r="GU937"/>
      <c r="GV937"/>
      <c r="GW937"/>
      <c r="GX937"/>
      <c r="GY937"/>
      <c r="GZ937"/>
      <c r="HA937"/>
      <c r="HB937"/>
      <c r="HC937"/>
    </row>
    <row r="938" spans="1:211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58.00559136001111</v>
      </c>
      <c r="AO938">
        <v>6.8988688727757435</v>
      </c>
      <c r="AP938">
        <v>60.337549761382832</v>
      </c>
      <c r="AQ938">
        <v>45.574894700127018</v>
      </c>
      <c r="AR938">
        <v>7.1778362605686894</v>
      </c>
      <c r="AS938">
        <v>43.323418816890687</v>
      </c>
      <c r="AT938" t="e">
        <v>#DIV/0!</v>
      </c>
      <c r="AU938" t="e">
        <v>#DIV/0!</v>
      </c>
      <c r="AV938"/>
      <c r="AW938"/>
      <c r="FY938" s="211">
        <v>933</v>
      </c>
      <c r="FZ938">
        <v>9.9286809260075124</v>
      </c>
      <c r="GA938">
        <v>8.350518598410039</v>
      </c>
      <c r="GB938">
        <v>5.0357854388168883</v>
      </c>
      <c r="GC938">
        <v>2.7938836963342308</v>
      </c>
      <c r="GD938">
        <v>1.1465081768333838</v>
      </c>
      <c r="GE938">
        <v>1.1687244173255813</v>
      </c>
      <c r="GF938">
        <v>5.5254261562500004E-2</v>
      </c>
      <c r="GG938">
        <v>0</v>
      </c>
      <c r="GH938">
        <v>4.7520232129472504</v>
      </c>
      <c r="GI938">
        <v>4.1237952758947731</v>
      </c>
      <c r="GJ938"/>
      <c r="GK938">
        <v>9.9841334636699539</v>
      </c>
      <c r="GL938">
        <v>7.0747526586136402</v>
      </c>
      <c r="GM938">
        <v>8.3343277592941618</v>
      </c>
      <c r="GN938">
        <v>8.3246796361755386</v>
      </c>
      <c r="GO938">
        <v>4.4635771143010023</v>
      </c>
      <c r="GP938">
        <v>2.2375242248062013</v>
      </c>
      <c r="GQ938">
        <v>6.7708333333333329E-2</v>
      </c>
      <c r="GR938">
        <v>0</v>
      </c>
      <c r="GS938">
        <v>5.0650057498164029</v>
      </c>
      <c r="GT938">
        <v>5.5829504840829713</v>
      </c>
      <c r="GU938"/>
      <c r="GV938"/>
      <c r="GW938"/>
      <c r="GX938"/>
      <c r="GY938"/>
      <c r="GZ938"/>
      <c r="HA938"/>
      <c r="HB938"/>
      <c r="HC938"/>
    </row>
    <row r="939" spans="1:211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58.339185475028046</v>
      </c>
      <c r="AO939">
        <v>6.7238169707166531</v>
      </c>
      <c r="AP939">
        <v>55.237150672428044</v>
      </c>
      <c r="AQ939">
        <v>52.687104550651178</v>
      </c>
      <c r="AR939">
        <v>7.2071134239531318</v>
      </c>
      <c r="AS939">
        <v>41.767834116155605</v>
      </c>
      <c r="AT939" t="e">
        <v>#DIV/0!</v>
      </c>
      <c r="AU939" t="e">
        <v>#DIV/0!</v>
      </c>
      <c r="AV939"/>
      <c r="AW939"/>
      <c r="FY939" s="211">
        <v>934</v>
      </c>
      <c r="FZ939">
        <v>12.375946832014103</v>
      </c>
      <c r="GA939">
        <v>8.7165287797871329</v>
      </c>
      <c r="GB939">
        <v>5.8202906467764226</v>
      </c>
      <c r="GC939">
        <v>4.0543161507863381</v>
      </c>
      <c r="GD939">
        <v>1.7726062936831968</v>
      </c>
      <c r="GE939">
        <v>1.9864361099452803</v>
      </c>
      <c r="GF939">
        <v>1.2074524259805255</v>
      </c>
      <c r="GG939">
        <v>1.3774199248980978</v>
      </c>
      <c r="GH939">
        <v>5.6125845525866298</v>
      </c>
      <c r="GI939">
        <v>5.3898354898188767</v>
      </c>
      <c r="GJ939"/>
      <c r="GK939">
        <v>12.420556882434006</v>
      </c>
      <c r="GL939">
        <v>7.3871111140252506</v>
      </c>
      <c r="GM939">
        <v>9.7581463842670146</v>
      </c>
      <c r="GN939">
        <v>12.256421842059609</v>
      </c>
      <c r="GO939">
        <v>6.8823958172180344</v>
      </c>
      <c r="GP939">
        <v>3.8030341893628488</v>
      </c>
      <c r="GQ939">
        <v>1.4796069847020934</v>
      </c>
      <c r="GR939">
        <v>1.9385190217391302</v>
      </c>
      <c r="GS939">
        <v>5.9860483869540815</v>
      </c>
      <c r="GT939">
        <v>7.3053508911150464</v>
      </c>
      <c r="GU939"/>
      <c r="GV939"/>
      <c r="GW939"/>
      <c r="GX939"/>
      <c r="GY939"/>
      <c r="GZ939"/>
      <c r="HA939"/>
      <c r="HB939"/>
      <c r="HC939"/>
    </row>
    <row r="940" spans="1:211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61.883732181351526</v>
      </c>
      <c r="AO940">
        <v>7.0700441578207087</v>
      </c>
      <c r="AP940">
        <v>29.303046166759401</v>
      </c>
      <c r="AQ940">
        <v>54.757238245294367</v>
      </c>
      <c r="AR940">
        <v>7.2426315819931695</v>
      </c>
      <c r="AS940">
        <v>45.57750203222222</v>
      </c>
      <c r="AT940" t="e">
        <v>#DIV/0!</v>
      </c>
      <c r="AU940" t="e">
        <v>#DIV/0!</v>
      </c>
      <c r="AV940"/>
      <c r="AW940"/>
      <c r="FY940" s="211">
        <v>935</v>
      </c>
      <c r="FZ940">
        <v>10.526294307878132</v>
      </c>
      <c r="GA940">
        <v>12.012470007217711</v>
      </c>
      <c r="GB940">
        <v>6.2507488859193447</v>
      </c>
      <c r="GC940">
        <v>2.7051956811625759</v>
      </c>
      <c r="GD940">
        <v>2.0439059918559854</v>
      </c>
      <c r="GE940">
        <v>3.0128110494684388</v>
      </c>
      <c r="GF940">
        <v>2.508312584015699</v>
      </c>
      <c r="GG940">
        <v>2.1354225829094844</v>
      </c>
      <c r="GH940">
        <v>4.4625188903291395</v>
      </c>
      <c r="GI940">
        <v>5.4263637775577394</v>
      </c>
      <c r="GJ940"/>
      <c r="GK940">
        <v>10.568370945263187</v>
      </c>
      <c r="GL940">
        <v>10.177252571932227</v>
      </c>
      <c r="GM940">
        <v>10.392839723320664</v>
      </c>
      <c r="GN940">
        <v>8.1275177039528064</v>
      </c>
      <c r="GO940">
        <v>7.9350472903055271</v>
      </c>
      <c r="GP940">
        <v>5.7680301771871552</v>
      </c>
      <c r="GQ940">
        <v>3.0713604042105942</v>
      </c>
      <c r="GR940">
        <v>3.0036520708772612</v>
      </c>
      <c r="GS940">
        <v>4.7583129028214595</v>
      </c>
      <c r="GT940">
        <v>7.3451862531842878</v>
      </c>
      <c r="GU940"/>
      <c r="GV940"/>
      <c r="GW940"/>
      <c r="GX940"/>
      <c r="GY940"/>
      <c r="GZ940"/>
      <c r="HA940"/>
      <c r="HB940"/>
      <c r="HC940"/>
    </row>
    <row r="941" spans="1:211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65.712885936190418</v>
      </c>
      <c r="AO941">
        <v>7.8653340091960384</v>
      </c>
      <c r="AP941">
        <v>4.4429316879987617</v>
      </c>
      <c r="AQ941">
        <v>54.048057902417604</v>
      </c>
      <c r="AR941">
        <v>8.1241875429737398</v>
      </c>
      <c r="AS941">
        <v>52.575124890465368</v>
      </c>
      <c r="AT941">
        <v>6.5105116572436001</v>
      </c>
      <c r="AU941">
        <v>1.8471266646511761</v>
      </c>
      <c r="AV941"/>
      <c r="AW941"/>
      <c r="FY941" s="211">
        <v>936</v>
      </c>
      <c r="FZ941">
        <v>11.470857926222282</v>
      </c>
      <c r="GA941">
        <v>10.584833705175294</v>
      </c>
      <c r="GB941">
        <v>6.4413841420703317</v>
      </c>
      <c r="GC941">
        <v>3.3484712936849759</v>
      </c>
      <c r="GD941">
        <v>1.5899335369975587</v>
      </c>
      <c r="GE941">
        <v>1.8776902496511629</v>
      </c>
      <c r="GF941">
        <v>1.2557491908657898</v>
      </c>
      <c r="GG941">
        <v>1.3708865425901917</v>
      </c>
      <c r="GH941">
        <v>4.3827701780232111</v>
      </c>
      <c r="GI941">
        <v>5.1104921234046241</v>
      </c>
      <c r="GJ941"/>
      <c r="GK941">
        <v>11.521334021850947</v>
      </c>
      <c r="GL941">
        <v>8.9697921572094259</v>
      </c>
      <c r="GM941">
        <v>10.671704931186094</v>
      </c>
      <c r="GN941">
        <v>9.9804312492151972</v>
      </c>
      <c r="GO941">
        <v>6.1733766160139236</v>
      </c>
      <c r="GP941">
        <v>3.59484011627907</v>
      </c>
      <c r="GQ941">
        <v>1.5364746352894998</v>
      </c>
      <c r="GR941">
        <v>1.9276783389932035</v>
      </c>
      <c r="GS941">
        <v>4.6758783612379506</v>
      </c>
      <c r="GT941">
        <v>6.9157537131156825</v>
      </c>
      <c r="GU941"/>
      <c r="GV941"/>
      <c r="GW941"/>
      <c r="GX941"/>
      <c r="GY941"/>
      <c r="GZ941"/>
      <c r="HA941"/>
      <c r="HB941"/>
      <c r="HC941"/>
    </row>
    <row r="942" spans="1:211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53.623847994729843</v>
      </c>
      <c r="AO942">
        <v>6.372536968903658</v>
      </c>
      <c r="AP942">
        <v>60.416494856281695</v>
      </c>
      <c r="AQ942">
        <v>49.150030770444914</v>
      </c>
      <c r="AR942">
        <v>6.7279922039939937</v>
      </c>
      <c r="AS942">
        <v>42.017941041606008</v>
      </c>
      <c r="AT942" t="e">
        <v>#DIV/0!</v>
      </c>
      <c r="AU942" t="e">
        <v>#DIV/0!</v>
      </c>
      <c r="AV942"/>
      <c r="AW942"/>
      <c r="FY942" s="211">
        <v>937</v>
      </c>
      <c r="FZ942">
        <v>7.6287916034111687</v>
      </c>
      <c r="GA942">
        <v>9.2920339583662432</v>
      </c>
      <c r="GB942">
        <v>7.7440641326619053</v>
      </c>
      <c r="GC942">
        <v>3.0760915571263543</v>
      </c>
      <c r="GD942">
        <v>1.6796086272350188</v>
      </c>
      <c r="GE942">
        <v>2.314835099230995</v>
      </c>
      <c r="GF942">
        <v>0.66330071966787318</v>
      </c>
      <c r="GG942">
        <v>0.52895560899644167</v>
      </c>
      <c r="GH942">
        <v>3.7824109576655607</v>
      </c>
      <c r="GI942">
        <v>4.7133861413118954</v>
      </c>
      <c r="GJ942"/>
      <c r="GK942">
        <v>7.6672075058171947</v>
      </c>
      <c r="GL942">
        <v>7.871871229690063</v>
      </c>
      <c r="GM942">
        <v>12.901630680538643</v>
      </c>
      <c r="GN942">
        <v>9.2728241200038983</v>
      </c>
      <c r="GO942">
        <v>6.5115840612425187</v>
      </c>
      <c r="GP942">
        <v>4.4317544274580873</v>
      </c>
      <c r="GQ942">
        <v>0.81049083899320351</v>
      </c>
      <c r="GR942">
        <v>0.74278250565987025</v>
      </c>
      <c r="GS942">
        <v>4.0325803066115498</v>
      </c>
      <c r="GT942">
        <v>6.3846986786406221</v>
      </c>
      <c r="GU942"/>
      <c r="GV942"/>
      <c r="GW942"/>
      <c r="GX942"/>
      <c r="GY942"/>
      <c r="GZ942"/>
      <c r="HA942"/>
      <c r="HB942"/>
      <c r="HC942"/>
    </row>
    <row r="943" spans="1:211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66.710772116931182</v>
      </c>
      <c r="AO943">
        <v>7.5947659049198988</v>
      </c>
      <c r="AP943">
        <v>4.9605166231791529</v>
      </c>
      <c r="AQ943">
        <v>54.785679304312133</v>
      </c>
      <c r="AR943">
        <v>7.987923545631145</v>
      </c>
      <c r="AS943">
        <v>52.212260097018024</v>
      </c>
      <c r="AT943">
        <v>6.4450757012941944</v>
      </c>
      <c r="AU943">
        <v>4.7949221301096037</v>
      </c>
      <c r="AV943"/>
      <c r="AW943"/>
      <c r="FY943" s="211">
        <v>938</v>
      </c>
      <c r="FZ943">
        <v>9.3123455355108309</v>
      </c>
      <c r="GA943">
        <v>6.1032119215296783</v>
      </c>
      <c r="GB943">
        <v>3.7820644894749722</v>
      </c>
      <c r="GC943">
        <v>2.2217767859918505</v>
      </c>
      <c r="GD943">
        <v>0.98940218946312808</v>
      </c>
      <c r="GE943">
        <v>1.0727308666112958</v>
      </c>
      <c r="GF943">
        <v>1.8863511325558551</v>
      </c>
      <c r="GG943">
        <v>1.5934002092972313</v>
      </c>
      <c r="GH943">
        <v>5.3297086353452308</v>
      </c>
      <c r="GI943">
        <v>4.0602483991223712</v>
      </c>
      <c r="GJ943"/>
      <c r="GK943">
        <v>9.3522563150881552</v>
      </c>
      <c r="GL943">
        <v>5.1712202831175764</v>
      </c>
      <c r="GM943">
        <v>6.3063995640486112</v>
      </c>
      <c r="GN943">
        <v>6.687015980869214</v>
      </c>
      <c r="GO943">
        <v>3.8464312188769552</v>
      </c>
      <c r="GP943">
        <v>2.0537444629014399</v>
      </c>
      <c r="GQ943">
        <v>2.3068965330588709</v>
      </c>
      <c r="GR943">
        <v>2.2391881997255374</v>
      </c>
      <c r="GS943">
        <v>5.6800940252139958</v>
      </c>
      <c r="GT943">
        <v>5.4984155312573177</v>
      </c>
      <c r="GU943"/>
      <c r="GV943"/>
      <c r="GW943"/>
      <c r="GX943"/>
      <c r="GY943"/>
      <c r="GZ943"/>
      <c r="HA943"/>
      <c r="HB943"/>
      <c r="HC943"/>
    </row>
    <row r="944" spans="1:211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51.22576988135404</v>
      </c>
      <c r="AO944">
        <v>6.3510503732203398</v>
      </c>
      <c r="AP944">
        <v>3.9704691731692963</v>
      </c>
      <c r="AQ944">
        <v>47.52537374822581</v>
      </c>
      <c r="AR944">
        <v>6.8829630783910885</v>
      </c>
      <c r="AS944">
        <v>39.877738132381154</v>
      </c>
      <c r="AT944">
        <v>5.4698516676403832</v>
      </c>
      <c r="AU944">
        <v>3.3973060228085004</v>
      </c>
      <c r="AV944"/>
      <c r="AW944"/>
      <c r="FY944" s="211">
        <v>939</v>
      </c>
      <c r="FZ944">
        <v>13.805650521297844</v>
      </c>
      <c r="GA944">
        <v>13.718022356914535</v>
      </c>
      <c r="GB944">
        <v>5.2963530549075992</v>
      </c>
      <c r="GC944">
        <v>2.5750356050690559</v>
      </c>
      <c r="GD944">
        <v>1.1640923283092468</v>
      </c>
      <c r="GE944">
        <v>1.3825656196511626</v>
      </c>
      <c r="GF944">
        <v>1.1296426808333333</v>
      </c>
      <c r="GG944">
        <v>1.3096703411458332</v>
      </c>
      <c r="GH944">
        <v>4.4539815557972462</v>
      </c>
      <c r="GI944">
        <v>4.9224084323595756</v>
      </c>
      <c r="GJ944"/>
      <c r="GK944">
        <v>13.84165829587856</v>
      </c>
      <c r="GL944">
        <v>11.621902014589976</v>
      </c>
      <c r="GM944">
        <v>8.805926222580009</v>
      </c>
      <c r="GN944">
        <v>7.7294535809134004</v>
      </c>
      <c r="GO944">
        <v>4.5230112679437786</v>
      </c>
      <c r="GP944">
        <v>2.646923449612403</v>
      </c>
      <c r="GQ944">
        <v>1.3842592592592591</v>
      </c>
      <c r="GR944">
        <v>1.8431712962962961</v>
      </c>
      <c r="GS944">
        <v>4.7499610581869582</v>
      </c>
      <c r="GT944">
        <v>6.6609632207697143</v>
      </c>
      <c r="GU944"/>
      <c r="GV944"/>
      <c r="GW944"/>
      <c r="GX944"/>
      <c r="GY944"/>
      <c r="GZ944"/>
      <c r="HA944"/>
      <c r="HB944"/>
      <c r="HC944"/>
    </row>
    <row r="945" spans="1:211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79.028930852554595</v>
      </c>
      <c r="AO945">
        <v>9.0671091292656918</v>
      </c>
      <c r="AP945">
        <v>3.4950571428462394</v>
      </c>
      <c r="AQ945">
        <v>67.933551460841414</v>
      </c>
      <c r="AR945">
        <v>9.1887900803701896</v>
      </c>
      <c r="AS945">
        <v>60.406904116937802</v>
      </c>
      <c r="AT945">
        <v>7.3485266517741925</v>
      </c>
      <c r="AU945">
        <v>3.0182253107474519</v>
      </c>
      <c r="AV945"/>
      <c r="AW945"/>
      <c r="FY945" s="211">
        <v>940</v>
      </c>
      <c r="FZ945">
        <v>10.220970188743463</v>
      </c>
      <c r="GA945">
        <v>4.5198505317728959</v>
      </c>
      <c r="GB945">
        <v>2.8332124423218796</v>
      </c>
      <c r="GC945">
        <v>2.9766398111601498</v>
      </c>
      <c r="GD945">
        <v>2.9270269846799697</v>
      </c>
      <c r="GE945">
        <v>3.4812724448739498</v>
      </c>
      <c r="GF945">
        <v>1.7376891389387068</v>
      </c>
      <c r="GG945">
        <v>2.5870090022256083</v>
      </c>
      <c r="GH945">
        <v>7.6891053874373139</v>
      </c>
      <c r="GI945">
        <v>5.4177177225190389</v>
      </c>
      <c r="GJ945"/>
      <c r="GK945">
        <v>10.272657738372857</v>
      </c>
      <c r="GL945">
        <v>3.8310861700625889</v>
      </c>
      <c r="GM945">
        <v>4.6949413488765899</v>
      </c>
      <c r="GN945">
        <v>8.8860590479078905</v>
      </c>
      <c r="GO945">
        <v>11.36939558669002</v>
      </c>
      <c r="GP945">
        <v>6.6649000509294636</v>
      </c>
      <c r="GQ945">
        <v>2.1270417649191296</v>
      </c>
      <c r="GR945">
        <v>3.6391945426969068</v>
      </c>
      <c r="GS945">
        <v>8.1986531101054609</v>
      </c>
      <c r="GT945">
        <v>7.3325379097928121</v>
      </c>
      <c r="GU945"/>
      <c r="GV945"/>
      <c r="GW945"/>
      <c r="GX945"/>
      <c r="GY945"/>
      <c r="GZ945"/>
      <c r="HA945"/>
      <c r="HB945"/>
      <c r="HC945"/>
    </row>
    <row r="946" spans="1:211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83.033694956284634</v>
      </c>
      <c r="AO946">
        <v>9.6947734842775954</v>
      </c>
      <c r="AP946">
        <v>45.553213309952277</v>
      </c>
      <c r="AQ946">
        <v>76.950560742881478</v>
      </c>
      <c r="AR946">
        <v>9.7185726874950635</v>
      </c>
      <c r="AS946">
        <v>58.856411612198414</v>
      </c>
      <c r="AT946" t="e">
        <v>#DIV/0!</v>
      </c>
      <c r="AU946" t="e">
        <v>#DIV/0!</v>
      </c>
      <c r="AV946"/>
      <c r="AW946"/>
      <c r="FY946" s="211">
        <v>941</v>
      </c>
      <c r="FZ946">
        <v>13.753570666623538</v>
      </c>
      <c r="GA946">
        <v>15.141742078660377</v>
      </c>
      <c r="GB946">
        <v>5.2138499483357954</v>
      </c>
      <c r="GC946">
        <v>1.8646003969211833</v>
      </c>
      <c r="GD946">
        <v>1.4951861828902897</v>
      </c>
      <c r="GE946">
        <v>2.3930240482225917</v>
      </c>
      <c r="GF946">
        <v>3.0385492969738808</v>
      </c>
      <c r="GG946">
        <v>3.3450116602369966</v>
      </c>
      <c r="GH946">
        <v>1.3289475451388888</v>
      </c>
      <c r="GI946">
        <v>4.9333114549298243</v>
      </c>
      <c r="GJ946"/>
      <c r="GK946">
        <v>13.795639006471225</v>
      </c>
      <c r="GL946">
        <v>12.827415722449111</v>
      </c>
      <c r="GM946">
        <v>8.633294509961571</v>
      </c>
      <c r="GN946">
        <v>5.5492173649940151</v>
      </c>
      <c r="GO946">
        <v>5.7942925799882223</v>
      </c>
      <c r="GP946">
        <v>4.5814472591362128</v>
      </c>
      <c r="GQ946">
        <v>3.718795184427631</v>
      </c>
      <c r="GR946">
        <v>4.7043275918350389</v>
      </c>
      <c r="GS946">
        <v>1.417824074074074</v>
      </c>
      <c r="GT946">
        <v>6.6719690709845443</v>
      </c>
      <c r="GU946"/>
      <c r="GV946"/>
      <c r="GW946"/>
      <c r="GX946"/>
      <c r="GY946"/>
      <c r="GZ946"/>
      <c r="HA946"/>
      <c r="HB946"/>
      <c r="HC946"/>
    </row>
    <row r="947" spans="1:211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42.410135948717254</v>
      </c>
      <c r="AO947">
        <v>4.7103816187166574</v>
      </c>
      <c r="AP947">
        <v>4.404787086251404</v>
      </c>
      <c r="AQ947">
        <v>31.372016525129329</v>
      </c>
      <c r="AR947">
        <v>4.9265586252284308</v>
      </c>
      <c r="AS947">
        <v>30.332758147651848</v>
      </c>
      <c r="AT947">
        <v>3.9365274157567538</v>
      </c>
      <c r="AU947">
        <v>2.858328319945771</v>
      </c>
      <c r="AV947"/>
      <c r="AW947"/>
      <c r="FY947" s="211">
        <v>942</v>
      </c>
      <c r="FZ947">
        <v>12.685820950963363</v>
      </c>
      <c r="GA947">
        <v>12.290636857890624</v>
      </c>
      <c r="GB947">
        <v>6.3720214298821958</v>
      </c>
      <c r="GC947">
        <v>2.6719361243897604</v>
      </c>
      <c r="GD947">
        <v>1.3619057515362873</v>
      </c>
      <c r="GE947">
        <v>2.099348964579832</v>
      </c>
      <c r="GF947">
        <v>0.60804645810537317</v>
      </c>
      <c r="GG947">
        <v>0.90314713503810828</v>
      </c>
      <c r="GH947">
        <v>5.1407910981336684</v>
      </c>
      <c r="GI947">
        <v>5.1434899094439634</v>
      </c>
      <c r="GJ947"/>
      <c r="GK947">
        <v>12.739837388455792</v>
      </c>
      <c r="GL947">
        <v>10.414001214605969</v>
      </c>
      <c r="GM947">
        <v>10.550991815616296</v>
      </c>
      <c r="GN947">
        <v>7.9479038955317858</v>
      </c>
      <c r="GO947">
        <v>5.2790140549383562</v>
      </c>
      <c r="GP947">
        <v>4.0192059778456839</v>
      </c>
      <c r="GQ947">
        <v>0.74278250565987025</v>
      </c>
      <c r="GR947">
        <v>1.2694028760302405</v>
      </c>
      <c r="GS947">
        <v>5.4825617953103842</v>
      </c>
      <c r="GT947">
        <v>6.9590375119961392</v>
      </c>
      <c r="GU947"/>
      <c r="GV947"/>
      <c r="GW947"/>
      <c r="GX947"/>
      <c r="GY947"/>
      <c r="GZ947"/>
      <c r="HA947"/>
      <c r="HB947"/>
      <c r="HC947"/>
    </row>
    <row r="948" spans="1:211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66.609363031891789</v>
      </c>
      <c r="AO948">
        <v>7.9899172521388788</v>
      </c>
      <c r="AP948">
        <v>4.5595250835830736</v>
      </c>
      <c r="AQ948">
        <v>56.076709329149082</v>
      </c>
      <c r="AR948">
        <v>8.2068555467550226</v>
      </c>
      <c r="AS948">
        <v>53.351312244012341</v>
      </c>
      <c r="AT948">
        <v>6.5764142465692998</v>
      </c>
      <c r="AU948">
        <v>3.7644347689431488</v>
      </c>
      <c r="AV948"/>
      <c r="AW948"/>
      <c r="FY948" s="211">
        <v>943</v>
      </c>
      <c r="FZ948">
        <v>14.006622566376066</v>
      </c>
      <c r="GA948">
        <v>15.393314463211315</v>
      </c>
      <c r="GB948">
        <v>8.7933324184829829</v>
      </c>
      <c r="GC948">
        <v>3.8786940151029952</v>
      </c>
      <c r="GD948">
        <v>1.3843172806957367</v>
      </c>
      <c r="GE948">
        <v>1.3573041589368771</v>
      </c>
      <c r="GF948">
        <v>1.8154988840858985</v>
      </c>
      <c r="GG948">
        <v>1.532184007852873</v>
      </c>
      <c r="GH948">
        <v>6.4117442200095764</v>
      </c>
      <c r="GI948">
        <v>6.3691119762922028</v>
      </c>
      <c r="GJ948"/>
      <c r="GK948">
        <v>14.075185770187511</v>
      </c>
      <c r="GL948">
        <v>13.041253138899187</v>
      </c>
      <c r="GM948">
        <v>14.601660521640275</v>
      </c>
      <c r="GN948">
        <v>11.624774546356436</v>
      </c>
      <c r="GO948">
        <v>5.3863758719894399</v>
      </c>
      <c r="GP948">
        <v>2.5985603543743077</v>
      </c>
      <c r="GQ948">
        <v>2.2223894903619632</v>
      </c>
      <c r="GR948">
        <v>2.1546811570286302</v>
      </c>
      <c r="GS948">
        <v>6.8323205480080276</v>
      </c>
      <c r="GT948">
        <v>8.6235864404374425</v>
      </c>
      <c r="GU948"/>
      <c r="GV948"/>
      <c r="GW948"/>
      <c r="GX948"/>
      <c r="GY948"/>
      <c r="GZ948"/>
      <c r="HA948"/>
      <c r="HB948"/>
      <c r="HC948"/>
    </row>
    <row r="949" spans="1:211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46.864821462941748</v>
      </c>
      <c r="AO949">
        <v>5.113465942409321</v>
      </c>
      <c r="AP949">
        <v>61.122169858557491</v>
      </c>
      <c r="AQ949">
        <v>37.355174004132152</v>
      </c>
      <c r="AR949">
        <v>5.5829504840829696</v>
      </c>
      <c r="AS949">
        <v>32.078859786041406</v>
      </c>
      <c r="AT949" t="e">
        <v>#DIV/0!</v>
      </c>
      <c r="AU949" t="e">
        <v>#DIV/0!</v>
      </c>
      <c r="AV949"/>
      <c r="AW949"/>
      <c r="FY949" s="211">
        <v>944</v>
      </c>
      <c r="FZ949">
        <v>14.559491522174728</v>
      </c>
      <c r="GA949">
        <v>15.180757941512972</v>
      </c>
      <c r="GB949">
        <v>6.1805444873576905</v>
      </c>
      <c r="GC949">
        <v>3.2550697239063329</v>
      </c>
      <c r="GD949">
        <v>1.3710316269665006</v>
      </c>
      <c r="GE949">
        <v>1.5678554966112959</v>
      </c>
      <c r="GF949">
        <v>1.2160929162107463</v>
      </c>
      <c r="GG949">
        <v>1.8062942700762166</v>
      </c>
      <c r="GH949">
        <v>3.7828452862176558</v>
      </c>
      <c r="GI949">
        <v>5.2822967403813115</v>
      </c>
      <c r="GJ949"/>
      <c r="GK949">
        <v>14.60262704592483</v>
      </c>
      <c r="GL949">
        <v>12.863562506367943</v>
      </c>
      <c r="GM949">
        <v>10.312623617846105</v>
      </c>
      <c r="GN949">
        <v>9.821685361913314</v>
      </c>
      <c r="GO949">
        <v>5.3348635519451424</v>
      </c>
      <c r="GP949">
        <v>3.0016611295681064</v>
      </c>
      <c r="GQ949">
        <v>1.4855650113197405</v>
      </c>
      <c r="GR949">
        <v>2.538805752060481</v>
      </c>
      <c r="GS949">
        <v>4.0358320649416539</v>
      </c>
      <c r="GT949">
        <v>7.1543022583954947</v>
      </c>
      <c r="GU949"/>
      <c r="GV949"/>
      <c r="GW949"/>
      <c r="GX949"/>
      <c r="GY949"/>
      <c r="GZ949"/>
      <c r="HA949"/>
      <c r="HB949"/>
      <c r="HC949"/>
    </row>
    <row r="950" spans="1:211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52.722477776949404</v>
      </c>
      <c r="AO950">
        <v>6.9217191513877108</v>
      </c>
      <c r="AP950">
        <v>4.1957439386163005</v>
      </c>
      <c r="AQ950">
        <v>48.313417206276611</v>
      </c>
      <c r="AR950">
        <v>7.3053508911150447</v>
      </c>
      <c r="AS950">
        <v>43.660170889006075</v>
      </c>
      <c r="AT950">
        <v>5.7995250071770625</v>
      </c>
      <c r="AU950">
        <v>3.1017654905754686</v>
      </c>
      <c r="AV950"/>
      <c r="AW950"/>
      <c r="FY950" s="211">
        <v>945</v>
      </c>
      <c r="FZ950">
        <v>16.509345684839616</v>
      </c>
      <c r="GA950">
        <v>20.537000262936868</v>
      </c>
      <c r="GB950">
        <v>6.8941511496526067</v>
      </c>
      <c r="GC950">
        <v>2.5095544812749235</v>
      </c>
      <c r="GD950">
        <v>1.2793937564181204</v>
      </c>
      <c r="GE950">
        <v>1.6311307276196991</v>
      </c>
      <c r="GF950">
        <v>1.8085413874086631</v>
      </c>
      <c r="GG950">
        <v>1.8998421515866333</v>
      </c>
      <c r="GH950">
        <v>4.2531843797546784</v>
      </c>
      <c r="GI950">
        <v>5.8703692457304033</v>
      </c>
      <c r="GJ950"/>
      <c r="GK950">
        <v>16.555144791498712</v>
      </c>
      <c r="GL950">
        <v>17.400105463814231</v>
      </c>
      <c r="GM950">
        <v>11.44868908697295</v>
      </c>
      <c r="GN950">
        <v>7.5195330430463212</v>
      </c>
      <c r="GO950">
        <v>4.9583470801956544</v>
      </c>
      <c r="GP950">
        <v>3.122801631223314</v>
      </c>
      <c r="GQ950">
        <v>2.2115488076160368</v>
      </c>
      <c r="GR950">
        <v>2.6704608446530735</v>
      </c>
      <c r="GS950">
        <v>4.5337514383789363</v>
      </c>
      <c r="GT950">
        <v>7.9414962409324588</v>
      </c>
      <c r="GU950"/>
      <c r="GV950"/>
      <c r="GW950"/>
      <c r="GX950"/>
      <c r="GY950"/>
      <c r="GZ950"/>
      <c r="HA950"/>
      <c r="HB950"/>
      <c r="HC950"/>
    </row>
    <row r="951" spans="1:211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58.198641870711356</v>
      </c>
      <c r="AO951">
        <v>7.1147570043055168</v>
      </c>
      <c r="AP951">
        <v>60.13081490351712</v>
      </c>
      <c r="AQ951">
        <v>51.084043758314252</v>
      </c>
      <c r="AR951">
        <v>7.3451862531842895</v>
      </c>
      <c r="AS951">
        <v>45.719797239053221</v>
      </c>
      <c r="AT951" t="e">
        <v>#DIV/0!</v>
      </c>
      <c r="AU951" t="e">
        <v>#DIV/0!</v>
      </c>
      <c r="AV951"/>
      <c r="AW951"/>
      <c r="FY951" s="211">
        <v>946</v>
      </c>
      <c r="FZ951">
        <v>10.658125755780475</v>
      </c>
      <c r="GA951">
        <v>7.4860318815478006</v>
      </c>
      <c r="GB951">
        <v>3.6586759588674402</v>
      </c>
      <c r="GC951">
        <v>1.535797098944093</v>
      </c>
      <c r="GD951">
        <v>1.9552004281699766</v>
      </c>
      <c r="GE951">
        <v>3.5621091191596639</v>
      </c>
      <c r="GF951">
        <v>1.340516432690217</v>
      </c>
      <c r="GG951">
        <v>1.4451695086503624</v>
      </c>
      <c r="GH951">
        <v>2.3470080932535002</v>
      </c>
      <c r="GI951">
        <v>4.2105642369938829</v>
      </c>
      <c r="GJ951"/>
      <c r="GK951">
        <v>10.699559719163261</v>
      </c>
      <c r="GL951">
        <v>6.3419606373558155</v>
      </c>
      <c r="GM951">
        <v>6.0609718721898034</v>
      </c>
      <c r="GN951">
        <v>4.5722541631398768</v>
      </c>
      <c r="GO951">
        <v>7.5786449046637072</v>
      </c>
      <c r="GP951">
        <v>6.8196619556913669</v>
      </c>
      <c r="GQ951">
        <v>1.6426630434782605</v>
      </c>
      <c r="GR951">
        <v>2.0338667471819645</v>
      </c>
      <c r="GS951">
        <v>2.5028834605345094</v>
      </c>
      <c r="GT951">
        <v>5.6969446000059083</v>
      </c>
      <c r="GU951"/>
      <c r="GV951"/>
      <c r="GW951"/>
      <c r="GX951"/>
      <c r="GY951"/>
      <c r="GZ951"/>
      <c r="HA951"/>
      <c r="HB951"/>
      <c r="HC951"/>
    </row>
    <row r="952" spans="1:211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53.964576938215075</v>
      </c>
      <c r="AO952">
        <v>6.5967264140390993</v>
      </c>
      <c r="AP952">
        <v>3.0579521729390544</v>
      </c>
      <c r="AQ952">
        <v>47.433068888685426</v>
      </c>
      <c r="AR952">
        <v>6.9157537131156861</v>
      </c>
      <c r="AS952">
        <v>46.30924256093094</v>
      </c>
      <c r="AT952">
        <v>5.6116674207836992</v>
      </c>
      <c r="AU952">
        <v>5.1470154763699396</v>
      </c>
      <c r="AV952"/>
      <c r="AW952"/>
      <c r="FY952" s="211">
        <v>947</v>
      </c>
      <c r="FZ952">
        <v>7.0633476554802153</v>
      </c>
      <c r="GA952">
        <v>4.1715081191573269</v>
      </c>
      <c r="GB952">
        <v>5.7276318204221939</v>
      </c>
      <c r="GC952">
        <v>2.9989679510765579</v>
      </c>
      <c r="GD952">
        <v>1.4432980387200685</v>
      </c>
      <c r="GE952">
        <v>2.0201572226196989</v>
      </c>
      <c r="GF952">
        <v>1.7376891389387068</v>
      </c>
      <c r="GG952">
        <v>1.4644344241006084</v>
      </c>
      <c r="GH952">
        <v>5.0060090233685219</v>
      </c>
      <c r="GI952">
        <v>4.3876249260512887</v>
      </c>
      <c r="GJ952"/>
      <c r="GK952">
        <v>7.1006836405088967</v>
      </c>
      <c r="GL952">
        <v>3.5341589913556017</v>
      </c>
      <c r="GM952">
        <v>9.5629639450547455</v>
      </c>
      <c r="GN952">
        <v>9.0430095874835743</v>
      </c>
      <c r="GO952">
        <v>5.5953395983410781</v>
      </c>
      <c r="GP952">
        <v>3.8675932978899805</v>
      </c>
      <c r="GQ952">
        <v>2.1270417649191296</v>
      </c>
      <c r="GR952">
        <v>2.0593334315857961</v>
      </c>
      <c r="GS952">
        <v>5.3381502315885809</v>
      </c>
      <c r="GT952">
        <v>5.9448358360824862</v>
      </c>
      <c r="GU952"/>
      <c r="GV952"/>
      <c r="GW952"/>
      <c r="GX952"/>
      <c r="GY952"/>
      <c r="GZ952"/>
      <c r="HA952"/>
      <c r="HB952"/>
      <c r="HC952"/>
    </row>
    <row r="953" spans="1:211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50.688350511563911</v>
      </c>
      <c r="AO953">
        <v>6.0627424354655641</v>
      </c>
      <c r="AP953">
        <v>50.831433423803425</v>
      </c>
      <c r="AQ953">
        <v>41.42347840567345</v>
      </c>
      <c r="AR953">
        <v>6.3846986786406221</v>
      </c>
      <c r="AS953">
        <v>39.043271606702888</v>
      </c>
      <c r="AT953" t="e">
        <v>#DIV/0!</v>
      </c>
      <c r="AU953" t="e">
        <v>#DIV/0!</v>
      </c>
      <c r="AV953"/>
      <c r="AW953"/>
      <c r="FY953" s="211">
        <v>948</v>
      </c>
      <c r="FZ953">
        <v>14.813125855680275</v>
      </c>
      <c r="GA953">
        <v>14.082941983259701</v>
      </c>
      <c r="GB953">
        <v>6.1626890710328457</v>
      </c>
      <c r="GC953">
        <v>3.4527702921711683</v>
      </c>
      <c r="GD953">
        <v>2.3980723495147056</v>
      </c>
      <c r="GE953">
        <v>3.8375806201680676</v>
      </c>
      <c r="GF953">
        <v>1.7376891389387068</v>
      </c>
      <c r="GG953">
        <v>1.838625950142275</v>
      </c>
      <c r="GH953">
        <v>4.032025930886566</v>
      </c>
      <c r="GI953">
        <v>6.0344839443247604</v>
      </c>
      <c r="GJ953"/>
      <c r="GK953">
        <v>14.848586337431545</v>
      </c>
      <c r="GL953">
        <v>11.934324543087985</v>
      </c>
      <c r="GM953">
        <v>10.239492893236395</v>
      </c>
      <c r="GN953">
        <v>10.328074162815293</v>
      </c>
      <c r="GO953">
        <v>9.2980197192513359</v>
      </c>
      <c r="GP953">
        <v>7.3470524573465754</v>
      </c>
      <c r="GQ953">
        <v>2.1270417649191296</v>
      </c>
      <c r="GR953">
        <v>2.5859538019561663</v>
      </c>
      <c r="GS953">
        <v>4.2999752580506572</v>
      </c>
      <c r="GT953">
        <v>8.1626231945778134</v>
      </c>
      <c r="GU953"/>
      <c r="GV953"/>
      <c r="GW953"/>
      <c r="GX953"/>
      <c r="GY953"/>
      <c r="GZ953"/>
      <c r="HA953"/>
      <c r="HB953"/>
      <c r="HC953"/>
    </row>
    <row r="954" spans="1:211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40.610757986640721</v>
      </c>
      <c r="AO954">
        <v>4.9141662114157665</v>
      </c>
      <c r="AP954">
        <v>67.60301650487493</v>
      </c>
      <c r="AQ954">
        <v>36.35124016490245</v>
      </c>
      <c r="AR954">
        <v>5.4984155312573169</v>
      </c>
      <c r="AS954">
        <v>33.992220038610569</v>
      </c>
      <c r="AT954" t="e">
        <v>#DIV/0!</v>
      </c>
      <c r="AU954" t="e">
        <v>#DIV/0!</v>
      </c>
      <c r="AV954"/>
      <c r="AW954"/>
      <c r="FY954" s="211">
        <v>949</v>
      </c>
      <c r="FZ954">
        <v>9.0978436107006573</v>
      </c>
      <c r="GA954">
        <v>6.7963397091610389</v>
      </c>
      <c r="GB954">
        <v>6.6008002213194192</v>
      </c>
      <c r="GC954">
        <v>3.288345151243945</v>
      </c>
      <c r="GD954">
        <v>0.89989708351495024</v>
      </c>
      <c r="GE954">
        <v>1.249561091611296</v>
      </c>
      <c r="GF954">
        <v>1.8777106423256344</v>
      </c>
      <c r="GG954">
        <v>2.2871004422441126</v>
      </c>
      <c r="GH954">
        <v>3.9982657136597393</v>
      </c>
      <c r="GI954">
        <v>4.4602305043312667</v>
      </c>
      <c r="GJ954"/>
      <c r="GK954">
        <v>9.1504545297192585</v>
      </c>
      <c r="GL954">
        <v>5.7582390974682616</v>
      </c>
      <c r="GM954">
        <v>11.051684511243387</v>
      </c>
      <c r="GN954">
        <v>9.9685671865544521</v>
      </c>
      <c r="GO954">
        <v>3.4891611295681066</v>
      </c>
      <c r="GP954">
        <v>2.3922861295681068</v>
      </c>
      <c r="GQ954">
        <v>2.300938506441224</v>
      </c>
      <c r="GR954">
        <v>3.218762580515298</v>
      </c>
      <c r="GS954">
        <v>4.2617844799821833</v>
      </c>
      <c r="GT954">
        <v>6.0508046313908315</v>
      </c>
      <c r="GU954"/>
      <c r="GV954"/>
      <c r="GW954"/>
      <c r="GX954"/>
      <c r="GY954"/>
      <c r="GZ954"/>
      <c r="HA954"/>
      <c r="HB954"/>
      <c r="HC954"/>
    </row>
    <row r="955" spans="1:211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55.605945781133073</v>
      </c>
      <c r="AO955">
        <v>6.3807229666030363</v>
      </c>
      <c r="AP955">
        <v>3.4633676954669563</v>
      </c>
      <c r="AQ955">
        <v>49.757422496285429</v>
      </c>
      <c r="AR955">
        <v>6.6609632207697143</v>
      </c>
      <c r="AS955">
        <v>41.692487733755591</v>
      </c>
      <c r="AT955">
        <v>5.3115334010763542</v>
      </c>
      <c r="AU955">
        <v>3.2646487474727852</v>
      </c>
      <c r="AV955"/>
      <c r="AW955"/>
      <c r="FY955" s="211">
        <v>950</v>
      </c>
      <c r="FZ955">
        <v>8.8419599071357293</v>
      </c>
      <c r="GA955">
        <v>8.5938844873549094</v>
      </c>
      <c r="GB955">
        <v>6.9499197088262967</v>
      </c>
      <c r="GC955">
        <v>3.1345751678344342</v>
      </c>
      <c r="GD955">
        <v>1.4581482135818675</v>
      </c>
      <c r="GE955">
        <v>2.2408131445798323</v>
      </c>
      <c r="GF955">
        <v>0.78076673947010866</v>
      </c>
      <c r="GG955">
        <v>1.2838720433876809</v>
      </c>
      <c r="GH955">
        <v>5.1065749459560115</v>
      </c>
      <c r="GI955">
        <v>4.800971821228539</v>
      </c>
      <c r="GJ955"/>
      <c r="GK955">
        <v>8.8746028738788958</v>
      </c>
      <c r="GL955">
        <v>7.2800726431773972</v>
      </c>
      <c r="GM955">
        <v>11.55016850554231</v>
      </c>
      <c r="GN955">
        <v>9.3989258028869802</v>
      </c>
      <c r="GO955">
        <v>5.6631509390342023</v>
      </c>
      <c r="GP955">
        <v>4.2900393111790178</v>
      </c>
      <c r="GQ955">
        <v>0.95674818840579701</v>
      </c>
      <c r="GR955">
        <v>1.8068639291465376</v>
      </c>
      <c r="GS955">
        <v>5.4463872950876953</v>
      </c>
      <c r="GT955">
        <v>6.4982115603897803</v>
      </c>
      <c r="GU955"/>
      <c r="GV955"/>
      <c r="GW955"/>
      <c r="GX955"/>
      <c r="GY955"/>
      <c r="GZ955"/>
      <c r="HA955"/>
      <c r="HB955"/>
      <c r="HC955"/>
    </row>
    <row r="956" spans="1:211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53.07946528580343</v>
      </c>
      <c r="AO956">
        <v>6.7016467270353717</v>
      </c>
      <c r="AP956">
        <v>2.9028774046221208</v>
      </c>
      <c r="AQ956">
        <v>44.390493654672973</v>
      </c>
      <c r="AR956">
        <v>7.3325379097928129</v>
      </c>
      <c r="AS956">
        <v>46.922331819074856</v>
      </c>
      <c r="AT956">
        <v>5.9451287928477354</v>
      </c>
      <c r="AU956">
        <v>4.4542599037326092</v>
      </c>
      <c r="AV956"/>
      <c r="AW956"/>
      <c r="FY956" s="211">
        <v>951</v>
      </c>
      <c r="FZ956">
        <v>7.8219559556456515</v>
      </c>
      <c r="GA956">
        <v>6.9368972361750743</v>
      </c>
      <c r="GB956">
        <v>6.2984575838529384</v>
      </c>
      <c r="GC956">
        <v>3.6516350346369562</v>
      </c>
      <c r="GD956">
        <v>2.4071982249449189</v>
      </c>
      <c r="GE956">
        <v>3.5536494671995311</v>
      </c>
      <c r="GF956">
        <v>1.3266014393357464</v>
      </c>
      <c r="GG956">
        <v>1.4321027440345502</v>
      </c>
      <c r="GH956">
        <v>4.7639343279310786</v>
      </c>
      <c r="GI956">
        <v>5.08228946381666</v>
      </c>
      <c r="GJ956"/>
      <c r="GK956">
        <v>7.8592413504590413</v>
      </c>
      <c r="GL956">
        <v>5.8760800850932924</v>
      </c>
      <c r="GM956">
        <v>10.513075093878665</v>
      </c>
      <c r="GN956">
        <v>11.014256559937163</v>
      </c>
      <c r="GO956">
        <v>9.3538692162581238</v>
      </c>
      <c r="GP956">
        <v>6.8034659424023314</v>
      </c>
      <c r="GQ956">
        <v>1.620981677986407</v>
      </c>
      <c r="GR956">
        <v>2.0121853816901107</v>
      </c>
      <c r="GS956">
        <v>5.0777134489538964</v>
      </c>
      <c r="GT956">
        <v>6.8849761575072268</v>
      </c>
      <c r="GU956"/>
      <c r="GV956"/>
      <c r="GW956"/>
      <c r="GX956"/>
      <c r="GY956"/>
      <c r="GZ956"/>
      <c r="HA956"/>
      <c r="HB956"/>
      <c r="HC956"/>
    </row>
    <row r="957" spans="1:211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60.233821735485357</v>
      </c>
      <c r="AO957">
        <v>6.769422236432165</v>
      </c>
      <c r="AP957">
        <v>4.4336423948237593</v>
      </c>
      <c r="AQ957">
        <v>52.507793278933363</v>
      </c>
      <c r="AR957">
        <v>6.6719690709845425</v>
      </c>
      <c r="AS957">
        <v>42.153051435147965</v>
      </c>
      <c r="AT957">
        <v>5.3678289915025665</v>
      </c>
      <c r="AU957">
        <v>6.5935036752563203</v>
      </c>
      <c r="AV957"/>
      <c r="AW957"/>
      <c r="FY957" s="211">
        <v>952</v>
      </c>
      <c r="FZ957">
        <v>14.390152852307798</v>
      </c>
      <c r="GA957">
        <v>12.804245492670946</v>
      </c>
      <c r="GB957">
        <v>5.678743467316286</v>
      </c>
      <c r="GC957">
        <v>3.1685653475284092</v>
      </c>
      <c r="GD957">
        <v>1.598981631814457</v>
      </c>
      <c r="GE957">
        <v>1.8793351819767443</v>
      </c>
      <c r="GF957">
        <v>1.8707531456483986</v>
      </c>
      <c r="GG957">
        <v>1.9063755338945396</v>
      </c>
      <c r="GH957">
        <v>3.1638817212928836</v>
      </c>
      <c r="GI957">
        <v>5.2799129272696375</v>
      </c>
      <c r="GJ957"/>
      <c r="GK957">
        <v>14.451049767814496</v>
      </c>
      <c r="GL957">
        <v>10.85092956340152</v>
      </c>
      <c r="GM957">
        <v>9.401886205537636</v>
      </c>
      <c r="GN957">
        <v>9.4392445049110911</v>
      </c>
      <c r="GO957">
        <v>6.2099469303941204</v>
      </c>
      <c r="GP957">
        <v>3.5979893410852717</v>
      </c>
      <c r="GQ957">
        <v>2.2900978236952971</v>
      </c>
      <c r="GR957">
        <v>2.6813015273990004</v>
      </c>
      <c r="GS957">
        <v>3.3743874559682991</v>
      </c>
      <c r="GT957">
        <v>7.1454736366819693</v>
      </c>
      <c r="GU957"/>
      <c r="GV957"/>
      <c r="GW957"/>
      <c r="GX957"/>
      <c r="GY957"/>
      <c r="GZ957"/>
      <c r="HA957"/>
      <c r="HB957"/>
      <c r="HC957"/>
    </row>
    <row r="958" spans="1:211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57.444876566794861</v>
      </c>
      <c r="AO958">
        <v>6.540473903599052</v>
      </c>
      <c r="AP958">
        <v>10.807964768654037</v>
      </c>
      <c r="AQ958">
        <v>49.277144679963172</v>
      </c>
      <c r="AR958">
        <v>6.959037511996141</v>
      </c>
      <c r="AS958">
        <v>43.596733350712924</v>
      </c>
      <c r="AT958" t="e">
        <v>#DIV/0!</v>
      </c>
      <c r="AU958" t="e">
        <v>#DIV/0!</v>
      </c>
      <c r="AV958"/>
      <c r="AW958"/>
      <c r="FY958" s="211">
        <v>953</v>
      </c>
      <c r="FZ958">
        <v>9.2247455445962991</v>
      </c>
      <c r="GA958">
        <v>10.848401786524462</v>
      </c>
      <c r="GB958">
        <v>8.0117385801682381</v>
      </c>
      <c r="GC958">
        <v>4.1167195912084704</v>
      </c>
      <c r="GD958">
        <v>1.6015326301364896</v>
      </c>
      <c r="GE958">
        <v>1.3287528335714285</v>
      </c>
      <c r="GF958">
        <v>4.1837899647146708</v>
      </c>
      <c r="GG958">
        <v>3.967515150743854</v>
      </c>
      <c r="GH958">
        <v>5.0121597644427247</v>
      </c>
      <c r="GI958">
        <v>5.8059541584227077</v>
      </c>
      <c r="GJ958"/>
      <c r="GK958">
        <v>9.267103673780408</v>
      </c>
      <c r="GL958">
        <v>9.1904682812650229</v>
      </c>
      <c r="GM958">
        <v>13.383851750301925</v>
      </c>
      <c r="GN958">
        <v>12.440228374188084</v>
      </c>
      <c r="GO958">
        <v>6.2190937707123277</v>
      </c>
      <c r="GP958">
        <v>2.5438988095238093</v>
      </c>
      <c r="GQ958">
        <v>5.1198531530504647</v>
      </c>
      <c r="GR958">
        <v>5.578765190087501</v>
      </c>
      <c r="GS958">
        <v>5.3442415521411899</v>
      </c>
      <c r="GT958">
        <v>7.8668287799972632</v>
      </c>
      <c r="GU958"/>
      <c r="GV958"/>
      <c r="GW958"/>
      <c r="GX958"/>
      <c r="GY958"/>
      <c r="GZ958"/>
      <c r="HA958"/>
      <c r="HB958"/>
      <c r="HC958"/>
    </row>
    <row r="959" spans="1:211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69.895493313226723</v>
      </c>
      <c r="AO959">
        <v>8.1160787839283213</v>
      </c>
      <c r="AP959">
        <v>83.013216840217041</v>
      </c>
      <c r="AQ959">
        <v>60.942123991046522</v>
      </c>
      <c r="AR959">
        <v>8.6235864404374443</v>
      </c>
      <c r="AS959">
        <v>50.990903167108861</v>
      </c>
      <c r="AT959" t="e">
        <v>#DIV/0!</v>
      </c>
      <c r="AU959" t="e">
        <v>#DIV/0!</v>
      </c>
      <c r="AV959"/>
      <c r="AW959"/>
      <c r="FY959" s="211">
        <v>954</v>
      </c>
      <c r="FZ959">
        <v>10.7585036583882</v>
      </c>
      <c r="GA959">
        <v>6.5861204188300002</v>
      </c>
      <c r="GB959">
        <v>5.4389023229314928</v>
      </c>
      <c r="GC959">
        <v>3.1945883843163654</v>
      </c>
      <c r="GD959">
        <v>1.4058156338025212</v>
      </c>
      <c r="GE959">
        <v>1.6395903795798319</v>
      </c>
      <c r="GF959">
        <v>1.7999008971784418</v>
      </c>
      <c r="GG959">
        <v>2.5935423845335146</v>
      </c>
      <c r="GH959">
        <v>6.48107591404223</v>
      </c>
      <c r="GI959">
        <v>5.0850726599896401</v>
      </c>
      <c r="GJ959"/>
      <c r="GK959">
        <v>10.799235147124941</v>
      </c>
      <c r="GL959">
        <v>5.5816981758841688</v>
      </c>
      <c r="GM959">
        <v>9.0475221391897893</v>
      </c>
      <c r="GN959">
        <v>9.5692465823532391</v>
      </c>
      <c r="GO959">
        <v>5.4507535968933034</v>
      </c>
      <c r="GP959">
        <v>3.1389976445123504</v>
      </c>
      <c r="GQ959">
        <v>2.2055907809983895</v>
      </c>
      <c r="GR959">
        <v>3.6500352254428337</v>
      </c>
      <c r="GS959">
        <v>6.911394964114808</v>
      </c>
      <c r="GT959">
        <v>6.8828993256642459</v>
      </c>
      <c r="GU959"/>
      <c r="GV959"/>
      <c r="GW959"/>
      <c r="GX959"/>
      <c r="GY959"/>
      <c r="GZ959"/>
      <c r="HA959"/>
      <c r="HB959"/>
      <c r="HC959"/>
    </row>
    <row r="960" spans="1:211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59.624837843569182</v>
      </c>
      <c r="AO960">
        <v>7.1151528300282818</v>
      </c>
      <c r="AP960">
        <v>20.461463141076806</v>
      </c>
      <c r="AQ960">
        <v>54.202280011415446</v>
      </c>
      <c r="AR960">
        <v>7.1543022583954974</v>
      </c>
      <c r="AS960">
        <v>42.570973951716191</v>
      </c>
      <c r="AT960" t="e">
        <v>#DIV/0!</v>
      </c>
      <c r="AU960" t="e">
        <v>#DIV/0!</v>
      </c>
      <c r="AV960"/>
      <c r="AW960"/>
      <c r="FY960" s="211">
        <v>955</v>
      </c>
      <c r="FZ960">
        <v>12.503390494820007</v>
      </c>
      <c r="GA960">
        <v>10.97753912732297</v>
      </c>
      <c r="GB960">
        <v>4.9821798270709818</v>
      </c>
      <c r="GC960">
        <v>2.4550168158856751</v>
      </c>
      <c r="GD960">
        <v>2.0683424534206574</v>
      </c>
      <c r="GE960">
        <v>3.4138302195251131</v>
      </c>
      <c r="GF960">
        <v>1.9485628907955908</v>
      </c>
      <c r="GG960">
        <v>1.974125117646804</v>
      </c>
      <c r="GH960">
        <v>3.6617228746052097</v>
      </c>
      <c r="GI960">
        <v>5.1907484537633755</v>
      </c>
      <c r="GJ960"/>
      <c r="GK960">
        <v>12.545129027137675</v>
      </c>
      <c r="GL960">
        <v>9.3009162551558813</v>
      </c>
      <c r="GM960">
        <v>8.2462608067950462</v>
      </c>
      <c r="GN960">
        <v>7.3028575908399223</v>
      </c>
      <c r="GO960">
        <v>8.0195615957799635</v>
      </c>
      <c r="GP960">
        <v>6.5357818338752001</v>
      </c>
      <c r="GQ960">
        <v>2.3854455491381312</v>
      </c>
      <c r="GR960">
        <v>2.7766492528418345</v>
      </c>
      <c r="GS960">
        <v>3.9021189208265912</v>
      </c>
      <c r="GT960">
        <v>7.0197031799354797</v>
      </c>
      <c r="GU960"/>
      <c r="GV960"/>
      <c r="GW960"/>
      <c r="GX960"/>
      <c r="GY960"/>
      <c r="GZ960"/>
      <c r="HA960"/>
      <c r="HB960"/>
      <c r="HC960"/>
    </row>
    <row r="961" spans="1:211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71.809163798058336</v>
      </c>
      <c r="AO961">
        <v>7.8361878428331693</v>
      </c>
      <c r="AP961">
        <v>3.3854178921612106</v>
      </c>
      <c r="AQ961">
        <v>63.192513227222214</v>
      </c>
      <c r="AR961">
        <v>7.9414962409324588</v>
      </c>
      <c r="AS961">
        <v>48.743969581436559</v>
      </c>
      <c r="AT961">
        <v>6.298123998444666</v>
      </c>
      <c r="AU961">
        <v>0.20824113522943577</v>
      </c>
      <c r="AV961"/>
      <c r="AW961"/>
      <c r="FY961" s="211">
        <v>956</v>
      </c>
      <c r="FZ961">
        <v>11.25566261263676</v>
      </c>
      <c r="GA961">
        <v>6.5357673489765125</v>
      </c>
      <c r="GB961">
        <v>5.341400006433207</v>
      </c>
      <c r="GC961">
        <v>3.3989556021797811</v>
      </c>
      <c r="GD961">
        <v>1.3830539579999999</v>
      </c>
      <c r="GE961">
        <v>1.8946095535714289</v>
      </c>
      <c r="GF961">
        <v>2.2904813354815796</v>
      </c>
      <c r="GG961">
        <v>2.367581559138717</v>
      </c>
      <c r="GH961">
        <v>4.5483751284066098</v>
      </c>
      <c r="GI961">
        <v>4.9050759096868353</v>
      </c>
      <c r="GJ961"/>
      <c r="GK961">
        <v>11.299951609220731</v>
      </c>
      <c r="GL961">
        <v>5.53970811019538</v>
      </c>
      <c r="GM961">
        <v>8.8855163460646072</v>
      </c>
      <c r="GN961">
        <v>10.175114699811543</v>
      </c>
      <c r="GO961">
        <v>5.3624999999999998</v>
      </c>
      <c r="GP961">
        <v>3.6272321428571432</v>
      </c>
      <c r="GQ961">
        <v>2.8021159372456665</v>
      </c>
      <c r="GR961">
        <v>3.3287363076160368</v>
      </c>
      <c r="GS961">
        <v>4.8471225980682178</v>
      </c>
      <c r="GT961">
        <v>6.639441298119845</v>
      </c>
      <c r="GU961"/>
      <c r="GV961"/>
      <c r="GW961"/>
      <c r="GX961"/>
      <c r="GY961"/>
      <c r="GZ961"/>
      <c r="HA961"/>
      <c r="HB961"/>
      <c r="HC961"/>
    </row>
    <row r="962" spans="1:211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44.95528743519445</v>
      </c>
      <c r="AO962">
        <v>5.3949411103404472</v>
      </c>
      <c r="AP962">
        <v>3.5368361089422615</v>
      </c>
      <c r="AQ962">
        <v>38.199198514057422</v>
      </c>
      <c r="AR962">
        <v>5.6969446000059083</v>
      </c>
      <c r="AS962">
        <v>37.601095808370879</v>
      </c>
      <c r="AT962">
        <v>4.6080093704406115</v>
      </c>
      <c r="AU962">
        <v>9.5347661513518673</v>
      </c>
      <c r="AV962"/>
      <c r="AW962"/>
      <c r="FY962" s="211">
        <v>957</v>
      </c>
      <c r="FZ962">
        <v>7.3333029676873558</v>
      </c>
      <c r="GA962">
        <v>9.6005066981525466</v>
      </c>
      <c r="GB962">
        <v>7.3571390460206825</v>
      </c>
      <c r="GC962">
        <v>3.6395174306215328</v>
      </c>
      <c r="GD962">
        <v>1.8624886102807443</v>
      </c>
      <c r="GE962">
        <v>2.0211600155882352</v>
      </c>
      <c r="GF962">
        <v>1.8380543676705907</v>
      </c>
      <c r="GG962">
        <v>1.5999335916051376</v>
      </c>
      <c r="GH962">
        <v>2.9451628279862625</v>
      </c>
      <c r="GI962">
        <v>4.7620923793704879</v>
      </c>
      <c r="GJ962"/>
      <c r="GK962">
        <v>7.3527326080517259</v>
      </c>
      <c r="GL962">
        <v>8.1350055208606644</v>
      </c>
      <c r="GM962">
        <v>12.229344362793125</v>
      </c>
      <c r="GN962">
        <v>10.929312076976771</v>
      </c>
      <c r="GO962">
        <v>7.2513613812118702</v>
      </c>
      <c r="GP962">
        <v>3.8695131461675576</v>
      </c>
      <c r="GQ962">
        <v>2.2500288824714643</v>
      </c>
      <c r="GR962">
        <v>2.2500288824714643</v>
      </c>
      <c r="GS962">
        <v>3.1399548332963154</v>
      </c>
      <c r="GT962">
        <v>6.4446844135649002</v>
      </c>
      <c r="GU962"/>
      <c r="GV962"/>
      <c r="GW962"/>
      <c r="GX962"/>
      <c r="GY962"/>
      <c r="GZ962"/>
      <c r="HA962"/>
      <c r="HB962"/>
      <c r="HC962"/>
    </row>
    <row r="963" spans="1:211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43.877605908007808</v>
      </c>
      <c r="AO963">
        <v>5.4173110324809866</v>
      </c>
      <c r="AP963">
        <v>65.466587243665813</v>
      </c>
      <c r="AQ963">
        <v>36.020668319935183</v>
      </c>
      <c r="AR963">
        <v>5.9448358360824862</v>
      </c>
      <c r="AS963">
        <v>34.594713172564468</v>
      </c>
      <c r="AT963" t="e">
        <v>#DIV/0!</v>
      </c>
      <c r="AU963" t="e">
        <v>#DIV/0!</v>
      </c>
      <c r="AV963"/>
      <c r="AW963"/>
      <c r="FY963" s="211">
        <v>958</v>
      </c>
      <c r="FZ963">
        <v>12.913910015935585</v>
      </c>
      <c r="GA963">
        <v>9.9277140028275639</v>
      </c>
      <c r="GB963">
        <v>6.5379371653795992</v>
      </c>
      <c r="GC963">
        <v>3.5349017726665197</v>
      </c>
      <c r="GD963">
        <v>2.3009228945975169</v>
      </c>
      <c r="GE963">
        <v>3.5890155121995311</v>
      </c>
      <c r="GF963">
        <v>0.53719420963541664</v>
      </c>
      <c r="GG963">
        <v>1.5903139856770834</v>
      </c>
      <c r="GH963">
        <v>7.3141575463899011</v>
      </c>
      <c r="GI963">
        <v>6.094410888877106</v>
      </c>
      <c r="GJ963"/>
      <c r="GK963">
        <v>12.962044149970884</v>
      </c>
      <c r="GL963">
        <v>8.4119011135462927</v>
      </c>
      <c r="GM963">
        <v>10.911263501568531</v>
      </c>
      <c r="GN963">
        <v>10.665745155948391</v>
      </c>
      <c r="GO963">
        <v>8.9410649214711277</v>
      </c>
      <c r="GP963">
        <v>6.8711742757356644</v>
      </c>
      <c r="GQ963">
        <v>0.65827546296296291</v>
      </c>
      <c r="GR963">
        <v>2.238136574074074</v>
      </c>
      <c r="GS963">
        <v>7.801418123128613</v>
      </c>
      <c r="GT963">
        <v>8.2548132318204228</v>
      </c>
      <c r="GU963"/>
      <c r="GV963"/>
      <c r="GW963"/>
      <c r="GX963"/>
      <c r="GY963"/>
      <c r="GZ963"/>
      <c r="HA963"/>
      <c r="HB963"/>
      <c r="HC963"/>
    </row>
    <row r="964" spans="1:211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69.997866803879305</v>
      </c>
      <c r="AO964">
        <v>8.1171144132672897</v>
      </c>
      <c r="AP964">
        <v>4.3714303642868773</v>
      </c>
      <c r="AQ964">
        <v>58.390005136119072</v>
      </c>
      <c r="AR964">
        <v>8.1626231945778116</v>
      </c>
      <c r="AS964">
        <v>50.070656673783674</v>
      </c>
      <c r="AT964">
        <v>6.565380305764017</v>
      </c>
      <c r="AU964">
        <v>5.1464928723138001</v>
      </c>
      <c r="AV964"/>
      <c r="AW964"/>
      <c r="FY964" s="211">
        <v>959</v>
      </c>
      <c r="FZ964">
        <v>18.20586467811674</v>
      </c>
      <c r="GA964">
        <v>13.480879045787347</v>
      </c>
      <c r="GB964">
        <v>5.1513885517618672</v>
      </c>
      <c r="GC964">
        <v>2.6356282477595032</v>
      </c>
      <c r="GD964">
        <v>2.1094975811919938</v>
      </c>
      <c r="GE964">
        <v>3.758388878207934</v>
      </c>
      <c r="GF964">
        <v>1.6893923740534418</v>
      </c>
      <c r="GG964">
        <v>1.4709678064085145</v>
      </c>
      <c r="GH964">
        <v>4.1687608936892238</v>
      </c>
      <c r="GI964">
        <v>6.1335877451412353</v>
      </c>
      <c r="GJ964"/>
      <c r="GK964">
        <v>18.275541564364367</v>
      </c>
      <c r="GL964">
        <v>11.424002759925401</v>
      </c>
      <c r="GM964">
        <v>8.5287696535385535</v>
      </c>
      <c r="GN964">
        <v>7.8397129262298506</v>
      </c>
      <c r="GO964">
        <v>8.177643687816877</v>
      </c>
      <c r="GP964">
        <v>7.195439777390872</v>
      </c>
      <c r="GQ964">
        <v>2.0701741143317229</v>
      </c>
      <c r="GR964">
        <v>2.0701741143317229</v>
      </c>
      <c r="GS964">
        <v>4.445524758273347</v>
      </c>
      <c r="GT964">
        <v>8.2995307556649731</v>
      </c>
      <c r="GU964"/>
      <c r="GV964"/>
      <c r="GW964"/>
      <c r="GX964"/>
      <c r="GY964"/>
      <c r="GZ964"/>
      <c r="HA964"/>
      <c r="HB964"/>
      <c r="HC964"/>
    </row>
    <row r="965" spans="1:211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43.51681212845368</v>
      </c>
      <c r="AO965">
        <v>5.7642682782451109</v>
      </c>
      <c r="AP965">
        <v>5.5372094920010539</v>
      </c>
      <c r="AQ965">
        <v>40.556094170112054</v>
      </c>
      <c r="AR965">
        <v>6.0508046313908306</v>
      </c>
      <c r="AS965">
        <v>36.791155979709771</v>
      </c>
      <c r="AT965">
        <v>4.7615205584090523</v>
      </c>
      <c r="AU965">
        <v>4.6160219442697272</v>
      </c>
      <c r="AV965"/>
      <c r="AW965"/>
      <c r="FY965" s="211">
        <v>960</v>
      </c>
      <c r="FZ965">
        <v>14.720974474787573</v>
      </c>
      <c r="GA965">
        <v>13.626709059199854</v>
      </c>
      <c r="GB965">
        <v>6.7242171064335352</v>
      </c>
      <c r="GC965">
        <v>3.2213255274761377</v>
      </c>
      <c r="GD965">
        <v>1.8331616439637008</v>
      </c>
      <c r="GE965">
        <v>2.9144129319054133</v>
      </c>
      <c r="GF965">
        <v>1.8707531456483986</v>
      </c>
      <c r="GG965">
        <v>2.2805670599362062</v>
      </c>
      <c r="GH965">
        <v>3.9902052998506834</v>
      </c>
      <c r="GI965">
        <v>5.8569655124552806</v>
      </c>
      <c r="GJ965"/>
      <c r="GK965">
        <v>14.783832840539613</v>
      </c>
      <c r="GL965">
        <v>11.5461831344512</v>
      </c>
      <c r="GM965">
        <v>11.25241900444624</v>
      </c>
      <c r="GN965">
        <v>9.7735917891962352</v>
      </c>
      <c r="GO965">
        <v>7.1164422976248343</v>
      </c>
      <c r="GP965">
        <v>5.5796468693185517</v>
      </c>
      <c r="GQ965">
        <v>2.2900978236952971</v>
      </c>
      <c r="GR965">
        <v>3.2079218977693706</v>
      </c>
      <c r="GS965">
        <v>4.2542713898180446</v>
      </c>
      <c r="GT965">
        <v>7.9394126712248054</v>
      </c>
      <c r="GU965"/>
      <c r="GV965"/>
      <c r="GW965"/>
      <c r="GX965"/>
      <c r="GY965"/>
      <c r="GZ965"/>
      <c r="HA965"/>
      <c r="HB965"/>
      <c r="HC965"/>
    </row>
    <row r="966" spans="1:211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51.799537425476601</v>
      </c>
      <c r="AO966">
        <v>6.176517104872862</v>
      </c>
      <c r="AP966">
        <v>3.1433264337860831</v>
      </c>
      <c r="AQ966">
        <v>43.191486179355408</v>
      </c>
      <c r="AR966">
        <v>6.4982115603897803</v>
      </c>
      <c r="AS966">
        <v>39.702887618951024</v>
      </c>
      <c r="AT966">
        <v>5.1989894410425519</v>
      </c>
      <c r="AU966">
        <v>5.1343172234828094</v>
      </c>
      <c r="AV966"/>
      <c r="AW966"/>
      <c r="FY966" s="211">
        <v>961</v>
      </c>
      <c r="FZ966">
        <v>9.5546936891619225</v>
      </c>
      <c r="GA966">
        <v>5.514593886664608</v>
      </c>
      <c r="GB966">
        <v>4.9684085680455166</v>
      </c>
      <c r="GC966">
        <v>3.652578592931186</v>
      </c>
      <c r="GD966">
        <v>2.2308302058203844</v>
      </c>
      <c r="GE966">
        <v>2.8025028702393979</v>
      </c>
      <c r="GF966">
        <v>1.2074524259805255</v>
      </c>
      <c r="GG966">
        <v>1.003228398856431</v>
      </c>
      <c r="GH966">
        <v>4.7885185422052778</v>
      </c>
      <c r="GI966">
        <v>4.8976710463907427</v>
      </c>
      <c r="GJ966"/>
      <c r="GK966">
        <v>9.5876740793123734</v>
      </c>
      <c r="GL966">
        <v>4.6719145181003574</v>
      </c>
      <c r="GM966">
        <v>8.3478053586601817</v>
      </c>
      <c r="GN966">
        <v>11.080108366950144</v>
      </c>
      <c r="GO966">
        <v>8.6787841074658463</v>
      </c>
      <c r="GP966">
        <v>5.3653949291132941</v>
      </c>
      <c r="GQ966">
        <v>1.4796069847020934</v>
      </c>
      <c r="GR966">
        <v>1.4118986513687599</v>
      </c>
      <c r="GS966">
        <v>5.1011534080261267</v>
      </c>
      <c r="GT966">
        <v>6.6390047876333238</v>
      </c>
      <c r="GU966"/>
      <c r="GV966"/>
      <c r="GW966"/>
      <c r="GX966"/>
      <c r="GY966"/>
      <c r="GZ966"/>
      <c r="HA966"/>
      <c r="HB966"/>
      <c r="HC966"/>
    </row>
    <row r="967" spans="1:211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54.089929225972263</v>
      </c>
      <c r="AO967">
        <v>6.7015844914166252</v>
      </c>
      <c r="AP967">
        <v>6.8355804769563706</v>
      </c>
      <c r="AQ967">
        <v>43.274721477573102</v>
      </c>
      <c r="AR967">
        <v>6.8849761575072277</v>
      </c>
      <c r="AS967">
        <v>41.834568668508879</v>
      </c>
      <c r="AT967">
        <v>5.4741559758073421</v>
      </c>
      <c r="AU967">
        <v>1.8471625441438126</v>
      </c>
      <c r="AV967"/>
      <c r="AW967"/>
      <c r="FY967" s="211">
        <v>962</v>
      </c>
      <c r="FZ967">
        <v>11.378631410478828</v>
      </c>
      <c r="GA967">
        <v>10.516737852375334</v>
      </c>
      <c r="GB967">
        <v>6.2029424580114849</v>
      </c>
      <c r="GC967">
        <v>3.1586484901968022</v>
      </c>
      <c r="GD967">
        <v>1.8468782125246905</v>
      </c>
      <c r="GE967">
        <v>2.5075818351827244</v>
      </c>
      <c r="GF967">
        <v>2.4701591135235508</v>
      </c>
      <c r="GG967">
        <v>2.7548398497961957</v>
      </c>
      <c r="GH967">
        <v>7.4038107774534847</v>
      </c>
      <c r="GI967">
        <v>5.8839373420299967</v>
      </c>
      <c r="GJ967"/>
      <c r="GK967">
        <v>11.428768489875981</v>
      </c>
      <c r="GL967">
        <v>8.9105182156022078</v>
      </c>
      <c r="GM967">
        <v>10.310186272806849</v>
      </c>
      <c r="GN967">
        <v>9.4624499882647211</v>
      </c>
      <c r="GO967">
        <v>7.160136596685871</v>
      </c>
      <c r="GP967">
        <v>4.8007682724252492</v>
      </c>
      <c r="GQ967">
        <v>3.0269223027375198</v>
      </c>
      <c r="GR967">
        <v>3.8770380434782603</v>
      </c>
      <c r="GS967">
        <v>7.8942787443012996</v>
      </c>
      <c r="GT967">
        <v>7.9640584812815041</v>
      </c>
      <c r="GU967"/>
      <c r="GV967"/>
      <c r="GW967"/>
      <c r="GX967"/>
      <c r="GY967"/>
      <c r="GZ967"/>
      <c r="HA967"/>
      <c r="HB967"/>
      <c r="HC967"/>
    </row>
    <row r="968" spans="1:211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58.505999693624503</v>
      </c>
      <c r="AO968">
        <v>6.9442306756888694</v>
      </c>
      <c r="AP968">
        <v>4.4883679605342035</v>
      </c>
      <c r="AQ968">
        <v>51.740947301720098</v>
      </c>
      <c r="AR968">
        <v>7.1454736366819729</v>
      </c>
      <c r="AS968">
        <v>45.752084813767638</v>
      </c>
      <c r="AT968">
        <v>5.7591991648157785</v>
      </c>
      <c r="AU968">
        <v>6.1716041752798176</v>
      </c>
      <c r="AV968"/>
      <c r="AW968"/>
      <c r="FY968" s="211">
        <v>963</v>
      </c>
      <c r="FZ968">
        <v>9.9044469696217341</v>
      </c>
      <c r="GA968">
        <v>6.451446350202291</v>
      </c>
      <c r="GB968">
        <v>8.1939028076392901</v>
      </c>
      <c r="GC968">
        <v>4.4771337114317689</v>
      </c>
      <c r="GD968">
        <v>1.0936145459936324</v>
      </c>
      <c r="GE968">
        <v>0.85888966428571434</v>
      </c>
      <c r="GF968">
        <v>2.3682910806287722</v>
      </c>
      <c r="GG968">
        <v>2.0611396168493146</v>
      </c>
      <c r="GH968">
        <v>5.9139030666972525</v>
      </c>
      <c r="GI968">
        <v>5.4754096018532419</v>
      </c>
      <c r="GJ968"/>
      <c r="GK968">
        <v>9.9555416390520399</v>
      </c>
      <c r="GL968">
        <v>5.4659801967890767</v>
      </c>
      <c r="GM968">
        <v>13.72410756167611</v>
      </c>
      <c r="GN968">
        <v>13.568432361446439</v>
      </c>
      <c r="GO968">
        <v>4.2497485326170903</v>
      </c>
      <c r="GP968">
        <v>1.6443452380952381</v>
      </c>
      <c r="GQ968">
        <v>2.8974636626885006</v>
      </c>
      <c r="GR968">
        <v>2.8974636626885006</v>
      </c>
      <c r="GS968">
        <v>6.3045890831497378</v>
      </c>
      <c r="GT968">
        <v>7.4262900958366957</v>
      </c>
      <c r="GU968"/>
      <c r="GV968"/>
      <c r="GW968"/>
      <c r="GX968"/>
      <c r="GY968"/>
      <c r="GZ968"/>
      <c r="HA968"/>
      <c r="HB968"/>
      <c r="HC968"/>
    </row>
    <row r="969" spans="1:211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64.055598257308546</v>
      </c>
      <c r="AO969">
        <v>7.6954333335047993</v>
      </c>
      <c r="AP969">
        <v>6.456987747193252</v>
      </c>
      <c r="AQ969">
        <v>54.101310004529353</v>
      </c>
      <c r="AR969">
        <v>7.8668287799972649</v>
      </c>
      <c r="AS969">
        <v>45.648354593799752</v>
      </c>
      <c r="AT969">
        <v>6.1727739107009043</v>
      </c>
      <c r="AU969">
        <v>3.0830743692150699</v>
      </c>
      <c r="AV969"/>
      <c r="AW969"/>
      <c r="FY969" s="211">
        <v>964</v>
      </c>
      <c r="FZ969">
        <v>19.106316504226577</v>
      </c>
      <c r="GA969">
        <v>22.538681325337151</v>
      </c>
      <c r="GB969">
        <v>7.4198142316767717</v>
      </c>
      <c r="GC969">
        <v>3.8065556887307266</v>
      </c>
      <c r="GD969">
        <v>2.0220030934453783</v>
      </c>
      <c r="GE969">
        <v>1.6648518402941177</v>
      </c>
      <c r="GF969">
        <v>1.8310968709933551</v>
      </c>
      <c r="GG969">
        <v>1.5934002092972313</v>
      </c>
      <c r="GH969">
        <v>2.8321224390867936</v>
      </c>
      <c r="GI969">
        <v>6.5904836753657658</v>
      </c>
      <c r="GJ969"/>
      <c r="GK969">
        <v>19.162058490963958</v>
      </c>
      <c r="GL969">
        <v>19.097044004949343</v>
      </c>
      <c r="GM969">
        <v>12.328598539832186</v>
      </c>
      <c r="GN969">
        <v>11.395909128675594</v>
      </c>
      <c r="GO969">
        <v>7.8398905016552067</v>
      </c>
      <c r="GP969">
        <v>3.1873607397504458</v>
      </c>
      <c r="GQ969">
        <v>2.2391881997255374</v>
      </c>
      <c r="GR969">
        <v>2.2391881997255374</v>
      </c>
      <c r="GS969">
        <v>3.0187389824106363</v>
      </c>
      <c r="GT969">
        <v>8.9176949429175068</v>
      </c>
      <c r="GU969"/>
      <c r="GV969"/>
      <c r="GW969"/>
      <c r="GX969"/>
      <c r="GY969"/>
      <c r="GZ969"/>
      <c r="HA969"/>
      <c r="HB969"/>
      <c r="HC969"/>
    </row>
    <row r="970" spans="1:211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50.71196520573686</v>
      </c>
      <c r="AO970">
        <v>6.3237373582178069</v>
      </c>
      <c r="AP970">
        <v>2.5908953088960001</v>
      </c>
      <c r="AQ970">
        <v>44.983112653592244</v>
      </c>
      <c r="AR970">
        <v>6.8828993256642477</v>
      </c>
      <c r="AS970">
        <v>44.951010073258516</v>
      </c>
      <c r="AT970">
        <v>5.556345209500968</v>
      </c>
      <c r="AU970">
        <v>7.302662101703457</v>
      </c>
      <c r="AV970"/>
      <c r="AW970"/>
      <c r="FY970" s="211">
        <v>965</v>
      </c>
      <c r="FZ970">
        <v>13.501019790938514</v>
      </c>
      <c r="GA970">
        <v>9.8884118755513111</v>
      </c>
      <c r="GB970">
        <v>5.6028606945374442</v>
      </c>
      <c r="GC970">
        <v>3.2669864445341283</v>
      </c>
      <c r="GD970">
        <v>1.437519615272375</v>
      </c>
      <c r="GE970">
        <v>1.5610407769767443</v>
      </c>
      <c r="GF970">
        <v>1.822456380763134</v>
      </c>
      <c r="GG970">
        <v>2.2871004422441126</v>
      </c>
      <c r="GH970">
        <v>4.0756488182799808</v>
      </c>
      <c r="GI970">
        <v>5.175760973603432</v>
      </c>
      <c r="GJ970"/>
      <c r="GK970">
        <v>13.565525716249546</v>
      </c>
      <c r="GL970">
        <v>8.3778567871308454</v>
      </c>
      <c r="GM970">
        <v>9.3222050760153223</v>
      </c>
      <c r="GN970">
        <v>9.8100614139534876</v>
      </c>
      <c r="GO970">
        <v>5.5934008201540664</v>
      </c>
      <c r="GP970">
        <v>2.9886143410852712</v>
      </c>
      <c r="GQ970">
        <v>2.2332301731078905</v>
      </c>
      <c r="GR970">
        <v>3.218762580515298</v>
      </c>
      <c r="GS970">
        <v>4.3448135297999446</v>
      </c>
      <c r="GT970">
        <v>7.0118350630653552</v>
      </c>
      <c r="GU970"/>
      <c r="GV970"/>
      <c r="GW970"/>
      <c r="GX970"/>
      <c r="GY970"/>
      <c r="GZ970"/>
      <c r="HA970"/>
      <c r="HB970"/>
      <c r="HC970"/>
    </row>
    <row r="971" spans="1:211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60.319454754832407</v>
      </c>
      <c r="AO971">
        <v>6.8034424012325712</v>
      </c>
      <c r="AP971">
        <v>3.6096876670851681</v>
      </c>
      <c r="AQ971">
        <v>49.175458274856389</v>
      </c>
      <c r="AR971">
        <v>7.0197031799354805</v>
      </c>
      <c r="AS971">
        <v>44.049911215716293</v>
      </c>
      <c r="AT971">
        <v>5.6569444078687381</v>
      </c>
      <c r="AU971">
        <v>4.5694939305575506</v>
      </c>
      <c r="AV971"/>
      <c r="AW971"/>
      <c r="FY971" s="211">
        <v>966</v>
      </c>
      <c r="FZ971">
        <v>13.504649937814314</v>
      </c>
      <c r="GA971">
        <v>11.848783133982218</v>
      </c>
      <c r="GB971">
        <v>6.8654168500294706</v>
      </c>
      <c r="GC971">
        <v>4.1147079817096888</v>
      </c>
      <c r="GD971">
        <v>1.4521068429943311</v>
      </c>
      <c r="GE971">
        <v>1.3819234802941178</v>
      </c>
      <c r="GF971">
        <v>1.7220911520312501</v>
      </c>
      <c r="GG971">
        <v>1.7774097486979166</v>
      </c>
      <c r="GH971">
        <v>3.7006793683286485</v>
      </c>
      <c r="GI971">
        <v>5.4215373712021684</v>
      </c>
      <c r="GJ971"/>
      <c r="GK971">
        <v>13.54623124048374</v>
      </c>
      <c r="GL971">
        <v>10.038048397760175</v>
      </c>
      <c r="GM971">
        <v>11.480966673768172</v>
      </c>
      <c r="GN971">
        <v>12.436010511706337</v>
      </c>
      <c r="GO971">
        <v>5.6499597188192405</v>
      </c>
      <c r="GP971">
        <v>2.6456940730837792</v>
      </c>
      <c r="GQ971">
        <v>2.1102430555555554</v>
      </c>
      <c r="GR971">
        <v>2.5014467592592591</v>
      </c>
      <c r="GS971">
        <v>3.9425943397578527</v>
      </c>
      <c r="GT971">
        <v>7.3459990056769122</v>
      </c>
      <c r="GU971"/>
      <c r="GV971"/>
      <c r="GW971"/>
      <c r="GX971"/>
      <c r="GY971"/>
      <c r="GZ971"/>
      <c r="HA971"/>
      <c r="HB971"/>
      <c r="HC971"/>
    </row>
    <row r="972" spans="1:211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52.374430570366613</v>
      </c>
      <c r="AO972">
        <v>6.2507439049199167</v>
      </c>
      <c r="AP972">
        <v>36.983580956354061</v>
      </c>
      <c r="AQ972">
        <v>43.920963014511429</v>
      </c>
      <c r="AR972">
        <v>6.6394412981198467</v>
      </c>
      <c r="AS972">
        <v>42.966076528879661</v>
      </c>
      <c r="AT972" t="e">
        <v>#DIV/0!</v>
      </c>
      <c r="AU972" t="e">
        <v>#DIV/0!</v>
      </c>
      <c r="AV972"/>
      <c r="AW972"/>
      <c r="FY972" s="211">
        <v>967</v>
      </c>
      <c r="FZ972">
        <v>8.6390116617385999</v>
      </c>
      <c r="GA972">
        <v>5.5412694599050862</v>
      </c>
      <c r="GB972">
        <v>5.5117915299597708</v>
      </c>
      <c r="GC972">
        <v>3.2526980605093123</v>
      </c>
      <c r="GD972">
        <v>1.7387961917857144</v>
      </c>
      <c r="GE972">
        <v>2.0108122728571431</v>
      </c>
      <c r="GF972">
        <v>1.767202119200634</v>
      </c>
      <c r="GG972">
        <v>2.6612919682857794</v>
      </c>
      <c r="GH972">
        <v>6.7032111799715297</v>
      </c>
      <c r="GI972">
        <v>5.0090233102164783</v>
      </c>
      <c r="GJ972"/>
      <c r="GK972">
        <v>8.6813018046422386</v>
      </c>
      <c r="GL972">
        <v>4.6942510022301667</v>
      </c>
      <c r="GM972">
        <v>9.1709530367386751</v>
      </c>
      <c r="GN972">
        <v>9.7476571406211701</v>
      </c>
      <c r="GO972">
        <v>6.7418154761904772</v>
      </c>
      <c r="GP972">
        <v>3.8497023809523814</v>
      </c>
      <c r="GQ972">
        <v>2.165521839774557</v>
      </c>
      <c r="GR972">
        <v>3.7453829508856682</v>
      </c>
      <c r="GS972">
        <v>7.1477704374300437</v>
      </c>
      <c r="GT972">
        <v>6.7814725189551979</v>
      </c>
      <c r="GU972"/>
      <c r="GV972"/>
      <c r="GW972"/>
      <c r="GX972"/>
      <c r="GY972"/>
      <c r="GZ972"/>
      <c r="HA972"/>
      <c r="HB972"/>
      <c r="HC972"/>
    </row>
    <row r="973" spans="1:211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51.570952861408173</v>
      </c>
      <c r="AO973">
        <v>6.3851966107865845</v>
      </c>
      <c r="AP973">
        <v>67.089826965404129</v>
      </c>
      <c r="AQ973">
        <v>42.959357934983572</v>
      </c>
      <c r="AR973">
        <v>6.4446844135648993</v>
      </c>
      <c r="AS973">
        <v>40.704098341029457</v>
      </c>
      <c r="AT973" t="e">
        <v>#DIV/0!</v>
      </c>
      <c r="AU973" t="e">
        <v>#DIV/0!</v>
      </c>
      <c r="AV973"/>
      <c r="AW973"/>
      <c r="FY973" s="211">
        <v>968</v>
      </c>
      <c r="FZ973">
        <v>10.249083586590583</v>
      </c>
      <c r="GA973">
        <v>10.668307123090726</v>
      </c>
      <c r="GB973">
        <v>6.1960685947434202</v>
      </c>
      <c r="GC973">
        <v>3.1307653373365736</v>
      </c>
      <c r="GD973">
        <v>1.795060172030599</v>
      </c>
      <c r="GE973">
        <v>2.4562992792309948</v>
      </c>
      <c r="GF973">
        <v>3.093803558536381</v>
      </c>
      <c r="GG973">
        <v>2.5966286081536629</v>
      </c>
      <c r="GH973">
        <v>3.2029037828025784</v>
      </c>
      <c r="GI973">
        <v>5.133767762503509</v>
      </c>
      <c r="GJ973"/>
      <c r="GK973">
        <v>10.288044392012026</v>
      </c>
      <c r="GL973">
        <v>9.0409321218385426</v>
      </c>
      <c r="GM973">
        <v>10.260131697509598</v>
      </c>
      <c r="GN973">
        <v>9.3256422003507886</v>
      </c>
      <c r="GO973">
        <v>6.9702001120050303</v>
      </c>
      <c r="GP973">
        <v>4.7025877607914204</v>
      </c>
      <c r="GQ973">
        <v>3.7865035177609645</v>
      </c>
      <c r="GR973">
        <v>3.651086851094298</v>
      </c>
      <c r="GS973">
        <v>3.413371655086054</v>
      </c>
      <c r="GT973">
        <v>6.9436502748747344</v>
      </c>
      <c r="GU973"/>
      <c r="GV973"/>
      <c r="GW973"/>
      <c r="GX973"/>
      <c r="GY973"/>
      <c r="GZ973"/>
      <c r="HA973"/>
      <c r="HB973"/>
      <c r="HC973"/>
    </row>
    <row r="974" spans="1:211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59.934196075699354</v>
      </c>
      <c r="AO974">
        <v>7.7715836510226968</v>
      </c>
      <c r="AP974">
        <v>12.81048771548431</v>
      </c>
      <c r="AQ974">
        <v>54.340477994185825</v>
      </c>
      <c r="AR974">
        <v>8.2548132318204246</v>
      </c>
      <c r="AS974">
        <v>52.496663558186675</v>
      </c>
      <c r="AT974" t="e">
        <v>#DIV/0!</v>
      </c>
      <c r="AU974" t="e">
        <v>#DIV/0!</v>
      </c>
      <c r="AV974"/>
      <c r="AW974"/>
      <c r="FY974" s="211">
        <v>969</v>
      </c>
      <c r="FZ974">
        <v>7.1843700724406787</v>
      </c>
      <c r="GA974">
        <v>13.177059991566292</v>
      </c>
      <c r="GB974">
        <v>7.8102694516580842</v>
      </c>
      <c r="GC974">
        <v>3.100956113310728</v>
      </c>
      <c r="GD974">
        <v>1.8159403202408331</v>
      </c>
      <c r="GE974">
        <v>2.4277479538655466</v>
      </c>
      <c r="GF974">
        <v>2.4305028388685068</v>
      </c>
      <c r="GG974">
        <v>2.0676729991572205</v>
      </c>
      <c r="GH974">
        <v>3.2948786626695128</v>
      </c>
      <c r="GI974">
        <v>4.9816335439072033</v>
      </c>
      <c r="GJ974"/>
      <c r="GK974">
        <v>7.2067348960022048</v>
      </c>
      <c r="GL974">
        <v>11.165212597424018</v>
      </c>
      <c r="GM974">
        <v>12.941322249212424</v>
      </c>
      <c r="GN974">
        <v>9.239626618219372</v>
      </c>
      <c r="GO974">
        <v>7.0401814449634497</v>
      </c>
      <c r="GP974">
        <v>4.6479262159409229</v>
      </c>
      <c r="GQ974">
        <v>2.976012678767761</v>
      </c>
      <c r="GR974">
        <v>2.9083043454344271</v>
      </c>
      <c r="GS974">
        <v>3.5121131909032397</v>
      </c>
      <c r="GT974">
        <v>6.7352728919698155</v>
      </c>
      <c r="GU974"/>
      <c r="GV974"/>
      <c r="GW974"/>
      <c r="GX974"/>
      <c r="GY974"/>
      <c r="GZ974"/>
      <c r="HA974"/>
      <c r="HB974"/>
      <c r="HC974"/>
    </row>
    <row r="975" spans="1:211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65.469059307146011</v>
      </c>
      <c r="AO975">
        <v>7.8326514111867693</v>
      </c>
      <c r="AP975">
        <v>79.58091244628568</v>
      </c>
      <c r="AQ975">
        <v>58.804355802117804</v>
      </c>
      <c r="AR975">
        <v>8.2995307556649731</v>
      </c>
      <c r="AS975">
        <v>52.850843190800603</v>
      </c>
      <c r="AT975" t="e">
        <v>#DIV/0!</v>
      </c>
      <c r="AU975" t="e">
        <v>#DIV/0!</v>
      </c>
      <c r="AV975"/>
      <c r="AW975"/>
      <c r="FY975" s="211">
        <v>970</v>
      </c>
      <c r="FZ975">
        <v>7.4097789934655829</v>
      </c>
      <c r="GA975">
        <v>7.3732142322542789</v>
      </c>
      <c r="GB975">
        <v>5.3514351601656847</v>
      </c>
      <c r="GC975">
        <v>3.343863199558931</v>
      </c>
      <c r="GD975">
        <v>1.7391153864799349</v>
      </c>
      <c r="GE975">
        <v>1.6311307276196987</v>
      </c>
      <c r="GF975">
        <v>1.8863511325558551</v>
      </c>
      <c r="GG975">
        <v>1.9675917353388979</v>
      </c>
      <c r="GH975">
        <v>5.5897488864813019</v>
      </c>
      <c r="GI975">
        <v>4.6340289132011039</v>
      </c>
      <c r="GJ975"/>
      <c r="GK975">
        <v>7.4442943920120239</v>
      </c>
      <c r="GL975">
        <v>6.2467628967348539</v>
      </c>
      <c r="GM975">
        <v>8.8996404249581875</v>
      </c>
      <c r="GN975">
        <v>10.023233843379259</v>
      </c>
      <c r="GO975">
        <v>6.7532860062464488</v>
      </c>
      <c r="GP975">
        <v>3.1228016312233136</v>
      </c>
      <c r="GQ975">
        <v>2.3068965330588709</v>
      </c>
      <c r="GR975">
        <v>2.7658085700959076</v>
      </c>
      <c r="GS975">
        <v>5.9605991483510987</v>
      </c>
      <c r="GT975">
        <v>6.2729433009253253</v>
      </c>
      <c r="GU975"/>
      <c r="GV975"/>
      <c r="GW975"/>
      <c r="GX975"/>
      <c r="GY975"/>
      <c r="GZ975"/>
      <c r="HA975"/>
      <c r="HB975"/>
      <c r="HC975"/>
    </row>
    <row r="976" spans="1:211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61.99960897760225</v>
      </c>
      <c r="AO976">
        <v>7.7743819718084186</v>
      </c>
      <c r="AP976">
        <v>6.3464409158208692</v>
      </c>
      <c r="AQ976">
        <v>57.039291761656784</v>
      </c>
      <c r="AR976">
        <v>7.9394126712248045</v>
      </c>
      <c r="AS976">
        <v>46.15629786626755</v>
      </c>
      <c r="AT976">
        <v>6.2526191589807132</v>
      </c>
      <c r="AU976">
        <v>3.9927401735357071</v>
      </c>
      <c r="AV976"/>
      <c r="AW976"/>
      <c r="FY976" s="211">
        <v>971</v>
      </c>
      <c r="FZ976">
        <v>13.339381683952988</v>
      </c>
      <c r="GA976">
        <v>8.8074123677300484</v>
      </c>
      <c r="GB976">
        <v>4.4072525334615316</v>
      </c>
      <c r="GC976">
        <v>2.8842027759357927</v>
      </c>
      <c r="GD976">
        <v>2.16478234135087</v>
      </c>
      <c r="GE976">
        <v>2.801500077270862</v>
      </c>
      <c r="GF976">
        <v>1.8707531456483986</v>
      </c>
      <c r="GG976">
        <v>2.2805670599362062</v>
      </c>
      <c r="GH976">
        <v>6.0687438469454573</v>
      </c>
      <c r="GI976">
        <v>5.5993528408062581</v>
      </c>
      <c r="GJ976"/>
      <c r="GK976">
        <v>13.395562388708642</v>
      </c>
      <c r="GL976">
        <v>7.464427258874105</v>
      </c>
      <c r="GM976">
        <v>7.3419473299369944</v>
      </c>
      <c r="GN976">
        <v>8.6701018326705235</v>
      </c>
      <c r="GO976">
        <v>8.4139527594534158</v>
      </c>
      <c r="GP976">
        <v>5.363475080835717</v>
      </c>
      <c r="GQ976">
        <v>2.2900978236952971</v>
      </c>
      <c r="GR976">
        <v>3.2079218977693706</v>
      </c>
      <c r="GS976">
        <v>6.4727144194249089</v>
      </c>
      <c r="GT976">
        <v>7.5828549442438513</v>
      </c>
      <c r="GU976"/>
      <c r="GV976"/>
      <c r="GW976"/>
      <c r="GX976"/>
      <c r="GY976"/>
      <c r="GZ976"/>
      <c r="HA976"/>
      <c r="HB976"/>
      <c r="HC976"/>
    </row>
    <row r="977" spans="1:211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49.102710391521541</v>
      </c>
      <c r="AO977">
        <v>6.2363345191332495</v>
      </c>
      <c r="AP977">
        <v>62.506060908878695</v>
      </c>
      <c r="AQ977">
        <v>40.620478226295994</v>
      </c>
      <c r="AR977">
        <v>6.639004787633322</v>
      </c>
      <c r="AS977">
        <v>40.299511682061492</v>
      </c>
      <c r="AT977" t="e">
        <v>#DIV/0!</v>
      </c>
      <c r="AU977" t="e">
        <v>#DIV/0!</v>
      </c>
      <c r="AV977"/>
      <c r="AW977"/>
      <c r="FY977" s="211">
        <v>972</v>
      </c>
      <c r="FZ977">
        <v>11.872138777593074</v>
      </c>
      <c r="GA977">
        <v>7.4676653144738081</v>
      </c>
      <c r="GB977">
        <v>4.4501186260817622</v>
      </c>
      <c r="GC977">
        <v>3.450845780982613</v>
      </c>
      <c r="GD977">
        <v>2.0606998081561909</v>
      </c>
      <c r="GE977">
        <v>2.6954019422708622</v>
      </c>
      <c r="GF977">
        <v>2.5340538653162721</v>
      </c>
      <c r="GG977">
        <v>2.0611396168493146</v>
      </c>
      <c r="GH977">
        <v>4.9765456954661555</v>
      </c>
      <c r="GI977">
        <v>5.2788554273921378</v>
      </c>
      <c r="GJ977"/>
      <c r="GK977">
        <v>11.922004827039187</v>
      </c>
      <c r="GL977">
        <v>6.3286349793335486</v>
      </c>
      <c r="GM977">
        <v>7.3697888261019493</v>
      </c>
      <c r="GN977">
        <v>10.297774689266589</v>
      </c>
      <c r="GO977">
        <v>8.0206276106670256</v>
      </c>
      <c r="GP977">
        <v>5.160350080835717</v>
      </c>
      <c r="GQ977">
        <v>3.1005886626885006</v>
      </c>
      <c r="GR977">
        <v>2.8974636626885006</v>
      </c>
      <c r="GS977">
        <v>5.3057709179626293</v>
      </c>
      <c r="GT977">
        <v>7.1437561688918567</v>
      </c>
      <c r="GU977"/>
      <c r="GV977"/>
      <c r="GW977"/>
      <c r="GX977"/>
      <c r="GY977"/>
      <c r="GZ977"/>
      <c r="HA977"/>
      <c r="HB977"/>
      <c r="HC977"/>
    </row>
    <row r="978" spans="1:211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61.930551805860979</v>
      </c>
      <c r="AO978">
        <v>7.483512540745946</v>
      </c>
      <c r="AP978">
        <v>4.107167492986453</v>
      </c>
      <c r="AQ978">
        <v>54.124167341573099</v>
      </c>
      <c r="AR978">
        <v>7.9640584812815058</v>
      </c>
      <c r="AS978">
        <v>52.266655110595401</v>
      </c>
      <c r="AT978">
        <v>6.3986143987386876</v>
      </c>
      <c r="AU978">
        <v>1.3267307825463863</v>
      </c>
      <c r="AV978"/>
      <c r="AW978"/>
      <c r="FY978" s="211">
        <v>973</v>
      </c>
      <c r="FZ978">
        <v>7.9798494662254544</v>
      </c>
      <c r="GA978">
        <v>7.8316648374223847</v>
      </c>
      <c r="GB978">
        <v>6.2165405958187279</v>
      </c>
      <c r="GC978">
        <v>2.9308788824551026</v>
      </c>
      <c r="GD978">
        <v>1.7800806583629258</v>
      </c>
      <c r="GE978">
        <v>2.348556211905414</v>
      </c>
      <c r="GF978">
        <v>1.7376891389387068</v>
      </c>
      <c r="GG978">
        <v>1.838625950142275</v>
      </c>
      <c r="GH978">
        <v>4.6617529223668548</v>
      </c>
      <c r="GI978">
        <v>4.7773757318157877</v>
      </c>
      <c r="GJ978"/>
      <c r="GK978">
        <v>8.0182311479875388</v>
      </c>
      <c r="GL978">
        <v>6.6346402217767046</v>
      </c>
      <c r="GM978">
        <v>10.293124064653767</v>
      </c>
      <c r="GN978">
        <v>8.7232837147567324</v>
      </c>
      <c r="GO978">
        <v>6.9011431697696501</v>
      </c>
      <c r="GP978">
        <v>4.4963135359852195</v>
      </c>
      <c r="GQ978">
        <v>2.1270417649191296</v>
      </c>
      <c r="GR978">
        <v>2.5859538019561663</v>
      </c>
      <c r="GS978">
        <v>4.9707303573472172</v>
      </c>
      <c r="GT978">
        <v>6.4620541009354593</v>
      </c>
      <c r="GU978"/>
      <c r="GV978"/>
      <c r="GW978"/>
      <c r="GX978"/>
      <c r="GY978"/>
      <c r="GZ978"/>
      <c r="HA978"/>
      <c r="HB978"/>
      <c r="HC978"/>
    </row>
    <row r="979" spans="1:211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54.483495362218378</v>
      </c>
      <c r="AO979">
        <v>6.8133962034039426</v>
      </c>
      <c r="AP979">
        <v>111.92254649197632</v>
      </c>
      <c r="AQ979">
        <v>46.798177415203021</v>
      </c>
      <c r="AR979">
        <v>7.4262900958366931</v>
      </c>
      <c r="AS979">
        <v>44.307203117378265</v>
      </c>
      <c r="AT979" t="e">
        <v>#DIV/0!</v>
      </c>
      <c r="AU979" t="e">
        <v>#DIV/0!</v>
      </c>
      <c r="AV979"/>
      <c r="AW979"/>
      <c r="FY979" s="211">
        <v>974</v>
      </c>
      <c r="FZ979">
        <v>17.32185349546199</v>
      </c>
      <c r="GA979">
        <v>17.093533860376194</v>
      </c>
      <c r="GB979">
        <v>6.1748370455504329</v>
      </c>
      <c r="GC979">
        <v>3.235210997269979</v>
      </c>
      <c r="GD979">
        <v>1.889730607643556</v>
      </c>
      <c r="GE979">
        <v>2.2408131445798323</v>
      </c>
      <c r="GF979">
        <v>1.8933086292330903</v>
      </c>
      <c r="GG979">
        <v>1.974125117646804</v>
      </c>
      <c r="GH979">
        <v>4.9489348526019405</v>
      </c>
      <c r="GI979">
        <v>6.2938355787341607</v>
      </c>
      <c r="GJ979"/>
      <c r="GK979">
        <v>17.374704296405046</v>
      </c>
      <c r="GL979">
        <v>14.482607733827072</v>
      </c>
      <c r="GM979">
        <v>10.304760596457825</v>
      </c>
      <c r="GN979">
        <v>9.7599233790656825</v>
      </c>
      <c r="GO979">
        <v>7.3372647576307237</v>
      </c>
      <c r="GP979">
        <v>4.2900393111790178</v>
      </c>
      <c r="GQ979">
        <v>2.3177372158047973</v>
      </c>
      <c r="GR979">
        <v>2.7766492528418345</v>
      </c>
      <c r="GS979">
        <v>5.2777338794657727</v>
      </c>
      <c r="GT979">
        <v>8.5224401491528337</v>
      </c>
      <c r="GU979"/>
      <c r="GV979"/>
      <c r="GW979"/>
      <c r="GX979"/>
      <c r="GY979"/>
      <c r="GZ979"/>
      <c r="HA979"/>
      <c r="HB979"/>
      <c r="HC979"/>
    </row>
    <row r="980" spans="1:211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76.371940120349862</v>
      </c>
      <c r="AO980">
        <v>8.9425671730605938</v>
      </c>
      <c r="AP980">
        <v>64.006246333464162</v>
      </c>
      <c r="AQ980">
        <v>69.405325878453866</v>
      </c>
      <c r="AR980">
        <v>8.9176949429175103</v>
      </c>
      <c r="AS980">
        <v>57.800178303962213</v>
      </c>
      <c r="AT980" t="e">
        <v>#DIV/0!</v>
      </c>
      <c r="AU980" t="e">
        <v>#DIV/0!</v>
      </c>
      <c r="AV980"/>
      <c r="AW980"/>
      <c r="FY980" s="211">
        <v>975</v>
      </c>
      <c r="FZ980">
        <v>9.3576604503191589</v>
      </c>
      <c r="GA980">
        <v>6.640208806763968</v>
      </c>
      <c r="GB980">
        <v>4.8556156699016864</v>
      </c>
      <c r="GC980">
        <v>2.5198017405544517</v>
      </c>
      <c r="GD980">
        <v>2.064970022721925</v>
      </c>
      <c r="GE980">
        <v>3.1730826241596639</v>
      </c>
      <c r="GF980">
        <v>1.1452406677407898</v>
      </c>
      <c r="GG980">
        <v>1.3708865425901917</v>
      </c>
      <c r="GH980">
        <v>3.9360608341827992</v>
      </c>
      <c r="GI980">
        <v>4.5915335834718967</v>
      </c>
      <c r="GJ980"/>
      <c r="GK980">
        <v>9.4141384489655184</v>
      </c>
      <c r="GL980">
        <v>5.6262540620973756</v>
      </c>
      <c r="GM980">
        <v>8.0830445415683005</v>
      </c>
      <c r="GN980">
        <v>7.5630901839971294</v>
      </c>
      <c r="GO980">
        <v>8.0057415894757984</v>
      </c>
      <c r="GP980">
        <v>6.0748702890247008</v>
      </c>
      <c r="GQ980">
        <v>1.4010579686228333</v>
      </c>
      <c r="GR980">
        <v>1.9276783389932035</v>
      </c>
      <c r="GS980">
        <v>4.1975922671830785</v>
      </c>
      <c r="GT980">
        <v>6.2203149631631067</v>
      </c>
      <c r="GU980"/>
      <c r="GV980"/>
      <c r="GW980"/>
      <c r="GX980"/>
      <c r="GY980"/>
      <c r="GZ980"/>
      <c r="HA980"/>
      <c r="HB980"/>
      <c r="HC980"/>
    </row>
    <row r="981" spans="1:211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52.518012156920904</v>
      </c>
      <c r="AO981">
        <v>6.6466305501077034</v>
      </c>
      <c r="AP981">
        <v>4.6535048627590996</v>
      </c>
      <c r="AQ981">
        <v>48.618805812701176</v>
      </c>
      <c r="AR981">
        <v>7.0118350630653552</v>
      </c>
      <c r="AS981">
        <v>44.292328180146903</v>
      </c>
      <c r="AT981">
        <v>5.614302296800596</v>
      </c>
      <c r="AU981">
        <v>5.9940201270489233</v>
      </c>
      <c r="AV981"/>
      <c r="AW981"/>
      <c r="FY981" s="211">
        <v>976</v>
      </c>
      <c r="FZ981">
        <v>13.551420764289809</v>
      </c>
      <c r="GA981">
        <v>13.280561058876042</v>
      </c>
      <c r="GB981">
        <v>5.3743520871173729</v>
      </c>
      <c r="GC981">
        <v>3.1897057244327387</v>
      </c>
      <c r="GD981">
        <v>1.7925523850155232</v>
      </c>
      <c r="GE981">
        <v>2.5961185269054137</v>
      </c>
      <c r="GF981">
        <v>1.8933086292330903</v>
      </c>
      <c r="GG981">
        <v>1.974125117646804</v>
      </c>
      <c r="GH981">
        <v>6.3934411388024142</v>
      </c>
      <c r="GI981">
        <v>5.7098777452036753</v>
      </c>
      <c r="GJ981"/>
      <c r="GK981">
        <v>13.586738569344684</v>
      </c>
      <c r="GL981">
        <v>11.253013316988058</v>
      </c>
      <c r="GM981">
        <v>8.9716880634765896</v>
      </c>
      <c r="GN981">
        <v>9.6011635802107484</v>
      </c>
      <c r="GO981">
        <v>6.9487555416493194</v>
      </c>
      <c r="GP981">
        <v>4.9702718693185526</v>
      </c>
      <c r="GQ981">
        <v>2.3177372158047973</v>
      </c>
      <c r="GR981">
        <v>2.7766492528418345</v>
      </c>
      <c r="GS981">
        <v>6.8181810596294996</v>
      </c>
      <c r="GT981">
        <v>7.7286200899809785</v>
      </c>
      <c r="GU981"/>
      <c r="GV981"/>
      <c r="GW981"/>
      <c r="GX981"/>
      <c r="GY981"/>
      <c r="GZ981"/>
      <c r="HA981"/>
      <c r="HB981"/>
      <c r="HC981"/>
    </row>
    <row r="982" spans="1:211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60.986264876102517</v>
      </c>
      <c r="AO982">
        <v>7.1697193775871026</v>
      </c>
      <c r="AP982">
        <v>5.110843407310564</v>
      </c>
      <c r="AQ982">
        <v>51.789305867084131</v>
      </c>
      <c r="AR982">
        <v>7.3459990056769122</v>
      </c>
      <c r="AS982">
        <v>43.247719970803182</v>
      </c>
      <c r="AT982">
        <v>5.7374627087526973</v>
      </c>
      <c r="AU982">
        <v>4.3586641143268583</v>
      </c>
      <c r="AV982"/>
      <c r="AW982"/>
      <c r="FY982" s="211">
        <v>977</v>
      </c>
      <c r="FZ982">
        <v>7.0912581337664298</v>
      </c>
      <c r="GA982">
        <v>7.1850205670691896</v>
      </c>
      <c r="GB982">
        <v>7.482260724247805</v>
      </c>
      <c r="GC982">
        <v>3.4047068021971434</v>
      </c>
      <c r="GD982">
        <v>1.7416721863974822</v>
      </c>
      <c r="GE982">
        <v>2.0925342449452806</v>
      </c>
      <c r="GF982">
        <v>1.8380543676705907</v>
      </c>
      <c r="GG982">
        <v>1.5999335916051376</v>
      </c>
      <c r="GH982">
        <v>4.152552889380936</v>
      </c>
      <c r="GI982">
        <v>4.8796136232887752</v>
      </c>
      <c r="GJ982"/>
      <c r="GK982">
        <v>7.1406300970651095</v>
      </c>
      <c r="GL982">
        <v>6.0852492235155653</v>
      </c>
      <c r="GM982">
        <v>12.508586589549125</v>
      </c>
      <c r="GN982">
        <v>10.323811921773373</v>
      </c>
      <c r="GO982">
        <v>6.7624553410275574</v>
      </c>
      <c r="GP982">
        <v>4.0061591893628492</v>
      </c>
      <c r="GQ982">
        <v>2.2500288824714643</v>
      </c>
      <c r="GR982">
        <v>2.2500288824714643</v>
      </c>
      <c r="GS982">
        <v>4.4270055946933313</v>
      </c>
      <c r="GT982">
        <v>6.6177413009613169</v>
      </c>
      <c r="GU982"/>
      <c r="GV982"/>
      <c r="GW982"/>
      <c r="GX982"/>
      <c r="GY982"/>
      <c r="GZ982"/>
      <c r="HA982"/>
      <c r="HB982"/>
      <c r="HC982"/>
    </row>
    <row r="983" spans="1:211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50.076532419565957</v>
      </c>
      <c r="AO983">
        <v>6.2725828588420569</v>
      </c>
      <c r="AP983">
        <v>28.713379130348244</v>
      </c>
      <c r="AQ983">
        <v>42.835107754430048</v>
      </c>
      <c r="AR983">
        <v>6.7814725189551961</v>
      </c>
      <c r="AS983">
        <v>44.145239299774552</v>
      </c>
      <c r="AT983" t="e">
        <v>#DIV/0!</v>
      </c>
      <c r="AU983" t="e">
        <v>#DIV/0!</v>
      </c>
      <c r="AV983"/>
      <c r="AW983"/>
      <c r="FY983" s="211">
        <v>978</v>
      </c>
      <c r="FZ983">
        <v>12.622187416876013</v>
      </c>
      <c r="GA983">
        <v>10.510719049854908</v>
      </c>
      <c r="GB983">
        <v>7.2304894049971979</v>
      </c>
      <c r="GC983">
        <v>3.4470848529048657</v>
      </c>
      <c r="GD983">
        <v>1.3584228845708435</v>
      </c>
      <c r="GE983">
        <v>1.7018628176196995</v>
      </c>
      <c r="GF983">
        <v>2.446100825775964</v>
      </c>
      <c r="GG983">
        <v>2.1288892006015789</v>
      </c>
      <c r="GH983">
        <v>4.4265018485055396</v>
      </c>
      <c r="GI983">
        <v>5.5633009262219826</v>
      </c>
      <c r="GJ983"/>
      <c r="GK983">
        <v>12.685317382916214</v>
      </c>
      <c r="GL983">
        <v>8.9050726431773981</v>
      </c>
      <c r="GM983">
        <v>11.969439379698715</v>
      </c>
      <c r="GN983">
        <v>10.259484644161148</v>
      </c>
      <c r="GO983">
        <v>5.2757428928629295</v>
      </c>
      <c r="GP983">
        <v>3.258218297889981</v>
      </c>
      <c r="GQ983">
        <v>2.9928113881313347</v>
      </c>
      <c r="GR983">
        <v>2.9928113881313347</v>
      </c>
      <c r="GS983">
        <v>4.7189415800630856</v>
      </c>
      <c r="GT983">
        <v>7.5284505247344562</v>
      </c>
      <c r="GU983"/>
      <c r="GV983"/>
      <c r="GW983"/>
      <c r="GX983"/>
      <c r="GY983"/>
      <c r="GZ983"/>
      <c r="HA983"/>
      <c r="HB983"/>
      <c r="HC983"/>
    </row>
    <row r="984" spans="1:211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59.619518509552179</v>
      </c>
      <c r="AO984">
        <v>6.8382150583323451</v>
      </c>
      <c r="AP984">
        <v>42.088365633083562</v>
      </c>
      <c r="AQ984">
        <v>48.522687805019025</v>
      </c>
      <c r="AR984">
        <v>6.9436502748747353</v>
      </c>
      <c r="AS984">
        <v>43.573644063594081</v>
      </c>
      <c r="AT984" t="e">
        <v>#DIV/0!</v>
      </c>
      <c r="AU984" t="e">
        <v>#DIV/0!</v>
      </c>
      <c r="AV984"/>
      <c r="AW984"/>
      <c r="FY984" s="211">
        <v>979</v>
      </c>
      <c r="FZ984">
        <v>14.451323541921795</v>
      </c>
      <c r="GA984">
        <v>15.531235056022165</v>
      </c>
      <c r="GB984">
        <v>7.8597854011790496</v>
      </c>
      <c r="GC984">
        <v>3.6409999605839389</v>
      </c>
      <c r="GD984">
        <v>1.7263480570340977</v>
      </c>
      <c r="GE984">
        <v>2.0571681999452807</v>
      </c>
      <c r="GF984">
        <v>0.64770273276041657</v>
      </c>
      <c r="GG984">
        <v>0.46773940755208332</v>
      </c>
      <c r="GH984">
        <v>4.6266687362169234</v>
      </c>
      <c r="GI984">
        <v>5.9157493429982582</v>
      </c>
      <c r="GJ984"/>
      <c r="GK984">
        <v>14.49494416862122</v>
      </c>
      <c r="GL984">
        <v>13.158675869515783</v>
      </c>
      <c r="GM984">
        <v>13.134504621848571</v>
      </c>
      <c r="GN984">
        <v>11.046940498906086</v>
      </c>
      <c r="GO984">
        <v>6.7242492191941583</v>
      </c>
      <c r="GP984">
        <v>3.9384508560295157</v>
      </c>
      <c r="GQ984">
        <v>0.79369212962962943</v>
      </c>
      <c r="GR984">
        <v>0.65827546296296291</v>
      </c>
      <c r="GS984">
        <v>4.9301815112134193</v>
      </c>
      <c r="GT984">
        <v>8.0155143301014</v>
      </c>
      <c r="GU984"/>
      <c r="GV984"/>
      <c r="GW984"/>
      <c r="GX984"/>
      <c r="GY984"/>
      <c r="GZ984"/>
      <c r="HA984"/>
      <c r="HB984"/>
      <c r="HC984"/>
    </row>
    <row r="985" spans="1:211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57.59763253138177</v>
      </c>
      <c r="AO985">
        <v>6.8372707128837629</v>
      </c>
      <c r="AP985">
        <v>44.119281376079307</v>
      </c>
      <c r="AQ985">
        <v>48.291031947684601</v>
      </c>
      <c r="AR985">
        <v>6.7352728919698155</v>
      </c>
      <c r="AS985">
        <v>44.853253893156605</v>
      </c>
      <c r="AT985" t="e">
        <v>#DIV/0!</v>
      </c>
      <c r="AU985" t="e">
        <v>#DIV/0!</v>
      </c>
      <c r="AV985"/>
      <c r="AW985"/>
      <c r="FY985" s="211">
        <v>980</v>
      </c>
      <c r="FZ985">
        <v>10.436584331200269</v>
      </c>
      <c r="GA985">
        <v>10.109135830164165</v>
      </c>
      <c r="GB985">
        <v>5.3838998930258937</v>
      </c>
      <c r="GC985">
        <v>3.0963670529881937</v>
      </c>
      <c r="GD985">
        <v>2.7101613620485634</v>
      </c>
      <c r="GE985">
        <v>3.9527805464852452</v>
      </c>
      <c r="GF985">
        <v>1.3662577139907899</v>
      </c>
      <c r="GG985">
        <v>1.3708865425901917</v>
      </c>
      <c r="GH985">
        <v>5.6011824576103768</v>
      </c>
      <c r="GI985">
        <v>5.5538073861831885</v>
      </c>
      <c r="GJ985"/>
      <c r="GK985">
        <v>10.48746845240572</v>
      </c>
      <c r="GL985">
        <v>8.5661775270343945</v>
      </c>
      <c r="GM985">
        <v>8.9528150084609397</v>
      </c>
      <c r="GN985">
        <v>9.2722755206273018</v>
      </c>
      <c r="GO985">
        <v>10.508079037640426</v>
      </c>
      <c r="GP985">
        <v>7.5676028471642365</v>
      </c>
      <c r="GQ985">
        <v>1.6718913019561665</v>
      </c>
      <c r="GR985">
        <v>1.9276783389932035</v>
      </c>
      <c r="GS985">
        <v>5.9703389222691312</v>
      </c>
      <c r="GT985">
        <v>7.5181185445464775</v>
      </c>
      <c r="GU985"/>
      <c r="GV985"/>
      <c r="GW985"/>
      <c r="GX985"/>
      <c r="GY985"/>
      <c r="GZ985"/>
      <c r="HA985"/>
      <c r="HB985"/>
      <c r="HC985"/>
    </row>
    <row r="986" spans="1:211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50.833871560547848</v>
      </c>
      <c r="AO986">
        <v>5.9796266746985287</v>
      </c>
      <c r="AP986">
        <v>4.8231099367427017</v>
      </c>
      <c r="AQ986">
        <v>40.926258367121271</v>
      </c>
      <c r="AR986">
        <v>6.272943300925327</v>
      </c>
      <c r="AS986">
        <v>39.472276122468571</v>
      </c>
      <c r="AT986">
        <v>4.9972676259806361</v>
      </c>
      <c r="AU986">
        <v>1.3225484510018708</v>
      </c>
      <c r="AV986"/>
      <c r="AW986"/>
      <c r="FY986" s="211">
        <v>981</v>
      </c>
      <c r="FZ986">
        <v>13.819843639815447</v>
      </c>
      <c r="GA986">
        <v>13.031624226520394</v>
      </c>
      <c r="GB986">
        <v>6.7648177959879288</v>
      </c>
      <c r="GC986">
        <v>3.3064088161577136</v>
      </c>
      <c r="GD986">
        <v>1.0318101489728684</v>
      </c>
      <c r="GE986">
        <v>1.1080969116112958</v>
      </c>
      <c r="GF986">
        <v>1.340516432690217</v>
      </c>
      <c r="GG986">
        <v>1.0709779826086956</v>
      </c>
      <c r="GH986">
        <v>2.9385351661892236</v>
      </c>
      <c r="GI986">
        <v>5.0097305317895611</v>
      </c>
      <c r="GJ986"/>
      <c r="GK986">
        <v>13.876316750368167</v>
      </c>
      <c r="GL986">
        <v>11.043097030430317</v>
      </c>
      <c r="GM986">
        <v>11.281742973393696</v>
      </c>
      <c r="GN986">
        <v>9.96830334811456</v>
      </c>
      <c r="GO986">
        <v>4.0101150193280537</v>
      </c>
      <c r="GP986">
        <v>2.1214527962347729</v>
      </c>
      <c r="GQ986">
        <v>1.6426630434782605</v>
      </c>
      <c r="GR986">
        <v>1.507246376811594</v>
      </c>
      <c r="GS986">
        <v>3.1330247582733466</v>
      </c>
      <c r="GT986">
        <v>6.7887725089683046</v>
      </c>
      <c r="GU986"/>
      <c r="GV986"/>
      <c r="GW986"/>
      <c r="GX986"/>
      <c r="GY986"/>
      <c r="GZ986"/>
      <c r="HA986"/>
      <c r="HB986"/>
      <c r="HC986"/>
    </row>
    <row r="987" spans="1:211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54.046235633264885</v>
      </c>
      <c r="AO987">
        <v>7.0203055735612834</v>
      </c>
      <c r="AP987">
        <v>3.5548020428226956</v>
      </c>
      <c r="AQ987">
        <v>50.223948673038407</v>
      </c>
      <c r="AR987">
        <v>7.5828549442438558</v>
      </c>
      <c r="AS987">
        <v>50.262016620291099</v>
      </c>
      <c r="AT987">
        <v>6.1238641882683824</v>
      </c>
      <c r="AU987">
        <v>6.9477385549057828</v>
      </c>
      <c r="AV987"/>
      <c r="AW987"/>
      <c r="FY987" s="211">
        <v>982</v>
      </c>
      <c r="FZ987">
        <v>10.351169130347431</v>
      </c>
      <c r="GA987">
        <v>9.2546857608557609</v>
      </c>
      <c r="GB987">
        <v>5.7436850032389657</v>
      </c>
      <c r="GC987">
        <v>3.3317856250424613</v>
      </c>
      <c r="GD987">
        <v>1.7146074304274137</v>
      </c>
      <c r="GE987">
        <v>1.5678554966112954</v>
      </c>
      <c r="GF987">
        <v>1.1452406677407898</v>
      </c>
      <c r="GG987">
        <v>1.3708865425901917</v>
      </c>
      <c r="GH987">
        <v>6.2821800306449633</v>
      </c>
      <c r="GI987">
        <v>5.1265742156347693</v>
      </c>
      <c r="GJ987"/>
      <c r="GK987">
        <v>10.409689183664835</v>
      </c>
      <c r="GL987">
        <v>7.8422595483181938</v>
      </c>
      <c r="GM987">
        <v>9.551536574954314</v>
      </c>
      <c r="GN987">
        <v>9.9893893778497311</v>
      </c>
      <c r="GO987">
        <v>6.6582615760198127</v>
      </c>
      <c r="GP987">
        <v>3.0016611295681059</v>
      </c>
      <c r="GQ987">
        <v>1.4010579686228333</v>
      </c>
      <c r="GR987">
        <v>1.9276783389932035</v>
      </c>
      <c r="GS987">
        <v>6.6951778282142582</v>
      </c>
      <c r="GT987">
        <v>6.9431446262952115</v>
      </c>
      <c r="GU987"/>
      <c r="GV987"/>
      <c r="GW987"/>
      <c r="GX987"/>
      <c r="GY987"/>
      <c r="GZ987"/>
      <c r="HA987"/>
      <c r="HB987"/>
      <c r="HC987"/>
    </row>
    <row r="988" spans="1:211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57.319349622907396</v>
      </c>
      <c r="AO988">
        <v>6.7546760425475512</v>
      </c>
      <c r="AP988">
        <v>65.709047378782714</v>
      </c>
      <c r="AQ988">
        <v>46.847464854582192</v>
      </c>
      <c r="AR988">
        <v>7.1437561688918594</v>
      </c>
      <c r="AS988">
        <v>46.233335339397151</v>
      </c>
      <c r="AT988" t="e">
        <v>#DIV/0!</v>
      </c>
      <c r="AU988" t="e">
        <v>#DIV/0!</v>
      </c>
      <c r="AV988"/>
      <c r="AW988"/>
      <c r="FY988" s="211">
        <v>983</v>
      </c>
      <c r="FZ988">
        <v>17.173462329125577</v>
      </c>
      <c r="GA988">
        <v>13.309587301896052</v>
      </c>
      <c r="GB988">
        <v>4.1276627655806131</v>
      </c>
      <c r="GC988">
        <v>2.9919847111399349</v>
      </c>
      <c r="GD988">
        <v>1.9131924315431397</v>
      </c>
      <c r="GE988">
        <v>2.2869259132225914</v>
      </c>
      <c r="GF988">
        <v>1.8241393743161198</v>
      </c>
      <c r="GG988">
        <v>1.9610583530309917</v>
      </c>
      <c r="GH988">
        <v>6.4412737388301133</v>
      </c>
      <c r="GI988">
        <v>6.0017038718599975</v>
      </c>
      <c r="GJ988"/>
      <c r="GK988">
        <v>17.236629584998049</v>
      </c>
      <c r="GL988">
        <v>11.27787051562969</v>
      </c>
      <c r="GM988">
        <v>6.8353656469193664</v>
      </c>
      <c r="GN988">
        <v>8.9237182356922382</v>
      </c>
      <c r="GO988">
        <v>7.4377218334431046</v>
      </c>
      <c r="GP988">
        <v>4.3783222591362128</v>
      </c>
      <c r="GQ988">
        <v>2.228347516979611</v>
      </c>
      <c r="GR988">
        <v>2.7549678873499812</v>
      </c>
      <c r="GS988">
        <v>6.8653378125695728</v>
      </c>
      <c r="GT988">
        <v>8.1206804789819405</v>
      </c>
      <c r="GU988"/>
      <c r="GV988"/>
      <c r="GW988"/>
      <c r="GX988"/>
      <c r="GY988"/>
      <c r="GZ988"/>
      <c r="HA988"/>
      <c r="HB988"/>
      <c r="HC988"/>
    </row>
    <row r="989" spans="1:211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53.696595576668599</v>
      </c>
      <c r="AO989">
        <v>6.121251588008759</v>
      </c>
      <c r="AP989">
        <v>3.7000676996473807</v>
      </c>
      <c r="AQ989">
        <v>42.103014395453634</v>
      </c>
      <c r="AR989">
        <v>6.4620541009354593</v>
      </c>
      <c r="AS989">
        <v>42.629707428220527</v>
      </c>
      <c r="AT989">
        <v>5.1916198352135696</v>
      </c>
      <c r="AU989">
        <v>5.4031326233297721</v>
      </c>
      <c r="AV989"/>
      <c r="AW989"/>
      <c r="FY989" s="211">
        <v>984</v>
      </c>
      <c r="FZ989">
        <v>15.593829366642042</v>
      </c>
      <c r="GA989">
        <v>13.865573782596519</v>
      </c>
      <c r="GB989">
        <v>4.6487424538225905</v>
      </c>
      <c r="GC989">
        <v>2.5363588814991385</v>
      </c>
      <c r="GD989">
        <v>1.5435899074941861</v>
      </c>
      <c r="GE989">
        <v>1.9938929689368772</v>
      </c>
      <c r="GF989">
        <v>1.2713471777732464</v>
      </c>
      <c r="GG989">
        <v>1.8062942700762166</v>
      </c>
      <c r="GH989">
        <v>6.1996103963292528</v>
      </c>
      <c r="GI989">
        <v>5.5437705050269424</v>
      </c>
      <c r="GJ989"/>
      <c r="GK989">
        <v>15.642823093070948</v>
      </c>
      <c r="GL989">
        <v>11.748887450709496</v>
      </c>
      <c r="GM989">
        <v>7.7004161145733203</v>
      </c>
      <c r="GN989">
        <v>7.5526410517891467</v>
      </c>
      <c r="GO989">
        <v>5.9849442829457367</v>
      </c>
      <c r="GP989">
        <v>3.8173103543743077</v>
      </c>
      <c r="GQ989">
        <v>1.5532733446530738</v>
      </c>
      <c r="GR989">
        <v>2.538805752060481</v>
      </c>
      <c r="GS989">
        <v>6.6072310042187574</v>
      </c>
      <c r="GT989">
        <v>7.4977375678923668</v>
      </c>
      <c r="GU989"/>
      <c r="GV989"/>
      <c r="GW989"/>
      <c r="GX989"/>
      <c r="GY989"/>
      <c r="GZ989"/>
      <c r="HA989"/>
      <c r="HB989"/>
      <c r="HC989"/>
    </row>
    <row r="990" spans="1:211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67.921413764868845</v>
      </c>
      <c r="AO990">
        <v>8.2443860571830605</v>
      </c>
      <c r="AP990">
        <v>4.3750738643653628</v>
      </c>
      <c r="AQ990">
        <v>63.066183329097981</v>
      </c>
      <c r="AR990">
        <v>8.5224401491528337</v>
      </c>
      <c r="AS990">
        <v>51.723834241170145</v>
      </c>
      <c r="AT990">
        <v>6.7952778089801953</v>
      </c>
      <c r="AU990">
        <v>2.9013487019627711</v>
      </c>
      <c r="AV990"/>
      <c r="AW990"/>
      <c r="FY990" s="211">
        <v>985</v>
      </c>
      <c r="FZ990">
        <v>10.019199800601841</v>
      </c>
      <c r="GA990">
        <v>9.0544623194751868</v>
      </c>
      <c r="GB990">
        <v>6.3375168024716082</v>
      </c>
      <c r="GC990">
        <v>3.1844106571545723</v>
      </c>
      <c r="GD990">
        <v>2.086499537725977</v>
      </c>
      <c r="GE990">
        <v>3.085431230239398</v>
      </c>
      <c r="GF990">
        <v>1.1521981644180253</v>
      </c>
      <c r="GG990">
        <v>1.7516114509397644</v>
      </c>
      <c r="GH990">
        <v>5.3073072977919988</v>
      </c>
      <c r="GI990">
        <v>5.2892660966792571</v>
      </c>
      <c r="GJ990"/>
      <c r="GK990">
        <v>10.054729631953787</v>
      </c>
      <c r="GL990">
        <v>7.6720663668516655</v>
      </c>
      <c r="GM990">
        <v>10.611797994695227</v>
      </c>
      <c r="GN990">
        <v>9.6658915144280595</v>
      </c>
      <c r="GO990">
        <v>8.1001947803269054</v>
      </c>
      <c r="GP990">
        <v>5.907061595779961</v>
      </c>
      <c r="GQ990">
        <v>1.4118986513687599</v>
      </c>
      <c r="GR990">
        <v>2.4651393921095006</v>
      </c>
      <c r="GS990">
        <v>5.6578965449411163</v>
      </c>
      <c r="GT990">
        <v>7.1673035206571587</v>
      </c>
      <c r="GU990"/>
      <c r="GV990"/>
      <c r="GW990"/>
      <c r="GX990"/>
      <c r="GY990"/>
      <c r="GZ990"/>
      <c r="HA990"/>
      <c r="HB990"/>
      <c r="HC990"/>
    </row>
    <row r="991" spans="1:211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46.079577374222069</v>
      </c>
      <c r="AO991">
        <v>5.8513782653091049</v>
      </c>
      <c r="AP991">
        <v>19.834233839353477</v>
      </c>
      <c r="AQ991">
        <v>39.655060942406536</v>
      </c>
      <c r="AR991">
        <v>6.2203149631631067</v>
      </c>
      <c r="AS991">
        <v>40.073466354307769</v>
      </c>
      <c r="AT991" t="e">
        <v>#DIV/0!</v>
      </c>
      <c r="AU991" t="e">
        <v>#DIV/0!</v>
      </c>
      <c r="AV991"/>
      <c r="AW991"/>
      <c r="FY991" s="211">
        <v>986</v>
      </c>
      <c r="FZ991">
        <v>10.551716676372488</v>
      </c>
      <c r="GA991">
        <v>9.8930747719698289</v>
      </c>
      <c r="GB991">
        <v>5.8683892059101863</v>
      </c>
      <c r="GC991">
        <v>2.85525080889524</v>
      </c>
      <c r="GD991">
        <v>2.3642241032611375</v>
      </c>
      <c r="GE991">
        <v>3.7035732991596637</v>
      </c>
      <c r="GF991">
        <v>1.20049492930329</v>
      </c>
      <c r="GG991">
        <v>1.3708865425901917</v>
      </c>
      <c r="GH991">
        <v>3.2241671812338284</v>
      </c>
      <c r="GI991">
        <v>5.0891557092880353</v>
      </c>
      <c r="GJ991"/>
      <c r="GK991">
        <v>10.577628776014938</v>
      </c>
      <c r="GL991">
        <v>8.3809096795185472</v>
      </c>
      <c r="GM991">
        <v>9.7616125794967843</v>
      </c>
      <c r="GN991">
        <v>8.5831629651800405</v>
      </c>
      <c r="GO991">
        <v>9.1865020061887339</v>
      </c>
      <c r="GP991">
        <v>7.0904952890247008</v>
      </c>
      <c r="GQ991">
        <v>1.4687663019561665</v>
      </c>
      <c r="GR991">
        <v>1.9276783389932035</v>
      </c>
      <c r="GS991">
        <v>3.439791032470827</v>
      </c>
      <c r="GT991">
        <v>6.8868601392254893</v>
      </c>
      <c r="GU991"/>
      <c r="GV991"/>
      <c r="GW991"/>
      <c r="GX991"/>
      <c r="GY991"/>
      <c r="GZ991"/>
      <c r="HA991"/>
      <c r="HB991"/>
      <c r="HC991"/>
    </row>
    <row r="992" spans="1:211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65.106786638622282</v>
      </c>
      <c r="AO992">
        <v>7.4972818559245056</v>
      </c>
      <c r="AP992">
        <v>3.7436758361543161</v>
      </c>
      <c r="AQ992">
        <v>55.755463177522891</v>
      </c>
      <c r="AR992">
        <v>7.7286200899809785</v>
      </c>
      <c r="AS992">
        <v>47.510935049989236</v>
      </c>
      <c r="AT992">
        <v>6.1236334357015565</v>
      </c>
      <c r="AU992">
        <v>-1.3388455068106273</v>
      </c>
      <c r="AV992"/>
      <c r="AW992"/>
      <c r="FY992" s="211">
        <v>987</v>
      </c>
      <c r="FZ992">
        <v>7.8515716401845808</v>
      </c>
      <c r="GA992">
        <v>11.000895653842507</v>
      </c>
      <c r="GB992">
        <v>7.7203360126210132</v>
      </c>
      <c r="GC992">
        <v>3.1227650085446723</v>
      </c>
      <c r="GD992">
        <v>1.7518907057557829</v>
      </c>
      <c r="GE992">
        <v>2.2424580769054137</v>
      </c>
      <c r="GF992">
        <v>1.822456380763134</v>
      </c>
      <c r="GG992">
        <v>1.5387173901607791</v>
      </c>
      <c r="GH992">
        <v>4.4061273468656239</v>
      </c>
      <c r="GI992">
        <v>5.0881487399142022</v>
      </c>
      <c r="GJ992"/>
      <c r="GK992">
        <v>7.8839023067858962</v>
      </c>
      <c r="GL992">
        <v>9.3177186504865244</v>
      </c>
      <c r="GM992">
        <v>12.814544442670824</v>
      </c>
      <c r="GN992">
        <v>9.3450153776628859</v>
      </c>
      <c r="GO992">
        <v>6.7918425745315547</v>
      </c>
      <c r="GP992">
        <v>4.2931885359852195</v>
      </c>
      <c r="GQ992">
        <v>2.2332301731078905</v>
      </c>
      <c r="GR992">
        <v>2.165521839774557</v>
      </c>
      <c r="GS992">
        <v>4.697820102181641</v>
      </c>
      <c r="GT992">
        <v>6.8842679198555619</v>
      </c>
      <c r="GU992"/>
      <c r="GV992"/>
      <c r="GW992"/>
      <c r="GX992"/>
      <c r="GY992"/>
      <c r="GZ992"/>
      <c r="HA992"/>
      <c r="HB992"/>
      <c r="HC992"/>
    </row>
    <row r="993" spans="1:211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49.36498640847752</v>
      </c>
      <c r="AO993">
        <v>6.2371697022891155</v>
      </c>
      <c r="AP993">
        <v>84.256559987049073</v>
      </c>
      <c r="AQ993">
        <v>41.467607130568773</v>
      </c>
      <c r="AR993">
        <v>6.6177413009613151</v>
      </c>
      <c r="AS993">
        <v>35.183200711284044</v>
      </c>
      <c r="AT993" t="e">
        <v>#DIV/0!</v>
      </c>
      <c r="AU993" t="e">
        <v>#DIV/0!</v>
      </c>
      <c r="AV993"/>
      <c r="AW993"/>
      <c r="FY993" s="211">
        <v>988</v>
      </c>
      <c r="FZ993">
        <v>10.325584547134932</v>
      </c>
      <c r="GA993">
        <v>9.2038976440322937</v>
      </c>
      <c r="GB993">
        <v>6.8698448017975151</v>
      </c>
      <c r="GC993">
        <v>3.1635957959030825</v>
      </c>
      <c r="GD993">
        <v>0.77823380625349836</v>
      </c>
      <c r="GE993">
        <v>0.21219626999999996</v>
      </c>
      <c r="GF993">
        <v>0.11050852312500001</v>
      </c>
      <c r="GG993">
        <v>0.37419152604166667</v>
      </c>
      <c r="GH993">
        <v>4.5616952762072689</v>
      </c>
      <c r="GI993">
        <v>4.4039919746226737</v>
      </c>
      <c r="GJ993"/>
      <c r="GK993">
        <v>10.383480682978036</v>
      </c>
      <c r="GL993">
        <v>7.7976783726732464</v>
      </c>
      <c r="GM993">
        <v>11.416845589407457</v>
      </c>
      <c r="GN993">
        <v>9.4973888592942224</v>
      </c>
      <c r="GO993">
        <v>3.0379032738557932</v>
      </c>
      <c r="GP993">
        <v>0.40624999999999994</v>
      </c>
      <c r="GQ993">
        <v>0.13541666666666666</v>
      </c>
      <c r="GR993">
        <v>0.52662037037037035</v>
      </c>
      <c r="GS993">
        <v>4.8656831180687572</v>
      </c>
      <c r="GT993">
        <v>5.9678658661953419</v>
      </c>
      <c r="GU993"/>
      <c r="GV993"/>
      <c r="GW993"/>
      <c r="GX993"/>
      <c r="GY993"/>
      <c r="GZ993"/>
      <c r="HA993"/>
      <c r="HB993"/>
      <c r="HC993"/>
    </row>
    <row r="994" spans="1:211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63.896498005303307</v>
      </c>
      <c r="AO994">
        <v>7.0586290121766613</v>
      </c>
      <c r="AP994">
        <v>92.113657400387069</v>
      </c>
      <c r="AQ994">
        <v>51.435559227928593</v>
      </c>
      <c r="AR994">
        <v>7.5284505247344562</v>
      </c>
      <c r="AS994">
        <v>45.665690962970366</v>
      </c>
      <c r="AT994" t="e">
        <v>#DIV/0!</v>
      </c>
      <c r="AU994" t="e">
        <v>#DIV/0!</v>
      </c>
      <c r="AV994"/>
      <c r="AW994"/>
      <c r="FY994" s="211">
        <v>989</v>
      </c>
      <c r="FZ994">
        <v>6.1194914752720795</v>
      </c>
      <c r="GA994">
        <v>10.725975817440972</v>
      </c>
      <c r="GB994">
        <v>6.8188540943845579</v>
      </c>
      <c r="GC994">
        <v>2.155816836694469</v>
      </c>
      <c r="GD994">
        <v>1.4420452069816654</v>
      </c>
      <c r="GE994">
        <v>2.5162846455882359</v>
      </c>
      <c r="GF994">
        <v>1.2783046744504822</v>
      </c>
      <c r="GG994">
        <v>1.0644446003007895</v>
      </c>
      <c r="GH994">
        <v>4.1492020845445134</v>
      </c>
      <c r="GI994">
        <v>4.2918390053782458</v>
      </c>
      <c r="GJ994"/>
      <c r="GK994">
        <v>6.1496941408060266</v>
      </c>
      <c r="GL994">
        <v>9.0883021062762595</v>
      </c>
      <c r="GM994">
        <v>11.298586944829339</v>
      </c>
      <c r="GN994">
        <v>6.4226136653023538</v>
      </c>
      <c r="GO994">
        <v>5.589737889926897</v>
      </c>
      <c r="GP994">
        <v>4.8174298128342254</v>
      </c>
      <c r="GQ994">
        <v>1.5641140273990009</v>
      </c>
      <c r="GR994">
        <v>1.4964056940656674</v>
      </c>
      <c r="GS994">
        <v>4.4235715242365741</v>
      </c>
      <c r="GT994">
        <v>5.8051409054395675</v>
      </c>
      <c r="GU994"/>
      <c r="GV994"/>
      <c r="GW994"/>
      <c r="GX994"/>
      <c r="GY994"/>
      <c r="GZ994"/>
      <c r="HA994"/>
      <c r="HB994"/>
      <c r="HC994"/>
    </row>
    <row r="995" spans="1:211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62.260511853039851</v>
      </c>
      <c r="AO995">
        <v>7.6895428668022729</v>
      </c>
      <c r="AP995">
        <v>63.444061345433404</v>
      </c>
      <c r="AQ995">
        <v>56.924720436214002</v>
      </c>
      <c r="AR995">
        <v>8.0155143301014018</v>
      </c>
      <c r="AS995">
        <v>48.584975573762904</v>
      </c>
      <c r="AT995" t="e">
        <v>#DIV/0!</v>
      </c>
      <c r="AU995" t="e">
        <v>#DIV/0!</v>
      </c>
      <c r="AV995"/>
      <c r="AW995"/>
      <c r="FY995" s="211">
        <v>990</v>
      </c>
      <c r="FZ995">
        <v>17.183105447828588</v>
      </c>
      <c r="GA995">
        <v>14.670686186714089</v>
      </c>
      <c r="GB995">
        <v>5.4325926531900208</v>
      </c>
      <c r="GC995">
        <v>2.4566645759332495</v>
      </c>
      <c r="GD995">
        <v>1.4964445455760538</v>
      </c>
      <c r="GE995">
        <v>2.4562992792309957</v>
      </c>
      <c r="GF995">
        <v>2.8120775582095394</v>
      </c>
      <c r="GG995">
        <v>3.8966793433714417</v>
      </c>
      <c r="GH995">
        <v>6.2822113863500277</v>
      </c>
      <c r="GI995">
        <v>6.2395350629884661</v>
      </c>
      <c r="GJ995"/>
      <c r="GK995">
        <v>17.247720740356201</v>
      </c>
      <c r="GL995">
        <v>12.431413195288675</v>
      </c>
      <c r="GM995">
        <v>9.0312600887090628</v>
      </c>
      <c r="GN995">
        <v>7.3745845720376941</v>
      </c>
      <c r="GO995">
        <v>5.8116368886466052</v>
      </c>
      <c r="GP995">
        <v>4.7025877607914213</v>
      </c>
      <c r="GQ995">
        <v>3.4435926908450556</v>
      </c>
      <c r="GR995">
        <v>5.4823658389932035</v>
      </c>
      <c r="GS995">
        <v>6.6975288979645509</v>
      </c>
      <c r="GT995">
        <v>8.4463478613042948</v>
      </c>
      <c r="GU995"/>
      <c r="GV995"/>
      <c r="GW995"/>
      <c r="GX995"/>
      <c r="GY995"/>
      <c r="GZ995"/>
      <c r="HA995"/>
      <c r="HB995"/>
      <c r="HC995"/>
    </row>
    <row r="996" spans="1:211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61.186034338870002</v>
      </c>
      <c r="AO996">
        <v>7.2442445501098005</v>
      </c>
      <c r="AP996">
        <v>2.6960252235955218</v>
      </c>
      <c r="AQ996">
        <v>49.581063116286877</v>
      </c>
      <c r="AR996">
        <v>7.5181185445464775</v>
      </c>
      <c r="AS996">
        <v>45.129836756324465</v>
      </c>
      <c r="AT996">
        <v>6.0025057422948409</v>
      </c>
      <c r="AU996">
        <v>-0.72297360987848691</v>
      </c>
      <c r="AV996"/>
      <c r="AW996"/>
      <c r="FY996" s="211">
        <v>991</v>
      </c>
      <c r="FZ996">
        <v>9.2652573399445028</v>
      </c>
      <c r="GA996">
        <v>10.752066805429811</v>
      </c>
      <c r="GB996">
        <v>6.8433802606720864</v>
      </c>
      <c r="GC996">
        <v>2.9981473733948203</v>
      </c>
      <c r="GD996">
        <v>1.3218880150639034</v>
      </c>
      <c r="GE996">
        <v>1.3556592266112959</v>
      </c>
      <c r="GF996">
        <v>0.60804645810537317</v>
      </c>
      <c r="GG996">
        <v>1.277338661079775</v>
      </c>
      <c r="GH996">
        <v>3.0732740256517119</v>
      </c>
      <c r="GI996">
        <v>4.4050002497886105</v>
      </c>
      <c r="GJ996"/>
      <c r="GK996">
        <v>9.3060407833660417</v>
      </c>
      <c r="GL996">
        <v>9.1099696289642687</v>
      </c>
      <c r="GM996">
        <v>11.328246003207578</v>
      </c>
      <c r="GN996">
        <v>8.9368277342644866</v>
      </c>
      <c r="GO996">
        <v>5.1450636800654737</v>
      </c>
      <c r="GP996">
        <v>2.5954111295681064</v>
      </c>
      <c r="GQ996">
        <v>0.74278250565987025</v>
      </c>
      <c r="GR996">
        <v>1.796023246400611</v>
      </c>
      <c r="GS996">
        <v>3.2777201551057935</v>
      </c>
      <c r="GT996">
        <v>5.9599706254809517</v>
      </c>
      <c r="GU996"/>
      <c r="GV996"/>
      <c r="GW996"/>
      <c r="GX996"/>
      <c r="GY996"/>
      <c r="GZ996"/>
      <c r="HA996"/>
      <c r="HB996"/>
      <c r="HC996"/>
    </row>
    <row r="997" spans="1:211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52.190158178112128</v>
      </c>
      <c r="AO997">
        <v>6.5372734605401064</v>
      </c>
      <c r="AP997">
        <v>39.488954608022304</v>
      </c>
      <c r="AQ997">
        <v>49.422361652343341</v>
      </c>
      <c r="AR997">
        <v>6.7887725089683055</v>
      </c>
      <c r="AS997">
        <v>40.781773653196765</v>
      </c>
      <c r="AT997" t="e">
        <v>#DIV/0!</v>
      </c>
      <c r="AU997" t="e">
        <v>#DIV/0!</v>
      </c>
      <c r="AV997"/>
      <c r="AW997"/>
      <c r="FY997" s="211">
        <v>992</v>
      </c>
      <c r="FZ997">
        <v>6.7552433227813564</v>
      </c>
      <c r="GA997">
        <v>6.8636642411107349</v>
      </c>
      <c r="GB997">
        <v>6.1950233569900224</v>
      </c>
      <c r="GC997">
        <v>3.3937390705392505</v>
      </c>
      <c r="GD997">
        <v>1.3385385941918104</v>
      </c>
      <c r="GE997">
        <v>1.3186482492857146</v>
      </c>
      <c r="GF997">
        <v>2.4235453421912716</v>
      </c>
      <c r="GG997">
        <v>2.4353311428909818</v>
      </c>
      <c r="GH997">
        <v>3.2744609457269394</v>
      </c>
      <c r="GI997">
        <v>4.2450082689713629</v>
      </c>
      <c r="GJ997"/>
      <c r="GK997">
        <v>6.788636626024541</v>
      </c>
      <c r="GL997">
        <v>5.8157893204801736</v>
      </c>
      <c r="GM997">
        <v>10.264234816812863</v>
      </c>
      <c r="GN997">
        <v>10.12516335566707</v>
      </c>
      <c r="GO997">
        <v>5.209622788592605</v>
      </c>
      <c r="GP997">
        <v>2.5245535714285716</v>
      </c>
      <c r="GQ997">
        <v>2.9651719960218337</v>
      </c>
      <c r="GR997">
        <v>3.4240840330588713</v>
      </c>
      <c r="GS997">
        <v>3.4912755461324387</v>
      </c>
      <c r="GT997">
        <v>5.7437883547168562</v>
      </c>
      <c r="GU997"/>
      <c r="GV997"/>
      <c r="GW997"/>
      <c r="GX997"/>
      <c r="GY997"/>
      <c r="GZ997"/>
      <c r="HA997"/>
      <c r="HB997"/>
      <c r="HC997"/>
    </row>
    <row r="998" spans="1:211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52.989661681315582</v>
      </c>
      <c r="AO998">
        <v>6.441985615250049</v>
      </c>
      <c r="AP998">
        <v>20.080443948775326</v>
      </c>
      <c r="AQ998">
        <v>45.888669903134044</v>
      </c>
      <c r="AR998">
        <v>6.9431446262952106</v>
      </c>
      <c r="AS998">
        <v>40.494952886400448</v>
      </c>
      <c r="AT998" t="e">
        <v>#DIV/0!</v>
      </c>
      <c r="AU998" t="e">
        <v>#DIV/0!</v>
      </c>
      <c r="AV998"/>
      <c r="AW998"/>
      <c r="FY998" s="211">
        <v>993</v>
      </c>
      <c r="FZ998">
        <v>12.801038985839396</v>
      </c>
      <c r="GA998">
        <v>9.3676742156885364</v>
      </c>
      <c r="GB998">
        <v>4.1561565826492544</v>
      </c>
      <c r="GC998">
        <v>2.794386040402129</v>
      </c>
      <c r="GD998">
        <v>2.1843669310456946</v>
      </c>
      <c r="GE998">
        <v>2.7654918929138166</v>
      </c>
      <c r="GF998">
        <v>1.0743884192708333</v>
      </c>
      <c r="GG998">
        <v>1.3096703411458332</v>
      </c>
      <c r="GH998">
        <v>4.3067773536920031</v>
      </c>
      <c r="GI998">
        <v>5.0450762271829435</v>
      </c>
      <c r="GJ998"/>
      <c r="GK998">
        <v>12.863102790464293</v>
      </c>
      <c r="GL998">
        <v>7.939117780591852</v>
      </c>
      <c r="GM998">
        <v>6.8856129756396172</v>
      </c>
      <c r="GN998">
        <v>8.3514833110444595</v>
      </c>
      <c r="GO998">
        <v>8.4993766774466426</v>
      </c>
      <c r="GP998">
        <v>5.2945373709737593</v>
      </c>
      <c r="GQ998">
        <v>1.3165509259259258</v>
      </c>
      <c r="GR998">
        <v>1.8431712962962961</v>
      </c>
      <c r="GS998">
        <v>4.587524569903894</v>
      </c>
      <c r="GT998">
        <v>6.8304335878760734</v>
      </c>
      <c r="GU998"/>
      <c r="GV998"/>
      <c r="GW998"/>
      <c r="GX998"/>
      <c r="GY998"/>
      <c r="GZ998"/>
      <c r="HA998"/>
      <c r="HB998"/>
      <c r="HC998"/>
    </row>
    <row r="999" spans="1:211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66.525809604615986</v>
      </c>
      <c r="AO999">
        <v>7.6058961771699769</v>
      </c>
      <c r="AP999">
        <v>29.739805832730536</v>
      </c>
      <c r="AQ999">
        <v>58.030990790545118</v>
      </c>
      <c r="AR999">
        <v>8.1206804789819422</v>
      </c>
      <c r="AS999">
        <v>51.264316880768853</v>
      </c>
      <c r="AT999" t="e">
        <v>#DIV/0!</v>
      </c>
      <c r="AU999" t="e">
        <v>#DIV/0!</v>
      </c>
      <c r="AV999"/>
      <c r="AW999"/>
      <c r="FY999" s="211">
        <v>994</v>
      </c>
      <c r="FZ999">
        <v>13.498683341011734</v>
      </c>
      <c r="GA999">
        <v>10.858093085529067</v>
      </c>
      <c r="GB999">
        <v>5.0466652020427816</v>
      </c>
      <c r="GC999">
        <v>3.1406930032098552</v>
      </c>
      <c r="GD999">
        <v>1.6973458810548618</v>
      </c>
      <c r="GE999">
        <v>2.2778241219054132</v>
      </c>
      <c r="GF999">
        <v>2.4305028388685068</v>
      </c>
      <c r="GG999">
        <v>2.0676729991572205</v>
      </c>
      <c r="GH999">
        <v>6.2286526244938942</v>
      </c>
      <c r="GI999">
        <v>5.6390125778443894</v>
      </c>
      <c r="GJ999"/>
      <c r="GK999">
        <v>13.546494717063885</v>
      </c>
      <c r="GL999">
        <v>9.19898644759704</v>
      </c>
      <c r="GM999">
        <v>8.3936079717841245</v>
      </c>
      <c r="GN999">
        <v>9.4309190126854929</v>
      </c>
      <c r="GO999">
        <v>6.6117993991498611</v>
      </c>
      <c r="GP999">
        <v>4.3608968693185517</v>
      </c>
      <c r="GQ999">
        <v>2.976012678767761</v>
      </c>
      <c r="GR999">
        <v>2.9083043454344271</v>
      </c>
      <c r="GS999">
        <v>6.6399134768757939</v>
      </c>
      <c r="GT999">
        <v>7.6335656487282861</v>
      </c>
      <c r="GU999"/>
      <c r="GV999"/>
      <c r="GW999"/>
      <c r="GX999"/>
      <c r="GY999"/>
      <c r="GZ999"/>
      <c r="HA999"/>
      <c r="HB999"/>
      <c r="HC999"/>
    </row>
    <row r="1000" spans="1:211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61.577142333124712</v>
      </c>
      <c r="AO1000">
        <v>7.0644070016287639</v>
      </c>
      <c r="AP1000">
        <v>3.3434140236656802</v>
      </c>
      <c r="AQ1000">
        <v>55.003009710197013</v>
      </c>
      <c r="AR1000">
        <v>7.4977375678923686</v>
      </c>
      <c r="AS1000">
        <v>49.287900116450331</v>
      </c>
      <c r="AT1000">
        <v>6.0524628547294554</v>
      </c>
      <c r="AU1000">
        <v>-5.9450051866622999E-2</v>
      </c>
      <c r="AV1000"/>
      <c r="AW1000"/>
      <c r="FY1000" s="211">
        <v>995</v>
      </c>
      <c r="FZ1000">
        <v>11.938866399827841</v>
      </c>
      <c r="GA1000">
        <v>8.017695814250148</v>
      </c>
      <c r="GB1000">
        <v>7.8131843345560963</v>
      </c>
      <c r="GC1000">
        <v>3.7534703619930916</v>
      </c>
      <c r="GD1000">
        <v>0.75907373640596998</v>
      </c>
      <c r="GE1000">
        <v>0.53049067500000002</v>
      </c>
      <c r="GF1000">
        <v>1.8707531456483986</v>
      </c>
      <c r="GG1000">
        <v>1.9063755338945396</v>
      </c>
      <c r="GH1000">
        <v>4.0025626029842005</v>
      </c>
      <c r="GI1000">
        <v>5.0940183616142223</v>
      </c>
      <c r="GJ1000"/>
      <c r="GK1000">
        <v>12.021466936726636</v>
      </c>
      <c r="GL1000">
        <v>6.7936995686057546</v>
      </c>
      <c r="GM1000">
        <v>13.010726619488745</v>
      </c>
      <c r="GN1000">
        <v>11.286479493926086</v>
      </c>
      <c r="GO1000">
        <v>2.9511488716145231</v>
      </c>
      <c r="GP1000">
        <v>1.015625</v>
      </c>
      <c r="GQ1000">
        <v>2.2900978236952971</v>
      </c>
      <c r="GR1000">
        <v>2.6813015273990004</v>
      </c>
      <c r="GS1000">
        <v>4.2675959444247056</v>
      </c>
      <c r="GT1000">
        <v>6.9082072391899807</v>
      </c>
      <c r="GU1000"/>
      <c r="GV1000"/>
      <c r="GW1000"/>
      <c r="GX1000"/>
      <c r="GY1000"/>
      <c r="GZ1000"/>
      <c r="HA1000"/>
      <c r="HB1000"/>
      <c r="HC1000"/>
    </row>
    <row r="1001" spans="1:211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53.984922794141369</v>
      </c>
      <c r="AO1001">
        <v>6.8713979993112151</v>
      </c>
      <c r="AP1001">
        <v>22.167319234674608</v>
      </c>
      <c r="AQ1001">
        <v>47.26790335749763</v>
      </c>
      <c r="AR1001">
        <v>7.1673035206571605</v>
      </c>
      <c r="AS1001">
        <v>42.367106911891206</v>
      </c>
      <c r="AT1001" t="e">
        <v>#DIV/0!</v>
      </c>
      <c r="AU1001" t="e">
        <v>#DIV/0!</v>
      </c>
      <c r="AV1001"/>
      <c r="AW1001"/>
      <c r="FY1001" s="211">
        <v>996</v>
      </c>
      <c r="FZ1001">
        <v>12.109783881400913</v>
      </c>
      <c r="GA1001">
        <v>9.8396314354209746</v>
      </c>
      <c r="GB1001">
        <v>6.231149025058758</v>
      </c>
      <c r="GC1001">
        <v>3.5532014907556047</v>
      </c>
      <c r="GD1001">
        <v>1.5414859106048275</v>
      </c>
      <c r="GE1001">
        <v>1.3471995746511627</v>
      </c>
      <c r="GF1001">
        <v>3.6465957550792538</v>
      </c>
      <c r="GG1001">
        <v>3.4997757431917704</v>
      </c>
      <c r="GH1001">
        <v>5.1237158059379659</v>
      </c>
      <c r="GI1001">
        <v>5.6766519879548145</v>
      </c>
      <c r="GJ1001"/>
      <c r="GK1001">
        <v>12.16616410906042</v>
      </c>
      <c r="GL1001">
        <v>8.3359782155762314</v>
      </c>
      <c r="GM1001">
        <v>10.322002460451994</v>
      </c>
      <c r="GN1001">
        <v>10.600999998065104</v>
      </c>
      <c r="GO1001">
        <v>5.9972523187062912</v>
      </c>
      <c r="GP1001">
        <v>2.5792151162790695</v>
      </c>
      <c r="GQ1001">
        <v>4.461577690087501</v>
      </c>
      <c r="GR1001">
        <v>4.9204897271245382</v>
      </c>
      <c r="GS1001">
        <v>5.4637289352922851</v>
      </c>
      <c r="GT1001">
        <v>7.682145102719697</v>
      </c>
      <c r="GU1001"/>
      <c r="GV1001"/>
      <c r="GW1001"/>
      <c r="GX1001"/>
      <c r="GY1001"/>
      <c r="GZ1001"/>
      <c r="HA1001"/>
      <c r="HB1001"/>
      <c r="HC1001"/>
    </row>
    <row r="1002" spans="1:211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54.823831594954903</v>
      </c>
      <c r="AO1002">
        <v>6.7303407108069422</v>
      </c>
      <c r="AP1002">
        <v>4.6619131870919714</v>
      </c>
      <c r="AQ1002">
        <v>46.12093322798389</v>
      </c>
      <c r="AR1002">
        <v>6.8868601392254938</v>
      </c>
      <c r="AS1002">
        <v>45.461374847957778</v>
      </c>
      <c r="AT1002">
        <v>5.5734532168627302</v>
      </c>
      <c r="AU1002">
        <v>8.0205423675811893</v>
      </c>
      <c r="AV1002"/>
      <c r="AW1002"/>
      <c r="FY1002" s="211">
        <v>997</v>
      </c>
      <c r="FZ1002">
        <v>12.813608307789806</v>
      </c>
      <c r="GA1002">
        <v>11.920071764037964</v>
      </c>
      <c r="GB1002">
        <v>5.4321265163855674</v>
      </c>
      <c r="GC1002">
        <v>3.1750392563287435</v>
      </c>
      <c r="GD1002">
        <v>2.0182652691701031</v>
      </c>
      <c r="GE1002">
        <v>3.0215138598739499</v>
      </c>
      <c r="GF1002">
        <v>1.767202119200634</v>
      </c>
      <c r="GG1002">
        <v>1.5387173901607791</v>
      </c>
      <c r="GH1002">
        <v>5.5304186346976225</v>
      </c>
      <c r="GI1002">
        <v>5.5872874039452434</v>
      </c>
      <c r="GJ1002"/>
      <c r="GK1002">
        <v>12.830025799479074</v>
      </c>
      <c r="GL1002">
        <v>10.100757131842142</v>
      </c>
      <c r="GM1002">
        <v>9.0762821772180953</v>
      </c>
      <c r="GN1002">
        <v>9.578990132585032</v>
      </c>
      <c r="GO1002">
        <v>7.8348866787846481</v>
      </c>
      <c r="GP1002">
        <v>5.7846917175961305</v>
      </c>
      <c r="GQ1002">
        <v>2.165521839774557</v>
      </c>
      <c r="GR1002">
        <v>2.165521839774557</v>
      </c>
      <c r="GS1002">
        <v>5.892810661770282</v>
      </c>
      <c r="GT1002">
        <v>7.5599054314053316</v>
      </c>
      <c r="GU1002"/>
      <c r="GV1002"/>
      <c r="GW1002"/>
      <c r="GX1002"/>
      <c r="GY1002"/>
      <c r="GZ1002"/>
      <c r="HA1002"/>
      <c r="HB1002"/>
      <c r="HC1002"/>
    </row>
    <row r="1003" spans="1:211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60.149856406309503</v>
      </c>
      <c r="AO1003">
        <v>6.6427051923042573</v>
      </c>
      <c r="AP1003">
        <v>58.345495291087289</v>
      </c>
      <c r="AQ1003">
        <v>46.545366955557704</v>
      </c>
      <c r="AR1003">
        <v>6.884267919855561</v>
      </c>
      <c r="AS1003">
        <v>41.345845051518587</v>
      </c>
      <c r="AT1003" t="e">
        <v>#DIV/0!</v>
      </c>
      <c r="AU1003" t="e">
        <v>#DIV/0!</v>
      </c>
      <c r="AV1003"/>
      <c r="AW1003"/>
      <c r="FY1003" s="211">
        <v>998</v>
      </c>
      <c r="FZ1003">
        <v>11.963228140923777</v>
      </c>
      <c r="GA1003">
        <v>11.747839003396402</v>
      </c>
      <c r="GB1003">
        <v>5.8590859376016207</v>
      </c>
      <c r="GC1003">
        <v>3.2782208662341734</v>
      </c>
      <c r="GD1003">
        <v>2.4322630272259773</v>
      </c>
      <c r="GE1003">
        <v>3.085431230239398</v>
      </c>
      <c r="GF1003">
        <v>1.1452406677407898</v>
      </c>
      <c r="GG1003">
        <v>2.1192695946735247</v>
      </c>
      <c r="GH1003">
        <v>6.1074960008002552</v>
      </c>
      <c r="GI1003">
        <v>5.7761202669179763</v>
      </c>
      <c r="GJ1003"/>
      <c r="GK1003">
        <v>11.997686923344471</v>
      </c>
      <c r="GL1003">
        <v>9.9527668121184725</v>
      </c>
      <c r="GM1003">
        <v>9.7003229659092245</v>
      </c>
      <c r="GN1003">
        <v>9.7681428537289285</v>
      </c>
      <c r="GO1003">
        <v>9.4408197803269047</v>
      </c>
      <c r="GP1003">
        <v>5.907061595779961</v>
      </c>
      <c r="GQ1003">
        <v>1.4010579686228333</v>
      </c>
      <c r="GR1003">
        <v>2.980919079733944</v>
      </c>
      <c r="GS1003">
        <v>6.5100426223245291</v>
      </c>
      <c r="GT1003">
        <v>7.809986052105593</v>
      </c>
      <c r="GU1003"/>
      <c r="GV1003"/>
      <c r="GW1003"/>
      <c r="GX1003"/>
      <c r="GY1003"/>
      <c r="GZ1003"/>
      <c r="HA1003"/>
      <c r="HB1003"/>
      <c r="HC1003"/>
    </row>
    <row r="1004" spans="1:211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43.490767255814362</v>
      </c>
      <c r="AO1004">
        <v>5.403513279950988</v>
      </c>
      <c r="AP1004">
        <v>10.377280048251269</v>
      </c>
      <c r="AQ1004">
        <v>40.003740165117932</v>
      </c>
      <c r="AR1004">
        <v>5.967865866195341</v>
      </c>
      <c r="AS1004">
        <v>37.13859302826949</v>
      </c>
      <c r="AT1004" t="e">
        <v>#DIV/0!</v>
      </c>
      <c r="AU1004" t="e">
        <v>#DIV/0!</v>
      </c>
      <c r="AV1004"/>
      <c r="AW1004"/>
      <c r="FY1004" s="211">
        <v>999</v>
      </c>
      <c r="FZ1004">
        <v>12.663649215152699</v>
      </c>
      <c r="GA1004">
        <v>9.2238648272931449</v>
      </c>
      <c r="GB1004">
        <v>4.2685155432504569</v>
      </c>
      <c r="GC1004">
        <v>2.2485516008813704</v>
      </c>
      <c r="GD1004">
        <v>0.91236881016754756</v>
      </c>
      <c r="GE1004">
        <v>1.0727308666112958</v>
      </c>
      <c r="GF1004">
        <v>1.223050412887982</v>
      </c>
      <c r="GG1004">
        <v>1.8128276523841229</v>
      </c>
      <c r="GH1004">
        <v>6.6600665800125416</v>
      </c>
      <c r="GI1004">
        <v>4.7181989345400535</v>
      </c>
      <c r="GJ1004"/>
      <c r="GK1004">
        <v>12.720312751230765</v>
      </c>
      <c r="GL1004">
        <v>7.8153836667790824</v>
      </c>
      <c r="GM1004">
        <v>7.0743246482401938</v>
      </c>
      <c r="GN1004">
        <v>6.6996138442356941</v>
      </c>
      <c r="GO1004">
        <v>3.5367735014477759</v>
      </c>
      <c r="GP1004">
        <v>2.0537444629014399</v>
      </c>
      <c r="GQ1004">
        <v>1.4964056940656674</v>
      </c>
      <c r="GR1004">
        <v>2.5496464348064078</v>
      </c>
      <c r="GS1004">
        <v>7.0997085011321062</v>
      </c>
      <c r="GT1004">
        <v>6.3855050192233005</v>
      </c>
      <c r="GU1004"/>
      <c r="GV1004"/>
      <c r="GW1004"/>
      <c r="GX1004"/>
      <c r="GY1004"/>
      <c r="GZ1004"/>
      <c r="HA1004"/>
      <c r="HB1004"/>
      <c r="HC1004"/>
    </row>
    <row r="1005" spans="1:211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47.726897086931807</v>
      </c>
      <c r="AO1005">
        <v>5.6655596711115903</v>
      </c>
      <c r="AP1005">
        <v>55.188465648349023</v>
      </c>
      <c r="AQ1005">
        <v>40.562258441036008</v>
      </c>
      <c r="AR1005">
        <v>5.8051409054395675</v>
      </c>
      <c r="AS1005">
        <v>38.963454783865345</v>
      </c>
      <c r="AT1005" t="e">
        <v>#DIV/0!</v>
      </c>
      <c r="AU1005" t="e">
        <v>#DIV/0!</v>
      </c>
      <c r="AV1005"/>
      <c r="AW1005"/>
      <c r="FY1005" s="211">
        <v>1000</v>
      </c>
      <c r="FZ1005">
        <v>7.8677767791926652</v>
      </c>
      <c r="GA1005">
        <v>5.2149451974940151</v>
      </c>
      <c r="GB1005">
        <v>4.723600323313045</v>
      </c>
      <c r="GC1005">
        <v>2.4318605515023561</v>
      </c>
      <c r="GD1005">
        <v>1.4689950089603281</v>
      </c>
      <c r="GE1005">
        <v>2.0656278519054134</v>
      </c>
      <c r="GF1005">
        <v>3.0315918002966447</v>
      </c>
      <c r="GG1005">
        <v>2.9642867518874225</v>
      </c>
      <c r="GH1005">
        <v>5.0553699321879666</v>
      </c>
      <c r="GI1005">
        <v>4.5153453301201285</v>
      </c>
      <c r="GJ1005"/>
      <c r="GK1005">
        <v>7.9036904205910661</v>
      </c>
      <c r="GL1005">
        <v>4.4182812860795497</v>
      </c>
      <c r="GM1005">
        <v>7.8640463002869385</v>
      </c>
      <c r="GN1005">
        <v>7.3017083829116087</v>
      </c>
      <c r="GO1005">
        <v>5.6957182978899805</v>
      </c>
      <c r="GP1005">
        <v>3.9546468693185517</v>
      </c>
      <c r="GQ1005">
        <v>3.7079545016817037</v>
      </c>
      <c r="GR1005">
        <v>4.1668665387187405</v>
      </c>
      <c r="GS1005">
        <v>5.3908122686256181</v>
      </c>
      <c r="GT1005">
        <v>6.1124443578150611</v>
      </c>
      <c r="GU1005"/>
      <c r="GV1005"/>
      <c r="GW1005"/>
      <c r="GX1005"/>
      <c r="GY1005"/>
      <c r="GZ1005"/>
      <c r="HA1005"/>
      <c r="HB1005"/>
      <c r="HC1005"/>
    </row>
    <row r="1006" spans="1:211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68.176959566867694</v>
      </c>
      <c r="AO1006">
        <v>8.0669038534936757</v>
      </c>
      <c r="AP1006">
        <v>3.7783073631212374</v>
      </c>
      <c r="AQ1006">
        <v>62.926296039392469</v>
      </c>
      <c r="AR1006">
        <v>8.4463478613042913</v>
      </c>
      <c r="AS1006">
        <v>52.333488504623553</v>
      </c>
      <c r="AT1006">
        <v>6.7585602016076551</v>
      </c>
      <c r="AU1006">
        <v>2.6394481846720002</v>
      </c>
      <c r="AV1006"/>
      <c r="AW1006"/>
    </row>
    <row r="1007" spans="1:211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52.020484304753793</v>
      </c>
      <c r="AO1007">
        <v>5.8198055492083167</v>
      </c>
      <c r="AP1007">
        <v>12.477281567245605</v>
      </c>
      <c r="AQ1007">
        <v>41.900058415741896</v>
      </c>
      <c r="AR1007">
        <v>5.9599706254809526</v>
      </c>
      <c r="AS1007">
        <v>35.884465847690919</v>
      </c>
      <c r="AT1007" t="e">
        <v>#DIV/0!</v>
      </c>
      <c r="AU1007" t="e">
        <v>#DIV/0!</v>
      </c>
      <c r="AV1007"/>
      <c r="AW1007"/>
    </row>
    <row r="1008" spans="1:211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47.741236640891117</v>
      </c>
      <c r="AO1008">
        <v>5.6352320408935812</v>
      </c>
      <c r="AP1008">
        <v>3.6458853513166414</v>
      </c>
      <c r="AQ1008">
        <v>38.24320253467944</v>
      </c>
      <c r="AR1008">
        <v>5.743788354716858</v>
      </c>
      <c r="AS1008">
        <v>36.602477039685198</v>
      </c>
      <c r="AT1008">
        <v>4.6125988350547162</v>
      </c>
      <c r="AU1008">
        <v>3.9757789015281433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51.910040343365552</v>
      </c>
      <c r="AO1009">
        <v>6.4410911286162813</v>
      </c>
      <c r="AP1009">
        <v>18.911512879114266</v>
      </c>
      <c r="AQ1009">
        <v>45.805026989830445</v>
      </c>
      <c r="AR1009">
        <v>6.830433587876076</v>
      </c>
      <c r="AS1009">
        <v>42.40778480890814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61.831018120452221</v>
      </c>
      <c r="AO1010">
        <v>7.1700500567405214</v>
      </c>
      <c r="AP1010">
        <v>81.683405746683391</v>
      </c>
      <c r="AQ1010">
        <v>52.885145675117727</v>
      </c>
      <c r="AR1010">
        <v>7.6335656487282852</v>
      </c>
      <c r="AS1010">
        <v>45.727573293603683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53.030827001029401</v>
      </c>
      <c r="AO1011">
        <v>6.3226349025070734</v>
      </c>
      <c r="AP1011">
        <v>2.9731310519149563</v>
      </c>
      <c r="AQ1011">
        <v>45.686490966174517</v>
      </c>
      <c r="AR1011">
        <v>6.9082072391899825</v>
      </c>
      <c r="AS1011">
        <v>40.550963502409935</v>
      </c>
      <c r="AT1011">
        <v>5.3976840005462217</v>
      </c>
      <c r="AU1011">
        <v>9.1010872106281582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61.685992518298306</v>
      </c>
      <c r="AO1012">
        <v>7.2529553673363143</v>
      </c>
      <c r="AP1012">
        <v>5.3042603806968902</v>
      </c>
      <c r="AQ1012">
        <v>52.56919061005604</v>
      </c>
      <c r="AR1012">
        <v>7.6821451027197014</v>
      </c>
      <c r="AS1012">
        <v>49.852960950385167</v>
      </c>
      <c r="AT1012">
        <v>6.176170616348803</v>
      </c>
      <c r="AU1012">
        <v>5.8179348918473153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60.841934591470491</v>
      </c>
      <c r="AO1013">
        <v>7.2989393410229848</v>
      </c>
      <c r="AP1013">
        <v>95.526421948799282</v>
      </c>
      <c r="AQ1013">
        <v>52.804250521590404</v>
      </c>
      <c r="AR1013">
        <v>7.5599054314053316</v>
      </c>
      <c r="AS1013">
        <v>48.851786665331218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66.60504766483335</v>
      </c>
      <c r="AO1014">
        <v>7.5468806653994873</v>
      </c>
      <c r="AP1014">
        <v>21.168607057202106</v>
      </c>
      <c r="AQ1014">
        <v>53.514194735753897</v>
      </c>
      <c r="AR1014">
        <v>7.8099860521055922</v>
      </c>
      <c r="AS1014">
        <v>48.905515992131988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48.058815690905206</v>
      </c>
      <c r="AO1015">
        <v>5.743141852406243</v>
      </c>
      <c r="AP1015">
        <v>20.159752171999653</v>
      </c>
      <c r="AQ1015">
        <v>44.803824443181213</v>
      </c>
      <c r="AR1015">
        <v>6.3855050192233005</v>
      </c>
      <c r="AS1015">
        <v>38.863703741553458</v>
      </c>
      <c r="AT1015" t="e">
        <v>#DIV/0!</v>
      </c>
      <c r="AU1015" t="e">
        <v>#DIV/0!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46.61797700279466</v>
      </c>
      <c r="AO1016">
        <v>5.6516169223918826</v>
      </c>
      <c r="AP1016">
        <v>4.0156177154546411</v>
      </c>
      <c r="AQ1016">
        <v>39.339399526859985</v>
      </c>
      <c r="AR1016">
        <v>6.1124443578150611</v>
      </c>
      <c r="AS1016">
        <v>39.683219170999287</v>
      </c>
      <c r="AT1016">
        <v>4.9062286336760588</v>
      </c>
      <c r="AU1016">
        <v>5.4035481931657845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2011-04-29T20:24:07Z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