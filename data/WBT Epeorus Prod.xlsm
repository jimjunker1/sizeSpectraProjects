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365" yWindow="-90" windowWidth="17805" windowHeight="7575"/>
  </bookViews>
  <sheets>
    <sheet name="Cobble Gravel" sheetId="1" r:id="rId1"/>
    <sheet name="Notes" sheetId="4" r:id="rId2"/>
  </sheets>
  <calcPr calcId="125725"/>
</workbook>
</file>

<file path=xl/calcChain.xml><?xml version="1.0" encoding="utf-8"?>
<calcChain xmlns="http://schemas.openxmlformats.org/spreadsheetml/2006/main">
  <c r="DP212" i="1"/>
  <c r="DQ212"/>
  <c r="DF214"/>
  <c r="DG214"/>
  <c r="DG212"/>
  <c r="DH212"/>
  <c r="DI212"/>
  <c r="DJ212"/>
  <c r="DK212"/>
  <c r="DL212"/>
  <c r="DM212"/>
  <c r="DN212"/>
  <c r="DO212"/>
  <c r="DH213"/>
  <c r="DI213"/>
  <c r="DJ213"/>
  <c r="DK213"/>
  <c r="DL213"/>
  <c r="DM213"/>
  <c r="DN213"/>
  <c r="DO213"/>
  <c r="DP213"/>
  <c r="DQ213"/>
  <c r="DH214"/>
  <c r="DI214"/>
  <c r="DJ214"/>
  <c r="DK214"/>
  <c r="DL214"/>
  <c r="DM214"/>
  <c r="DN214"/>
  <c r="DO214"/>
  <c r="DP214"/>
  <c r="DQ214"/>
  <c r="DG215"/>
  <c r="DH215"/>
  <c r="DI215"/>
  <c r="DJ215"/>
  <c r="DK215"/>
  <c r="DL215"/>
  <c r="DM215"/>
  <c r="DN215"/>
  <c r="DO215"/>
  <c r="DP215"/>
  <c r="DQ215"/>
  <c r="DG216"/>
  <c r="DH216"/>
  <c r="DI216"/>
  <c r="DJ216"/>
  <c r="DK216"/>
  <c r="DL216"/>
  <c r="DM216"/>
  <c r="DN216"/>
  <c r="DO216"/>
  <c r="DP216"/>
  <c r="DQ216"/>
  <c r="DG217"/>
  <c r="DH217"/>
  <c r="DI217"/>
  <c r="DJ217"/>
  <c r="DK217"/>
  <c r="DL217"/>
  <c r="DM217"/>
  <c r="DN217"/>
  <c r="DO217"/>
  <c r="DP217"/>
  <c r="DQ217"/>
  <c r="DG218"/>
  <c r="DH218"/>
  <c r="DI218"/>
  <c r="DJ218"/>
  <c r="DK218"/>
  <c r="DL218"/>
  <c r="DM218"/>
  <c r="DN218"/>
  <c r="DO218"/>
  <c r="DP218"/>
  <c r="DQ218"/>
  <c r="DG219"/>
  <c r="DH219"/>
  <c r="DI219"/>
  <c r="DJ219"/>
  <c r="DK219"/>
  <c r="DL219"/>
  <c r="DM219"/>
  <c r="DN219"/>
  <c r="DO219"/>
  <c r="DP219"/>
  <c r="DQ219"/>
  <c r="DG220"/>
  <c r="DH220"/>
  <c r="DI220"/>
  <c r="DJ220"/>
  <c r="DK220"/>
  <c r="DL220"/>
  <c r="DM220"/>
  <c r="DN220"/>
  <c r="DO220"/>
  <c r="DP220"/>
  <c r="DQ220"/>
  <c r="DG221"/>
  <c r="DH221"/>
  <c r="DI221"/>
  <c r="DJ221"/>
  <c r="DK221"/>
  <c r="DL221"/>
  <c r="DM221"/>
  <c r="DN221"/>
  <c r="DO221"/>
  <c r="DP221"/>
  <c r="DQ221"/>
  <c r="FQ7"/>
  <c r="FU16"/>
  <c r="FU15"/>
  <c r="FU14"/>
  <c r="FU13"/>
  <c r="FU12"/>
  <c r="FU11"/>
  <c r="FU10"/>
  <c r="FU9"/>
  <c r="FU8"/>
  <c r="FU7"/>
  <c r="FS16"/>
  <c r="FS15"/>
  <c r="FS14"/>
  <c r="FS13"/>
  <c r="FS12"/>
  <c r="FS11"/>
  <c r="FS10"/>
  <c r="FS9"/>
  <c r="FS8"/>
  <c r="FS7"/>
  <c r="FQ8"/>
  <c r="FQ9"/>
  <c r="FQ10"/>
  <c r="FQ11"/>
  <c r="FQ12"/>
  <c r="FQ13"/>
  <c r="FQ14"/>
  <c r="FQ15"/>
  <c r="FQ16"/>
  <c r="H422"/>
  <c r="I422"/>
  <c r="J422"/>
  <c r="K422"/>
  <c r="L422"/>
  <c r="M422"/>
  <c r="N422"/>
  <c r="O422"/>
  <c r="P422"/>
  <c r="Q422"/>
  <c r="R422"/>
  <c r="S422"/>
  <c r="T422"/>
  <c r="U422"/>
  <c r="V422"/>
  <c r="W422"/>
  <c r="X422"/>
  <c r="Y422"/>
  <c r="Z422"/>
  <c r="AA422"/>
  <c r="AB422"/>
  <c r="AC422"/>
  <c r="AD422"/>
  <c r="AE422"/>
  <c r="AF422"/>
  <c r="AG422"/>
  <c r="AH422"/>
  <c r="AI422"/>
  <c r="AJ422"/>
  <c r="AK422"/>
  <c r="G422"/>
  <c r="DF217"/>
  <c r="DF218"/>
  <c r="DF219"/>
  <c r="FM16"/>
  <c r="FK16"/>
  <c r="FI16"/>
  <c r="FH16"/>
  <c r="FM15"/>
  <c r="FK15"/>
  <c r="FI15"/>
  <c r="FH15"/>
  <c r="FM14"/>
  <c r="FK14"/>
  <c r="FI14"/>
  <c r="FH14"/>
  <c r="FM13"/>
  <c r="FK13"/>
  <c r="FI13"/>
  <c r="FH13"/>
  <c r="FM12"/>
  <c r="FK12"/>
  <c r="FI12"/>
  <c r="FH12"/>
  <c r="FM11"/>
  <c r="FK11"/>
  <c r="FI11"/>
  <c r="FH11"/>
  <c r="FM10"/>
  <c r="FK10"/>
  <c r="FI10"/>
  <c r="FH10"/>
  <c r="FM9"/>
  <c r="FK9"/>
  <c r="FI9"/>
  <c r="FH9"/>
  <c r="FM8"/>
  <c r="FK8"/>
  <c r="FI8"/>
  <c r="FH8"/>
  <c r="FM7"/>
  <c r="FK7"/>
  <c r="FI7"/>
  <c r="FH7"/>
  <c r="GI4"/>
  <c r="GH4"/>
  <c r="GG4"/>
  <c r="GF4"/>
  <c r="GE4"/>
  <c r="GD4"/>
  <c r="GC4"/>
  <c r="GB4"/>
  <c r="GA4"/>
  <c r="FZ4"/>
  <c r="CX117"/>
  <c r="CX108"/>
  <c r="CX155"/>
  <c r="CX110"/>
  <c r="CX116"/>
  <c r="DE234"/>
  <c r="DE233"/>
  <c r="DE232"/>
  <c r="DE231"/>
  <c r="DE230"/>
  <c r="DE229"/>
  <c r="DE228"/>
  <c r="DE227"/>
  <c r="DE226"/>
  <c r="DE221" l="1"/>
  <c r="DE220"/>
  <c r="DE219"/>
  <c r="DE218"/>
  <c r="DE217"/>
  <c r="DE216"/>
  <c r="DE215"/>
  <c r="DE214"/>
  <c r="DE213"/>
  <c r="DE212"/>
  <c r="D450" l="1"/>
  <c r="D449"/>
  <c r="D448"/>
  <c r="D447"/>
  <c r="D446"/>
  <c r="D445"/>
  <c r="D444"/>
  <c r="D443"/>
  <c r="D442"/>
  <c r="D441"/>
  <c r="D432"/>
  <c r="D431"/>
  <c r="D430"/>
  <c r="D429"/>
  <c r="D428"/>
  <c r="D427"/>
  <c r="D426"/>
  <c r="D425"/>
  <c r="D424"/>
  <c r="D423"/>
  <c r="G70"/>
  <c r="H70"/>
  <c r="I70"/>
  <c r="J70"/>
  <c r="K70"/>
  <c r="L70"/>
  <c r="M70"/>
  <c r="N70"/>
  <c r="O70"/>
  <c r="P70"/>
  <c r="Q70"/>
  <c r="R70"/>
  <c r="S70"/>
  <c r="T70"/>
  <c r="U70"/>
  <c r="V70"/>
  <c r="W70"/>
  <c r="X70"/>
  <c r="Y70"/>
  <c r="Z70"/>
  <c r="AA70"/>
  <c r="AB70"/>
  <c r="AC70"/>
  <c r="AD70"/>
  <c r="AE70"/>
  <c r="AF70"/>
  <c r="AG70"/>
  <c r="AH70"/>
  <c r="AI70"/>
  <c r="AJ70"/>
  <c r="AK70"/>
  <c r="G71"/>
  <c r="H71"/>
  <c r="I71"/>
  <c r="J71"/>
  <c r="K71"/>
  <c r="L71"/>
  <c r="M71"/>
  <c r="N71"/>
  <c r="O71"/>
  <c r="P71"/>
  <c r="Q71"/>
  <c r="R71"/>
  <c r="S71"/>
  <c r="T71"/>
  <c r="U71"/>
  <c r="V71"/>
  <c r="W71"/>
  <c r="X71"/>
  <c r="Y71"/>
  <c r="Z71"/>
  <c r="AA71"/>
  <c r="AB71"/>
  <c r="AC71"/>
  <c r="AD71"/>
  <c r="AE71"/>
  <c r="AF71"/>
  <c r="AG71"/>
  <c r="AH71"/>
  <c r="AI71"/>
  <c r="AJ71"/>
  <c r="AK71"/>
  <c r="G72"/>
  <c r="H72"/>
  <c r="I72"/>
  <c r="J72"/>
  <c r="K72"/>
  <c r="L72"/>
  <c r="M72"/>
  <c r="N72"/>
  <c r="O72"/>
  <c r="P72"/>
  <c r="Q72"/>
  <c r="R72"/>
  <c r="S72"/>
  <c r="T72"/>
  <c r="U72"/>
  <c r="V72"/>
  <c r="W72"/>
  <c r="X72"/>
  <c r="Y72"/>
  <c r="Z72"/>
  <c r="AA72"/>
  <c r="AB72"/>
  <c r="AC72"/>
  <c r="AD72"/>
  <c r="AE72"/>
  <c r="AF72"/>
  <c r="AG72"/>
  <c r="AH72"/>
  <c r="AI72"/>
  <c r="AJ72"/>
  <c r="AK72"/>
  <c r="G73"/>
  <c r="H73"/>
  <c r="I73"/>
  <c r="J73"/>
  <c r="K73"/>
  <c r="L73"/>
  <c r="M73"/>
  <c r="N73"/>
  <c r="O73"/>
  <c r="P73"/>
  <c r="Q73"/>
  <c r="R73"/>
  <c r="S73"/>
  <c r="T73"/>
  <c r="U73"/>
  <c r="V73"/>
  <c r="W73"/>
  <c r="X73"/>
  <c r="Y73"/>
  <c r="Z73"/>
  <c r="AA73"/>
  <c r="AB73"/>
  <c r="AC73"/>
  <c r="AD73"/>
  <c r="AE73"/>
  <c r="AF73"/>
  <c r="AG73"/>
  <c r="AH73"/>
  <c r="AI73"/>
  <c r="AJ73"/>
  <c r="AK73"/>
  <c r="G74"/>
  <c r="H74"/>
  <c r="I74"/>
  <c r="J74"/>
  <c r="K74"/>
  <c r="L74"/>
  <c r="M74"/>
  <c r="N74"/>
  <c r="O74"/>
  <c r="P74"/>
  <c r="Q74"/>
  <c r="R74"/>
  <c r="S74"/>
  <c r="T74"/>
  <c r="U74"/>
  <c r="V74"/>
  <c r="W74"/>
  <c r="X74"/>
  <c r="Y74"/>
  <c r="Z74"/>
  <c r="AA74"/>
  <c r="AB74"/>
  <c r="AC74"/>
  <c r="AD74"/>
  <c r="AE74"/>
  <c r="AF74"/>
  <c r="AG74"/>
  <c r="AH74"/>
  <c r="AI74"/>
  <c r="AJ74"/>
  <c r="AK74"/>
  <c r="G75"/>
  <c r="H75"/>
  <c r="I75"/>
  <c r="J75"/>
  <c r="K75"/>
  <c r="L75"/>
  <c r="M75"/>
  <c r="N75"/>
  <c r="O75"/>
  <c r="P75"/>
  <c r="Q75"/>
  <c r="R75"/>
  <c r="S75"/>
  <c r="T75"/>
  <c r="U75"/>
  <c r="V75"/>
  <c r="W75"/>
  <c r="X75"/>
  <c r="Y75"/>
  <c r="Z75"/>
  <c r="AA75"/>
  <c r="AB75"/>
  <c r="AC75"/>
  <c r="AD75"/>
  <c r="AE75"/>
  <c r="AF75"/>
  <c r="AG75"/>
  <c r="AH75"/>
  <c r="AI75"/>
  <c r="AJ75"/>
  <c r="AK75"/>
  <c r="G76"/>
  <c r="H76"/>
  <c r="I76"/>
  <c r="J76"/>
  <c r="K76"/>
  <c r="L76"/>
  <c r="M76"/>
  <c r="N76"/>
  <c r="O76"/>
  <c r="P76"/>
  <c r="Q76"/>
  <c r="R76"/>
  <c r="S76"/>
  <c r="T76"/>
  <c r="U76"/>
  <c r="V76"/>
  <c r="W76"/>
  <c r="X76"/>
  <c r="Y76"/>
  <c r="Z76"/>
  <c r="AA76"/>
  <c r="AB76"/>
  <c r="AC76"/>
  <c r="AD76"/>
  <c r="AE76"/>
  <c r="AF76"/>
  <c r="AG76"/>
  <c r="AH76"/>
  <c r="AI76"/>
  <c r="AJ76"/>
  <c r="AK76"/>
  <c r="G77"/>
  <c r="H77"/>
  <c r="I77"/>
  <c r="J77"/>
  <c r="K77"/>
  <c r="L77"/>
  <c r="M77"/>
  <c r="N77"/>
  <c r="O77"/>
  <c r="P77"/>
  <c r="Q77"/>
  <c r="R77"/>
  <c r="S77"/>
  <c r="T77"/>
  <c r="U77"/>
  <c r="V77"/>
  <c r="W77"/>
  <c r="X77"/>
  <c r="Y77"/>
  <c r="Z77"/>
  <c r="AA77"/>
  <c r="AB77"/>
  <c r="AC77"/>
  <c r="AD77"/>
  <c r="AE77"/>
  <c r="AF77"/>
  <c r="AG77"/>
  <c r="AH77"/>
  <c r="AI77"/>
  <c r="AJ77"/>
  <c r="AK77"/>
  <c r="G78"/>
  <c r="H78"/>
  <c r="I78"/>
  <c r="J78"/>
  <c r="K78"/>
  <c r="L78"/>
  <c r="M78"/>
  <c r="N78"/>
  <c r="O78"/>
  <c r="P78"/>
  <c r="Q78"/>
  <c r="R78"/>
  <c r="S78"/>
  <c r="T78"/>
  <c r="U78"/>
  <c r="V78"/>
  <c r="W78"/>
  <c r="X78"/>
  <c r="Y78"/>
  <c r="Z78"/>
  <c r="AA78"/>
  <c r="AB78"/>
  <c r="AC78"/>
  <c r="AD78"/>
  <c r="AE78"/>
  <c r="AF78"/>
  <c r="AG78"/>
  <c r="AH78"/>
  <c r="AI78"/>
  <c r="AJ78"/>
  <c r="AK78"/>
  <c r="G79"/>
  <c r="H79"/>
  <c r="I79"/>
  <c r="J79"/>
  <c r="K79"/>
  <c r="L79"/>
  <c r="M79"/>
  <c r="N79"/>
  <c r="O79"/>
  <c r="P79"/>
  <c r="Q79"/>
  <c r="R79"/>
  <c r="S79"/>
  <c r="T79"/>
  <c r="U79"/>
  <c r="V79"/>
  <c r="W79"/>
  <c r="X79"/>
  <c r="Y79"/>
  <c r="Z79"/>
  <c r="AA79"/>
  <c r="AB79"/>
  <c r="AC79"/>
  <c r="AD79"/>
  <c r="AE79"/>
  <c r="AF79"/>
  <c r="AG79"/>
  <c r="AH79"/>
  <c r="AI79"/>
  <c r="AJ79"/>
  <c r="AK79"/>
  <c r="D551"/>
  <c r="E551"/>
  <c r="E553"/>
  <c r="H552" s="1"/>
  <c r="D553"/>
  <c r="C553"/>
  <c r="I552"/>
  <c r="C551"/>
  <c r="C549"/>
  <c r="C547"/>
  <c r="C545"/>
  <c r="C543"/>
  <c r="C541"/>
  <c r="C539"/>
  <c r="C537"/>
  <c r="C535"/>
  <c r="C533"/>
  <c r="C531"/>
  <c r="G36"/>
  <c r="H36"/>
  <c r="H372" s="1"/>
  <c r="A438"/>
  <c r="I36"/>
  <c r="I372" s="1"/>
  <c r="J36"/>
  <c r="E463" s="1"/>
  <c r="K36"/>
  <c r="E465" s="1"/>
  <c r="L36"/>
  <c r="E467" s="1"/>
  <c r="M36"/>
  <c r="E469" s="1"/>
  <c r="N36"/>
  <c r="E471" s="1"/>
  <c r="O36"/>
  <c r="O372" s="1"/>
  <c r="O381" s="1"/>
  <c r="P36"/>
  <c r="P372" s="1"/>
  <c r="P374" s="1"/>
  <c r="Q36"/>
  <c r="R36"/>
  <c r="E479"/>
  <c r="S36"/>
  <c r="E481" s="1"/>
  <c r="T36"/>
  <c r="U36"/>
  <c r="E485" s="1"/>
  <c r="V36"/>
  <c r="W36"/>
  <c r="E489" s="1"/>
  <c r="X36"/>
  <c r="Y36"/>
  <c r="E493" s="1"/>
  <c r="Z36"/>
  <c r="E495" s="1"/>
  <c r="AA36"/>
  <c r="AB36"/>
  <c r="E499" s="1"/>
  <c r="AC36"/>
  <c r="AD36"/>
  <c r="AD372" s="1"/>
  <c r="AE36"/>
  <c r="AF36"/>
  <c r="E507" s="1"/>
  <c r="AG36"/>
  <c r="AH36"/>
  <c r="AI36"/>
  <c r="E513" s="1"/>
  <c r="AJ36"/>
  <c r="E515" s="1"/>
  <c r="AK36"/>
  <c r="E517" s="1"/>
  <c r="H518" s="1"/>
  <c r="E21"/>
  <c r="E22"/>
  <c r="E23"/>
  <c r="E24"/>
  <c r="E25"/>
  <c r="E26"/>
  <c r="E27"/>
  <c r="E28"/>
  <c r="E29"/>
  <c r="B405"/>
  <c r="B414"/>
  <c r="C414"/>
  <c r="B413"/>
  <c r="C413" s="1"/>
  <c r="B412"/>
  <c r="C412" s="1"/>
  <c r="B411"/>
  <c r="C411" s="1"/>
  <c r="B410"/>
  <c r="C410"/>
  <c r="B409"/>
  <c r="C409" s="1"/>
  <c r="B408"/>
  <c r="C408" s="1"/>
  <c r="B407"/>
  <c r="C407" s="1"/>
  <c r="B406"/>
  <c r="C406"/>
  <c r="H398"/>
  <c r="F398"/>
  <c r="H397"/>
  <c r="F397"/>
  <c r="J372"/>
  <c r="J376" s="1"/>
  <c r="N372"/>
  <c r="N382" s="1"/>
  <c r="U372"/>
  <c r="U374" s="1"/>
  <c r="U378"/>
  <c r="B382"/>
  <c r="B381"/>
  <c r="B380"/>
  <c r="B379"/>
  <c r="B378"/>
  <c r="B377"/>
  <c r="B376"/>
  <c r="B375"/>
  <c r="B374"/>
  <c r="B373"/>
  <c r="BA178"/>
  <c r="CM178"/>
  <c r="BA168"/>
  <c r="CM168" s="1"/>
  <c r="BA159"/>
  <c r="CM159"/>
  <c r="BA148"/>
  <c r="CM148" s="1"/>
  <c r="BA158"/>
  <c r="BA138"/>
  <c r="CM138" s="1"/>
  <c r="BA149"/>
  <c r="BA128"/>
  <c r="BA118"/>
  <c r="CM118"/>
  <c r="BA108"/>
  <c r="CM108"/>
  <c r="BA98"/>
  <c r="CM98"/>
  <c r="BA88"/>
  <c r="DF207"/>
  <c r="EJ207"/>
  <c r="FT207" s="1"/>
  <c r="EI207"/>
  <c r="FS207" s="1"/>
  <c r="EH207"/>
  <c r="FR207" s="1"/>
  <c r="EG207"/>
  <c r="FQ207" s="1"/>
  <c r="EF207"/>
  <c r="FP207"/>
  <c r="EE207"/>
  <c r="FO207" s="1"/>
  <c r="ED207"/>
  <c r="FN207"/>
  <c r="EC207"/>
  <c r="FM207" s="1"/>
  <c r="EB207"/>
  <c r="FL207" s="1"/>
  <c r="EA207"/>
  <c r="FK207" s="1"/>
  <c r="DZ207"/>
  <c r="FJ207"/>
  <c r="DY207"/>
  <c r="FI207" s="1"/>
  <c r="DX207"/>
  <c r="FH207"/>
  <c r="DW207"/>
  <c r="FG207" s="1"/>
  <c r="DV207"/>
  <c r="FF207"/>
  <c r="DU207"/>
  <c r="FE207" s="1"/>
  <c r="DT207"/>
  <c r="FD207" s="1"/>
  <c r="DS207"/>
  <c r="FC207" s="1"/>
  <c r="DR207"/>
  <c r="FB207"/>
  <c r="DQ207"/>
  <c r="FA207" s="1"/>
  <c r="DP207"/>
  <c r="EZ207" s="1"/>
  <c r="DO207"/>
  <c r="EY207" s="1"/>
  <c r="DN207"/>
  <c r="EX207"/>
  <c r="DM207"/>
  <c r="EW207" s="1"/>
  <c r="DL207"/>
  <c r="EV207" s="1"/>
  <c r="DK207"/>
  <c r="EU207" s="1"/>
  <c r="DJ207"/>
  <c r="ET207" s="1"/>
  <c r="DI207"/>
  <c r="ES207" s="1"/>
  <c r="DH207"/>
  <c r="ER207"/>
  <c r="DG207"/>
  <c r="EQ207" s="1"/>
  <c r="DD207"/>
  <c r="DC207" s="1"/>
  <c r="CZ207"/>
  <c r="CM207"/>
  <c r="CL207"/>
  <c r="CK207"/>
  <c r="AY207"/>
  <c r="B207"/>
  <c r="DF206"/>
  <c r="EJ206"/>
  <c r="FT206" s="1"/>
  <c r="EI206"/>
  <c r="FS206"/>
  <c r="EH206"/>
  <c r="FR206" s="1"/>
  <c r="EG206"/>
  <c r="FQ206"/>
  <c r="EF206"/>
  <c r="FP206" s="1"/>
  <c r="EE206"/>
  <c r="FO206"/>
  <c r="ED206"/>
  <c r="FN206" s="1"/>
  <c r="EC206"/>
  <c r="FM206"/>
  <c r="EB206"/>
  <c r="FL206" s="1"/>
  <c r="EA206"/>
  <c r="FK206"/>
  <c r="DZ206"/>
  <c r="FJ206" s="1"/>
  <c r="DY206"/>
  <c r="FI206"/>
  <c r="DX206"/>
  <c r="FH206" s="1"/>
  <c r="DW206"/>
  <c r="FG206"/>
  <c r="DV206"/>
  <c r="FF206" s="1"/>
  <c r="DU206"/>
  <c r="FE206"/>
  <c r="DT206"/>
  <c r="FD206" s="1"/>
  <c r="DS206"/>
  <c r="FC206"/>
  <c r="DR206"/>
  <c r="FB206" s="1"/>
  <c r="DQ206"/>
  <c r="FA206"/>
  <c r="DP206"/>
  <c r="EZ206" s="1"/>
  <c r="DO206"/>
  <c r="EY206"/>
  <c r="DN206"/>
  <c r="EX206" s="1"/>
  <c r="DM206"/>
  <c r="EW206"/>
  <c r="DL206"/>
  <c r="EV206" s="1"/>
  <c r="DK206"/>
  <c r="EU206"/>
  <c r="DJ206"/>
  <c r="ET206" s="1"/>
  <c r="DI206"/>
  <c r="ES206"/>
  <c r="DH206"/>
  <c r="ER206" s="1"/>
  <c r="DG206"/>
  <c r="EQ206"/>
  <c r="DD206"/>
  <c r="DE206" s="1"/>
  <c r="DC206"/>
  <c r="CZ206"/>
  <c r="CM206"/>
  <c r="CL206"/>
  <c r="CK206"/>
  <c r="AY206"/>
  <c r="B206"/>
  <c r="DF205"/>
  <c r="EP205"/>
  <c r="FU205" s="1"/>
  <c r="EJ205"/>
  <c r="FT205" s="1"/>
  <c r="EI205"/>
  <c r="FS205"/>
  <c r="EH205"/>
  <c r="FR205" s="1"/>
  <c r="EG205"/>
  <c r="FQ205" s="1"/>
  <c r="EF205"/>
  <c r="FP205" s="1"/>
  <c r="EE205"/>
  <c r="FO205" s="1"/>
  <c r="ED205"/>
  <c r="FN205" s="1"/>
  <c r="EC205"/>
  <c r="FM205" s="1"/>
  <c r="EB205"/>
  <c r="FL205" s="1"/>
  <c r="EA205"/>
  <c r="FK205"/>
  <c r="DZ205"/>
  <c r="FJ205" s="1"/>
  <c r="DY205"/>
  <c r="FI205" s="1"/>
  <c r="DX205"/>
  <c r="FH205" s="1"/>
  <c r="DW205"/>
  <c r="FG205" s="1"/>
  <c r="DV205"/>
  <c r="FF205" s="1"/>
  <c r="DU205"/>
  <c r="FE205"/>
  <c r="DT205"/>
  <c r="FD205" s="1"/>
  <c r="DS205"/>
  <c r="FC205"/>
  <c r="DR205"/>
  <c r="FB205" s="1"/>
  <c r="DQ205"/>
  <c r="FA205" s="1"/>
  <c r="DP205"/>
  <c r="EZ205" s="1"/>
  <c r="DO205"/>
  <c r="EY205"/>
  <c r="DN205"/>
  <c r="EX205" s="1"/>
  <c r="DM205"/>
  <c r="EW205" s="1"/>
  <c r="DL205"/>
  <c r="EV205" s="1"/>
  <c r="DK205"/>
  <c r="EU205"/>
  <c r="DJ205"/>
  <c r="ET205" s="1"/>
  <c r="DI205"/>
  <c r="ES205" s="1"/>
  <c r="DH205"/>
  <c r="ER205" s="1"/>
  <c r="DG205"/>
  <c r="EQ205" s="1"/>
  <c r="EK205"/>
  <c r="DD205"/>
  <c r="CZ205"/>
  <c r="CM205"/>
  <c r="CL205"/>
  <c r="CK205"/>
  <c r="AY205"/>
  <c r="B205"/>
  <c r="DF204"/>
  <c r="EJ204"/>
  <c r="FT204"/>
  <c r="EI204"/>
  <c r="FS204"/>
  <c r="EH204"/>
  <c r="FR204"/>
  <c r="EG204"/>
  <c r="FQ204"/>
  <c r="EF204"/>
  <c r="FP204"/>
  <c r="EE204"/>
  <c r="FO204"/>
  <c r="ED204"/>
  <c r="FN204"/>
  <c r="EC204"/>
  <c r="FM204"/>
  <c r="EB204"/>
  <c r="FL204"/>
  <c r="EA204"/>
  <c r="FK204"/>
  <c r="DZ204"/>
  <c r="FJ204"/>
  <c r="DY204"/>
  <c r="FI204"/>
  <c r="DX204"/>
  <c r="FH204"/>
  <c r="DW204"/>
  <c r="FG204"/>
  <c r="DV204"/>
  <c r="FF204"/>
  <c r="DU204"/>
  <c r="FE204"/>
  <c r="DT204"/>
  <c r="FD204"/>
  <c r="DS204"/>
  <c r="FC204"/>
  <c r="DR204"/>
  <c r="FB204"/>
  <c r="DQ204"/>
  <c r="FA204"/>
  <c r="DP204"/>
  <c r="EZ204"/>
  <c r="DO204"/>
  <c r="EY204"/>
  <c r="DN204"/>
  <c r="EX204"/>
  <c r="DM204"/>
  <c r="EW204"/>
  <c r="DL204"/>
  <c r="EV204"/>
  <c r="DK204"/>
  <c r="EU204"/>
  <c r="DJ204"/>
  <c r="ET204"/>
  <c r="DI204"/>
  <c r="ES204"/>
  <c r="DH204"/>
  <c r="ER204"/>
  <c r="DG204"/>
  <c r="EQ204"/>
  <c r="DD204"/>
  <c r="DE204" s="1"/>
  <c r="DC204"/>
  <c r="CZ204"/>
  <c r="CM204"/>
  <c r="CL204"/>
  <c r="CK204"/>
  <c r="AY204"/>
  <c r="B204"/>
  <c r="DF203"/>
  <c r="EP203"/>
  <c r="FU203" s="1"/>
  <c r="EJ203"/>
  <c r="FT203" s="1"/>
  <c r="EI203"/>
  <c r="FS203"/>
  <c r="EH203"/>
  <c r="FR203" s="1"/>
  <c r="EG203"/>
  <c r="FQ203"/>
  <c r="EF203"/>
  <c r="FP203" s="1"/>
  <c r="EE203"/>
  <c r="FO203" s="1"/>
  <c r="ED203"/>
  <c r="FN203" s="1"/>
  <c r="EC203"/>
  <c r="FM203"/>
  <c r="EB203"/>
  <c r="FL203" s="1"/>
  <c r="EA203"/>
  <c r="FK203" s="1"/>
  <c r="DZ203"/>
  <c r="FJ203" s="1"/>
  <c r="DY203"/>
  <c r="FI203"/>
  <c r="DX203"/>
  <c r="FH203" s="1"/>
  <c r="DW203"/>
  <c r="FG203" s="1"/>
  <c r="DV203"/>
  <c r="FF203" s="1"/>
  <c r="DU203"/>
  <c r="FE203" s="1"/>
  <c r="DT203"/>
  <c r="FD203" s="1"/>
  <c r="DS203"/>
  <c r="FC203" s="1"/>
  <c r="DR203"/>
  <c r="FB203" s="1"/>
  <c r="DQ203"/>
  <c r="FA203"/>
  <c r="DP203"/>
  <c r="EZ203" s="1"/>
  <c r="DO203"/>
  <c r="EY203" s="1"/>
  <c r="DN203"/>
  <c r="EX203" s="1"/>
  <c r="DM203"/>
  <c r="EW203" s="1"/>
  <c r="DL203"/>
  <c r="EV203" s="1"/>
  <c r="DK203"/>
  <c r="EU203"/>
  <c r="DJ203"/>
  <c r="ET203" s="1"/>
  <c r="DI203"/>
  <c r="ES203"/>
  <c r="DH203"/>
  <c r="ER203" s="1"/>
  <c r="DG203"/>
  <c r="EQ203" s="1"/>
  <c r="EK203"/>
  <c r="DD203"/>
  <c r="DE203"/>
  <c r="DC203"/>
  <c r="CZ203"/>
  <c r="CM203"/>
  <c r="CL203"/>
  <c r="CK203"/>
  <c r="AY203"/>
  <c r="B203"/>
  <c r="DF202"/>
  <c r="EJ202"/>
  <c r="FT202"/>
  <c r="EI202"/>
  <c r="FS202"/>
  <c r="EH202"/>
  <c r="FR202"/>
  <c r="EG202"/>
  <c r="FQ202"/>
  <c r="EF202"/>
  <c r="FP202"/>
  <c r="EE202"/>
  <c r="FO202"/>
  <c r="ED202"/>
  <c r="FN202"/>
  <c r="EC202"/>
  <c r="FM202"/>
  <c r="EB202"/>
  <c r="FL202"/>
  <c r="EA202"/>
  <c r="FK202"/>
  <c r="DZ202"/>
  <c r="FJ202"/>
  <c r="DY202"/>
  <c r="FI202"/>
  <c r="DX202"/>
  <c r="FH202"/>
  <c r="DW202"/>
  <c r="FG202"/>
  <c r="DV202"/>
  <c r="FF202"/>
  <c r="DU202"/>
  <c r="FE202"/>
  <c r="DT202"/>
  <c r="FD202"/>
  <c r="DS202"/>
  <c r="FC202"/>
  <c r="DR202"/>
  <c r="FB202"/>
  <c r="DQ202"/>
  <c r="FA202"/>
  <c r="DP202"/>
  <c r="EZ202"/>
  <c r="DO202"/>
  <c r="EY202"/>
  <c r="DN202"/>
  <c r="EX202"/>
  <c r="DM202"/>
  <c r="EW202"/>
  <c r="DL202"/>
  <c r="EV202"/>
  <c r="DK202"/>
  <c r="EU202"/>
  <c r="DJ202"/>
  <c r="ET202"/>
  <c r="DI202"/>
  <c r="ES202"/>
  <c r="DH202"/>
  <c r="ER202"/>
  <c r="DG202"/>
  <c r="EQ202"/>
  <c r="DD202"/>
  <c r="DC202" s="1"/>
  <c r="DE202"/>
  <c r="CZ202"/>
  <c r="CM202"/>
  <c r="CL202"/>
  <c r="CK202"/>
  <c r="AY202"/>
  <c r="B202"/>
  <c r="DF201"/>
  <c r="EP201" s="1"/>
  <c r="FU201" s="1"/>
  <c r="EJ201"/>
  <c r="FT201" s="1"/>
  <c r="EI201"/>
  <c r="FS201" s="1"/>
  <c r="EH201"/>
  <c r="FR201"/>
  <c r="EG201"/>
  <c r="FQ201" s="1"/>
  <c r="EF201"/>
  <c r="FP201" s="1"/>
  <c r="EE201"/>
  <c r="FO201" s="1"/>
  <c r="ED201"/>
  <c r="FN201" s="1"/>
  <c r="EC201"/>
  <c r="FM201" s="1"/>
  <c r="EB201"/>
  <c r="FL201"/>
  <c r="EA201"/>
  <c r="FK201" s="1"/>
  <c r="DZ201"/>
  <c r="FJ201"/>
  <c r="DY201"/>
  <c r="FI201" s="1"/>
  <c r="DX201"/>
  <c r="FH201" s="1"/>
  <c r="DW201"/>
  <c r="FG201" s="1"/>
  <c r="DV201"/>
  <c r="FF201"/>
  <c r="DU201"/>
  <c r="FE201" s="1"/>
  <c r="DT201"/>
  <c r="FD201" s="1"/>
  <c r="DS201"/>
  <c r="FC201" s="1"/>
  <c r="DR201"/>
  <c r="FB201"/>
  <c r="DQ201"/>
  <c r="FA201" s="1"/>
  <c r="DP201"/>
  <c r="EZ201" s="1"/>
  <c r="DO201"/>
  <c r="EY201" s="1"/>
  <c r="DN201"/>
  <c r="EX201" s="1"/>
  <c r="DM201"/>
  <c r="EW201" s="1"/>
  <c r="DL201"/>
  <c r="EV201" s="1"/>
  <c r="DK201"/>
  <c r="EU201" s="1"/>
  <c r="DJ201"/>
  <c r="ET201"/>
  <c r="DI201"/>
  <c r="ES201" s="1"/>
  <c r="DH201"/>
  <c r="ER201" s="1"/>
  <c r="DG201"/>
  <c r="EQ201" s="1"/>
  <c r="EK201"/>
  <c r="DD201"/>
  <c r="CZ201"/>
  <c r="CM201"/>
  <c r="CL201"/>
  <c r="CK201"/>
  <c r="AY201"/>
  <c r="B201"/>
  <c r="DF200"/>
  <c r="EJ200"/>
  <c r="FT200" s="1"/>
  <c r="EI200"/>
  <c r="FS200"/>
  <c r="EH200"/>
  <c r="FR200" s="1"/>
  <c r="EG200"/>
  <c r="FQ200"/>
  <c r="EF200"/>
  <c r="FP200" s="1"/>
  <c r="EE200"/>
  <c r="FO200"/>
  <c r="ED200"/>
  <c r="FN200" s="1"/>
  <c r="EC200"/>
  <c r="FM200"/>
  <c r="EB200"/>
  <c r="FL200" s="1"/>
  <c r="EA200"/>
  <c r="FK200"/>
  <c r="DZ200"/>
  <c r="FJ200" s="1"/>
  <c r="DY200"/>
  <c r="FI200"/>
  <c r="DX200"/>
  <c r="FH200" s="1"/>
  <c r="DW200"/>
  <c r="FG200"/>
  <c r="DV200"/>
  <c r="FF200" s="1"/>
  <c r="DU200"/>
  <c r="FE200"/>
  <c r="DT200"/>
  <c r="FD200" s="1"/>
  <c r="DS200"/>
  <c r="FC200"/>
  <c r="DR200"/>
  <c r="FB200" s="1"/>
  <c r="DQ200"/>
  <c r="FA200"/>
  <c r="DP200"/>
  <c r="EZ200" s="1"/>
  <c r="DO200"/>
  <c r="EY200"/>
  <c r="DN200"/>
  <c r="EX200" s="1"/>
  <c r="DM200"/>
  <c r="EW200"/>
  <c r="DL200"/>
  <c r="EV200" s="1"/>
  <c r="DK200"/>
  <c r="EU200"/>
  <c r="DJ200"/>
  <c r="ET200" s="1"/>
  <c r="DI200"/>
  <c r="ES200"/>
  <c r="DH200"/>
  <c r="ER200" s="1"/>
  <c r="DG200"/>
  <c r="EQ200"/>
  <c r="DD200"/>
  <c r="DE200" s="1"/>
  <c r="DC200"/>
  <c r="CZ200"/>
  <c r="CM200"/>
  <c r="CL200"/>
  <c r="CK200"/>
  <c r="AY200"/>
  <c r="B200"/>
  <c r="DF199"/>
  <c r="EP199"/>
  <c r="FU199" s="1"/>
  <c r="EJ199"/>
  <c r="FT199" s="1"/>
  <c r="EI199"/>
  <c r="FS199" s="1"/>
  <c r="EH199"/>
  <c r="FR199" s="1"/>
  <c r="EG199"/>
  <c r="FQ199" s="1"/>
  <c r="EF199"/>
  <c r="FP199" s="1"/>
  <c r="EE199"/>
  <c r="FO199"/>
  <c r="ED199"/>
  <c r="FN199" s="1"/>
  <c r="EC199"/>
  <c r="FM199" s="1"/>
  <c r="EB199"/>
  <c r="FL199" s="1"/>
  <c r="EA199"/>
  <c r="FK199" s="1"/>
  <c r="DZ199"/>
  <c r="FJ199" s="1"/>
  <c r="DY199"/>
  <c r="FI199"/>
  <c r="DX199"/>
  <c r="FH199" s="1"/>
  <c r="DW199"/>
  <c r="FG199"/>
  <c r="DV199"/>
  <c r="FF199" s="1"/>
  <c r="DU199"/>
  <c r="FE199" s="1"/>
  <c r="DT199"/>
  <c r="FD199" s="1"/>
  <c r="DS199"/>
  <c r="FC199"/>
  <c r="DR199"/>
  <c r="FB199" s="1"/>
  <c r="DQ199"/>
  <c r="FA199"/>
  <c r="DP199"/>
  <c r="EZ199" s="1"/>
  <c r="DO199"/>
  <c r="EY199"/>
  <c r="DN199"/>
  <c r="EX199" s="1"/>
  <c r="DM199"/>
  <c r="EW199" s="1"/>
  <c r="DL199"/>
  <c r="EV199" s="1"/>
  <c r="DK199"/>
  <c r="EU199"/>
  <c r="DJ199"/>
  <c r="ET199" s="1"/>
  <c r="DI199"/>
  <c r="ES199" s="1"/>
  <c r="DH199"/>
  <c r="ER199" s="1"/>
  <c r="DG199"/>
  <c r="EQ199"/>
  <c r="EK199"/>
  <c r="DD199"/>
  <c r="DE199"/>
  <c r="DC199"/>
  <c r="CZ199"/>
  <c r="CM199"/>
  <c r="CL199"/>
  <c r="CK199"/>
  <c r="AY199"/>
  <c r="B199"/>
  <c r="DF198"/>
  <c r="EK198" s="1"/>
  <c r="EP198"/>
  <c r="FU198" s="1"/>
  <c r="EJ198"/>
  <c r="FT198"/>
  <c r="EI198"/>
  <c r="FS198" s="1"/>
  <c r="EH198"/>
  <c r="FR198"/>
  <c r="EG198"/>
  <c r="FQ198" s="1"/>
  <c r="EF198"/>
  <c r="FP198"/>
  <c r="EE198"/>
  <c r="FO198" s="1"/>
  <c r="ED198"/>
  <c r="FN198"/>
  <c r="EC198"/>
  <c r="FM198" s="1"/>
  <c r="EB198"/>
  <c r="FL198"/>
  <c r="EA198"/>
  <c r="FK198" s="1"/>
  <c r="DZ198"/>
  <c r="FJ198"/>
  <c r="DY198"/>
  <c r="FI198" s="1"/>
  <c r="DX198"/>
  <c r="FH198"/>
  <c r="DW198"/>
  <c r="FG198" s="1"/>
  <c r="DV198"/>
  <c r="FF198"/>
  <c r="DU198"/>
  <c r="FE198" s="1"/>
  <c r="DT198"/>
  <c r="FD198"/>
  <c r="DS198"/>
  <c r="FC198" s="1"/>
  <c r="DR198"/>
  <c r="FB198"/>
  <c r="DQ198"/>
  <c r="FA198" s="1"/>
  <c r="DP198"/>
  <c r="EZ198"/>
  <c r="DO198"/>
  <c r="EY198" s="1"/>
  <c r="DN198"/>
  <c r="EX198"/>
  <c r="DM198"/>
  <c r="EW198" s="1"/>
  <c r="DL198"/>
  <c r="EV198"/>
  <c r="DK198"/>
  <c r="EU198" s="1"/>
  <c r="DJ198"/>
  <c r="ET198"/>
  <c r="DI198"/>
  <c r="ES198" s="1"/>
  <c r="DH198"/>
  <c r="ER198"/>
  <c r="DG198"/>
  <c r="EQ198" s="1"/>
  <c r="DD198"/>
  <c r="DE198" s="1"/>
  <c r="DC198"/>
  <c r="CZ198"/>
  <c r="CM198"/>
  <c r="CL198"/>
  <c r="CK198"/>
  <c r="AY198"/>
  <c r="B198"/>
  <c r="DF197"/>
  <c r="EP197"/>
  <c r="FU197" s="1"/>
  <c r="EJ197"/>
  <c r="FT197" s="1"/>
  <c r="EI197"/>
  <c r="FS197" s="1"/>
  <c r="EH197"/>
  <c r="FR197" s="1"/>
  <c r="EG197"/>
  <c r="FQ197" s="1"/>
  <c r="EF197"/>
  <c r="FP197"/>
  <c r="EE197"/>
  <c r="FO197" s="1"/>
  <c r="ED197"/>
  <c r="FN197" s="1"/>
  <c r="EC197"/>
  <c r="FM197" s="1"/>
  <c r="EB197"/>
  <c r="FL197" s="1"/>
  <c r="EA197"/>
  <c r="FK197" s="1"/>
  <c r="DZ197"/>
  <c r="FJ197"/>
  <c r="DY197"/>
  <c r="FI197" s="1"/>
  <c r="DX197"/>
  <c r="FH197"/>
  <c r="DW197"/>
  <c r="FG197" s="1"/>
  <c r="DV197"/>
  <c r="FF197" s="1"/>
  <c r="DU197"/>
  <c r="FE197" s="1"/>
  <c r="DT197"/>
  <c r="FD197"/>
  <c r="DS197"/>
  <c r="FC197" s="1"/>
  <c r="DR197"/>
  <c r="FB197"/>
  <c r="DQ197"/>
  <c r="FA197" s="1"/>
  <c r="DP197"/>
  <c r="EZ197"/>
  <c r="DO197"/>
  <c r="EY197" s="1"/>
  <c r="DN197"/>
  <c r="EX197" s="1"/>
  <c r="DM197"/>
  <c r="EW197" s="1"/>
  <c r="DL197"/>
  <c r="EV197"/>
  <c r="DK197"/>
  <c r="EU197" s="1"/>
  <c r="DJ197"/>
  <c r="ET197" s="1"/>
  <c r="DI197"/>
  <c r="ES197" s="1"/>
  <c r="DH197"/>
  <c r="ER197"/>
  <c r="DG197"/>
  <c r="EQ197" s="1"/>
  <c r="EK197"/>
  <c r="DD197"/>
  <c r="DC197" s="1"/>
  <c r="DE197"/>
  <c r="CZ197"/>
  <c r="CM197"/>
  <c r="CL197"/>
  <c r="CK197"/>
  <c r="AY197"/>
  <c r="B197"/>
  <c r="DF196"/>
  <c r="EP196" s="1"/>
  <c r="FU196" s="1"/>
  <c r="EJ196"/>
  <c r="FT196"/>
  <c r="EI196"/>
  <c r="FS196"/>
  <c r="EH196"/>
  <c r="FR196"/>
  <c r="EG196"/>
  <c r="FQ196"/>
  <c r="EF196"/>
  <c r="FP196"/>
  <c r="EE196"/>
  <c r="FO196"/>
  <c r="ED196"/>
  <c r="FN196"/>
  <c r="EC196"/>
  <c r="FM196"/>
  <c r="EB196"/>
  <c r="FL196"/>
  <c r="EA196"/>
  <c r="FK196"/>
  <c r="DZ196"/>
  <c r="FJ196"/>
  <c r="DY196"/>
  <c r="FI196"/>
  <c r="DX196"/>
  <c r="FH196"/>
  <c r="DW196"/>
  <c r="FG196"/>
  <c r="DV196"/>
  <c r="FF196"/>
  <c r="DU196"/>
  <c r="FE196"/>
  <c r="DT196"/>
  <c r="FD196"/>
  <c r="DS196"/>
  <c r="FC196"/>
  <c r="DR196"/>
  <c r="FB196"/>
  <c r="DQ196"/>
  <c r="FA196"/>
  <c r="DP196"/>
  <c r="EZ196"/>
  <c r="DO196"/>
  <c r="EY196"/>
  <c r="DN196"/>
  <c r="EX196"/>
  <c r="DM196"/>
  <c r="EW196"/>
  <c r="DL196"/>
  <c r="EV196"/>
  <c r="DK196"/>
  <c r="EU196"/>
  <c r="DJ196"/>
  <c r="ET196"/>
  <c r="DI196"/>
  <c r="ES196"/>
  <c r="DH196"/>
  <c r="ER196"/>
  <c r="DG196"/>
  <c r="EQ196"/>
  <c r="EK196"/>
  <c r="DD196"/>
  <c r="CZ196"/>
  <c r="CM196"/>
  <c r="CL196"/>
  <c r="CK196"/>
  <c r="AY196"/>
  <c r="B196"/>
  <c r="DF195"/>
  <c r="EP195"/>
  <c r="FU195" s="1"/>
  <c r="EJ195"/>
  <c r="FT195" s="1"/>
  <c r="EI195"/>
  <c r="FS195" s="1"/>
  <c r="EH195"/>
  <c r="FR195" s="1"/>
  <c r="EG195"/>
  <c r="FQ195" s="1"/>
  <c r="EF195"/>
  <c r="FP195" s="1"/>
  <c r="EE195"/>
  <c r="FO195" s="1"/>
  <c r="ED195"/>
  <c r="FN195" s="1"/>
  <c r="EC195"/>
  <c r="FM195"/>
  <c r="EB195"/>
  <c r="FL195" s="1"/>
  <c r="EA195"/>
  <c r="FK195" s="1"/>
  <c r="DZ195"/>
  <c r="FJ195" s="1"/>
  <c r="DY195"/>
  <c r="FI195" s="1"/>
  <c r="DX195"/>
  <c r="FH195" s="1"/>
  <c r="DW195"/>
  <c r="FG195"/>
  <c r="DV195"/>
  <c r="FF195" s="1"/>
  <c r="DU195"/>
  <c r="FE195"/>
  <c r="DT195"/>
  <c r="FD195" s="1"/>
  <c r="DS195"/>
  <c r="FC195" s="1"/>
  <c r="DR195"/>
  <c r="FB195" s="1"/>
  <c r="DQ195"/>
  <c r="FA195"/>
  <c r="DP195"/>
  <c r="EZ195" s="1"/>
  <c r="DO195"/>
  <c r="EY195" s="1"/>
  <c r="DN195"/>
  <c r="EX195" s="1"/>
  <c r="DM195"/>
  <c r="EW195"/>
  <c r="DL195"/>
  <c r="EV195" s="1"/>
  <c r="DK195"/>
  <c r="EU195" s="1"/>
  <c r="DJ195"/>
  <c r="ET195" s="1"/>
  <c r="DI195"/>
  <c r="ES195" s="1"/>
  <c r="DH195"/>
  <c r="ER195" s="1"/>
  <c r="DG195"/>
  <c r="EQ195" s="1"/>
  <c r="EK195"/>
  <c r="DD195"/>
  <c r="DE195"/>
  <c r="DC195"/>
  <c r="CZ195"/>
  <c r="CM195"/>
  <c r="CL195"/>
  <c r="CK195"/>
  <c r="AY195"/>
  <c r="B195"/>
  <c r="DF194"/>
  <c r="EJ194"/>
  <c r="FT194"/>
  <c r="EI194"/>
  <c r="FS194" s="1"/>
  <c r="EH194"/>
  <c r="FR194"/>
  <c r="EG194"/>
  <c r="FQ194" s="1"/>
  <c r="EF194"/>
  <c r="FP194"/>
  <c r="EE194"/>
  <c r="FO194" s="1"/>
  <c r="ED194"/>
  <c r="FN194"/>
  <c r="EC194"/>
  <c r="FM194" s="1"/>
  <c r="EB194"/>
  <c r="FL194"/>
  <c r="EA194"/>
  <c r="FK194" s="1"/>
  <c r="DZ194"/>
  <c r="FJ194"/>
  <c r="DY194"/>
  <c r="FI194" s="1"/>
  <c r="DX194"/>
  <c r="FH194"/>
  <c r="DW194"/>
  <c r="FG194" s="1"/>
  <c r="DV194"/>
  <c r="FF194"/>
  <c r="DU194"/>
  <c r="FE194" s="1"/>
  <c r="DT194"/>
  <c r="FD194"/>
  <c r="DS194"/>
  <c r="FC194" s="1"/>
  <c r="DR194"/>
  <c r="FB194"/>
  <c r="DQ194"/>
  <c r="FA194" s="1"/>
  <c r="DP194"/>
  <c r="EZ194"/>
  <c r="DO194"/>
  <c r="EY194" s="1"/>
  <c r="DN194"/>
  <c r="EX194"/>
  <c r="DM194"/>
  <c r="EW194" s="1"/>
  <c r="DL194"/>
  <c r="EV194"/>
  <c r="DK194"/>
  <c r="EU194" s="1"/>
  <c r="DJ194"/>
  <c r="ET194"/>
  <c r="DI194"/>
  <c r="ES194" s="1"/>
  <c r="DH194"/>
  <c r="ER194"/>
  <c r="DG194"/>
  <c r="EQ194" s="1"/>
  <c r="DD194"/>
  <c r="DE194"/>
  <c r="DC194"/>
  <c r="CZ194"/>
  <c r="CM194"/>
  <c r="CL194"/>
  <c r="CK194"/>
  <c r="AY194"/>
  <c r="B194"/>
  <c r="DF193"/>
  <c r="EJ193"/>
  <c r="FT193" s="1"/>
  <c r="EI193"/>
  <c r="FS193" s="1"/>
  <c r="EH193"/>
  <c r="FR193" s="1"/>
  <c r="EG193"/>
  <c r="FQ193" s="1"/>
  <c r="EF193"/>
  <c r="FP193"/>
  <c r="EE193"/>
  <c r="FO193" s="1"/>
  <c r="ED193"/>
  <c r="FN193"/>
  <c r="EC193"/>
  <c r="FM193" s="1"/>
  <c r="EB193"/>
  <c r="FL193" s="1"/>
  <c r="EA193"/>
  <c r="FK193" s="1"/>
  <c r="DZ193"/>
  <c r="FJ193"/>
  <c r="DY193"/>
  <c r="FI193" s="1"/>
  <c r="DX193"/>
  <c r="FH193"/>
  <c r="DW193"/>
  <c r="FG193" s="1"/>
  <c r="DV193"/>
  <c r="FF193"/>
  <c r="DU193"/>
  <c r="FE193" s="1"/>
  <c r="DT193"/>
  <c r="FD193" s="1"/>
  <c r="DS193"/>
  <c r="FC193" s="1"/>
  <c r="DR193"/>
  <c r="FB193"/>
  <c r="DQ193"/>
  <c r="FA193" s="1"/>
  <c r="DP193"/>
  <c r="EZ193" s="1"/>
  <c r="DO193"/>
  <c r="EY193" s="1"/>
  <c r="DN193"/>
  <c r="EX193"/>
  <c r="DM193"/>
  <c r="EW193" s="1"/>
  <c r="DL193"/>
  <c r="EV193" s="1"/>
  <c r="DK193"/>
  <c r="EU193" s="1"/>
  <c r="DJ193"/>
  <c r="ET193" s="1"/>
  <c r="DI193"/>
  <c r="ES193" s="1"/>
  <c r="DH193"/>
  <c r="ER193" s="1"/>
  <c r="DG193"/>
  <c r="EQ193" s="1"/>
  <c r="DD193"/>
  <c r="CZ193"/>
  <c r="CM193"/>
  <c r="CL193"/>
  <c r="CK193"/>
  <c r="AY193"/>
  <c r="B193"/>
  <c r="DF192"/>
  <c r="EJ192"/>
  <c r="FT192" s="1"/>
  <c r="EI192"/>
  <c r="FS192"/>
  <c r="EH192"/>
  <c r="FR192" s="1"/>
  <c r="EG192"/>
  <c r="FQ192"/>
  <c r="EF192"/>
  <c r="FP192" s="1"/>
  <c r="EE192"/>
  <c r="FO192"/>
  <c r="ED192"/>
  <c r="FN192" s="1"/>
  <c r="EC192"/>
  <c r="FM192"/>
  <c r="EB192"/>
  <c r="FL192" s="1"/>
  <c r="EA192"/>
  <c r="FK192"/>
  <c r="DZ192"/>
  <c r="FJ192" s="1"/>
  <c r="DY192"/>
  <c r="FI192"/>
  <c r="DX192"/>
  <c r="FH192" s="1"/>
  <c r="DW192"/>
  <c r="FG192"/>
  <c r="DV192"/>
  <c r="FF192" s="1"/>
  <c r="DU192"/>
  <c r="FE192"/>
  <c r="DT192"/>
  <c r="FD192" s="1"/>
  <c r="DS192"/>
  <c r="FC192"/>
  <c r="DR192"/>
  <c r="FB192" s="1"/>
  <c r="DQ192"/>
  <c r="FA192"/>
  <c r="DP192"/>
  <c r="EZ192" s="1"/>
  <c r="DO192"/>
  <c r="EY192"/>
  <c r="DN192"/>
  <c r="EX192" s="1"/>
  <c r="DM192"/>
  <c r="EW192"/>
  <c r="DL192"/>
  <c r="EV192" s="1"/>
  <c r="DK192"/>
  <c r="EU192"/>
  <c r="DJ192"/>
  <c r="ET192" s="1"/>
  <c r="DI192"/>
  <c r="ES192"/>
  <c r="DH192"/>
  <c r="ER192" s="1"/>
  <c r="DG192"/>
  <c r="EQ192"/>
  <c r="DD192"/>
  <c r="DE192" s="1"/>
  <c r="DC192"/>
  <c r="CZ192"/>
  <c r="CM192"/>
  <c r="CL192"/>
  <c r="CK192"/>
  <c r="AY192"/>
  <c r="B192"/>
  <c r="DF191"/>
  <c r="EP191"/>
  <c r="FU191" s="1"/>
  <c r="EJ191"/>
  <c r="FT191" s="1"/>
  <c r="EI191"/>
  <c r="FS191"/>
  <c r="EH191"/>
  <c r="FR191" s="1"/>
  <c r="EG191"/>
  <c r="FQ191" s="1"/>
  <c r="EF191"/>
  <c r="FP191" s="1"/>
  <c r="EE191"/>
  <c r="FO191" s="1"/>
  <c r="ED191"/>
  <c r="FN191" s="1"/>
  <c r="EC191"/>
  <c r="FM191" s="1"/>
  <c r="EB191"/>
  <c r="FL191" s="1"/>
  <c r="EA191"/>
  <c r="FK191"/>
  <c r="DZ191"/>
  <c r="FJ191" s="1"/>
  <c r="DY191"/>
  <c r="FI191" s="1"/>
  <c r="DX191"/>
  <c r="FH191" s="1"/>
  <c r="DW191"/>
  <c r="FG191" s="1"/>
  <c r="DV191"/>
  <c r="FF191" s="1"/>
  <c r="DU191"/>
  <c r="FE191"/>
  <c r="DT191"/>
  <c r="FD191" s="1"/>
  <c r="DS191"/>
  <c r="FC191"/>
  <c r="DR191"/>
  <c r="FB191" s="1"/>
  <c r="DQ191"/>
  <c r="FA191" s="1"/>
  <c r="DP191"/>
  <c r="EZ191" s="1"/>
  <c r="DO191"/>
  <c r="EY191"/>
  <c r="DN191"/>
  <c r="EX191" s="1"/>
  <c r="DM191"/>
  <c r="EW191" s="1"/>
  <c r="DL191"/>
  <c r="EV191" s="1"/>
  <c r="DK191"/>
  <c r="EU191"/>
  <c r="DJ191"/>
  <c r="ET191" s="1"/>
  <c r="DI191"/>
  <c r="ES191" s="1"/>
  <c r="DH191"/>
  <c r="ER191" s="1"/>
  <c r="DG191"/>
  <c r="EQ191" s="1"/>
  <c r="EK191"/>
  <c r="DD191"/>
  <c r="DE191"/>
  <c r="DC191"/>
  <c r="CZ191"/>
  <c r="CM191"/>
  <c r="CL191"/>
  <c r="CK191"/>
  <c r="AY191"/>
  <c r="B191"/>
  <c r="DF190"/>
  <c r="EK190" s="1"/>
  <c r="EJ190"/>
  <c r="FT190"/>
  <c r="EI190"/>
  <c r="FS190" s="1"/>
  <c r="EH190"/>
  <c r="FR190"/>
  <c r="EG190"/>
  <c r="FQ190" s="1"/>
  <c r="EF190"/>
  <c r="FP190"/>
  <c r="EE190"/>
  <c r="FO190" s="1"/>
  <c r="ED190"/>
  <c r="FN190"/>
  <c r="EC190"/>
  <c r="FM190" s="1"/>
  <c r="EB190"/>
  <c r="FL190"/>
  <c r="EA190"/>
  <c r="FK190" s="1"/>
  <c r="DZ190"/>
  <c r="FJ190"/>
  <c r="DY190"/>
  <c r="FI190" s="1"/>
  <c r="DX190"/>
  <c r="FH190"/>
  <c r="DW190"/>
  <c r="FG190" s="1"/>
  <c r="DV190"/>
  <c r="FF190"/>
  <c r="DU190"/>
  <c r="FE190" s="1"/>
  <c r="DT190"/>
  <c r="FD190"/>
  <c r="DS190"/>
  <c r="FC190" s="1"/>
  <c r="DR190"/>
  <c r="FB190"/>
  <c r="DQ190"/>
  <c r="FA190" s="1"/>
  <c r="DP190"/>
  <c r="EZ190"/>
  <c r="DO190"/>
  <c r="EY190" s="1"/>
  <c r="DN190"/>
  <c r="EX190"/>
  <c r="DM190"/>
  <c r="EW190" s="1"/>
  <c r="DL190"/>
  <c r="EV190"/>
  <c r="DK190"/>
  <c r="EU190" s="1"/>
  <c r="DJ190"/>
  <c r="ET190"/>
  <c r="DI190"/>
  <c r="ES190" s="1"/>
  <c r="DH190"/>
  <c r="ER190"/>
  <c r="DG190"/>
  <c r="EQ190" s="1"/>
  <c r="DD190"/>
  <c r="CZ190"/>
  <c r="CM190"/>
  <c r="CL190"/>
  <c r="CK190"/>
  <c r="AY190"/>
  <c r="B190"/>
  <c r="DF189"/>
  <c r="EP189" s="1"/>
  <c r="FU189" s="1"/>
  <c r="EJ189"/>
  <c r="FT189"/>
  <c r="EI189"/>
  <c r="FS189" s="1"/>
  <c r="EH189"/>
  <c r="FR189" s="1"/>
  <c r="EG189"/>
  <c r="FQ189" s="1"/>
  <c r="EF189"/>
  <c r="FP189" s="1"/>
  <c r="EE189"/>
  <c r="FO189" s="1"/>
  <c r="ED189"/>
  <c r="FN189"/>
  <c r="EC189"/>
  <c r="FM189" s="1"/>
  <c r="EB189"/>
  <c r="FL189"/>
  <c r="EA189"/>
  <c r="FK189" s="1"/>
  <c r="DZ189"/>
  <c r="FJ189" s="1"/>
  <c r="DY189"/>
  <c r="FI189" s="1"/>
  <c r="DX189"/>
  <c r="FH189"/>
  <c r="DW189"/>
  <c r="FG189" s="1"/>
  <c r="DV189"/>
  <c r="FF189"/>
  <c r="DU189"/>
  <c r="FE189" s="1"/>
  <c r="DT189"/>
  <c r="FD189"/>
  <c r="DS189"/>
  <c r="FC189" s="1"/>
  <c r="DR189"/>
  <c r="FB189" s="1"/>
  <c r="DQ189"/>
  <c r="FA189" s="1"/>
  <c r="DP189"/>
  <c r="EZ189"/>
  <c r="DO189"/>
  <c r="EY189" s="1"/>
  <c r="DN189"/>
  <c r="EX189" s="1"/>
  <c r="DM189"/>
  <c r="EW189" s="1"/>
  <c r="DL189"/>
  <c r="EV189"/>
  <c r="DK189"/>
  <c r="EU189" s="1"/>
  <c r="DJ189"/>
  <c r="ET189" s="1"/>
  <c r="DI189"/>
  <c r="ES189" s="1"/>
  <c r="DH189"/>
  <c r="ER189" s="1"/>
  <c r="DG189"/>
  <c r="EQ189" s="1"/>
  <c r="EK189"/>
  <c r="DD189"/>
  <c r="DC189" s="1"/>
  <c r="CZ189"/>
  <c r="CM189"/>
  <c r="CL189"/>
  <c r="CK189"/>
  <c r="AY189"/>
  <c r="B189"/>
  <c r="DF188"/>
  <c r="EJ188"/>
  <c r="FT188" s="1"/>
  <c r="EI188"/>
  <c r="FS188" s="1"/>
  <c r="EH188"/>
  <c r="FR188" s="1"/>
  <c r="EG188"/>
  <c r="FQ188" s="1"/>
  <c r="EF188"/>
  <c r="FP188" s="1"/>
  <c r="EE188"/>
  <c r="FO188" s="1"/>
  <c r="ED188"/>
  <c r="FN188" s="1"/>
  <c r="EC188"/>
  <c r="FM188" s="1"/>
  <c r="EB188"/>
  <c r="FL188"/>
  <c r="EA188"/>
  <c r="FK188" s="1"/>
  <c r="DZ188"/>
  <c r="FJ188" s="1"/>
  <c r="DY188"/>
  <c r="FI188" s="1"/>
  <c r="DX188"/>
  <c r="FH188" s="1"/>
  <c r="DW188"/>
  <c r="FG188" s="1"/>
  <c r="DV188"/>
  <c r="FF188" s="1"/>
  <c r="DU188"/>
  <c r="FE188" s="1"/>
  <c r="DT188"/>
  <c r="FD188" s="1"/>
  <c r="DS188"/>
  <c r="FC188" s="1"/>
  <c r="DR188"/>
  <c r="FB188" s="1"/>
  <c r="DQ188"/>
  <c r="FA188" s="1"/>
  <c r="DP188"/>
  <c r="EZ188" s="1"/>
  <c r="DO188"/>
  <c r="EY188" s="1"/>
  <c r="DN188"/>
  <c r="EX188"/>
  <c r="DM188"/>
  <c r="EW188"/>
  <c r="DL188"/>
  <c r="EV188"/>
  <c r="DK188"/>
  <c r="EU188"/>
  <c r="DJ188"/>
  <c r="ET188"/>
  <c r="DI188"/>
  <c r="ES188"/>
  <c r="DH188"/>
  <c r="ER188"/>
  <c r="DG188"/>
  <c r="EQ188"/>
  <c r="DD188"/>
  <c r="DE188" s="1"/>
  <c r="DC188"/>
  <c r="CZ188"/>
  <c r="CM188"/>
  <c r="CL188"/>
  <c r="CK188"/>
  <c r="AY188"/>
  <c r="B188"/>
  <c r="CX187"/>
  <c r="CZ187"/>
  <c r="DZ187" s="1"/>
  <c r="DH187"/>
  <c r="DP187"/>
  <c r="EZ187" s="1"/>
  <c r="DV187"/>
  <c r="ED187"/>
  <c r="EH187"/>
  <c r="FR187" s="1"/>
  <c r="DD187"/>
  <c r="BA187"/>
  <c r="CM187"/>
  <c r="CL187"/>
  <c r="CK187"/>
  <c r="AY187"/>
  <c r="B179"/>
  <c r="CX186"/>
  <c r="CZ186"/>
  <c r="DJ186"/>
  <c r="DN186"/>
  <c r="DO186"/>
  <c r="DP186"/>
  <c r="DQ186"/>
  <c r="FA186" s="1"/>
  <c r="DR186"/>
  <c r="DS186"/>
  <c r="DT186"/>
  <c r="FD186" s="1"/>
  <c r="DU186"/>
  <c r="DV186"/>
  <c r="DW186"/>
  <c r="DX186"/>
  <c r="DY186"/>
  <c r="FI186" s="1"/>
  <c r="DZ186"/>
  <c r="EA186"/>
  <c r="FK186" s="1"/>
  <c r="EB186"/>
  <c r="EC186"/>
  <c r="FM186" s="1"/>
  <c r="ED186"/>
  <c r="EE186"/>
  <c r="FO186" s="1"/>
  <c r="EF186"/>
  <c r="EG186"/>
  <c r="EH186"/>
  <c r="EI186"/>
  <c r="EJ186"/>
  <c r="DD186"/>
  <c r="BA186"/>
  <c r="CM186"/>
  <c r="CL186"/>
  <c r="CK186"/>
  <c r="AY186"/>
  <c r="B185"/>
  <c r="CX185"/>
  <c r="CZ185"/>
  <c r="DK185"/>
  <c r="DO185"/>
  <c r="DS185"/>
  <c r="DW185"/>
  <c r="EA185"/>
  <c r="EC185"/>
  <c r="EE185"/>
  <c r="FO185" s="1"/>
  <c r="DD185"/>
  <c r="DE185"/>
  <c r="DC185"/>
  <c r="BA185"/>
  <c r="CM185" s="1"/>
  <c r="CL185"/>
  <c r="CK185"/>
  <c r="AY185"/>
  <c r="B186"/>
  <c r="CX184"/>
  <c r="CZ184"/>
  <c r="DF184"/>
  <c r="DL184"/>
  <c r="DT184"/>
  <c r="FD184" s="1"/>
  <c r="EA184"/>
  <c r="EI184"/>
  <c r="FS184" s="1"/>
  <c r="DD184"/>
  <c r="BA184"/>
  <c r="CM184"/>
  <c r="CL184"/>
  <c r="CK184"/>
  <c r="AY184"/>
  <c r="B183"/>
  <c r="CX183"/>
  <c r="CZ183"/>
  <c r="DH183"/>
  <c r="DL183"/>
  <c r="DP183"/>
  <c r="EZ183" s="1"/>
  <c r="DR183"/>
  <c r="DT183"/>
  <c r="FD183" s="1"/>
  <c r="DZ183"/>
  <c r="EF183"/>
  <c r="EH183"/>
  <c r="EJ183"/>
  <c r="DD183"/>
  <c r="DC183" s="1"/>
  <c r="DE183"/>
  <c r="BA183"/>
  <c r="CM183" s="1"/>
  <c r="CL183"/>
  <c r="CK183"/>
  <c r="AY183"/>
  <c r="B182"/>
  <c r="CX182"/>
  <c r="CZ182"/>
  <c r="DF182"/>
  <c r="DG182"/>
  <c r="DH182"/>
  <c r="DI182"/>
  <c r="ES182" s="1"/>
  <c r="DJ182"/>
  <c r="DK182"/>
  <c r="DL182"/>
  <c r="DM182"/>
  <c r="DN182"/>
  <c r="DO182"/>
  <c r="DP182"/>
  <c r="DQ182"/>
  <c r="DR182"/>
  <c r="DS182"/>
  <c r="DT182"/>
  <c r="FD182" s="1"/>
  <c r="DU182"/>
  <c r="DV182"/>
  <c r="DW182"/>
  <c r="DX182"/>
  <c r="DY182"/>
  <c r="DZ182"/>
  <c r="EA182"/>
  <c r="EB182"/>
  <c r="EC182"/>
  <c r="ED182"/>
  <c r="EE182"/>
  <c r="FO182" s="1"/>
  <c r="EF182"/>
  <c r="FP182" s="1"/>
  <c r="EG182"/>
  <c r="EH182"/>
  <c r="FR182" s="1"/>
  <c r="EI182"/>
  <c r="FS182" s="1"/>
  <c r="EJ182"/>
  <c r="DD182"/>
  <c r="BA182"/>
  <c r="CM182"/>
  <c r="CL182"/>
  <c r="CK182"/>
  <c r="AY182"/>
  <c r="B184"/>
  <c r="CX181"/>
  <c r="CZ181"/>
  <c r="DO181"/>
  <c r="DQ181"/>
  <c r="DS181"/>
  <c r="DU181"/>
  <c r="DW181"/>
  <c r="DY181"/>
  <c r="EA181"/>
  <c r="EC181"/>
  <c r="EE181"/>
  <c r="FO181" s="1"/>
  <c r="EG181"/>
  <c r="EI181"/>
  <c r="DD181"/>
  <c r="DE181"/>
  <c r="DC181"/>
  <c r="BA181"/>
  <c r="CM181" s="1"/>
  <c r="CL181"/>
  <c r="CK181"/>
  <c r="AY181"/>
  <c r="B180"/>
  <c r="CX180"/>
  <c r="CZ180"/>
  <c r="DF180"/>
  <c r="DH180"/>
  <c r="DJ180"/>
  <c r="DK180"/>
  <c r="DN180"/>
  <c r="DP180"/>
  <c r="DQ180"/>
  <c r="FA180" s="1"/>
  <c r="DR180"/>
  <c r="DS180"/>
  <c r="DU180"/>
  <c r="DV180"/>
  <c r="DX180"/>
  <c r="FH180" s="1"/>
  <c r="DY180"/>
  <c r="DZ180"/>
  <c r="EA180"/>
  <c r="EC180"/>
  <c r="ED180"/>
  <c r="EF180"/>
  <c r="EG180"/>
  <c r="EH180"/>
  <c r="FR180" s="1"/>
  <c r="EI180"/>
  <c r="DD180"/>
  <c r="DE180" s="1"/>
  <c r="DC180"/>
  <c r="BA180"/>
  <c r="CM180" s="1"/>
  <c r="CL180"/>
  <c r="CK180"/>
  <c r="AY180"/>
  <c r="B178"/>
  <c r="CX179"/>
  <c r="CZ179"/>
  <c r="DP179"/>
  <c r="DR179"/>
  <c r="EF179"/>
  <c r="EH179"/>
  <c r="DD179"/>
  <c r="DC179" s="1"/>
  <c r="BA179"/>
  <c r="CM179"/>
  <c r="CL179"/>
  <c r="CK179"/>
  <c r="AY179"/>
  <c r="B187"/>
  <c r="CX178"/>
  <c r="DH178" s="1"/>
  <c r="CZ178"/>
  <c r="DF178"/>
  <c r="DG178"/>
  <c r="DI178"/>
  <c r="DJ178"/>
  <c r="DK178"/>
  <c r="DL178"/>
  <c r="DN178"/>
  <c r="DO178"/>
  <c r="DP178"/>
  <c r="DQ178"/>
  <c r="DR178"/>
  <c r="DS178"/>
  <c r="DT178"/>
  <c r="DU178"/>
  <c r="DV178"/>
  <c r="DW178"/>
  <c r="DX178"/>
  <c r="FH178" s="1"/>
  <c r="DY178"/>
  <c r="DZ178"/>
  <c r="EA178"/>
  <c r="EB178"/>
  <c r="EC178"/>
  <c r="ED178"/>
  <c r="EE178"/>
  <c r="EF178"/>
  <c r="EG178"/>
  <c r="EH178"/>
  <c r="EI178"/>
  <c r="EJ178"/>
  <c r="DD178"/>
  <c r="DC178" s="1"/>
  <c r="DE178"/>
  <c r="CL178"/>
  <c r="CK178"/>
  <c r="AY178"/>
  <c r="B181"/>
  <c r="CX177"/>
  <c r="CZ177"/>
  <c r="DF177"/>
  <c r="DH177"/>
  <c r="DN177"/>
  <c r="DP177"/>
  <c r="DV177"/>
  <c r="DX177"/>
  <c r="ED177"/>
  <c r="EF177"/>
  <c r="DD177"/>
  <c r="BA177"/>
  <c r="CM177"/>
  <c r="CL177"/>
  <c r="CK177"/>
  <c r="AY177"/>
  <c r="B175"/>
  <c r="CZ176"/>
  <c r="DK176"/>
  <c r="DM176"/>
  <c r="DS176"/>
  <c r="DU176"/>
  <c r="EA176"/>
  <c r="EC176"/>
  <c r="FM176" s="1"/>
  <c r="EI176"/>
  <c r="DD176"/>
  <c r="DE176"/>
  <c r="DC176"/>
  <c r="BA176"/>
  <c r="CM176" s="1"/>
  <c r="CL176"/>
  <c r="CK176"/>
  <c r="AY176"/>
  <c r="B176"/>
  <c r="CZ175"/>
  <c r="DH175"/>
  <c r="DJ175"/>
  <c r="DL175"/>
  <c r="DP175"/>
  <c r="DR175"/>
  <c r="DT175"/>
  <c r="FD175" s="1"/>
  <c r="DX175"/>
  <c r="DZ175"/>
  <c r="EB175"/>
  <c r="EF175"/>
  <c r="EH175"/>
  <c r="EJ175"/>
  <c r="DD175"/>
  <c r="DC175" s="1"/>
  <c r="DE175"/>
  <c r="BA175"/>
  <c r="CM175" s="1"/>
  <c r="CL175"/>
  <c r="CK175"/>
  <c r="AY175"/>
  <c r="B168"/>
  <c r="CZ174"/>
  <c r="DG174"/>
  <c r="DI174"/>
  <c r="ES174" s="1"/>
  <c r="DK174"/>
  <c r="DM174"/>
  <c r="EW174" s="1"/>
  <c r="DO174"/>
  <c r="DQ174"/>
  <c r="DR174"/>
  <c r="DS174"/>
  <c r="FC174" s="1"/>
  <c r="DT174"/>
  <c r="FD174" s="1"/>
  <c r="DU174"/>
  <c r="DV174"/>
  <c r="DW174"/>
  <c r="DX174"/>
  <c r="DY174"/>
  <c r="FI174" s="1"/>
  <c r="DZ174"/>
  <c r="EA174"/>
  <c r="FK174" s="1"/>
  <c r="EB174"/>
  <c r="FL174" s="1"/>
  <c r="EC174"/>
  <c r="FM174" s="1"/>
  <c r="ED174"/>
  <c r="EE174"/>
  <c r="FO174" s="1"/>
  <c r="EF174"/>
  <c r="EG174"/>
  <c r="EH174"/>
  <c r="EI174"/>
  <c r="EJ174"/>
  <c r="DD174"/>
  <c r="DE174" s="1"/>
  <c r="DC174"/>
  <c r="BA174"/>
  <c r="CM174" s="1"/>
  <c r="CL174"/>
  <c r="CK174"/>
  <c r="AY174"/>
  <c r="B172"/>
  <c r="CZ173"/>
  <c r="DF173"/>
  <c r="DG173"/>
  <c r="DH173"/>
  <c r="DI173"/>
  <c r="ES173" s="1"/>
  <c r="DJ173"/>
  <c r="DK173"/>
  <c r="DL173"/>
  <c r="DM173"/>
  <c r="EW173" s="1"/>
  <c r="DN173"/>
  <c r="EX173" s="1"/>
  <c r="DO173"/>
  <c r="DP173"/>
  <c r="DQ173"/>
  <c r="DR173"/>
  <c r="DS173"/>
  <c r="DT173"/>
  <c r="FD173" s="1"/>
  <c r="DU173"/>
  <c r="DV173"/>
  <c r="DW173"/>
  <c r="DX173"/>
  <c r="FH173" s="1"/>
  <c r="DY173"/>
  <c r="DZ173"/>
  <c r="EA173"/>
  <c r="EB173"/>
  <c r="EC173"/>
  <c r="ED173"/>
  <c r="EE173"/>
  <c r="EF173"/>
  <c r="EG173"/>
  <c r="EH173"/>
  <c r="EI173"/>
  <c r="EJ173"/>
  <c r="DD173"/>
  <c r="BA173"/>
  <c r="CM173"/>
  <c r="CL173"/>
  <c r="CK173"/>
  <c r="AY173"/>
  <c r="B171"/>
  <c r="CZ172"/>
  <c r="DD172"/>
  <c r="DE172" s="1"/>
  <c r="DC172"/>
  <c r="BA172"/>
  <c r="CM172" s="1"/>
  <c r="CL172"/>
  <c r="CK172"/>
  <c r="AY172"/>
  <c r="B169"/>
  <c r="CX171"/>
  <c r="CZ171"/>
  <c r="DF171"/>
  <c r="DH171"/>
  <c r="DJ171"/>
  <c r="ET171" s="1"/>
  <c r="DL171"/>
  <c r="DN171"/>
  <c r="DP171"/>
  <c r="DR171"/>
  <c r="DT171"/>
  <c r="FD171" s="1"/>
  <c r="DV171"/>
  <c r="DX171"/>
  <c r="DZ171"/>
  <c r="EB171"/>
  <c r="ED171"/>
  <c r="EF171"/>
  <c r="EH171"/>
  <c r="FR171" s="1"/>
  <c r="EJ171"/>
  <c r="DD171"/>
  <c r="BA171"/>
  <c r="CM171"/>
  <c r="CL171"/>
  <c r="CK171"/>
  <c r="AY171"/>
  <c r="B177"/>
  <c r="CX170"/>
  <c r="CZ170"/>
  <c r="DF170"/>
  <c r="DG170"/>
  <c r="EQ170" s="1"/>
  <c r="DH170"/>
  <c r="DI170"/>
  <c r="ES170" s="1"/>
  <c r="DJ170"/>
  <c r="DK170"/>
  <c r="DL170"/>
  <c r="DM170"/>
  <c r="DN170"/>
  <c r="DO170"/>
  <c r="DP170"/>
  <c r="DQ170"/>
  <c r="FA170" s="1"/>
  <c r="DR170"/>
  <c r="DS170"/>
  <c r="DT170"/>
  <c r="FD170" s="1"/>
  <c r="DU170"/>
  <c r="DV170"/>
  <c r="DW170"/>
  <c r="DX170"/>
  <c r="DY170"/>
  <c r="FI170" s="1"/>
  <c r="DZ170"/>
  <c r="EA170"/>
  <c r="FK170" s="1"/>
  <c r="EB170"/>
  <c r="EC170"/>
  <c r="FM170" s="1"/>
  <c r="ED170"/>
  <c r="EE170"/>
  <c r="FO170" s="1"/>
  <c r="EF170"/>
  <c r="EG170"/>
  <c r="EH170"/>
  <c r="EI170"/>
  <c r="FS170" s="1"/>
  <c r="EJ170"/>
  <c r="DD170"/>
  <c r="DC170" s="1"/>
  <c r="DE170"/>
  <c r="BA170"/>
  <c r="CM170"/>
  <c r="CL170"/>
  <c r="CK170"/>
  <c r="AY170"/>
  <c r="B173"/>
  <c r="CZ169"/>
  <c r="DI169" s="1"/>
  <c r="ES169" s="1"/>
  <c r="DG169"/>
  <c r="DK169"/>
  <c r="DO169"/>
  <c r="DS169"/>
  <c r="DW169"/>
  <c r="EA169"/>
  <c r="FK169" s="1"/>
  <c r="EE169"/>
  <c r="FO169" s="1"/>
  <c r="EI169"/>
  <c r="DD169"/>
  <c r="DE169" s="1"/>
  <c r="DC169"/>
  <c r="BA169"/>
  <c r="CM169"/>
  <c r="CL169"/>
  <c r="CK169"/>
  <c r="AY169"/>
  <c r="B170"/>
  <c r="CX168"/>
  <c r="CZ168"/>
  <c r="DZ168" s="1"/>
  <c r="DJ168"/>
  <c r="DP168"/>
  <c r="EF168"/>
  <c r="DD168"/>
  <c r="DC168" s="1"/>
  <c r="DE168"/>
  <c r="CL168"/>
  <c r="CK168"/>
  <c r="AY168"/>
  <c r="B174"/>
  <c r="CX167"/>
  <c r="CZ167"/>
  <c r="DZ167" s="1"/>
  <c r="DJ167"/>
  <c r="ET167" s="1"/>
  <c r="DK167"/>
  <c r="DP167"/>
  <c r="DU167"/>
  <c r="EA167"/>
  <c r="FK167" s="1"/>
  <c r="EF167"/>
  <c r="DD167"/>
  <c r="DE167" s="1"/>
  <c r="DC167"/>
  <c r="BA167"/>
  <c r="CM167"/>
  <c r="CL167"/>
  <c r="CK167"/>
  <c r="AY167"/>
  <c r="B160"/>
  <c r="CW166"/>
  <c r="CX166"/>
  <c r="CZ166"/>
  <c r="DF166"/>
  <c r="DK166"/>
  <c r="DP166"/>
  <c r="DQ166"/>
  <c r="FA166" s="1"/>
  <c r="DV166"/>
  <c r="EA166"/>
  <c r="EF166"/>
  <c r="EG166"/>
  <c r="DD166"/>
  <c r="BA166"/>
  <c r="CM166"/>
  <c r="CL166"/>
  <c r="CK166"/>
  <c r="AY166"/>
  <c r="B164"/>
  <c r="CZ165"/>
  <c r="DF165"/>
  <c r="DG165"/>
  <c r="DH165"/>
  <c r="DI165"/>
  <c r="ES165" s="1"/>
  <c r="DJ165"/>
  <c r="DK165"/>
  <c r="DL165"/>
  <c r="DM165"/>
  <c r="EW165" s="1"/>
  <c r="DN165"/>
  <c r="DO165"/>
  <c r="DP165"/>
  <c r="DQ165"/>
  <c r="FA165" s="1"/>
  <c r="DR165"/>
  <c r="DS165"/>
  <c r="DT165"/>
  <c r="FD165" s="1"/>
  <c r="DU165"/>
  <c r="DV165"/>
  <c r="DW165"/>
  <c r="DX165"/>
  <c r="DY165"/>
  <c r="DZ165"/>
  <c r="EA165"/>
  <c r="EB165"/>
  <c r="EC165"/>
  <c r="ED165"/>
  <c r="EE165"/>
  <c r="EF165"/>
  <c r="EG165"/>
  <c r="EH165"/>
  <c r="EI165"/>
  <c r="EJ165"/>
  <c r="DD165"/>
  <c r="DE165"/>
  <c r="DC165"/>
  <c r="BA165"/>
  <c r="CM165"/>
  <c r="CL165"/>
  <c r="CK165"/>
  <c r="AY165"/>
  <c r="B167"/>
  <c r="CZ164"/>
  <c r="DJ164" s="1"/>
  <c r="DF164"/>
  <c r="DG164"/>
  <c r="DH164"/>
  <c r="DI164"/>
  <c r="ES164" s="1"/>
  <c r="DK164"/>
  <c r="DL164"/>
  <c r="DN164"/>
  <c r="DO164"/>
  <c r="DP164"/>
  <c r="DQ164"/>
  <c r="FA164" s="1"/>
  <c r="DS164"/>
  <c r="DT164"/>
  <c r="FD164" s="1"/>
  <c r="DV164"/>
  <c r="DW164"/>
  <c r="DX164"/>
  <c r="FH164" s="1"/>
  <c r="DY164"/>
  <c r="EA164"/>
  <c r="EB164"/>
  <c r="ED164"/>
  <c r="EE164"/>
  <c r="FO164" s="1"/>
  <c r="EF164"/>
  <c r="EG164"/>
  <c r="EI164"/>
  <c r="EJ164"/>
  <c r="DD164"/>
  <c r="DE164" s="1"/>
  <c r="DC164"/>
  <c r="BA164"/>
  <c r="CM164"/>
  <c r="CL164"/>
  <c r="CK164"/>
  <c r="AY164"/>
  <c r="B158"/>
  <c r="CZ163"/>
  <c r="DF163"/>
  <c r="DG163"/>
  <c r="EQ163" s="1"/>
  <c r="DH163"/>
  <c r="DI163"/>
  <c r="ES163" s="1"/>
  <c r="DJ163"/>
  <c r="DK163"/>
  <c r="DL163"/>
  <c r="DM163"/>
  <c r="DN163"/>
  <c r="DO163"/>
  <c r="DP163"/>
  <c r="DQ163"/>
  <c r="FA163" s="1"/>
  <c r="DR163"/>
  <c r="DS163"/>
  <c r="DT163"/>
  <c r="FD163" s="1"/>
  <c r="DU163"/>
  <c r="DV163"/>
  <c r="DW163"/>
  <c r="FG163" s="1"/>
  <c r="DX163"/>
  <c r="DY163"/>
  <c r="FI163" s="1"/>
  <c r="DZ163"/>
  <c r="EA163"/>
  <c r="FK163" s="1"/>
  <c r="EB163"/>
  <c r="EC163"/>
  <c r="FM163" s="1"/>
  <c r="ED163"/>
  <c r="EE163"/>
  <c r="FO163" s="1"/>
  <c r="EF163"/>
  <c r="EG163"/>
  <c r="EH163"/>
  <c r="EI163"/>
  <c r="FS163" s="1"/>
  <c r="EJ163"/>
  <c r="DD163"/>
  <c r="BA163"/>
  <c r="CM163"/>
  <c r="CL163"/>
  <c r="CK163"/>
  <c r="AY163"/>
  <c r="B161"/>
  <c r="CZ162"/>
  <c r="DF162"/>
  <c r="DG162"/>
  <c r="DH162"/>
  <c r="DI162"/>
  <c r="ES162" s="1"/>
  <c r="DJ162"/>
  <c r="DK162"/>
  <c r="DL162"/>
  <c r="DM162"/>
  <c r="EW162" s="1"/>
  <c r="DN162"/>
  <c r="EX162" s="1"/>
  <c r="DO162"/>
  <c r="DP162"/>
  <c r="DQ162"/>
  <c r="DR162"/>
  <c r="DS162"/>
  <c r="DT162"/>
  <c r="FD162" s="1"/>
  <c r="DU162"/>
  <c r="DV162"/>
  <c r="DW162"/>
  <c r="DX162"/>
  <c r="FH162" s="1"/>
  <c r="DY162"/>
  <c r="DZ162"/>
  <c r="EA162"/>
  <c r="EB162"/>
  <c r="EC162"/>
  <c r="ED162"/>
  <c r="EE162"/>
  <c r="EF162"/>
  <c r="EG162"/>
  <c r="EH162"/>
  <c r="EI162"/>
  <c r="EJ162"/>
  <c r="DD162"/>
  <c r="DE162" s="1"/>
  <c r="DC162"/>
  <c r="BA162"/>
  <c r="CM162" s="1"/>
  <c r="CL162"/>
  <c r="CK162"/>
  <c r="AY162"/>
  <c r="B165"/>
  <c r="CX161"/>
  <c r="CZ161"/>
  <c r="DP161"/>
  <c r="DV161"/>
  <c r="DD161"/>
  <c r="BA161"/>
  <c r="CM161"/>
  <c r="CL161"/>
  <c r="CK161"/>
  <c r="AY161"/>
  <c r="B163"/>
  <c r="CW160"/>
  <c r="CX160"/>
  <c r="CZ160"/>
  <c r="EB160"/>
  <c r="ED160"/>
  <c r="DD160"/>
  <c r="DC160" s="1"/>
  <c r="DE160"/>
  <c r="BA160"/>
  <c r="CM160"/>
  <c r="CL160"/>
  <c r="CK160"/>
  <c r="AY160"/>
  <c r="B166"/>
  <c r="CX159"/>
  <c r="DH159" s="1"/>
  <c r="CZ159"/>
  <c r="DG159"/>
  <c r="DJ159"/>
  <c r="DN159"/>
  <c r="DO159"/>
  <c r="DP159"/>
  <c r="DQ159"/>
  <c r="FA159" s="1"/>
  <c r="DR159"/>
  <c r="DS159"/>
  <c r="DT159"/>
  <c r="FD159" s="1"/>
  <c r="DU159"/>
  <c r="DV159"/>
  <c r="DW159"/>
  <c r="DX159"/>
  <c r="DY159"/>
  <c r="DZ159"/>
  <c r="EA159"/>
  <c r="EB159"/>
  <c r="EC159"/>
  <c r="ED159"/>
  <c r="EE159"/>
  <c r="FO159" s="1"/>
  <c r="EF159"/>
  <c r="EG159"/>
  <c r="EH159"/>
  <c r="FR159" s="1"/>
  <c r="EI159"/>
  <c r="EJ159"/>
  <c r="DD159"/>
  <c r="DE159"/>
  <c r="DC159"/>
  <c r="CL159"/>
  <c r="CK159"/>
  <c r="AY159"/>
  <c r="B159"/>
  <c r="CZ158"/>
  <c r="DF158"/>
  <c r="DG158"/>
  <c r="DH158"/>
  <c r="DI158"/>
  <c r="ES158" s="1"/>
  <c r="DJ158"/>
  <c r="DK158"/>
  <c r="DL158"/>
  <c r="DM158"/>
  <c r="DN158"/>
  <c r="DO158"/>
  <c r="DP158"/>
  <c r="DQ158"/>
  <c r="DR158"/>
  <c r="DS158"/>
  <c r="DT158"/>
  <c r="FD158" s="1"/>
  <c r="DU158"/>
  <c r="DV158"/>
  <c r="DW158"/>
  <c r="DX158"/>
  <c r="DY158"/>
  <c r="DZ158"/>
  <c r="EA158"/>
  <c r="EB158"/>
  <c r="EC158"/>
  <c r="ED158"/>
  <c r="EE158"/>
  <c r="EF158"/>
  <c r="EG158"/>
  <c r="EH158"/>
  <c r="EI158"/>
  <c r="EJ158"/>
  <c r="DD158"/>
  <c r="DE158"/>
  <c r="DC158"/>
  <c r="CM158"/>
  <c r="CL158"/>
  <c r="CK158"/>
  <c r="AY158"/>
  <c r="B162"/>
  <c r="CZ157"/>
  <c r="DF157"/>
  <c r="DH157"/>
  <c r="DJ157"/>
  <c r="DL157"/>
  <c r="DN157"/>
  <c r="DP157"/>
  <c r="DR157"/>
  <c r="DT157"/>
  <c r="FD157" s="1"/>
  <c r="DV157"/>
  <c r="DX157"/>
  <c r="FH157" s="1"/>
  <c r="DZ157"/>
  <c r="EB157"/>
  <c r="ED157"/>
  <c r="EF157"/>
  <c r="EH157"/>
  <c r="EJ157"/>
  <c r="DD157"/>
  <c r="DC157" s="1"/>
  <c r="DE157"/>
  <c r="BA157"/>
  <c r="CM157" s="1"/>
  <c r="CL157"/>
  <c r="CK157"/>
  <c r="AY157"/>
  <c r="B154"/>
  <c r="CX156"/>
  <c r="DI156" s="1"/>
  <c r="ES156" s="1"/>
  <c r="CZ156"/>
  <c r="DF156"/>
  <c r="DG156"/>
  <c r="DH156"/>
  <c r="DJ156"/>
  <c r="DL156"/>
  <c r="DN156"/>
  <c r="DO156"/>
  <c r="DP156"/>
  <c r="DQ156"/>
  <c r="DR156"/>
  <c r="DS156"/>
  <c r="DT156"/>
  <c r="FD156" s="1"/>
  <c r="DU156"/>
  <c r="DV156"/>
  <c r="DW156"/>
  <c r="DX156"/>
  <c r="DY156"/>
  <c r="DZ156"/>
  <c r="EA156"/>
  <c r="EB156"/>
  <c r="EC156"/>
  <c r="ED156"/>
  <c r="EE156"/>
  <c r="EF156"/>
  <c r="EG156"/>
  <c r="EH156"/>
  <c r="EI156"/>
  <c r="EJ156"/>
  <c r="DD156"/>
  <c r="DC156" s="1"/>
  <c r="DE156"/>
  <c r="BA156"/>
  <c r="CM156"/>
  <c r="CL156"/>
  <c r="CK156"/>
  <c r="AY156"/>
  <c r="B153"/>
  <c r="CZ155"/>
  <c r="DK155" s="1"/>
  <c r="DG155"/>
  <c r="DO155"/>
  <c r="DW155"/>
  <c r="EE155"/>
  <c r="FO155" s="1"/>
  <c r="DD155"/>
  <c r="DE155"/>
  <c r="DC155"/>
  <c r="BA155"/>
  <c r="CM155" s="1"/>
  <c r="CL155"/>
  <c r="CK155"/>
  <c r="AY155"/>
  <c r="B152"/>
  <c r="CZ154"/>
  <c r="DG154" s="1"/>
  <c r="DF154"/>
  <c r="DH154"/>
  <c r="DJ154"/>
  <c r="ET154" s="1"/>
  <c r="DL154"/>
  <c r="DN154"/>
  <c r="EX154" s="1"/>
  <c r="DP154"/>
  <c r="DR154"/>
  <c r="DT154"/>
  <c r="FD154" s="1"/>
  <c r="DV154"/>
  <c r="DX154"/>
  <c r="DZ154"/>
  <c r="EB154"/>
  <c r="ED154"/>
  <c r="EF154"/>
  <c r="EH154"/>
  <c r="FR154" s="1"/>
  <c r="EJ154"/>
  <c r="DD154"/>
  <c r="DC154" s="1"/>
  <c r="DE154"/>
  <c r="BA154"/>
  <c r="CM154"/>
  <c r="CL154"/>
  <c r="CK154"/>
  <c r="AY154"/>
  <c r="B156"/>
  <c r="CZ153"/>
  <c r="DG153"/>
  <c r="DI153"/>
  <c r="ES153" s="1"/>
  <c r="DK153"/>
  <c r="DM153"/>
  <c r="DO153"/>
  <c r="DQ153"/>
  <c r="FA153" s="1"/>
  <c r="DS153"/>
  <c r="DU153"/>
  <c r="DW153"/>
  <c r="DY153"/>
  <c r="EA153"/>
  <c r="EC153"/>
  <c r="FM153" s="1"/>
  <c r="EE153"/>
  <c r="EG153"/>
  <c r="EI153"/>
  <c r="DD153"/>
  <c r="DE153"/>
  <c r="DC153"/>
  <c r="BA153"/>
  <c r="CM153" s="1"/>
  <c r="CL153"/>
  <c r="CK153"/>
  <c r="AY153"/>
  <c r="B155"/>
  <c r="CZ152"/>
  <c r="DG152" s="1"/>
  <c r="DF152"/>
  <c r="DH152"/>
  <c r="DJ152"/>
  <c r="DL152"/>
  <c r="DN152"/>
  <c r="DP152"/>
  <c r="DR152"/>
  <c r="DT152"/>
  <c r="FD152" s="1"/>
  <c r="DV152"/>
  <c r="DX152"/>
  <c r="FH152" s="1"/>
  <c r="DZ152"/>
  <c r="EB152"/>
  <c r="ED152"/>
  <c r="EF152"/>
  <c r="EH152"/>
  <c r="EJ152"/>
  <c r="DD152"/>
  <c r="DC152" s="1"/>
  <c r="DE152"/>
  <c r="BA152"/>
  <c r="CM152"/>
  <c r="CL152"/>
  <c r="CK152"/>
  <c r="AY152"/>
  <c r="B148"/>
  <c r="CZ151"/>
  <c r="DK151" s="1"/>
  <c r="DG151"/>
  <c r="EQ151" s="1"/>
  <c r="DO151"/>
  <c r="DW151"/>
  <c r="EE151"/>
  <c r="DD151"/>
  <c r="DE151"/>
  <c r="DC151"/>
  <c r="BA151"/>
  <c r="CM151" s="1"/>
  <c r="CL151"/>
  <c r="CK151"/>
  <c r="AY151"/>
  <c r="B149"/>
  <c r="CZ150"/>
  <c r="DG150" s="1"/>
  <c r="EQ150" s="1"/>
  <c r="DF150"/>
  <c r="DH150"/>
  <c r="DJ150"/>
  <c r="DL150"/>
  <c r="DN150"/>
  <c r="DP150"/>
  <c r="DR150"/>
  <c r="DT150"/>
  <c r="FD150" s="1"/>
  <c r="DV150"/>
  <c r="DX150"/>
  <c r="DZ150"/>
  <c r="EB150"/>
  <c r="FL150" s="1"/>
  <c r="ED150"/>
  <c r="EF150"/>
  <c r="FP150" s="1"/>
  <c r="EH150"/>
  <c r="EJ150"/>
  <c r="DD150"/>
  <c r="DC150" s="1"/>
  <c r="DE150"/>
  <c r="BA150"/>
  <c r="CM150"/>
  <c r="CL150"/>
  <c r="CK150"/>
  <c r="AY150"/>
  <c r="B157"/>
  <c r="CW149"/>
  <c r="CX149"/>
  <c r="CZ149"/>
  <c r="DF149"/>
  <c r="DH149"/>
  <c r="DJ149"/>
  <c r="DL149"/>
  <c r="DN149"/>
  <c r="DP149"/>
  <c r="EZ149" s="1"/>
  <c r="DR149"/>
  <c r="DT149"/>
  <c r="FD149" s="1"/>
  <c r="DV149"/>
  <c r="DX149"/>
  <c r="DZ149"/>
  <c r="EB149"/>
  <c r="ED149"/>
  <c r="EF149"/>
  <c r="EH149"/>
  <c r="EJ149"/>
  <c r="DD149"/>
  <c r="CM149"/>
  <c r="CL149"/>
  <c r="CK149"/>
  <c r="AY149"/>
  <c r="B151"/>
  <c r="CZ148"/>
  <c r="DF148"/>
  <c r="DJ148"/>
  <c r="ET148" s="1"/>
  <c r="DN148"/>
  <c r="DR148"/>
  <c r="DV148"/>
  <c r="DZ148"/>
  <c r="ED148"/>
  <c r="EH148"/>
  <c r="DD148"/>
  <c r="CL148"/>
  <c r="CK148"/>
  <c r="AY148"/>
  <c r="B150"/>
  <c r="CZ147"/>
  <c r="DF147"/>
  <c r="DH147"/>
  <c r="DJ147"/>
  <c r="DL147"/>
  <c r="DN147"/>
  <c r="DP147"/>
  <c r="DR147"/>
  <c r="DT147"/>
  <c r="FD147" s="1"/>
  <c r="DV147"/>
  <c r="DX147"/>
  <c r="DZ147"/>
  <c r="EB147"/>
  <c r="FL147" s="1"/>
  <c r="ED147"/>
  <c r="EF147"/>
  <c r="EH147"/>
  <c r="EJ147"/>
  <c r="DD147"/>
  <c r="BA147"/>
  <c r="CM147"/>
  <c r="CL147"/>
  <c r="CK147"/>
  <c r="AY147"/>
  <c r="B141"/>
  <c r="CX146"/>
  <c r="CZ146"/>
  <c r="DG146" s="1"/>
  <c r="DF146"/>
  <c r="DH146"/>
  <c r="DJ146"/>
  <c r="ET146" s="1"/>
  <c r="DL146"/>
  <c r="DN146"/>
  <c r="EX146" s="1"/>
  <c r="DP146"/>
  <c r="DR146"/>
  <c r="DT146"/>
  <c r="FD146" s="1"/>
  <c r="DV146"/>
  <c r="DX146"/>
  <c r="DZ146"/>
  <c r="EB146"/>
  <c r="ED146"/>
  <c r="EF146"/>
  <c r="EH146"/>
  <c r="FR146" s="1"/>
  <c r="EJ146"/>
  <c r="DD146"/>
  <c r="DC146" s="1"/>
  <c r="DE146"/>
  <c r="BA146"/>
  <c r="CM146"/>
  <c r="CL146"/>
  <c r="CK146"/>
  <c r="AY146"/>
  <c r="B143"/>
  <c r="CX145"/>
  <c r="CZ145"/>
  <c r="DI145"/>
  <c r="ES145" s="1"/>
  <c r="DM145"/>
  <c r="EW145" s="1"/>
  <c r="DN145"/>
  <c r="EX145" s="1"/>
  <c r="DO145"/>
  <c r="DP145"/>
  <c r="DQ145"/>
  <c r="FA145" s="1"/>
  <c r="DR145"/>
  <c r="DS145"/>
  <c r="DT145"/>
  <c r="FD145" s="1"/>
  <c r="DU145"/>
  <c r="DV145"/>
  <c r="DW145"/>
  <c r="DX145"/>
  <c r="FH145" s="1"/>
  <c r="DY145"/>
  <c r="DZ145"/>
  <c r="EA145"/>
  <c r="EB145"/>
  <c r="EC145"/>
  <c r="ED145"/>
  <c r="EE145"/>
  <c r="EF145"/>
  <c r="EG145"/>
  <c r="EH145"/>
  <c r="EI145"/>
  <c r="EJ145"/>
  <c r="DD145"/>
  <c r="DE145"/>
  <c r="DC145"/>
  <c r="BA145"/>
  <c r="CM145"/>
  <c r="CL145"/>
  <c r="CK145"/>
  <c r="AY145"/>
  <c r="B139"/>
  <c r="CX144"/>
  <c r="CZ144"/>
  <c r="DG144"/>
  <c r="EQ144" s="1"/>
  <c r="DK144"/>
  <c r="DO144"/>
  <c r="DS144"/>
  <c r="DW144"/>
  <c r="FG144" s="1"/>
  <c r="EA144"/>
  <c r="EE144"/>
  <c r="EI144"/>
  <c r="DD144"/>
  <c r="DE144"/>
  <c r="DC144"/>
  <c r="BA144"/>
  <c r="CM144" s="1"/>
  <c r="CL144"/>
  <c r="CK144"/>
  <c r="AY144"/>
  <c r="B144"/>
  <c r="CZ143"/>
  <c r="DG143" s="1"/>
  <c r="EQ143" s="1"/>
  <c r="DF143"/>
  <c r="DH143"/>
  <c r="DJ143"/>
  <c r="DL143"/>
  <c r="DN143"/>
  <c r="DP143"/>
  <c r="DR143"/>
  <c r="DT143"/>
  <c r="FD143" s="1"/>
  <c r="DV143"/>
  <c r="DW143"/>
  <c r="DX143"/>
  <c r="DY143"/>
  <c r="DZ143"/>
  <c r="EA143"/>
  <c r="EB143"/>
  <c r="EC143"/>
  <c r="ED143"/>
  <c r="EE143"/>
  <c r="EF143"/>
  <c r="EG143"/>
  <c r="EH143"/>
  <c r="EI143"/>
  <c r="EJ143"/>
  <c r="DD143"/>
  <c r="DC143" s="1"/>
  <c r="DE143"/>
  <c r="BA143"/>
  <c r="CM143"/>
  <c r="CL143"/>
  <c r="CK143"/>
  <c r="AY143"/>
  <c r="B142"/>
  <c r="CX142"/>
  <c r="CZ142"/>
  <c r="DI142"/>
  <c r="ES142" s="1"/>
  <c r="DM142"/>
  <c r="DN142"/>
  <c r="DO142"/>
  <c r="DP142"/>
  <c r="DQ142"/>
  <c r="FA142" s="1"/>
  <c r="DR142"/>
  <c r="DS142"/>
  <c r="FC142" s="1"/>
  <c r="DT142"/>
  <c r="FD142" s="1"/>
  <c r="DU142"/>
  <c r="DV142"/>
  <c r="DW142"/>
  <c r="DX142"/>
  <c r="DY142"/>
  <c r="DZ142"/>
  <c r="EA142"/>
  <c r="EB142"/>
  <c r="EC142"/>
  <c r="ED142"/>
  <c r="EE142"/>
  <c r="FO142" s="1"/>
  <c r="EF142"/>
  <c r="FP142" s="1"/>
  <c r="EG142"/>
  <c r="EH142"/>
  <c r="FR142" s="1"/>
  <c r="EI142"/>
  <c r="FS142" s="1"/>
  <c r="EJ142"/>
  <c r="DD142"/>
  <c r="DE142"/>
  <c r="DC142"/>
  <c r="BA142"/>
  <c r="CM142"/>
  <c r="CL142"/>
  <c r="CK142"/>
  <c r="AY142"/>
  <c r="B146"/>
  <c r="CW141"/>
  <c r="CX141"/>
  <c r="CZ141"/>
  <c r="DI141"/>
  <c r="ES141" s="1"/>
  <c r="DM141"/>
  <c r="EW141" s="1"/>
  <c r="DO141"/>
  <c r="DQ141"/>
  <c r="DS141"/>
  <c r="DU141"/>
  <c r="DW141"/>
  <c r="DY141"/>
  <c r="FI141" s="1"/>
  <c r="EA141"/>
  <c r="EC141"/>
  <c r="EE141"/>
  <c r="FO141" s="1"/>
  <c r="EG141"/>
  <c r="EI141"/>
  <c r="DD141"/>
  <c r="DE141"/>
  <c r="DC141"/>
  <c r="BA141"/>
  <c r="CM141"/>
  <c r="CL141"/>
  <c r="CK141"/>
  <c r="AY141"/>
  <c r="B147"/>
  <c r="CW140"/>
  <c r="CX140"/>
  <c r="CZ140"/>
  <c r="DO140"/>
  <c r="DQ140"/>
  <c r="FA140" s="1"/>
  <c r="DS140"/>
  <c r="DU140"/>
  <c r="DW140"/>
  <c r="DY140"/>
  <c r="EA140"/>
  <c r="EC140"/>
  <c r="EE140"/>
  <c r="FO140" s="1"/>
  <c r="EG140"/>
  <c r="EI140"/>
  <c r="DD140"/>
  <c r="DE140"/>
  <c r="DC140"/>
  <c r="BA140"/>
  <c r="CM140"/>
  <c r="CL140"/>
  <c r="CK140"/>
  <c r="AY140"/>
  <c r="B145"/>
  <c r="CZ139"/>
  <c r="DJ139" s="1"/>
  <c r="ET139" s="1"/>
  <c r="DF139"/>
  <c r="DG139"/>
  <c r="DH139"/>
  <c r="DI139"/>
  <c r="ES139" s="1"/>
  <c r="DK139"/>
  <c r="DL139"/>
  <c r="DN139"/>
  <c r="DO139"/>
  <c r="DP139"/>
  <c r="DQ139"/>
  <c r="DS139"/>
  <c r="DT139"/>
  <c r="FD139" s="1"/>
  <c r="DV139"/>
  <c r="DW139"/>
  <c r="DX139"/>
  <c r="DY139"/>
  <c r="EA139"/>
  <c r="EB139"/>
  <c r="ED139"/>
  <c r="EE139"/>
  <c r="FO139" s="1"/>
  <c r="EF139"/>
  <c r="EG139"/>
  <c r="EI139"/>
  <c r="EJ139"/>
  <c r="DD139"/>
  <c r="DE139" s="1"/>
  <c r="DC139"/>
  <c r="BA139"/>
  <c r="CM139"/>
  <c r="CL139"/>
  <c r="CK139"/>
  <c r="AY139"/>
  <c r="B140"/>
  <c r="CZ138"/>
  <c r="DF138"/>
  <c r="DG138"/>
  <c r="DH138"/>
  <c r="DI138"/>
  <c r="DJ138"/>
  <c r="DK138"/>
  <c r="DL138"/>
  <c r="DM138"/>
  <c r="DN138"/>
  <c r="DO138"/>
  <c r="DP138"/>
  <c r="DQ138"/>
  <c r="DR138"/>
  <c r="DS138"/>
  <c r="DT138"/>
  <c r="DU138"/>
  <c r="DV138"/>
  <c r="DW138"/>
  <c r="DX138"/>
  <c r="DY138"/>
  <c r="DZ138"/>
  <c r="EA138"/>
  <c r="EB138"/>
  <c r="EC138"/>
  <c r="ED138"/>
  <c r="EE138"/>
  <c r="EF138"/>
  <c r="EG138"/>
  <c r="EH138"/>
  <c r="EI138"/>
  <c r="EJ138"/>
  <c r="DD138"/>
  <c r="CL138"/>
  <c r="CK138"/>
  <c r="AY138"/>
  <c r="B138"/>
  <c r="CZ137"/>
  <c r="DF137"/>
  <c r="DG137"/>
  <c r="EQ137" s="1"/>
  <c r="DH137"/>
  <c r="DI137"/>
  <c r="ES137" s="1"/>
  <c r="DJ137"/>
  <c r="DK137"/>
  <c r="DL137"/>
  <c r="DM137"/>
  <c r="DN137"/>
  <c r="DO137"/>
  <c r="DP137"/>
  <c r="DQ137"/>
  <c r="FA137" s="1"/>
  <c r="DR137"/>
  <c r="DS137"/>
  <c r="DT137"/>
  <c r="FD137" s="1"/>
  <c r="DU137"/>
  <c r="DV137"/>
  <c r="DW137"/>
  <c r="DX137"/>
  <c r="DY137"/>
  <c r="FI137" s="1"/>
  <c r="DZ137"/>
  <c r="EA137"/>
  <c r="FK137" s="1"/>
  <c r="EB137"/>
  <c r="EC137"/>
  <c r="FM137" s="1"/>
  <c r="ED137"/>
  <c r="EE137"/>
  <c r="FO137" s="1"/>
  <c r="EF137"/>
  <c r="EG137"/>
  <c r="EH137"/>
  <c r="EI137"/>
  <c r="FS137" s="1"/>
  <c r="EJ137"/>
  <c r="DD137"/>
  <c r="DE137"/>
  <c r="DC137"/>
  <c r="BA137"/>
  <c r="CM137" s="1"/>
  <c r="CL137"/>
  <c r="CK137"/>
  <c r="AY137"/>
  <c r="B133"/>
  <c r="CZ136"/>
  <c r="DG136" s="1"/>
  <c r="DF136"/>
  <c r="DH136"/>
  <c r="DJ136"/>
  <c r="DL136"/>
  <c r="DN136"/>
  <c r="DP136"/>
  <c r="DR136"/>
  <c r="DT136"/>
  <c r="FD136" s="1"/>
  <c r="DV136"/>
  <c r="DX136"/>
  <c r="FH136" s="1"/>
  <c r="DZ136"/>
  <c r="EB136"/>
  <c r="ED136"/>
  <c r="EF136"/>
  <c r="EH136"/>
  <c r="EJ136"/>
  <c r="DD136"/>
  <c r="DC136" s="1"/>
  <c r="DE136"/>
  <c r="BA136"/>
  <c r="CM136"/>
  <c r="CL136"/>
  <c r="CK136"/>
  <c r="AY136"/>
  <c r="B136"/>
  <c r="CW135"/>
  <c r="CX135"/>
  <c r="CZ135"/>
  <c r="DF135"/>
  <c r="DH135"/>
  <c r="DJ135"/>
  <c r="DL135"/>
  <c r="DN135"/>
  <c r="DP135"/>
  <c r="DR135"/>
  <c r="DT135"/>
  <c r="FD135" s="1"/>
  <c r="DV135"/>
  <c r="DX135"/>
  <c r="DZ135"/>
  <c r="EB135"/>
  <c r="ED135"/>
  <c r="EF135"/>
  <c r="EH135"/>
  <c r="FR135" s="1"/>
  <c r="EJ135"/>
  <c r="DD135"/>
  <c r="DC135" s="1"/>
  <c r="BA135"/>
  <c r="CM135"/>
  <c r="CL135"/>
  <c r="CK135"/>
  <c r="AY135"/>
  <c r="B128"/>
  <c r="CW134"/>
  <c r="CX134"/>
  <c r="CZ134"/>
  <c r="DF134"/>
  <c r="DJ134"/>
  <c r="DN134"/>
  <c r="EX134" s="1"/>
  <c r="DR134"/>
  <c r="DV134"/>
  <c r="DZ134"/>
  <c r="ED134"/>
  <c r="EH134"/>
  <c r="DD134"/>
  <c r="DC134" s="1"/>
  <c r="BA134"/>
  <c r="CM134"/>
  <c r="CL134"/>
  <c r="CK134"/>
  <c r="AY134"/>
  <c r="B135"/>
  <c r="CZ133"/>
  <c r="DG133" s="1"/>
  <c r="DD133"/>
  <c r="DE133"/>
  <c r="DC133"/>
  <c r="BA133"/>
  <c r="CM133" s="1"/>
  <c r="CL133"/>
  <c r="CK133"/>
  <c r="AY133"/>
  <c r="B132"/>
  <c r="CX132"/>
  <c r="CZ132"/>
  <c r="DF132"/>
  <c r="EP132" s="1"/>
  <c r="DH132"/>
  <c r="DJ132"/>
  <c r="DL132"/>
  <c r="DN132"/>
  <c r="EX132" s="1"/>
  <c r="DP132"/>
  <c r="DR132"/>
  <c r="DT132"/>
  <c r="FD132" s="1"/>
  <c r="DV132"/>
  <c r="DX132"/>
  <c r="DZ132"/>
  <c r="EB132"/>
  <c r="ED132"/>
  <c r="EF132"/>
  <c r="EH132"/>
  <c r="FR132" s="1"/>
  <c r="EJ132"/>
  <c r="DD132"/>
  <c r="BA132"/>
  <c r="CM132" s="1"/>
  <c r="CL132"/>
  <c r="CK132"/>
  <c r="AY132"/>
  <c r="B130"/>
  <c r="CZ131"/>
  <c r="DF131"/>
  <c r="EP131" s="1"/>
  <c r="DG131"/>
  <c r="DH131"/>
  <c r="DI131"/>
  <c r="ES131" s="1"/>
  <c r="DJ131"/>
  <c r="DK131"/>
  <c r="DL131"/>
  <c r="DM131"/>
  <c r="EW131" s="1"/>
  <c r="DN131"/>
  <c r="DO131"/>
  <c r="DP131"/>
  <c r="DQ131"/>
  <c r="FA131" s="1"/>
  <c r="DR131"/>
  <c r="DS131"/>
  <c r="DT131"/>
  <c r="FD131" s="1"/>
  <c r="DU131"/>
  <c r="DV131"/>
  <c r="DW131"/>
  <c r="DX131"/>
  <c r="DY131"/>
  <c r="DZ131"/>
  <c r="EA131"/>
  <c r="EB131"/>
  <c r="EC131"/>
  <c r="ED131"/>
  <c r="EE131"/>
  <c r="EF131"/>
  <c r="EG131"/>
  <c r="EH131"/>
  <c r="EI131"/>
  <c r="EJ131"/>
  <c r="DD131"/>
  <c r="DE131"/>
  <c r="DC131"/>
  <c r="BA131"/>
  <c r="CM131"/>
  <c r="CL131"/>
  <c r="CK131"/>
  <c r="AY131"/>
  <c r="B134"/>
  <c r="CX130"/>
  <c r="DG130" s="1"/>
  <c r="CZ130"/>
  <c r="DI130"/>
  <c r="ES130" s="1"/>
  <c r="DM130"/>
  <c r="EW130" s="1"/>
  <c r="DQ130"/>
  <c r="DU130"/>
  <c r="DY130"/>
  <c r="EC130"/>
  <c r="EG130"/>
  <c r="DD130"/>
  <c r="DE130"/>
  <c r="DC130"/>
  <c r="BA130"/>
  <c r="CM130" s="1"/>
  <c r="CL130"/>
  <c r="CK130"/>
  <c r="AY130"/>
  <c r="B131"/>
  <c r="CX129"/>
  <c r="CZ129"/>
  <c r="DH129" s="1"/>
  <c r="DF129"/>
  <c r="DJ129"/>
  <c r="DN129"/>
  <c r="EX129" s="1"/>
  <c r="DR129"/>
  <c r="DV129"/>
  <c r="DZ129"/>
  <c r="ED129"/>
  <c r="EH129"/>
  <c r="DD129"/>
  <c r="BA129"/>
  <c r="CM129" s="1"/>
  <c r="CL129"/>
  <c r="CK129"/>
  <c r="AY129"/>
  <c r="B129"/>
  <c r="CW128"/>
  <c r="CX128"/>
  <c r="CZ128"/>
  <c r="DH128"/>
  <c r="DL128"/>
  <c r="DP128"/>
  <c r="DT128"/>
  <c r="DX128"/>
  <c r="EB128"/>
  <c r="EF128"/>
  <c r="EJ128"/>
  <c r="DD128"/>
  <c r="CL128"/>
  <c r="CK128"/>
  <c r="AY128"/>
  <c r="B137"/>
  <c r="CX127"/>
  <c r="CZ127"/>
  <c r="DD127"/>
  <c r="DE127"/>
  <c r="DC127"/>
  <c r="BA127"/>
  <c r="CM127" s="1"/>
  <c r="CL127"/>
  <c r="CK127"/>
  <c r="AY127"/>
  <c r="B120"/>
  <c r="CX126"/>
  <c r="CZ126"/>
  <c r="DF126"/>
  <c r="DH126"/>
  <c r="DJ126"/>
  <c r="DL126"/>
  <c r="DN126"/>
  <c r="EX126" s="1"/>
  <c r="DP126"/>
  <c r="DR126"/>
  <c r="DT126"/>
  <c r="FD126" s="1"/>
  <c r="DV126"/>
  <c r="DX126"/>
  <c r="DZ126"/>
  <c r="EB126"/>
  <c r="ED126"/>
  <c r="EF126"/>
  <c r="EH126"/>
  <c r="FR126" s="1"/>
  <c r="EJ126"/>
  <c r="DD126"/>
  <c r="BA126"/>
  <c r="CM126" s="1"/>
  <c r="CL126"/>
  <c r="CK126"/>
  <c r="AY126"/>
  <c r="B119"/>
  <c r="CX125"/>
  <c r="CZ125"/>
  <c r="DG125" s="1"/>
  <c r="DF125"/>
  <c r="DH125"/>
  <c r="DJ125"/>
  <c r="DL125"/>
  <c r="DN125"/>
  <c r="DP125"/>
  <c r="DR125"/>
  <c r="DT125"/>
  <c r="FD125" s="1"/>
  <c r="DV125"/>
  <c r="DX125"/>
  <c r="DZ125"/>
  <c r="EB125"/>
  <c r="ED125"/>
  <c r="EF125"/>
  <c r="EH125"/>
  <c r="FR125" s="1"/>
  <c r="EJ125"/>
  <c r="DD125"/>
  <c r="DC125" s="1"/>
  <c r="BA125"/>
  <c r="CM125"/>
  <c r="CL125"/>
  <c r="CK125"/>
  <c r="AY125"/>
  <c r="B121"/>
  <c r="CX124"/>
  <c r="DI124" s="1"/>
  <c r="ES124" s="1"/>
  <c r="CZ124"/>
  <c r="DN124"/>
  <c r="DO124"/>
  <c r="DP124"/>
  <c r="DQ124"/>
  <c r="DR124"/>
  <c r="DS124"/>
  <c r="DT124"/>
  <c r="FD124" s="1"/>
  <c r="DU124"/>
  <c r="DV124"/>
  <c r="DW124"/>
  <c r="DX124"/>
  <c r="DY124"/>
  <c r="FI124" s="1"/>
  <c r="DZ124"/>
  <c r="EA124"/>
  <c r="FK124" s="1"/>
  <c r="EB124"/>
  <c r="EC124"/>
  <c r="FM124" s="1"/>
  <c r="ED124"/>
  <c r="EE124"/>
  <c r="FO124" s="1"/>
  <c r="EF124"/>
  <c r="EG124"/>
  <c r="EH124"/>
  <c r="EI124"/>
  <c r="FS124" s="1"/>
  <c r="EJ124"/>
  <c r="DD124"/>
  <c r="DE124"/>
  <c r="DC124"/>
  <c r="BA124"/>
  <c r="CM124"/>
  <c r="CL124"/>
  <c r="CK124"/>
  <c r="AY124"/>
  <c r="B122"/>
  <c r="CX123"/>
  <c r="CZ123"/>
  <c r="DD123"/>
  <c r="DE123"/>
  <c r="DC123"/>
  <c r="BA123"/>
  <c r="CM123" s="1"/>
  <c r="CL123"/>
  <c r="CK123"/>
  <c r="AY123"/>
  <c r="B118"/>
  <c r="CX122"/>
  <c r="CZ122"/>
  <c r="DF122"/>
  <c r="EP122" s="1"/>
  <c r="DH122"/>
  <c r="DJ122"/>
  <c r="DL122"/>
  <c r="DN122"/>
  <c r="DP122"/>
  <c r="DR122"/>
  <c r="DT122"/>
  <c r="FD122" s="1"/>
  <c r="DV122"/>
  <c r="DX122"/>
  <c r="FH122" s="1"/>
  <c r="DZ122"/>
  <c r="EB122"/>
  <c r="ED122"/>
  <c r="EF122"/>
  <c r="EH122"/>
  <c r="EJ122"/>
  <c r="DD122"/>
  <c r="BA122"/>
  <c r="CM122" s="1"/>
  <c r="CL122"/>
  <c r="CK122"/>
  <c r="AY122"/>
  <c r="B123"/>
  <c r="CW121"/>
  <c r="CX121"/>
  <c r="CZ121"/>
  <c r="DD121"/>
  <c r="BA121"/>
  <c r="CM121"/>
  <c r="CL121"/>
  <c r="CK121"/>
  <c r="AY121"/>
  <c r="B124"/>
  <c r="CZ120"/>
  <c r="DF120"/>
  <c r="DG120"/>
  <c r="DH120"/>
  <c r="DI120"/>
  <c r="ES120" s="1"/>
  <c r="DJ120"/>
  <c r="ET120" s="1"/>
  <c r="DK120"/>
  <c r="DL120"/>
  <c r="DM120"/>
  <c r="DN120"/>
  <c r="DO120"/>
  <c r="DP120"/>
  <c r="DQ120"/>
  <c r="DR120"/>
  <c r="DS120"/>
  <c r="DT120"/>
  <c r="FD120" s="1"/>
  <c r="DU120"/>
  <c r="DV120"/>
  <c r="DW120"/>
  <c r="DX120"/>
  <c r="DY120"/>
  <c r="DZ120"/>
  <c r="EA120"/>
  <c r="EB120"/>
  <c r="EC120"/>
  <c r="ED120"/>
  <c r="EE120"/>
  <c r="FO120" s="1"/>
  <c r="EF120"/>
  <c r="EG120"/>
  <c r="EH120"/>
  <c r="FR120" s="1"/>
  <c r="EI120"/>
  <c r="EJ120"/>
  <c r="DD120"/>
  <c r="DE120"/>
  <c r="DC120"/>
  <c r="BA120"/>
  <c r="CM120"/>
  <c r="CL120"/>
  <c r="CK120"/>
  <c r="AY120"/>
  <c r="B125"/>
  <c r="CW119"/>
  <c r="CX119"/>
  <c r="DG119" s="1"/>
  <c r="CZ119"/>
  <c r="DI119"/>
  <c r="ES119" s="1"/>
  <c r="DM119"/>
  <c r="EW119" s="1"/>
  <c r="DO119"/>
  <c r="DQ119"/>
  <c r="FA119" s="1"/>
  <c r="DS119"/>
  <c r="DU119"/>
  <c r="DW119"/>
  <c r="DY119"/>
  <c r="FI119" s="1"/>
  <c r="EA119"/>
  <c r="EC119"/>
  <c r="EE119"/>
  <c r="FO119" s="1"/>
  <c r="EG119"/>
  <c r="EI119"/>
  <c r="DD119"/>
  <c r="DE119"/>
  <c r="DC119"/>
  <c r="BA119"/>
  <c r="CM119"/>
  <c r="CL119"/>
  <c r="CK119"/>
  <c r="AY119"/>
  <c r="B126"/>
  <c r="CX118"/>
  <c r="CZ118"/>
  <c r="DI118" s="1"/>
  <c r="DG118"/>
  <c r="DK118"/>
  <c r="DO118"/>
  <c r="DS118"/>
  <c r="DW118"/>
  <c r="EA118"/>
  <c r="EE118"/>
  <c r="EI118"/>
  <c r="DD118"/>
  <c r="DE118"/>
  <c r="DC118"/>
  <c r="CL118"/>
  <c r="CK118"/>
  <c r="AY118"/>
  <c r="B127"/>
  <c r="CZ117"/>
  <c r="DI117" s="1"/>
  <c r="ES117" s="1"/>
  <c r="DG117"/>
  <c r="DK117"/>
  <c r="DO117"/>
  <c r="DS117"/>
  <c r="DW117"/>
  <c r="EA117"/>
  <c r="FK117" s="1"/>
  <c r="EE117"/>
  <c r="FO117" s="1"/>
  <c r="EI117"/>
  <c r="DD117"/>
  <c r="DE117"/>
  <c r="DC117"/>
  <c r="BA117"/>
  <c r="CM117" s="1"/>
  <c r="CL117"/>
  <c r="CK117"/>
  <c r="AY117"/>
  <c r="B116"/>
  <c r="CZ116"/>
  <c r="DG116" s="1"/>
  <c r="DF116"/>
  <c r="DH116"/>
  <c r="DJ116"/>
  <c r="DL116"/>
  <c r="DN116"/>
  <c r="DP116"/>
  <c r="DR116"/>
  <c r="DT116"/>
  <c r="FD116" s="1"/>
  <c r="DV116"/>
  <c r="DX116"/>
  <c r="DZ116"/>
  <c r="EB116"/>
  <c r="ED116"/>
  <c r="EF116"/>
  <c r="EH116"/>
  <c r="EJ116"/>
  <c r="DD116"/>
  <c r="DC116" s="1"/>
  <c r="BA116"/>
  <c r="CM116"/>
  <c r="CL116"/>
  <c r="CK116"/>
  <c r="AY116"/>
  <c r="B113"/>
  <c r="CZ115"/>
  <c r="DI115"/>
  <c r="ES115" s="1"/>
  <c r="DM115"/>
  <c r="EW115" s="1"/>
  <c r="DQ115"/>
  <c r="FA115" s="1"/>
  <c r="DU115"/>
  <c r="DY115"/>
  <c r="EC115"/>
  <c r="EG115"/>
  <c r="DD115"/>
  <c r="DE115"/>
  <c r="DC115"/>
  <c r="BA115"/>
  <c r="CM115" s="1"/>
  <c r="CL115"/>
  <c r="CK115"/>
  <c r="AY115"/>
  <c r="B117"/>
  <c r="CZ114"/>
  <c r="DG114" s="1"/>
  <c r="DF114"/>
  <c r="DH114"/>
  <c r="DJ114"/>
  <c r="DL114"/>
  <c r="DN114"/>
  <c r="DP114"/>
  <c r="DR114"/>
  <c r="DT114"/>
  <c r="FD114" s="1"/>
  <c r="DV114"/>
  <c r="DX114"/>
  <c r="DZ114"/>
  <c r="EB114"/>
  <c r="ED114"/>
  <c r="EF114"/>
  <c r="EH114"/>
  <c r="EJ114"/>
  <c r="DD114"/>
  <c r="DC114" s="1"/>
  <c r="DE114"/>
  <c r="BA114"/>
  <c r="CM114"/>
  <c r="CL114"/>
  <c r="CK114"/>
  <c r="AY114"/>
  <c r="B114"/>
  <c r="CZ113"/>
  <c r="DI113" s="1"/>
  <c r="ES113" s="1"/>
  <c r="DG113"/>
  <c r="DK113"/>
  <c r="DO113"/>
  <c r="DS113"/>
  <c r="DW113"/>
  <c r="EA113"/>
  <c r="EE113"/>
  <c r="EI113"/>
  <c r="DD113"/>
  <c r="DE113"/>
  <c r="DC113"/>
  <c r="BA113"/>
  <c r="CM113" s="1"/>
  <c r="CL113"/>
  <c r="CK113"/>
  <c r="AY113"/>
  <c r="B108"/>
  <c r="CZ112"/>
  <c r="DG112" s="1"/>
  <c r="DF112"/>
  <c r="DH112"/>
  <c r="DJ112"/>
  <c r="ET112" s="1"/>
  <c r="DL112"/>
  <c r="DN112"/>
  <c r="DP112"/>
  <c r="DR112"/>
  <c r="DT112"/>
  <c r="FD112" s="1"/>
  <c r="DV112"/>
  <c r="DX112"/>
  <c r="DZ112"/>
  <c r="EB112"/>
  <c r="ED112"/>
  <c r="EF112"/>
  <c r="EH112"/>
  <c r="FR112" s="1"/>
  <c r="EJ112"/>
  <c r="DD112"/>
  <c r="DC112" s="1"/>
  <c r="BA112"/>
  <c r="CM112"/>
  <c r="CL112"/>
  <c r="CK112"/>
  <c r="AY112"/>
  <c r="B109"/>
  <c r="CZ111"/>
  <c r="DI111"/>
  <c r="ES111" s="1"/>
  <c r="DM111"/>
  <c r="DQ111"/>
  <c r="DU111"/>
  <c r="DY111"/>
  <c r="FI111" s="1"/>
  <c r="EC111"/>
  <c r="EG111"/>
  <c r="DD111"/>
  <c r="DE111"/>
  <c r="DC111"/>
  <c r="BA111"/>
  <c r="CM111" s="1"/>
  <c r="CL111"/>
  <c r="CK111"/>
  <c r="AY111"/>
  <c r="B115"/>
  <c r="CZ110"/>
  <c r="DG110" s="1"/>
  <c r="DF110"/>
  <c r="DH110"/>
  <c r="DJ110"/>
  <c r="ET110" s="1"/>
  <c r="DL110"/>
  <c r="DN110"/>
  <c r="EX110" s="1"/>
  <c r="DP110"/>
  <c r="DR110"/>
  <c r="DT110"/>
  <c r="FD110" s="1"/>
  <c r="DV110"/>
  <c r="DX110"/>
  <c r="DZ110"/>
  <c r="EB110"/>
  <c r="ED110"/>
  <c r="EF110"/>
  <c r="EH110"/>
  <c r="FR110" s="1"/>
  <c r="EJ110"/>
  <c r="DD110"/>
  <c r="DC110" s="1"/>
  <c r="DE110"/>
  <c r="BA110"/>
  <c r="CM110"/>
  <c r="CL110"/>
  <c r="CK110"/>
  <c r="AY110"/>
  <c r="B111"/>
  <c r="CZ109"/>
  <c r="DI109" s="1"/>
  <c r="ES109" s="1"/>
  <c r="DG109"/>
  <c r="DK109"/>
  <c r="DO109"/>
  <c r="DS109"/>
  <c r="DW109"/>
  <c r="EA109"/>
  <c r="FK109" s="1"/>
  <c r="EE109"/>
  <c r="FO109" s="1"/>
  <c r="EI109"/>
  <c r="DD109"/>
  <c r="DE109"/>
  <c r="DC109"/>
  <c r="BA109"/>
  <c r="CM109" s="1"/>
  <c r="CL109"/>
  <c r="CK109"/>
  <c r="AY109"/>
  <c r="B110"/>
  <c r="CZ108"/>
  <c r="DG108" s="1"/>
  <c r="DF108"/>
  <c r="DH108"/>
  <c r="DJ108"/>
  <c r="DL108"/>
  <c r="DN108"/>
  <c r="DP108"/>
  <c r="DR108"/>
  <c r="DT108"/>
  <c r="FD108" s="1"/>
  <c r="DV108"/>
  <c r="DX108"/>
  <c r="DZ108"/>
  <c r="EB108"/>
  <c r="ED108"/>
  <c r="EF108"/>
  <c r="EH108"/>
  <c r="EJ108"/>
  <c r="DD108"/>
  <c r="DC108" s="1"/>
  <c r="CL108"/>
  <c r="CK108"/>
  <c r="AY108"/>
  <c r="B112"/>
  <c r="CW107"/>
  <c r="CX107"/>
  <c r="DG107" s="1"/>
  <c r="CZ107"/>
  <c r="DO107" s="1"/>
  <c r="DI107"/>
  <c r="ES107" s="1"/>
  <c r="DM107"/>
  <c r="EW107" s="1"/>
  <c r="DQ107"/>
  <c r="FA107" s="1"/>
  <c r="DU107"/>
  <c r="DY107"/>
  <c r="EC107"/>
  <c r="EG107"/>
  <c r="DD107"/>
  <c r="DE107"/>
  <c r="DC107"/>
  <c r="BA107"/>
  <c r="CM107" s="1"/>
  <c r="CL107"/>
  <c r="CK107"/>
  <c r="AY107"/>
  <c r="B99"/>
  <c r="CZ106"/>
  <c r="DG106" s="1"/>
  <c r="DF106"/>
  <c r="DH106"/>
  <c r="DJ106"/>
  <c r="DL106"/>
  <c r="DN106"/>
  <c r="DP106"/>
  <c r="DR106"/>
  <c r="DT106"/>
  <c r="FD106" s="1"/>
  <c r="DV106"/>
  <c r="DX106"/>
  <c r="DZ106"/>
  <c r="EB106"/>
  <c r="ED106"/>
  <c r="EF106"/>
  <c r="EH106"/>
  <c r="EJ106"/>
  <c r="DD106"/>
  <c r="DC106" s="1"/>
  <c r="DE106"/>
  <c r="BA106"/>
  <c r="CM106"/>
  <c r="CL106"/>
  <c r="CK106"/>
  <c r="AY106"/>
  <c r="B102"/>
  <c r="CZ105"/>
  <c r="DI105" s="1"/>
  <c r="ES105" s="1"/>
  <c r="DG105"/>
  <c r="DK105"/>
  <c r="DO105"/>
  <c r="DS105"/>
  <c r="DW105"/>
  <c r="EA105"/>
  <c r="EE105"/>
  <c r="EI105"/>
  <c r="FS105" s="1"/>
  <c r="DD105"/>
  <c r="DE105"/>
  <c r="DC105"/>
  <c r="BA105"/>
  <c r="CM105" s="1"/>
  <c r="CL105"/>
  <c r="CK105"/>
  <c r="AY105"/>
  <c r="B100"/>
  <c r="CZ104"/>
  <c r="DG104" s="1"/>
  <c r="DF104"/>
  <c r="DH104"/>
  <c r="DJ104"/>
  <c r="ET104" s="1"/>
  <c r="DL104"/>
  <c r="DN104"/>
  <c r="EX104" s="1"/>
  <c r="DP104"/>
  <c r="DR104"/>
  <c r="DT104"/>
  <c r="FD104" s="1"/>
  <c r="DV104"/>
  <c r="DX104"/>
  <c r="DZ104"/>
  <c r="EB104"/>
  <c r="ED104"/>
  <c r="EF104"/>
  <c r="EH104"/>
  <c r="FR104" s="1"/>
  <c r="EJ104"/>
  <c r="DD104"/>
  <c r="DC104" s="1"/>
  <c r="BA104"/>
  <c r="CM104"/>
  <c r="CL104"/>
  <c r="CK104"/>
  <c r="AY104"/>
  <c r="B104"/>
  <c r="CZ103"/>
  <c r="DI103"/>
  <c r="ES103" s="1"/>
  <c r="DM103"/>
  <c r="DQ103"/>
  <c r="FA103" s="1"/>
  <c r="DU103"/>
  <c r="DY103"/>
  <c r="FI103" s="1"/>
  <c r="EC103"/>
  <c r="EG103"/>
  <c r="DD103"/>
  <c r="DE103"/>
  <c r="DC103"/>
  <c r="BA103"/>
  <c r="CM103" s="1"/>
  <c r="CL103"/>
  <c r="CK103"/>
  <c r="AY103"/>
  <c r="B103"/>
  <c r="CZ102"/>
  <c r="DG102" s="1"/>
  <c r="DF102"/>
  <c r="DH102"/>
  <c r="DJ102"/>
  <c r="ET102" s="1"/>
  <c r="DL102"/>
  <c r="DN102"/>
  <c r="EX102" s="1"/>
  <c r="DP102"/>
  <c r="DR102"/>
  <c r="DT102"/>
  <c r="FD102" s="1"/>
  <c r="DV102"/>
  <c r="DX102"/>
  <c r="DZ102"/>
  <c r="EB102"/>
  <c r="ED102"/>
  <c r="EF102"/>
  <c r="EH102"/>
  <c r="FR102" s="1"/>
  <c r="EJ102"/>
  <c r="DD102"/>
  <c r="DC102" s="1"/>
  <c r="DE102"/>
  <c r="BA102"/>
  <c r="CM102"/>
  <c r="CL102"/>
  <c r="CK102"/>
  <c r="AY102"/>
  <c r="B101"/>
  <c r="CX101"/>
  <c r="DG101" s="1"/>
  <c r="CZ101"/>
  <c r="DI101"/>
  <c r="ES101" s="1"/>
  <c r="DM101"/>
  <c r="EW101" s="1"/>
  <c r="DN101"/>
  <c r="EX101" s="1"/>
  <c r="DO101"/>
  <c r="DP101"/>
  <c r="EZ101" s="1"/>
  <c r="DQ101"/>
  <c r="FA101" s="1"/>
  <c r="DR101"/>
  <c r="DS101"/>
  <c r="DT101"/>
  <c r="FD101" s="1"/>
  <c r="DU101"/>
  <c r="DV101"/>
  <c r="DW101"/>
  <c r="DX101"/>
  <c r="FH101" s="1"/>
  <c r="DY101"/>
  <c r="DZ101"/>
  <c r="EA101"/>
  <c r="EB101"/>
  <c r="EC101"/>
  <c r="ED101"/>
  <c r="EE101"/>
  <c r="EF101"/>
  <c r="EG101"/>
  <c r="EH101"/>
  <c r="EI101"/>
  <c r="EJ101"/>
  <c r="DD101"/>
  <c r="DE101"/>
  <c r="DC101"/>
  <c r="BA101"/>
  <c r="CM101"/>
  <c r="CL101"/>
  <c r="CK101"/>
  <c r="AY101"/>
  <c r="B98"/>
  <c r="CX100"/>
  <c r="CZ100"/>
  <c r="DI100" s="1"/>
  <c r="ES100" s="1"/>
  <c r="DG100"/>
  <c r="EQ100" s="1"/>
  <c r="DK100"/>
  <c r="DO100"/>
  <c r="DS100"/>
  <c r="DW100"/>
  <c r="EA100"/>
  <c r="EE100"/>
  <c r="EI100"/>
  <c r="DD100"/>
  <c r="DE100"/>
  <c r="DC100"/>
  <c r="BA100"/>
  <c r="CM100" s="1"/>
  <c r="CL100"/>
  <c r="CK100"/>
  <c r="AY100"/>
  <c r="B105"/>
  <c r="CZ99"/>
  <c r="DG99" s="1"/>
  <c r="EQ99" s="1"/>
  <c r="DF99"/>
  <c r="DH99"/>
  <c r="DJ99"/>
  <c r="DL99"/>
  <c r="DN99"/>
  <c r="DP99"/>
  <c r="DR99"/>
  <c r="DT99"/>
  <c r="FD99" s="1"/>
  <c r="DV99"/>
  <c r="DX99"/>
  <c r="DZ99"/>
  <c r="EB99"/>
  <c r="FL99" s="1"/>
  <c r="ED99"/>
  <c r="EF99"/>
  <c r="FP99" s="1"/>
  <c r="EG99"/>
  <c r="EH99"/>
  <c r="FR99" s="1"/>
  <c r="EI99"/>
  <c r="FS99" s="1"/>
  <c r="EJ99"/>
  <c r="DD99"/>
  <c r="DC99" s="1"/>
  <c r="BA99"/>
  <c r="CM99"/>
  <c r="CL99"/>
  <c r="CK99"/>
  <c r="AY99"/>
  <c r="B107"/>
  <c r="CZ98"/>
  <c r="DI98"/>
  <c r="DM98"/>
  <c r="EW98" s="1"/>
  <c r="DQ98"/>
  <c r="FA98" s="1"/>
  <c r="DU98"/>
  <c r="DY98"/>
  <c r="EC98"/>
  <c r="EG98"/>
  <c r="DD98"/>
  <c r="DE98" s="1"/>
  <c r="DC98"/>
  <c r="CL98"/>
  <c r="CK98"/>
  <c r="AY98"/>
  <c r="B106"/>
  <c r="CZ97"/>
  <c r="DG97" s="1"/>
  <c r="EQ97" s="1"/>
  <c r="DD97"/>
  <c r="DE97" s="1"/>
  <c r="DC97"/>
  <c r="BA97"/>
  <c r="CM97" s="1"/>
  <c r="CL97"/>
  <c r="CK97"/>
  <c r="AY97"/>
  <c r="B88"/>
  <c r="CZ96"/>
  <c r="DF96"/>
  <c r="DG96"/>
  <c r="DH96"/>
  <c r="DI96"/>
  <c r="ES96" s="1"/>
  <c r="DJ96"/>
  <c r="DK96"/>
  <c r="DL96"/>
  <c r="DM96"/>
  <c r="EW96" s="1"/>
  <c r="DN96"/>
  <c r="DO96"/>
  <c r="DP96"/>
  <c r="DQ96"/>
  <c r="FA96" s="1"/>
  <c r="DR96"/>
  <c r="DS96"/>
  <c r="DT96"/>
  <c r="FD96" s="1"/>
  <c r="DU96"/>
  <c r="DV96"/>
  <c r="DW96"/>
  <c r="DX96"/>
  <c r="DY96"/>
  <c r="DZ96"/>
  <c r="EA96"/>
  <c r="EB96"/>
  <c r="EC96"/>
  <c r="ED96"/>
  <c r="EE96"/>
  <c r="EF96"/>
  <c r="EG96"/>
  <c r="EH96"/>
  <c r="EI96"/>
  <c r="EJ96"/>
  <c r="DD96"/>
  <c r="DC96" s="1"/>
  <c r="BA96"/>
  <c r="CM96"/>
  <c r="CL96"/>
  <c r="CK96"/>
  <c r="AY96"/>
  <c r="B91"/>
  <c r="CZ95"/>
  <c r="DD95"/>
  <c r="DE95" s="1"/>
  <c r="DC95"/>
  <c r="BA95"/>
  <c r="CM95" s="1"/>
  <c r="CL95"/>
  <c r="CK95"/>
  <c r="AY95"/>
  <c r="B93"/>
  <c r="CZ94"/>
  <c r="DF94"/>
  <c r="DG94"/>
  <c r="DH94"/>
  <c r="DI94"/>
  <c r="ES94" s="1"/>
  <c r="DJ94"/>
  <c r="ET94" s="1"/>
  <c r="DK94"/>
  <c r="DL94"/>
  <c r="DM94"/>
  <c r="DN94"/>
  <c r="DO94"/>
  <c r="DP94"/>
  <c r="DQ94"/>
  <c r="FA94" s="1"/>
  <c r="DR94"/>
  <c r="DS94"/>
  <c r="FC94" s="1"/>
  <c r="DT94"/>
  <c r="FD94" s="1"/>
  <c r="DU94"/>
  <c r="DV94"/>
  <c r="DW94"/>
  <c r="DX94"/>
  <c r="DY94"/>
  <c r="DZ94"/>
  <c r="EA94"/>
  <c r="EB94"/>
  <c r="EC94"/>
  <c r="ED94"/>
  <c r="EE94"/>
  <c r="FO94" s="1"/>
  <c r="EF94"/>
  <c r="FP94" s="1"/>
  <c r="EG94"/>
  <c r="EH94"/>
  <c r="FR94" s="1"/>
  <c r="EI94"/>
  <c r="FS94" s="1"/>
  <c r="EJ94"/>
  <c r="DD94"/>
  <c r="DC94" s="1"/>
  <c r="BA94"/>
  <c r="CM94"/>
  <c r="CL94"/>
  <c r="CK94"/>
  <c r="AY94"/>
  <c r="B95"/>
  <c r="CZ93"/>
  <c r="DD93"/>
  <c r="DE93" s="1"/>
  <c r="DC93"/>
  <c r="BA93"/>
  <c r="CM93" s="1"/>
  <c r="CL93"/>
  <c r="CK93"/>
  <c r="AY93"/>
  <c r="B94"/>
  <c r="CZ92"/>
  <c r="DF92"/>
  <c r="DG92"/>
  <c r="EQ92" s="1"/>
  <c r="DH92"/>
  <c r="DI92"/>
  <c r="ES92" s="1"/>
  <c r="DJ92"/>
  <c r="DK92"/>
  <c r="DL92"/>
  <c r="DM92"/>
  <c r="DN92"/>
  <c r="DO92"/>
  <c r="DP92"/>
  <c r="EZ92" s="1"/>
  <c r="DQ92"/>
  <c r="FA92" s="1"/>
  <c r="DR92"/>
  <c r="DS92"/>
  <c r="FC92" s="1"/>
  <c r="DT92"/>
  <c r="FD92" s="1"/>
  <c r="DU92"/>
  <c r="DV92"/>
  <c r="DW92"/>
  <c r="FG92" s="1"/>
  <c r="DX92"/>
  <c r="DY92"/>
  <c r="FI92" s="1"/>
  <c r="DZ92"/>
  <c r="EA92"/>
  <c r="FK92" s="1"/>
  <c r="EB92"/>
  <c r="FL92" s="1"/>
  <c r="EC92"/>
  <c r="FM92" s="1"/>
  <c r="ED92"/>
  <c r="EE92"/>
  <c r="FO92" s="1"/>
  <c r="EF92"/>
  <c r="EG92"/>
  <c r="EH92"/>
  <c r="EI92"/>
  <c r="FS92" s="1"/>
  <c r="EJ92"/>
  <c r="DD92"/>
  <c r="DC92" s="1"/>
  <c r="BA92"/>
  <c r="CM92"/>
  <c r="CL92"/>
  <c r="CK92"/>
  <c r="AY92"/>
  <c r="B90"/>
  <c r="CZ91"/>
  <c r="DG91" s="1"/>
  <c r="DD91"/>
  <c r="DE91" s="1"/>
  <c r="DC91"/>
  <c r="BA91"/>
  <c r="CM91" s="1"/>
  <c r="CL91"/>
  <c r="CK91"/>
  <c r="AY91"/>
  <c r="B96"/>
  <c r="CZ90"/>
  <c r="DF90"/>
  <c r="DG90"/>
  <c r="DH90"/>
  <c r="DI90"/>
  <c r="ES90" s="1"/>
  <c r="DJ90"/>
  <c r="DK90"/>
  <c r="DL90"/>
  <c r="DM90"/>
  <c r="EW90" s="1"/>
  <c r="DN90"/>
  <c r="EX90" s="1"/>
  <c r="DO90"/>
  <c r="DP90"/>
  <c r="EZ90" s="1"/>
  <c r="DQ90"/>
  <c r="FA90" s="1"/>
  <c r="DR90"/>
  <c r="DS90"/>
  <c r="DT90"/>
  <c r="FD90" s="1"/>
  <c r="DU90"/>
  <c r="DV90"/>
  <c r="DW90"/>
  <c r="DX90"/>
  <c r="FH90" s="1"/>
  <c r="DY90"/>
  <c r="DZ90"/>
  <c r="EA90"/>
  <c r="EB90"/>
  <c r="EC90"/>
  <c r="ED90"/>
  <c r="EE90"/>
  <c r="EF90"/>
  <c r="EG90"/>
  <c r="EH90"/>
  <c r="EI90"/>
  <c r="EJ90"/>
  <c r="DD90"/>
  <c r="DC90" s="1"/>
  <c r="BA90"/>
  <c r="CM90"/>
  <c r="CL90"/>
  <c r="CK90"/>
  <c r="AY90"/>
  <c r="B89"/>
  <c r="CX89"/>
  <c r="CZ89"/>
  <c r="DN89" s="1"/>
  <c r="DO89"/>
  <c r="DQ89"/>
  <c r="FA89" s="1"/>
  <c r="DS89"/>
  <c r="FC89" s="1"/>
  <c r="DU89"/>
  <c r="DW89"/>
  <c r="DY89"/>
  <c r="EA89"/>
  <c r="FK89" s="1"/>
  <c r="EC89"/>
  <c r="EE89"/>
  <c r="EG89"/>
  <c r="EI89"/>
  <c r="FS89" s="1"/>
  <c r="DD89"/>
  <c r="DE89"/>
  <c r="DC89"/>
  <c r="BA89"/>
  <c r="CM89" s="1"/>
  <c r="CL89"/>
  <c r="CK89"/>
  <c r="AY89"/>
  <c r="B92"/>
  <c r="CZ88"/>
  <c r="DF88"/>
  <c r="DH88"/>
  <c r="DJ88"/>
  <c r="DL88"/>
  <c r="DN88"/>
  <c r="EX88" s="1"/>
  <c r="DP88"/>
  <c r="DR88"/>
  <c r="DT88"/>
  <c r="DV88"/>
  <c r="DX88"/>
  <c r="DZ88"/>
  <c r="EB88"/>
  <c r="ED88"/>
  <c r="EF88"/>
  <c r="EH88"/>
  <c r="EJ88"/>
  <c r="DD88"/>
  <c r="CL88"/>
  <c r="CK88"/>
  <c r="AY88"/>
  <c r="B97"/>
  <c r="C79"/>
  <c r="C78"/>
  <c r="C77"/>
  <c r="C76"/>
  <c r="C75"/>
  <c r="C74"/>
  <c r="C73"/>
  <c r="C72"/>
  <c r="C71"/>
  <c r="C70"/>
  <c r="E61"/>
  <c r="W13"/>
  <c r="D13"/>
  <c r="W12"/>
  <c r="D12"/>
  <c r="W11"/>
  <c r="D11"/>
  <c r="W10"/>
  <c r="D10"/>
  <c r="W9"/>
  <c r="D9"/>
  <c r="W8"/>
  <c r="D8"/>
  <c r="W7"/>
  <c r="T7"/>
  <c r="S7"/>
  <c r="R7"/>
  <c r="Q7"/>
  <c r="P7"/>
  <c r="O7"/>
  <c r="N7"/>
  <c r="M7"/>
  <c r="D7"/>
  <c r="W6"/>
  <c r="T6"/>
  <c r="S6"/>
  <c r="R6"/>
  <c r="Q6"/>
  <c r="P6"/>
  <c r="O6"/>
  <c r="N6"/>
  <c r="M6"/>
  <c r="D6"/>
  <c r="W5"/>
  <c r="T5"/>
  <c r="S5"/>
  <c r="R5"/>
  <c r="Q5"/>
  <c r="P5"/>
  <c r="O5"/>
  <c r="N5"/>
  <c r="M5"/>
  <c r="D5"/>
  <c r="W4"/>
  <c r="G4"/>
  <c r="D4"/>
  <c r="FR96" l="1"/>
  <c r="FR122"/>
  <c r="FR131"/>
  <c r="FR143"/>
  <c r="FR183"/>
  <c r="EZ88"/>
  <c r="FS90"/>
  <c r="FG90"/>
  <c r="FC90"/>
  <c r="FJ92"/>
  <c r="EV96"/>
  <c r="ER96"/>
  <c r="FS100"/>
  <c r="FC100"/>
  <c r="FS101"/>
  <c r="FC101"/>
  <c r="EZ102"/>
  <c r="EZ104"/>
  <c r="EV106"/>
  <c r="EV108"/>
  <c r="EZ110"/>
  <c r="EV114"/>
  <c r="FJ124"/>
  <c r="EZ126"/>
  <c r="ER126"/>
  <c r="ER129"/>
  <c r="EV131"/>
  <c r="EZ132"/>
  <c r="EZ135"/>
  <c r="FS144"/>
  <c r="EZ156"/>
  <c r="FJ163"/>
  <c r="EV164"/>
  <c r="EZ165"/>
  <c r="ER165"/>
  <c r="EZ171"/>
  <c r="ER171"/>
  <c r="FJ183"/>
  <c r="AB372"/>
  <c r="AB376" s="1"/>
  <c r="FR136"/>
  <c r="FR152"/>
  <c r="FR156"/>
  <c r="FR157"/>
  <c r="FR165"/>
  <c r="FJ90"/>
  <c r="EZ94"/>
  <c r="EV94"/>
  <c r="FS96"/>
  <c r="EU96"/>
  <c r="EZ99"/>
  <c r="FJ101"/>
  <c r="EU105"/>
  <c r="FS109"/>
  <c r="FC109"/>
  <c r="EU113"/>
  <c r="FS117"/>
  <c r="EV120"/>
  <c r="EV122"/>
  <c r="EU131"/>
  <c r="EZ142"/>
  <c r="FS143"/>
  <c r="EZ143"/>
  <c r="FJ149"/>
  <c r="EZ150"/>
  <c r="EV157"/>
  <c r="EU164"/>
  <c r="FS165"/>
  <c r="EU165"/>
  <c r="EU166"/>
  <c r="FJ180"/>
  <c r="FS181"/>
  <c r="FC181"/>
  <c r="EV182"/>
  <c r="N373"/>
  <c r="Z372"/>
  <c r="AD382"/>
  <c r="AD381"/>
  <c r="FI89"/>
  <c r="EU90"/>
  <c r="EX92"/>
  <c r="FM94"/>
  <c r="FP96"/>
  <c r="FM103"/>
  <c r="FP104"/>
  <c r="FM111"/>
  <c r="FP112"/>
  <c r="FM120"/>
  <c r="FP125"/>
  <c r="FP126"/>
  <c r="FP132"/>
  <c r="FM142"/>
  <c r="EU151"/>
  <c r="EX152"/>
  <c r="FP156"/>
  <c r="EX158"/>
  <c r="FM159"/>
  <c r="EX163"/>
  <c r="FP165"/>
  <c r="EU174"/>
  <c r="EX177"/>
  <c r="FI182"/>
  <c r="EX186"/>
  <c r="E503"/>
  <c r="FT90"/>
  <c r="EV90"/>
  <c r="EY92"/>
  <c r="EU92"/>
  <c r="EV88"/>
  <c r="FM89"/>
  <c r="EX89"/>
  <c r="FM90"/>
  <c r="FI90"/>
  <c r="FP92"/>
  <c r="EV92"/>
  <c r="EU94"/>
  <c r="FJ96"/>
  <c r="FF96"/>
  <c r="FB96"/>
  <c r="EX96"/>
  <c r="FF99"/>
  <c r="EX99"/>
  <c r="EU100"/>
  <c r="FM101"/>
  <c r="FI101"/>
  <c r="EV102"/>
  <c r="EV104"/>
  <c r="FP106"/>
  <c r="ER106"/>
  <c r="FM107"/>
  <c r="FP108"/>
  <c r="ER108"/>
  <c r="ER114"/>
  <c r="FM115"/>
  <c r="EU120"/>
  <c r="FB122"/>
  <c r="FP124"/>
  <c r="EV125"/>
  <c r="FF131"/>
  <c r="FB131"/>
  <c r="EX131"/>
  <c r="EV135"/>
  <c r="FB136"/>
  <c r="FP139"/>
  <c r="FF139"/>
  <c r="EU139"/>
  <c r="FI140"/>
  <c r="FF143"/>
  <c r="EU144"/>
  <c r="FM145"/>
  <c r="FI145"/>
  <c r="FF147"/>
  <c r="FP149"/>
  <c r="FF150"/>
  <c r="FB152"/>
  <c r="EU153"/>
  <c r="FJ156"/>
  <c r="FF156"/>
  <c r="FB156"/>
  <c r="EX156"/>
  <c r="FJ157"/>
  <c r="FB157"/>
  <c r="EV158"/>
  <c r="FM162"/>
  <c r="FI162"/>
  <c r="FP163"/>
  <c r="FI164"/>
  <c r="FJ165"/>
  <c r="FF165"/>
  <c r="FB165"/>
  <c r="FF166"/>
  <c r="FP167"/>
  <c r="EU167"/>
  <c r="FP170"/>
  <c r="EV170"/>
  <c r="ER170"/>
  <c r="FM173"/>
  <c r="FI173"/>
  <c r="FB175"/>
  <c r="EU176"/>
  <c r="FF177"/>
  <c r="FI180"/>
  <c r="FI181"/>
  <c r="EU182"/>
  <c r="FB183"/>
  <c r="EV184"/>
  <c r="FP186"/>
  <c r="AK372"/>
  <c r="AK381" s="1"/>
  <c r="W372"/>
  <c r="M372"/>
  <c r="M373" s="1"/>
  <c r="H466"/>
  <c r="FI94"/>
  <c r="FP102"/>
  <c r="FP110"/>
  <c r="FI120"/>
  <c r="EX122"/>
  <c r="FI130"/>
  <c r="FP135"/>
  <c r="EX136"/>
  <c r="EX139"/>
  <c r="FM140"/>
  <c r="FI142"/>
  <c r="FI159"/>
  <c r="EU162"/>
  <c r="FP166"/>
  <c r="EX170"/>
  <c r="FP171"/>
  <c r="EU173"/>
  <c r="FM181"/>
  <c r="FM182"/>
  <c r="EU185"/>
  <c r="FP90"/>
  <c r="FF94"/>
  <c r="FB94"/>
  <c r="EX94"/>
  <c r="FM96"/>
  <c r="FI96"/>
  <c r="FE96"/>
  <c r="EV99"/>
  <c r="FT101"/>
  <c r="FP101"/>
  <c r="FJ102"/>
  <c r="FB102"/>
  <c r="FJ104"/>
  <c r="FB104"/>
  <c r="FF106"/>
  <c r="EX106"/>
  <c r="FI107"/>
  <c r="EU109"/>
  <c r="FJ110"/>
  <c r="FB110"/>
  <c r="FJ112"/>
  <c r="FB112"/>
  <c r="FF114"/>
  <c r="FI115"/>
  <c r="FF116"/>
  <c r="EX116"/>
  <c r="EU117"/>
  <c r="EU118"/>
  <c r="FM119"/>
  <c r="FJ120"/>
  <c r="FF120"/>
  <c r="FB120"/>
  <c r="EY124"/>
  <c r="FB125"/>
  <c r="FB126"/>
  <c r="FF129"/>
  <c r="FM130"/>
  <c r="FM131"/>
  <c r="FI131"/>
  <c r="FB132"/>
  <c r="FF134"/>
  <c r="FB135"/>
  <c r="FP136"/>
  <c r="EY137"/>
  <c r="EU137"/>
  <c r="FP138"/>
  <c r="FT139"/>
  <c r="FI139"/>
  <c r="EY139"/>
  <c r="EY140"/>
  <c r="FM141"/>
  <c r="FF142"/>
  <c r="FB142"/>
  <c r="EX142"/>
  <c r="FM143"/>
  <c r="FI143"/>
  <c r="EV143"/>
  <c r="FT145"/>
  <c r="FJ146"/>
  <c r="FB146"/>
  <c r="FT147"/>
  <c r="EV147"/>
  <c r="FF149"/>
  <c r="FT150"/>
  <c r="EV150"/>
  <c r="FI153"/>
  <c r="FJ154"/>
  <c r="FB154"/>
  <c r="EU155"/>
  <c r="FM156"/>
  <c r="FI156"/>
  <c r="FF159"/>
  <c r="FB159"/>
  <c r="ER159"/>
  <c r="FT162"/>
  <c r="ER162"/>
  <c r="EY163"/>
  <c r="EU163"/>
  <c r="EX164"/>
  <c r="FQ165"/>
  <c r="FM165"/>
  <c r="FI165"/>
  <c r="EU169"/>
  <c r="EY170"/>
  <c r="EU170"/>
  <c r="FJ171"/>
  <c r="FB171"/>
  <c r="FT173"/>
  <c r="FP173"/>
  <c r="EV173"/>
  <c r="FT175"/>
  <c r="FP177"/>
  <c r="FB179"/>
  <c r="FM180"/>
  <c r="FB180"/>
  <c r="EU180"/>
  <c r="EY181"/>
  <c r="FF182"/>
  <c r="FB182"/>
  <c r="FP183"/>
  <c r="FM185"/>
  <c r="EY185"/>
  <c r="EY186"/>
  <c r="L372"/>
  <c r="L382" s="1"/>
  <c r="H382"/>
  <c r="H380"/>
  <c r="H375"/>
  <c r="H378"/>
  <c r="H379"/>
  <c r="FH92"/>
  <c r="FK94"/>
  <c r="EY94"/>
  <c r="EQ94"/>
  <c r="ET96"/>
  <c r="FK100"/>
  <c r="FE101"/>
  <c r="FT102"/>
  <c r="FE103"/>
  <c r="EQ104"/>
  <c r="EQ105"/>
  <c r="EY109"/>
  <c r="FT110"/>
  <c r="EQ110"/>
  <c r="FT112"/>
  <c r="EQ112"/>
  <c r="FH116"/>
  <c r="EY117"/>
  <c r="EQ119"/>
  <c r="FT124"/>
  <c r="FH124"/>
  <c r="FN131"/>
  <c r="FT132"/>
  <c r="FT135"/>
  <c r="ET136"/>
  <c r="FH137"/>
  <c r="FK142"/>
  <c r="EY142"/>
  <c r="EQ146"/>
  <c r="ET152"/>
  <c r="FT154"/>
  <c r="EQ156"/>
  <c r="FK159"/>
  <c r="FT164"/>
  <c r="ET165"/>
  <c r="FT174"/>
  <c r="FH174"/>
  <c r="EQ174"/>
  <c r="FN180"/>
  <c r="EY182"/>
  <c r="EQ182"/>
  <c r="U379"/>
  <c r="AB380"/>
  <c r="N381"/>
  <c r="E475"/>
  <c r="FO89"/>
  <c r="EY89"/>
  <c r="FR90"/>
  <c r="FF90"/>
  <c r="FB90"/>
  <c r="ET90"/>
  <c r="FE92"/>
  <c r="EW92"/>
  <c r="FT94"/>
  <c r="FH94"/>
  <c r="FO96"/>
  <c r="FK96"/>
  <c r="EY96"/>
  <c r="EQ96"/>
  <c r="FT99"/>
  <c r="FH99"/>
  <c r="FO100"/>
  <c r="EY100"/>
  <c r="FR101"/>
  <c r="FF101"/>
  <c r="FB101"/>
  <c r="EQ101"/>
  <c r="FF102"/>
  <c r="FF104"/>
  <c r="FK105"/>
  <c r="FR106"/>
  <c r="FB106"/>
  <c r="ET106"/>
  <c r="FQ107"/>
  <c r="EQ107"/>
  <c r="ET108"/>
  <c r="FF110"/>
  <c r="FF112"/>
  <c r="FK113"/>
  <c r="FR114"/>
  <c r="FB114"/>
  <c r="FQ115"/>
  <c r="FR116"/>
  <c r="FB116"/>
  <c r="FT120"/>
  <c r="FH120"/>
  <c r="FT122"/>
  <c r="FE124"/>
  <c r="FF125"/>
  <c r="FF126"/>
  <c r="FO131"/>
  <c r="FK131"/>
  <c r="EY131"/>
  <c r="EQ131"/>
  <c r="FN132"/>
  <c r="FF132"/>
  <c r="FN134"/>
  <c r="FF135"/>
  <c r="FT136"/>
  <c r="EQ136"/>
  <c r="EW137"/>
  <c r="EQ139"/>
  <c r="FK140"/>
  <c r="FT142"/>
  <c r="FH142"/>
  <c r="FO143"/>
  <c r="FK143"/>
  <c r="FO144"/>
  <c r="EY144"/>
  <c r="FR145"/>
  <c r="FN145"/>
  <c r="FF145"/>
  <c r="FB145"/>
  <c r="FF146"/>
  <c r="FH147"/>
  <c r="FR149"/>
  <c r="FB149"/>
  <c r="ET149"/>
  <c r="FH150"/>
  <c r="FT152"/>
  <c r="EQ152"/>
  <c r="EW153"/>
  <c r="FF154"/>
  <c r="EY155"/>
  <c r="FO156"/>
  <c r="FK156"/>
  <c r="EY156"/>
  <c r="FT157"/>
  <c r="EW158"/>
  <c r="FT159"/>
  <c r="FH159"/>
  <c r="EQ159"/>
  <c r="FR162"/>
  <c r="FF162"/>
  <c r="FB162"/>
  <c r="ET162"/>
  <c r="FQ163"/>
  <c r="FK164"/>
  <c r="FF164"/>
  <c r="FO165"/>
  <c r="FK165"/>
  <c r="EY165"/>
  <c r="EQ165"/>
  <c r="FK166"/>
  <c r="EW170"/>
  <c r="FF171"/>
  <c r="FR173"/>
  <c r="FF173"/>
  <c r="FB173"/>
  <c r="FQ174"/>
  <c r="FE174"/>
  <c r="ET175"/>
  <c r="EW176"/>
  <c r="FH177"/>
  <c r="FR179"/>
  <c r="FE180"/>
  <c r="FK181"/>
  <c r="FT182"/>
  <c r="FH182"/>
  <c r="FT183"/>
  <c r="FF187"/>
  <c r="J377"/>
  <c r="J378"/>
  <c r="W379"/>
  <c r="AD380"/>
  <c r="AF372"/>
  <c r="AF380" s="1"/>
  <c r="Y372"/>
  <c r="Y373" s="1"/>
  <c r="H468"/>
  <c r="FQ90"/>
  <c r="EQ91"/>
  <c r="FT92"/>
  <c r="FN96"/>
  <c r="EQ102"/>
  <c r="FT104"/>
  <c r="FH106"/>
  <c r="FE111"/>
  <c r="EQ113"/>
  <c r="FH114"/>
  <c r="EY119"/>
  <c r="FK120"/>
  <c r="EY120"/>
  <c r="EQ120"/>
  <c r="FT125"/>
  <c r="EQ125"/>
  <c r="FT126"/>
  <c r="EQ130"/>
  <c r="FT137"/>
  <c r="FK139"/>
  <c r="EY141"/>
  <c r="FK144"/>
  <c r="FT146"/>
  <c r="FH149"/>
  <c r="EY151"/>
  <c r="FK153"/>
  <c r="EQ154"/>
  <c r="EY159"/>
  <c r="FT163"/>
  <c r="FH163"/>
  <c r="EY164"/>
  <c r="ET164"/>
  <c r="EY169"/>
  <c r="FT170"/>
  <c r="FH170"/>
  <c r="FT171"/>
  <c r="EY174"/>
  <c r="FK176"/>
  <c r="FK182"/>
  <c r="FT186"/>
  <c r="FH186"/>
  <c r="FQ89"/>
  <c r="FO90"/>
  <c r="FK90"/>
  <c r="EY90"/>
  <c r="EQ90"/>
  <c r="FR92"/>
  <c r="FF92"/>
  <c r="FB92"/>
  <c r="ET92"/>
  <c r="FE94"/>
  <c r="EW94"/>
  <c r="FT96"/>
  <c r="FH96"/>
  <c r="FB99"/>
  <c r="ET99"/>
  <c r="FO101"/>
  <c r="FK101"/>
  <c r="EY101"/>
  <c r="FH102"/>
  <c r="EW103"/>
  <c r="FH104"/>
  <c r="FO105"/>
  <c r="EY105"/>
  <c r="FT106"/>
  <c r="EQ106"/>
  <c r="FE107"/>
  <c r="EY107"/>
  <c r="EQ108"/>
  <c r="EQ109"/>
  <c r="FH110"/>
  <c r="EW111"/>
  <c r="FH112"/>
  <c r="FO113"/>
  <c r="EY113"/>
  <c r="FT114"/>
  <c r="FL114"/>
  <c r="EQ114"/>
  <c r="FT116"/>
  <c r="FL116"/>
  <c r="EQ117"/>
  <c r="EQ118"/>
  <c r="FK119"/>
  <c r="FE120"/>
  <c r="EW120"/>
  <c r="FN122"/>
  <c r="FF122"/>
  <c r="FR124"/>
  <c r="FF124"/>
  <c r="FB124"/>
  <c r="FH125"/>
  <c r="FH126"/>
  <c r="FR129"/>
  <c r="FB129"/>
  <c r="FT131"/>
  <c r="FH131"/>
  <c r="FH132"/>
  <c r="EQ133"/>
  <c r="FR134"/>
  <c r="FB134"/>
  <c r="FH135"/>
  <c r="FF136"/>
  <c r="FR137"/>
  <c r="FF137"/>
  <c r="FB137"/>
  <c r="EQ138"/>
  <c r="FH139"/>
  <c r="FK141"/>
  <c r="EW142"/>
  <c r="FT143"/>
  <c r="FH143"/>
  <c r="FB143"/>
  <c r="FO145"/>
  <c r="FK145"/>
  <c r="EY145"/>
  <c r="FH146"/>
  <c r="FR147"/>
  <c r="FB147"/>
  <c r="ET147"/>
  <c r="FT149"/>
  <c r="FR150"/>
  <c r="FB150"/>
  <c r="FO151"/>
  <c r="FF152"/>
  <c r="FO153"/>
  <c r="EY153"/>
  <c r="EQ153"/>
  <c r="FH154"/>
  <c r="FT156"/>
  <c r="FH156"/>
  <c r="ET156"/>
  <c r="FN157"/>
  <c r="FF157"/>
  <c r="FF158"/>
  <c r="ET159"/>
  <c r="FF161"/>
  <c r="FO162"/>
  <c r="FK162"/>
  <c r="EY162"/>
  <c r="EQ162"/>
  <c r="FR163"/>
  <c r="FN163"/>
  <c r="FF163"/>
  <c r="FB163"/>
  <c r="ET163"/>
  <c r="EQ164"/>
  <c r="FT165"/>
  <c r="FH165"/>
  <c r="EQ169"/>
  <c r="FR170"/>
  <c r="FF170"/>
  <c r="FB170"/>
  <c r="FH171"/>
  <c r="FO173"/>
  <c r="FK173"/>
  <c r="EY173"/>
  <c r="EQ173"/>
  <c r="FR174"/>
  <c r="FF174"/>
  <c r="FB174"/>
  <c r="FR175"/>
  <c r="FH175"/>
  <c r="FK180"/>
  <c r="FF180"/>
  <c r="ET180"/>
  <c r="EW182"/>
  <c r="FK184"/>
  <c r="FK185"/>
  <c r="FR186"/>
  <c r="FF186"/>
  <c r="FB186"/>
  <c r="J373"/>
  <c r="N374"/>
  <c r="N377"/>
  <c r="N380"/>
  <c r="AI372"/>
  <c r="AI378" s="1"/>
  <c r="S372"/>
  <c r="S373" s="1"/>
  <c r="H516"/>
  <c r="EK137"/>
  <c r="FD88"/>
  <c r="EV128"/>
  <c r="FS138"/>
  <c r="FM138"/>
  <c r="FI158"/>
  <c r="FB178"/>
  <c r="EY178"/>
  <c r="EY118"/>
  <c r="EZ128"/>
  <c r="EW138"/>
  <c r="ES138"/>
  <c r="FR148"/>
  <c r="FI178"/>
  <c r="EU178"/>
  <c r="FP88"/>
  <c r="FH88"/>
  <c r="ER88"/>
  <c r="FE98"/>
  <c r="FN108"/>
  <c r="FB108"/>
  <c r="FS118"/>
  <c r="ES118"/>
  <c r="FT128"/>
  <c r="FD128"/>
  <c r="FO138"/>
  <c r="FK138"/>
  <c r="EX138"/>
  <c r="FF148"/>
  <c r="FK158"/>
  <c r="EU158"/>
  <c r="EQ158"/>
  <c r="FJ178"/>
  <c r="FD178"/>
  <c r="EV178"/>
  <c r="EQ178"/>
  <c r="FP178"/>
  <c r="FT138"/>
  <c r="FD138"/>
  <c r="FT158"/>
  <c r="FN158"/>
  <c r="EZ178"/>
  <c r="FT88"/>
  <c r="FM98"/>
  <c r="FJ108"/>
  <c r="EX108"/>
  <c r="FK118"/>
  <c r="FI138"/>
  <c r="FF138"/>
  <c r="FM158"/>
  <c r="EY158"/>
  <c r="FJ168"/>
  <c r="FS178"/>
  <c r="FF88"/>
  <c r="FR108"/>
  <c r="FF108"/>
  <c r="FO118"/>
  <c r="FP128"/>
  <c r="FB148"/>
  <c r="ET168"/>
  <c r="FT178"/>
  <c r="FM178"/>
  <c r="FC178"/>
  <c r="FR88"/>
  <c r="FJ88"/>
  <c r="FB88"/>
  <c r="ET88"/>
  <c r="FI98"/>
  <c r="ES98"/>
  <c r="FH128"/>
  <c r="FE138"/>
  <c r="EY138"/>
  <c r="EU138"/>
  <c r="FJ148"/>
  <c r="FO158"/>
  <c r="FH158"/>
  <c r="FE158"/>
  <c r="FB158"/>
  <c r="FR178"/>
  <c r="FO178"/>
  <c r="FK178"/>
  <c r="ES178"/>
  <c r="FF178"/>
  <c r="FT108"/>
  <c r="FH108"/>
  <c r="FR138"/>
  <c r="FH138"/>
  <c r="FB138"/>
  <c r="FR158"/>
  <c r="EQ155"/>
  <c r="EV116"/>
  <c r="EQ116"/>
  <c r="AK29"/>
  <c r="AK45" s="1"/>
  <c r="AJ28"/>
  <c r="AJ44" s="1"/>
  <c r="X28"/>
  <c r="X44" s="1"/>
  <c r="P28"/>
  <c r="P44" s="1"/>
  <c r="L28"/>
  <c r="L44" s="1"/>
  <c r="AE27"/>
  <c r="AE43" s="1"/>
  <c r="AF24"/>
  <c r="AF40" s="1"/>
  <c r="X24"/>
  <c r="X40" s="1"/>
  <c r="P24"/>
  <c r="P40" s="1"/>
  <c r="H24"/>
  <c r="H40" s="1"/>
  <c r="O23"/>
  <c r="O39" s="1"/>
  <c r="AK21"/>
  <c r="AK37" s="1"/>
  <c r="Q21"/>
  <c r="Q37" s="1"/>
  <c r="L23"/>
  <c r="L39" s="1"/>
  <c r="AJ23"/>
  <c r="AJ39" s="1"/>
  <c r="AF23"/>
  <c r="AF39" s="1"/>
  <c r="X23"/>
  <c r="X39" s="1"/>
  <c r="AH21"/>
  <c r="AH37" s="1"/>
  <c r="H22"/>
  <c r="H38" s="1"/>
  <c r="AF28"/>
  <c r="AF44" s="1"/>
  <c r="U25"/>
  <c r="U41" s="1"/>
  <c r="Y29"/>
  <c r="Y45" s="1"/>
  <c r="I28"/>
  <c r="I44" s="1"/>
  <c r="AJ25"/>
  <c r="AJ41" s="1"/>
  <c r="L25"/>
  <c r="L41" s="1"/>
  <c r="AB25"/>
  <c r="AB41" s="1"/>
  <c r="AD25"/>
  <c r="AD41" s="1"/>
  <c r="AB24"/>
  <c r="AB40" s="1"/>
  <c r="T24"/>
  <c r="T40" s="1"/>
  <c r="L24"/>
  <c r="L40" s="1"/>
  <c r="AJ24"/>
  <c r="AJ40" s="1"/>
  <c r="AK23"/>
  <c r="AK39" s="1"/>
  <c r="AG23"/>
  <c r="AG39" s="1"/>
  <c r="AC23"/>
  <c r="AC39" s="1"/>
  <c r="Y23"/>
  <c r="Y39" s="1"/>
  <c r="U23"/>
  <c r="U39" s="1"/>
  <c r="M23"/>
  <c r="M39" s="1"/>
  <c r="I23"/>
  <c r="I39" s="1"/>
  <c r="D73"/>
  <c r="D537" s="1"/>
  <c r="K23"/>
  <c r="K39" s="1"/>
  <c r="T23"/>
  <c r="T39" s="1"/>
  <c r="AJ22"/>
  <c r="AJ38" s="1"/>
  <c r="AF22"/>
  <c r="AF38" s="1"/>
  <c r="AB22"/>
  <c r="AB38" s="1"/>
  <c r="X22"/>
  <c r="X38" s="1"/>
  <c r="T22"/>
  <c r="T38" s="1"/>
  <c r="P22"/>
  <c r="P38" s="1"/>
  <c r="L22"/>
  <c r="L38" s="1"/>
  <c r="P25"/>
  <c r="P41" s="1"/>
  <c r="AJ26"/>
  <c r="AJ42" s="1"/>
  <c r="AB26"/>
  <c r="AB42" s="1"/>
  <c r="X26"/>
  <c r="X42" s="1"/>
  <c r="T26"/>
  <c r="T42" s="1"/>
  <c r="L26"/>
  <c r="L42" s="1"/>
  <c r="Q22"/>
  <c r="Q38" s="1"/>
  <c r="AI29"/>
  <c r="AI45" s="1"/>
  <c r="AA29"/>
  <c r="AA45" s="1"/>
  <c r="S29"/>
  <c r="S45" s="1"/>
  <c r="G29"/>
  <c r="G45" s="1"/>
  <c r="D79"/>
  <c r="D549" s="1"/>
  <c r="AE29"/>
  <c r="AE45" s="1"/>
  <c r="W29"/>
  <c r="W45" s="1"/>
  <c r="O29"/>
  <c r="O45" s="1"/>
  <c r="K29"/>
  <c r="K45" s="1"/>
  <c r="AB29"/>
  <c r="AB45" s="1"/>
  <c r="AF29"/>
  <c r="AF45" s="1"/>
  <c r="T29"/>
  <c r="T45" s="1"/>
  <c r="H29"/>
  <c r="H45" s="1"/>
  <c r="AG29"/>
  <c r="AG45" s="1"/>
  <c r="AC29"/>
  <c r="AC45" s="1"/>
  <c r="U29"/>
  <c r="U45" s="1"/>
  <c r="Q29"/>
  <c r="Q45" s="1"/>
  <c r="M29"/>
  <c r="M45" s="1"/>
  <c r="I29"/>
  <c r="I45" s="1"/>
  <c r="AJ29"/>
  <c r="AJ45" s="1"/>
  <c r="P29"/>
  <c r="P45" s="1"/>
  <c r="L29"/>
  <c r="L45" s="1"/>
  <c r="U28"/>
  <c r="U44" s="1"/>
  <c r="Q28"/>
  <c r="Q44" s="1"/>
  <c r="M28"/>
  <c r="M44" s="1"/>
  <c r="X29"/>
  <c r="X45" s="1"/>
  <c r="AB28"/>
  <c r="AB44" s="1"/>
  <c r="D78"/>
  <c r="D547" s="1"/>
  <c r="AK28"/>
  <c r="AK44" s="1"/>
  <c r="AG28"/>
  <c r="AG44" s="1"/>
  <c r="AC28"/>
  <c r="AC44" s="1"/>
  <c r="Y28"/>
  <c r="Y44" s="1"/>
  <c r="AI28"/>
  <c r="AI44" s="1"/>
  <c r="AA28"/>
  <c r="AA44" s="1"/>
  <c r="W28"/>
  <c r="W44" s="1"/>
  <c r="S28"/>
  <c r="S44" s="1"/>
  <c r="O28"/>
  <c r="O44" s="1"/>
  <c r="K28"/>
  <c r="K44" s="1"/>
  <c r="G28"/>
  <c r="G44" s="1"/>
  <c r="G430" s="1"/>
  <c r="T28"/>
  <c r="T44" s="1"/>
  <c r="H28"/>
  <c r="H44" s="1"/>
  <c r="AE28"/>
  <c r="AE44" s="1"/>
  <c r="AF27"/>
  <c r="AF43" s="1"/>
  <c r="P27"/>
  <c r="P43" s="1"/>
  <c r="D77"/>
  <c r="C380" s="1"/>
  <c r="AK27"/>
  <c r="AK43" s="1"/>
  <c r="AG27"/>
  <c r="AG43" s="1"/>
  <c r="AC27"/>
  <c r="AC43" s="1"/>
  <c r="Y27"/>
  <c r="Y43" s="1"/>
  <c r="U27"/>
  <c r="U43" s="1"/>
  <c r="Q27"/>
  <c r="Q43" s="1"/>
  <c r="M27"/>
  <c r="M43" s="1"/>
  <c r="I27"/>
  <c r="I43" s="1"/>
  <c r="AI27"/>
  <c r="AI43" s="1"/>
  <c r="AA27"/>
  <c r="AA43" s="1"/>
  <c r="W27"/>
  <c r="W43" s="1"/>
  <c r="S27"/>
  <c r="S43" s="1"/>
  <c r="O27"/>
  <c r="O43" s="1"/>
  <c r="K27"/>
  <c r="K43" s="1"/>
  <c r="G27"/>
  <c r="G43" s="1"/>
  <c r="U26"/>
  <c r="U42" s="1"/>
  <c r="M26"/>
  <c r="M42" s="1"/>
  <c r="AI26"/>
  <c r="AI42" s="1"/>
  <c r="AE26"/>
  <c r="AE42" s="1"/>
  <c r="AA26"/>
  <c r="AA42" s="1"/>
  <c r="W26"/>
  <c r="W42" s="1"/>
  <c r="S26"/>
  <c r="S42" s="1"/>
  <c r="O26"/>
  <c r="O42" s="1"/>
  <c r="K26"/>
  <c r="K42" s="1"/>
  <c r="AG26"/>
  <c r="AG42" s="1"/>
  <c r="D76"/>
  <c r="D543" s="1"/>
  <c r="AB27"/>
  <c r="AB43" s="1"/>
  <c r="P26"/>
  <c r="P42" s="1"/>
  <c r="AJ27"/>
  <c r="AJ43" s="1"/>
  <c r="T27"/>
  <c r="T43" s="1"/>
  <c r="H27"/>
  <c r="H43" s="1"/>
  <c r="AF26"/>
  <c r="AF42" s="1"/>
  <c r="H26"/>
  <c r="H42" s="1"/>
  <c r="L27"/>
  <c r="L43" s="1"/>
  <c r="AK26"/>
  <c r="AK42" s="1"/>
  <c r="AC26"/>
  <c r="AC42" s="1"/>
  <c r="Y26"/>
  <c r="Y42" s="1"/>
  <c r="Q26"/>
  <c r="Q42" s="1"/>
  <c r="I26"/>
  <c r="I42" s="1"/>
  <c r="X27"/>
  <c r="X43" s="1"/>
  <c r="D75"/>
  <c r="D541" s="1"/>
  <c r="G26"/>
  <c r="G42" s="1"/>
  <c r="G428" s="1"/>
  <c r="G25"/>
  <c r="G41" s="1"/>
  <c r="G427" s="1"/>
  <c r="AI25"/>
  <c r="AI41" s="1"/>
  <c r="AE25"/>
  <c r="AE41" s="1"/>
  <c r="AA25"/>
  <c r="AA41" s="1"/>
  <c r="W25"/>
  <c r="W41" s="1"/>
  <c r="S25"/>
  <c r="S41" s="1"/>
  <c r="K25"/>
  <c r="K41" s="1"/>
  <c r="O25"/>
  <c r="O41" s="1"/>
  <c r="T25"/>
  <c r="T41" s="1"/>
  <c r="AK25"/>
  <c r="AK41" s="1"/>
  <c r="AG25"/>
  <c r="AG41" s="1"/>
  <c r="AC25"/>
  <c r="AC41" s="1"/>
  <c r="Y25"/>
  <c r="Y41" s="1"/>
  <c r="Q25"/>
  <c r="Q41" s="1"/>
  <c r="M25"/>
  <c r="M41" s="1"/>
  <c r="I25"/>
  <c r="I41" s="1"/>
  <c r="AF25"/>
  <c r="AF41" s="1"/>
  <c r="H25"/>
  <c r="H41" s="1"/>
  <c r="D74"/>
  <c r="D539" s="1"/>
  <c r="X25"/>
  <c r="X41" s="1"/>
  <c r="AK24"/>
  <c r="AK40" s="1"/>
  <c r="AG24"/>
  <c r="AG40" s="1"/>
  <c r="AC24"/>
  <c r="AC40" s="1"/>
  <c r="Y24"/>
  <c r="Y40" s="1"/>
  <c r="U24"/>
  <c r="U40" s="1"/>
  <c r="Q24"/>
  <c r="Q40" s="1"/>
  <c r="M24"/>
  <c r="M40" s="1"/>
  <c r="I24"/>
  <c r="I40" s="1"/>
  <c r="AI23"/>
  <c r="AI39" s="1"/>
  <c r="AE23"/>
  <c r="AE39" s="1"/>
  <c r="AA23"/>
  <c r="AA39" s="1"/>
  <c r="S23"/>
  <c r="S39" s="1"/>
  <c r="G23"/>
  <c r="G39" s="1"/>
  <c r="AB23"/>
  <c r="AB39" s="1"/>
  <c r="P23"/>
  <c r="P39" s="1"/>
  <c r="H23"/>
  <c r="H39" s="1"/>
  <c r="AG22"/>
  <c r="AG38" s="1"/>
  <c r="AC22"/>
  <c r="AC38" s="1"/>
  <c r="U30"/>
  <c r="U46" s="1"/>
  <c r="M22"/>
  <c r="M38" s="1"/>
  <c r="I22"/>
  <c r="I38" s="1"/>
  <c r="Q23"/>
  <c r="Q39" s="1"/>
  <c r="D72"/>
  <c r="D535" s="1"/>
  <c r="Y22"/>
  <c r="Y38" s="1"/>
  <c r="AI30"/>
  <c r="AI46" s="1"/>
  <c r="AA30"/>
  <c r="AA46" s="1"/>
  <c r="O30"/>
  <c r="O46" s="1"/>
  <c r="G21"/>
  <c r="G37" s="1"/>
  <c r="G423" s="1"/>
  <c r="X30"/>
  <c r="X46" s="1"/>
  <c r="T30"/>
  <c r="T46" s="1"/>
  <c r="H30"/>
  <c r="H46" s="1"/>
  <c r="AK30"/>
  <c r="AK46" s="1"/>
  <c r="AG21"/>
  <c r="AG37" s="1"/>
  <c r="AC30"/>
  <c r="AC46" s="1"/>
  <c r="Y30"/>
  <c r="Y46" s="1"/>
  <c r="U21"/>
  <c r="U37" s="1"/>
  <c r="Q30"/>
  <c r="Q46" s="1"/>
  <c r="M21"/>
  <c r="M37" s="1"/>
  <c r="I21"/>
  <c r="I37" s="1"/>
  <c r="L30"/>
  <c r="L46" s="1"/>
  <c r="J21"/>
  <c r="J37" s="1"/>
  <c r="AD21"/>
  <c r="AD37" s="1"/>
  <c r="Z21"/>
  <c r="Z37" s="1"/>
  <c r="V21"/>
  <c r="V37" s="1"/>
  <c r="R21"/>
  <c r="R37" s="1"/>
  <c r="N21"/>
  <c r="N37" s="1"/>
  <c r="AG30"/>
  <c r="AG46" s="1"/>
  <c r="X21"/>
  <c r="X37" s="1"/>
  <c r="W30"/>
  <c r="W46" s="1"/>
  <c r="S30"/>
  <c r="S46" s="1"/>
  <c r="K30"/>
  <c r="K46" s="1"/>
  <c r="G30"/>
  <c r="G46" s="1"/>
  <c r="AD29"/>
  <c r="AD45" s="1"/>
  <c r="V29"/>
  <c r="V45" s="1"/>
  <c r="N29"/>
  <c r="N45" s="1"/>
  <c r="AD27"/>
  <c r="AD43" s="1"/>
  <c r="V27"/>
  <c r="V43" s="1"/>
  <c r="N27"/>
  <c r="N43" s="1"/>
  <c r="AH25"/>
  <c r="AH41" s="1"/>
  <c r="Z25"/>
  <c r="Z41" s="1"/>
  <c r="R25"/>
  <c r="R41" s="1"/>
  <c r="J25"/>
  <c r="J41" s="1"/>
  <c r="AK22"/>
  <c r="AK38" s="1"/>
  <c r="Y21"/>
  <c r="Y37" s="1"/>
  <c r="L21"/>
  <c r="L37" s="1"/>
  <c r="AE30"/>
  <c r="AE46" s="1"/>
  <c r="AE432" s="1"/>
  <c r="M30"/>
  <c r="M46" s="1"/>
  <c r="W23"/>
  <c r="W39" s="1"/>
  <c r="U22"/>
  <c r="U38" s="1"/>
  <c r="T21"/>
  <c r="T37" s="1"/>
  <c r="AI21"/>
  <c r="AI37" s="1"/>
  <c r="AE21"/>
  <c r="AE37" s="1"/>
  <c r="AA21"/>
  <c r="AA37" s="1"/>
  <c r="W21"/>
  <c r="W37" s="1"/>
  <c r="S21"/>
  <c r="S37" s="1"/>
  <c r="O21"/>
  <c r="O37" s="1"/>
  <c r="K21"/>
  <c r="K37" s="1"/>
  <c r="AH29"/>
  <c r="AH45" s="1"/>
  <c r="Z29"/>
  <c r="Z45" s="1"/>
  <c r="R29"/>
  <c r="R45" s="1"/>
  <c r="J29"/>
  <c r="AH27"/>
  <c r="AH43" s="1"/>
  <c r="Z27"/>
  <c r="Z43" s="1"/>
  <c r="R27"/>
  <c r="R43" s="1"/>
  <c r="J27"/>
  <c r="V25"/>
  <c r="V41" s="1"/>
  <c r="N25"/>
  <c r="N41" s="1"/>
  <c r="I30"/>
  <c r="I46" s="1"/>
  <c r="AC21"/>
  <c r="AC37" s="1"/>
  <c r="H21"/>
  <c r="H37" s="1"/>
  <c r="AI22"/>
  <c r="AI38" s="1"/>
  <c r="AE22"/>
  <c r="AE38" s="1"/>
  <c r="AA22"/>
  <c r="AA38" s="1"/>
  <c r="W22"/>
  <c r="W38" s="1"/>
  <c r="S22"/>
  <c r="S38" s="1"/>
  <c r="O22"/>
  <c r="O38" s="1"/>
  <c r="K22"/>
  <c r="K38" s="1"/>
  <c r="EW163"/>
  <c r="Y381"/>
  <c r="S377"/>
  <c r="FQ181"/>
  <c r="FQ156"/>
  <c r="FN150"/>
  <c r="FN143"/>
  <c r="FN120"/>
  <c r="E505"/>
  <c r="H506" s="1"/>
  <c r="FN178"/>
  <c r="FN173"/>
  <c r="FN165"/>
  <c r="FN137"/>
  <c r="FN124"/>
  <c r="FN114"/>
  <c r="FL186"/>
  <c r="FL173"/>
  <c r="FL165"/>
  <c r="FL163"/>
  <c r="FL152"/>
  <c r="FL143"/>
  <c r="FL138"/>
  <c r="FL124"/>
  <c r="FL175"/>
  <c r="FL158"/>
  <c r="FL157"/>
  <c r="FL154"/>
  <c r="FL149"/>
  <c r="FL146"/>
  <c r="FL142"/>
  <c r="FL137"/>
  <c r="FL112"/>
  <c r="FG181"/>
  <c r="FG174"/>
  <c r="E491"/>
  <c r="H492" s="1"/>
  <c r="X372"/>
  <c r="X373" s="1"/>
  <c r="FG162"/>
  <c r="FG156"/>
  <c r="ER152"/>
  <c r="ER149"/>
  <c r="ER131"/>
  <c r="ER112"/>
  <c r="ER157"/>
  <c r="ER156"/>
  <c r="ER154"/>
  <c r="ER146"/>
  <c r="ER135"/>
  <c r="ER125"/>
  <c r="ER120"/>
  <c r="EP165"/>
  <c r="EP150"/>
  <c r="EP143"/>
  <c r="EP120"/>
  <c r="EP178"/>
  <c r="EP173"/>
  <c r="EP158"/>
  <c r="EP136"/>
  <c r="EP110"/>
  <c r="Z381"/>
  <c r="Z380"/>
  <c r="Z382"/>
  <c r="Z378"/>
  <c r="Z374"/>
  <c r="O376"/>
  <c r="O373"/>
  <c r="O380"/>
  <c r="J380"/>
  <c r="J374"/>
  <c r="J382"/>
  <c r="J381"/>
  <c r="AA372"/>
  <c r="AA374" s="1"/>
  <c r="FJ182"/>
  <c r="FJ158"/>
  <c r="FJ150"/>
  <c r="FJ143"/>
  <c r="FJ142"/>
  <c r="FJ114"/>
  <c r="FJ159"/>
  <c r="FJ145"/>
  <c r="FJ137"/>
  <c r="FJ131"/>
  <c r="E487"/>
  <c r="H488" s="1"/>
  <c r="FE156"/>
  <c r="FC164"/>
  <c r="T372"/>
  <c r="T381" s="1"/>
  <c r="FC169"/>
  <c r="FC156"/>
  <c r="FC153"/>
  <c r="EZ186"/>
  <c r="EZ177"/>
  <c r="EZ170"/>
  <c r="EZ152"/>
  <c r="EZ145"/>
  <c r="EZ131"/>
  <c r="EZ116"/>
  <c r="E477"/>
  <c r="Q372"/>
  <c r="Q382" s="1"/>
  <c r="EZ182"/>
  <c r="EZ154"/>
  <c r="EZ146"/>
  <c r="EZ137"/>
  <c r="EZ120"/>
  <c r="AK378"/>
  <c r="AK379"/>
  <c r="AK377"/>
  <c r="AK374"/>
  <c r="AB378"/>
  <c r="AB374"/>
  <c r="AB375"/>
  <c r="R372"/>
  <c r="R379" s="1"/>
  <c r="FA174"/>
  <c r="FA181"/>
  <c r="FA162"/>
  <c r="FA156"/>
  <c r="EX157"/>
  <c r="EX150"/>
  <c r="EX143"/>
  <c r="EX120"/>
  <c r="E473"/>
  <c r="EX178"/>
  <c r="EX165"/>
  <c r="EX159"/>
  <c r="EX137"/>
  <c r="EX124"/>
  <c r="EX114"/>
  <c r="EV165"/>
  <c r="EV163"/>
  <c r="EV152"/>
  <c r="EV156"/>
  <c r="EV154"/>
  <c r="EV149"/>
  <c r="EV146"/>
  <c r="EV138"/>
  <c r="EV137"/>
  <c r="EV112"/>
  <c r="FN90"/>
  <c r="ER90"/>
  <c r="FQ92"/>
  <c r="FN99"/>
  <c r="ER99"/>
  <c r="FQ101"/>
  <c r="FL102"/>
  <c r="FL104"/>
  <c r="FL131"/>
  <c r="FL135"/>
  <c r="FN136"/>
  <c r="FG143"/>
  <c r="FN152"/>
  <c r="FQ153"/>
  <c r="FN156"/>
  <c r="ER158"/>
  <c r="FG169"/>
  <c r="EP170"/>
  <c r="ER178"/>
  <c r="ER182"/>
  <c r="AE372"/>
  <c r="AE378" s="1"/>
  <c r="E511"/>
  <c r="H512" s="1"/>
  <c r="E501"/>
  <c r="H502" s="1"/>
  <c r="E461"/>
  <c r="E457"/>
  <c r="FL88"/>
  <c r="FE89"/>
  <c r="FE90"/>
  <c r="FN92"/>
  <c r="ER92"/>
  <c r="FQ94"/>
  <c r="FJ94"/>
  <c r="FG94"/>
  <c r="FL96"/>
  <c r="FC96"/>
  <c r="EZ96"/>
  <c r="FQ98"/>
  <c r="FJ99"/>
  <c r="FG100"/>
  <c r="FL101"/>
  <c r="FG101"/>
  <c r="ER102"/>
  <c r="FQ103"/>
  <c r="FN104"/>
  <c r="ER104"/>
  <c r="FC105"/>
  <c r="FJ106"/>
  <c r="EZ106"/>
  <c r="EZ108"/>
  <c r="EZ112"/>
  <c r="ER116"/>
  <c r="FC117"/>
  <c r="FC118"/>
  <c r="FQ119"/>
  <c r="FC124"/>
  <c r="EZ124"/>
  <c r="EZ125"/>
  <c r="FG131"/>
  <c r="FJ136"/>
  <c r="EZ136"/>
  <c r="FQ137"/>
  <c r="FG137"/>
  <c r="FE137"/>
  <c r="FC137"/>
  <c r="ER137"/>
  <c r="FG139"/>
  <c r="FG140"/>
  <c r="FE141"/>
  <c r="FG145"/>
  <c r="FJ152"/>
  <c r="FG153"/>
  <c r="EZ157"/>
  <c r="FC158"/>
  <c r="FN159"/>
  <c r="FL162"/>
  <c r="ER163"/>
  <c r="FL164"/>
  <c r="FG165"/>
  <c r="FG170"/>
  <c r="FJ173"/>
  <c r="FG173"/>
  <c r="ER173"/>
  <c r="FJ175"/>
  <c r="ER175"/>
  <c r="EZ179"/>
  <c r="FE181"/>
  <c r="FC185"/>
  <c r="FQ186"/>
  <c r="FN186"/>
  <c r="FJ186"/>
  <c r="FG186"/>
  <c r="O375"/>
  <c r="O377"/>
  <c r="S381"/>
  <c r="V372"/>
  <c r="V376" s="1"/>
  <c r="G372"/>
  <c r="H514"/>
  <c r="E497"/>
  <c r="H498" s="1"/>
  <c r="E483"/>
  <c r="H484" s="1"/>
  <c r="W377"/>
  <c r="W376"/>
  <c r="W373"/>
  <c r="AJ372"/>
  <c r="FS164"/>
  <c r="FS162"/>
  <c r="FS139"/>
  <c r="FS180"/>
  <c r="FS169"/>
  <c r="FS156"/>
  <c r="FS153"/>
  <c r="AG372"/>
  <c r="AG378" s="1"/>
  <c r="FP152"/>
  <c r="FP145"/>
  <c r="FP143"/>
  <c r="FP131"/>
  <c r="FP116"/>
  <c r="E509"/>
  <c r="H508" s="1"/>
  <c r="FP157"/>
  <c r="FP154"/>
  <c r="FP146"/>
  <c r="FP137"/>
  <c r="FP120"/>
  <c r="K372"/>
  <c r="ET182"/>
  <c r="ET170"/>
  <c r="ET150"/>
  <c r="ET143"/>
  <c r="ET138"/>
  <c r="ET137"/>
  <c r="ET114"/>
  <c r="ET131"/>
  <c r="FL94"/>
  <c r="FQ99"/>
  <c r="FN101"/>
  <c r="EP102"/>
  <c r="FN106"/>
  <c r="FN116"/>
  <c r="FG119"/>
  <c r="ER132"/>
  <c r="ER138"/>
  <c r="FQ143"/>
  <c r="FL145"/>
  <c r="EP152"/>
  <c r="FL156"/>
  <c r="FQ162"/>
  <c r="FQ166"/>
  <c r="EP166"/>
  <c r="FQ173"/>
  <c r="FG178"/>
  <c r="FN88"/>
  <c r="EP88"/>
  <c r="FG89"/>
  <c r="FL90"/>
  <c r="FN94"/>
  <c r="ER94"/>
  <c r="FQ96"/>
  <c r="FG96"/>
  <c r="FN102"/>
  <c r="FG105"/>
  <c r="FL106"/>
  <c r="EP106"/>
  <c r="FL108"/>
  <c r="FN110"/>
  <c r="FG113"/>
  <c r="EP114"/>
  <c r="FL120"/>
  <c r="FG120"/>
  <c r="FL122"/>
  <c r="FL125"/>
  <c r="EP125"/>
  <c r="FN126"/>
  <c r="EP126"/>
  <c r="FL128"/>
  <c r="FN129"/>
  <c r="FE130"/>
  <c r="FQ131"/>
  <c r="EP137"/>
  <c r="FQ138"/>
  <c r="FN138"/>
  <c r="FJ138"/>
  <c r="FQ139"/>
  <c r="FL139"/>
  <c r="FC139"/>
  <c r="FQ140"/>
  <c r="FG141"/>
  <c r="FQ142"/>
  <c r="FN142"/>
  <c r="ER143"/>
  <c r="FC144"/>
  <c r="FQ145"/>
  <c r="FN146"/>
  <c r="EP146"/>
  <c r="FJ147"/>
  <c r="EP148"/>
  <c r="ER150"/>
  <c r="FN154"/>
  <c r="EP154"/>
  <c r="FG155"/>
  <c r="EP157"/>
  <c r="FQ158"/>
  <c r="FL159"/>
  <c r="FC159"/>
  <c r="EZ159"/>
  <c r="FC162"/>
  <c r="EZ162"/>
  <c r="FQ164"/>
  <c r="FN164"/>
  <c r="FQ170"/>
  <c r="FN170"/>
  <c r="FJ170"/>
  <c r="FE170"/>
  <c r="FE173"/>
  <c r="FN174"/>
  <c r="FC176"/>
  <c r="ER177"/>
  <c r="EZ180"/>
  <c r="ER180"/>
  <c r="FL182"/>
  <c r="FE182"/>
  <c r="FE186"/>
  <c r="ER187"/>
  <c r="Z373"/>
  <c r="O379"/>
  <c r="S380"/>
  <c r="AH372"/>
  <c r="AH379" s="1"/>
  <c r="AC372"/>
  <c r="AC378" s="1"/>
  <c r="FG109"/>
  <c r="FL110"/>
  <c r="EV110"/>
  <c r="FE115"/>
  <c r="FJ116"/>
  <c r="ET116"/>
  <c r="FG117"/>
  <c r="FG118"/>
  <c r="FS119"/>
  <c r="FC119"/>
  <c r="FS120"/>
  <c r="FC120"/>
  <c r="FP122"/>
  <c r="EZ122"/>
  <c r="ER122"/>
  <c r="FQ124"/>
  <c r="FA124"/>
  <c r="FN125"/>
  <c r="EX125"/>
  <c r="FJ126"/>
  <c r="ET126"/>
  <c r="EP129"/>
  <c r="FE131"/>
  <c r="FJ132"/>
  <c r="ET132"/>
  <c r="FN135"/>
  <c r="EX135"/>
  <c r="FL136"/>
  <c r="EV136"/>
  <c r="FC138"/>
  <c r="EZ138"/>
  <c r="FN139"/>
  <c r="EZ139"/>
  <c r="FS140"/>
  <c r="FC140"/>
  <c r="FQ141"/>
  <c r="FA141"/>
  <c r="FG142"/>
  <c r="FE145"/>
  <c r="FN147"/>
  <c r="EX147"/>
  <c r="EP147"/>
  <c r="FN148"/>
  <c r="EX148"/>
  <c r="EZ158"/>
  <c r="ET158"/>
  <c r="FS159"/>
  <c r="FP159"/>
  <c r="FG159"/>
  <c r="FL160"/>
  <c r="EZ161"/>
  <c r="FP162"/>
  <c r="FJ162"/>
  <c r="FE163"/>
  <c r="FG164"/>
  <c r="FE165"/>
  <c r="EZ167"/>
  <c r="EZ168"/>
  <c r="FL171"/>
  <c r="EV171"/>
  <c r="FC173"/>
  <c r="EZ173"/>
  <c r="ET173"/>
  <c r="EV175"/>
  <c r="FS176"/>
  <c r="FE176"/>
  <c r="EP177"/>
  <c r="FQ178"/>
  <c r="FE178"/>
  <c r="FA178"/>
  <c r="ET178"/>
  <c r="FP179"/>
  <c r="FP180"/>
  <c r="FQ182"/>
  <c r="FC182"/>
  <c r="ER183"/>
  <c r="FG185"/>
  <c r="FC186"/>
  <c r="ET186"/>
  <c r="FJ187"/>
  <c r="ER110"/>
  <c r="FQ111"/>
  <c r="FA111"/>
  <c r="FN112"/>
  <c r="EX112"/>
  <c r="FS113"/>
  <c r="FC113"/>
  <c r="FP114"/>
  <c r="EZ114"/>
  <c r="FE119"/>
  <c r="FQ120"/>
  <c r="FA120"/>
  <c r="FJ122"/>
  <c r="ET122"/>
  <c r="FG124"/>
  <c r="FJ125"/>
  <c r="ET125"/>
  <c r="FL126"/>
  <c r="EV126"/>
  <c r="ER128"/>
  <c r="FJ129"/>
  <c r="ET129"/>
  <c r="FQ130"/>
  <c r="FA130"/>
  <c r="FS131"/>
  <c r="FC131"/>
  <c r="FL132"/>
  <c r="EV132"/>
  <c r="FJ134"/>
  <c r="ET134"/>
  <c r="FJ135"/>
  <c r="ET135"/>
  <c r="ER136"/>
  <c r="FG138"/>
  <c r="FA138"/>
  <c r="FA139"/>
  <c r="EV139"/>
  <c r="ER139"/>
  <c r="FE140"/>
  <c r="FS141"/>
  <c r="FC141"/>
  <c r="FE142"/>
  <c r="FS145"/>
  <c r="FC145"/>
  <c r="FP147"/>
  <c r="EZ147"/>
  <c r="ER147"/>
  <c r="FN149"/>
  <c r="EX149"/>
  <c r="FG151"/>
  <c r="FE153"/>
  <c r="ET157"/>
  <c r="FS158"/>
  <c r="FP158"/>
  <c r="FG158"/>
  <c r="FA158"/>
  <c r="FQ159"/>
  <c r="FE159"/>
  <c r="FN160"/>
  <c r="FN162"/>
  <c r="FE162"/>
  <c r="EV162"/>
  <c r="EP162"/>
  <c r="FC163"/>
  <c r="EZ163"/>
  <c r="FP164"/>
  <c r="EZ164"/>
  <c r="ER164"/>
  <c r="FC165"/>
  <c r="EZ166"/>
  <c r="FE167"/>
  <c r="FJ167"/>
  <c r="FP168"/>
  <c r="FL170"/>
  <c r="FC170"/>
  <c r="FN171"/>
  <c r="EX171"/>
  <c r="EP171"/>
  <c r="FS173"/>
  <c r="FA173"/>
  <c r="FS174"/>
  <c r="FP174"/>
  <c r="FJ174"/>
  <c r="FP175"/>
  <c r="EZ175"/>
  <c r="FN177"/>
  <c r="FL178"/>
  <c r="FQ180"/>
  <c r="FC180"/>
  <c r="EX180"/>
  <c r="FN182"/>
  <c r="FG182"/>
  <c r="FA182"/>
  <c r="EX182"/>
  <c r="EV183"/>
  <c r="FS186"/>
  <c r="FN187"/>
  <c r="DF89"/>
  <c r="DH89"/>
  <c r="ER89" s="1"/>
  <c r="DJ89"/>
  <c r="ET89" s="1"/>
  <c r="DL89"/>
  <c r="EV89" s="1"/>
  <c r="DF93"/>
  <c r="DH93"/>
  <c r="ER93" s="1"/>
  <c r="DJ93"/>
  <c r="ET93" s="1"/>
  <c r="DL93"/>
  <c r="EV93" s="1"/>
  <c r="DN93"/>
  <c r="EX93" s="1"/>
  <c r="DP93"/>
  <c r="EZ93" s="1"/>
  <c r="DR93"/>
  <c r="FB93" s="1"/>
  <c r="DT93"/>
  <c r="FD93" s="1"/>
  <c r="DV93"/>
  <c r="FF93" s="1"/>
  <c r="DX93"/>
  <c r="FH93" s="1"/>
  <c r="DZ93"/>
  <c r="FJ93" s="1"/>
  <c r="EB93"/>
  <c r="FL93" s="1"/>
  <c r="ED93"/>
  <c r="FN93" s="1"/>
  <c r="EF93"/>
  <c r="FP93" s="1"/>
  <c r="EH93"/>
  <c r="FR93" s="1"/>
  <c r="EJ93"/>
  <c r="FT93" s="1"/>
  <c r="DF95"/>
  <c r="DH95"/>
  <c r="ER95" s="1"/>
  <c r="DJ95"/>
  <c r="ET95" s="1"/>
  <c r="DL95"/>
  <c r="EV95" s="1"/>
  <c r="DN95"/>
  <c r="EX95" s="1"/>
  <c r="DP95"/>
  <c r="EZ95" s="1"/>
  <c r="DR95"/>
  <c r="FB95" s="1"/>
  <c r="DT95"/>
  <c r="FD95" s="1"/>
  <c r="DV95"/>
  <c r="FF95" s="1"/>
  <c r="DX95"/>
  <c r="FH95" s="1"/>
  <c r="DZ95"/>
  <c r="FJ95" s="1"/>
  <c r="EB95"/>
  <c r="FL95" s="1"/>
  <c r="ED95"/>
  <c r="FN95" s="1"/>
  <c r="EF95"/>
  <c r="FP95" s="1"/>
  <c r="EH95"/>
  <c r="FR95" s="1"/>
  <c r="EJ95"/>
  <c r="FT95" s="1"/>
  <c r="DG121"/>
  <c r="EQ121" s="1"/>
  <c r="DI121"/>
  <c r="ES121" s="1"/>
  <c r="DK121"/>
  <c r="EU121" s="1"/>
  <c r="DM121"/>
  <c r="EW121" s="1"/>
  <c r="DO121"/>
  <c r="EY121" s="1"/>
  <c r="DQ121"/>
  <c r="FA121" s="1"/>
  <c r="DS121"/>
  <c r="FC121" s="1"/>
  <c r="DU121"/>
  <c r="FE121" s="1"/>
  <c r="DW121"/>
  <c r="FG121" s="1"/>
  <c r="DY121"/>
  <c r="FI121" s="1"/>
  <c r="EA121"/>
  <c r="FK121" s="1"/>
  <c r="EC121"/>
  <c r="FM121" s="1"/>
  <c r="EE121"/>
  <c r="FO121" s="1"/>
  <c r="EG121"/>
  <c r="FQ121" s="1"/>
  <c r="EI121"/>
  <c r="FS121" s="1"/>
  <c r="DN123"/>
  <c r="EX123" s="1"/>
  <c r="DP123"/>
  <c r="EZ123" s="1"/>
  <c r="DR123"/>
  <c r="FB123" s="1"/>
  <c r="DT123"/>
  <c r="FD123" s="1"/>
  <c r="DV123"/>
  <c r="FF123" s="1"/>
  <c r="DX123"/>
  <c r="FH123" s="1"/>
  <c r="DZ123"/>
  <c r="FJ123" s="1"/>
  <c r="EB123"/>
  <c r="FL123" s="1"/>
  <c r="ED123"/>
  <c r="FN123" s="1"/>
  <c r="EF123"/>
  <c r="FP123" s="1"/>
  <c r="EH123"/>
  <c r="FR123" s="1"/>
  <c r="EJ123"/>
  <c r="FT123" s="1"/>
  <c r="DN127"/>
  <c r="EX127" s="1"/>
  <c r="DP127"/>
  <c r="EZ127" s="1"/>
  <c r="DR127"/>
  <c r="FB127" s="1"/>
  <c r="DT127"/>
  <c r="FD127" s="1"/>
  <c r="DV127"/>
  <c r="FF127" s="1"/>
  <c r="DX127"/>
  <c r="FH127" s="1"/>
  <c r="DZ127"/>
  <c r="FJ127" s="1"/>
  <c r="EB127"/>
  <c r="FL127" s="1"/>
  <c r="ED127"/>
  <c r="FN127" s="1"/>
  <c r="EF127"/>
  <c r="FP127" s="1"/>
  <c r="EH127"/>
  <c r="FR127" s="1"/>
  <c r="EJ127"/>
  <c r="FT127" s="1"/>
  <c r="DC129"/>
  <c r="DE129"/>
  <c r="DG140"/>
  <c r="EQ140" s="1"/>
  <c r="DK140"/>
  <c r="EU140" s="1"/>
  <c r="DC149"/>
  <c r="DE149"/>
  <c r="EP149"/>
  <c r="DF172"/>
  <c r="DH172"/>
  <c r="ER172" s="1"/>
  <c r="DJ172"/>
  <c r="ET172" s="1"/>
  <c r="DL172"/>
  <c r="EV172" s="1"/>
  <c r="DN172"/>
  <c r="EX172" s="1"/>
  <c r="DP172"/>
  <c r="EZ172" s="1"/>
  <c r="DR172"/>
  <c r="FB172" s="1"/>
  <c r="DT172"/>
  <c r="FD172" s="1"/>
  <c r="DV172"/>
  <c r="FF172" s="1"/>
  <c r="DX172"/>
  <c r="FH172" s="1"/>
  <c r="DZ172"/>
  <c r="FJ172" s="1"/>
  <c r="EB172"/>
  <c r="FL172" s="1"/>
  <c r="ED172"/>
  <c r="FN172" s="1"/>
  <c r="EF172"/>
  <c r="FP172" s="1"/>
  <c r="EH172"/>
  <c r="FR172" s="1"/>
  <c r="EJ172"/>
  <c r="FT172" s="1"/>
  <c r="DG172"/>
  <c r="EQ172" s="1"/>
  <c r="DK172"/>
  <c r="EU172" s="1"/>
  <c r="DO172"/>
  <c r="EY172" s="1"/>
  <c r="DS172"/>
  <c r="FC172" s="1"/>
  <c r="DW172"/>
  <c r="FG172" s="1"/>
  <c r="EA172"/>
  <c r="FK172" s="1"/>
  <c r="EE172"/>
  <c r="FO172" s="1"/>
  <c r="EI172"/>
  <c r="FS172" s="1"/>
  <c r="DI172"/>
  <c r="ES172" s="1"/>
  <c r="DQ172"/>
  <c r="FA172" s="1"/>
  <c r="DY172"/>
  <c r="FI172" s="1"/>
  <c r="EG172"/>
  <c r="FQ172" s="1"/>
  <c r="EP192"/>
  <c r="FU192" s="1"/>
  <c r="EK192"/>
  <c r="DF98"/>
  <c r="DH98"/>
  <c r="DJ98"/>
  <c r="DL98"/>
  <c r="EV98" s="1"/>
  <c r="DN98"/>
  <c r="EX98" s="1"/>
  <c r="DP98"/>
  <c r="EZ98" s="1"/>
  <c r="DR98"/>
  <c r="DT98"/>
  <c r="DV98"/>
  <c r="DX98"/>
  <c r="DZ98"/>
  <c r="EB98"/>
  <c r="ED98"/>
  <c r="EF98"/>
  <c r="EH98"/>
  <c r="EJ98"/>
  <c r="DF103"/>
  <c r="DH103"/>
  <c r="ER103" s="1"/>
  <c r="DJ103"/>
  <c r="ET103" s="1"/>
  <c r="DL103"/>
  <c r="EV103" s="1"/>
  <c r="DN103"/>
  <c r="EX103" s="1"/>
  <c r="DP103"/>
  <c r="EZ103" s="1"/>
  <c r="DR103"/>
  <c r="FB103" s="1"/>
  <c r="DT103"/>
  <c r="FD103" s="1"/>
  <c r="DV103"/>
  <c r="FF103" s="1"/>
  <c r="DX103"/>
  <c r="FH103" s="1"/>
  <c r="DZ103"/>
  <c r="FJ103" s="1"/>
  <c r="EB103"/>
  <c r="FL103" s="1"/>
  <c r="ED103"/>
  <c r="FN103" s="1"/>
  <c r="EF103"/>
  <c r="FP103" s="1"/>
  <c r="EH103"/>
  <c r="FR103" s="1"/>
  <c r="EJ103"/>
  <c r="FT103" s="1"/>
  <c r="DF111"/>
  <c r="DH111"/>
  <c r="ER111" s="1"/>
  <c r="DJ111"/>
  <c r="ET111" s="1"/>
  <c r="DL111"/>
  <c r="EV111" s="1"/>
  <c r="DN111"/>
  <c r="EX111" s="1"/>
  <c r="DP111"/>
  <c r="EZ111" s="1"/>
  <c r="DR111"/>
  <c r="FB111" s="1"/>
  <c r="DT111"/>
  <c r="FD111" s="1"/>
  <c r="DV111"/>
  <c r="FF111" s="1"/>
  <c r="DX111"/>
  <c r="FH111" s="1"/>
  <c r="DZ111"/>
  <c r="FJ111" s="1"/>
  <c r="EB111"/>
  <c r="FL111" s="1"/>
  <c r="ED111"/>
  <c r="FN111" s="1"/>
  <c r="EF111"/>
  <c r="FP111" s="1"/>
  <c r="EH111"/>
  <c r="FR111" s="1"/>
  <c r="EJ111"/>
  <c r="FT111" s="1"/>
  <c r="DF115"/>
  <c r="DH115"/>
  <c r="ER115" s="1"/>
  <c r="DJ115"/>
  <c r="ET115" s="1"/>
  <c r="DL115"/>
  <c r="EV115" s="1"/>
  <c r="DN115"/>
  <c r="EX115" s="1"/>
  <c r="DP115"/>
  <c r="EZ115" s="1"/>
  <c r="DR115"/>
  <c r="FB115" s="1"/>
  <c r="DT115"/>
  <c r="FD115" s="1"/>
  <c r="DV115"/>
  <c r="FF115" s="1"/>
  <c r="DX115"/>
  <c r="FH115" s="1"/>
  <c r="DZ115"/>
  <c r="FJ115" s="1"/>
  <c r="EB115"/>
  <c r="FL115" s="1"/>
  <c r="ED115"/>
  <c r="FN115" s="1"/>
  <c r="EF115"/>
  <c r="FP115" s="1"/>
  <c r="EH115"/>
  <c r="FR115" s="1"/>
  <c r="EJ115"/>
  <c r="FT115" s="1"/>
  <c r="DC121"/>
  <c r="DE121"/>
  <c r="DG128"/>
  <c r="EQ128" s="1"/>
  <c r="DI128"/>
  <c r="DK128"/>
  <c r="DM128"/>
  <c r="DO128"/>
  <c r="DQ128"/>
  <c r="DS128"/>
  <c r="DU128"/>
  <c r="DW128"/>
  <c r="DY128"/>
  <c r="EA128"/>
  <c r="EC128"/>
  <c r="EE128"/>
  <c r="EG128"/>
  <c r="EI128"/>
  <c r="DN130"/>
  <c r="EX130" s="1"/>
  <c r="DP130"/>
  <c r="EZ130" s="1"/>
  <c r="DR130"/>
  <c r="FB130" s="1"/>
  <c r="DT130"/>
  <c r="FD130" s="1"/>
  <c r="DV130"/>
  <c r="FF130" s="1"/>
  <c r="DX130"/>
  <c r="FH130" s="1"/>
  <c r="DZ130"/>
  <c r="FJ130" s="1"/>
  <c r="EB130"/>
  <c r="FL130" s="1"/>
  <c r="ED130"/>
  <c r="FN130" s="1"/>
  <c r="EF130"/>
  <c r="FP130" s="1"/>
  <c r="EH130"/>
  <c r="FR130" s="1"/>
  <c r="EJ130"/>
  <c r="FT130" s="1"/>
  <c r="DG134"/>
  <c r="EQ134" s="1"/>
  <c r="DI134"/>
  <c r="ES134" s="1"/>
  <c r="DK134"/>
  <c r="EU134" s="1"/>
  <c r="DM134"/>
  <c r="EW134" s="1"/>
  <c r="DO134"/>
  <c r="EY134" s="1"/>
  <c r="DQ134"/>
  <c r="FA134" s="1"/>
  <c r="DS134"/>
  <c r="FC134" s="1"/>
  <c r="DU134"/>
  <c r="FE134" s="1"/>
  <c r="DW134"/>
  <c r="FG134" s="1"/>
  <c r="DY134"/>
  <c r="FI134" s="1"/>
  <c r="EA134"/>
  <c r="FK134" s="1"/>
  <c r="EC134"/>
  <c r="FM134" s="1"/>
  <c r="EE134"/>
  <c r="FO134" s="1"/>
  <c r="EG134"/>
  <c r="FQ134" s="1"/>
  <c r="EI134"/>
  <c r="FS134" s="1"/>
  <c r="DG160"/>
  <c r="EQ160" s="1"/>
  <c r="DI160"/>
  <c r="ES160" s="1"/>
  <c r="DK160"/>
  <c r="EU160" s="1"/>
  <c r="DM160"/>
  <c r="EW160" s="1"/>
  <c r="DO160"/>
  <c r="EY160" s="1"/>
  <c r="DQ160"/>
  <c r="FA160" s="1"/>
  <c r="DS160"/>
  <c r="FC160" s="1"/>
  <c r="DU160"/>
  <c r="FE160" s="1"/>
  <c r="DW160"/>
  <c r="FG160" s="1"/>
  <c r="DY160"/>
  <c r="FI160" s="1"/>
  <c r="EA160"/>
  <c r="FK160" s="1"/>
  <c r="EC160"/>
  <c r="FM160" s="1"/>
  <c r="EE160"/>
  <c r="FO160" s="1"/>
  <c r="EG160"/>
  <c r="FQ160" s="1"/>
  <c r="EI160"/>
  <c r="FS160" s="1"/>
  <c r="DH160"/>
  <c r="ER160" s="1"/>
  <c r="DP160"/>
  <c r="EZ160" s="1"/>
  <c r="DX160"/>
  <c r="FH160" s="1"/>
  <c r="EF160"/>
  <c r="FP160" s="1"/>
  <c r="DJ160"/>
  <c r="ET160" s="1"/>
  <c r="DR160"/>
  <c r="FB160" s="1"/>
  <c r="DZ160"/>
  <c r="FJ160" s="1"/>
  <c r="EH160"/>
  <c r="FR160" s="1"/>
  <c r="DF160"/>
  <c r="DV160"/>
  <c r="FF160" s="1"/>
  <c r="DT160"/>
  <c r="FD160" s="1"/>
  <c r="EJ160"/>
  <c r="FT160" s="1"/>
  <c r="DG161"/>
  <c r="EQ161" s="1"/>
  <c r="DI161"/>
  <c r="ES161" s="1"/>
  <c r="DK161"/>
  <c r="EU161" s="1"/>
  <c r="DM161"/>
  <c r="EW161" s="1"/>
  <c r="DO161"/>
  <c r="EY161" s="1"/>
  <c r="DQ161"/>
  <c r="FA161" s="1"/>
  <c r="DS161"/>
  <c r="FC161" s="1"/>
  <c r="DU161"/>
  <c r="FE161" s="1"/>
  <c r="DW161"/>
  <c r="FG161" s="1"/>
  <c r="DY161"/>
  <c r="FI161" s="1"/>
  <c r="EA161"/>
  <c r="FK161" s="1"/>
  <c r="EC161"/>
  <c r="FM161" s="1"/>
  <c r="EE161"/>
  <c r="FO161" s="1"/>
  <c r="EG161"/>
  <c r="FQ161" s="1"/>
  <c r="EI161"/>
  <c r="FS161" s="1"/>
  <c r="DJ161"/>
  <c r="ET161" s="1"/>
  <c r="DR161"/>
  <c r="FB161" s="1"/>
  <c r="DZ161"/>
  <c r="FJ161" s="1"/>
  <c r="EH161"/>
  <c r="FR161" s="1"/>
  <c r="DL161"/>
  <c r="EV161" s="1"/>
  <c r="DT161"/>
  <c r="FD161" s="1"/>
  <c r="EB161"/>
  <c r="FL161" s="1"/>
  <c r="EJ161"/>
  <c r="FT161" s="1"/>
  <c r="DN161"/>
  <c r="EX161" s="1"/>
  <c r="ED161"/>
  <c r="FN161" s="1"/>
  <c r="DH161"/>
  <c r="ER161" s="1"/>
  <c r="DX161"/>
  <c r="FH161" s="1"/>
  <c r="EK163"/>
  <c r="EP163"/>
  <c r="DC193"/>
  <c r="DE193"/>
  <c r="EP204"/>
  <c r="FU204" s="1"/>
  <c r="EK204"/>
  <c r="DG88"/>
  <c r="DI88"/>
  <c r="DK88"/>
  <c r="EU88" s="1"/>
  <c r="DM88"/>
  <c r="EW88" s="1"/>
  <c r="DO88"/>
  <c r="EY88" s="1"/>
  <c r="DQ88"/>
  <c r="FA88" s="1"/>
  <c r="DS88"/>
  <c r="DU88"/>
  <c r="DW88"/>
  <c r="DY88"/>
  <c r="EA88"/>
  <c r="EC88"/>
  <c r="EE88"/>
  <c r="EG88"/>
  <c r="EI88"/>
  <c r="DF100"/>
  <c r="DH100"/>
  <c r="ER100" s="1"/>
  <c r="DJ100"/>
  <c r="ET100" s="1"/>
  <c r="DL100"/>
  <c r="EV100" s="1"/>
  <c r="DF118"/>
  <c r="DH118"/>
  <c r="ER118" s="1"/>
  <c r="DJ118"/>
  <c r="DL118"/>
  <c r="EV118" s="1"/>
  <c r="DF119"/>
  <c r="DH119"/>
  <c r="ER119" s="1"/>
  <c r="DJ119"/>
  <c r="ET119" s="1"/>
  <c r="DL119"/>
  <c r="EV119" s="1"/>
  <c r="DN119"/>
  <c r="EX119" s="1"/>
  <c r="DP119"/>
  <c r="EZ119" s="1"/>
  <c r="DR119"/>
  <c r="FB119" s="1"/>
  <c r="DT119"/>
  <c r="FD119" s="1"/>
  <c r="DV119"/>
  <c r="FF119" s="1"/>
  <c r="DX119"/>
  <c r="FH119" s="1"/>
  <c r="DZ119"/>
  <c r="FJ119" s="1"/>
  <c r="EB119"/>
  <c r="FL119" s="1"/>
  <c r="ED119"/>
  <c r="FN119" s="1"/>
  <c r="EF119"/>
  <c r="FP119" s="1"/>
  <c r="EH119"/>
  <c r="FR119" s="1"/>
  <c r="EJ119"/>
  <c r="FT119" s="1"/>
  <c r="DG122"/>
  <c r="EQ122" s="1"/>
  <c r="DI122"/>
  <c r="ES122" s="1"/>
  <c r="DK122"/>
  <c r="EU122" s="1"/>
  <c r="DM122"/>
  <c r="EW122" s="1"/>
  <c r="DO122"/>
  <c r="EY122" s="1"/>
  <c r="DQ122"/>
  <c r="FA122" s="1"/>
  <c r="DS122"/>
  <c r="FC122" s="1"/>
  <c r="DU122"/>
  <c r="FE122" s="1"/>
  <c r="DW122"/>
  <c r="FG122" s="1"/>
  <c r="DY122"/>
  <c r="FI122" s="1"/>
  <c r="EA122"/>
  <c r="FK122" s="1"/>
  <c r="EC122"/>
  <c r="FM122" s="1"/>
  <c r="EE122"/>
  <c r="FO122" s="1"/>
  <c r="EG122"/>
  <c r="FQ122" s="1"/>
  <c r="EI122"/>
  <c r="FS122" s="1"/>
  <c r="DG126"/>
  <c r="EQ126" s="1"/>
  <c r="DI126"/>
  <c r="ES126" s="1"/>
  <c r="DK126"/>
  <c r="EU126" s="1"/>
  <c r="DM126"/>
  <c r="EW126" s="1"/>
  <c r="DO126"/>
  <c r="EY126" s="1"/>
  <c r="DQ126"/>
  <c r="FA126" s="1"/>
  <c r="DS126"/>
  <c r="FC126" s="1"/>
  <c r="DU126"/>
  <c r="FE126" s="1"/>
  <c r="DW126"/>
  <c r="FG126" s="1"/>
  <c r="DY126"/>
  <c r="FI126" s="1"/>
  <c r="EA126"/>
  <c r="FK126" s="1"/>
  <c r="EC126"/>
  <c r="FM126" s="1"/>
  <c r="EE126"/>
  <c r="FO126" s="1"/>
  <c r="EG126"/>
  <c r="FQ126" s="1"/>
  <c r="EI126"/>
  <c r="FS126" s="1"/>
  <c r="DC128"/>
  <c r="DE128"/>
  <c r="DG132"/>
  <c r="EQ132" s="1"/>
  <c r="DI132"/>
  <c r="ES132" s="1"/>
  <c r="DK132"/>
  <c r="EU132" s="1"/>
  <c r="DM132"/>
  <c r="EW132" s="1"/>
  <c r="DO132"/>
  <c r="EY132" s="1"/>
  <c r="DQ132"/>
  <c r="FA132" s="1"/>
  <c r="DS132"/>
  <c r="FC132" s="1"/>
  <c r="DU132"/>
  <c r="FE132" s="1"/>
  <c r="DW132"/>
  <c r="FG132" s="1"/>
  <c r="DY132"/>
  <c r="FI132" s="1"/>
  <c r="EA132"/>
  <c r="FK132" s="1"/>
  <c r="EC132"/>
  <c r="FM132" s="1"/>
  <c r="EE132"/>
  <c r="FO132" s="1"/>
  <c r="EG132"/>
  <c r="FQ132" s="1"/>
  <c r="EI132"/>
  <c r="FS132" s="1"/>
  <c r="DG135"/>
  <c r="EQ135" s="1"/>
  <c r="DI135"/>
  <c r="ES135" s="1"/>
  <c r="DK135"/>
  <c r="EU135" s="1"/>
  <c r="DM135"/>
  <c r="EW135" s="1"/>
  <c r="DO135"/>
  <c r="EY135" s="1"/>
  <c r="DQ135"/>
  <c r="FA135" s="1"/>
  <c r="DS135"/>
  <c r="FC135" s="1"/>
  <c r="DU135"/>
  <c r="FE135" s="1"/>
  <c r="DW135"/>
  <c r="FG135" s="1"/>
  <c r="DY135"/>
  <c r="FI135" s="1"/>
  <c r="EA135"/>
  <c r="FK135" s="1"/>
  <c r="EC135"/>
  <c r="FM135" s="1"/>
  <c r="EE135"/>
  <c r="FO135" s="1"/>
  <c r="EG135"/>
  <c r="FQ135" s="1"/>
  <c r="EI135"/>
  <c r="FS135" s="1"/>
  <c r="EP139"/>
  <c r="DG141"/>
  <c r="EQ141" s="1"/>
  <c r="DK141"/>
  <c r="EU141" s="1"/>
  <c r="DF142"/>
  <c r="DH142"/>
  <c r="ER142" s="1"/>
  <c r="DJ142"/>
  <c r="ET142" s="1"/>
  <c r="DL142"/>
  <c r="EV142" s="1"/>
  <c r="DG142"/>
  <c r="EQ142" s="1"/>
  <c r="DK142"/>
  <c r="EU142" s="1"/>
  <c r="DN144"/>
  <c r="EX144" s="1"/>
  <c r="DP144"/>
  <c r="EZ144" s="1"/>
  <c r="DR144"/>
  <c r="FB144" s="1"/>
  <c r="DT144"/>
  <c r="FD144" s="1"/>
  <c r="DV144"/>
  <c r="FF144" s="1"/>
  <c r="DX144"/>
  <c r="FH144" s="1"/>
  <c r="DZ144"/>
  <c r="FJ144" s="1"/>
  <c r="EB144"/>
  <c r="FL144" s="1"/>
  <c r="ED144"/>
  <c r="FN144" s="1"/>
  <c r="EF144"/>
  <c r="FP144" s="1"/>
  <c r="EH144"/>
  <c r="FR144" s="1"/>
  <c r="EJ144"/>
  <c r="FT144" s="1"/>
  <c r="DI144"/>
  <c r="ES144" s="1"/>
  <c r="DM144"/>
  <c r="EW144" s="1"/>
  <c r="DQ144"/>
  <c r="FA144" s="1"/>
  <c r="DU144"/>
  <c r="FE144" s="1"/>
  <c r="DY144"/>
  <c r="FI144" s="1"/>
  <c r="EC144"/>
  <c r="FM144" s="1"/>
  <c r="EG144"/>
  <c r="FQ144" s="1"/>
  <c r="DF145"/>
  <c r="DH145"/>
  <c r="ER145" s="1"/>
  <c r="DJ145"/>
  <c r="ET145" s="1"/>
  <c r="DL145"/>
  <c r="EV145" s="1"/>
  <c r="DG145"/>
  <c r="EQ145" s="1"/>
  <c r="DK145"/>
  <c r="EU145" s="1"/>
  <c r="DG148"/>
  <c r="EQ148" s="1"/>
  <c r="DI148"/>
  <c r="ES148" s="1"/>
  <c r="DK148"/>
  <c r="EU148" s="1"/>
  <c r="DM148"/>
  <c r="EW148" s="1"/>
  <c r="DO148"/>
  <c r="DQ148"/>
  <c r="DS148"/>
  <c r="DU148"/>
  <c r="DW148"/>
  <c r="DY148"/>
  <c r="EA148"/>
  <c r="EC148"/>
  <c r="EE148"/>
  <c r="EG148"/>
  <c r="EI148"/>
  <c r="DH148"/>
  <c r="DL148"/>
  <c r="EV148" s="1"/>
  <c r="DP148"/>
  <c r="DT148"/>
  <c r="DX148"/>
  <c r="EB148"/>
  <c r="EF148"/>
  <c r="EJ148"/>
  <c r="DC161"/>
  <c r="DE161"/>
  <c r="DJ166"/>
  <c r="ET166" s="1"/>
  <c r="DM166"/>
  <c r="EW166" s="1"/>
  <c r="DR166"/>
  <c r="FB166" s="1"/>
  <c r="DU166"/>
  <c r="FE166" s="1"/>
  <c r="DZ166"/>
  <c r="FJ166" s="1"/>
  <c r="EC166"/>
  <c r="FM166" s="1"/>
  <c r="EH166"/>
  <c r="FR166" s="1"/>
  <c r="DO166"/>
  <c r="EY166" s="1"/>
  <c r="DT166"/>
  <c r="FD166" s="1"/>
  <c r="DW166"/>
  <c r="FG166" s="1"/>
  <c r="EB166"/>
  <c r="FL166" s="1"/>
  <c r="EE166"/>
  <c r="FO166" s="1"/>
  <c r="EJ166"/>
  <c r="FT166" s="1"/>
  <c r="DI166"/>
  <c r="ES166" s="1"/>
  <c r="DN166"/>
  <c r="EX166" s="1"/>
  <c r="DY166"/>
  <c r="FI166" s="1"/>
  <c r="ED166"/>
  <c r="FN166" s="1"/>
  <c r="DH166"/>
  <c r="ER166" s="1"/>
  <c r="DS166"/>
  <c r="FC166" s="1"/>
  <c r="DX166"/>
  <c r="FH166" s="1"/>
  <c r="EI166"/>
  <c r="FS166" s="1"/>
  <c r="DG167"/>
  <c r="EQ167" s="1"/>
  <c r="DL167"/>
  <c r="EV167" s="1"/>
  <c r="DF167"/>
  <c r="DI167"/>
  <c r="ES167" s="1"/>
  <c r="DH167"/>
  <c r="ER167" s="1"/>
  <c r="DM167"/>
  <c r="EW167" s="1"/>
  <c r="DM89"/>
  <c r="EW89" s="1"/>
  <c r="DI89"/>
  <c r="ES89" s="1"/>
  <c r="DE90"/>
  <c r="EK90"/>
  <c r="EI91"/>
  <c r="FS91" s="1"/>
  <c r="EE91"/>
  <c r="FO91" s="1"/>
  <c r="EA91"/>
  <c r="FK91" s="1"/>
  <c r="DW91"/>
  <c r="FG91" s="1"/>
  <c r="DS91"/>
  <c r="FC91" s="1"/>
  <c r="DO91"/>
  <c r="EY91" s="1"/>
  <c r="DK91"/>
  <c r="DE92"/>
  <c r="EK92"/>
  <c r="EI93"/>
  <c r="FS93" s="1"/>
  <c r="EE93"/>
  <c r="FO93" s="1"/>
  <c r="EA93"/>
  <c r="FK93" s="1"/>
  <c r="DW93"/>
  <c r="FG93" s="1"/>
  <c r="DS93"/>
  <c r="FC93" s="1"/>
  <c r="DO93"/>
  <c r="EY93" s="1"/>
  <c r="DK93"/>
  <c r="EU93" s="1"/>
  <c r="DG93"/>
  <c r="EQ93" s="1"/>
  <c r="DE94"/>
  <c r="EK94"/>
  <c r="EI95"/>
  <c r="FS95" s="1"/>
  <c r="EE95"/>
  <c r="FO95" s="1"/>
  <c r="EA95"/>
  <c r="FK95" s="1"/>
  <c r="DW95"/>
  <c r="FG95" s="1"/>
  <c r="DS95"/>
  <c r="FC95" s="1"/>
  <c r="DO95"/>
  <c r="EY95" s="1"/>
  <c r="DK95"/>
  <c r="EU95" s="1"/>
  <c r="DG95"/>
  <c r="EQ95" s="1"/>
  <c r="DE96"/>
  <c r="EK96"/>
  <c r="EI97"/>
  <c r="FS97" s="1"/>
  <c r="EE97"/>
  <c r="FO97" s="1"/>
  <c r="EA97"/>
  <c r="FK97" s="1"/>
  <c r="DW97"/>
  <c r="FG97" s="1"/>
  <c r="DS97"/>
  <c r="FC97" s="1"/>
  <c r="DO97"/>
  <c r="EY97" s="1"/>
  <c r="DK97"/>
  <c r="EU97" s="1"/>
  <c r="EK120"/>
  <c r="EH121"/>
  <c r="FR121" s="1"/>
  <c r="ED121"/>
  <c r="FN121" s="1"/>
  <c r="DZ121"/>
  <c r="FJ121" s="1"/>
  <c r="DV121"/>
  <c r="FF121" s="1"/>
  <c r="DR121"/>
  <c r="FB121" s="1"/>
  <c r="DN121"/>
  <c r="EX121" s="1"/>
  <c r="DJ121"/>
  <c r="ET121" s="1"/>
  <c r="DF121"/>
  <c r="EI123"/>
  <c r="FS123" s="1"/>
  <c r="EE123"/>
  <c r="FO123" s="1"/>
  <c r="EA123"/>
  <c r="FK123" s="1"/>
  <c r="DW123"/>
  <c r="FG123" s="1"/>
  <c r="DS123"/>
  <c r="FC123" s="1"/>
  <c r="DO123"/>
  <c r="EY123" s="1"/>
  <c r="DK123"/>
  <c r="DG123"/>
  <c r="EQ123" s="1"/>
  <c r="DM124"/>
  <c r="EW124" s="1"/>
  <c r="DE125"/>
  <c r="EI127"/>
  <c r="FS127" s="1"/>
  <c r="EE127"/>
  <c r="FO127" s="1"/>
  <c r="EA127"/>
  <c r="FK127" s="1"/>
  <c r="DW127"/>
  <c r="FG127" s="1"/>
  <c r="DS127"/>
  <c r="FC127" s="1"/>
  <c r="DO127"/>
  <c r="EY127" s="1"/>
  <c r="DK127"/>
  <c r="EU127" s="1"/>
  <c r="DG127"/>
  <c r="EQ127" s="1"/>
  <c r="EI133"/>
  <c r="FS133" s="1"/>
  <c r="EE133"/>
  <c r="FO133" s="1"/>
  <c r="EA133"/>
  <c r="FK133" s="1"/>
  <c r="DW133"/>
  <c r="FG133" s="1"/>
  <c r="DS133"/>
  <c r="FC133" s="1"/>
  <c r="DO133"/>
  <c r="EY133" s="1"/>
  <c r="DK133"/>
  <c r="EU133" s="1"/>
  <c r="DE134"/>
  <c r="EP134"/>
  <c r="DM140"/>
  <c r="EW140" s="1"/>
  <c r="EC172"/>
  <c r="FM172" s="1"/>
  <c r="DM172"/>
  <c r="EW172" s="1"/>
  <c r="EP90"/>
  <c r="EP92"/>
  <c r="EP94"/>
  <c r="EP96"/>
  <c r="EI98"/>
  <c r="EE98"/>
  <c r="EA98"/>
  <c r="DW98"/>
  <c r="DS98"/>
  <c r="DO98"/>
  <c r="EY98" s="1"/>
  <c r="DK98"/>
  <c r="EU98" s="1"/>
  <c r="DG98"/>
  <c r="DE99"/>
  <c r="EP99"/>
  <c r="EG100"/>
  <c r="FQ100" s="1"/>
  <c r="EC100"/>
  <c r="FM100" s="1"/>
  <c r="DY100"/>
  <c r="FI100" s="1"/>
  <c r="DU100"/>
  <c r="FE100" s="1"/>
  <c r="DQ100"/>
  <c r="FA100" s="1"/>
  <c r="DM100"/>
  <c r="EW100" s="1"/>
  <c r="DK101"/>
  <c r="EU101" s="1"/>
  <c r="EI103"/>
  <c r="FS103" s="1"/>
  <c r="EE103"/>
  <c r="FO103" s="1"/>
  <c r="EA103"/>
  <c r="FK103" s="1"/>
  <c r="DW103"/>
  <c r="FG103" s="1"/>
  <c r="DS103"/>
  <c r="FC103" s="1"/>
  <c r="DO103"/>
  <c r="EY103" s="1"/>
  <c r="DK103"/>
  <c r="EU103" s="1"/>
  <c r="DG103"/>
  <c r="EQ103" s="1"/>
  <c r="DE104"/>
  <c r="EP104"/>
  <c r="EG105"/>
  <c r="FQ105" s="1"/>
  <c r="EC105"/>
  <c r="FM105" s="1"/>
  <c r="DY105"/>
  <c r="FI105" s="1"/>
  <c r="DU105"/>
  <c r="FE105" s="1"/>
  <c r="DQ105"/>
  <c r="FA105" s="1"/>
  <c r="DM105"/>
  <c r="EW105" s="1"/>
  <c r="EI107"/>
  <c r="FS107" s="1"/>
  <c r="EE107"/>
  <c r="FO107" s="1"/>
  <c r="EA107"/>
  <c r="FK107" s="1"/>
  <c r="DW107"/>
  <c r="FG107" s="1"/>
  <c r="DS107"/>
  <c r="FC107" s="1"/>
  <c r="DK107"/>
  <c r="EU107" s="1"/>
  <c r="DE108"/>
  <c r="EP108"/>
  <c r="EG109"/>
  <c r="FQ109" s="1"/>
  <c r="EC109"/>
  <c r="FM109" s="1"/>
  <c r="DY109"/>
  <c r="FI109" s="1"/>
  <c r="DU109"/>
  <c r="FE109" s="1"/>
  <c r="DQ109"/>
  <c r="FA109" s="1"/>
  <c r="DM109"/>
  <c r="EW109" s="1"/>
  <c r="EI111"/>
  <c r="FS111" s="1"/>
  <c r="EE111"/>
  <c r="FO111" s="1"/>
  <c r="EA111"/>
  <c r="FK111" s="1"/>
  <c r="DW111"/>
  <c r="FG111" s="1"/>
  <c r="DS111"/>
  <c r="FC111" s="1"/>
  <c r="DO111"/>
  <c r="EY111" s="1"/>
  <c r="DK111"/>
  <c r="EU111" s="1"/>
  <c r="DG111"/>
  <c r="EQ111" s="1"/>
  <c r="DE112"/>
  <c r="EP112"/>
  <c r="EG113"/>
  <c r="FQ113" s="1"/>
  <c r="EC113"/>
  <c r="FM113" s="1"/>
  <c r="DY113"/>
  <c r="FI113" s="1"/>
  <c r="DU113"/>
  <c r="FE113" s="1"/>
  <c r="DQ113"/>
  <c r="FA113" s="1"/>
  <c r="DM113"/>
  <c r="EW113" s="1"/>
  <c r="EI115"/>
  <c r="FS115" s="1"/>
  <c r="EE115"/>
  <c r="FO115" s="1"/>
  <c r="EA115"/>
  <c r="FK115" s="1"/>
  <c r="DW115"/>
  <c r="FG115" s="1"/>
  <c r="DS115"/>
  <c r="FC115" s="1"/>
  <c r="DO115"/>
  <c r="EY115" s="1"/>
  <c r="DK115"/>
  <c r="EU115" s="1"/>
  <c r="DG115"/>
  <c r="EQ115" s="1"/>
  <c r="DE116"/>
  <c r="EP116"/>
  <c r="EG117"/>
  <c r="FQ117" s="1"/>
  <c r="EC117"/>
  <c r="FM117" s="1"/>
  <c r="DY117"/>
  <c r="FI117" s="1"/>
  <c r="DU117"/>
  <c r="FE117" s="1"/>
  <c r="DQ117"/>
  <c r="FA117" s="1"/>
  <c r="DM117"/>
  <c r="EW117" s="1"/>
  <c r="EG118"/>
  <c r="EC118"/>
  <c r="DY118"/>
  <c r="DU118"/>
  <c r="DQ118"/>
  <c r="DM118"/>
  <c r="DK119"/>
  <c r="EU119" s="1"/>
  <c r="EH128"/>
  <c r="ED128"/>
  <c r="DZ128"/>
  <c r="DV128"/>
  <c r="DR128"/>
  <c r="DN128"/>
  <c r="DJ128"/>
  <c r="DF128"/>
  <c r="EJ129"/>
  <c r="FT129" s="1"/>
  <c r="EF129"/>
  <c r="FP129" s="1"/>
  <c r="EB129"/>
  <c r="FL129" s="1"/>
  <c r="DX129"/>
  <c r="FH129" s="1"/>
  <c r="DT129"/>
  <c r="FD129" s="1"/>
  <c r="DP129"/>
  <c r="EZ129" s="1"/>
  <c r="DL129"/>
  <c r="EV129" s="1"/>
  <c r="EI130"/>
  <c r="FS130" s="1"/>
  <c r="EE130"/>
  <c r="FO130" s="1"/>
  <c r="EA130"/>
  <c r="FK130" s="1"/>
  <c r="DW130"/>
  <c r="FG130" s="1"/>
  <c r="DS130"/>
  <c r="FC130" s="1"/>
  <c r="DO130"/>
  <c r="EY130" s="1"/>
  <c r="DK130"/>
  <c r="EU130" s="1"/>
  <c r="EJ134"/>
  <c r="FT134" s="1"/>
  <c r="EF134"/>
  <c r="FP134" s="1"/>
  <c r="EB134"/>
  <c r="FL134" s="1"/>
  <c r="DX134"/>
  <c r="FH134" s="1"/>
  <c r="DT134"/>
  <c r="FD134" s="1"/>
  <c r="DP134"/>
  <c r="EZ134" s="1"/>
  <c r="DL134"/>
  <c r="EV134" s="1"/>
  <c r="DH134"/>
  <c r="ER134" s="1"/>
  <c r="DE135"/>
  <c r="EP135"/>
  <c r="EI151"/>
  <c r="FS151" s="1"/>
  <c r="EA151"/>
  <c r="FK151" s="1"/>
  <c r="DS151"/>
  <c r="FC151" s="1"/>
  <c r="EI155"/>
  <c r="FS155" s="1"/>
  <c r="EA155"/>
  <c r="FK155" s="1"/>
  <c r="DS155"/>
  <c r="FC155" s="1"/>
  <c r="DL160"/>
  <c r="EV160" s="1"/>
  <c r="DF161"/>
  <c r="DF91"/>
  <c r="DH91"/>
  <c r="ER91" s="1"/>
  <c r="DJ91"/>
  <c r="ET91" s="1"/>
  <c r="DL91"/>
  <c r="EV91" s="1"/>
  <c r="DN91"/>
  <c r="EX91" s="1"/>
  <c r="DP91"/>
  <c r="EZ91" s="1"/>
  <c r="DR91"/>
  <c r="FB91" s="1"/>
  <c r="DT91"/>
  <c r="FD91" s="1"/>
  <c r="DV91"/>
  <c r="FF91" s="1"/>
  <c r="DX91"/>
  <c r="FH91" s="1"/>
  <c r="DZ91"/>
  <c r="FJ91" s="1"/>
  <c r="EB91"/>
  <c r="FL91" s="1"/>
  <c r="ED91"/>
  <c r="FN91" s="1"/>
  <c r="EF91"/>
  <c r="FP91" s="1"/>
  <c r="EH91"/>
  <c r="FR91" s="1"/>
  <c r="EJ91"/>
  <c r="FT91" s="1"/>
  <c r="DF97"/>
  <c r="DH97"/>
  <c r="ER97" s="1"/>
  <c r="DJ97"/>
  <c r="ET97" s="1"/>
  <c r="DL97"/>
  <c r="EV97" s="1"/>
  <c r="DN97"/>
  <c r="EX97" s="1"/>
  <c r="DP97"/>
  <c r="EZ97" s="1"/>
  <c r="DR97"/>
  <c r="FB97" s="1"/>
  <c r="DT97"/>
  <c r="FD97" s="1"/>
  <c r="DV97"/>
  <c r="FF97" s="1"/>
  <c r="DX97"/>
  <c r="FH97" s="1"/>
  <c r="DZ97"/>
  <c r="FJ97" s="1"/>
  <c r="EB97"/>
  <c r="FL97" s="1"/>
  <c r="ED97"/>
  <c r="FN97" s="1"/>
  <c r="EF97"/>
  <c r="FP97" s="1"/>
  <c r="EH97"/>
  <c r="FR97" s="1"/>
  <c r="EJ97"/>
  <c r="FT97" s="1"/>
  <c r="DF124"/>
  <c r="DH124"/>
  <c r="ER124" s="1"/>
  <c r="DJ124"/>
  <c r="ET124" s="1"/>
  <c r="DL124"/>
  <c r="EV124" s="1"/>
  <c r="DF130"/>
  <c r="DH130"/>
  <c r="ER130" s="1"/>
  <c r="DJ130"/>
  <c r="ET130" s="1"/>
  <c r="DL130"/>
  <c r="EV130" s="1"/>
  <c r="DF133"/>
  <c r="DH133"/>
  <c r="ER133" s="1"/>
  <c r="DJ133"/>
  <c r="ET133" s="1"/>
  <c r="DL133"/>
  <c r="EV133" s="1"/>
  <c r="DN133"/>
  <c r="EX133" s="1"/>
  <c r="DP133"/>
  <c r="EZ133" s="1"/>
  <c r="DR133"/>
  <c r="FB133" s="1"/>
  <c r="DT133"/>
  <c r="FD133" s="1"/>
  <c r="DV133"/>
  <c r="FF133" s="1"/>
  <c r="DX133"/>
  <c r="FH133" s="1"/>
  <c r="DZ133"/>
  <c r="FJ133" s="1"/>
  <c r="EB133"/>
  <c r="FL133" s="1"/>
  <c r="ED133"/>
  <c r="FN133" s="1"/>
  <c r="EF133"/>
  <c r="FP133" s="1"/>
  <c r="EH133"/>
  <c r="FR133" s="1"/>
  <c r="EJ133"/>
  <c r="FT133" s="1"/>
  <c r="DC88"/>
  <c r="DE88"/>
  <c r="DN100"/>
  <c r="EX100" s="1"/>
  <c r="DP100"/>
  <c r="EZ100" s="1"/>
  <c r="DR100"/>
  <c r="FB100" s="1"/>
  <c r="DT100"/>
  <c r="FD100" s="1"/>
  <c r="DV100"/>
  <c r="FF100" s="1"/>
  <c r="DX100"/>
  <c r="FH100" s="1"/>
  <c r="DZ100"/>
  <c r="FJ100" s="1"/>
  <c r="EB100"/>
  <c r="FL100" s="1"/>
  <c r="ED100"/>
  <c r="FN100" s="1"/>
  <c r="EF100"/>
  <c r="FP100" s="1"/>
  <c r="EH100"/>
  <c r="FR100" s="1"/>
  <c r="EJ100"/>
  <c r="FT100" s="1"/>
  <c r="DF101"/>
  <c r="DH101"/>
  <c r="ER101" s="1"/>
  <c r="DJ101"/>
  <c r="ET101" s="1"/>
  <c r="DL101"/>
  <c r="EV101" s="1"/>
  <c r="DF105"/>
  <c r="DH105"/>
  <c r="ER105" s="1"/>
  <c r="DJ105"/>
  <c r="ET105" s="1"/>
  <c r="DL105"/>
  <c r="EV105" s="1"/>
  <c r="DN105"/>
  <c r="EX105" s="1"/>
  <c r="DP105"/>
  <c r="EZ105" s="1"/>
  <c r="DR105"/>
  <c r="FB105" s="1"/>
  <c r="DT105"/>
  <c r="FD105" s="1"/>
  <c r="DV105"/>
  <c r="FF105" s="1"/>
  <c r="DX105"/>
  <c r="FH105" s="1"/>
  <c r="DZ105"/>
  <c r="FJ105" s="1"/>
  <c r="EB105"/>
  <c r="FL105" s="1"/>
  <c r="ED105"/>
  <c r="FN105" s="1"/>
  <c r="EF105"/>
  <c r="FP105" s="1"/>
  <c r="EH105"/>
  <c r="FR105" s="1"/>
  <c r="EJ105"/>
  <c r="FT105" s="1"/>
  <c r="DF109"/>
  <c r="DH109"/>
  <c r="ER109" s="1"/>
  <c r="DJ109"/>
  <c r="ET109" s="1"/>
  <c r="DL109"/>
  <c r="EV109" s="1"/>
  <c r="DN109"/>
  <c r="EX109" s="1"/>
  <c r="DP109"/>
  <c r="EZ109" s="1"/>
  <c r="DR109"/>
  <c r="FB109" s="1"/>
  <c r="DT109"/>
  <c r="FD109" s="1"/>
  <c r="DV109"/>
  <c r="FF109" s="1"/>
  <c r="DX109"/>
  <c r="FH109" s="1"/>
  <c r="DZ109"/>
  <c r="FJ109" s="1"/>
  <c r="EB109"/>
  <c r="FL109" s="1"/>
  <c r="ED109"/>
  <c r="FN109" s="1"/>
  <c r="EF109"/>
  <c r="FP109" s="1"/>
  <c r="EH109"/>
  <c r="FR109" s="1"/>
  <c r="EJ109"/>
  <c r="FT109" s="1"/>
  <c r="DF113"/>
  <c r="DH113"/>
  <c r="ER113" s="1"/>
  <c r="DJ113"/>
  <c r="ET113" s="1"/>
  <c r="DL113"/>
  <c r="EV113" s="1"/>
  <c r="DN113"/>
  <c r="EX113" s="1"/>
  <c r="DP113"/>
  <c r="EZ113" s="1"/>
  <c r="DR113"/>
  <c r="FB113" s="1"/>
  <c r="DT113"/>
  <c r="FD113" s="1"/>
  <c r="DV113"/>
  <c r="FF113" s="1"/>
  <c r="DX113"/>
  <c r="FH113" s="1"/>
  <c r="DZ113"/>
  <c r="FJ113" s="1"/>
  <c r="EB113"/>
  <c r="FL113" s="1"/>
  <c r="ED113"/>
  <c r="FN113" s="1"/>
  <c r="EF113"/>
  <c r="FP113" s="1"/>
  <c r="EH113"/>
  <c r="FR113" s="1"/>
  <c r="EJ113"/>
  <c r="FT113" s="1"/>
  <c r="DF117"/>
  <c r="DH117"/>
  <c r="ER117" s="1"/>
  <c r="DJ117"/>
  <c r="ET117" s="1"/>
  <c r="DL117"/>
  <c r="EV117" s="1"/>
  <c r="DN117"/>
  <c r="EX117" s="1"/>
  <c r="DP117"/>
  <c r="EZ117" s="1"/>
  <c r="DR117"/>
  <c r="FB117" s="1"/>
  <c r="DT117"/>
  <c r="FD117" s="1"/>
  <c r="DV117"/>
  <c r="FF117" s="1"/>
  <c r="DX117"/>
  <c r="FH117" s="1"/>
  <c r="DZ117"/>
  <c r="FJ117" s="1"/>
  <c r="EB117"/>
  <c r="FL117" s="1"/>
  <c r="ED117"/>
  <c r="FN117" s="1"/>
  <c r="EF117"/>
  <c r="FP117" s="1"/>
  <c r="EH117"/>
  <c r="FR117" s="1"/>
  <c r="EJ117"/>
  <c r="FT117" s="1"/>
  <c r="DN118"/>
  <c r="DP118"/>
  <c r="DR118"/>
  <c r="DT118"/>
  <c r="DV118"/>
  <c r="DX118"/>
  <c r="DZ118"/>
  <c r="EB118"/>
  <c r="ED118"/>
  <c r="EF118"/>
  <c r="EH118"/>
  <c r="EJ118"/>
  <c r="DC122"/>
  <c r="DE122"/>
  <c r="DF123"/>
  <c r="DH123"/>
  <c r="ER123" s="1"/>
  <c r="DJ123"/>
  <c r="ET123" s="1"/>
  <c r="DL123"/>
  <c r="DC126"/>
  <c r="DE126"/>
  <c r="DF127"/>
  <c r="DH127"/>
  <c r="ER127" s="1"/>
  <c r="DJ127"/>
  <c r="ET127" s="1"/>
  <c r="DL127"/>
  <c r="EV127" s="1"/>
  <c r="DG129"/>
  <c r="EQ129" s="1"/>
  <c r="DI129"/>
  <c r="ES129" s="1"/>
  <c r="DK129"/>
  <c r="EU129" s="1"/>
  <c r="DM129"/>
  <c r="EW129" s="1"/>
  <c r="DO129"/>
  <c r="EY129" s="1"/>
  <c r="DQ129"/>
  <c r="FA129" s="1"/>
  <c r="DS129"/>
  <c r="FC129" s="1"/>
  <c r="DU129"/>
  <c r="FE129" s="1"/>
  <c r="DW129"/>
  <c r="FG129" s="1"/>
  <c r="DY129"/>
  <c r="FI129" s="1"/>
  <c r="EA129"/>
  <c r="FK129" s="1"/>
  <c r="EC129"/>
  <c r="FM129" s="1"/>
  <c r="EE129"/>
  <c r="FO129" s="1"/>
  <c r="EG129"/>
  <c r="FQ129" s="1"/>
  <c r="EI129"/>
  <c r="FS129" s="1"/>
  <c r="DC132"/>
  <c r="DE132"/>
  <c r="DC138"/>
  <c r="DE138"/>
  <c r="EK138"/>
  <c r="EP138"/>
  <c r="DC148"/>
  <c r="DE148"/>
  <c r="DF151"/>
  <c r="DH151"/>
  <c r="ER151" s="1"/>
  <c r="DJ151"/>
  <c r="ET151" s="1"/>
  <c r="DL151"/>
  <c r="EV151" s="1"/>
  <c r="DN151"/>
  <c r="EX151" s="1"/>
  <c r="DP151"/>
  <c r="EZ151" s="1"/>
  <c r="DR151"/>
  <c r="FB151" s="1"/>
  <c r="DT151"/>
  <c r="FD151" s="1"/>
  <c r="DV151"/>
  <c r="FF151" s="1"/>
  <c r="DX151"/>
  <c r="FH151" s="1"/>
  <c r="DZ151"/>
  <c r="FJ151" s="1"/>
  <c r="EB151"/>
  <c r="FL151" s="1"/>
  <c r="ED151"/>
  <c r="FN151" s="1"/>
  <c r="EF151"/>
  <c r="FP151" s="1"/>
  <c r="EH151"/>
  <c r="FR151" s="1"/>
  <c r="EJ151"/>
  <c r="FT151" s="1"/>
  <c r="DI151"/>
  <c r="ES151" s="1"/>
  <c r="DM151"/>
  <c r="EW151" s="1"/>
  <c r="DQ151"/>
  <c r="FA151" s="1"/>
  <c r="DU151"/>
  <c r="FE151" s="1"/>
  <c r="DY151"/>
  <c r="FI151" s="1"/>
  <c r="EC151"/>
  <c r="FM151" s="1"/>
  <c r="EG151"/>
  <c r="FQ151" s="1"/>
  <c r="DF155"/>
  <c r="DH155"/>
  <c r="ER155" s="1"/>
  <c r="DJ155"/>
  <c r="DL155"/>
  <c r="EV155" s="1"/>
  <c r="DN155"/>
  <c r="EX155" s="1"/>
  <c r="DP155"/>
  <c r="EZ155" s="1"/>
  <c r="DR155"/>
  <c r="FB155" s="1"/>
  <c r="DT155"/>
  <c r="FD155" s="1"/>
  <c r="DV155"/>
  <c r="FF155" s="1"/>
  <c r="DX155"/>
  <c r="FH155" s="1"/>
  <c r="DZ155"/>
  <c r="FJ155" s="1"/>
  <c r="EB155"/>
  <c r="FL155" s="1"/>
  <c r="ED155"/>
  <c r="FN155" s="1"/>
  <c r="EF155"/>
  <c r="FP155" s="1"/>
  <c r="EH155"/>
  <c r="FR155" s="1"/>
  <c r="EJ155"/>
  <c r="FT155" s="1"/>
  <c r="DI155"/>
  <c r="DM155"/>
  <c r="EW155" s="1"/>
  <c r="DQ155"/>
  <c r="FA155" s="1"/>
  <c r="DU155"/>
  <c r="FE155" s="1"/>
  <c r="DY155"/>
  <c r="FI155" s="1"/>
  <c r="EC155"/>
  <c r="FM155" s="1"/>
  <c r="EG155"/>
  <c r="FQ155" s="1"/>
  <c r="DC163"/>
  <c r="DE163"/>
  <c r="DE166"/>
  <c r="DC166"/>
  <c r="DO167"/>
  <c r="EY167" s="1"/>
  <c r="DT167"/>
  <c r="FD167" s="1"/>
  <c r="DW167"/>
  <c r="FG167" s="1"/>
  <c r="EB167"/>
  <c r="FL167" s="1"/>
  <c r="EE167"/>
  <c r="FO167" s="1"/>
  <c r="EJ167"/>
  <c r="FT167" s="1"/>
  <c r="DN167"/>
  <c r="EX167" s="1"/>
  <c r="DQ167"/>
  <c r="FA167" s="1"/>
  <c r="DV167"/>
  <c r="FF167" s="1"/>
  <c r="DY167"/>
  <c r="FI167" s="1"/>
  <c r="ED167"/>
  <c r="FN167" s="1"/>
  <c r="EG167"/>
  <c r="FQ167" s="1"/>
  <c r="DS167"/>
  <c r="FC167" s="1"/>
  <c r="DX167"/>
  <c r="FH167" s="1"/>
  <c r="EI167"/>
  <c r="FS167" s="1"/>
  <c r="DR167"/>
  <c r="FB167" s="1"/>
  <c r="EC167"/>
  <c r="FM167" s="1"/>
  <c r="EH167"/>
  <c r="FR167" s="1"/>
  <c r="DG168"/>
  <c r="DI168"/>
  <c r="ES168" s="1"/>
  <c r="DK168"/>
  <c r="EU168" s="1"/>
  <c r="DM168"/>
  <c r="EW168" s="1"/>
  <c r="DO168"/>
  <c r="DQ168"/>
  <c r="DS168"/>
  <c r="DU168"/>
  <c r="DW168"/>
  <c r="DY168"/>
  <c r="EA168"/>
  <c r="EC168"/>
  <c r="EE168"/>
  <c r="EG168"/>
  <c r="EI168"/>
  <c r="DL168"/>
  <c r="EV168" s="1"/>
  <c r="DT168"/>
  <c r="EB168"/>
  <c r="EJ168"/>
  <c r="DF168"/>
  <c r="DN168"/>
  <c r="EX168" s="1"/>
  <c r="DV168"/>
  <c r="ED168"/>
  <c r="DH168"/>
  <c r="DX168"/>
  <c r="DR168"/>
  <c r="EH168"/>
  <c r="EP184"/>
  <c r="DH186"/>
  <c r="ER186" s="1"/>
  <c r="DM186"/>
  <c r="EW186" s="1"/>
  <c r="DF186"/>
  <c r="DI186"/>
  <c r="ES186" s="1"/>
  <c r="DL186"/>
  <c r="EV186" s="1"/>
  <c r="DK186"/>
  <c r="EU186" s="1"/>
  <c r="DG186"/>
  <c r="EQ186" s="1"/>
  <c r="DK89"/>
  <c r="EU89" s="1"/>
  <c r="DG89"/>
  <c r="EQ89" s="1"/>
  <c r="EG91"/>
  <c r="FQ91" s="1"/>
  <c r="EC91"/>
  <c r="FM91" s="1"/>
  <c r="DY91"/>
  <c r="FI91" s="1"/>
  <c r="DU91"/>
  <c r="FE91" s="1"/>
  <c r="DQ91"/>
  <c r="DM91"/>
  <c r="EW91" s="1"/>
  <c r="DI91"/>
  <c r="ES91" s="1"/>
  <c r="EG93"/>
  <c r="FQ93" s="1"/>
  <c r="EC93"/>
  <c r="FM93" s="1"/>
  <c r="DY93"/>
  <c r="FI93" s="1"/>
  <c r="DU93"/>
  <c r="FE93" s="1"/>
  <c r="DQ93"/>
  <c r="FA93" s="1"/>
  <c r="DM93"/>
  <c r="EW93" s="1"/>
  <c r="DI93"/>
  <c r="ES93" s="1"/>
  <c r="EG95"/>
  <c r="FQ95" s="1"/>
  <c r="EC95"/>
  <c r="FM95" s="1"/>
  <c r="DY95"/>
  <c r="FI95" s="1"/>
  <c r="DU95"/>
  <c r="FE95" s="1"/>
  <c r="DQ95"/>
  <c r="FA95" s="1"/>
  <c r="DM95"/>
  <c r="EW95" s="1"/>
  <c r="DI95"/>
  <c r="ES95" s="1"/>
  <c r="EG97"/>
  <c r="FQ97" s="1"/>
  <c r="EC97"/>
  <c r="FM97" s="1"/>
  <c r="DY97"/>
  <c r="FI97" s="1"/>
  <c r="DU97"/>
  <c r="FE97" s="1"/>
  <c r="DQ97"/>
  <c r="FA97" s="1"/>
  <c r="DM97"/>
  <c r="EW97" s="1"/>
  <c r="DI97"/>
  <c r="ES97" s="1"/>
  <c r="DF107"/>
  <c r="EJ121"/>
  <c r="FT121" s="1"/>
  <c r="EF121"/>
  <c r="FP121" s="1"/>
  <c r="EB121"/>
  <c r="FL121" s="1"/>
  <c r="DX121"/>
  <c r="FH121" s="1"/>
  <c r="DT121"/>
  <c r="FD121" s="1"/>
  <c r="DP121"/>
  <c r="EZ121" s="1"/>
  <c r="DL121"/>
  <c r="EV121" s="1"/>
  <c r="DH121"/>
  <c r="ER121" s="1"/>
  <c r="EG123"/>
  <c r="FQ123" s="1"/>
  <c r="EC123"/>
  <c r="FM123" s="1"/>
  <c r="DY123"/>
  <c r="FI123" s="1"/>
  <c r="DU123"/>
  <c r="FE123" s="1"/>
  <c r="DQ123"/>
  <c r="FA123" s="1"/>
  <c r="DM123"/>
  <c r="EW123" s="1"/>
  <c r="DI123"/>
  <c r="ES123" s="1"/>
  <c r="DK124"/>
  <c r="EU124" s="1"/>
  <c r="DG124"/>
  <c r="EQ124" s="1"/>
  <c r="EG127"/>
  <c r="FQ127" s="1"/>
  <c r="EC127"/>
  <c r="FM127" s="1"/>
  <c r="DY127"/>
  <c r="FI127" s="1"/>
  <c r="DU127"/>
  <c r="FE127" s="1"/>
  <c r="DQ127"/>
  <c r="FA127" s="1"/>
  <c r="DM127"/>
  <c r="EW127" s="1"/>
  <c r="DI127"/>
  <c r="ES127" s="1"/>
  <c r="EK131"/>
  <c r="EG133"/>
  <c r="FQ133" s="1"/>
  <c r="EC133"/>
  <c r="FM133" s="1"/>
  <c r="DY133"/>
  <c r="FI133" s="1"/>
  <c r="DU133"/>
  <c r="FE133" s="1"/>
  <c r="DQ133"/>
  <c r="FA133" s="1"/>
  <c r="DM133"/>
  <c r="EW133" s="1"/>
  <c r="DI133"/>
  <c r="ES133" s="1"/>
  <c r="DI140"/>
  <c r="ES140" s="1"/>
  <c r="DN160"/>
  <c r="EX160" s="1"/>
  <c r="EF161"/>
  <c r="FP161" s="1"/>
  <c r="EK170"/>
  <c r="DU172"/>
  <c r="FE172" s="1"/>
  <c r="DG147"/>
  <c r="EQ147" s="1"/>
  <c r="DI147"/>
  <c r="ES147" s="1"/>
  <c r="DK147"/>
  <c r="EU147" s="1"/>
  <c r="DM147"/>
  <c r="EW147" s="1"/>
  <c r="DO147"/>
  <c r="EY147" s="1"/>
  <c r="DQ147"/>
  <c r="FA147" s="1"/>
  <c r="DS147"/>
  <c r="FC147" s="1"/>
  <c r="DU147"/>
  <c r="FE147" s="1"/>
  <c r="DW147"/>
  <c r="FG147" s="1"/>
  <c r="DY147"/>
  <c r="FI147" s="1"/>
  <c r="EA147"/>
  <c r="FK147" s="1"/>
  <c r="EC147"/>
  <c r="FM147" s="1"/>
  <c r="EE147"/>
  <c r="FO147" s="1"/>
  <c r="EG147"/>
  <c r="FQ147" s="1"/>
  <c r="EI147"/>
  <c r="FS147" s="1"/>
  <c r="DG149"/>
  <c r="EQ149" s="1"/>
  <c r="DI149"/>
  <c r="ES149" s="1"/>
  <c r="DK149"/>
  <c r="EU149" s="1"/>
  <c r="DM149"/>
  <c r="EW149" s="1"/>
  <c r="DO149"/>
  <c r="EY149" s="1"/>
  <c r="DQ149"/>
  <c r="FA149" s="1"/>
  <c r="DS149"/>
  <c r="FC149" s="1"/>
  <c r="DU149"/>
  <c r="FE149" s="1"/>
  <c r="DW149"/>
  <c r="FG149" s="1"/>
  <c r="DY149"/>
  <c r="FI149" s="1"/>
  <c r="EA149"/>
  <c r="FK149" s="1"/>
  <c r="EC149"/>
  <c r="FM149" s="1"/>
  <c r="EE149"/>
  <c r="FO149" s="1"/>
  <c r="EG149"/>
  <c r="FQ149" s="1"/>
  <c r="EI149"/>
  <c r="FS149" s="1"/>
  <c r="DF153"/>
  <c r="DH153"/>
  <c r="ER153" s="1"/>
  <c r="DJ153"/>
  <c r="ET153" s="1"/>
  <c r="DL153"/>
  <c r="DN153"/>
  <c r="EX153" s="1"/>
  <c r="DP153"/>
  <c r="EZ153" s="1"/>
  <c r="DR153"/>
  <c r="FB153" s="1"/>
  <c r="DT153"/>
  <c r="FD153" s="1"/>
  <c r="DV153"/>
  <c r="FF153" s="1"/>
  <c r="DX153"/>
  <c r="FH153" s="1"/>
  <c r="DZ153"/>
  <c r="FJ153" s="1"/>
  <c r="EB153"/>
  <c r="FL153" s="1"/>
  <c r="ED153"/>
  <c r="FN153" s="1"/>
  <c r="EF153"/>
  <c r="FP153" s="1"/>
  <c r="EH153"/>
  <c r="FR153" s="1"/>
  <c r="EJ153"/>
  <c r="FT153" s="1"/>
  <c r="EP156"/>
  <c r="DC173"/>
  <c r="DE173"/>
  <c r="DG179"/>
  <c r="EQ179" s="1"/>
  <c r="DI179"/>
  <c r="ES179" s="1"/>
  <c r="DK179"/>
  <c r="EU179" s="1"/>
  <c r="DM179"/>
  <c r="EW179" s="1"/>
  <c r="DO179"/>
  <c r="EY179" s="1"/>
  <c r="DQ179"/>
  <c r="FA179" s="1"/>
  <c r="DS179"/>
  <c r="FC179" s="1"/>
  <c r="DU179"/>
  <c r="FE179" s="1"/>
  <c r="DW179"/>
  <c r="FG179" s="1"/>
  <c r="DY179"/>
  <c r="FI179" s="1"/>
  <c r="EA179"/>
  <c r="FK179" s="1"/>
  <c r="EC179"/>
  <c r="FM179" s="1"/>
  <c r="EE179"/>
  <c r="FO179" s="1"/>
  <c r="EG179"/>
  <c r="FQ179" s="1"/>
  <c r="EI179"/>
  <c r="FS179" s="1"/>
  <c r="DL179"/>
  <c r="EV179" s="1"/>
  <c r="DT179"/>
  <c r="FD179" s="1"/>
  <c r="EB179"/>
  <c r="FL179" s="1"/>
  <c r="EJ179"/>
  <c r="FT179" s="1"/>
  <c r="DF179"/>
  <c r="DN179"/>
  <c r="EX179" s="1"/>
  <c r="DV179"/>
  <c r="FF179" s="1"/>
  <c r="ED179"/>
  <c r="FN179" s="1"/>
  <c r="DJ179"/>
  <c r="ET179" s="1"/>
  <c r="DZ179"/>
  <c r="FJ179" s="1"/>
  <c r="DH179"/>
  <c r="ER179" s="1"/>
  <c r="DX179"/>
  <c r="FH179" s="1"/>
  <c r="EP180"/>
  <c r="DF181"/>
  <c r="DH181"/>
  <c r="ER181" s="1"/>
  <c r="DJ181"/>
  <c r="ET181" s="1"/>
  <c r="DL181"/>
  <c r="EV181" s="1"/>
  <c r="DK181"/>
  <c r="EU181" s="1"/>
  <c r="DM181"/>
  <c r="EW181" s="1"/>
  <c r="DI181"/>
  <c r="ES181" s="1"/>
  <c r="DG181"/>
  <c r="EQ181" s="1"/>
  <c r="DF185"/>
  <c r="DH185"/>
  <c r="ER185" s="1"/>
  <c r="DJ185"/>
  <c r="ET185" s="1"/>
  <c r="DL185"/>
  <c r="EV185" s="1"/>
  <c r="DI185"/>
  <c r="ES185" s="1"/>
  <c r="DG185"/>
  <c r="EQ185" s="1"/>
  <c r="DM185"/>
  <c r="EW185" s="1"/>
  <c r="DC205"/>
  <c r="DE205"/>
  <c r="H494"/>
  <c r="H464"/>
  <c r="H462"/>
  <c r="EE99"/>
  <c r="FO99" s="1"/>
  <c r="EC99"/>
  <c r="FM99" s="1"/>
  <c r="EA99"/>
  <c r="FK99" s="1"/>
  <c r="DY99"/>
  <c r="FI99" s="1"/>
  <c r="DW99"/>
  <c r="FG99" s="1"/>
  <c r="DU99"/>
  <c r="FE99" s="1"/>
  <c r="DS99"/>
  <c r="FC99" s="1"/>
  <c r="DQ99"/>
  <c r="FA99" s="1"/>
  <c r="DO99"/>
  <c r="EY99" s="1"/>
  <c r="DM99"/>
  <c r="EW99" s="1"/>
  <c r="DK99"/>
  <c r="EU99" s="1"/>
  <c r="DI99"/>
  <c r="ES99" s="1"/>
  <c r="EI102"/>
  <c r="FS102" s="1"/>
  <c r="EG102"/>
  <c r="FQ102" s="1"/>
  <c r="EE102"/>
  <c r="FO102" s="1"/>
  <c r="EC102"/>
  <c r="FM102" s="1"/>
  <c r="EA102"/>
  <c r="FK102" s="1"/>
  <c r="DY102"/>
  <c r="FI102" s="1"/>
  <c r="DW102"/>
  <c r="FG102" s="1"/>
  <c r="DU102"/>
  <c r="FE102" s="1"/>
  <c r="DS102"/>
  <c r="FC102" s="1"/>
  <c r="DQ102"/>
  <c r="FA102" s="1"/>
  <c r="DO102"/>
  <c r="EY102" s="1"/>
  <c r="DM102"/>
  <c r="EW102" s="1"/>
  <c r="DK102"/>
  <c r="EU102" s="1"/>
  <c r="DI102"/>
  <c r="ES102" s="1"/>
  <c r="EI104"/>
  <c r="FS104" s="1"/>
  <c r="EG104"/>
  <c r="FQ104" s="1"/>
  <c r="EE104"/>
  <c r="FO104" s="1"/>
  <c r="EC104"/>
  <c r="FM104" s="1"/>
  <c r="EA104"/>
  <c r="FK104" s="1"/>
  <c r="DY104"/>
  <c r="FI104" s="1"/>
  <c r="DW104"/>
  <c r="FG104" s="1"/>
  <c r="DU104"/>
  <c r="FE104" s="1"/>
  <c r="DS104"/>
  <c r="FC104" s="1"/>
  <c r="DQ104"/>
  <c r="FA104" s="1"/>
  <c r="DO104"/>
  <c r="EY104" s="1"/>
  <c r="DM104"/>
  <c r="EW104" s="1"/>
  <c r="DK104"/>
  <c r="EU104" s="1"/>
  <c r="DI104"/>
  <c r="ES104" s="1"/>
  <c r="EI106"/>
  <c r="FS106" s="1"/>
  <c r="EG106"/>
  <c r="FQ106" s="1"/>
  <c r="EE106"/>
  <c r="FO106" s="1"/>
  <c r="EC106"/>
  <c r="FM106" s="1"/>
  <c r="EA106"/>
  <c r="FK106" s="1"/>
  <c r="DY106"/>
  <c r="FI106" s="1"/>
  <c r="DW106"/>
  <c r="FG106" s="1"/>
  <c r="DU106"/>
  <c r="FE106" s="1"/>
  <c r="DS106"/>
  <c r="FC106" s="1"/>
  <c r="DQ106"/>
  <c r="FA106" s="1"/>
  <c r="DO106"/>
  <c r="EY106" s="1"/>
  <c r="DM106"/>
  <c r="EW106" s="1"/>
  <c r="DK106"/>
  <c r="EU106" s="1"/>
  <c r="DI106"/>
  <c r="ES106" s="1"/>
  <c r="EJ107"/>
  <c r="FT107" s="1"/>
  <c r="EH107"/>
  <c r="FR107" s="1"/>
  <c r="EF107"/>
  <c r="FP107" s="1"/>
  <c r="ED107"/>
  <c r="FN107" s="1"/>
  <c r="EB107"/>
  <c r="FL107" s="1"/>
  <c r="DZ107"/>
  <c r="FJ107" s="1"/>
  <c r="DX107"/>
  <c r="FH107" s="1"/>
  <c r="DV107"/>
  <c r="FF107" s="1"/>
  <c r="DT107"/>
  <c r="FD107" s="1"/>
  <c r="DR107"/>
  <c r="FB107" s="1"/>
  <c r="DP107"/>
  <c r="EZ107" s="1"/>
  <c r="DN107"/>
  <c r="EX107" s="1"/>
  <c r="DL107"/>
  <c r="EV107" s="1"/>
  <c r="DJ107"/>
  <c r="ET107" s="1"/>
  <c r="DH107"/>
  <c r="ER107" s="1"/>
  <c r="EI108"/>
  <c r="EG108"/>
  <c r="EE108"/>
  <c r="EC108"/>
  <c r="EA108"/>
  <c r="DY108"/>
  <c r="DW108"/>
  <c r="DU108"/>
  <c r="DS108"/>
  <c r="DQ108"/>
  <c r="DO108"/>
  <c r="DM108"/>
  <c r="EW108" s="1"/>
  <c r="DK108"/>
  <c r="EU108" s="1"/>
  <c r="DI108"/>
  <c r="ES108" s="1"/>
  <c r="EI110"/>
  <c r="FS110" s="1"/>
  <c r="EG110"/>
  <c r="FQ110" s="1"/>
  <c r="EE110"/>
  <c r="FO110" s="1"/>
  <c r="EC110"/>
  <c r="FM110" s="1"/>
  <c r="EA110"/>
  <c r="FK110" s="1"/>
  <c r="DY110"/>
  <c r="FI110" s="1"/>
  <c r="DW110"/>
  <c r="FG110" s="1"/>
  <c r="DU110"/>
  <c r="FE110" s="1"/>
  <c r="DS110"/>
  <c r="FC110" s="1"/>
  <c r="DQ110"/>
  <c r="FA110" s="1"/>
  <c r="DO110"/>
  <c r="EY110" s="1"/>
  <c r="DM110"/>
  <c r="EW110" s="1"/>
  <c r="DK110"/>
  <c r="EU110" s="1"/>
  <c r="DI110"/>
  <c r="ES110" s="1"/>
  <c r="EI112"/>
  <c r="FS112" s="1"/>
  <c r="EG112"/>
  <c r="FQ112" s="1"/>
  <c r="EE112"/>
  <c r="FO112" s="1"/>
  <c r="EC112"/>
  <c r="FM112" s="1"/>
  <c r="EA112"/>
  <c r="FK112" s="1"/>
  <c r="DY112"/>
  <c r="FI112" s="1"/>
  <c r="DW112"/>
  <c r="FG112" s="1"/>
  <c r="DU112"/>
  <c r="FE112" s="1"/>
  <c r="DS112"/>
  <c r="FC112" s="1"/>
  <c r="DQ112"/>
  <c r="FA112" s="1"/>
  <c r="DO112"/>
  <c r="EY112" s="1"/>
  <c r="DM112"/>
  <c r="EW112" s="1"/>
  <c r="DK112"/>
  <c r="EU112" s="1"/>
  <c r="DI112"/>
  <c r="ES112" s="1"/>
  <c r="EI114"/>
  <c r="FS114" s="1"/>
  <c r="EG114"/>
  <c r="FQ114" s="1"/>
  <c r="EE114"/>
  <c r="FO114" s="1"/>
  <c r="EC114"/>
  <c r="FM114" s="1"/>
  <c r="EA114"/>
  <c r="FK114" s="1"/>
  <c r="DY114"/>
  <c r="FI114" s="1"/>
  <c r="DW114"/>
  <c r="FG114" s="1"/>
  <c r="DU114"/>
  <c r="FE114" s="1"/>
  <c r="DS114"/>
  <c r="FC114" s="1"/>
  <c r="DQ114"/>
  <c r="FA114" s="1"/>
  <c r="DO114"/>
  <c r="EY114" s="1"/>
  <c r="DM114"/>
  <c r="EW114" s="1"/>
  <c r="DK114"/>
  <c r="EU114" s="1"/>
  <c r="DI114"/>
  <c r="ES114" s="1"/>
  <c r="EI116"/>
  <c r="FS116" s="1"/>
  <c r="EG116"/>
  <c r="FQ116" s="1"/>
  <c r="EE116"/>
  <c r="FO116" s="1"/>
  <c r="EC116"/>
  <c r="FM116" s="1"/>
  <c r="EA116"/>
  <c r="FK116" s="1"/>
  <c r="DY116"/>
  <c r="FI116" s="1"/>
  <c r="DW116"/>
  <c r="FG116" s="1"/>
  <c r="DU116"/>
  <c r="FE116" s="1"/>
  <c r="DS116"/>
  <c r="FC116" s="1"/>
  <c r="DQ116"/>
  <c r="FA116" s="1"/>
  <c r="DO116"/>
  <c r="EY116" s="1"/>
  <c r="DM116"/>
  <c r="DK116"/>
  <c r="DI116"/>
  <c r="EI125"/>
  <c r="FS125" s="1"/>
  <c r="EG125"/>
  <c r="FQ125" s="1"/>
  <c r="EE125"/>
  <c r="FO125" s="1"/>
  <c r="EC125"/>
  <c r="FM125" s="1"/>
  <c r="EA125"/>
  <c r="FK125" s="1"/>
  <c r="DY125"/>
  <c r="FI125" s="1"/>
  <c r="DW125"/>
  <c r="FG125" s="1"/>
  <c r="DU125"/>
  <c r="FE125" s="1"/>
  <c r="DS125"/>
  <c r="FC125" s="1"/>
  <c r="DQ125"/>
  <c r="FA125" s="1"/>
  <c r="DO125"/>
  <c r="EY125" s="1"/>
  <c r="DM125"/>
  <c r="EW125" s="1"/>
  <c r="DK125"/>
  <c r="EU125" s="1"/>
  <c r="DI125"/>
  <c r="ES125" s="1"/>
  <c r="EI136"/>
  <c r="FS136" s="1"/>
  <c r="EG136"/>
  <c r="FQ136" s="1"/>
  <c r="EE136"/>
  <c r="FO136" s="1"/>
  <c r="EC136"/>
  <c r="FM136" s="1"/>
  <c r="EA136"/>
  <c r="FK136" s="1"/>
  <c r="DY136"/>
  <c r="FI136" s="1"/>
  <c r="DW136"/>
  <c r="FG136" s="1"/>
  <c r="DU136"/>
  <c r="FE136" s="1"/>
  <c r="DS136"/>
  <c r="FC136" s="1"/>
  <c r="DQ136"/>
  <c r="FA136" s="1"/>
  <c r="DO136"/>
  <c r="EY136" s="1"/>
  <c r="DM136"/>
  <c r="EW136" s="1"/>
  <c r="DK136"/>
  <c r="EU136" s="1"/>
  <c r="DI136"/>
  <c r="ES136" s="1"/>
  <c r="EH139"/>
  <c r="FR139" s="1"/>
  <c r="EC139"/>
  <c r="FM139" s="1"/>
  <c r="DZ139"/>
  <c r="FJ139" s="1"/>
  <c r="DU139"/>
  <c r="FE139" s="1"/>
  <c r="DR139"/>
  <c r="FB139" s="1"/>
  <c r="DM139"/>
  <c r="EW139" s="1"/>
  <c r="DM159"/>
  <c r="EW159" s="1"/>
  <c r="DF140"/>
  <c r="DH140"/>
  <c r="ER140" s="1"/>
  <c r="DJ140"/>
  <c r="ET140" s="1"/>
  <c r="DL140"/>
  <c r="EV140" s="1"/>
  <c r="DN140"/>
  <c r="EX140" s="1"/>
  <c r="DP140"/>
  <c r="EZ140" s="1"/>
  <c r="DR140"/>
  <c r="FB140" s="1"/>
  <c r="DT140"/>
  <c r="FD140" s="1"/>
  <c r="DV140"/>
  <c r="FF140" s="1"/>
  <c r="DX140"/>
  <c r="FH140" s="1"/>
  <c r="DZ140"/>
  <c r="FJ140" s="1"/>
  <c r="EB140"/>
  <c r="FL140" s="1"/>
  <c r="ED140"/>
  <c r="FN140" s="1"/>
  <c r="EF140"/>
  <c r="FP140" s="1"/>
  <c r="EH140"/>
  <c r="FR140" s="1"/>
  <c r="EJ140"/>
  <c r="FT140" s="1"/>
  <c r="DF141"/>
  <c r="DH141"/>
  <c r="ER141" s="1"/>
  <c r="DJ141"/>
  <c r="ET141" s="1"/>
  <c r="DL141"/>
  <c r="EV141" s="1"/>
  <c r="DN141"/>
  <c r="EX141" s="1"/>
  <c r="DP141"/>
  <c r="EZ141" s="1"/>
  <c r="DR141"/>
  <c r="FB141" s="1"/>
  <c r="DT141"/>
  <c r="FD141" s="1"/>
  <c r="DV141"/>
  <c r="FF141" s="1"/>
  <c r="DX141"/>
  <c r="FH141" s="1"/>
  <c r="DZ141"/>
  <c r="FJ141" s="1"/>
  <c r="EB141"/>
  <c r="FL141" s="1"/>
  <c r="ED141"/>
  <c r="FN141" s="1"/>
  <c r="EF141"/>
  <c r="FP141" s="1"/>
  <c r="EH141"/>
  <c r="FR141" s="1"/>
  <c r="EJ141"/>
  <c r="FT141" s="1"/>
  <c r="DF144"/>
  <c r="DH144"/>
  <c r="ER144" s="1"/>
  <c r="DJ144"/>
  <c r="ET144" s="1"/>
  <c r="DL144"/>
  <c r="EV144" s="1"/>
  <c r="DC147"/>
  <c r="DE147"/>
  <c r="DI159"/>
  <c r="ES159" s="1"/>
  <c r="DL159"/>
  <c r="EV159" s="1"/>
  <c r="DF159"/>
  <c r="DK159"/>
  <c r="EU159" s="1"/>
  <c r="EP164"/>
  <c r="DJ184"/>
  <c r="ET184" s="1"/>
  <c r="DM184"/>
  <c r="EW184" s="1"/>
  <c r="DR184"/>
  <c r="FB184" s="1"/>
  <c r="DU184"/>
  <c r="FE184" s="1"/>
  <c r="DZ184"/>
  <c r="FJ184" s="1"/>
  <c r="EC184"/>
  <c r="FM184" s="1"/>
  <c r="EH184"/>
  <c r="FR184" s="1"/>
  <c r="DH184"/>
  <c r="ER184" s="1"/>
  <c r="DO184"/>
  <c r="EY184" s="1"/>
  <c r="DS184"/>
  <c r="FC184" s="1"/>
  <c r="DV184"/>
  <c r="FF184" s="1"/>
  <c r="EG184"/>
  <c r="FQ184" s="1"/>
  <c r="EJ184"/>
  <c r="FT184" s="1"/>
  <c r="DG184"/>
  <c r="EQ184" s="1"/>
  <c r="DK184"/>
  <c r="EU184" s="1"/>
  <c r="DN184"/>
  <c r="EX184" s="1"/>
  <c r="DY184"/>
  <c r="FI184" s="1"/>
  <c r="EB184"/>
  <c r="FL184" s="1"/>
  <c r="EF184"/>
  <c r="FP184" s="1"/>
  <c r="DQ184"/>
  <c r="FA184" s="1"/>
  <c r="DX184"/>
  <c r="FH184" s="1"/>
  <c r="EE184"/>
  <c r="FO184" s="1"/>
  <c r="DI184"/>
  <c r="ES184" s="1"/>
  <c r="DP184"/>
  <c r="EZ184" s="1"/>
  <c r="DW184"/>
  <c r="FG184" s="1"/>
  <c r="ED184"/>
  <c r="FN184" s="1"/>
  <c r="DC186"/>
  <c r="DE186"/>
  <c r="EJ89"/>
  <c r="FT89" s="1"/>
  <c r="EH89"/>
  <c r="FR89" s="1"/>
  <c r="EF89"/>
  <c r="FP89" s="1"/>
  <c r="ED89"/>
  <c r="FN89" s="1"/>
  <c r="EB89"/>
  <c r="FL89" s="1"/>
  <c r="DZ89"/>
  <c r="FJ89" s="1"/>
  <c r="DX89"/>
  <c r="FH89" s="1"/>
  <c r="DV89"/>
  <c r="FF89" s="1"/>
  <c r="DT89"/>
  <c r="FD89" s="1"/>
  <c r="DR89"/>
  <c r="FB89" s="1"/>
  <c r="DP89"/>
  <c r="EZ89" s="1"/>
  <c r="DG166"/>
  <c r="EQ166" s="1"/>
  <c r="DG157"/>
  <c r="EQ157" s="1"/>
  <c r="DI157"/>
  <c r="ES157" s="1"/>
  <c r="DK157"/>
  <c r="EU157" s="1"/>
  <c r="DM157"/>
  <c r="EW157" s="1"/>
  <c r="DO157"/>
  <c r="EY157" s="1"/>
  <c r="DQ157"/>
  <c r="FA157" s="1"/>
  <c r="DS157"/>
  <c r="FC157" s="1"/>
  <c r="DU157"/>
  <c r="FE157" s="1"/>
  <c r="DW157"/>
  <c r="FG157" s="1"/>
  <c r="DY157"/>
  <c r="FI157" s="1"/>
  <c r="EA157"/>
  <c r="FK157" s="1"/>
  <c r="EC157"/>
  <c r="FM157" s="1"/>
  <c r="EE157"/>
  <c r="FO157" s="1"/>
  <c r="EG157"/>
  <c r="FQ157" s="1"/>
  <c r="EI157"/>
  <c r="FS157" s="1"/>
  <c r="DG171"/>
  <c r="EQ171" s="1"/>
  <c r="DI171"/>
  <c r="ES171" s="1"/>
  <c r="DK171"/>
  <c r="EU171" s="1"/>
  <c r="DM171"/>
  <c r="EW171" s="1"/>
  <c r="DO171"/>
  <c r="EY171" s="1"/>
  <c r="DQ171"/>
  <c r="FA171" s="1"/>
  <c r="DS171"/>
  <c r="FC171" s="1"/>
  <c r="DU171"/>
  <c r="FE171" s="1"/>
  <c r="DW171"/>
  <c r="FG171" s="1"/>
  <c r="DY171"/>
  <c r="FI171" s="1"/>
  <c r="EA171"/>
  <c r="FK171" s="1"/>
  <c r="EC171"/>
  <c r="FM171" s="1"/>
  <c r="EE171"/>
  <c r="FO171" s="1"/>
  <c r="EG171"/>
  <c r="FQ171" s="1"/>
  <c r="EI171"/>
  <c r="FS171" s="1"/>
  <c r="DF176"/>
  <c r="DH176"/>
  <c r="ER176" s="1"/>
  <c r="DJ176"/>
  <c r="ET176" s="1"/>
  <c r="DL176"/>
  <c r="EV176" s="1"/>
  <c r="DN176"/>
  <c r="EX176" s="1"/>
  <c r="DP176"/>
  <c r="EZ176" s="1"/>
  <c r="DR176"/>
  <c r="FB176" s="1"/>
  <c r="DT176"/>
  <c r="FD176" s="1"/>
  <c r="DV176"/>
  <c r="FF176" s="1"/>
  <c r="DX176"/>
  <c r="FH176" s="1"/>
  <c r="DZ176"/>
  <c r="FJ176" s="1"/>
  <c r="EB176"/>
  <c r="FL176" s="1"/>
  <c r="ED176"/>
  <c r="FN176" s="1"/>
  <c r="EF176"/>
  <c r="FP176" s="1"/>
  <c r="EH176"/>
  <c r="FR176" s="1"/>
  <c r="EJ176"/>
  <c r="FT176" s="1"/>
  <c r="DG176"/>
  <c r="EQ176" s="1"/>
  <c r="DO176"/>
  <c r="EY176" s="1"/>
  <c r="DW176"/>
  <c r="FG176" s="1"/>
  <c r="EE176"/>
  <c r="FO176" s="1"/>
  <c r="DI176"/>
  <c r="ES176" s="1"/>
  <c r="DQ176"/>
  <c r="FA176" s="1"/>
  <c r="DY176"/>
  <c r="FI176" s="1"/>
  <c r="EG176"/>
  <c r="FQ176" s="1"/>
  <c r="DG177"/>
  <c r="EQ177" s="1"/>
  <c r="DI177"/>
  <c r="ES177" s="1"/>
  <c r="DK177"/>
  <c r="EU177" s="1"/>
  <c r="DM177"/>
  <c r="EW177" s="1"/>
  <c r="DO177"/>
  <c r="EY177" s="1"/>
  <c r="DQ177"/>
  <c r="FA177" s="1"/>
  <c r="DS177"/>
  <c r="FC177" s="1"/>
  <c r="DU177"/>
  <c r="FE177" s="1"/>
  <c r="DW177"/>
  <c r="FG177" s="1"/>
  <c r="DY177"/>
  <c r="FI177" s="1"/>
  <c r="EA177"/>
  <c r="FK177" s="1"/>
  <c r="EC177"/>
  <c r="FM177" s="1"/>
  <c r="EE177"/>
  <c r="FO177" s="1"/>
  <c r="EG177"/>
  <c r="FQ177" s="1"/>
  <c r="EI177"/>
  <c r="FS177" s="1"/>
  <c r="DJ177"/>
  <c r="ET177" s="1"/>
  <c r="DR177"/>
  <c r="FB177" s="1"/>
  <c r="DZ177"/>
  <c r="FJ177" s="1"/>
  <c r="EH177"/>
  <c r="FR177" s="1"/>
  <c r="DL177"/>
  <c r="EV177" s="1"/>
  <c r="DT177"/>
  <c r="FD177" s="1"/>
  <c r="EB177"/>
  <c r="FL177" s="1"/>
  <c r="EJ177"/>
  <c r="FT177" s="1"/>
  <c r="DC182"/>
  <c r="DE182"/>
  <c r="EK182"/>
  <c r="EP182"/>
  <c r="EK193"/>
  <c r="EP193"/>
  <c r="FU193" s="1"/>
  <c r="DE196"/>
  <c r="DC196"/>
  <c r="EK207"/>
  <c r="EP207"/>
  <c r="FU207" s="1"/>
  <c r="CM88"/>
  <c r="AJ381"/>
  <c r="AJ377"/>
  <c r="AJ373"/>
  <c r="AJ382"/>
  <c r="AJ380"/>
  <c r="AJ378"/>
  <c r="AJ379"/>
  <c r="AJ374"/>
  <c r="AG382"/>
  <c r="AG380"/>
  <c r="AG377"/>
  <c r="AG375"/>
  <c r="AG373"/>
  <c r="AA382"/>
  <c r="AA379"/>
  <c r="AA376"/>
  <c r="U382"/>
  <c r="U380"/>
  <c r="U376"/>
  <c r="U375"/>
  <c r="U373"/>
  <c r="U381"/>
  <c r="U377"/>
  <c r="DU143"/>
  <c r="FE143" s="1"/>
  <c r="DS143"/>
  <c r="FC143" s="1"/>
  <c r="DQ143"/>
  <c r="FA143" s="1"/>
  <c r="DO143"/>
  <c r="EY143" s="1"/>
  <c r="DM143"/>
  <c r="EW143" s="1"/>
  <c r="DK143"/>
  <c r="EU143" s="1"/>
  <c r="DI143"/>
  <c r="ES143" s="1"/>
  <c r="EI146"/>
  <c r="FS146" s="1"/>
  <c r="EG146"/>
  <c r="FQ146" s="1"/>
  <c r="EE146"/>
  <c r="FO146" s="1"/>
  <c r="EC146"/>
  <c r="FM146" s="1"/>
  <c r="EA146"/>
  <c r="FK146" s="1"/>
  <c r="DY146"/>
  <c r="FI146" s="1"/>
  <c r="DW146"/>
  <c r="FG146" s="1"/>
  <c r="DU146"/>
  <c r="FE146" s="1"/>
  <c r="DS146"/>
  <c r="FC146" s="1"/>
  <c r="DQ146"/>
  <c r="FA146" s="1"/>
  <c r="DO146"/>
  <c r="EY146" s="1"/>
  <c r="DM146"/>
  <c r="EW146" s="1"/>
  <c r="DK146"/>
  <c r="EU146" s="1"/>
  <c r="DI146"/>
  <c r="ES146" s="1"/>
  <c r="EI150"/>
  <c r="FS150" s="1"/>
  <c r="EG150"/>
  <c r="FQ150" s="1"/>
  <c r="EE150"/>
  <c r="FO150" s="1"/>
  <c r="EC150"/>
  <c r="FM150" s="1"/>
  <c r="EA150"/>
  <c r="FK150" s="1"/>
  <c r="DY150"/>
  <c r="FI150" s="1"/>
  <c r="DW150"/>
  <c r="FG150" s="1"/>
  <c r="DU150"/>
  <c r="FE150" s="1"/>
  <c r="DS150"/>
  <c r="FC150" s="1"/>
  <c r="DQ150"/>
  <c r="FA150" s="1"/>
  <c r="DO150"/>
  <c r="EY150" s="1"/>
  <c r="DM150"/>
  <c r="EW150" s="1"/>
  <c r="DK150"/>
  <c r="EU150" s="1"/>
  <c r="DI150"/>
  <c r="ES150" s="1"/>
  <c r="EI152"/>
  <c r="FS152" s="1"/>
  <c r="EG152"/>
  <c r="FQ152" s="1"/>
  <c r="EE152"/>
  <c r="FO152" s="1"/>
  <c r="EC152"/>
  <c r="FM152" s="1"/>
  <c r="EA152"/>
  <c r="FK152" s="1"/>
  <c r="DY152"/>
  <c r="FI152" s="1"/>
  <c r="DW152"/>
  <c r="FG152" s="1"/>
  <c r="DU152"/>
  <c r="FE152" s="1"/>
  <c r="DS152"/>
  <c r="FC152" s="1"/>
  <c r="DQ152"/>
  <c r="FA152" s="1"/>
  <c r="DO152"/>
  <c r="EY152" s="1"/>
  <c r="DM152"/>
  <c r="EW152" s="1"/>
  <c r="DK152"/>
  <c r="EU152" s="1"/>
  <c r="DI152"/>
  <c r="ES152" s="1"/>
  <c r="EI154"/>
  <c r="FS154" s="1"/>
  <c r="EG154"/>
  <c r="FQ154" s="1"/>
  <c r="EE154"/>
  <c r="FO154" s="1"/>
  <c r="EC154"/>
  <c r="FM154" s="1"/>
  <c r="EA154"/>
  <c r="FK154" s="1"/>
  <c r="DY154"/>
  <c r="FI154" s="1"/>
  <c r="DW154"/>
  <c r="FG154" s="1"/>
  <c r="DU154"/>
  <c r="FE154" s="1"/>
  <c r="DS154"/>
  <c r="FC154" s="1"/>
  <c r="DQ154"/>
  <c r="FA154" s="1"/>
  <c r="DO154"/>
  <c r="EY154" s="1"/>
  <c r="DM154"/>
  <c r="DK154"/>
  <c r="DI154"/>
  <c r="ES154" s="1"/>
  <c r="DM156"/>
  <c r="EW156" s="1"/>
  <c r="DK156"/>
  <c r="EU156" s="1"/>
  <c r="EK158"/>
  <c r="EK162"/>
  <c r="EH164"/>
  <c r="FR164" s="1"/>
  <c r="EC164"/>
  <c r="FM164" s="1"/>
  <c r="DZ164"/>
  <c r="FJ164" s="1"/>
  <c r="DU164"/>
  <c r="FE164" s="1"/>
  <c r="DR164"/>
  <c r="FB164" s="1"/>
  <c r="DM164"/>
  <c r="EW164" s="1"/>
  <c r="EK165"/>
  <c r="DL166"/>
  <c r="EV166" s="1"/>
  <c r="EG169"/>
  <c r="FQ169" s="1"/>
  <c r="EC169"/>
  <c r="FM169" s="1"/>
  <c r="DY169"/>
  <c r="FI169" s="1"/>
  <c r="DU169"/>
  <c r="FE169" s="1"/>
  <c r="DQ169"/>
  <c r="FA169" s="1"/>
  <c r="DM169"/>
  <c r="EW169" s="1"/>
  <c r="EK173"/>
  <c r="DF169"/>
  <c r="DH169"/>
  <c r="ER169" s="1"/>
  <c r="DJ169"/>
  <c r="ET169" s="1"/>
  <c r="DL169"/>
  <c r="EV169" s="1"/>
  <c r="DN169"/>
  <c r="EX169" s="1"/>
  <c r="DP169"/>
  <c r="EZ169" s="1"/>
  <c r="DR169"/>
  <c r="FB169" s="1"/>
  <c r="DT169"/>
  <c r="FD169" s="1"/>
  <c r="DV169"/>
  <c r="FF169" s="1"/>
  <c r="DX169"/>
  <c r="FH169" s="1"/>
  <c r="DZ169"/>
  <c r="FJ169" s="1"/>
  <c r="EB169"/>
  <c r="FL169" s="1"/>
  <c r="ED169"/>
  <c r="FN169" s="1"/>
  <c r="EF169"/>
  <c r="FP169" s="1"/>
  <c r="EH169"/>
  <c r="FR169" s="1"/>
  <c r="EJ169"/>
  <c r="FT169" s="1"/>
  <c r="DC171"/>
  <c r="DE171"/>
  <c r="DC177"/>
  <c r="DE177"/>
  <c r="DE184"/>
  <c r="DC184"/>
  <c r="DG187"/>
  <c r="EQ187" s="1"/>
  <c r="DI187"/>
  <c r="ES187" s="1"/>
  <c r="DK187"/>
  <c r="EU187" s="1"/>
  <c r="DM187"/>
  <c r="EW187" s="1"/>
  <c r="DO187"/>
  <c r="EY187" s="1"/>
  <c r="DQ187"/>
  <c r="FA187" s="1"/>
  <c r="DS187"/>
  <c r="FC187" s="1"/>
  <c r="DU187"/>
  <c r="FE187" s="1"/>
  <c r="DW187"/>
  <c r="FG187" s="1"/>
  <c r="DY187"/>
  <c r="FI187" s="1"/>
  <c r="EA187"/>
  <c r="FK187" s="1"/>
  <c r="EC187"/>
  <c r="FM187" s="1"/>
  <c r="EE187"/>
  <c r="FO187" s="1"/>
  <c r="EG187"/>
  <c r="FQ187" s="1"/>
  <c r="EI187"/>
  <c r="FS187" s="1"/>
  <c r="DL187"/>
  <c r="EV187" s="1"/>
  <c r="DT187"/>
  <c r="FD187" s="1"/>
  <c r="EB187"/>
  <c r="FL187" s="1"/>
  <c r="EJ187"/>
  <c r="FT187" s="1"/>
  <c r="DN187"/>
  <c r="EX187" s="1"/>
  <c r="DR187"/>
  <c r="FB187" s="1"/>
  <c r="EF187"/>
  <c r="FP187" s="1"/>
  <c r="DF187"/>
  <c r="DJ187"/>
  <c r="ET187" s="1"/>
  <c r="DX187"/>
  <c r="FH187" s="1"/>
  <c r="DC190"/>
  <c r="DE190"/>
  <c r="EK194"/>
  <c r="EP194"/>
  <c r="FU194" s="1"/>
  <c r="EP200"/>
  <c r="FU200" s="1"/>
  <c r="EK200"/>
  <c r="EK202"/>
  <c r="EP202"/>
  <c r="FU202" s="1"/>
  <c r="V374"/>
  <c r="L379"/>
  <c r="L380"/>
  <c r="I382"/>
  <c r="I380"/>
  <c r="I376"/>
  <c r="I378"/>
  <c r="I373"/>
  <c r="I381"/>
  <c r="I379"/>
  <c r="I377"/>
  <c r="I375"/>
  <c r="I374"/>
  <c r="DG175"/>
  <c r="EQ175" s="1"/>
  <c r="DI175"/>
  <c r="ES175" s="1"/>
  <c r="DK175"/>
  <c r="DM175"/>
  <c r="DO175"/>
  <c r="EY175" s="1"/>
  <c r="DQ175"/>
  <c r="FA175" s="1"/>
  <c r="DS175"/>
  <c r="FC175" s="1"/>
  <c r="DU175"/>
  <c r="FE175" s="1"/>
  <c r="DW175"/>
  <c r="FG175" s="1"/>
  <c r="DY175"/>
  <c r="FI175" s="1"/>
  <c r="EA175"/>
  <c r="FK175" s="1"/>
  <c r="EC175"/>
  <c r="FM175" s="1"/>
  <c r="EE175"/>
  <c r="FO175" s="1"/>
  <c r="EG175"/>
  <c r="FQ175" s="1"/>
  <c r="EI175"/>
  <c r="FS175" s="1"/>
  <c r="DG180"/>
  <c r="EQ180" s="1"/>
  <c r="DL180"/>
  <c r="EV180" s="1"/>
  <c r="DG183"/>
  <c r="EQ183" s="1"/>
  <c r="DI183"/>
  <c r="ES183" s="1"/>
  <c r="DK183"/>
  <c r="EU183" s="1"/>
  <c r="DM183"/>
  <c r="EW183" s="1"/>
  <c r="DO183"/>
  <c r="EY183" s="1"/>
  <c r="DQ183"/>
  <c r="FA183" s="1"/>
  <c r="DS183"/>
  <c r="FC183" s="1"/>
  <c r="DU183"/>
  <c r="FE183" s="1"/>
  <c r="DW183"/>
  <c r="FG183" s="1"/>
  <c r="DY183"/>
  <c r="FI183" s="1"/>
  <c r="EA183"/>
  <c r="FK183" s="1"/>
  <c r="EC183"/>
  <c r="FM183" s="1"/>
  <c r="EE183"/>
  <c r="FO183" s="1"/>
  <c r="EG183"/>
  <c r="FQ183" s="1"/>
  <c r="EI183"/>
  <c r="FS183" s="1"/>
  <c r="DF183"/>
  <c r="DN183"/>
  <c r="EX183" s="1"/>
  <c r="DV183"/>
  <c r="FF183" s="1"/>
  <c r="ED183"/>
  <c r="FN183" s="1"/>
  <c r="DN185"/>
  <c r="EX185" s="1"/>
  <c r="DP185"/>
  <c r="EZ185" s="1"/>
  <c r="DR185"/>
  <c r="FB185" s="1"/>
  <c r="DT185"/>
  <c r="FD185" s="1"/>
  <c r="DV185"/>
  <c r="FF185" s="1"/>
  <c r="DX185"/>
  <c r="FH185" s="1"/>
  <c r="DZ185"/>
  <c r="FJ185" s="1"/>
  <c r="EB185"/>
  <c r="FL185" s="1"/>
  <c r="ED185"/>
  <c r="FN185" s="1"/>
  <c r="EF185"/>
  <c r="FP185" s="1"/>
  <c r="EH185"/>
  <c r="FR185" s="1"/>
  <c r="EJ185"/>
  <c r="FT185" s="1"/>
  <c r="DQ185"/>
  <c r="FA185" s="1"/>
  <c r="DY185"/>
  <c r="FI185" s="1"/>
  <c r="EG185"/>
  <c r="FQ185" s="1"/>
  <c r="DC187"/>
  <c r="DE187"/>
  <c r="EP188"/>
  <c r="FU188" s="1"/>
  <c r="EK188"/>
  <c r="DC201"/>
  <c r="DE201"/>
  <c r="EP206"/>
  <c r="FU206" s="1"/>
  <c r="EK206"/>
  <c r="P381"/>
  <c r="P377"/>
  <c r="P373"/>
  <c r="P375"/>
  <c r="P380"/>
  <c r="P382"/>
  <c r="P379"/>
  <c r="P378"/>
  <c r="P376"/>
  <c r="M380"/>
  <c r="G551"/>
  <c r="DF174"/>
  <c r="DH174"/>
  <c r="ER174" s="1"/>
  <c r="DJ174"/>
  <c r="ET174" s="1"/>
  <c r="DL174"/>
  <c r="EV174" s="1"/>
  <c r="DN174"/>
  <c r="EX174" s="1"/>
  <c r="DP174"/>
  <c r="EZ174" s="1"/>
  <c r="DO180"/>
  <c r="EY180" s="1"/>
  <c r="DT180"/>
  <c r="FD180" s="1"/>
  <c r="DW180"/>
  <c r="FG180" s="1"/>
  <c r="EB180"/>
  <c r="FL180" s="1"/>
  <c r="EE180"/>
  <c r="FO180" s="1"/>
  <c r="EJ180"/>
  <c r="FT180" s="1"/>
  <c r="AI382"/>
  <c r="AI376"/>
  <c r="AI373"/>
  <c r="AD379"/>
  <c r="AD375"/>
  <c r="AD378"/>
  <c r="AD376"/>
  <c r="AD377"/>
  <c r="AD374"/>
  <c r="AD373"/>
  <c r="X381"/>
  <c r="X374"/>
  <c r="ED175"/>
  <c r="FN175" s="1"/>
  <c r="DV175"/>
  <c r="FF175" s="1"/>
  <c r="DN175"/>
  <c r="DF175"/>
  <c r="DM178"/>
  <c r="DE179"/>
  <c r="DM180"/>
  <c r="EW180" s="1"/>
  <c r="DI180"/>
  <c r="ES180" s="1"/>
  <c r="EB183"/>
  <c r="FL183" s="1"/>
  <c r="DX183"/>
  <c r="FH183" s="1"/>
  <c r="DJ183"/>
  <c r="ET183" s="1"/>
  <c r="EI185"/>
  <c r="FS185" s="1"/>
  <c r="DU185"/>
  <c r="FE185" s="1"/>
  <c r="DE189"/>
  <c r="EP190"/>
  <c r="FU190" s="1"/>
  <c r="DE207"/>
  <c r="DN181"/>
  <c r="EX181" s="1"/>
  <c r="DP181"/>
  <c r="EZ181" s="1"/>
  <c r="DR181"/>
  <c r="FB181" s="1"/>
  <c r="DT181"/>
  <c r="FD181" s="1"/>
  <c r="DV181"/>
  <c r="FF181" s="1"/>
  <c r="DX181"/>
  <c r="FH181" s="1"/>
  <c r="DZ181"/>
  <c r="FJ181" s="1"/>
  <c r="EB181"/>
  <c r="FL181" s="1"/>
  <c r="ED181"/>
  <c r="FN181" s="1"/>
  <c r="EF181"/>
  <c r="FP181" s="1"/>
  <c r="EH181"/>
  <c r="FR181" s="1"/>
  <c r="EJ181"/>
  <c r="FT181" s="1"/>
  <c r="AK382"/>
  <c r="AK380"/>
  <c r="AK376"/>
  <c r="AK375"/>
  <c r="AK373"/>
  <c r="AB381"/>
  <c r="AB377"/>
  <c r="AB373"/>
  <c r="AB382"/>
  <c r="AB379"/>
  <c r="Y378"/>
  <c r="S376"/>
  <c r="N379"/>
  <c r="N375"/>
  <c r="N378"/>
  <c r="N376"/>
  <c r="H381"/>
  <c r="H377"/>
  <c r="H373"/>
  <c r="H376"/>
  <c r="H374"/>
  <c r="AJ30"/>
  <c r="AJ46" s="1"/>
  <c r="AJ432" s="1"/>
  <c r="AJ21"/>
  <c r="AJ37" s="1"/>
  <c r="AF21"/>
  <c r="AF37" s="1"/>
  <c r="AF30"/>
  <c r="AF46" s="1"/>
  <c r="AF432" s="1"/>
  <c r="AB30"/>
  <c r="AB46" s="1"/>
  <c r="AB432" s="1"/>
  <c r="AB21"/>
  <c r="AB37" s="1"/>
  <c r="P21"/>
  <c r="P30"/>
  <c r="P46" s="1"/>
  <c r="P432" s="1"/>
  <c r="AH28"/>
  <c r="AH44" s="1"/>
  <c r="AD28"/>
  <c r="AD44" s="1"/>
  <c r="Z28"/>
  <c r="Z44" s="1"/>
  <c r="V28"/>
  <c r="V44" s="1"/>
  <c r="R28"/>
  <c r="R44" s="1"/>
  <c r="N28"/>
  <c r="N44" s="1"/>
  <c r="J28"/>
  <c r="CM128"/>
  <c r="AF377"/>
  <c r="AC374"/>
  <c r="K378"/>
  <c r="H480"/>
  <c r="H478"/>
  <c r="H470"/>
  <c r="AE374"/>
  <c r="Z379"/>
  <c r="Z375"/>
  <c r="W382"/>
  <c r="W378"/>
  <c r="W374"/>
  <c r="O382"/>
  <c r="O378"/>
  <c r="O374"/>
  <c r="J379"/>
  <c r="J375"/>
  <c r="G382"/>
  <c r="AH23"/>
  <c r="AH39" s="1"/>
  <c r="AH30"/>
  <c r="AH46" s="1"/>
  <c r="AH432" s="1"/>
  <c r="AD23"/>
  <c r="AD39" s="1"/>
  <c r="AD30"/>
  <c r="AD46" s="1"/>
  <c r="AD432" s="1"/>
  <c r="Z23"/>
  <c r="Z39" s="1"/>
  <c r="Z30"/>
  <c r="Z46" s="1"/>
  <c r="Z432" s="1"/>
  <c r="V23"/>
  <c r="V39" s="1"/>
  <c r="V30"/>
  <c r="V46" s="1"/>
  <c r="V432" s="1"/>
  <c r="R23"/>
  <c r="R39" s="1"/>
  <c r="R30"/>
  <c r="R46" s="1"/>
  <c r="R432" s="1"/>
  <c r="N23"/>
  <c r="N39" s="1"/>
  <c r="N30"/>
  <c r="N46" s="1"/>
  <c r="N432" s="1"/>
  <c r="J23"/>
  <c r="J30"/>
  <c r="D70"/>
  <c r="E459"/>
  <c r="H460" s="1"/>
  <c r="G22"/>
  <c r="D71"/>
  <c r="AH26"/>
  <c r="AH42" s="1"/>
  <c r="AD26"/>
  <c r="AD42" s="1"/>
  <c r="Z26"/>
  <c r="Z42" s="1"/>
  <c r="V26"/>
  <c r="V42" s="1"/>
  <c r="R26"/>
  <c r="R42" s="1"/>
  <c r="N26"/>
  <c r="N42" s="1"/>
  <c r="J26"/>
  <c r="AH24"/>
  <c r="AH40" s="1"/>
  <c r="AD24"/>
  <c r="AD40" s="1"/>
  <c r="Z24"/>
  <c r="Z40" s="1"/>
  <c r="V24"/>
  <c r="V40" s="1"/>
  <c r="R24"/>
  <c r="R40" s="1"/>
  <c r="N24"/>
  <c r="N40" s="1"/>
  <c r="J24"/>
  <c r="J40" s="1"/>
  <c r="D459"/>
  <c r="D461"/>
  <c r="D463"/>
  <c r="D465"/>
  <c r="D467"/>
  <c r="D469"/>
  <c r="D471"/>
  <c r="D473"/>
  <c r="D475"/>
  <c r="D477"/>
  <c r="D479"/>
  <c r="D481"/>
  <c r="D483"/>
  <c r="D485"/>
  <c r="D487"/>
  <c r="D489"/>
  <c r="D491"/>
  <c r="D493"/>
  <c r="D495"/>
  <c r="D497"/>
  <c r="D499"/>
  <c r="D501"/>
  <c r="D503"/>
  <c r="D505"/>
  <c r="D507"/>
  <c r="D509"/>
  <c r="D511"/>
  <c r="D513"/>
  <c r="D515"/>
  <c r="D517"/>
  <c r="J552"/>
  <c r="K552" s="1"/>
  <c r="AI24"/>
  <c r="AI40" s="1"/>
  <c r="AE24"/>
  <c r="AE40" s="1"/>
  <c r="AA24"/>
  <c r="AA40" s="1"/>
  <c r="W24"/>
  <c r="W40" s="1"/>
  <c r="S24"/>
  <c r="S40" s="1"/>
  <c r="O24"/>
  <c r="O40" s="1"/>
  <c r="K24"/>
  <c r="K40" s="1"/>
  <c r="G24"/>
  <c r="D457"/>
  <c r="G553"/>
  <c r="AH22"/>
  <c r="AH38" s="1"/>
  <c r="AD22"/>
  <c r="AD38" s="1"/>
  <c r="Z22"/>
  <c r="Z38" s="1"/>
  <c r="V22"/>
  <c r="V38" s="1"/>
  <c r="R22"/>
  <c r="R38" s="1"/>
  <c r="N22"/>
  <c r="N38" s="1"/>
  <c r="J22"/>
  <c r="J38" s="1"/>
  <c r="N424" l="1"/>
  <c r="N442" s="1"/>
  <c r="AD424"/>
  <c r="AD442" s="1"/>
  <c r="W426"/>
  <c r="W444" s="1"/>
  <c r="N426"/>
  <c r="N444" s="1"/>
  <c r="R428"/>
  <c r="R446" s="1"/>
  <c r="AH428"/>
  <c r="AH446" s="1"/>
  <c r="N425"/>
  <c r="N443" s="1"/>
  <c r="AD425"/>
  <c r="AD443" s="1"/>
  <c r="AH430"/>
  <c r="AH448" s="1"/>
  <c r="W424"/>
  <c r="W442" s="1"/>
  <c r="V427"/>
  <c r="V445" s="1"/>
  <c r="AH431"/>
  <c r="AH449" s="1"/>
  <c r="W423"/>
  <c r="W441" s="1"/>
  <c r="T423"/>
  <c r="T441" s="1"/>
  <c r="J427"/>
  <c r="J445" s="1"/>
  <c r="S61"/>
  <c r="S432"/>
  <c r="S450" s="1"/>
  <c r="AD423"/>
  <c r="AD441" s="1"/>
  <c r="AC432"/>
  <c r="AC450" s="1"/>
  <c r="AA432"/>
  <c r="AA450" s="1"/>
  <c r="AC424"/>
  <c r="AC442" s="1"/>
  <c r="Q426"/>
  <c r="Q444" s="1"/>
  <c r="H427"/>
  <c r="H445" s="1"/>
  <c r="AK427"/>
  <c r="AK445" s="1"/>
  <c r="AI427"/>
  <c r="AI445" s="1"/>
  <c r="AC428"/>
  <c r="AC446" s="1"/>
  <c r="P428"/>
  <c r="P446" s="1"/>
  <c r="AA428"/>
  <c r="AA446" s="1"/>
  <c r="S429"/>
  <c r="S447" s="1"/>
  <c r="O430"/>
  <c r="O448" s="1"/>
  <c r="AK430"/>
  <c r="AK448" s="1"/>
  <c r="P431"/>
  <c r="P449" s="1"/>
  <c r="H431"/>
  <c r="H449" s="1"/>
  <c r="K431"/>
  <c r="K449" s="1"/>
  <c r="AI431"/>
  <c r="AI449" s="1"/>
  <c r="L424"/>
  <c r="L442" s="1"/>
  <c r="K425"/>
  <c r="K443" s="1"/>
  <c r="AK425"/>
  <c r="AK443" s="1"/>
  <c r="AJ427"/>
  <c r="AJ445" s="1"/>
  <c r="AF425"/>
  <c r="AF443" s="1"/>
  <c r="X426"/>
  <c r="X444" s="1"/>
  <c r="J424"/>
  <c r="J442" s="1"/>
  <c r="Z424"/>
  <c r="Z442" s="1"/>
  <c r="J426"/>
  <c r="J444" s="1"/>
  <c r="Z426"/>
  <c r="Z444" s="1"/>
  <c r="AD428"/>
  <c r="AD446" s="1"/>
  <c r="AD430"/>
  <c r="AD448" s="1"/>
  <c r="AJ423"/>
  <c r="AJ441" s="1"/>
  <c r="AI424"/>
  <c r="AI442" s="1"/>
  <c r="Z431"/>
  <c r="Z449" s="1"/>
  <c r="AI423"/>
  <c r="AI441" s="1"/>
  <c r="M61"/>
  <c r="M432"/>
  <c r="M450" s="1"/>
  <c r="AK424"/>
  <c r="AK442" s="1"/>
  <c r="N431"/>
  <c r="N449" s="1"/>
  <c r="AG432"/>
  <c r="AG450" s="1"/>
  <c r="I423"/>
  <c r="I441" s="1"/>
  <c r="H432"/>
  <c r="H450" s="1"/>
  <c r="P425"/>
  <c r="P443" s="1"/>
  <c r="M426"/>
  <c r="M444" s="1"/>
  <c r="AC426"/>
  <c r="AC444" s="1"/>
  <c r="AG427"/>
  <c r="AG445" s="1"/>
  <c r="H428"/>
  <c r="H446" s="1"/>
  <c r="AJ429"/>
  <c r="AJ447" s="1"/>
  <c r="W428"/>
  <c r="W446" s="1"/>
  <c r="O429"/>
  <c r="O447" s="1"/>
  <c r="AK429"/>
  <c r="AK447" s="1"/>
  <c r="K430"/>
  <c r="K448" s="1"/>
  <c r="AG430"/>
  <c r="AG448" s="1"/>
  <c r="L431"/>
  <c r="L449" s="1"/>
  <c r="AG431"/>
  <c r="AG449" s="1"/>
  <c r="AE431"/>
  <c r="AE449" s="1"/>
  <c r="T428"/>
  <c r="T446" s="1"/>
  <c r="X424"/>
  <c r="X442" s="1"/>
  <c r="M425"/>
  <c r="M443" s="1"/>
  <c r="T426"/>
  <c r="T444" s="1"/>
  <c r="U427"/>
  <c r="U445" s="1"/>
  <c r="Q423"/>
  <c r="Q441" s="1"/>
  <c r="L430"/>
  <c r="L448" s="1"/>
  <c r="V426"/>
  <c r="V444" s="1"/>
  <c r="R425"/>
  <c r="R443" s="1"/>
  <c r="AH425"/>
  <c r="AH443" s="1"/>
  <c r="Z430"/>
  <c r="Z448" s="1"/>
  <c r="O424"/>
  <c r="O442" s="1"/>
  <c r="AE424"/>
  <c r="AE442" s="1"/>
  <c r="I61"/>
  <c r="I432"/>
  <c r="I450" s="1"/>
  <c r="R429"/>
  <c r="R447" s="1"/>
  <c r="R431"/>
  <c r="R449" s="1"/>
  <c r="O423"/>
  <c r="O441" s="1"/>
  <c r="AE423"/>
  <c r="AE441" s="1"/>
  <c r="W425"/>
  <c r="W443" s="1"/>
  <c r="Y423"/>
  <c r="Y441" s="1"/>
  <c r="Z427"/>
  <c r="Z445" s="1"/>
  <c r="AD429"/>
  <c r="AD447" s="1"/>
  <c r="G432"/>
  <c r="G450" s="1"/>
  <c r="X423"/>
  <c r="X441" s="1"/>
  <c r="V423"/>
  <c r="V441" s="1"/>
  <c r="L432"/>
  <c r="L450" s="1"/>
  <c r="U423"/>
  <c r="U441" s="1"/>
  <c r="AK61"/>
  <c r="AK432"/>
  <c r="AK450" s="1"/>
  <c r="Y424"/>
  <c r="Y442" s="1"/>
  <c r="M424"/>
  <c r="M442" s="1"/>
  <c r="H425"/>
  <c r="H443" s="1"/>
  <c r="S425"/>
  <c r="S443" s="1"/>
  <c r="I426"/>
  <c r="I444" s="1"/>
  <c r="Y426"/>
  <c r="Y444" s="1"/>
  <c r="X427"/>
  <c r="X445" s="1"/>
  <c r="I427"/>
  <c r="I445" s="1"/>
  <c r="AC427"/>
  <c r="AC445" s="1"/>
  <c r="O427"/>
  <c r="O445" s="1"/>
  <c r="AA427"/>
  <c r="AA445" s="1"/>
  <c r="Q428"/>
  <c r="Q446" s="1"/>
  <c r="L429"/>
  <c r="L447" s="1"/>
  <c r="T429"/>
  <c r="T447" s="1"/>
  <c r="S428"/>
  <c r="S446" s="1"/>
  <c r="AI428"/>
  <c r="AI446" s="1"/>
  <c r="K429"/>
  <c r="K447" s="1"/>
  <c r="AA429"/>
  <c r="AA447" s="1"/>
  <c r="Q429"/>
  <c r="Q447" s="1"/>
  <c r="AG429"/>
  <c r="AG447" s="1"/>
  <c r="AF429"/>
  <c r="AF447" s="1"/>
  <c r="W430"/>
  <c r="W448" s="1"/>
  <c r="AC430"/>
  <c r="AC448" s="1"/>
  <c r="AB430"/>
  <c r="AB448" s="1"/>
  <c r="U430"/>
  <c r="U448" s="1"/>
  <c r="I431"/>
  <c r="I449" s="1"/>
  <c r="AC431"/>
  <c r="AC449" s="1"/>
  <c r="AF431"/>
  <c r="AF449" s="1"/>
  <c r="W431"/>
  <c r="W449" s="1"/>
  <c r="S431"/>
  <c r="S449" s="1"/>
  <c r="L428"/>
  <c r="L446" s="1"/>
  <c r="AJ428"/>
  <c r="AJ446" s="1"/>
  <c r="T424"/>
  <c r="T442" s="1"/>
  <c r="AJ424"/>
  <c r="AJ442" s="1"/>
  <c r="I425"/>
  <c r="I443" s="1"/>
  <c r="AC425"/>
  <c r="AC443" s="1"/>
  <c r="L426"/>
  <c r="L444" s="1"/>
  <c r="AB427"/>
  <c r="AB445" s="1"/>
  <c r="Y431"/>
  <c r="Y449" s="1"/>
  <c r="AH423"/>
  <c r="AH441" s="1"/>
  <c r="L425"/>
  <c r="L443" s="1"/>
  <c r="H426"/>
  <c r="H444" s="1"/>
  <c r="AE429"/>
  <c r="AE447" s="1"/>
  <c r="AJ430"/>
  <c r="AJ448" s="1"/>
  <c r="AD426"/>
  <c r="AD444" s="1"/>
  <c r="V425"/>
  <c r="V443" s="1"/>
  <c r="R430"/>
  <c r="R448" s="1"/>
  <c r="H423"/>
  <c r="H441" s="1"/>
  <c r="AH429"/>
  <c r="AH447" s="1"/>
  <c r="N429"/>
  <c r="N447" s="1"/>
  <c r="V431"/>
  <c r="V449" s="1"/>
  <c r="N423"/>
  <c r="N441" s="1"/>
  <c r="M423"/>
  <c r="M441" s="1"/>
  <c r="T432"/>
  <c r="T450" s="1"/>
  <c r="Q425"/>
  <c r="Q443" s="1"/>
  <c r="AB425"/>
  <c r="AB443" s="1"/>
  <c r="AE425"/>
  <c r="AE443" s="1"/>
  <c r="AG426"/>
  <c r="AG444" s="1"/>
  <c r="Q427"/>
  <c r="Q445" s="1"/>
  <c r="S427"/>
  <c r="S445" s="1"/>
  <c r="X429"/>
  <c r="X447" s="1"/>
  <c r="AF428"/>
  <c r="AF446" s="1"/>
  <c r="K428"/>
  <c r="K446" s="1"/>
  <c r="U428"/>
  <c r="U446" s="1"/>
  <c r="I429"/>
  <c r="I447" s="1"/>
  <c r="Y429"/>
  <c r="Y447" s="1"/>
  <c r="H430"/>
  <c r="H448" s="1"/>
  <c r="AI430"/>
  <c r="AI448" s="1"/>
  <c r="M430"/>
  <c r="M448" s="1"/>
  <c r="Q431"/>
  <c r="Q449" s="1"/>
  <c r="X428"/>
  <c r="X446" s="1"/>
  <c r="AB424"/>
  <c r="AB442" s="1"/>
  <c r="U425"/>
  <c r="U443" s="1"/>
  <c r="AB426"/>
  <c r="AB444" s="1"/>
  <c r="AF430"/>
  <c r="AF448" s="1"/>
  <c r="AK423"/>
  <c r="AK441" s="1"/>
  <c r="P430"/>
  <c r="P448" s="1"/>
  <c r="S426"/>
  <c r="S444" s="1"/>
  <c r="AI426"/>
  <c r="AI444" s="1"/>
  <c r="N428"/>
  <c r="N446" s="1"/>
  <c r="N430"/>
  <c r="N448" s="1"/>
  <c r="AB423"/>
  <c r="AB441" s="1"/>
  <c r="S424"/>
  <c r="S442" s="1"/>
  <c r="N427"/>
  <c r="N445" s="1"/>
  <c r="Z429"/>
  <c r="Z447" s="1"/>
  <c r="S423"/>
  <c r="S441" s="1"/>
  <c r="AH427"/>
  <c r="AH445" s="1"/>
  <c r="K432"/>
  <c r="K450" s="1"/>
  <c r="Z423"/>
  <c r="Z441" s="1"/>
  <c r="Y432"/>
  <c r="Y450" s="1"/>
  <c r="O432"/>
  <c r="O450" s="1"/>
  <c r="U61"/>
  <c r="U432"/>
  <c r="U450" s="1"/>
  <c r="AA425"/>
  <c r="AA443" s="1"/>
  <c r="M427"/>
  <c r="M445" s="1"/>
  <c r="K427"/>
  <c r="K445" s="1"/>
  <c r="AE427"/>
  <c r="AE445" s="1"/>
  <c r="Y428"/>
  <c r="Y446" s="1"/>
  <c r="AG428"/>
  <c r="AG446" s="1"/>
  <c r="M428"/>
  <c r="M446" s="1"/>
  <c r="AI429"/>
  <c r="AI447" s="1"/>
  <c r="U429"/>
  <c r="U447" s="1"/>
  <c r="AE430"/>
  <c r="AE448" s="1"/>
  <c r="AA430"/>
  <c r="AA448" s="1"/>
  <c r="X431"/>
  <c r="X449" s="1"/>
  <c r="M431"/>
  <c r="M449" s="1"/>
  <c r="AB431"/>
  <c r="AB449" s="1"/>
  <c r="AA431"/>
  <c r="AA449" s="1"/>
  <c r="P427"/>
  <c r="P445" s="1"/>
  <c r="T425"/>
  <c r="T443" s="1"/>
  <c r="AG425"/>
  <c r="AG443" s="1"/>
  <c r="L427"/>
  <c r="L445" s="1"/>
  <c r="X425"/>
  <c r="X443" s="1"/>
  <c r="P426"/>
  <c r="P444" s="1"/>
  <c r="AK431"/>
  <c r="AK449" s="1"/>
  <c r="V424"/>
  <c r="V442" s="1"/>
  <c r="O426"/>
  <c r="O444" s="1"/>
  <c r="AE426"/>
  <c r="AE444" s="1"/>
  <c r="Z428"/>
  <c r="Z446" s="1"/>
  <c r="Z425"/>
  <c r="Z443" s="1"/>
  <c r="AF423"/>
  <c r="AF441" s="1"/>
  <c r="R424"/>
  <c r="R442" s="1"/>
  <c r="AH424"/>
  <c r="AH442" s="1"/>
  <c r="K426"/>
  <c r="K444" s="1"/>
  <c r="AA426"/>
  <c r="AA444" s="1"/>
  <c r="R426"/>
  <c r="R444" s="1"/>
  <c r="AH426"/>
  <c r="AH444" s="1"/>
  <c r="V428"/>
  <c r="V446" s="1"/>
  <c r="V430"/>
  <c r="V448" s="1"/>
  <c r="K424"/>
  <c r="K442" s="1"/>
  <c r="AA424"/>
  <c r="AA442" s="1"/>
  <c r="AC423"/>
  <c r="AC441" s="1"/>
  <c r="K423"/>
  <c r="K441" s="1"/>
  <c r="AA423"/>
  <c r="AA441" s="1"/>
  <c r="U424"/>
  <c r="U442" s="1"/>
  <c r="L423"/>
  <c r="L441" s="1"/>
  <c r="R427"/>
  <c r="R445" s="1"/>
  <c r="V429"/>
  <c r="V447" s="1"/>
  <c r="AD431"/>
  <c r="AD449" s="1"/>
  <c r="W61"/>
  <c r="W432"/>
  <c r="W450" s="1"/>
  <c r="R423"/>
  <c r="R441" s="1"/>
  <c r="J423"/>
  <c r="J441" s="1"/>
  <c r="Q432"/>
  <c r="Q450" s="1"/>
  <c r="AG423"/>
  <c r="AG441" s="1"/>
  <c r="X432"/>
  <c r="X450" s="1"/>
  <c r="AI61"/>
  <c r="AI432"/>
  <c r="AI450" s="1"/>
  <c r="I424"/>
  <c r="I442" s="1"/>
  <c r="AG424"/>
  <c r="AG442" s="1"/>
  <c r="G425"/>
  <c r="G443" s="1"/>
  <c r="AI425"/>
  <c r="AI443" s="1"/>
  <c r="U426"/>
  <c r="U444" s="1"/>
  <c r="AK426"/>
  <c r="AK444" s="1"/>
  <c r="AF427"/>
  <c r="AF445" s="1"/>
  <c r="Y427"/>
  <c r="Y445" s="1"/>
  <c r="T427"/>
  <c r="T445" s="1"/>
  <c r="W427"/>
  <c r="W445" s="1"/>
  <c r="I428"/>
  <c r="I446" s="1"/>
  <c r="AK428"/>
  <c r="AK446" s="1"/>
  <c r="H429"/>
  <c r="H447" s="1"/>
  <c r="AB429"/>
  <c r="AB447" s="1"/>
  <c r="O428"/>
  <c r="O446" s="1"/>
  <c r="AE428"/>
  <c r="AE446" s="1"/>
  <c r="G429"/>
  <c r="G447" s="1"/>
  <c r="W429"/>
  <c r="W447" s="1"/>
  <c r="M429"/>
  <c r="M447" s="1"/>
  <c r="AC429"/>
  <c r="AC447" s="1"/>
  <c r="P429"/>
  <c r="P447" s="1"/>
  <c r="T430"/>
  <c r="T448" s="1"/>
  <c r="S430"/>
  <c r="S448" s="1"/>
  <c r="Y430"/>
  <c r="Y448" s="1"/>
  <c r="Q430"/>
  <c r="Q448" s="1"/>
  <c r="AJ431"/>
  <c r="AJ449" s="1"/>
  <c r="U431"/>
  <c r="U449" s="1"/>
  <c r="T431"/>
  <c r="T449" s="1"/>
  <c r="O431"/>
  <c r="O449" s="1"/>
  <c r="G431"/>
  <c r="G449" s="1"/>
  <c r="Q424"/>
  <c r="Q442" s="1"/>
  <c r="AB428"/>
  <c r="AB446" s="1"/>
  <c r="P424"/>
  <c r="P442" s="1"/>
  <c r="AF424"/>
  <c r="AF442" s="1"/>
  <c r="Y425"/>
  <c r="Y443" s="1"/>
  <c r="AJ426"/>
  <c r="AJ444" s="1"/>
  <c r="AD427"/>
  <c r="AD445" s="1"/>
  <c r="I430"/>
  <c r="I448" s="1"/>
  <c r="H424"/>
  <c r="H442" s="1"/>
  <c r="AJ425"/>
  <c r="AJ443" s="1"/>
  <c r="O425"/>
  <c r="O443" s="1"/>
  <c r="AF426"/>
  <c r="AF444" s="1"/>
  <c r="X430"/>
  <c r="X448" s="1"/>
  <c r="Z376"/>
  <c r="Z377"/>
  <c r="T380"/>
  <c r="AF373"/>
  <c r="AE382"/>
  <c r="AC382"/>
  <c r="L381"/>
  <c r="DG235"/>
  <c r="AF382"/>
  <c r="AC380"/>
  <c r="H476"/>
  <c r="M379"/>
  <c r="M375"/>
  <c r="L376"/>
  <c r="L378"/>
  <c r="W381"/>
  <c r="W380"/>
  <c r="W375"/>
  <c r="T378"/>
  <c r="M376"/>
  <c r="M378"/>
  <c r="H474"/>
  <c r="Q379"/>
  <c r="T377"/>
  <c r="AF381"/>
  <c r="S374"/>
  <c r="M374"/>
  <c r="M382"/>
  <c r="L374"/>
  <c r="L373"/>
  <c r="V381"/>
  <c r="AF376"/>
  <c r="S379"/>
  <c r="S382"/>
  <c r="S375"/>
  <c r="Q376"/>
  <c r="AF375"/>
  <c r="Q374"/>
  <c r="S378"/>
  <c r="M381"/>
  <c r="L375"/>
  <c r="L377"/>
  <c r="H496"/>
  <c r="M377"/>
  <c r="G459"/>
  <c r="Y382"/>
  <c r="Y379"/>
  <c r="AH375"/>
  <c r="AC376"/>
  <c r="Y380"/>
  <c r="AA377"/>
  <c r="H500"/>
  <c r="Y375"/>
  <c r="Y377"/>
  <c r="AI381"/>
  <c r="AI380"/>
  <c r="AI377"/>
  <c r="AI375"/>
  <c r="AI379"/>
  <c r="AF379"/>
  <c r="AF374"/>
  <c r="AF378"/>
  <c r="H510"/>
  <c r="H482"/>
  <c r="H472"/>
  <c r="AC381"/>
  <c r="Y376"/>
  <c r="AI374"/>
  <c r="AA375"/>
  <c r="H490"/>
  <c r="Y374"/>
  <c r="DT212"/>
  <c r="DT214"/>
  <c r="EB217"/>
  <c r="DY221"/>
  <c r="EG217"/>
  <c r="EJ217"/>
  <c r="DY219"/>
  <c r="DF212"/>
  <c r="EK171"/>
  <c r="DF221"/>
  <c r="EK156"/>
  <c r="DF216"/>
  <c r="FU131"/>
  <c r="EY108"/>
  <c r="FB168"/>
  <c r="DR220"/>
  <c r="FQ168"/>
  <c r="EG220"/>
  <c r="FF118"/>
  <c r="DV215"/>
  <c r="FJ128"/>
  <c r="DZ216"/>
  <c r="FS98"/>
  <c r="EI213"/>
  <c r="FH148"/>
  <c r="DX218"/>
  <c r="FM148"/>
  <c r="EC218"/>
  <c r="FE148"/>
  <c r="DU218"/>
  <c r="FS88"/>
  <c r="EI212"/>
  <c r="FG128"/>
  <c r="DW216"/>
  <c r="EY128"/>
  <c r="FR98"/>
  <c r="EH213"/>
  <c r="FB98"/>
  <c r="DR213"/>
  <c r="FR168"/>
  <c r="EH220"/>
  <c r="FT168"/>
  <c r="EJ220"/>
  <c r="FK168"/>
  <c r="EA220"/>
  <c r="FH118"/>
  <c r="DX215"/>
  <c r="FO148"/>
  <c r="EE218"/>
  <c r="EY148"/>
  <c r="FM88"/>
  <c r="EC212"/>
  <c r="FE88"/>
  <c r="DU212"/>
  <c r="FQ128"/>
  <c r="EG216"/>
  <c r="FA128"/>
  <c r="FL98"/>
  <c r="EB213"/>
  <c r="FA108"/>
  <c r="FI108"/>
  <c r="DY214"/>
  <c r="FQ108"/>
  <c r="EG214"/>
  <c r="FH168"/>
  <c r="DX220"/>
  <c r="FD168"/>
  <c r="DT220"/>
  <c r="FO168"/>
  <c r="EE220"/>
  <c r="FG168"/>
  <c r="DW220"/>
  <c r="EY168"/>
  <c r="EQ168"/>
  <c r="FT118"/>
  <c r="EJ215"/>
  <c r="FL118"/>
  <c r="EB215"/>
  <c r="FD118"/>
  <c r="DT215"/>
  <c r="EX128"/>
  <c r="FN128"/>
  <c r="ED216"/>
  <c r="FA118"/>
  <c r="FQ118"/>
  <c r="EG215"/>
  <c r="EQ98"/>
  <c r="FG98"/>
  <c r="DW213"/>
  <c r="FT148"/>
  <c r="EJ218"/>
  <c r="FD148"/>
  <c r="DT218"/>
  <c r="FS148"/>
  <c r="EI218"/>
  <c r="FK148"/>
  <c r="EA218"/>
  <c r="FC148"/>
  <c r="DS218"/>
  <c r="FQ88"/>
  <c r="EG212"/>
  <c r="FI88"/>
  <c r="DY212"/>
  <c r="ES88"/>
  <c r="FM128"/>
  <c r="EC216"/>
  <c r="FE128"/>
  <c r="DU216"/>
  <c r="EW128"/>
  <c r="FP98"/>
  <c r="EF213"/>
  <c r="FH98"/>
  <c r="DX213"/>
  <c r="ER98"/>
  <c r="EB219"/>
  <c r="DZ219"/>
  <c r="EJ219"/>
  <c r="EF221"/>
  <c r="EJ216"/>
  <c r="EI215"/>
  <c r="ED214"/>
  <c r="EF212"/>
  <c r="FU92"/>
  <c r="DF215"/>
  <c r="DW217"/>
  <c r="EI219"/>
  <c r="EE221"/>
  <c r="DX219"/>
  <c r="DR212"/>
  <c r="EC221"/>
  <c r="EF216"/>
  <c r="DV212"/>
  <c r="DY217"/>
  <c r="FU162"/>
  <c r="EF220"/>
  <c r="EF217"/>
  <c r="EG219"/>
  <c r="EB221"/>
  <c r="EA221"/>
  <c r="EH221"/>
  <c r="DU219"/>
  <c r="EE219"/>
  <c r="DU217"/>
  <c r="DZ212"/>
  <c r="DS221"/>
  <c r="EJ221"/>
  <c r="DR218"/>
  <c r="EE215"/>
  <c r="EH214"/>
  <c r="EI221"/>
  <c r="DV217"/>
  <c r="EA215"/>
  <c r="DZ214"/>
  <c r="EJ212"/>
  <c r="ED221"/>
  <c r="DW219"/>
  <c r="DX217"/>
  <c r="DX214"/>
  <c r="DT217"/>
  <c r="EB214"/>
  <c r="FG108"/>
  <c r="DW214"/>
  <c r="FO108"/>
  <c r="EE214"/>
  <c r="FF168"/>
  <c r="DV220"/>
  <c r="FL168"/>
  <c r="EB220"/>
  <c r="FI168"/>
  <c r="DY220"/>
  <c r="FA168"/>
  <c r="FN118"/>
  <c r="ED215"/>
  <c r="EX118"/>
  <c r="ET128"/>
  <c r="FM118"/>
  <c r="EC215"/>
  <c r="FC98"/>
  <c r="DS213"/>
  <c r="FK88"/>
  <c r="EA212"/>
  <c r="FC88"/>
  <c r="DS212"/>
  <c r="FO128"/>
  <c r="EE216"/>
  <c r="FJ98"/>
  <c r="DZ213"/>
  <c r="ET98"/>
  <c r="FE108"/>
  <c r="DU214"/>
  <c r="FM108"/>
  <c r="EC214"/>
  <c r="FN168"/>
  <c r="ED220"/>
  <c r="FS168"/>
  <c r="EI220"/>
  <c r="FC168"/>
  <c r="DS220"/>
  <c r="FP118"/>
  <c r="EF215"/>
  <c r="EZ118"/>
  <c r="FF128"/>
  <c r="DV216"/>
  <c r="FI118"/>
  <c r="DY215"/>
  <c r="FO98"/>
  <c r="EE213"/>
  <c r="FL148"/>
  <c r="EB218"/>
  <c r="FG148"/>
  <c r="DW218"/>
  <c r="FI128"/>
  <c r="DY216"/>
  <c r="ES128"/>
  <c r="FT98"/>
  <c r="EJ213"/>
  <c r="FD98"/>
  <c r="DT213"/>
  <c r="EW178"/>
  <c r="FU178" s="1"/>
  <c r="FC108"/>
  <c r="DS214"/>
  <c r="FK108"/>
  <c r="EA214"/>
  <c r="FS108"/>
  <c r="EI214"/>
  <c r="ER168"/>
  <c r="FM168"/>
  <c r="EC220"/>
  <c r="FE168"/>
  <c r="DU220"/>
  <c r="FR118"/>
  <c r="EH215"/>
  <c r="FJ118"/>
  <c r="DZ215"/>
  <c r="FB118"/>
  <c r="DR215"/>
  <c r="FB128"/>
  <c r="DR216"/>
  <c r="FR128"/>
  <c r="EH216"/>
  <c r="FE118"/>
  <c r="DU215"/>
  <c r="FK98"/>
  <c r="EA213"/>
  <c r="FP148"/>
  <c r="EF218"/>
  <c r="EZ148"/>
  <c r="FQ148"/>
  <c r="EG218"/>
  <c r="FI148"/>
  <c r="DY218"/>
  <c r="FA148"/>
  <c r="FO88"/>
  <c r="EE212"/>
  <c r="FG88"/>
  <c r="DW212"/>
  <c r="EQ88"/>
  <c r="FS128"/>
  <c r="EI216"/>
  <c r="FK128"/>
  <c r="EA216"/>
  <c r="FC128"/>
  <c r="DS216"/>
  <c r="EU128"/>
  <c r="FN98"/>
  <c r="ED213"/>
  <c r="FF98"/>
  <c r="DV213"/>
  <c r="DX221"/>
  <c r="DW221"/>
  <c r="DS215"/>
  <c r="ED218"/>
  <c r="DT221"/>
  <c r="EA219"/>
  <c r="EE217"/>
  <c r="EI217"/>
  <c r="FU137"/>
  <c r="FU170"/>
  <c r="FU173"/>
  <c r="DU221"/>
  <c r="DW215"/>
  <c r="DT219"/>
  <c r="DR219"/>
  <c r="DZ218"/>
  <c r="DX216"/>
  <c r="DY213"/>
  <c r="EH212"/>
  <c r="DV214"/>
  <c r="DZ220"/>
  <c r="EC219"/>
  <c r="EC213"/>
  <c r="EH219"/>
  <c r="DR217"/>
  <c r="ED219"/>
  <c r="ED217"/>
  <c r="DV221"/>
  <c r="EF219"/>
  <c r="EB212"/>
  <c r="FU125"/>
  <c r="FU106"/>
  <c r="FU102"/>
  <c r="DF220"/>
  <c r="DF213"/>
  <c r="FU147"/>
  <c r="FU129"/>
  <c r="FU158"/>
  <c r="EF214"/>
  <c r="EG213"/>
  <c r="DV219"/>
  <c r="EB216"/>
  <c r="EG221"/>
  <c r="EH217"/>
  <c r="EJ214"/>
  <c r="DZ217"/>
  <c r="ED212"/>
  <c r="DS219"/>
  <c r="DS217"/>
  <c r="DZ221"/>
  <c r="DV218"/>
  <c r="EA217"/>
  <c r="DT216"/>
  <c r="DR214"/>
  <c r="DU213"/>
  <c r="DX212"/>
  <c r="EH218"/>
  <c r="DR221"/>
  <c r="EC217"/>
  <c r="EW118"/>
  <c r="ET118"/>
  <c r="FA91"/>
  <c r="EU91"/>
  <c r="EV123"/>
  <c r="EU123"/>
  <c r="ET155"/>
  <c r="ES155"/>
  <c r="ER148"/>
  <c r="EW116"/>
  <c r="EU116"/>
  <c r="ES116"/>
  <c r="C375"/>
  <c r="D407" s="1"/>
  <c r="C377"/>
  <c r="D409" s="1"/>
  <c r="C376"/>
  <c r="D408" s="1"/>
  <c r="C382"/>
  <c r="D414" s="1"/>
  <c r="D29"/>
  <c r="C381"/>
  <c r="D413" s="1"/>
  <c r="D27"/>
  <c r="D545"/>
  <c r="I544" s="1"/>
  <c r="J43"/>
  <c r="C379"/>
  <c r="D411" s="1"/>
  <c r="C378"/>
  <c r="D410" s="1"/>
  <c r="H61"/>
  <c r="Y61"/>
  <c r="AC61"/>
  <c r="AG61"/>
  <c r="O61"/>
  <c r="AA61"/>
  <c r="K61"/>
  <c r="J45"/>
  <c r="D25"/>
  <c r="G61"/>
  <c r="EX175"/>
  <c r="EW175"/>
  <c r="EU175"/>
  <c r="FU165"/>
  <c r="EV153"/>
  <c r="EW154"/>
  <c r="EU154"/>
  <c r="K381"/>
  <c r="K379"/>
  <c r="K373"/>
  <c r="K380"/>
  <c r="K376"/>
  <c r="AE450"/>
  <c r="AE61"/>
  <c r="G376"/>
  <c r="G373"/>
  <c r="G375"/>
  <c r="G381"/>
  <c r="G380"/>
  <c r="G377"/>
  <c r="G379"/>
  <c r="T379"/>
  <c r="T375"/>
  <c r="T374"/>
  <c r="T376"/>
  <c r="AC379"/>
  <c r="AC375"/>
  <c r="AC377"/>
  <c r="AC373"/>
  <c r="AJ375"/>
  <c r="AJ376"/>
  <c r="AE379"/>
  <c r="AE377"/>
  <c r="AE373"/>
  <c r="AE380"/>
  <c r="AE376"/>
  <c r="AE381"/>
  <c r="AE375"/>
  <c r="K374"/>
  <c r="FU152"/>
  <c r="FU150"/>
  <c r="FU146"/>
  <c r="FU143"/>
  <c r="H486"/>
  <c r="G378"/>
  <c r="H504"/>
  <c r="K377"/>
  <c r="Q377"/>
  <c r="T373"/>
  <c r="X378"/>
  <c r="V380"/>
  <c r="V375"/>
  <c r="AA373"/>
  <c r="AA381"/>
  <c r="AA378"/>
  <c r="AG381"/>
  <c r="AG376"/>
  <c r="FU166"/>
  <c r="FU96"/>
  <c r="FU132"/>
  <c r="FU122"/>
  <c r="FU163"/>
  <c r="T61"/>
  <c r="X61"/>
  <c r="D41"/>
  <c r="X382"/>
  <c r="X380"/>
  <c r="AH380"/>
  <c r="AH381"/>
  <c r="AH378"/>
  <c r="AH377"/>
  <c r="AH376"/>
  <c r="AH382"/>
  <c r="AH374"/>
  <c r="AH373"/>
  <c r="R381"/>
  <c r="R380"/>
  <c r="R374"/>
  <c r="R382"/>
  <c r="R378"/>
  <c r="R377"/>
  <c r="R376"/>
  <c r="R373"/>
  <c r="Q375"/>
  <c r="Q378"/>
  <c r="Q381"/>
  <c r="Q373"/>
  <c r="X379"/>
  <c r="X377"/>
  <c r="V373"/>
  <c r="V382"/>
  <c r="V379"/>
  <c r="FU136"/>
  <c r="FU94"/>
  <c r="FU126"/>
  <c r="FU120"/>
  <c r="G374"/>
  <c r="R375"/>
  <c r="K375"/>
  <c r="K382"/>
  <c r="Q380"/>
  <c r="T382"/>
  <c r="X375"/>
  <c r="X376"/>
  <c r="V378"/>
  <c r="V377"/>
  <c r="AA380"/>
  <c r="AG374"/>
  <c r="AG379"/>
  <c r="FU182"/>
  <c r="FU177"/>
  <c r="FU171"/>
  <c r="FU157"/>
  <c r="FU114"/>
  <c r="FU110"/>
  <c r="FU138"/>
  <c r="FU90"/>
  <c r="L61"/>
  <c r="Q61"/>
  <c r="F515"/>
  <c r="I516" s="1"/>
  <c r="J516" s="1"/>
  <c r="G515"/>
  <c r="F499"/>
  <c r="G499"/>
  <c r="F483"/>
  <c r="I484" s="1"/>
  <c r="J484" s="1"/>
  <c r="G483"/>
  <c r="F467"/>
  <c r="I468" s="1"/>
  <c r="J468" s="1"/>
  <c r="G467"/>
  <c r="J42"/>
  <c r="J428" s="1"/>
  <c r="D26"/>
  <c r="C374"/>
  <c r="D533"/>
  <c r="G446"/>
  <c r="I540"/>
  <c r="P450"/>
  <c r="P61"/>
  <c r="EK174"/>
  <c r="EP174"/>
  <c r="FU174" s="1"/>
  <c r="EP179"/>
  <c r="FU179" s="1"/>
  <c r="EK179"/>
  <c r="EK186"/>
  <c r="EP186"/>
  <c r="FU186" s="1"/>
  <c r="EP168"/>
  <c r="EK168"/>
  <c r="EP133"/>
  <c r="FU133" s="1"/>
  <c r="EK133"/>
  <c r="EK124"/>
  <c r="EP124"/>
  <c r="FU124" s="1"/>
  <c r="EP97"/>
  <c r="FU97" s="1"/>
  <c r="EK97"/>
  <c r="EP91"/>
  <c r="EK91"/>
  <c r="EK145"/>
  <c r="EP145"/>
  <c r="FU145" s="1"/>
  <c r="EP172"/>
  <c r="FU172" s="1"/>
  <c r="EK172"/>
  <c r="F509"/>
  <c r="I510" s="1"/>
  <c r="J510" s="1"/>
  <c r="G509"/>
  <c r="F493"/>
  <c r="I494" s="1"/>
  <c r="J494" s="1"/>
  <c r="G493"/>
  <c r="F477"/>
  <c r="I478" s="1"/>
  <c r="J478" s="1"/>
  <c r="G477"/>
  <c r="F461"/>
  <c r="I462" s="1"/>
  <c r="J462" s="1"/>
  <c r="G461"/>
  <c r="D412"/>
  <c r="D30"/>
  <c r="J46"/>
  <c r="J432" s="1"/>
  <c r="Z450"/>
  <c r="Z61"/>
  <c r="AB450"/>
  <c r="AB61"/>
  <c r="EP151"/>
  <c r="FU151" s="1"/>
  <c r="EK151"/>
  <c r="EP121"/>
  <c r="FU121" s="1"/>
  <c r="EK121"/>
  <c r="EK119"/>
  <c r="EP119"/>
  <c r="FU119" s="1"/>
  <c r="EP118"/>
  <c r="EK118"/>
  <c r="EP100"/>
  <c r="FU100" s="1"/>
  <c r="EK100"/>
  <c r="EK160"/>
  <c r="EP160"/>
  <c r="FU160" s="1"/>
  <c r="EP95"/>
  <c r="FU95" s="1"/>
  <c r="EK95"/>
  <c r="EP93"/>
  <c r="FU93" s="1"/>
  <c r="EK93"/>
  <c r="G40"/>
  <c r="G426" s="1"/>
  <c r="D24"/>
  <c r="F511"/>
  <c r="I512" s="1"/>
  <c r="J512" s="1"/>
  <c r="G511"/>
  <c r="F503"/>
  <c r="G503"/>
  <c r="F495"/>
  <c r="G495"/>
  <c r="F487"/>
  <c r="I488" s="1"/>
  <c r="J488" s="1"/>
  <c r="G487"/>
  <c r="F479"/>
  <c r="I480" s="1"/>
  <c r="J480" s="1"/>
  <c r="G479"/>
  <c r="F471"/>
  <c r="G471"/>
  <c r="F463"/>
  <c r="I464" s="1"/>
  <c r="J464" s="1"/>
  <c r="G463"/>
  <c r="I538"/>
  <c r="I548"/>
  <c r="EK175"/>
  <c r="EP175"/>
  <c r="EP176"/>
  <c r="FU176" s="1"/>
  <c r="EK176"/>
  <c r="EK159"/>
  <c r="EP159"/>
  <c r="FU159" s="1"/>
  <c r="EP144"/>
  <c r="FU144" s="1"/>
  <c r="EK144"/>
  <c r="EK141"/>
  <c r="EP141"/>
  <c r="FU141" s="1"/>
  <c r="EK140"/>
  <c r="EP140"/>
  <c r="FU140" s="1"/>
  <c r="EP185"/>
  <c r="FU185" s="1"/>
  <c r="EK185"/>
  <c r="EK181"/>
  <c r="EP181"/>
  <c r="FU181" s="1"/>
  <c r="EP127"/>
  <c r="FU127" s="1"/>
  <c r="EK127"/>
  <c r="EP117"/>
  <c r="FU117" s="1"/>
  <c r="EK117"/>
  <c r="EP113"/>
  <c r="FU113" s="1"/>
  <c r="EK113"/>
  <c r="EP109"/>
  <c r="FU109" s="1"/>
  <c r="EK109"/>
  <c r="EP105"/>
  <c r="FU105" s="1"/>
  <c r="EK105"/>
  <c r="EK101"/>
  <c r="EP101"/>
  <c r="FU101" s="1"/>
  <c r="EP161"/>
  <c r="FU161" s="1"/>
  <c r="EK161"/>
  <c r="EP128"/>
  <c r="EK128"/>
  <c r="EP167"/>
  <c r="FU167" s="1"/>
  <c r="EK167"/>
  <c r="EP115"/>
  <c r="FU115" s="1"/>
  <c r="EK115"/>
  <c r="EP111"/>
  <c r="FU111" s="1"/>
  <c r="EK111"/>
  <c r="EP103"/>
  <c r="FU103" s="1"/>
  <c r="EK103"/>
  <c r="EP98"/>
  <c r="EK98"/>
  <c r="FU164"/>
  <c r="FU180"/>
  <c r="EK136"/>
  <c r="FU99"/>
  <c r="EK116"/>
  <c r="H458"/>
  <c r="EK164"/>
  <c r="EK147"/>
  <c r="EK180"/>
  <c r="EK110"/>
  <c r="EK132"/>
  <c r="FU104"/>
  <c r="EK104"/>
  <c r="EK177"/>
  <c r="EK150"/>
  <c r="FU156"/>
  <c r="EK114"/>
  <c r="EK102"/>
  <c r="EK148"/>
  <c r="EK126"/>
  <c r="EK88"/>
  <c r="EK108"/>
  <c r="EK149"/>
  <c r="F507"/>
  <c r="I508" s="1"/>
  <c r="J508" s="1"/>
  <c r="G507"/>
  <c r="F491"/>
  <c r="I492" s="1"/>
  <c r="J492" s="1"/>
  <c r="G491"/>
  <c r="F475"/>
  <c r="I476" s="1"/>
  <c r="J476" s="1"/>
  <c r="G475"/>
  <c r="F459"/>
  <c r="I460" s="1"/>
  <c r="J460" s="1"/>
  <c r="I542"/>
  <c r="I550"/>
  <c r="J39"/>
  <c r="J425" s="1"/>
  <c r="D23"/>
  <c r="G448"/>
  <c r="AF450"/>
  <c r="AF61"/>
  <c r="EP107"/>
  <c r="FU107" s="1"/>
  <c r="EK107"/>
  <c r="EP155"/>
  <c r="EK155"/>
  <c r="EP123"/>
  <c r="EK123"/>
  <c r="EP130"/>
  <c r="FU130" s="1"/>
  <c r="EK130"/>
  <c r="G441"/>
  <c r="F517"/>
  <c r="I518" s="1"/>
  <c r="J518" s="1"/>
  <c r="G517"/>
  <c r="F501"/>
  <c r="I502" s="1"/>
  <c r="J502" s="1"/>
  <c r="G501"/>
  <c r="F485"/>
  <c r="G485"/>
  <c r="F469"/>
  <c r="I470" s="1"/>
  <c r="J470" s="1"/>
  <c r="G469"/>
  <c r="R450"/>
  <c r="R61"/>
  <c r="AH450"/>
  <c r="AH61"/>
  <c r="AJ450"/>
  <c r="AJ61"/>
  <c r="EP153"/>
  <c r="EK153"/>
  <c r="EK89"/>
  <c r="EP89"/>
  <c r="FU89" s="1"/>
  <c r="G457"/>
  <c r="F457"/>
  <c r="G513"/>
  <c r="F513"/>
  <c r="I514" s="1"/>
  <c r="J514" s="1"/>
  <c r="G505"/>
  <c r="F505"/>
  <c r="I506" s="1"/>
  <c r="J506" s="1"/>
  <c r="G497"/>
  <c r="F497"/>
  <c r="I498" s="1"/>
  <c r="J498" s="1"/>
  <c r="G489"/>
  <c r="F489"/>
  <c r="G481"/>
  <c r="F481"/>
  <c r="G473"/>
  <c r="F473"/>
  <c r="I474" s="1"/>
  <c r="J474" s="1"/>
  <c r="G465"/>
  <c r="F465"/>
  <c r="I466" s="1"/>
  <c r="J466" s="1"/>
  <c r="G38"/>
  <c r="G424" s="1"/>
  <c r="D22"/>
  <c r="C373"/>
  <c r="D531"/>
  <c r="N450"/>
  <c r="N61"/>
  <c r="V450"/>
  <c r="V61"/>
  <c r="AD450"/>
  <c r="AD61"/>
  <c r="I536"/>
  <c r="J44"/>
  <c r="J430" s="1"/>
  <c r="D28"/>
  <c r="P37"/>
  <c r="P423" s="1"/>
  <c r="D21"/>
  <c r="EP183"/>
  <c r="FU183" s="1"/>
  <c r="EK183"/>
  <c r="EP187"/>
  <c r="FU187" s="1"/>
  <c r="EK187"/>
  <c r="EP169"/>
  <c r="FU169" s="1"/>
  <c r="EK169"/>
  <c r="EK142"/>
  <c r="EP142"/>
  <c r="FU142" s="1"/>
  <c r="EK143"/>
  <c r="FU184"/>
  <c r="FU134"/>
  <c r="EK99"/>
  <c r="EK134"/>
  <c r="EK139"/>
  <c r="EK129"/>
  <c r="EK184"/>
  <c r="EK146"/>
  <c r="EK122"/>
  <c r="EK135"/>
  <c r="EK178"/>
  <c r="EK154"/>
  <c r="EK152"/>
  <c r="EK106"/>
  <c r="EK125"/>
  <c r="EK166"/>
  <c r="FU135"/>
  <c r="FU112"/>
  <c r="EK157"/>
  <c r="EK112"/>
  <c r="FU139"/>
  <c r="FU149"/>
  <c r="J429" l="1"/>
  <c r="J447" s="1"/>
  <c r="C447" s="1"/>
  <c r="J431"/>
  <c r="J449" s="1"/>
  <c r="C449" s="1"/>
  <c r="I496"/>
  <c r="J496" s="1"/>
  <c r="K496" s="1"/>
  <c r="I482"/>
  <c r="J482" s="1"/>
  <c r="K484" s="1"/>
  <c r="I472"/>
  <c r="J472" s="1"/>
  <c r="K472" s="1"/>
  <c r="I504"/>
  <c r="J504" s="1"/>
  <c r="K504" s="1"/>
  <c r="I490"/>
  <c r="J490" s="1"/>
  <c r="K490" s="1"/>
  <c r="I500"/>
  <c r="J500" s="1"/>
  <c r="K502" s="1"/>
  <c r="FU108"/>
  <c r="FU153"/>
  <c r="Y11"/>
  <c r="AD9"/>
  <c r="Z9"/>
  <c r="X11"/>
  <c r="FU88"/>
  <c r="FU154"/>
  <c r="AD13"/>
  <c r="DG229"/>
  <c r="DG234"/>
  <c r="FU98"/>
  <c r="AC5" s="1"/>
  <c r="FU168"/>
  <c r="FU148"/>
  <c r="FU116"/>
  <c r="DG232"/>
  <c r="DG230"/>
  <c r="FU128"/>
  <c r="AD8" s="1"/>
  <c r="DG226"/>
  <c r="DG233"/>
  <c r="FU118"/>
  <c r="DG228"/>
  <c r="FU91"/>
  <c r="DG225"/>
  <c r="FU123"/>
  <c r="FU155"/>
  <c r="DG231"/>
  <c r="DG227"/>
  <c r="I546"/>
  <c r="D43"/>
  <c r="E43" s="1"/>
  <c r="E41"/>
  <c r="D377"/>
  <c r="E377" s="1"/>
  <c r="K470"/>
  <c r="I458"/>
  <c r="J458" s="1"/>
  <c r="K458" s="1"/>
  <c r="D376"/>
  <c r="E376" s="1"/>
  <c r="D380"/>
  <c r="E380" s="1"/>
  <c r="D378"/>
  <c r="E378" s="1"/>
  <c r="D373"/>
  <c r="E373" s="1"/>
  <c r="D381"/>
  <c r="E381" s="1"/>
  <c r="D382"/>
  <c r="E382" s="1"/>
  <c r="D379"/>
  <c r="E379" s="1"/>
  <c r="F393" s="1"/>
  <c r="F379" s="1"/>
  <c r="E57" s="1"/>
  <c r="K514"/>
  <c r="D375"/>
  <c r="E375" s="1"/>
  <c r="D32"/>
  <c r="AN15" s="1"/>
  <c r="K510"/>
  <c r="D45"/>
  <c r="E45" s="1"/>
  <c r="FU175"/>
  <c r="AD11"/>
  <c r="AC11"/>
  <c r="C427"/>
  <c r="G445"/>
  <c r="C445" s="1"/>
  <c r="K494"/>
  <c r="AC9"/>
  <c r="I486"/>
  <c r="J486" s="1"/>
  <c r="K486" s="1"/>
  <c r="K518"/>
  <c r="AE13"/>
  <c r="D374"/>
  <c r="E374" s="1"/>
  <c r="K462"/>
  <c r="D37"/>
  <c r="E414"/>
  <c r="G414"/>
  <c r="Z5"/>
  <c r="Y5"/>
  <c r="X5"/>
  <c r="D40"/>
  <c r="E40" s="1"/>
  <c r="G411"/>
  <c r="E411"/>
  <c r="G413"/>
  <c r="E413"/>
  <c r="Z10"/>
  <c r="X10"/>
  <c r="Y10"/>
  <c r="Z12"/>
  <c r="X12"/>
  <c r="Y12"/>
  <c r="D42"/>
  <c r="E42" s="1"/>
  <c r="D44"/>
  <c r="E44" s="1"/>
  <c r="E409"/>
  <c r="G409"/>
  <c r="D38"/>
  <c r="E38" s="1"/>
  <c r="D39"/>
  <c r="E39" s="1"/>
  <c r="Z8"/>
  <c r="Y8"/>
  <c r="X8"/>
  <c r="E412"/>
  <c r="G412"/>
  <c r="G408"/>
  <c r="E408"/>
  <c r="AE9"/>
  <c r="AE11"/>
  <c r="K516"/>
  <c r="K512"/>
  <c r="G520"/>
  <c r="AR15" s="1"/>
  <c r="X9"/>
  <c r="Z11"/>
  <c r="K476"/>
  <c r="K508"/>
  <c r="AC13"/>
  <c r="Y13"/>
  <c r="X13"/>
  <c r="Z13"/>
  <c r="D405"/>
  <c r="E405" s="1"/>
  <c r="E531" s="1"/>
  <c r="G531" s="1"/>
  <c r="E410"/>
  <c r="G410"/>
  <c r="X6"/>
  <c r="Y6"/>
  <c r="Z6"/>
  <c r="G407"/>
  <c r="E407"/>
  <c r="I534"/>
  <c r="I532"/>
  <c r="AE8"/>
  <c r="Y4"/>
  <c r="Z4"/>
  <c r="X4"/>
  <c r="Z7"/>
  <c r="X7"/>
  <c r="Y7"/>
  <c r="J61"/>
  <c r="D61" s="1"/>
  <c r="D46"/>
  <c r="E46" s="1"/>
  <c r="D406"/>
  <c r="K464"/>
  <c r="K466"/>
  <c r="Y9"/>
  <c r="K478"/>
  <c r="K480"/>
  <c r="K468"/>
  <c r="K492" l="1"/>
  <c r="C431"/>
  <c r="K482"/>
  <c r="K506"/>
  <c r="C429"/>
  <c r="K474"/>
  <c r="K498"/>
  <c r="K500"/>
  <c r="F395"/>
  <c r="F381" s="1"/>
  <c r="E59" s="1"/>
  <c r="L59" s="1"/>
  <c r="F390"/>
  <c r="F376" s="1"/>
  <c r="E54" s="1"/>
  <c r="M54" s="1"/>
  <c r="DH235"/>
  <c r="F394"/>
  <c r="F380" s="1"/>
  <c r="E58" s="1"/>
  <c r="U58" s="1"/>
  <c r="AC6"/>
  <c r="AE6"/>
  <c r="AD6"/>
  <c r="AE7"/>
  <c r="DH230"/>
  <c r="AA11"/>
  <c r="DH232"/>
  <c r="AC4"/>
  <c r="DH229"/>
  <c r="AA9"/>
  <c r="AE5"/>
  <c r="AD5"/>
  <c r="AE10"/>
  <c r="AF9"/>
  <c r="DH234"/>
  <c r="AC8"/>
  <c r="AA13"/>
  <c r="AF13"/>
  <c r="AC12"/>
  <c r="DH226"/>
  <c r="DH233"/>
  <c r="AC7"/>
  <c r="DH228"/>
  <c r="AD4"/>
  <c r="AE4"/>
  <c r="AD7"/>
  <c r="DH227"/>
  <c r="AD10"/>
  <c r="AC10"/>
  <c r="DH231"/>
  <c r="AA6"/>
  <c r="F396"/>
  <c r="F382" s="1"/>
  <c r="E60" s="1"/>
  <c r="K60" s="1"/>
  <c r="F392"/>
  <c r="F378" s="1"/>
  <c r="E56" s="1"/>
  <c r="K56" s="1"/>
  <c r="F389"/>
  <c r="F375" s="1"/>
  <c r="E53" s="1"/>
  <c r="J53" s="1"/>
  <c r="K460"/>
  <c r="F391"/>
  <c r="F377" s="1"/>
  <c r="E55" s="1"/>
  <c r="K488"/>
  <c r="AD12"/>
  <c r="AA12"/>
  <c r="AE12"/>
  <c r="AF11"/>
  <c r="E406"/>
  <c r="F407" s="1"/>
  <c r="G406"/>
  <c r="H392"/>
  <c r="H410"/>
  <c r="E545"/>
  <c r="F412"/>
  <c r="E539"/>
  <c r="F409"/>
  <c r="E543"/>
  <c r="F411"/>
  <c r="E549"/>
  <c r="F414"/>
  <c r="H412"/>
  <c r="H394"/>
  <c r="J443"/>
  <c r="C443" s="1"/>
  <c r="C425"/>
  <c r="H409"/>
  <c r="H391"/>
  <c r="E547"/>
  <c r="F413"/>
  <c r="H396"/>
  <c r="H414"/>
  <c r="H408"/>
  <c r="H390"/>
  <c r="G444"/>
  <c r="C444" s="1"/>
  <c r="C426"/>
  <c r="D48"/>
  <c r="AO15" s="1"/>
  <c r="E37"/>
  <c r="F388"/>
  <c r="F374" s="1"/>
  <c r="E52" s="1"/>
  <c r="AA7"/>
  <c r="AF8"/>
  <c r="AA8"/>
  <c r="AA10"/>
  <c r="AA5"/>
  <c r="H407"/>
  <c r="H389"/>
  <c r="J446"/>
  <c r="C446" s="1"/>
  <c r="C428"/>
  <c r="H413"/>
  <c r="H395"/>
  <c r="J450"/>
  <c r="C450" s="1"/>
  <c r="C432"/>
  <c r="E535"/>
  <c r="E541"/>
  <c r="F410"/>
  <c r="E537"/>
  <c r="F408"/>
  <c r="C424"/>
  <c r="G442"/>
  <c r="C442" s="1"/>
  <c r="J448"/>
  <c r="C448" s="1"/>
  <c r="C430"/>
  <c r="H411"/>
  <c r="H393"/>
  <c r="P441"/>
  <c r="C441" s="1"/>
  <c r="C423"/>
  <c r="J57"/>
  <c r="N57"/>
  <c r="R57"/>
  <c r="V57"/>
  <c r="Z57"/>
  <c r="AD57"/>
  <c r="AH57"/>
  <c r="I57"/>
  <c r="M57"/>
  <c r="Q57"/>
  <c r="U57"/>
  <c r="Y57"/>
  <c r="AC57"/>
  <c r="AG57"/>
  <c r="AK57"/>
  <c r="L57"/>
  <c r="T57"/>
  <c r="AB57"/>
  <c r="AJ57"/>
  <c r="O57"/>
  <c r="AE57"/>
  <c r="K57"/>
  <c r="S57"/>
  <c r="AA57"/>
  <c r="AI57"/>
  <c r="H57"/>
  <c r="P57"/>
  <c r="X57"/>
  <c r="AF57"/>
  <c r="G57"/>
  <c r="W57"/>
  <c r="AA4"/>
  <c r="AF59" l="1"/>
  <c r="M58"/>
  <c r="Q59"/>
  <c r="Z58"/>
  <c r="Z59"/>
  <c r="P59"/>
  <c r="AD58"/>
  <c r="AG54"/>
  <c r="R54"/>
  <c r="AE54"/>
  <c r="AH54"/>
  <c r="L54"/>
  <c r="H54"/>
  <c r="AA54"/>
  <c r="AF54"/>
  <c r="AC54"/>
  <c r="Y54"/>
  <c r="AK54"/>
  <c r="Q54"/>
  <c r="K54"/>
  <c r="AD54"/>
  <c r="AJ54"/>
  <c r="W54"/>
  <c r="AJ58"/>
  <c r="AE58"/>
  <c r="AF58"/>
  <c r="Y58"/>
  <c r="T58"/>
  <c r="P58"/>
  <c r="V58"/>
  <c r="V59"/>
  <c r="O59"/>
  <c r="AK58"/>
  <c r="R58"/>
  <c r="AG58"/>
  <c r="J58"/>
  <c r="AB58"/>
  <c r="AH58"/>
  <c r="N58"/>
  <c r="I58"/>
  <c r="O58"/>
  <c r="G58"/>
  <c r="W58"/>
  <c r="H58"/>
  <c r="AK59"/>
  <c r="AE59"/>
  <c r="AI58"/>
  <c r="Q58"/>
  <c r="AA58"/>
  <c r="AC58"/>
  <c r="L58"/>
  <c r="X58"/>
  <c r="S58"/>
  <c r="K58"/>
  <c r="Y59"/>
  <c r="AI59"/>
  <c r="S59"/>
  <c r="T59"/>
  <c r="M59"/>
  <c r="AG59"/>
  <c r="AC59"/>
  <c r="J59"/>
  <c r="W59"/>
  <c r="G59"/>
  <c r="X59"/>
  <c r="H59"/>
  <c r="O54"/>
  <c r="I54"/>
  <c r="G54"/>
  <c r="V54"/>
  <c r="P54"/>
  <c r="U54"/>
  <c r="N54"/>
  <c r="AD59"/>
  <c r="AH59"/>
  <c r="AJ59"/>
  <c r="U59"/>
  <c r="N59"/>
  <c r="I59"/>
  <c r="R59"/>
  <c r="AA59"/>
  <c r="K59"/>
  <c r="AB59"/>
  <c r="AB54"/>
  <c r="J54"/>
  <c r="X54"/>
  <c r="AI54"/>
  <c r="S54"/>
  <c r="T54"/>
  <c r="Z54"/>
  <c r="AF6"/>
  <c r="AF7"/>
  <c r="AF10"/>
  <c r="AF5"/>
  <c r="AF4"/>
  <c r="P60"/>
  <c r="AE60"/>
  <c r="R60"/>
  <c r="AH60"/>
  <c r="U60"/>
  <c r="AJ60"/>
  <c r="AG60"/>
  <c r="O60"/>
  <c r="V56"/>
  <c r="J56"/>
  <c r="AF56"/>
  <c r="L56"/>
  <c r="AI56"/>
  <c r="AC56"/>
  <c r="AA56"/>
  <c r="W56"/>
  <c r="AH56"/>
  <c r="Q56"/>
  <c r="M56"/>
  <c r="AJ56"/>
  <c r="AK56"/>
  <c r="AE56"/>
  <c r="O56"/>
  <c r="AC60"/>
  <c r="X60"/>
  <c r="L60"/>
  <c r="I60"/>
  <c r="V60"/>
  <c r="AI60"/>
  <c r="S60"/>
  <c r="AK60"/>
  <c r="AF60"/>
  <c r="AB60"/>
  <c r="Q60"/>
  <c r="Z60"/>
  <c r="J60"/>
  <c r="W60"/>
  <c r="G60"/>
  <c r="AD56"/>
  <c r="H56"/>
  <c r="S56"/>
  <c r="G56"/>
  <c r="U56"/>
  <c r="Y56"/>
  <c r="T56"/>
  <c r="R56"/>
  <c r="T60"/>
  <c r="M60"/>
  <c r="H60"/>
  <c r="Y60"/>
  <c r="AD60"/>
  <c r="N60"/>
  <c r="AA60"/>
  <c r="N56"/>
  <c r="I56"/>
  <c r="P56"/>
  <c r="Z56"/>
  <c r="AG56"/>
  <c r="AB56"/>
  <c r="X56"/>
  <c r="G53"/>
  <c r="AD53"/>
  <c r="Q53"/>
  <c r="K53"/>
  <c r="AG53"/>
  <c r="L53"/>
  <c r="X53"/>
  <c r="N53"/>
  <c r="T53"/>
  <c r="AF53"/>
  <c r="U53"/>
  <c r="R53"/>
  <c r="AB53"/>
  <c r="W53"/>
  <c r="S53"/>
  <c r="H53"/>
  <c r="Y53"/>
  <c r="I53"/>
  <c r="V53"/>
  <c r="AA53"/>
  <c r="O53"/>
  <c r="AK53"/>
  <c r="AH53"/>
  <c r="AJ53"/>
  <c r="AE53"/>
  <c r="AI53"/>
  <c r="P53"/>
  <c r="AC53"/>
  <c r="M53"/>
  <c r="Z53"/>
  <c r="I520"/>
  <c r="F522" s="1"/>
  <c r="P55"/>
  <c r="AF55"/>
  <c r="O55"/>
  <c r="AE55"/>
  <c r="AD55"/>
  <c r="U55"/>
  <c r="R55"/>
  <c r="Y55"/>
  <c r="W55"/>
  <c r="AK55"/>
  <c r="T55"/>
  <c r="S55"/>
  <c r="Q55"/>
  <c r="Z55"/>
  <c r="L55"/>
  <c r="AB55"/>
  <c r="K55"/>
  <c r="AA55"/>
  <c r="V55"/>
  <c r="M55"/>
  <c r="J55"/>
  <c r="I55"/>
  <c r="H55"/>
  <c r="X55"/>
  <c r="G55"/>
  <c r="N55"/>
  <c r="AG55"/>
  <c r="AH55"/>
  <c r="AJ55"/>
  <c r="AI55"/>
  <c r="AC55"/>
  <c r="AF12"/>
  <c r="D57"/>
  <c r="H542"/>
  <c r="J542" s="1"/>
  <c r="K542" s="1"/>
  <c r="G543"/>
  <c r="H544"/>
  <c r="J544" s="1"/>
  <c r="K544" s="1"/>
  <c r="G545"/>
  <c r="G535"/>
  <c r="H546"/>
  <c r="J546" s="1"/>
  <c r="K546" s="1"/>
  <c r="G547"/>
  <c r="H406"/>
  <c r="H388"/>
  <c r="H548"/>
  <c r="J548" s="1"/>
  <c r="K548" s="1"/>
  <c r="H550"/>
  <c r="J550" s="1"/>
  <c r="K550" s="1"/>
  <c r="G549"/>
  <c r="H538"/>
  <c r="J538" s="1"/>
  <c r="K538" s="1"/>
  <c r="G539"/>
  <c r="C435"/>
  <c r="E533"/>
  <c r="F406"/>
  <c r="H536"/>
  <c r="J536" s="1"/>
  <c r="K536" s="1"/>
  <c r="G537"/>
  <c r="G52"/>
  <c r="K52"/>
  <c r="O52"/>
  <c r="S52"/>
  <c r="W52"/>
  <c r="AA52"/>
  <c r="AE52"/>
  <c r="AI52"/>
  <c r="J52"/>
  <c r="N52"/>
  <c r="R52"/>
  <c r="V52"/>
  <c r="Z52"/>
  <c r="AD52"/>
  <c r="AH52"/>
  <c r="I52"/>
  <c r="Q52"/>
  <c r="Y52"/>
  <c r="AG52"/>
  <c r="T52"/>
  <c r="AJ52"/>
  <c r="H52"/>
  <c r="P52"/>
  <c r="X52"/>
  <c r="AF52"/>
  <c r="M52"/>
  <c r="U52"/>
  <c r="AC52"/>
  <c r="AK52"/>
  <c r="L52"/>
  <c r="AB52"/>
  <c r="H540"/>
  <c r="J540" s="1"/>
  <c r="K540" s="1"/>
  <c r="G541"/>
  <c r="C453"/>
  <c r="AQ15" s="1"/>
  <c r="D59" l="1"/>
  <c r="D58"/>
  <c r="D54"/>
  <c r="D56"/>
  <c r="D60"/>
  <c r="D53"/>
  <c r="I523"/>
  <c r="F523" s="1"/>
  <c r="D55"/>
  <c r="H532"/>
  <c r="J532" s="1"/>
  <c r="G533"/>
  <c r="G556" s="1"/>
  <c r="AT15" s="1"/>
  <c r="D52"/>
  <c r="H534"/>
  <c r="J534" s="1"/>
  <c r="K534" s="1"/>
  <c r="AS15" l="1"/>
  <c r="D63"/>
  <c r="AP15" s="1"/>
  <c r="K532"/>
  <c r="I556"/>
  <c r="F559" l="1"/>
  <c r="AU15"/>
</calcChain>
</file>

<file path=xl/sharedStrings.xml><?xml version="1.0" encoding="utf-8"?>
<sst xmlns="http://schemas.openxmlformats.org/spreadsheetml/2006/main" count="1032" uniqueCount="150">
  <si>
    <t>Mean N</t>
  </si>
  <si>
    <t>Interval P</t>
  </si>
  <si>
    <t>Daily P</t>
  </si>
  <si>
    <t>IS  B</t>
  </si>
  <si>
    <t>IS P</t>
  </si>
  <si>
    <t>IS B</t>
  </si>
  <si>
    <t>AVG N</t>
  </si>
  <si>
    <t>STDEV</t>
  </si>
  <si>
    <t>STERR</t>
  </si>
  <si>
    <t>AVG B</t>
  </si>
  <si>
    <t>SAMPLE MONTHLY AVERAGES</t>
  </si>
  <si>
    <t>BIOMASS/m2</t>
  </si>
  <si>
    <t>Growth rate regression</t>
  </si>
  <si>
    <t>IGR Growth P</t>
  </si>
  <si>
    <t>cohort</t>
  </si>
  <si>
    <t>non-cohort</t>
  </si>
  <si>
    <t>non cohort</t>
  </si>
  <si>
    <t>production a full year</t>
  </si>
  <si>
    <t>I did this to make</t>
  </si>
  <si>
    <t>MONTH</t>
  </si>
  <si>
    <t>BOOT</t>
  </si>
  <si>
    <t>DATE</t>
  </si>
  <si>
    <t>COUNTER</t>
  </si>
  <si>
    <t>N</t>
  </si>
  <si>
    <t>B</t>
  </si>
  <si>
    <t>IGR P</t>
  </si>
  <si>
    <t>SF B</t>
  </si>
  <si>
    <t>SF P</t>
  </si>
  <si>
    <t>Sample</t>
  </si>
  <si>
    <t>Avg Boot</t>
  </si>
  <si>
    <t>P</t>
  </si>
  <si>
    <t>boot</t>
  </si>
  <si>
    <t xml:space="preserve">AVG INTERVAL N/m2 </t>
  </si>
  <si>
    <t>LENGTH--&gt;</t>
  </si>
  <si>
    <t>INTERVAL</t>
  </si>
  <si>
    <t>Nt</t>
  </si>
  <si>
    <t>t (d)</t>
  </si>
  <si>
    <t>&lt;1</t>
  </si>
  <si>
    <t>1st</t>
  </si>
  <si>
    <t>2nd</t>
  </si>
  <si>
    <t>3rd</t>
  </si>
  <si>
    <t>4th</t>
  </si>
  <si>
    <t>5th</t>
  </si>
  <si>
    <t>AVG N =</t>
  </si>
  <si>
    <t>AVG INTERVAL B (mg AFDM)/m2 for each 1 MM SC</t>
  </si>
  <si>
    <t>B average</t>
  </si>
  <si>
    <t>Length-mass realtionship</t>
  </si>
  <si>
    <t>a</t>
  </si>
  <si>
    <t>b</t>
  </si>
  <si>
    <t>% ASH</t>
  </si>
  <si>
    <t>AVG B =</t>
  </si>
  <si>
    <t xml:space="preserve">AVG INTERVAL P (mg AFDM)/m2 </t>
  </si>
  <si>
    <t>IGR</t>
  </si>
  <si>
    <t>P =</t>
  </si>
  <si>
    <t>Size classes</t>
  </si>
  <si>
    <t>PLACE RAW DATA IN</t>
  </si>
  <si>
    <t>Size Classes</t>
  </si>
  <si>
    <t>THIS BLOCK</t>
  </si>
  <si>
    <t>RAND</t>
  </si>
  <si>
    <t>SAMPLE</t>
  </si>
  <si>
    <t>THIS IS BOOT SPACE</t>
  </si>
  <si>
    <t>Do not place anything</t>
  </si>
  <si>
    <t xml:space="preserve"> in this space</t>
  </si>
  <si>
    <t>This block is used to</t>
  </si>
  <si>
    <t>AVG B (mg AFDM)/m2 for each sample date</t>
  </si>
  <si>
    <t>calculate growth rates</t>
  </si>
  <si>
    <t>mg/m2, N/m2</t>
  </si>
  <si>
    <t>Bt</t>
  </si>
  <si>
    <t>Bavg</t>
  </si>
  <si>
    <t>IGR (NO"-")</t>
  </si>
  <si>
    <t>IGR (d-1)</t>
  </si>
  <si>
    <t>IGR_TEMP</t>
  </si>
  <si>
    <t>t</t>
  </si>
  <si>
    <t>avg mm</t>
  </si>
  <si>
    <t>avg mass</t>
  </si>
  <si>
    <t>temp</t>
  </si>
  <si>
    <t>AVG INTERVAL P (mg AFDM)/m2 for each 1 MM SC by TEMP</t>
  </si>
  <si>
    <t># OF SAMPLES</t>
  </si>
  <si>
    <t># of SIZE CLASSES:</t>
  </si>
  <si>
    <t>Length (mm)</t>
  </si>
  <si>
    <t>W</t>
  </si>
  <si>
    <t>No. Lost</t>
  </si>
  <si>
    <t>Biomass</t>
  </si>
  <si>
    <t>&gt;1</t>
  </si>
  <si>
    <t>Can't have empty cells</t>
    <phoneticPr fontId="42" type="noConversion"/>
  </si>
  <si>
    <t>removed growth equation - none for this taxon</t>
    <phoneticPr fontId="42" type="noConversion"/>
  </si>
  <si>
    <t>checked CPI looks good</t>
    <phoneticPr fontId="42" type="noConversion"/>
  </si>
  <si>
    <t>removed last dates in monthly summary data</t>
    <phoneticPr fontId="42" type="noConversion"/>
  </si>
  <si>
    <t>removed 11th interval</t>
    <phoneticPr fontId="42" type="noConversion"/>
  </si>
  <si>
    <t>changed last interval to 24 days (to make a year)</t>
    <phoneticPr fontId="42" type="noConversion"/>
  </si>
  <si>
    <t>is the length-weight regression correct?</t>
    <phoneticPr fontId="42" type="noConversion"/>
  </si>
  <si>
    <t>temperatures need to be changed</t>
    <phoneticPr fontId="42" type="noConversion"/>
  </si>
  <si>
    <t>Note that the 10th interval</t>
    <phoneticPr fontId="2" type="noConversion"/>
  </si>
  <si>
    <t xml:space="preserve">is the wrap-around interval to make a year </t>
    <phoneticPr fontId="2" type="noConversion"/>
  </si>
  <si>
    <t>uses the remaining days in the year (24)</t>
    <phoneticPr fontId="2" type="noConversion"/>
  </si>
  <si>
    <t>It averages the abundance of the 1st and last date and</t>
    <phoneticPr fontId="2" type="noConversion"/>
  </si>
  <si>
    <t>Mass at Loss</t>
  </si>
  <si>
    <t>CPI  MAX:</t>
  </si>
  <si>
    <t>CPI MIN:</t>
  </si>
  <si>
    <t xml:space="preserve"> </t>
  </si>
  <si>
    <t>C P/B</t>
  </si>
  <si>
    <t>CPI</t>
  </si>
  <si>
    <t>A P/B</t>
  </si>
  <si>
    <t>Annual P</t>
  </si>
  <si>
    <t/>
  </si>
  <si>
    <t>Numbers per sq meter</t>
  </si>
  <si>
    <t>Biomass (mg/m2)</t>
  </si>
  <si>
    <t>Leave this blank until you run macro</t>
  </si>
  <si>
    <t>Abundance (no./m2)</t>
  </si>
  <si>
    <t>Data area</t>
  </si>
  <si>
    <t>do not enter raw here</t>
  </si>
  <si>
    <t>Large Fraction (&gt;1 mm)</t>
  </si>
  <si>
    <t>Small Fraction (&lt;1 mm&gt;250 um)</t>
  </si>
  <si>
    <t>AREA OF SAMPLE</t>
  </si>
  <si>
    <t>m2</t>
  </si>
  <si>
    <t>temperature</t>
  </si>
  <si>
    <t>c</t>
  </si>
  <si>
    <t>XXXXXX</t>
  </si>
  <si>
    <t>6th</t>
  </si>
  <si>
    <t>7th</t>
  </si>
  <si>
    <t>8th</t>
  </si>
  <si>
    <t>9th</t>
  </si>
  <si>
    <t>10th</t>
  </si>
  <si>
    <t>SUBSAMPLE MULTIPLIERS</t>
  </si>
  <si>
    <t>&gt;1 FRACTION</t>
  </si>
  <si>
    <t>&lt;1&gt;250 FRACTION</t>
  </si>
  <si>
    <t>AREA OF SAMPLER (m2)</t>
  </si>
  <si>
    <t>Upper 95%CI boot</t>
  </si>
  <si>
    <t>Lower 95%CI boot</t>
  </si>
  <si>
    <t>gotta figure out the 0.0001 thingy</t>
  </si>
  <si>
    <t xml:space="preserve">SAMPLES </t>
  </si>
  <si>
    <t>PER DATE</t>
  </si>
  <si>
    <t>(no negatives)</t>
  </si>
  <si>
    <t xml:space="preserve">IGR_TEMP </t>
  </si>
  <si>
    <t>Biomass Lost</t>
  </si>
  <si>
    <t>X No. Size Classes</t>
  </si>
  <si>
    <t>Negatives Corrected</t>
  </si>
  <si>
    <t>SIZE FREQUENCY METHOD</t>
  </si>
  <si>
    <t>INCREMENT SUMMATION METHOD</t>
  </si>
  <si>
    <t>Date</t>
  </si>
  <si>
    <t>Individual Growth</t>
  </si>
  <si>
    <t>chiromids</t>
  </si>
  <si>
    <t>g (-1)</t>
  </si>
  <si>
    <t>Epeorus</t>
  </si>
  <si>
    <t>Inerval Growth Boot</t>
  </si>
  <si>
    <t>Boot</t>
  </si>
  <si>
    <t>Interval Growth Variation</t>
  </si>
  <si>
    <t>Avg. Boot</t>
  </si>
  <si>
    <t>Upper 95% CI</t>
  </si>
  <si>
    <t>Lower 95% CI</t>
  </si>
</sst>
</file>

<file path=xl/styles.xml><?xml version="1.0" encoding="utf-8"?>
<styleSheet xmlns="http://schemas.openxmlformats.org/spreadsheetml/2006/main">
  <numFmts count="8">
    <numFmt numFmtId="164" formatCode="[$-409]d\-mmm\-yy;@"/>
    <numFmt numFmtId="165" formatCode="0.0000"/>
    <numFmt numFmtId="166" formatCode="0.0"/>
    <numFmt numFmtId="167" formatCode="0.000"/>
    <numFmt numFmtId="168" formatCode="0.000000"/>
    <numFmt numFmtId="169" formatCode="General_)"/>
    <numFmt numFmtId="170" formatCode="[$-409]d\-mmm;@"/>
    <numFmt numFmtId="171" formatCode="#,##0.000"/>
  </numFmts>
  <fonts count="44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name val="Geneva"/>
    </font>
    <font>
      <b/>
      <sz val="10"/>
      <name val="Geneva"/>
      <family val="2"/>
    </font>
    <font>
      <sz val="10"/>
      <color indexed="10"/>
      <name val="Arial"/>
      <family val="2"/>
    </font>
    <font>
      <b/>
      <sz val="10"/>
      <name val="Albertus Medium"/>
      <family val="2"/>
    </font>
    <font>
      <sz val="10"/>
      <name val="Arial"/>
      <family val="2"/>
    </font>
    <font>
      <sz val="10"/>
      <color indexed="10"/>
      <name val="Geneva"/>
    </font>
    <font>
      <b/>
      <sz val="10"/>
      <name val="Arial"/>
      <family val="2"/>
    </font>
    <font>
      <b/>
      <i/>
      <sz val="10"/>
      <color indexed="57"/>
      <name val="Geneva"/>
    </font>
    <font>
      <b/>
      <sz val="10"/>
      <color indexed="10"/>
      <name val="Geneva"/>
    </font>
    <font>
      <b/>
      <sz val="10"/>
      <color indexed="10"/>
      <name val="Arial"/>
      <family val="2"/>
    </font>
    <font>
      <sz val="10"/>
      <color indexed="57"/>
      <name val="Geneva"/>
    </font>
    <font>
      <b/>
      <sz val="10"/>
      <color indexed="13"/>
      <name val="Geneva"/>
    </font>
    <font>
      <b/>
      <sz val="10"/>
      <name val="Arial"/>
      <family val="2"/>
    </font>
    <font>
      <u/>
      <sz val="7.5"/>
      <color indexed="12"/>
      <name val="Arial"/>
      <family val="2"/>
    </font>
    <font>
      <u/>
      <sz val="10"/>
      <color indexed="12"/>
      <name val="Arial"/>
      <family val="2"/>
    </font>
    <font>
      <b/>
      <sz val="12"/>
      <name val="Arial"/>
      <family val="2"/>
    </font>
    <font>
      <b/>
      <i/>
      <sz val="10"/>
      <color indexed="57"/>
      <name val="Arial"/>
      <family val="2"/>
    </font>
    <font>
      <sz val="9"/>
      <name val="Helv"/>
    </font>
    <font>
      <sz val="10"/>
      <name val="Arial"/>
      <family val="2"/>
    </font>
    <font>
      <b/>
      <sz val="10"/>
      <name val="Geneva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4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</font>
    <font>
      <sz val="8"/>
      <name val="Verdana"/>
      <family val="2"/>
    </font>
    <font>
      <b/>
      <sz val="10"/>
      <name val="Geneva"/>
    </font>
  </fonts>
  <fills count="34">
    <fill>
      <patternFill patternType="none"/>
    </fill>
    <fill>
      <patternFill patternType="gray125"/>
    </fill>
    <fill>
      <patternFill patternType="solid">
        <fgColor indexed="49"/>
      </patternFill>
    </fill>
    <fill>
      <patternFill patternType="solid">
        <fgColor indexed="9"/>
      </patternFill>
    </fill>
    <fill>
      <patternFill patternType="solid">
        <fgColor indexed="22"/>
      </patternFill>
    </fill>
    <fill>
      <patternFill patternType="solid">
        <fgColor indexed="19"/>
      </patternFill>
    </fill>
    <fill>
      <patternFill patternType="solid">
        <fgColor indexed="47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4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indexed="1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66"/>
        <bgColor indexed="64"/>
      </patternFill>
    </fill>
  </fills>
  <borders count="1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64">
    <xf numFmtId="0" fontId="0" fillId="0" borderId="0"/>
    <xf numFmtId="0" fontId="25" fillId="2" borderId="0" applyNumberFormat="0" applyBorder="0" applyAlignment="0" applyProtection="0"/>
    <xf numFmtId="0" fontId="24" fillId="3" borderId="0" applyNumberFormat="0" applyBorder="0" applyAlignment="0" applyProtection="0"/>
    <xf numFmtId="0" fontId="24" fillId="4" borderId="0" applyNumberFormat="0" applyBorder="0" applyAlignment="0" applyProtection="0"/>
    <xf numFmtId="0" fontId="25" fillId="2" borderId="0" applyNumberFormat="0" applyBorder="0" applyAlignment="0" applyProtection="0"/>
    <xf numFmtId="0" fontId="25" fillId="5" borderId="0" applyNumberFormat="0" applyBorder="0" applyAlignment="0" applyProtection="0"/>
    <xf numFmtId="0" fontId="24" fillId="6" borderId="0" applyNumberFormat="0" applyBorder="0" applyAlignment="0" applyProtection="0"/>
    <xf numFmtId="0" fontId="24" fillId="7" borderId="0" applyNumberFormat="0" applyBorder="0" applyAlignment="0" applyProtection="0"/>
    <xf numFmtId="0" fontId="25" fillId="7" borderId="0" applyNumberFormat="0" applyBorder="0" applyAlignment="0" applyProtection="0"/>
    <xf numFmtId="0" fontId="25" fillId="5" borderId="0" applyNumberFormat="0" applyBorder="0" applyAlignment="0" applyProtection="0"/>
    <xf numFmtId="0" fontId="24" fillId="8" borderId="0" applyNumberFormat="0" applyBorder="0" applyAlignment="0" applyProtection="0"/>
    <xf numFmtId="0" fontId="24" fillId="9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4" fillId="3" borderId="0" applyNumberFormat="0" applyBorder="0" applyAlignment="0" applyProtection="0"/>
    <xf numFmtId="0" fontId="24" fillId="4" borderId="0" applyNumberFormat="0" applyBorder="0" applyAlignment="0" applyProtection="0"/>
    <xf numFmtId="0" fontId="25" fillId="4" borderId="0" applyNumberFormat="0" applyBorder="0" applyAlignment="0" applyProtection="0"/>
    <xf numFmtId="0" fontId="25" fillId="2" borderId="0" applyNumberFormat="0" applyBorder="0" applyAlignment="0" applyProtection="0"/>
    <xf numFmtId="0" fontId="24" fillId="11" borderId="0" applyNumberFormat="0" applyBorder="0" applyAlignment="0" applyProtection="0"/>
    <xf numFmtId="0" fontId="24" fillId="12" borderId="0" applyNumberFormat="0" applyBorder="0" applyAlignment="0" applyProtection="0"/>
    <xf numFmtId="0" fontId="25" fillId="2" borderId="0" applyNumberFormat="0" applyBorder="0" applyAlignment="0" applyProtection="0"/>
    <xf numFmtId="0" fontId="25" fillId="13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5" fillId="6" borderId="0" applyNumberFormat="0" applyBorder="0" applyAlignment="0" applyProtection="0"/>
    <xf numFmtId="0" fontId="26" fillId="14" borderId="0" applyNumberFormat="0" applyBorder="0" applyAlignment="0" applyProtection="0"/>
    <xf numFmtId="0" fontId="27" fillId="3" borderId="1" applyNumberFormat="0" applyAlignment="0" applyProtection="0"/>
    <xf numFmtId="0" fontId="28" fillId="15" borderId="2" applyNumberFormat="0" applyAlignment="0" applyProtection="0"/>
    <xf numFmtId="0" fontId="29" fillId="0" borderId="0" applyNumberFormat="0" applyFill="0" applyBorder="0" applyAlignment="0" applyProtection="0"/>
    <xf numFmtId="0" fontId="30" fillId="16" borderId="0" applyNumberFormat="0" applyBorder="0" applyAlignment="0" applyProtection="0"/>
    <xf numFmtId="0" fontId="31" fillId="0" borderId="3" applyNumberFormat="0" applyFill="0" applyAlignment="0" applyProtection="0"/>
    <xf numFmtId="0" fontId="32" fillId="0" borderId="4" applyNumberFormat="0" applyFill="0" applyAlignment="0" applyProtection="0"/>
    <xf numFmtId="0" fontId="33" fillId="0" borderId="5" applyNumberFormat="0" applyFill="0" applyAlignment="0" applyProtection="0"/>
    <xf numFmtId="0" fontId="33" fillId="0" borderId="0" applyNumberFormat="0" applyFill="0" applyBorder="0" applyAlignment="0" applyProtection="0"/>
    <xf numFmtId="0" fontId="16" fillId="0" borderId="0" applyNumberFormat="0" applyFill="0" applyBorder="0" applyAlignment="0" applyProtection="0">
      <alignment vertical="top"/>
      <protection locked="0"/>
    </xf>
    <xf numFmtId="0" fontId="34" fillId="6" borderId="1" applyNumberFormat="0" applyAlignment="0" applyProtection="0"/>
    <xf numFmtId="0" fontId="35" fillId="0" borderId="6" applyNumberFormat="0" applyFill="0" applyAlignment="0" applyProtection="0"/>
    <xf numFmtId="0" fontId="36" fillId="9" borderId="0" applyNumberFormat="0" applyBorder="0" applyAlignment="0" applyProtection="0"/>
    <xf numFmtId="169" fontId="20" fillId="0" borderId="0"/>
    <xf numFmtId="169" fontId="20" fillId="0" borderId="0"/>
    <xf numFmtId="0" fontId="1" fillId="8" borderId="7" applyNumberFormat="0" applyFont="0" applyAlignment="0" applyProtection="0"/>
    <xf numFmtId="0" fontId="37" fillId="3" borderId="8" applyNumberForma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0" borderId="0" applyNumberFormat="0" applyFill="0" applyBorder="0" applyAlignment="0" applyProtection="0"/>
    <xf numFmtId="0" fontId="24" fillId="3" borderId="0" applyNumberFormat="0" applyBorder="0" applyAlignment="0" applyProtection="0"/>
    <xf numFmtId="0" fontId="24" fillId="6" borderId="0" applyNumberFormat="0" applyBorder="0" applyAlignment="0" applyProtection="0"/>
    <xf numFmtId="0" fontId="24" fillId="8" borderId="0" applyNumberFormat="0" applyBorder="0" applyAlignment="0" applyProtection="0"/>
    <xf numFmtId="0" fontId="24" fillId="3" borderId="0" applyNumberFormat="0" applyBorder="0" applyAlignment="0" applyProtection="0"/>
    <xf numFmtId="0" fontId="24" fillId="11" borderId="0" applyNumberFormat="0" applyBorder="0" applyAlignment="0" applyProtection="0"/>
    <xf numFmtId="0" fontId="24" fillId="6" borderId="0" applyNumberFormat="0" applyBorder="0" applyAlignment="0" applyProtection="0"/>
    <xf numFmtId="0" fontId="24" fillId="4" borderId="0" applyNumberFormat="0" applyBorder="0" applyAlignment="0" applyProtection="0"/>
    <xf numFmtId="0" fontId="24" fillId="7" borderId="0" applyNumberFormat="0" applyBorder="0" applyAlignment="0" applyProtection="0"/>
    <xf numFmtId="0" fontId="24" fillId="9" borderId="0" applyNumberFormat="0" applyBorder="0" applyAlignment="0" applyProtection="0"/>
    <xf numFmtId="0" fontId="24" fillId="4" borderId="0" applyNumberFormat="0" applyBorder="0" applyAlignment="0" applyProtection="0"/>
    <xf numFmtId="0" fontId="24" fillId="12" borderId="0" applyNumberFormat="0" applyBorder="0" applyAlignment="0" applyProtection="0"/>
    <xf numFmtId="0" fontId="24" fillId="6" borderId="0" applyNumberFormat="0" applyBorder="0" applyAlignment="0" applyProtection="0"/>
    <xf numFmtId="0" fontId="25" fillId="2" borderId="0" applyNumberFormat="0" applyBorder="0" applyAlignment="0" applyProtection="0"/>
    <xf numFmtId="0" fontId="25" fillId="7" borderId="0" applyNumberFormat="0" applyBorder="0" applyAlignment="0" applyProtection="0"/>
    <xf numFmtId="0" fontId="25" fillId="9" borderId="0" applyNumberFormat="0" applyBorder="0" applyAlignment="0" applyProtection="0"/>
    <xf numFmtId="0" fontId="25" fillId="4" borderId="0" applyNumberFormat="0" applyBorder="0" applyAlignment="0" applyProtection="0"/>
    <xf numFmtId="0" fontId="25" fillId="2" borderId="0" applyNumberFormat="0" applyBorder="0" applyAlignment="0" applyProtection="0"/>
    <xf numFmtId="0" fontId="25" fillId="6" borderId="0" applyNumberFormat="0" applyBorder="0" applyAlignment="0" applyProtection="0"/>
    <xf numFmtId="0" fontId="38" fillId="0" borderId="0" applyNumberFormat="0" applyFill="0" applyBorder="0" applyAlignment="0" applyProtection="0"/>
  </cellStyleXfs>
  <cellXfs count="227">
    <xf numFmtId="0" fontId="0" fillId="0" borderId="0" xfId="0"/>
    <xf numFmtId="0" fontId="3" fillId="17" borderId="0" xfId="0" applyFont="1" applyFill="1" applyBorder="1"/>
    <xf numFmtId="1" fontId="3" fillId="17" borderId="0" xfId="0" applyNumberFormat="1" applyFont="1" applyFill="1" applyBorder="1"/>
    <xf numFmtId="2" fontId="3" fillId="17" borderId="0" xfId="0" applyNumberFormat="1" applyFont="1" applyFill="1" applyBorder="1"/>
    <xf numFmtId="0" fontId="3" fillId="18" borderId="0" xfId="0" applyFont="1" applyFill="1" applyBorder="1"/>
    <xf numFmtId="0" fontId="3" fillId="19" borderId="0" xfId="0" applyFont="1" applyFill="1" applyBorder="1"/>
    <xf numFmtId="1" fontId="3" fillId="19" borderId="0" xfId="0" applyNumberFormat="1" applyFont="1" applyFill="1" applyBorder="1"/>
    <xf numFmtId="0" fontId="1" fillId="18" borderId="0" xfId="0" applyFont="1" applyFill="1"/>
    <xf numFmtId="0" fontId="1" fillId="0" borderId="0" xfId="0" applyFont="1"/>
    <xf numFmtId="0" fontId="4" fillId="20" borderId="0" xfId="0" applyFont="1" applyFill="1" applyBorder="1" applyAlignment="1">
      <alignment horizontal="center"/>
    </xf>
    <xf numFmtId="0" fontId="4" fillId="20" borderId="0" xfId="0" applyFont="1" applyFill="1" applyBorder="1"/>
    <xf numFmtId="1" fontId="4" fillId="20" borderId="0" xfId="0" applyNumberFormat="1" applyFont="1" applyFill="1" applyBorder="1"/>
    <xf numFmtId="1" fontId="4" fillId="20" borderId="0" xfId="0" applyNumberFormat="1" applyFont="1" applyFill="1" applyBorder="1" applyAlignment="1">
      <alignment horizontal="center"/>
    </xf>
    <xf numFmtId="0" fontId="3" fillId="20" borderId="0" xfId="0" applyFont="1" applyFill="1" applyBorder="1"/>
    <xf numFmtId="1" fontId="3" fillId="20" borderId="0" xfId="0" applyNumberFormat="1" applyFont="1" applyFill="1" applyBorder="1"/>
    <xf numFmtId="2" fontId="4" fillId="20" borderId="0" xfId="0" applyNumberFormat="1" applyFont="1" applyFill="1" applyBorder="1" applyAlignment="1">
      <alignment horizontal="center"/>
    </xf>
    <xf numFmtId="0" fontId="4" fillId="18" borderId="0" xfId="0" applyFont="1" applyFill="1" applyBorder="1"/>
    <xf numFmtId="164" fontId="5" fillId="20" borderId="0" xfId="0" applyNumberFormat="1" applyFont="1" applyFill="1" applyBorder="1"/>
    <xf numFmtId="1" fontId="3" fillId="0" borderId="0" xfId="0" applyNumberFormat="1" applyFont="1" applyBorder="1"/>
    <xf numFmtId="0" fontId="3" fillId="0" borderId="0" xfId="0" applyFont="1" applyBorder="1"/>
    <xf numFmtId="0" fontId="4" fillId="20" borderId="0" xfId="0" applyFont="1" applyFill="1" applyBorder="1" applyAlignment="1">
      <alignment horizontal="left"/>
    </xf>
    <xf numFmtId="2" fontId="3" fillId="20" borderId="0" xfId="0" applyNumberFormat="1" applyFont="1" applyFill="1" applyBorder="1"/>
    <xf numFmtId="0" fontId="3" fillId="20" borderId="0" xfId="0" applyNumberFormat="1" applyFont="1" applyFill="1" applyBorder="1"/>
    <xf numFmtId="0" fontId="1" fillId="19" borderId="0" xfId="0" applyFont="1" applyFill="1"/>
    <xf numFmtId="0" fontId="4" fillId="19" borderId="0" xfId="0" applyFont="1" applyFill="1" applyBorder="1"/>
    <xf numFmtId="1" fontId="6" fillId="19" borderId="0" xfId="0" applyNumberFormat="1" applyFont="1" applyFill="1" applyBorder="1"/>
    <xf numFmtId="1" fontId="4" fillId="19" borderId="0" xfId="0" applyNumberFormat="1" applyFont="1" applyFill="1" applyBorder="1"/>
    <xf numFmtId="0" fontId="4" fillId="20" borderId="0" xfId="0" applyFont="1" applyFill="1" applyBorder="1" applyAlignment="1">
      <alignment horizontal="right"/>
    </xf>
    <xf numFmtId="1" fontId="3" fillId="18" borderId="0" xfId="0" applyNumberFormat="1" applyFont="1" applyFill="1" applyBorder="1"/>
    <xf numFmtId="1" fontId="6" fillId="18" borderId="0" xfId="0" applyNumberFormat="1" applyFont="1" applyFill="1" applyBorder="1"/>
    <xf numFmtId="1" fontId="4" fillId="18" borderId="0" xfId="0" applyNumberFormat="1" applyFont="1" applyFill="1" applyBorder="1"/>
    <xf numFmtId="16" fontId="1" fillId="17" borderId="0" xfId="0" applyNumberFormat="1" applyFont="1" applyFill="1" applyBorder="1"/>
    <xf numFmtId="16" fontId="3" fillId="17" borderId="0" xfId="0" applyNumberFormat="1" applyFont="1" applyFill="1" applyBorder="1"/>
    <xf numFmtId="16" fontId="1" fillId="18" borderId="0" xfId="0" applyNumberFormat="1" applyFont="1" applyFill="1" applyBorder="1"/>
    <xf numFmtId="16" fontId="3" fillId="18" borderId="0" xfId="0" applyNumberFormat="1" applyFont="1" applyFill="1" applyBorder="1"/>
    <xf numFmtId="0" fontId="4" fillId="21" borderId="0" xfId="0" applyFont="1" applyFill="1" applyBorder="1"/>
    <xf numFmtId="0" fontId="4" fillId="17" borderId="0" xfId="0" applyFont="1" applyFill="1" applyBorder="1"/>
    <xf numFmtId="16" fontId="7" fillId="17" borderId="0" xfId="0" applyNumberFormat="1" applyFont="1" applyFill="1" applyBorder="1"/>
    <xf numFmtId="1" fontId="6" fillId="17" borderId="0" xfId="0" applyNumberFormat="1" applyFont="1" applyFill="1" applyBorder="1"/>
    <xf numFmtId="1" fontId="4" fillId="17" borderId="0" xfId="0" applyNumberFormat="1" applyFont="1" applyFill="1" applyBorder="1"/>
    <xf numFmtId="2" fontId="4" fillId="20" borderId="0" xfId="0" applyNumberFormat="1" applyFont="1" applyFill="1" applyBorder="1"/>
    <xf numFmtId="16" fontId="4" fillId="20" borderId="0" xfId="0" applyNumberFormat="1" applyFont="1" applyFill="1" applyBorder="1"/>
    <xf numFmtId="1" fontId="8" fillId="17" borderId="0" xfId="0" applyNumberFormat="1" applyFont="1" applyFill="1" applyBorder="1"/>
    <xf numFmtId="0" fontId="1" fillId="21" borderId="0" xfId="0" applyFont="1" applyFill="1" applyBorder="1"/>
    <xf numFmtId="0" fontId="9" fillId="20" borderId="0" xfId="0" applyFont="1" applyFill="1" applyBorder="1" applyAlignment="1">
      <alignment horizontal="right"/>
    </xf>
    <xf numFmtId="1" fontId="9" fillId="20" borderId="0" xfId="0" applyNumberFormat="1" applyFont="1" applyFill="1" applyBorder="1"/>
    <xf numFmtId="1" fontId="9" fillId="20" borderId="0" xfId="0" applyNumberFormat="1" applyFont="1" applyFill="1" applyBorder="1" applyAlignment="1">
      <alignment horizontal="right"/>
    </xf>
    <xf numFmtId="1" fontId="4" fillId="20" borderId="0" xfId="0" applyNumberFormat="1" applyFont="1" applyFill="1" applyBorder="1" applyAlignment="1">
      <alignment horizontal="right"/>
    </xf>
    <xf numFmtId="49" fontId="8" fillId="20" borderId="0" xfId="0" applyNumberFormat="1" applyFont="1" applyFill="1" applyBorder="1" applyAlignment="1">
      <alignment horizontal="center"/>
    </xf>
    <xf numFmtId="165" fontId="3" fillId="0" borderId="0" xfId="0" applyNumberFormat="1" applyFont="1" applyBorder="1"/>
    <xf numFmtId="166" fontId="3" fillId="0" borderId="0" xfId="0" applyNumberFormat="1" applyFont="1" applyBorder="1"/>
    <xf numFmtId="0" fontId="4" fillId="18" borderId="0" xfId="0" applyFont="1" applyFill="1" applyBorder="1" applyAlignment="1">
      <alignment horizontal="center"/>
    </xf>
    <xf numFmtId="0" fontId="10" fillId="0" borderId="0" xfId="0" applyFont="1" applyBorder="1"/>
    <xf numFmtId="165" fontId="10" fillId="0" borderId="0" xfId="0" applyNumberFormat="1" applyFont="1" applyBorder="1"/>
    <xf numFmtId="1" fontId="4" fillId="0" borderId="0" xfId="0" applyNumberFormat="1" applyFont="1" applyBorder="1"/>
    <xf numFmtId="0" fontId="4" fillId="0" borderId="0" xfId="0" applyFont="1" applyBorder="1"/>
    <xf numFmtId="2" fontId="4" fillId="0" borderId="0" xfId="0" applyNumberFormat="1" applyFont="1" applyBorder="1"/>
    <xf numFmtId="0" fontId="11" fillId="17" borderId="0" xfId="0" applyFont="1" applyFill="1" applyBorder="1"/>
    <xf numFmtId="0" fontId="11" fillId="20" borderId="0" xfId="0" applyFont="1" applyFill="1" applyBorder="1"/>
    <xf numFmtId="0" fontId="12" fillId="20" borderId="0" xfId="0" applyFont="1" applyFill="1" applyBorder="1"/>
    <xf numFmtId="1" fontId="10" fillId="0" borderId="0" xfId="0" applyNumberFormat="1" applyFont="1" applyBorder="1"/>
    <xf numFmtId="2" fontId="3" fillId="0" borderId="0" xfId="0" applyNumberFormat="1" applyFont="1" applyBorder="1"/>
    <xf numFmtId="2" fontId="3" fillId="0" borderId="0" xfId="0" applyNumberFormat="1" applyFont="1" applyFill="1" applyBorder="1"/>
    <xf numFmtId="0" fontId="1" fillId="0" borderId="0" xfId="0" applyFont="1" applyBorder="1"/>
    <xf numFmtId="0" fontId="3" fillId="0" borderId="0" xfId="0" applyFont="1" applyFill="1" applyBorder="1"/>
    <xf numFmtId="1" fontId="3" fillId="0" borderId="0" xfId="0" applyNumberFormat="1" applyFont="1" applyFill="1" applyBorder="1"/>
    <xf numFmtId="0" fontId="8" fillId="17" borderId="0" xfId="0" applyFont="1" applyFill="1" applyBorder="1"/>
    <xf numFmtId="2" fontId="8" fillId="17" borderId="0" xfId="0" applyNumberFormat="1" applyFont="1" applyFill="1" applyBorder="1"/>
    <xf numFmtId="0" fontId="8" fillId="18" borderId="0" xfId="0" applyFont="1" applyFill="1" applyBorder="1"/>
    <xf numFmtId="2" fontId="8" fillId="18" borderId="0" xfId="0" applyNumberFormat="1" applyFont="1" applyFill="1" applyBorder="1"/>
    <xf numFmtId="1" fontId="8" fillId="18" borderId="0" xfId="0" applyNumberFormat="1" applyFont="1" applyFill="1" applyBorder="1"/>
    <xf numFmtId="16" fontId="1" fillId="20" borderId="0" xfId="0" applyNumberFormat="1" applyFont="1" applyFill="1" applyBorder="1"/>
    <xf numFmtId="1" fontId="13" fillId="0" borderId="0" xfId="0" applyNumberFormat="1" applyFont="1" applyBorder="1"/>
    <xf numFmtId="16" fontId="1" fillId="0" borderId="0" xfId="0" applyNumberFormat="1" applyFont="1" applyBorder="1"/>
    <xf numFmtId="1" fontId="7" fillId="18" borderId="0" xfId="0" applyNumberFormat="1" applyFont="1" applyFill="1" applyBorder="1"/>
    <xf numFmtId="0" fontId="9" fillId="20" borderId="0" xfId="0" applyFont="1" applyFill="1" applyBorder="1" applyAlignment="1">
      <alignment horizontal="center"/>
    </xf>
    <xf numFmtId="0" fontId="9" fillId="20" borderId="0" xfId="0" applyFont="1" applyFill="1" applyBorder="1"/>
    <xf numFmtId="0" fontId="14" fillId="17" borderId="0" xfId="0" applyFont="1" applyFill="1" applyBorder="1" applyAlignment="1">
      <alignment horizontal="center"/>
    </xf>
    <xf numFmtId="0" fontId="1" fillId="17" borderId="0" xfId="0" applyFont="1" applyFill="1" applyBorder="1"/>
    <xf numFmtId="15" fontId="1" fillId="17" borderId="0" xfId="0" applyNumberFormat="1" applyFont="1" applyFill="1" applyBorder="1"/>
    <xf numFmtId="1" fontId="7" fillId="17" borderId="0" xfId="0" applyNumberFormat="1" applyFont="1" applyFill="1" applyBorder="1"/>
    <xf numFmtId="0" fontId="1" fillId="18" borderId="0" xfId="0" applyFont="1" applyFill="1" applyBorder="1"/>
    <xf numFmtId="15" fontId="1" fillId="18" borderId="0" xfId="0" applyNumberFormat="1" applyFont="1" applyFill="1" applyBorder="1"/>
    <xf numFmtId="2" fontId="3" fillId="18" borderId="0" xfId="0" applyNumberFormat="1" applyFont="1" applyFill="1" applyBorder="1"/>
    <xf numFmtId="0" fontId="7" fillId="18" borderId="0" xfId="0" applyFont="1" applyFill="1" applyBorder="1"/>
    <xf numFmtId="16" fontId="7" fillId="18" borderId="0" xfId="0" applyNumberFormat="1" applyFont="1" applyFill="1" applyBorder="1"/>
    <xf numFmtId="1" fontId="9" fillId="18" borderId="0" xfId="0" applyNumberFormat="1" applyFont="1" applyFill="1" applyBorder="1"/>
    <xf numFmtId="0" fontId="4" fillId="18" borderId="0" xfId="0" applyFont="1" applyFill="1" applyBorder="1" applyAlignment="1">
      <alignment horizontal="right"/>
    </xf>
    <xf numFmtId="2" fontId="4" fillId="18" borderId="0" xfId="0" applyNumberFormat="1" applyFont="1" applyFill="1" applyBorder="1" applyAlignment="1">
      <alignment horizontal="right"/>
    </xf>
    <xf numFmtId="0" fontId="4" fillId="17" borderId="0" xfId="0" applyFont="1" applyFill="1" applyBorder="1" applyAlignment="1">
      <alignment horizontal="right"/>
    </xf>
    <xf numFmtId="0" fontId="4" fillId="17" borderId="0" xfId="0" applyFont="1" applyFill="1" applyBorder="1" applyAlignment="1">
      <alignment horizontal="center"/>
    </xf>
    <xf numFmtId="16" fontId="8" fillId="17" borderId="0" xfId="0" applyNumberFormat="1" applyFont="1" applyFill="1" applyBorder="1"/>
    <xf numFmtId="1" fontId="11" fillId="17" borderId="0" xfId="0" applyNumberFormat="1" applyFont="1" applyFill="1" applyBorder="1"/>
    <xf numFmtId="0" fontId="5" fillId="17" borderId="0" xfId="0" applyFont="1" applyFill="1" applyBorder="1"/>
    <xf numFmtId="0" fontId="1" fillId="20" borderId="0" xfId="0" applyFont="1" applyFill="1" applyBorder="1"/>
    <xf numFmtId="0" fontId="3" fillId="17" borderId="0" xfId="0" applyFont="1" applyFill="1" applyBorder="1" applyAlignment="1">
      <alignment horizontal="center"/>
    </xf>
    <xf numFmtId="0" fontId="1" fillId="20" borderId="0" xfId="0" applyFont="1" applyFill="1"/>
    <xf numFmtId="0" fontId="15" fillId="20" borderId="0" xfId="0" applyFont="1" applyFill="1" applyBorder="1"/>
    <xf numFmtId="1" fontId="1" fillId="18" borderId="0" xfId="0" applyNumberFormat="1" applyFont="1" applyFill="1" applyBorder="1"/>
    <xf numFmtId="0" fontId="15" fillId="0" borderId="0" xfId="0" applyFont="1" applyBorder="1"/>
    <xf numFmtId="0" fontId="1" fillId="0" borderId="0" xfId="0" applyFont="1" applyBorder="1" applyAlignment="1">
      <alignment horizontal="right"/>
    </xf>
    <xf numFmtId="2" fontId="1" fillId="0" borderId="0" xfId="0" applyNumberFormat="1" applyFont="1" applyBorder="1"/>
    <xf numFmtId="1" fontId="1" fillId="0" borderId="0" xfId="0" applyNumberFormat="1" applyFont="1" applyBorder="1"/>
    <xf numFmtId="1" fontId="1" fillId="20" borderId="0" xfId="0" applyNumberFormat="1" applyFont="1" applyFill="1" applyBorder="1"/>
    <xf numFmtId="0" fontId="1" fillId="0" borderId="0" xfId="0" applyFont="1" applyFill="1" applyBorder="1"/>
    <xf numFmtId="15" fontId="3" fillId="18" borderId="0" xfId="0" applyNumberFormat="1" applyFont="1" applyFill="1" applyBorder="1"/>
    <xf numFmtId="0" fontId="15" fillId="0" borderId="0" xfId="0" applyFont="1" applyFill="1" applyBorder="1"/>
    <xf numFmtId="167" fontId="3" fillId="0" borderId="0" xfId="0" applyNumberFormat="1" applyFont="1" applyBorder="1"/>
    <xf numFmtId="165" fontId="15" fillId="20" borderId="0" xfId="0" applyNumberFormat="1" applyFont="1" applyFill="1" applyBorder="1"/>
    <xf numFmtId="0" fontId="3" fillId="0" borderId="0" xfId="0" applyFont="1" applyFill="1" applyBorder="1" applyAlignment="1">
      <alignment horizontal="right"/>
    </xf>
    <xf numFmtId="0" fontId="0" fillId="18" borderId="0" xfId="0" applyFill="1"/>
    <xf numFmtId="0" fontId="0" fillId="17" borderId="0" xfId="0" applyFill="1"/>
    <xf numFmtId="0" fontId="3" fillId="0" borderId="0" xfId="0" applyNumberFormat="1" applyFont="1" applyBorder="1" applyAlignment="1">
      <alignment horizontal="center"/>
    </xf>
    <xf numFmtId="165" fontId="3" fillId="0" borderId="0" xfId="0" applyNumberFormat="1" applyFont="1" applyFill="1" applyBorder="1" applyAlignment="1">
      <alignment horizontal="center"/>
    </xf>
    <xf numFmtId="168" fontId="4" fillId="17" borderId="0" xfId="0" applyNumberFormat="1" applyFont="1" applyFill="1" applyBorder="1" applyAlignment="1">
      <alignment horizontal="center"/>
    </xf>
    <xf numFmtId="0" fontId="1" fillId="17" borderId="0" xfId="0" applyFont="1" applyFill="1"/>
    <xf numFmtId="164" fontId="1" fillId="0" borderId="0" xfId="0" applyNumberFormat="1" applyFont="1" applyBorder="1" applyAlignment="1">
      <alignment horizontal="right"/>
    </xf>
    <xf numFmtId="164" fontId="1" fillId="0" borderId="0" xfId="0" applyNumberFormat="1" applyFont="1" applyBorder="1"/>
    <xf numFmtId="0" fontId="5" fillId="18" borderId="0" xfId="0" applyFont="1" applyFill="1"/>
    <xf numFmtId="2" fontId="0" fillId="0" borderId="0" xfId="0" applyNumberFormat="1"/>
    <xf numFmtId="0" fontId="15" fillId="20" borderId="0" xfId="0" applyFont="1" applyFill="1" applyAlignment="1">
      <alignment horizontal="center"/>
    </xf>
    <xf numFmtId="0" fontId="1" fillId="21" borderId="0" xfId="0" applyFont="1" applyFill="1"/>
    <xf numFmtId="2" fontId="1" fillId="20" borderId="0" xfId="0" applyNumberFormat="1" applyFont="1" applyFill="1"/>
    <xf numFmtId="2" fontId="19" fillId="0" borderId="0" xfId="0" applyNumberFormat="1" applyFont="1" applyBorder="1"/>
    <xf numFmtId="0" fontId="1" fillId="0" borderId="0" xfId="0" applyFont="1" applyFill="1"/>
    <xf numFmtId="0" fontId="18" fillId="22" borderId="0" xfId="0" applyFont="1" applyFill="1" applyBorder="1"/>
    <xf numFmtId="0" fontId="15" fillId="22" borderId="0" xfId="0" applyFont="1" applyFill="1" applyBorder="1"/>
    <xf numFmtId="164" fontId="3" fillId="20" borderId="0" xfId="0" applyNumberFormat="1" applyFont="1" applyFill="1" applyBorder="1"/>
    <xf numFmtId="0" fontId="3" fillId="23" borderId="0" xfId="0" applyFont="1" applyFill="1" applyBorder="1"/>
    <xf numFmtId="16" fontId="9" fillId="20" borderId="0" xfId="0" applyNumberFormat="1" applyFont="1" applyFill="1" applyBorder="1"/>
    <xf numFmtId="2" fontId="3" fillId="24" borderId="0" xfId="0" applyNumberFormat="1" applyFont="1" applyFill="1" applyBorder="1"/>
    <xf numFmtId="0" fontId="3" fillId="24" borderId="0" xfId="0" applyFont="1" applyFill="1" applyBorder="1"/>
    <xf numFmtId="1" fontId="3" fillId="24" borderId="0" xfId="0" applyNumberFormat="1" applyFont="1" applyFill="1" applyBorder="1"/>
    <xf numFmtId="1" fontId="4" fillId="18" borderId="0" xfId="0" applyNumberFormat="1" applyFont="1" applyFill="1" applyBorder="1" applyAlignment="1">
      <alignment horizontal="center"/>
    </xf>
    <xf numFmtId="0" fontId="21" fillId="20" borderId="0" xfId="0" applyFont="1" applyFill="1"/>
    <xf numFmtId="0" fontId="3" fillId="17" borderId="0" xfId="0" applyFont="1" applyFill="1" applyBorder="1" applyAlignment="1">
      <alignment horizontal="right"/>
    </xf>
    <xf numFmtId="0" fontId="3" fillId="20" borderId="0" xfId="0" applyFont="1" applyFill="1" applyBorder="1" applyAlignment="1">
      <alignment horizontal="center"/>
    </xf>
    <xf numFmtId="1" fontId="3" fillId="20" borderId="0" xfId="0" applyNumberFormat="1" applyFont="1" applyFill="1" applyBorder="1" applyAlignment="1">
      <alignment horizontal="center"/>
    </xf>
    <xf numFmtId="0" fontId="1" fillId="23" borderId="0" xfId="0" applyFont="1" applyFill="1"/>
    <xf numFmtId="2" fontId="8" fillId="0" borderId="0" xfId="0" applyNumberFormat="1" applyFont="1" applyBorder="1"/>
    <xf numFmtId="1" fontId="22" fillId="20" borderId="0" xfId="0" applyNumberFormat="1" applyFont="1" applyFill="1" applyBorder="1"/>
    <xf numFmtId="0" fontId="23" fillId="20" borderId="0" xfId="0" applyFont="1" applyFill="1" applyAlignment="1">
      <alignment horizontal="center"/>
    </xf>
    <xf numFmtId="0" fontId="8" fillId="18" borderId="0" xfId="0" applyFont="1" applyFill="1" applyBorder="1" applyAlignment="1">
      <alignment horizontal="center"/>
    </xf>
    <xf numFmtId="0" fontId="3" fillId="18" borderId="0" xfId="0" applyFont="1" applyFill="1" applyBorder="1" applyAlignment="1">
      <alignment horizontal="center"/>
    </xf>
    <xf numFmtId="0" fontId="1" fillId="18" borderId="0" xfId="0" applyFont="1" applyFill="1" applyAlignment="1">
      <alignment horizontal="center"/>
    </xf>
    <xf numFmtId="0" fontId="17" fillId="18" borderId="0" xfId="34" applyFont="1" applyFill="1" applyBorder="1" applyAlignment="1" applyProtection="1">
      <alignment horizontal="center"/>
    </xf>
    <xf numFmtId="0" fontId="3" fillId="25" borderId="0" xfId="0" applyFont="1" applyFill="1" applyBorder="1"/>
    <xf numFmtId="1" fontId="3" fillId="25" borderId="0" xfId="0" applyNumberFormat="1" applyFont="1" applyFill="1" applyBorder="1"/>
    <xf numFmtId="2" fontId="3" fillId="25" borderId="0" xfId="0" applyNumberFormat="1" applyFont="1" applyFill="1" applyBorder="1"/>
    <xf numFmtId="1" fontId="7" fillId="25" borderId="0" xfId="0" applyNumberFormat="1" applyFont="1" applyFill="1" applyBorder="1"/>
    <xf numFmtId="0" fontId="1" fillId="25" borderId="0" xfId="0" applyFont="1" applyFill="1"/>
    <xf numFmtId="0" fontId="14" fillId="25" borderId="0" xfId="0" applyFont="1" applyFill="1" applyBorder="1" applyAlignment="1">
      <alignment horizontal="center"/>
    </xf>
    <xf numFmtId="0" fontId="1" fillId="25" borderId="0" xfId="0" applyFont="1" applyFill="1" applyBorder="1"/>
    <xf numFmtId="15" fontId="1" fillId="25" borderId="0" xfId="0" applyNumberFormat="1" applyFont="1" applyFill="1" applyBorder="1"/>
    <xf numFmtId="1" fontId="7" fillId="20" borderId="0" xfId="0" applyNumberFormat="1" applyFont="1" applyFill="1" applyBorder="1"/>
    <xf numFmtId="2" fontId="7" fillId="20" borderId="0" xfId="0" applyNumberFormat="1" applyFont="1" applyFill="1" applyBorder="1"/>
    <xf numFmtId="0" fontId="1" fillId="20" borderId="0" xfId="0" applyFont="1" applyFill="1" applyAlignment="1">
      <alignment horizontal="center"/>
    </xf>
    <xf numFmtId="0" fontId="23" fillId="25" borderId="0" xfId="0" applyFont="1" applyFill="1"/>
    <xf numFmtId="1" fontId="1" fillId="18" borderId="0" xfId="0" applyNumberFormat="1" applyFont="1" applyFill="1" applyAlignment="1">
      <alignment horizontal="center"/>
    </xf>
    <xf numFmtId="1" fontId="20" fillId="18" borderId="0" xfId="39" applyNumberFormat="1" applyFill="1" applyAlignment="1" applyProtection="1">
      <alignment horizontal="center"/>
    </xf>
    <xf numFmtId="166" fontId="1" fillId="18" borderId="0" xfId="0" applyNumberFormat="1" applyFont="1" applyFill="1" applyAlignment="1">
      <alignment horizontal="center"/>
    </xf>
    <xf numFmtId="166" fontId="20" fillId="0" borderId="0" xfId="39" applyNumberFormat="1" applyAlignment="1" applyProtection="1">
      <alignment horizontal="center"/>
    </xf>
    <xf numFmtId="167" fontId="1" fillId="18" borderId="0" xfId="0" applyNumberFormat="1" applyFont="1" applyFill="1"/>
    <xf numFmtId="2" fontId="0" fillId="20" borderId="0" xfId="0" applyNumberFormat="1" applyFill="1"/>
    <xf numFmtId="2" fontId="20" fillId="18" borderId="0" xfId="38" applyNumberFormat="1" applyFill="1" applyAlignment="1" applyProtection="1">
      <alignment horizontal="left"/>
    </xf>
    <xf numFmtId="2" fontId="20" fillId="18" borderId="0" xfId="38" applyNumberFormat="1" applyFill="1" applyAlignment="1">
      <alignment horizontal="left"/>
    </xf>
    <xf numFmtId="166" fontId="20" fillId="18" borderId="0" xfId="39" applyNumberFormat="1" applyFill="1" applyAlignment="1" applyProtection="1">
      <alignment horizontal="center"/>
    </xf>
    <xf numFmtId="166" fontId="20" fillId="18" borderId="0" xfId="38" applyNumberFormat="1" applyFill="1" applyAlignment="1" applyProtection="1">
      <alignment horizontal="center"/>
    </xf>
    <xf numFmtId="0" fontId="9" fillId="18" borderId="0" xfId="0" applyFont="1" applyFill="1" applyBorder="1"/>
    <xf numFmtId="1" fontId="9" fillId="18" borderId="0" xfId="0" applyNumberFormat="1" applyFont="1" applyFill="1" applyBorder="1" applyAlignment="1">
      <alignment horizontal="right"/>
    </xf>
    <xf numFmtId="1" fontId="4" fillId="18" borderId="0" xfId="0" applyNumberFormat="1" applyFont="1" applyFill="1" applyBorder="1" applyAlignment="1">
      <alignment horizontal="right"/>
    </xf>
    <xf numFmtId="16" fontId="1" fillId="18" borderId="0" xfId="0" applyNumberFormat="1" applyFont="1" applyFill="1"/>
    <xf numFmtId="171" fontId="1" fillId="18" borderId="0" xfId="0" applyNumberFormat="1" applyFont="1" applyFill="1"/>
    <xf numFmtId="167" fontId="3" fillId="0" borderId="0" xfId="0" applyNumberFormat="1" applyFont="1" applyBorder="1" applyAlignment="1">
      <alignment horizontal="right"/>
    </xf>
    <xf numFmtId="165" fontId="1" fillId="0" borderId="0" xfId="0" applyNumberFormat="1" applyFont="1" applyFill="1"/>
    <xf numFmtId="165" fontId="3" fillId="20" borderId="0" xfId="0" applyNumberFormat="1" applyFont="1" applyFill="1" applyBorder="1"/>
    <xf numFmtId="1" fontId="1" fillId="25" borderId="0" xfId="0" applyNumberFormat="1" applyFont="1" applyFill="1" applyBorder="1"/>
    <xf numFmtId="0" fontId="41" fillId="26" borderId="10" xfId="0" applyFont="1" applyFill="1" applyBorder="1" applyAlignment="1">
      <alignment horizontal="center"/>
    </xf>
    <xf numFmtId="0" fontId="41" fillId="0" borderId="0" xfId="0" applyFont="1"/>
    <xf numFmtId="0" fontId="9" fillId="26" borderId="0" xfId="0" applyFont="1" applyFill="1" applyBorder="1"/>
    <xf numFmtId="170" fontId="9" fillId="27" borderId="0" xfId="0" applyNumberFormat="1" applyFont="1" applyFill="1" applyBorder="1"/>
    <xf numFmtId="0" fontId="4" fillId="23" borderId="0" xfId="0" applyFont="1" applyFill="1" applyBorder="1"/>
    <xf numFmtId="0" fontId="1" fillId="26" borderId="10" xfId="0" applyFont="1" applyFill="1" applyBorder="1"/>
    <xf numFmtId="0" fontId="0" fillId="26" borderId="10" xfId="0" applyFill="1" applyBorder="1"/>
    <xf numFmtId="0" fontId="0" fillId="27" borderId="10" xfId="0" applyFill="1" applyBorder="1"/>
    <xf numFmtId="0" fontId="9" fillId="26" borderId="10" xfId="0" applyFont="1" applyFill="1" applyBorder="1"/>
    <xf numFmtId="171" fontId="1" fillId="26" borderId="10" xfId="0" applyNumberFormat="1" applyFont="1" applyFill="1" applyBorder="1"/>
    <xf numFmtId="16" fontId="1" fillId="27" borderId="10" xfId="0" applyNumberFormat="1" applyFont="1" applyFill="1" applyBorder="1"/>
    <xf numFmtId="16" fontId="0" fillId="0" borderId="0" xfId="0" applyNumberFormat="1"/>
    <xf numFmtId="0" fontId="1" fillId="28" borderId="0" xfId="0" applyFont="1" applyFill="1" applyBorder="1" applyAlignment="1">
      <alignment horizontal="center"/>
    </xf>
    <xf numFmtId="0" fontId="3" fillId="28" borderId="0" xfId="0" applyFont="1" applyFill="1" applyBorder="1" applyAlignment="1">
      <alignment horizontal="center"/>
    </xf>
    <xf numFmtId="0" fontId="3" fillId="28" borderId="0" xfId="0" applyFont="1" applyFill="1" applyBorder="1"/>
    <xf numFmtId="0" fontId="0" fillId="29" borderId="10" xfId="0" applyFill="1" applyBorder="1"/>
    <xf numFmtId="0" fontId="1" fillId="29" borderId="10" xfId="0" applyFont="1" applyFill="1" applyBorder="1"/>
    <xf numFmtId="0" fontId="1" fillId="29" borderId="0" xfId="0" applyFont="1" applyFill="1"/>
    <xf numFmtId="16" fontId="1" fillId="29" borderId="10" xfId="0" applyNumberFormat="1" applyFont="1" applyFill="1" applyBorder="1"/>
    <xf numFmtId="0" fontId="9" fillId="29" borderId="10" xfId="0" applyFont="1" applyFill="1" applyBorder="1"/>
    <xf numFmtId="170" fontId="1" fillId="29" borderId="10" xfId="0" applyNumberFormat="1" applyFont="1" applyFill="1" applyBorder="1"/>
    <xf numFmtId="171" fontId="1" fillId="29" borderId="10" xfId="0" applyNumberFormat="1" applyFont="1" applyFill="1" applyBorder="1"/>
    <xf numFmtId="16" fontId="1" fillId="29" borderId="0" xfId="0" applyNumberFormat="1" applyFont="1" applyFill="1"/>
    <xf numFmtId="171" fontId="1" fillId="29" borderId="0" xfId="0" applyNumberFormat="1" applyFont="1" applyFill="1"/>
    <xf numFmtId="0" fontId="1" fillId="29" borderId="0" xfId="0" applyFont="1" applyFill="1" applyBorder="1"/>
    <xf numFmtId="1" fontId="1" fillId="29" borderId="0" xfId="0" applyNumberFormat="1" applyFont="1" applyFill="1" applyBorder="1"/>
    <xf numFmtId="0" fontId="9" fillId="0" borderId="0" xfId="0" applyFont="1" applyFill="1" applyBorder="1"/>
    <xf numFmtId="0" fontId="0" fillId="30" borderId="0" xfId="0" applyFill="1"/>
    <xf numFmtId="0" fontId="1" fillId="30" borderId="10" xfId="0" applyFont="1" applyFill="1" applyBorder="1"/>
    <xf numFmtId="2" fontId="3" fillId="29" borderId="0" xfId="0" applyNumberFormat="1" applyFont="1" applyFill="1" applyBorder="1"/>
    <xf numFmtId="0" fontId="0" fillId="0" borderId="0" xfId="0"/>
    <xf numFmtId="0" fontId="0" fillId="0" borderId="0" xfId="0"/>
    <xf numFmtId="0" fontId="1" fillId="31" borderId="0" xfId="0" applyFont="1" applyFill="1"/>
    <xf numFmtId="0" fontId="1" fillId="32" borderId="12" xfId="0" applyFont="1" applyFill="1" applyBorder="1" applyAlignment="1"/>
    <xf numFmtId="0" fontId="1" fillId="32" borderId="13" xfId="0" applyFont="1" applyFill="1" applyBorder="1" applyAlignment="1">
      <alignment horizontal="center"/>
    </xf>
    <xf numFmtId="164" fontId="1" fillId="32" borderId="13" xfId="0" applyNumberFormat="1" applyFont="1" applyFill="1" applyBorder="1" applyAlignment="1"/>
    <xf numFmtId="0" fontId="1" fillId="33" borderId="10" xfId="0" applyFont="1" applyFill="1" applyBorder="1"/>
    <xf numFmtId="164" fontId="3" fillId="20" borderId="14" xfId="0" applyNumberFormat="1" applyFont="1" applyFill="1" applyBorder="1"/>
    <xf numFmtId="0" fontId="3" fillId="20" borderId="14" xfId="0" applyFont="1" applyFill="1" applyBorder="1"/>
    <xf numFmtId="0" fontId="3" fillId="20" borderId="0" xfId="0" applyFont="1" applyFill="1" applyBorder="1" applyAlignment="1">
      <alignment horizontal="center"/>
    </xf>
    <xf numFmtId="0" fontId="3" fillId="20" borderId="15" xfId="0" applyFont="1" applyFill="1" applyBorder="1" applyAlignment="1">
      <alignment horizontal="center"/>
    </xf>
    <xf numFmtId="0" fontId="3" fillId="20" borderId="0" xfId="0" applyFont="1" applyFill="1" applyBorder="1" applyAlignment="1">
      <alignment horizontal="center"/>
    </xf>
    <xf numFmtId="0" fontId="18" fillId="29" borderId="0" xfId="0" applyFont="1" applyFill="1" applyBorder="1" applyAlignment="1">
      <alignment horizontal="center"/>
    </xf>
    <xf numFmtId="0" fontId="1" fillId="31" borderId="11" xfId="0" applyFont="1" applyFill="1" applyBorder="1" applyAlignment="1">
      <alignment horizontal="center"/>
    </xf>
    <xf numFmtId="0" fontId="43" fillId="19" borderId="0" xfId="0" applyFont="1" applyFill="1" applyBorder="1" applyAlignment="1">
      <alignment horizontal="center"/>
    </xf>
    <xf numFmtId="0" fontId="43" fillId="20" borderId="11" xfId="0" applyFont="1" applyFill="1" applyBorder="1" applyAlignment="1">
      <alignment horizontal="center"/>
    </xf>
    <xf numFmtId="0" fontId="4" fillId="20" borderId="11" xfId="0" applyFont="1" applyFill="1" applyBorder="1" applyAlignment="1">
      <alignment horizontal="center"/>
    </xf>
    <xf numFmtId="0" fontId="3" fillId="20" borderId="17" xfId="0" applyFont="1" applyFill="1" applyBorder="1" applyAlignment="1">
      <alignment horizontal="center"/>
    </xf>
    <xf numFmtId="0" fontId="3" fillId="20" borderId="16" xfId="0" applyFont="1" applyFill="1" applyBorder="1" applyAlignment="1">
      <alignment horizontal="center"/>
    </xf>
    <xf numFmtId="0" fontId="1" fillId="20" borderId="0" xfId="0" applyFont="1" applyFill="1" applyAlignment="1">
      <alignment horizontal="center"/>
    </xf>
  </cellXfs>
  <cellStyles count="64">
    <cellStyle name="20% - Accent1 2" xfId="45"/>
    <cellStyle name="20% - Accent2 2" xfId="46"/>
    <cellStyle name="20% - Accent3 2" xfId="47"/>
    <cellStyle name="20% - Accent4 2" xfId="48"/>
    <cellStyle name="20% - Accent5 2" xfId="49"/>
    <cellStyle name="20% - Accent6 2" xfId="50"/>
    <cellStyle name="40% - Accent1 2" xfId="51"/>
    <cellStyle name="40% - Accent2 2" xfId="52"/>
    <cellStyle name="40% - Accent3 2" xfId="53"/>
    <cellStyle name="40% - Accent4 2" xfId="54"/>
    <cellStyle name="40% - Accent5 2" xfId="55"/>
    <cellStyle name="40% - Accent6 2" xfId="56"/>
    <cellStyle name="60% - Accent1 2" xfId="57"/>
    <cellStyle name="60% - Accent2 2" xfId="58"/>
    <cellStyle name="60% - Accent3 2" xfId="59"/>
    <cellStyle name="60% - Accent4 2" xfId="60"/>
    <cellStyle name="60% - Accent5 2" xfId="61"/>
    <cellStyle name="60% - Accent6 2" xfId="62"/>
    <cellStyle name="Accent1" xfId="1" builtinId="29" customBuiltin="1"/>
    <cellStyle name="Accent1 - 20%" xfId="2"/>
    <cellStyle name="Accent1 - 40%" xfId="3"/>
    <cellStyle name="Accent1 - 60%" xfId="4"/>
    <cellStyle name="Accent2" xfId="5" builtinId="33" customBuiltin="1"/>
    <cellStyle name="Accent2 - 20%" xfId="6"/>
    <cellStyle name="Accent2 - 40%" xfId="7"/>
    <cellStyle name="Accent2 - 60%" xfId="8"/>
    <cellStyle name="Accent3" xfId="9" builtinId="37" customBuiltin="1"/>
    <cellStyle name="Accent3 - 20%" xfId="10"/>
    <cellStyle name="Accent3 - 40%" xfId="11"/>
    <cellStyle name="Accent3 - 60%" xfId="12"/>
    <cellStyle name="Accent4" xfId="13" builtinId="41" customBuiltin="1"/>
    <cellStyle name="Accent4 - 20%" xfId="14"/>
    <cellStyle name="Accent4 - 40%" xfId="15"/>
    <cellStyle name="Accent4 - 60%" xfId="16"/>
    <cellStyle name="Accent5" xfId="17" builtinId="45" customBuiltin="1"/>
    <cellStyle name="Accent5 - 20%" xfId="18"/>
    <cellStyle name="Accent5 - 40%" xfId="19"/>
    <cellStyle name="Accent5 - 60%" xfId="20"/>
    <cellStyle name="Accent6" xfId="21" builtinId="49" customBuiltin="1"/>
    <cellStyle name="Accent6 - 20%" xfId="22"/>
    <cellStyle name="Accent6 - 40%" xfId="23"/>
    <cellStyle name="Accent6 - 60%" xfId="24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" xfId="34" builtinId="8"/>
    <cellStyle name="Input" xfId="35" builtinId="20" customBuiltin="1"/>
    <cellStyle name="Linked Cell" xfId="36" builtinId="24" customBuiltin="1"/>
    <cellStyle name="Neutral" xfId="37" builtinId="28" customBuiltin="1"/>
    <cellStyle name="Normal" xfId="0" builtinId="0"/>
    <cellStyle name="Normal_Cobble Gravel" xfId="38"/>
    <cellStyle name="Normal_template_12dates" xfId="39"/>
    <cellStyle name="Note" xfId="40" builtinId="10" customBuiltin="1"/>
    <cellStyle name="Output" xfId="41" builtinId="21" customBuiltin="1"/>
    <cellStyle name="Sheet Title" xfId="42"/>
    <cellStyle name="Title 2" xfId="63"/>
    <cellStyle name="Total" xfId="43" builtinId="25" customBuiltin="1"/>
    <cellStyle name="Warning Text" xfId="44" builtinId="11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U1338"/>
  <sheetViews>
    <sheetView tabSelected="1" topLeftCell="FE1" zoomScale="85" zoomScaleNormal="85" workbookViewId="0">
      <selection activeCell="FH6" sqref="FH6:FN16"/>
    </sheetView>
  </sheetViews>
  <sheetFormatPr defaultColWidth="8.85546875" defaultRowHeight="12.75"/>
  <cols>
    <col min="1" max="1" width="41.42578125" style="8" customWidth="1"/>
    <col min="2" max="2" width="9.28515625" style="8" bestFit="1" customWidth="1"/>
    <col min="3" max="3" width="17.7109375" style="8" customWidth="1"/>
    <col min="4" max="4" width="20.28515625" style="8" customWidth="1"/>
    <col min="5" max="5" width="14" style="8" customWidth="1"/>
    <col min="6" max="6" width="14.28515625" style="8" customWidth="1"/>
    <col min="7" max="7" width="26.140625" style="8" customWidth="1"/>
    <col min="8" max="8" width="17.85546875" style="8" customWidth="1"/>
    <col min="9" max="9" width="15.42578125" style="8" customWidth="1"/>
    <col min="10" max="10" width="19.42578125" style="8" customWidth="1"/>
    <col min="11" max="11" width="21.28515625" style="8" customWidth="1"/>
    <col min="12" max="12" width="11" style="8" bestFit="1" customWidth="1"/>
    <col min="13" max="13" width="13.42578125" style="8" customWidth="1"/>
    <col min="14" max="14" width="9.42578125" style="8" bestFit="1" customWidth="1"/>
    <col min="15" max="15" width="9.85546875" style="8" bestFit="1" customWidth="1"/>
    <col min="16" max="16" width="15" style="8" customWidth="1"/>
    <col min="17" max="18" width="11.42578125" style="8" customWidth="1"/>
    <col min="19" max="19" width="9.42578125" style="8" bestFit="1" customWidth="1"/>
    <col min="20" max="20" width="14.140625" style="8" customWidth="1"/>
    <col min="21" max="21" width="14.5703125" style="8" customWidth="1"/>
    <col min="22" max="22" width="17.28515625" style="8" customWidth="1"/>
    <col min="23" max="23" width="20.28515625" style="8" customWidth="1"/>
    <col min="24" max="35" width="9.42578125" style="8" bestFit="1" customWidth="1"/>
    <col min="36" max="39" width="8.85546875" style="8"/>
    <col min="40" max="40" width="12.28515625" style="8" customWidth="1"/>
    <col min="41" max="41" width="9.7109375" style="8" customWidth="1"/>
    <col min="42" max="42" width="10.140625" style="8" customWidth="1"/>
    <col min="43" max="43" width="13.7109375" style="8" customWidth="1"/>
    <col min="44" max="49" width="8.85546875" style="8"/>
    <col min="50" max="50" width="22.85546875" style="8" customWidth="1"/>
    <col min="51" max="52" width="8.85546875" style="8"/>
    <col min="53" max="53" width="12.85546875" style="8" customWidth="1"/>
    <col min="54" max="84" width="8.85546875" style="8"/>
    <col min="85" max="85" width="15.28515625" style="8" customWidth="1"/>
    <col min="86" max="87" width="8.85546875" style="8"/>
    <col min="88" max="88" width="29.7109375" style="8" customWidth="1"/>
    <col min="89" max="91" width="8.85546875" style="8"/>
    <col min="92" max="92" width="7.42578125" style="8" customWidth="1"/>
    <col min="93" max="93" width="5.42578125" style="8" customWidth="1"/>
    <col min="94" max="94" width="6.140625" style="8" customWidth="1"/>
    <col min="95" max="95" width="5.28515625" style="8" customWidth="1"/>
    <col min="96" max="96" width="4" style="8" customWidth="1"/>
    <col min="97" max="97" width="6" style="8" customWidth="1"/>
    <col min="98" max="98" width="6.140625" style="8" customWidth="1"/>
    <col min="99" max="99" width="5.42578125" style="8" customWidth="1"/>
    <col min="100" max="100" width="8.85546875" style="8"/>
    <col min="101" max="101" width="17.140625" style="8" customWidth="1"/>
    <col min="102" max="104" width="18.140625" style="8" customWidth="1"/>
    <col min="105" max="105" width="17.42578125" style="8" customWidth="1"/>
    <col min="106" max="106" width="24.42578125" style="8" customWidth="1"/>
    <col min="107" max="137" width="8.85546875" style="8"/>
    <col min="138" max="138" width="7.140625" style="8" customWidth="1"/>
    <col min="139" max="140" width="8.85546875" style="8"/>
    <col min="141" max="141" width="19" style="8" customWidth="1"/>
    <col min="142" max="144" width="8.85546875" style="8"/>
    <col min="145" max="145" width="20.85546875" style="8" customWidth="1"/>
    <col min="146" max="151" width="8.85546875" style="8"/>
    <col min="152" max="152" width="15.140625" style="8" customWidth="1"/>
    <col min="153" max="153" width="17.28515625" style="8" customWidth="1"/>
    <col min="154" max="154" width="8.85546875" style="8"/>
    <col min="155" max="155" width="11.28515625" style="8" customWidth="1"/>
    <col min="156" max="163" width="8.85546875" style="8"/>
    <col min="164" max="164" width="9.85546875" style="8" bestFit="1" customWidth="1"/>
    <col min="165" max="171" width="8.85546875" style="8"/>
    <col min="172" max="172" width="9.85546875" style="8" bestFit="1" customWidth="1"/>
    <col min="173" max="176" width="8.85546875" style="8"/>
    <col min="177" max="177" width="15.140625" style="8" customWidth="1"/>
    <col min="178" max="193" width="8.85546875" style="8"/>
    <col min="194" max="194" width="9.85546875" style="8" bestFit="1" customWidth="1"/>
    <col min="195" max="195" width="9.7109375" style="8" bestFit="1" customWidth="1"/>
    <col min="196" max="16384" width="8.85546875" style="8"/>
  </cols>
  <sheetData>
    <row r="1" spans="1:203" s="7" customFormat="1">
      <c r="A1" s="181" t="s">
        <v>143</v>
      </c>
      <c r="B1" s="1"/>
      <c r="C1" s="1"/>
      <c r="D1" s="1"/>
      <c r="E1" s="1"/>
      <c r="F1" s="2"/>
      <c r="G1" s="2"/>
      <c r="H1" s="3"/>
      <c r="I1" s="4"/>
      <c r="J1" s="5"/>
      <c r="K1" s="5"/>
      <c r="L1" s="5"/>
      <c r="M1" s="5"/>
      <c r="N1" s="6"/>
      <c r="O1" s="5"/>
      <c r="P1" s="5"/>
      <c r="Q1" s="5"/>
      <c r="R1" s="5"/>
      <c r="S1" s="5"/>
      <c r="T1" s="5"/>
      <c r="U1" s="5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</row>
    <row r="2" spans="1:203" s="7" customFormat="1">
      <c r="A2" s="142"/>
      <c r="B2" s="1"/>
      <c r="C2" s="9"/>
      <c r="D2" s="9" t="s">
        <v>19</v>
      </c>
      <c r="E2" s="9" t="s">
        <v>130</v>
      </c>
      <c r="F2" s="11"/>
      <c r="G2" s="12" t="s">
        <v>20</v>
      </c>
      <c r="H2" s="3"/>
      <c r="I2" s="4"/>
      <c r="J2" s="5"/>
      <c r="K2" s="13"/>
      <c r="L2" s="13"/>
      <c r="M2" s="136"/>
      <c r="N2" s="137"/>
      <c r="O2" s="136" t="s">
        <v>14</v>
      </c>
      <c r="P2" s="136" t="s">
        <v>15</v>
      </c>
      <c r="Q2" s="136" t="s">
        <v>15</v>
      </c>
      <c r="R2" s="136" t="s">
        <v>16</v>
      </c>
      <c r="S2" s="136" t="s">
        <v>14</v>
      </c>
      <c r="T2" s="136" t="s">
        <v>14</v>
      </c>
      <c r="U2" s="5"/>
      <c r="V2" s="4"/>
      <c r="W2" s="10" t="s">
        <v>10</v>
      </c>
      <c r="X2" s="13"/>
      <c r="Y2" s="13"/>
      <c r="Z2" s="13"/>
      <c r="AA2" s="13"/>
      <c r="AB2" s="13"/>
      <c r="AC2" s="14"/>
      <c r="AD2" s="13"/>
      <c r="AE2" s="13"/>
      <c r="AF2" s="13"/>
      <c r="AG2" s="13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FX2" s="209"/>
      <c r="FY2" s="209"/>
      <c r="FZ2" s="209"/>
      <c r="GA2" s="209"/>
      <c r="GB2" s="209"/>
      <c r="GC2" s="220" t="s">
        <v>144</v>
      </c>
      <c r="GD2" s="220"/>
      <c r="GE2" s="220"/>
      <c r="GF2" s="220"/>
      <c r="GG2" s="220"/>
      <c r="GH2" s="220"/>
      <c r="GI2" s="220"/>
      <c r="GJ2" s="209"/>
      <c r="GK2" s="209"/>
      <c r="GL2" s="209"/>
      <c r="GM2" s="209"/>
      <c r="GN2" s="209"/>
      <c r="GO2" s="209"/>
      <c r="GP2" s="209"/>
      <c r="GQ2" s="209"/>
      <c r="GR2" s="209"/>
      <c r="GS2" s="209"/>
      <c r="GT2" s="209"/>
      <c r="GU2" s="209"/>
    </row>
    <row r="3" spans="1:203" s="7" customFormat="1">
      <c r="A3" s="142"/>
      <c r="B3" s="1"/>
      <c r="C3" s="15" t="s">
        <v>21</v>
      </c>
      <c r="D3" s="9" t="s">
        <v>22</v>
      </c>
      <c r="E3" s="9" t="s">
        <v>131</v>
      </c>
      <c r="F3" s="10"/>
      <c r="G3" s="9" t="s">
        <v>22</v>
      </c>
      <c r="H3" s="1"/>
      <c r="I3" s="4"/>
      <c r="J3" s="5"/>
      <c r="K3" s="13"/>
      <c r="L3" s="13"/>
      <c r="M3" s="9" t="s">
        <v>23</v>
      </c>
      <c r="N3" s="9" t="s">
        <v>24</v>
      </c>
      <c r="O3" s="9" t="s">
        <v>25</v>
      </c>
      <c r="P3" s="9" t="s">
        <v>13</v>
      </c>
      <c r="Q3" s="9" t="s">
        <v>26</v>
      </c>
      <c r="R3" s="9" t="s">
        <v>27</v>
      </c>
      <c r="S3" s="9" t="s">
        <v>5</v>
      </c>
      <c r="T3" s="9" t="s">
        <v>4</v>
      </c>
      <c r="U3" s="5"/>
      <c r="V3" s="4"/>
      <c r="W3" s="13" t="s">
        <v>139</v>
      </c>
      <c r="X3" s="9" t="s">
        <v>6</v>
      </c>
      <c r="Y3" s="9" t="s">
        <v>23</v>
      </c>
      <c r="Z3" s="9" t="s">
        <v>7</v>
      </c>
      <c r="AA3" s="9" t="s">
        <v>8</v>
      </c>
      <c r="AB3" s="9"/>
      <c r="AC3" s="9" t="s">
        <v>9</v>
      </c>
      <c r="AD3" s="9" t="s">
        <v>23</v>
      </c>
      <c r="AE3" s="9" t="s">
        <v>7</v>
      </c>
      <c r="AF3" s="9" t="s">
        <v>8</v>
      </c>
      <c r="AG3" s="13"/>
      <c r="AH3" s="4"/>
      <c r="AI3" s="4"/>
      <c r="AJ3" s="4"/>
      <c r="AK3" s="4"/>
      <c r="AL3" s="4"/>
      <c r="AM3" s="4"/>
      <c r="AN3" s="4"/>
      <c r="AO3" s="4"/>
      <c r="AP3" s="16"/>
      <c r="AQ3" s="16"/>
      <c r="AR3" s="16"/>
      <c r="AS3" s="16"/>
      <c r="FX3" s="209"/>
      <c r="FY3" s="210"/>
      <c r="FZ3" s="210"/>
      <c r="GA3" s="210"/>
      <c r="GB3" s="210"/>
      <c r="GC3" s="210"/>
      <c r="GD3" s="210"/>
      <c r="GE3" s="210"/>
      <c r="GF3" s="210"/>
      <c r="GG3" s="210"/>
      <c r="GH3" s="210"/>
      <c r="GI3" s="210"/>
      <c r="GJ3" s="210"/>
      <c r="GK3" s="210"/>
      <c r="GL3" s="210"/>
      <c r="GM3" s="210"/>
      <c r="GN3" s="210"/>
      <c r="GO3" s="210"/>
      <c r="GP3" s="210"/>
      <c r="GQ3" s="210"/>
      <c r="GR3" s="210"/>
      <c r="GS3" s="210"/>
      <c r="GT3" s="210"/>
      <c r="GU3" s="210"/>
    </row>
    <row r="4" spans="1:203" s="7" customFormat="1">
      <c r="A4" s="142"/>
      <c r="B4" s="1"/>
      <c r="C4" s="17">
        <v>39646</v>
      </c>
      <c r="D4" s="18">
        <f>COUNTA(C228:C237)</f>
        <v>10</v>
      </c>
      <c r="E4" s="109">
        <v>10</v>
      </c>
      <c r="F4" s="13"/>
      <c r="G4" s="112">
        <f>COUNTA(AN17:AN1016)</f>
        <v>1000</v>
      </c>
      <c r="H4" s="1"/>
      <c r="I4" s="4"/>
      <c r="J4" s="5"/>
      <c r="K4" s="20" t="s">
        <v>28</v>
      </c>
      <c r="L4" s="13"/>
      <c r="M4" s="130">
        <v>313.10598987995655</v>
      </c>
      <c r="N4" s="130">
        <v>27.106495519502509</v>
      </c>
      <c r="O4" s="130">
        <v>81.105127891211396</v>
      </c>
      <c r="P4" s="130">
        <v>195.92517266378024</v>
      </c>
      <c r="Q4" s="130">
        <v>27.940598733721671</v>
      </c>
      <c r="R4" s="130">
        <v>242.00724885835891</v>
      </c>
      <c r="S4" s="131">
        <v>12.508683732273795</v>
      </c>
      <c r="T4" s="131">
        <v>12.670914640993448</v>
      </c>
      <c r="U4" s="5"/>
      <c r="V4" s="4"/>
      <c r="W4" s="127">
        <f t="shared" ref="W4:W13" si="0">C4</f>
        <v>39646</v>
      </c>
      <c r="X4" s="132">
        <f>AVERAGE(EK88:EK97)</f>
        <v>123.95833333333333</v>
      </c>
      <c r="Y4" s="131">
        <f>COUNT(EK88:EK97)</f>
        <v>10</v>
      </c>
      <c r="Z4" s="130">
        <f>STDEV(EK88:EK97)</f>
        <v>75.985360939857969</v>
      </c>
      <c r="AA4" s="130">
        <f>Z4/SQRT(Y4)</f>
        <v>24.028680939994381</v>
      </c>
      <c r="AB4" s="131"/>
      <c r="AC4" s="130">
        <f>AVERAGE($FU88:$FU97)</f>
        <v>50.061380803400098</v>
      </c>
      <c r="AD4" s="132">
        <f>COUNT($FU88:$FU97)</f>
        <v>10</v>
      </c>
      <c r="AE4" s="130">
        <f>STDEV($FU88:$FU97)</f>
        <v>64.434787811958969</v>
      </c>
      <c r="AF4" s="130">
        <f>AE4/SQRT(AD4)</f>
        <v>20.37606900354476</v>
      </c>
      <c r="AG4" s="13"/>
      <c r="AH4" s="4"/>
      <c r="AI4" s="4"/>
      <c r="AJ4" s="4"/>
      <c r="AK4" s="4"/>
      <c r="AL4" s="4"/>
      <c r="AM4" s="4"/>
      <c r="AN4" s="4"/>
      <c r="AO4" s="4"/>
      <c r="AP4" s="16"/>
      <c r="AQ4" s="16"/>
      <c r="AR4" s="16"/>
      <c r="AS4" s="16"/>
      <c r="FG4" s="5"/>
      <c r="FH4" s="5"/>
      <c r="FI4" s="5"/>
      <c r="FJ4" s="221" t="s">
        <v>146</v>
      </c>
      <c r="FK4" s="221"/>
      <c r="FL4" s="221"/>
      <c r="FM4" s="221"/>
      <c r="FN4" s="5"/>
      <c r="FO4" s="5"/>
      <c r="FP4" s="5"/>
      <c r="FQ4" s="5"/>
      <c r="FR4" s="221"/>
      <c r="FS4" s="221"/>
      <c r="FT4" s="221"/>
      <c r="FU4" s="221"/>
      <c r="FV4" s="5"/>
      <c r="FW4" s="5"/>
      <c r="FX4" s="209"/>
      <c r="FY4" s="211" t="s">
        <v>145</v>
      </c>
      <c r="FZ4" s="212">
        <f>C4</f>
        <v>39646</v>
      </c>
      <c r="GA4" s="212">
        <f>C5</f>
        <v>39673</v>
      </c>
      <c r="GB4" s="212">
        <f>C6</f>
        <v>39714</v>
      </c>
      <c r="GC4" s="212">
        <f>C7</f>
        <v>39747</v>
      </c>
      <c r="GD4" s="212">
        <f>C8</f>
        <v>39775</v>
      </c>
      <c r="GE4" s="212">
        <f>C9</f>
        <v>39799</v>
      </c>
      <c r="GF4" s="212">
        <f>C10</f>
        <v>39847</v>
      </c>
      <c r="GG4" s="212">
        <f>C11</f>
        <v>39910</v>
      </c>
      <c r="GH4" s="212">
        <f>C12</f>
        <v>39949</v>
      </c>
      <c r="GI4" s="212">
        <f>C13</f>
        <v>39987</v>
      </c>
      <c r="GJ4" s="211"/>
      <c r="GK4" s="212">
        <v>39646</v>
      </c>
      <c r="GL4" s="212">
        <v>39673</v>
      </c>
      <c r="GM4" s="212">
        <v>39714</v>
      </c>
      <c r="GN4" s="212">
        <v>39747</v>
      </c>
      <c r="GO4" s="212">
        <v>39775</v>
      </c>
      <c r="GP4" s="212">
        <v>39799</v>
      </c>
      <c r="GQ4" s="212">
        <v>39847</v>
      </c>
      <c r="GR4" s="212">
        <v>39910</v>
      </c>
      <c r="GS4" s="212">
        <v>39949</v>
      </c>
      <c r="GT4" s="212">
        <v>39987</v>
      </c>
      <c r="GU4" s="211" t="s">
        <v>145</v>
      </c>
    </row>
    <row r="5" spans="1:203" s="7" customFormat="1">
      <c r="A5" s="142"/>
      <c r="B5" s="1"/>
      <c r="C5" s="17">
        <v>39673</v>
      </c>
      <c r="D5" s="18">
        <f>COUNTA(C238:C247)</f>
        <v>10</v>
      </c>
      <c r="E5" s="109">
        <v>10</v>
      </c>
      <c r="F5" s="10"/>
      <c r="G5" s="9"/>
      <c r="H5" s="1"/>
      <c r="I5" s="4"/>
      <c r="J5" s="5"/>
      <c r="K5" s="20" t="s">
        <v>29</v>
      </c>
      <c r="L5" s="13"/>
      <c r="M5" s="130">
        <f t="shared" ref="M5:T5" si="1">AVERAGE(AN17:AN1016)</f>
        <v>314.09169653477096</v>
      </c>
      <c r="N5" s="130">
        <f t="shared" si="1"/>
        <v>27.141935042837577</v>
      </c>
      <c r="O5" s="130">
        <f t="shared" si="1"/>
        <v>89.06458429900772</v>
      </c>
      <c r="P5" s="130">
        <f t="shared" si="1"/>
        <v>196.07307106404474</v>
      </c>
      <c r="Q5" s="130">
        <f t="shared" si="1"/>
        <v>27.963081967963259</v>
      </c>
      <c r="R5" s="130">
        <f t="shared" si="1"/>
        <v>252.6219508406588</v>
      </c>
      <c r="S5" s="131" t="e">
        <f t="shared" si="1"/>
        <v>#DIV/0!</v>
      </c>
      <c r="T5" s="131" t="e">
        <f t="shared" si="1"/>
        <v>#DIV/0!</v>
      </c>
      <c r="U5" s="5"/>
      <c r="V5" s="4"/>
      <c r="W5" s="127">
        <f t="shared" si="0"/>
        <v>39673</v>
      </c>
      <c r="X5" s="132">
        <f>AVERAGE(EK98:EK107)</f>
        <v>101.33928258928572</v>
      </c>
      <c r="Y5" s="131">
        <f>COUNT(EK98:EK107)</f>
        <v>10</v>
      </c>
      <c r="Z5" s="130">
        <f>STDEV(EK98:EK107)</f>
        <v>164.72503125153159</v>
      </c>
      <c r="AA5" s="130">
        <f t="shared" ref="AA5:AA13" si="2">Z5/SQRT(Y5)</f>
        <v>52.090628639725644</v>
      </c>
      <c r="AB5" s="131"/>
      <c r="AC5" s="130">
        <f>AVERAGE($FU98:$FU107)</f>
        <v>55.512091988296071</v>
      </c>
      <c r="AD5" s="132">
        <f>COUNT($FU98:$FU107)</f>
        <v>10</v>
      </c>
      <c r="AE5" s="130">
        <f>STDEV($FU98:$FU107)</f>
        <v>86.375601144185126</v>
      </c>
      <c r="AF5" s="130">
        <f t="shared" ref="AF5:AF13" si="3">AE5/SQRT(AD5)</f>
        <v>27.31436338818709</v>
      </c>
      <c r="AG5" s="13"/>
      <c r="AH5" s="4"/>
      <c r="AI5" s="4"/>
      <c r="AJ5" s="4"/>
      <c r="AK5" s="4"/>
      <c r="AL5" s="4"/>
      <c r="AM5" s="4"/>
      <c r="AN5" s="4"/>
      <c r="AO5" s="4"/>
      <c r="AP5" s="16"/>
      <c r="AQ5" s="16"/>
      <c r="AR5" s="16"/>
      <c r="AS5" s="16"/>
      <c r="FG5" s="5"/>
      <c r="FH5" s="13"/>
      <c r="FI5" s="13"/>
      <c r="FJ5" s="216"/>
      <c r="FK5" s="137"/>
      <c r="FL5" s="216"/>
      <c r="FM5" s="216"/>
      <c r="FN5" s="216"/>
      <c r="FO5" s="5"/>
      <c r="FP5" s="13"/>
      <c r="FQ5" s="13"/>
      <c r="FR5" s="216"/>
      <c r="FS5" s="137"/>
      <c r="FT5" s="216"/>
      <c r="FU5" s="216"/>
      <c r="FV5" s="216"/>
      <c r="FW5" s="5"/>
      <c r="FX5" s="209"/>
      <c r="FY5" s="209"/>
      <c r="FZ5" s="209"/>
      <c r="GA5" s="209"/>
      <c r="GB5" s="209"/>
      <c r="GC5" s="209"/>
      <c r="GD5" s="209"/>
      <c r="GE5" s="209"/>
      <c r="GF5" s="209"/>
      <c r="GG5" s="209"/>
      <c r="GH5" s="209"/>
      <c r="GI5" s="209"/>
      <c r="GJ5" s="209"/>
      <c r="GK5" s="209"/>
      <c r="GL5" s="209"/>
      <c r="GM5" s="209"/>
      <c r="GN5" s="209"/>
      <c r="GO5" s="209"/>
      <c r="GP5" s="209"/>
      <c r="GQ5" s="209"/>
      <c r="GR5" s="209"/>
      <c r="GS5" s="209"/>
      <c r="GT5" s="209"/>
      <c r="GU5" s="209"/>
    </row>
    <row r="6" spans="1:203" s="7" customFormat="1">
      <c r="A6" s="144"/>
      <c r="B6" s="1"/>
      <c r="C6" s="17">
        <v>39714</v>
      </c>
      <c r="D6" s="18">
        <f>COUNTA(C248:C257)</f>
        <v>10</v>
      </c>
      <c r="E6" s="109">
        <v>10</v>
      </c>
      <c r="F6" s="10"/>
      <c r="G6" s="9"/>
      <c r="H6" s="1"/>
      <c r="I6" s="4"/>
      <c r="J6" s="5"/>
      <c r="K6" s="20" t="s">
        <v>127</v>
      </c>
      <c r="L6" s="13"/>
      <c r="M6" s="130">
        <f t="shared" ref="M6:T6" si="4">PERCENTILE(AN17:AN1016, 0.975)</f>
        <v>405.06687297298635</v>
      </c>
      <c r="N6" s="130">
        <f t="shared" si="4"/>
        <v>36.434471671764214</v>
      </c>
      <c r="O6" s="130">
        <f t="shared" si="4"/>
        <v>138.76130298531257</v>
      </c>
      <c r="P6" s="130">
        <f t="shared" si="4"/>
        <v>272.55372738080018</v>
      </c>
      <c r="Q6" s="130">
        <f t="shared" si="4"/>
        <v>36.646294963878688</v>
      </c>
      <c r="R6" s="130">
        <f t="shared" si="4"/>
        <v>330.363718664467</v>
      </c>
      <c r="S6" s="130" t="e">
        <f t="shared" si="4"/>
        <v>#DIV/0!</v>
      </c>
      <c r="T6" s="130" t="e">
        <f t="shared" si="4"/>
        <v>#DIV/0!</v>
      </c>
      <c r="U6" s="5"/>
      <c r="V6" s="4"/>
      <c r="W6" s="127">
        <f t="shared" si="0"/>
        <v>39714</v>
      </c>
      <c r="X6" s="132">
        <f>AVERAGE(EK108:EK117)</f>
        <v>178.28761040706604</v>
      </c>
      <c r="Y6" s="131">
        <f>COUNT(EK108:EK117)</f>
        <v>10</v>
      </c>
      <c r="Z6" s="130">
        <f>STDEV(EK108:EK117)</f>
        <v>268.58447867396194</v>
      </c>
      <c r="AA6" s="130">
        <f t="shared" si="2"/>
        <v>84.933869677864024</v>
      </c>
      <c r="AB6" s="131"/>
      <c r="AC6" s="130">
        <f>AVERAGE($FU108:$FU117)</f>
        <v>50.038385766448684</v>
      </c>
      <c r="AD6" s="132">
        <f>COUNT($FU108:$FU117)</f>
        <v>10</v>
      </c>
      <c r="AE6" s="130">
        <f>STDEV($FU108:$FU117)</f>
        <v>90.202972019257729</v>
      </c>
      <c r="AF6" s="130">
        <f t="shared" si="3"/>
        <v>28.524684329729212</v>
      </c>
      <c r="AG6" s="13"/>
      <c r="AH6" s="4"/>
      <c r="AI6" s="4"/>
      <c r="AJ6" s="4"/>
      <c r="AK6" s="4"/>
      <c r="AL6" s="4"/>
      <c r="AM6" s="4"/>
      <c r="AN6" s="4"/>
      <c r="AO6" s="4"/>
      <c r="AP6" s="16"/>
      <c r="AQ6" s="16"/>
      <c r="AR6" s="16"/>
      <c r="AS6" s="16"/>
      <c r="FG6" s="5"/>
      <c r="FH6" s="13"/>
      <c r="FI6" s="222" t="s">
        <v>147</v>
      </c>
      <c r="FJ6" s="222"/>
      <c r="FK6" s="223" t="s">
        <v>148</v>
      </c>
      <c r="FL6" s="223"/>
      <c r="FM6" s="223" t="s">
        <v>149</v>
      </c>
      <c r="FN6" s="223"/>
      <c r="FO6" s="5"/>
      <c r="FP6" s="13"/>
      <c r="FQ6" s="222" t="s">
        <v>147</v>
      </c>
      <c r="FR6" s="222"/>
      <c r="FS6" s="223" t="s">
        <v>148</v>
      </c>
      <c r="FT6" s="223"/>
      <c r="FU6" s="223" t="s">
        <v>149</v>
      </c>
      <c r="FV6" s="223"/>
      <c r="FW6" s="5"/>
      <c r="FY6" s="213">
        <v>1</v>
      </c>
      <c r="FZ6">
        <v>82.041612119382236</v>
      </c>
      <c r="GA6">
        <v>84.448598709532362</v>
      </c>
      <c r="GB6">
        <v>16.110749157312565</v>
      </c>
      <c r="GC6">
        <v>5.9453693264615275</v>
      </c>
      <c r="GD6">
        <v>4.0686503806641952</v>
      </c>
      <c r="GE6">
        <v>3.6525831644852889</v>
      </c>
      <c r="GF6">
        <v>37.531901051802443</v>
      </c>
      <c r="GG6">
        <v>33.108474388655459</v>
      </c>
      <c r="GH6">
        <v>11.844106188715848</v>
      </c>
      <c r="GI6">
        <v>27.799160056339133</v>
      </c>
      <c r="GJ6"/>
      <c r="GK6"/>
      <c r="GL6"/>
      <c r="GM6"/>
      <c r="GN6" s="208"/>
      <c r="GO6" s="208"/>
      <c r="GP6" s="208"/>
      <c r="GQ6" s="208"/>
      <c r="GR6" s="208"/>
      <c r="GS6" s="208"/>
      <c r="GT6" s="208"/>
      <c r="GU6" s="213">
        <v>1</v>
      </c>
    </row>
    <row r="7" spans="1:203" s="7" customFormat="1">
      <c r="A7" s="143"/>
      <c r="B7" s="1"/>
      <c r="C7" s="17">
        <v>39747</v>
      </c>
      <c r="D7" s="18">
        <f>COUNTA(C258:C267)</f>
        <v>10</v>
      </c>
      <c r="E7" s="109">
        <v>10</v>
      </c>
      <c r="F7" s="10"/>
      <c r="G7" s="9"/>
      <c r="H7" s="1"/>
      <c r="I7" s="4"/>
      <c r="J7" s="5"/>
      <c r="K7" s="10" t="s">
        <v>128</v>
      </c>
      <c r="L7" s="13"/>
      <c r="M7" s="130">
        <f t="shared" ref="M7:T7" si="5">PERCENTILE(AN17:AN1016, 0.025)</f>
        <v>226.57261709460457</v>
      </c>
      <c r="N7" s="130">
        <f t="shared" si="5"/>
        <v>18.26687438763555</v>
      </c>
      <c r="O7" s="130">
        <f t="shared" si="5"/>
        <v>48.067482834904091</v>
      </c>
      <c r="P7" s="130">
        <f t="shared" si="5"/>
        <v>126.41274990246639</v>
      </c>
      <c r="Q7" s="130">
        <f t="shared" si="5"/>
        <v>19.026246278175389</v>
      </c>
      <c r="R7" s="130">
        <f t="shared" si="5"/>
        <v>184.56748681294624</v>
      </c>
      <c r="S7" s="130" t="e">
        <f t="shared" si="5"/>
        <v>#DIV/0!</v>
      </c>
      <c r="T7" s="130" t="e">
        <f t="shared" si="5"/>
        <v>#DIV/0!</v>
      </c>
      <c r="U7" s="5"/>
      <c r="V7" s="4"/>
      <c r="W7" s="127">
        <f t="shared" si="0"/>
        <v>39747</v>
      </c>
      <c r="X7" s="132">
        <f>AVERAGE(EK118:EK127)</f>
        <v>495.32671517926985</v>
      </c>
      <c r="Y7" s="131">
        <f>COUNT(EK118:EK127)</f>
        <v>10</v>
      </c>
      <c r="Z7" s="130">
        <f>STDEV(EK118:EK127)</f>
        <v>265.42483306584688</v>
      </c>
      <c r="AA7" s="130">
        <f t="shared" si="2"/>
        <v>83.934702005804894</v>
      </c>
      <c r="AB7" s="131"/>
      <c r="AC7" s="130">
        <f>AVERAGE($FU118:$FU127)</f>
        <v>8.4348969831387866</v>
      </c>
      <c r="AD7" s="132">
        <f>COUNT($FU118:$FU127)</f>
        <v>10</v>
      </c>
      <c r="AE7" s="130">
        <f>STDEV($FU118:$FU127)</f>
        <v>6.2446314584353999</v>
      </c>
      <c r="AF7" s="130">
        <f t="shared" si="3"/>
        <v>1.9747258556994949</v>
      </c>
      <c r="AG7" s="13"/>
      <c r="AH7" s="4"/>
      <c r="AI7" s="4"/>
      <c r="AJ7" s="4"/>
      <c r="AK7" s="4"/>
      <c r="AL7" s="4"/>
      <c r="AM7" s="4"/>
      <c r="AN7" s="4"/>
      <c r="AO7" s="4"/>
      <c r="AP7" s="16"/>
      <c r="AQ7" s="16"/>
      <c r="AR7" s="16"/>
      <c r="AS7" s="16"/>
      <c r="FG7" s="5"/>
      <c r="FH7" s="214">
        <f t="shared" ref="FH7:FH16" si="6">C4</f>
        <v>39646</v>
      </c>
      <c r="FI7" s="224">
        <f>AVERAGE(FZ6:FZ1005)</f>
        <v>48.09635264626646</v>
      </c>
      <c r="FJ7" s="225"/>
      <c r="FK7" s="225">
        <f>PERCENTILE($FZ$6:$FZ$1005,0.975)</f>
        <v>78.504262307082143</v>
      </c>
      <c r="FL7" s="225"/>
      <c r="FM7" s="225">
        <f>PERCENTILE($FZ$6:$FZ$1005,0.025)</f>
        <v>23.899060866327027</v>
      </c>
      <c r="FN7" s="225"/>
      <c r="FO7" s="5"/>
      <c r="FP7" s="214">
        <v>39646</v>
      </c>
      <c r="FQ7" s="224" t="e">
        <f>AVERAGE(GK6:GK1005)</f>
        <v>#DIV/0!</v>
      </c>
      <c r="FR7" s="225"/>
      <c r="FS7" s="225" t="e">
        <f>PERCENTILE($GK$6:$GK$1005,0.975)</f>
        <v>#NUM!</v>
      </c>
      <c r="FT7" s="225"/>
      <c r="FU7" s="225" t="e">
        <f>PERCENTILE($GK$6:$GK$1005,0.025)</f>
        <v>#NUM!</v>
      </c>
      <c r="FV7" s="225"/>
      <c r="FW7" s="5"/>
      <c r="FY7" s="213">
        <v>2</v>
      </c>
      <c r="FZ7">
        <v>17.490335841824699</v>
      </c>
      <c r="GA7">
        <v>31.669034504829511</v>
      </c>
      <c r="GB7">
        <v>12.322336404985693</v>
      </c>
      <c r="GC7">
        <v>4.5356108818339012</v>
      </c>
      <c r="GD7">
        <v>3.4188741681119623</v>
      </c>
      <c r="GE7">
        <v>3.1769094010294325</v>
      </c>
      <c r="GF7">
        <v>16.440864079726854</v>
      </c>
      <c r="GG7">
        <v>15.8778754512196</v>
      </c>
      <c r="GH7">
        <v>15.60508273988096</v>
      </c>
      <c r="GI7">
        <v>13.691327059296993</v>
      </c>
      <c r="GJ7"/>
      <c r="GK7"/>
      <c r="GL7"/>
      <c r="GM7"/>
      <c r="GN7" s="208"/>
      <c r="GO7" s="208"/>
      <c r="GP7" s="208"/>
      <c r="GQ7" s="208"/>
      <c r="GR7" s="208"/>
      <c r="GS7" s="208"/>
      <c r="GT7" s="208"/>
      <c r="GU7" s="213">
        <v>2</v>
      </c>
    </row>
    <row r="8" spans="1:203" s="7" customFormat="1">
      <c r="A8" s="143"/>
      <c r="B8" s="1"/>
      <c r="C8" s="17">
        <v>39775</v>
      </c>
      <c r="D8" s="18">
        <f>COUNTA(C268:C277)</f>
        <v>10</v>
      </c>
      <c r="E8" s="109">
        <v>10</v>
      </c>
      <c r="F8" s="10"/>
      <c r="G8" s="9"/>
      <c r="H8" s="1"/>
      <c r="I8" s="4"/>
      <c r="J8" s="5"/>
      <c r="K8" s="5"/>
      <c r="L8" s="5"/>
      <c r="M8" s="5"/>
      <c r="N8" s="6"/>
      <c r="O8" s="24"/>
      <c r="P8" s="25"/>
      <c r="Q8" s="26"/>
      <c r="R8" s="26"/>
      <c r="S8" s="5"/>
      <c r="T8" s="5"/>
      <c r="U8" s="5"/>
      <c r="V8" s="4"/>
      <c r="W8" s="127">
        <f t="shared" si="0"/>
        <v>39775</v>
      </c>
      <c r="X8" s="132">
        <f>AVERAGE(EK128:EK137)</f>
        <v>635.8397603189635</v>
      </c>
      <c r="Y8" s="131">
        <f>COUNT(EK128:EK137)</f>
        <v>10</v>
      </c>
      <c r="Z8" s="130">
        <f>STDEV(EK128:EK137)</f>
        <v>642.8011604521696</v>
      </c>
      <c r="AA8" s="130">
        <f t="shared" si="2"/>
        <v>203.27157496282058</v>
      </c>
      <c r="AB8" s="131"/>
      <c r="AC8" s="130">
        <f>AVERAGE($FU128:$FU137)</f>
        <v>28.262991107710711</v>
      </c>
      <c r="AD8" s="132">
        <f>COUNT($FU128:$FU137)</f>
        <v>10</v>
      </c>
      <c r="AE8" s="130">
        <f>STDEV($FU128:$FU137)</f>
        <v>27.387789673811383</v>
      </c>
      <c r="AF8" s="130">
        <f t="shared" si="3"/>
        <v>8.6607795446883955</v>
      </c>
      <c r="AG8" s="13"/>
      <c r="AH8" s="4"/>
      <c r="AI8" s="4"/>
      <c r="AJ8" s="4"/>
      <c r="AK8" s="4"/>
      <c r="AL8" s="4"/>
      <c r="AM8" s="4"/>
      <c r="AN8" s="4"/>
      <c r="AO8" s="4"/>
      <c r="AP8" s="16"/>
      <c r="AQ8" s="16"/>
      <c r="AR8" s="16"/>
      <c r="AS8" s="16"/>
      <c r="FG8" s="5"/>
      <c r="FH8" s="214">
        <f t="shared" si="6"/>
        <v>39673</v>
      </c>
      <c r="FI8" s="217">
        <f>AVERAGE(GA6:GA1005)</f>
        <v>53.122063132400932</v>
      </c>
      <c r="FJ8" s="218"/>
      <c r="FK8" s="218">
        <f>PERCENTILE($GA$6:$GA$1005,0.975)</f>
        <v>91.89229734687099</v>
      </c>
      <c r="FL8" s="218"/>
      <c r="FM8" s="218">
        <f>PERCENTILE($GA$6:$GA$1005,0.025)</f>
        <v>19.389255552306704</v>
      </c>
      <c r="FN8" s="218"/>
      <c r="FO8" s="5"/>
      <c r="FP8" s="214">
        <v>39673</v>
      </c>
      <c r="FQ8" s="224" t="e">
        <f t="shared" ref="FQ8:FQ16" si="7">AVERAGE(GK7:GT1006)</f>
        <v>#DIV/0!</v>
      </c>
      <c r="FR8" s="225"/>
      <c r="FS8" s="218" t="e">
        <f>PERCENTILE($GL$6:$GL$1005,0.975)</f>
        <v>#NUM!</v>
      </c>
      <c r="FT8" s="218"/>
      <c r="FU8" s="218" t="e">
        <f>PERCENTILE($GL$6:$GL$1005,0.025)</f>
        <v>#NUM!</v>
      </c>
      <c r="FV8" s="218"/>
      <c r="FW8" s="5"/>
      <c r="FY8" s="213">
        <v>3</v>
      </c>
      <c r="FZ8">
        <v>38.234161980766551</v>
      </c>
      <c r="GA8">
        <v>41.854791097068741</v>
      </c>
      <c r="GB8">
        <v>12.597534373680029</v>
      </c>
      <c r="GC8">
        <v>9.8246815616281271</v>
      </c>
      <c r="GD8">
        <v>8.7018900745522689</v>
      </c>
      <c r="GE8">
        <v>6.7828166051185157</v>
      </c>
      <c r="GF8">
        <v>7.4873429346494529</v>
      </c>
      <c r="GG8">
        <v>7.9581904656688769</v>
      </c>
      <c r="GH8">
        <v>23.118938805847073</v>
      </c>
      <c r="GI8">
        <v>19.240309843295769</v>
      </c>
      <c r="GJ8"/>
      <c r="GK8"/>
      <c r="GL8"/>
      <c r="GM8"/>
      <c r="GN8" s="208"/>
      <c r="GO8" s="208"/>
      <c r="GP8" s="208"/>
      <c r="GQ8" s="208"/>
      <c r="GR8" s="208"/>
      <c r="GS8" s="208"/>
      <c r="GT8" s="208"/>
      <c r="GU8" s="213">
        <v>3</v>
      </c>
    </row>
    <row r="9" spans="1:203" s="7" customFormat="1">
      <c r="A9" s="143"/>
      <c r="B9" s="1"/>
      <c r="C9" s="17">
        <v>39799</v>
      </c>
      <c r="D9" s="18">
        <f>COUNTA(C278:C287)</f>
        <v>10</v>
      </c>
      <c r="E9" s="109">
        <v>10</v>
      </c>
      <c r="F9" s="10"/>
      <c r="G9" s="9"/>
      <c r="H9" s="1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127">
        <f t="shared" si="0"/>
        <v>39799</v>
      </c>
      <c r="X9" s="132">
        <f>AVERAGE(EK138:EK147)</f>
        <v>314.24904680932383</v>
      </c>
      <c r="Y9" s="131">
        <f>COUNT(EK138:EK147)</f>
        <v>10</v>
      </c>
      <c r="Z9" s="130">
        <f>STDEV(EK138:EK147)</f>
        <v>436.32491033152257</v>
      </c>
      <c r="AA9" s="130">
        <f t="shared" si="2"/>
        <v>137.9780516516345</v>
      </c>
      <c r="AB9" s="131"/>
      <c r="AC9" s="130">
        <f>AVERAGE($FU138:$FU147)</f>
        <v>12.235994031355069</v>
      </c>
      <c r="AD9" s="132">
        <f>COUNT($FU138:$FU147)</f>
        <v>10</v>
      </c>
      <c r="AE9" s="130">
        <f>STDEV($FU138:$FU147)</f>
        <v>16.15871165284987</v>
      </c>
      <c r="AF9" s="130">
        <f t="shared" si="3"/>
        <v>5.1098332876909609</v>
      </c>
      <c r="AG9" s="13"/>
      <c r="AH9" s="4"/>
      <c r="AI9" s="4"/>
      <c r="AJ9" s="4"/>
      <c r="AK9" s="4"/>
      <c r="AL9" s="4"/>
      <c r="AM9" s="4"/>
      <c r="AN9" s="4"/>
      <c r="AO9" s="4"/>
      <c r="AP9" s="16"/>
      <c r="AQ9" s="16"/>
      <c r="AR9" s="16"/>
      <c r="AS9" s="16"/>
      <c r="FG9" s="5"/>
      <c r="FH9" s="214">
        <f t="shared" si="6"/>
        <v>39714</v>
      </c>
      <c r="FI9" s="217">
        <f>AVERAGE(GB6:GB1005)</f>
        <v>12.329047462656041</v>
      </c>
      <c r="FJ9" s="218"/>
      <c r="FK9" s="218">
        <f>PERCENTILE($GB$6:$GB$1005,0.975)</f>
        <v>23.901971144442673</v>
      </c>
      <c r="FL9" s="218"/>
      <c r="FM9" s="218">
        <f>PERCENTILE($GB$6:$GB$1005,0.025)</f>
        <v>3.7942212643775179</v>
      </c>
      <c r="FN9" s="218"/>
      <c r="FO9" s="5"/>
      <c r="FP9" s="214">
        <v>39714</v>
      </c>
      <c r="FQ9" s="224" t="e">
        <f t="shared" si="7"/>
        <v>#DIV/0!</v>
      </c>
      <c r="FR9" s="225"/>
      <c r="FS9" s="218" t="e">
        <f>PERCENTILE($GM$6:$GM$1005,0.975)</f>
        <v>#NUM!</v>
      </c>
      <c r="FT9" s="218"/>
      <c r="FU9" s="218" t="e">
        <f>PERCENTILE($GM$6:$GM$1005,0.025)</f>
        <v>#NUM!</v>
      </c>
      <c r="FV9" s="218"/>
      <c r="FW9" s="5"/>
      <c r="FY9" s="213">
        <v>4</v>
      </c>
      <c r="FZ9">
        <v>35.69783595683554</v>
      </c>
      <c r="GA9">
        <v>45.129761400269992</v>
      </c>
      <c r="GB9">
        <v>7.8622757350881489</v>
      </c>
      <c r="GC9">
        <v>5.798227100488031</v>
      </c>
      <c r="GD9">
        <v>5.2239814705728298</v>
      </c>
      <c r="GE9">
        <v>4.2223302209575735</v>
      </c>
      <c r="GF9">
        <v>2.7160960055994261</v>
      </c>
      <c r="GG9">
        <v>5.7542353828872308</v>
      </c>
      <c r="GH9">
        <v>14.556619613362482</v>
      </c>
      <c r="GI9">
        <v>13.324793547014989</v>
      </c>
      <c r="GJ9"/>
      <c r="GK9"/>
      <c r="GL9"/>
      <c r="GM9"/>
      <c r="GN9" s="208"/>
      <c r="GO9" s="208"/>
      <c r="GP9" s="208"/>
      <c r="GQ9" s="208"/>
      <c r="GR9" s="208"/>
      <c r="GS9" s="208"/>
      <c r="GT9" s="208"/>
      <c r="GU9" s="213">
        <v>4</v>
      </c>
    </row>
    <row r="10" spans="1:203" s="7" customFormat="1">
      <c r="A10" s="143"/>
      <c r="B10" s="2"/>
      <c r="C10" s="17">
        <v>39847</v>
      </c>
      <c r="D10" s="18">
        <f>COUNTA(C288:C297)</f>
        <v>10</v>
      </c>
      <c r="E10" s="109">
        <v>10</v>
      </c>
      <c r="F10" s="10"/>
      <c r="G10" s="10"/>
      <c r="H10" s="1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127">
        <f t="shared" si="0"/>
        <v>39847</v>
      </c>
      <c r="X10" s="132">
        <f>AVERAGE(EK148:EK157)</f>
        <v>299.39236111111114</v>
      </c>
      <c r="Y10" s="131">
        <f>COUNT(EK148:EK157)</f>
        <v>10</v>
      </c>
      <c r="Z10" s="130">
        <f>STDEV(EK148:EK157)</f>
        <v>714.61313609318847</v>
      </c>
      <c r="AA10" s="130">
        <f t="shared" si="2"/>
        <v>225.98051559303556</v>
      </c>
      <c r="AB10" s="131"/>
      <c r="AC10" s="130">
        <f>AVERAGE($FU148:$FU157)</f>
        <v>8.1076168589603235</v>
      </c>
      <c r="AD10" s="132">
        <f>COUNT($FU148:$FU157)</f>
        <v>10</v>
      </c>
      <c r="AE10" s="130">
        <f>STDEV($FU148:$FU157)</f>
        <v>16.554970035332424</v>
      </c>
      <c r="AF10" s="130">
        <f t="shared" si="3"/>
        <v>5.2351411907488643</v>
      </c>
      <c r="AG10" s="13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FG10" s="5"/>
      <c r="FH10" s="214">
        <f t="shared" si="6"/>
        <v>39747</v>
      </c>
      <c r="FI10" s="217">
        <f>AVERAGE(GC6:GC1005)</f>
        <v>6.117252455200787</v>
      </c>
      <c r="FJ10" s="218"/>
      <c r="FK10" s="218">
        <f>PERCENTILE($GC$6:$GC$1005,0.975)</f>
        <v>9.3144253610063714</v>
      </c>
      <c r="FL10" s="218"/>
      <c r="FM10" s="218">
        <f>PERCENTILE($GC$6:$GC$1005,0.025)</f>
        <v>3.9412799082107624</v>
      </c>
      <c r="FN10" s="218"/>
      <c r="FO10" s="5"/>
      <c r="FP10" s="214">
        <v>39747</v>
      </c>
      <c r="FQ10" s="224" t="e">
        <f t="shared" si="7"/>
        <v>#DIV/0!</v>
      </c>
      <c r="FR10" s="225"/>
      <c r="FS10" s="218" t="e">
        <f>PERCENTILE($GN$6:$GN$1005,0.975)</f>
        <v>#NUM!</v>
      </c>
      <c r="FT10" s="218"/>
      <c r="FU10" s="218" t="e">
        <f>PERCENTILE($GN$6:$GN$1005,0.025)</f>
        <v>#NUM!</v>
      </c>
      <c r="FV10" s="218"/>
      <c r="FW10" s="5"/>
      <c r="FY10" s="213">
        <v>5</v>
      </c>
      <c r="FZ10">
        <v>62.511402961813502</v>
      </c>
      <c r="GA10">
        <v>43.47287006103835</v>
      </c>
      <c r="GB10">
        <v>13.080205876946987</v>
      </c>
      <c r="GC10">
        <v>8.4672985803691834</v>
      </c>
      <c r="GD10">
        <v>6.035219430949212</v>
      </c>
      <c r="GE10">
        <v>4.5647533319823603</v>
      </c>
      <c r="GF10">
        <v>28.034984242481258</v>
      </c>
      <c r="GG10">
        <v>24.991136864558392</v>
      </c>
      <c r="GH10">
        <v>15.156935782375871</v>
      </c>
      <c r="GI10">
        <v>23.768592567510161</v>
      </c>
      <c r="GJ10"/>
      <c r="GK10"/>
      <c r="GL10"/>
      <c r="GM10"/>
      <c r="GN10" s="208"/>
      <c r="GO10" s="208"/>
      <c r="GP10" s="208"/>
      <c r="GQ10" s="208"/>
      <c r="GR10" s="208"/>
      <c r="GS10" s="208"/>
      <c r="GT10" s="208"/>
      <c r="GU10" s="213">
        <v>5</v>
      </c>
    </row>
    <row r="11" spans="1:203" s="7" customFormat="1">
      <c r="A11" s="143"/>
      <c r="B11" s="2"/>
      <c r="C11" s="17">
        <v>39910</v>
      </c>
      <c r="D11" s="19">
        <f>COUNTA(C298:C307)</f>
        <v>10</v>
      </c>
      <c r="E11" s="109">
        <v>10</v>
      </c>
      <c r="F11" s="13"/>
      <c r="G11" s="13"/>
      <c r="H11" s="1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127">
        <f t="shared" si="0"/>
        <v>39910</v>
      </c>
      <c r="X11" s="132">
        <f>AVERAGE(EK158:EK167)</f>
        <v>603.28099838969399</v>
      </c>
      <c r="Y11" s="131">
        <f>COUNT(EK158:EK167)</f>
        <v>10</v>
      </c>
      <c r="Z11" s="130">
        <f>STDEV(EK158:EK167)</f>
        <v>912.62738552521432</v>
      </c>
      <c r="AA11" s="130">
        <f t="shared" si="2"/>
        <v>288.59811933042602</v>
      </c>
      <c r="AB11" s="131"/>
      <c r="AC11" s="130">
        <f>AVERAGE($FU158:$FU167)</f>
        <v>34.643639945637474</v>
      </c>
      <c r="AD11" s="132">
        <f>COUNT($FU158:$FU167)</f>
        <v>10</v>
      </c>
      <c r="AE11" s="130">
        <f>STDEV($FU158:$FU167)</f>
        <v>56.045601962038241</v>
      </c>
      <c r="AF11" s="130">
        <f t="shared" si="3"/>
        <v>17.72317550352426</v>
      </c>
      <c r="AG11" s="13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FG11" s="5"/>
      <c r="FH11" s="214">
        <f t="shared" si="6"/>
        <v>39775</v>
      </c>
      <c r="FI11" s="217">
        <f>AVERAGE(GD5:GD1005)</f>
        <v>5.2007749377190109</v>
      </c>
      <c r="FJ11" s="218"/>
      <c r="FK11" s="218">
        <f>PERCENTILE($GD$6:$GD$1005,0.975)</f>
        <v>8.1088419386124393</v>
      </c>
      <c r="FL11" s="218"/>
      <c r="FM11" s="218">
        <f>PERCENTILE($GD$6:$GD$1005,0.025)</f>
        <v>3.0772193059600479</v>
      </c>
      <c r="FN11" s="218"/>
      <c r="FO11" s="5"/>
      <c r="FP11" s="214">
        <v>39775</v>
      </c>
      <c r="FQ11" s="224" t="e">
        <f t="shared" si="7"/>
        <v>#DIV/0!</v>
      </c>
      <c r="FR11" s="225"/>
      <c r="FS11" s="218" t="e">
        <f>PERCENTILE($GO$6:$GO$1005,0.975)</f>
        <v>#NUM!</v>
      </c>
      <c r="FT11" s="218"/>
      <c r="FU11" s="218" t="e">
        <f>PERCENTILE($GO$6:$GO$1005,0.025)</f>
        <v>#NUM!</v>
      </c>
      <c r="FV11" s="218"/>
      <c r="FW11" s="5"/>
      <c r="FY11" s="213">
        <v>6</v>
      </c>
      <c r="FZ11">
        <v>76.320143576543131</v>
      </c>
      <c r="GA11">
        <v>77.648871291629902</v>
      </c>
      <c r="GB11">
        <v>6.6077187480367394</v>
      </c>
      <c r="GC11">
        <v>4.8002066437399318</v>
      </c>
      <c r="GD11">
        <v>5.5481950475518493</v>
      </c>
      <c r="GE11">
        <v>8.7278946044482897</v>
      </c>
      <c r="GF11">
        <v>33.147876905319805</v>
      </c>
      <c r="GG11">
        <v>27.248593644353107</v>
      </c>
      <c r="GH11">
        <v>12.954334926516468</v>
      </c>
      <c r="GI11">
        <v>24.331800664611393</v>
      </c>
      <c r="GJ11"/>
      <c r="GK11"/>
      <c r="GL11"/>
      <c r="GM11"/>
      <c r="GN11" s="208"/>
      <c r="GO11" s="208"/>
      <c r="GP11" s="208"/>
      <c r="GQ11" s="208"/>
      <c r="GR11" s="208"/>
      <c r="GS11" s="208"/>
      <c r="GT11" s="208"/>
      <c r="GU11" s="213">
        <v>6</v>
      </c>
    </row>
    <row r="12" spans="1:203" s="7" customFormat="1">
      <c r="A12" s="143"/>
      <c r="B12" s="2"/>
      <c r="C12" s="17">
        <v>39949</v>
      </c>
      <c r="D12" s="19">
        <f>COUNTA(C308:C317)</f>
        <v>10</v>
      </c>
      <c r="E12" s="109">
        <v>10</v>
      </c>
      <c r="F12" s="13"/>
      <c r="G12" s="13"/>
      <c r="H12" s="1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127">
        <f t="shared" si="0"/>
        <v>39949</v>
      </c>
      <c r="X12" s="132">
        <f>AVERAGE(EK168:EK177)</f>
        <v>116.27237839195968</v>
      </c>
      <c r="Y12" s="131">
        <f>COUNT(EK168:EK177)</f>
        <v>10</v>
      </c>
      <c r="Z12" s="130">
        <f>STDEV(EK168:EK177)</f>
        <v>177.86702553956187</v>
      </c>
      <c r="AA12" s="130">
        <f t="shared" si="2"/>
        <v>56.246492134435506</v>
      </c>
      <c r="AB12" s="131"/>
      <c r="AC12" s="130">
        <f>AVERAGE($FU168:$FU177)</f>
        <v>9.6071089038429598</v>
      </c>
      <c r="AD12" s="132">
        <f>COUNT($FU168:$FU177)</f>
        <v>10</v>
      </c>
      <c r="AE12" s="130">
        <f>STDEV($FU168:$FU177)</f>
        <v>7.6773584799393797</v>
      </c>
      <c r="AF12" s="130">
        <f t="shared" si="3"/>
        <v>2.4277939210216566</v>
      </c>
      <c r="AG12" s="13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FG12" s="5"/>
      <c r="FH12" s="214">
        <f t="shared" si="6"/>
        <v>39799</v>
      </c>
      <c r="FI12" s="217">
        <f>AVERAGE(GE6:GE1005)</f>
        <v>5.4093026119820946</v>
      </c>
      <c r="FJ12" s="218"/>
      <c r="FK12" s="218">
        <f>PERCENTILE($GE$6:$GE$1005,0.975)</f>
        <v>9.1985682397039188</v>
      </c>
      <c r="FL12" s="218"/>
      <c r="FM12" s="218">
        <f>PERCENTILE($GE$6:$GE$1005,0.025)</f>
        <v>2.3940419368009382</v>
      </c>
      <c r="FN12" s="218"/>
      <c r="FO12" s="5"/>
      <c r="FP12" s="214">
        <v>39799</v>
      </c>
      <c r="FQ12" s="224" t="e">
        <f t="shared" si="7"/>
        <v>#DIV/0!</v>
      </c>
      <c r="FR12" s="225"/>
      <c r="FS12" s="218" t="e">
        <f>PERCENTILE($GP$6:$GP$1005,0.975)</f>
        <v>#NUM!</v>
      </c>
      <c r="FT12" s="218"/>
      <c r="FU12" s="218" t="e">
        <f>PERCENTILE($GP$6:$GP$1005,0.025)</f>
        <v>#NUM!</v>
      </c>
      <c r="FV12" s="218"/>
      <c r="FW12" s="5"/>
      <c r="FY12" s="213">
        <v>7</v>
      </c>
      <c r="FZ12">
        <v>76.217817538136913</v>
      </c>
      <c r="GA12">
        <v>55.535012732998943</v>
      </c>
      <c r="GB12">
        <v>16.483673242630331</v>
      </c>
      <c r="GC12">
        <v>6.3804241768718892</v>
      </c>
      <c r="GD12">
        <v>4.9537221548786761</v>
      </c>
      <c r="GE12">
        <v>4.0219772092986528</v>
      </c>
      <c r="GF12">
        <v>6.92922583114518</v>
      </c>
      <c r="GG12">
        <v>8.1627125345250739</v>
      </c>
      <c r="GH12">
        <v>12.683295863533589</v>
      </c>
      <c r="GI12">
        <v>22.061973306530618</v>
      </c>
      <c r="GJ12"/>
      <c r="GK12"/>
      <c r="GL12"/>
      <c r="GM12"/>
      <c r="GN12" s="208"/>
      <c r="GO12" s="208"/>
      <c r="GP12" s="208"/>
      <c r="GQ12" s="208"/>
      <c r="GR12" s="208"/>
      <c r="GS12" s="208"/>
      <c r="GT12" s="208"/>
      <c r="GU12" s="213">
        <v>7</v>
      </c>
    </row>
    <row r="13" spans="1:203" s="7" customFormat="1">
      <c r="A13" s="143"/>
      <c r="B13" s="2"/>
      <c r="C13" s="17">
        <v>39987</v>
      </c>
      <c r="D13" s="19">
        <f>COUNTA(C318:C327)</f>
        <v>10</v>
      </c>
      <c r="E13" s="109">
        <v>10</v>
      </c>
      <c r="F13" s="13"/>
      <c r="G13" s="22"/>
      <c r="H13" s="1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127">
        <f t="shared" si="0"/>
        <v>39987</v>
      </c>
      <c r="X13" s="132">
        <f>AVERAGE(EK178:EK187)</f>
        <v>63.829883805374003</v>
      </c>
      <c r="Y13" s="131">
        <f>COUNT(EK178:EK187)</f>
        <v>10</v>
      </c>
      <c r="Z13" s="130">
        <f>STDEV(EK178:EK187)</f>
        <v>127.9137715092979</v>
      </c>
      <c r="AA13" s="130">
        <f t="shared" si="2"/>
        <v>40.449886207173527</v>
      </c>
      <c r="AB13" s="131"/>
      <c r="AC13" s="130">
        <f>AVERAGE($FU178:$FU187)</f>
        <v>22.50188094842655</v>
      </c>
      <c r="AD13" s="132">
        <f>COUNT($FU178:$FU187)</f>
        <v>10</v>
      </c>
      <c r="AE13" s="130">
        <f>STDEV($FU178:$FU187)</f>
        <v>35.860128228497921</v>
      </c>
      <c r="AF13" s="130">
        <f t="shared" si="3"/>
        <v>11.339968238775244</v>
      </c>
      <c r="AG13" s="13"/>
      <c r="AH13" s="4"/>
      <c r="AI13" s="4"/>
      <c r="AJ13" s="4"/>
      <c r="AK13" s="4"/>
      <c r="AL13" s="5"/>
      <c r="AM13" s="5"/>
      <c r="AN13" s="5"/>
      <c r="AO13" s="5"/>
      <c r="AP13" s="5"/>
      <c r="AQ13" s="5"/>
      <c r="AR13" s="5"/>
      <c r="AS13" s="5"/>
      <c r="AT13" s="23"/>
      <c r="AU13" s="23"/>
      <c r="AV13" s="23"/>
      <c r="AW13" s="23"/>
      <c r="FG13" s="5"/>
      <c r="FH13" s="214">
        <f t="shared" si="6"/>
        <v>39847</v>
      </c>
      <c r="FI13" s="217">
        <f>AVERAGE(GF6:GF1005)</f>
        <v>17.437400914160513</v>
      </c>
      <c r="FJ13" s="218"/>
      <c r="FK13" s="218">
        <f>PERCENTILE($GF$6:$GF$1005,0.975)</f>
        <v>32.288109876168164</v>
      </c>
      <c r="FL13" s="218"/>
      <c r="FM13" s="218">
        <f>PERCENTILE($GF$6:$GF$1005,0.025)</f>
        <v>4.967622489329945</v>
      </c>
      <c r="FN13" s="218"/>
      <c r="FO13" s="5"/>
      <c r="FP13" s="214">
        <v>39847</v>
      </c>
      <c r="FQ13" s="224" t="e">
        <f t="shared" si="7"/>
        <v>#DIV/0!</v>
      </c>
      <c r="FR13" s="225"/>
      <c r="FS13" s="218" t="e">
        <f>PERCENTILE($GQ$6:$GQ$1005,0.975)</f>
        <v>#NUM!</v>
      </c>
      <c r="FT13" s="218"/>
      <c r="FU13" s="218" t="e">
        <f>PERCENTILE($GQ$6:$GQ$1005,0.025)</f>
        <v>#NUM!</v>
      </c>
      <c r="FV13" s="218"/>
      <c r="FW13" s="5"/>
      <c r="FY13" s="213">
        <v>8</v>
      </c>
      <c r="FZ13">
        <v>48.560874006820924</v>
      </c>
      <c r="GA13">
        <v>45.339927058651874</v>
      </c>
      <c r="GB13">
        <v>9.3973786302535114</v>
      </c>
      <c r="GC13">
        <v>4.5176507869934301</v>
      </c>
      <c r="GD13">
        <v>4.7329289145332849</v>
      </c>
      <c r="GE13">
        <v>8.223011759113346</v>
      </c>
      <c r="GF13">
        <v>25.620431025254934</v>
      </c>
      <c r="GG13">
        <v>21.598089813827656</v>
      </c>
      <c r="GH13">
        <v>12.095856732668812</v>
      </c>
      <c r="GI13">
        <v>19.042050261110639</v>
      </c>
      <c r="GJ13"/>
      <c r="GK13"/>
      <c r="GL13"/>
      <c r="GM13"/>
      <c r="GN13" s="208"/>
      <c r="GO13" s="208"/>
      <c r="GP13" s="208"/>
      <c r="GQ13" s="208"/>
      <c r="GR13" s="208"/>
      <c r="GS13" s="208"/>
      <c r="GT13" s="208"/>
      <c r="GU13" s="213">
        <v>8</v>
      </c>
    </row>
    <row r="14" spans="1:203" s="7" customFormat="1">
      <c r="A14" s="142"/>
      <c r="B14" s="2"/>
      <c r="C14" s="17"/>
      <c r="D14" s="19"/>
      <c r="E14" s="109"/>
      <c r="F14" s="13"/>
      <c r="G14" s="41" t="s">
        <v>126</v>
      </c>
      <c r="H14" s="1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127"/>
      <c r="X14" s="132"/>
      <c r="Y14" s="131"/>
      <c r="Z14" s="130"/>
      <c r="AA14" s="130"/>
      <c r="AB14" s="131"/>
      <c r="AC14" s="130"/>
      <c r="AD14" s="132"/>
      <c r="AE14" s="130"/>
      <c r="AF14" s="130"/>
      <c r="AG14" s="13"/>
      <c r="AH14" s="4"/>
      <c r="AI14" s="4"/>
      <c r="AJ14" s="4"/>
      <c r="AK14" s="4"/>
      <c r="AL14" s="5"/>
      <c r="AM14" s="13"/>
      <c r="AN14" s="9" t="s">
        <v>23</v>
      </c>
      <c r="AO14" s="9" t="s">
        <v>24</v>
      </c>
      <c r="AP14" s="9" t="s">
        <v>25</v>
      </c>
      <c r="AQ14" s="9" t="s">
        <v>13</v>
      </c>
      <c r="AR14" s="9" t="s">
        <v>26</v>
      </c>
      <c r="AS14" s="9" t="s">
        <v>27</v>
      </c>
      <c r="AT14" s="120" t="s">
        <v>3</v>
      </c>
      <c r="AU14" s="120" t="s">
        <v>4</v>
      </c>
      <c r="AV14" s="23"/>
      <c r="AW14" s="23"/>
      <c r="FG14" s="5"/>
      <c r="FH14" s="214">
        <f t="shared" si="6"/>
        <v>39910</v>
      </c>
      <c r="FI14" s="217">
        <f>AVERAGE(GG6:GG1005)</f>
        <v>15.603554138253379</v>
      </c>
      <c r="FJ14" s="218"/>
      <c r="FK14" s="218">
        <f>PERCENTILE($GG$6:$GG$1005,0.975)</f>
        <v>27.853503423891059</v>
      </c>
      <c r="FL14" s="218"/>
      <c r="FM14" s="218">
        <f>PERCENTILE($GG$6:$GG$1005,0.025)</f>
        <v>5.6509456020584183</v>
      </c>
      <c r="FN14" s="218"/>
      <c r="FO14" s="5"/>
      <c r="FP14" s="214">
        <v>39910</v>
      </c>
      <c r="FQ14" s="224" t="e">
        <f t="shared" si="7"/>
        <v>#DIV/0!</v>
      </c>
      <c r="FR14" s="225"/>
      <c r="FS14" s="218" t="e">
        <f>PERCENTILE($GR$6:$GR$1005,0.975)</f>
        <v>#NUM!</v>
      </c>
      <c r="FT14" s="218"/>
      <c r="FU14" s="218" t="e">
        <f>PERCENTILE($GR$6:$GR$1005,0.025)</f>
        <v>#NUM!</v>
      </c>
      <c r="FV14" s="218"/>
      <c r="FW14" s="5"/>
      <c r="FY14" s="213">
        <v>9</v>
      </c>
      <c r="FZ14">
        <v>39.649863255697163</v>
      </c>
      <c r="GA14">
        <v>51.882404115358604</v>
      </c>
      <c r="GB14">
        <v>12.047304330480442</v>
      </c>
      <c r="GC14">
        <v>6.2671218594436251</v>
      </c>
      <c r="GD14">
        <v>5.1568461023808263</v>
      </c>
      <c r="GE14">
        <v>5.2433211435482718</v>
      </c>
      <c r="GF14">
        <v>18.399191854678296</v>
      </c>
      <c r="GG14">
        <v>15.906117552875825</v>
      </c>
      <c r="GH14">
        <v>10.617850395004139</v>
      </c>
      <c r="GI14">
        <v>17.298564802320236</v>
      </c>
      <c r="GJ14"/>
      <c r="GK14"/>
      <c r="GL14"/>
      <c r="GM14"/>
      <c r="GN14" s="208"/>
      <c r="GO14" s="208"/>
      <c r="GP14" s="208"/>
      <c r="GQ14" s="208"/>
      <c r="GR14" s="208"/>
      <c r="GS14" s="208"/>
      <c r="GT14" s="208"/>
      <c r="GU14" s="213">
        <v>9</v>
      </c>
    </row>
    <row r="15" spans="1:203" s="7" customFormat="1">
      <c r="A15" s="142"/>
      <c r="B15" s="2"/>
      <c r="C15" s="17"/>
      <c r="D15" s="19"/>
      <c r="E15" s="109"/>
      <c r="F15" s="13"/>
      <c r="G15" s="113">
        <v>9.6000000000000002E-2</v>
      </c>
      <c r="H15" s="1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127"/>
      <c r="X15" s="132"/>
      <c r="Y15" s="131"/>
      <c r="Z15" s="130"/>
      <c r="AA15" s="130"/>
      <c r="AB15" s="131"/>
      <c r="AC15" s="130"/>
      <c r="AD15" s="132"/>
      <c r="AE15" s="130"/>
      <c r="AF15" s="130"/>
      <c r="AG15" s="13"/>
      <c r="AH15" s="4"/>
      <c r="AI15" s="4"/>
      <c r="AJ15" s="4"/>
      <c r="AK15" s="4"/>
      <c r="AL15" s="5"/>
      <c r="AM15" s="27" t="s">
        <v>31</v>
      </c>
      <c r="AN15" s="163">
        <f>D32</f>
        <v>358.87383665535106</v>
      </c>
      <c r="AO15" s="163">
        <f>D48</f>
        <v>23.367927354513043</v>
      </c>
      <c r="AP15" s="163">
        <f>D63</f>
        <v>66.166079049599816</v>
      </c>
      <c r="AQ15" s="163">
        <f>C453</f>
        <v>160.09787074944191</v>
      </c>
      <c r="AR15" s="163">
        <f>G520</f>
        <v>25.226603878025141</v>
      </c>
      <c r="AS15" s="163">
        <f>I523</f>
        <v>264.68983208996247</v>
      </c>
      <c r="AT15" s="122">
        <f>G556</f>
        <v>12.129830652909805</v>
      </c>
      <c r="AU15" s="122">
        <f>I556</f>
        <v>47.269636432186701</v>
      </c>
      <c r="AV15" s="23"/>
      <c r="AW15" s="23"/>
      <c r="FG15" s="5"/>
      <c r="FH15" s="214">
        <f t="shared" si="6"/>
        <v>39949</v>
      </c>
      <c r="FI15" s="217">
        <f>AVERAGE(GH6:GH1005)</f>
        <v>13.808996054463</v>
      </c>
      <c r="FJ15" s="218"/>
      <c r="FK15" s="218">
        <f>PERCENTILE($GH$6:$GH$1005,0.975)</f>
        <v>24.194887997397654</v>
      </c>
      <c r="FL15" s="218"/>
      <c r="FM15" s="218">
        <f>PERCENTILE($GH$6:$GH$1005,0.025)</f>
        <v>6.672373777814566</v>
      </c>
      <c r="FN15" s="218"/>
      <c r="FO15" s="5"/>
      <c r="FP15" s="214">
        <v>39949</v>
      </c>
      <c r="FQ15" s="224" t="e">
        <f t="shared" si="7"/>
        <v>#DIV/0!</v>
      </c>
      <c r="FR15" s="225"/>
      <c r="FS15" s="218" t="e">
        <f>PERCENTILE($GS$6:$GS$1005,0.975)</f>
        <v>#NUM!</v>
      </c>
      <c r="FT15" s="218"/>
      <c r="FU15" s="218" t="e">
        <f>PERCENTILE($GS$6:$GS$1005,0.025)</f>
        <v>#NUM!</v>
      </c>
      <c r="FV15" s="218"/>
      <c r="FW15" s="5"/>
      <c r="FY15" s="213">
        <v>10</v>
      </c>
      <c r="FZ15">
        <v>24.337000317013327</v>
      </c>
      <c r="GA15">
        <v>40.515306645403101</v>
      </c>
      <c r="GB15">
        <v>16.210741731872762</v>
      </c>
      <c r="GC15">
        <v>6.647851515278445</v>
      </c>
      <c r="GD15">
        <v>6.0675467829373364</v>
      </c>
      <c r="GE15">
        <v>7.743383330997311</v>
      </c>
      <c r="GF15">
        <v>9.9927577024325718</v>
      </c>
      <c r="GG15">
        <v>6.6193326652112905</v>
      </c>
      <c r="GH15">
        <v>13.424480289163522</v>
      </c>
      <c r="GI15">
        <v>15.849352182930229</v>
      </c>
      <c r="GJ15"/>
      <c r="GK15"/>
      <c r="GL15"/>
      <c r="GM15"/>
      <c r="GN15" s="208"/>
      <c r="GO15" s="208"/>
      <c r="GP15" s="208"/>
      <c r="GQ15" s="208"/>
      <c r="GR15" s="208"/>
      <c r="GS15" s="208"/>
      <c r="GT15" s="208"/>
      <c r="GU15" s="213">
        <v>10</v>
      </c>
    </row>
    <row r="16" spans="1:203" s="7" customFormat="1">
      <c r="A16" s="143"/>
      <c r="B16" s="2"/>
      <c r="C16" s="31"/>
      <c r="D16" s="1"/>
      <c r="E16" s="1"/>
      <c r="F16" s="1"/>
      <c r="G16" s="32"/>
      <c r="H16" s="1"/>
      <c r="I16" s="4"/>
      <c r="J16" s="4"/>
      <c r="K16" s="4"/>
      <c r="L16" s="4"/>
      <c r="M16" s="4"/>
      <c r="N16" s="28"/>
      <c r="O16" s="16"/>
      <c r="P16" s="29"/>
      <c r="Q16" s="30"/>
      <c r="R16" s="30"/>
      <c r="S16" s="4"/>
      <c r="T16" s="4"/>
      <c r="U16" s="4"/>
      <c r="V16" s="4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4"/>
      <c r="AI16" s="4"/>
      <c r="AJ16" s="4"/>
      <c r="AK16" s="4"/>
      <c r="AL16" s="5"/>
      <c r="AM16" s="5"/>
      <c r="AN16" s="5"/>
      <c r="AO16" s="5"/>
      <c r="AP16" s="5"/>
      <c r="AQ16" s="5"/>
      <c r="AR16" s="5"/>
      <c r="AS16" s="5"/>
      <c r="AT16" s="23"/>
      <c r="AU16" s="23"/>
      <c r="AV16" s="23"/>
      <c r="AW16" s="23"/>
      <c r="FG16" s="5"/>
      <c r="FH16" s="214">
        <f t="shared" si="6"/>
        <v>39987</v>
      </c>
      <c r="FI16" s="217">
        <f>AVERAGE(GI6:GI1005)</f>
        <v>18.948326710942322</v>
      </c>
      <c r="FJ16" s="218"/>
      <c r="FK16" s="218">
        <f>PERCENTILE($GI$6:$GI$1005,0.975)</f>
        <v>24.71325716386492</v>
      </c>
      <c r="FL16" s="218"/>
      <c r="FM16" s="218">
        <f>PERCENTILE($GI$6:$GI$1005,0.025)</f>
        <v>13.13365366356591</v>
      </c>
      <c r="FN16" s="218"/>
      <c r="FO16" s="5"/>
      <c r="FP16" s="214">
        <v>39987</v>
      </c>
      <c r="FQ16" s="224" t="e">
        <f t="shared" si="7"/>
        <v>#DIV/0!</v>
      </c>
      <c r="FR16" s="225"/>
      <c r="FS16" s="218" t="e">
        <f>PERCENTILE($GT$6:$GT$1005,0.975)</f>
        <v>#NUM!</v>
      </c>
      <c r="FT16" s="218"/>
      <c r="FU16" s="218" t="e">
        <f>PERCENTILE($GT$6:$GT$1005,0.025)</f>
        <v>#NUM!</v>
      </c>
      <c r="FV16" s="218"/>
      <c r="FW16" s="5"/>
      <c r="FY16" s="213">
        <v>11</v>
      </c>
      <c r="FZ16">
        <v>76.980256945225506</v>
      </c>
      <c r="GA16">
        <v>76.450399153669181</v>
      </c>
      <c r="GB16">
        <v>12.617199240022259</v>
      </c>
      <c r="GC16">
        <v>6.7223932231477344</v>
      </c>
      <c r="GD16">
        <v>5.5981395337601327</v>
      </c>
      <c r="GE16">
        <v>8.5963042012979205</v>
      </c>
      <c r="GF16">
        <v>18.620612887319353</v>
      </c>
      <c r="GG16">
        <v>12.604240063536698</v>
      </c>
      <c r="GH16">
        <v>17.640165708938898</v>
      </c>
      <c r="GI16">
        <v>24.300441557638639</v>
      </c>
      <c r="GJ16"/>
      <c r="GK16"/>
      <c r="GL16"/>
      <c r="GM16"/>
      <c r="GN16" s="208"/>
      <c r="GO16" s="208"/>
      <c r="GP16" s="208"/>
      <c r="GQ16" s="208"/>
      <c r="GR16" s="208"/>
      <c r="GS16" s="208"/>
      <c r="GT16" s="208"/>
      <c r="GU16" s="213">
        <v>11</v>
      </c>
    </row>
    <row r="17" spans="1:203" s="7" customFormat="1">
      <c r="A17" s="145"/>
      <c r="B17" s="28"/>
      <c r="C17" s="4"/>
      <c r="D17" s="4"/>
      <c r="E17" s="4"/>
      <c r="F17" s="16"/>
      <c r="G17" s="28"/>
      <c r="H17" s="33"/>
      <c r="I17" s="4"/>
      <c r="J17" s="4"/>
      <c r="K17" s="4"/>
      <c r="L17" s="34"/>
      <c r="M17" s="4"/>
      <c r="N17" s="28"/>
      <c r="O17" s="16"/>
      <c r="P17" s="29"/>
      <c r="Q17" s="30"/>
      <c r="R17" s="30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3">
        <v>1</v>
      </c>
      <c r="AN17">
        <v>401.97678512584287</v>
      </c>
      <c r="AO17">
        <v>40.112298639812906</v>
      </c>
      <c r="AP17">
        <v>126.4797473507014</v>
      </c>
      <c r="AQ17">
        <v>306.55120454335105</v>
      </c>
      <c r="AR17">
        <v>40.942514784686807</v>
      </c>
      <c r="AS17">
        <v>346.90568647704998</v>
      </c>
      <c r="AT17">
        <v>18.719177964342574</v>
      </c>
      <c r="AU17">
        <v>51.013542306368969</v>
      </c>
      <c r="AV17"/>
      <c r="AW17"/>
      <c r="FG17" s="5"/>
      <c r="FH17" s="215"/>
      <c r="FI17" s="13"/>
      <c r="FJ17" s="13"/>
      <c r="FK17" s="13"/>
      <c r="FL17" s="13"/>
      <c r="FM17" s="13"/>
      <c r="FN17" s="13"/>
      <c r="FO17" s="5"/>
      <c r="FP17" s="215"/>
      <c r="FQ17" s="13"/>
      <c r="FR17" s="13"/>
      <c r="FS17" s="13"/>
      <c r="FT17" s="13"/>
      <c r="FU17" s="13"/>
      <c r="FV17" s="13"/>
      <c r="FW17" s="5"/>
      <c r="FY17" s="213">
        <v>12</v>
      </c>
      <c r="FZ17">
        <v>57.229972694073467</v>
      </c>
      <c r="GA17">
        <v>57.670156471112215</v>
      </c>
      <c r="GB17">
        <v>16.123533851816337</v>
      </c>
      <c r="GC17">
        <v>4.939326989400433</v>
      </c>
      <c r="GD17">
        <v>3.9734343894818203</v>
      </c>
      <c r="GE17">
        <v>2.9848750104152901</v>
      </c>
      <c r="GF17">
        <v>20.854373901922191</v>
      </c>
      <c r="GG17">
        <v>20.674563521641012</v>
      </c>
      <c r="GH17">
        <v>7.3594667558399802</v>
      </c>
      <c r="GI17">
        <v>20.260102622798929</v>
      </c>
      <c r="GJ17"/>
      <c r="GK17"/>
      <c r="GL17"/>
      <c r="GM17"/>
      <c r="GN17" s="208"/>
      <c r="GO17" s="208"/>
      <c r="GP17" s="208"/>
      <c r="GQ17" s="208"/>
      <c r="GR17" s="208"/>
      <c r="GS17" s="208"/>
      <c r="GT17" s="208"/>
      <c r="GU17" s="213">
        <v>12</v>
      </c>
    </row>
    <row r="18" spans="1:203" s="7" customFormat="1">
      <c r="A18" s="143"/>
      <c r="B18" s="1"/>
      <c r="C18" s="2"/>
      <c r="D18" s="1"/>
      <c r="E18" s="1"/>
      <c r="F18" s="1"/>
      <c r="G18" s="36"/>
      <c r="H18" s="2"/>
      <c r="I18" s="37"/>
      <c r="J18" s="1"/>
      <c r="K18" s="37"/>
      <c r="L18" s="1"/>
      <c r="M18" s="32"/>
      <c r="N18" s="1"/>
      <c r="O18" s="2"/>
      <c r="P18" s="36"/>
      <c r="Q18" s="38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43">
        <v>2</v>
      </c>
      <c r="AN18">
        <v>233.04312060013604</v>
      </c>
      <c r="AO18">
        <v>19.659298860629594</v>
      </c>
      <c r="AP18">
        <v>96.70008767971828</v>
      </c>
      <c r="AQ18">
        <v>134.22825053273959</v>
      </c>
      <c r="AR18">
        <v>20.121395680365275</v>
      </c>
      <c r="AS18">
        <v>184.57417972144273</v>
      </c>
      <c r="AT18">
        <v>8.7857572022071366</v>
      </c>
      <c r="AU18">
        <v>32.749886533698572</v>
      </c>
      <c r="AV18"/>
      <c r="AW18"/>
      <c r="FG18" s="5"/>
      <c r="FH18" s="215"/>
      <c r="FI18" s="13"/>
      <c r="FJ18" s="13"/>
      <c r="FK18" s="13"/>
      <c r="FL18" s="13"/>
      <c r="FM18" s="13"/>
      <c r="FN18" s="13"/>
      <c r="FO18" s="5"/>
      <c r="FP18" s="215"/>
      <c r="FQ18" s="13"/>
      <c r="FR18" s="13"/>
      <c r="FS18" s="13"/>
      <c r="FT18" s="13"/>
      <c r="FU18" s="13"/>
      <c r="FV18" s="13"/>
      <c r="FW18" s="5"/>
      <c r="FY18" s="213">
        <v>13</v>
      </c>
      <c r="FZ18">
        <v>41.695944204263988</v>
      </c>
      <c r="GA18">
        <v>49.379696978164866</v>
      </c>
      <c r="GB18">
        <v>12.818941322153876</v>
      </c>
      <c r="GC18">
        <v>4.8884102796580668</v>
      </c>
      <c r="GD18">
        <v>4.9030286747997067</v>
      </c>
      <c r="GE18">
        <v>5.0117197237525755</v>
      </c>
      <c r="GF18">
        <v>8.5660370864262791</v>
      </c>
      <c r="GG18">
        <v>8.808468588238263</v>
      </c>
      <c r="GH18">
        <v>19.464326028014423</v>
      </c>
      <c r="GI18">
        <v>17.271470855259118</v>
      </c>
      <c r="GJ18"/>
      <c r="GK18"/>
      <c r="GL18"/>
      <c r="GM18"/>
      <c r="GN18" s="208"/>
      <c r="GO18" s="208"/>
      <c r="GP18" s="208"/>
      <c r="GQ18" s="208"/>
      <c r="GR18" s="208"/>
      <c r="GS18" s="208"/>
      <c r="GT18" s="208"/>
      <c r="GU18" s="213">
        <v>13</v>
      </c>
    </row>
    <row r="19" spans="1:203" s="7" customFormat="1">
      <c r="A19" s="16"/>
      <c r="B19" s="36"/>
      <c r="C19" s="10" t="s">
        <v>32</v>
      </c>
      <c r="D19" s="10"/>
      <c r="E19" s="10"/>
      <c r="F19" s="10"/>
      <c r="G19" s="11" t="s">
        <v>33</v>
      </c>
      <c r="H19" s="10"/>
      <c r="I19" s="11"/>
      <c r="J19" s="40"/>
      <c r="K19" s="13"/>
      <c r="L19" s="11"/>
      <c r="M19" s="10"/>
      <c r="N19" s="41"/>
      <c r="O19" s="10"/>
      <c r="P19" s="11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42"/>
      <c r="AM19" s="43">
        <v>3</v>
      </c>
      <c r="AN19">
        <v>344.94715041623078</v>
      </c>
      <c r="AO19">
        <v>26.792547720758268</v>
      </c>
      <c r="AP19">
        <v>89.71673806279631</v>
      </c>
      <c r="AQ19">
        <v>175.8006577422754</v>
      </c>
      <c r="AR19">
        <v>28.710407493865649</v>
      </c>
      <c r="AS19">
        <v>260.25536153483318</v>
      </c>
      <c r="AT19">
        <v>12.451617317427996</v>
      </c>
      <c r="AU19">
        <v>13.867769963592405</v>
      </c>
      <c r="AV19"/>
      <c r="AW19"/>
      <c r="FG19" s="5"/>
      <c r="FH19" s="215"/>
      <c r="FI19" s="13"/>
      <c r="FJ19" s="13"/>
      <c r="FK19" s="13"/>
      <c r="FL19" s="13"/>
      <c r="FM19" s="13"/>
      <c r="FN19" s="13"/>
      <c r="FO19" s="5"/>
      <c r="FP19" s="215"/>
      <c r="FQ19" s="13"/>
      <c r="FR19" s="13"/>
      <c r="FS19" s="13"/>
      <c r="FT19" s="13"/>
      <c r="FU19" s="13"/>
      <c r="FV19" s="13"/>
      <c r="FW19" s="5"/>
      <c r="FY19" s="213">
        <v>14</v>
      </c>
      <c r="FZ19">
        <v>62.494264461653955</v>
      </c>
      <c r="GA19">
        <v>65.408213662548079</v>
      </c>
      <c r="GB19">
        <v>11.883861916768252</v>
      </c>
      <c r="GC19">
        <v>5.5615384453025083</v>
      </c>
      <c r="GD19">
        <v>3.9201372996069139</v>
      </c>
      <c r="GE19">
        <v>2.9331902072646057</v>
      </c>
      <c r="GF19">
        <v>8.4476548018279836</v>
      </c>
      <c r="GG19">
        <v>9.0518977754617325</v>
      </c>
      <c r="GH19">
        <v>18.932621196501305</v>
      </c>
      <c r="GI19">
        <v>19.413666632804308</v>
      </c>
      <c r="GJ19"/>
      <c r="GK19"/>
      <c r="GL19"/>
      <c r="GM19"/>
      <c r="GN19" s="208"/>
      <c r="GO19" s="208"/>
      <c r="GP19" s="208"/>
      <c r="GQ19" s="208"/>
      <c r="GR19" s="208"/>
      <c r="GS19" s="208"/>
      <c r="GT19" s="208"/>
      <c r="GU19" s="213">
        <v>14</v>
      </c>
    </row>
    <row r="20" spans="1:203" s="7" customFormat="1">
      <c r="A20" s="51"/>
      <c r="B20" s="36"/>
      <c r="C20" s="12" t="s">
        <v>34</v>
      </c>
      <c r="D20" s="10" t="s">
        <v>35</v>
      </c>
      <c r="E20" s="10" t="s">
        <v>36</v>
      </c>
      <c r="F20" s="10"/>
      <c r="G20" s="44" t="s">
        <v>37</v>
      </c>
      <c r="H20" s="45">
        <v>1</v>
      </c>
      <c r="I20" s="45">
        <v>2</v>
      </c>
      <c r="J20" s="45">
        <v>3</v>
      </c>
      <c r="K20" s="45">
        <v>4</v>
      </c>
      <c r="L20" s="45">
        <v>5</v>
      </c>
      <c r="M20" s="45">
        <v>6</v>
      </c>
      <c r="N20" s="45">
        <v>7</v>
      </c>
      <c r="O20" s="46">
        <v>8</v>
      </c>
      <c r="P20" s="46">
        <v>9</v>
      </c>
      <c r="Q20" s="47">
        <v>10</v>
      </c>
      <c r="R20" s="46">
        <v>11</v>
      </c>
      <c r="S20" s="47">
        <v>12</v>
      </c>
      <c r="T20" s="46">
        <v>13</v>
      </c>
      <c r="U20" s="47">
        <v>14</v>
      </c>
      <c r="V20" s="46">
        <v>15</v>
      </c>
      <c r="W20" s="47">
        <v>16</v>
      </c>
      <c r="X20" s="46">
        <v>17</v>
      </c>
      <c r="Y20" s="47">
        <v>18</v>
      </c>
      <c r="Z20" s="46">
        <v>19</v>
      </c>
      <c r="AA20" s="47">
        <v>20</v>
      </c>
      <c r="AB20" s="46">
        <v>21</v>
      </c>
      <c r="AC20" s="47">
        <v>22</v>
      </c>
      <c r="AD20" s="46">
        <v>23</v>
      </c>
      <c r="AE20" s="47">
        <v>24</v>
      </c>
      <c r="AF20" s="46">
        <v>25</v>
      </c>
      <c r="AG20" s="47">
        <v>26</v>
      </c>
      <c r="AH20" s="46">
        <v>27</v>
      </c>
      <c r="AI20" s="47">
        <v>28</v>
      </c>
      <c r="AJ20" s="46">
        <v>29</v>
      </c>
      <c r="AK20" s="47">
        <v>30</v>
      </c>
      <c r="AL20" s="42"/>
      <c r="AM20" s="43">
        <v>4</v>
      </c>
      <c r="AN20">
        <v>230.99047128945745</v>
      </c>
      <c r="AO20">
        <v>19.564361801054996</v>
      </c>
      <c r="AP20">
        <v>115.47218613574879</v>
      </c>
      <c r="AQ20">
        <v>140.28615643307623</v>
      </c>
      <c r="AR20">
        <v>19.50867526485769</v>
      </c>
      <c r="AS20">
        <v>174.83836798457</v>
      </c>
      <c r="AT20">
        <v>8.8749031596934973</v>
      </c>
      <c r="AU20">
        <v>24.030555374778096</v>
      </c>
      <c r="AV20"/>
      <c r="AW20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Y20" s="213">
        <v>15</v>
      </c>
      <c r="FZ20">
        <v>44.053122391236549</v>
      </c>
      <c r="GA20">
        <v>33.678015223355338</v>
      </c>
      <c r="GB20">
        <v>7.9791610992870421</v>
      </c>
      <c r="GC20">
        <v>8.5937313782896716</v>
      </c>
      <c r="GD20">
        <v>6.4451584697391473</v>
      </c>
      <c r="GE20">
        <v>6.1567095175374424</v>
      </c>
      <c r="GF20">
        <v>23.897756322837807</v>
      </c>
      <c r="GG20">
        <v>18.812779195263772</v>
      </c>
      <c r="GH20">
        <v>10.285714030281362</v>
      </c>
      <c r="GI20">
        <v>18.288447737735076</v>
      </c>
      <c r="GJ20"/>
      <c r="GK20"/>
      <c r="GL20"/>
      <c r="GM20"/>
      <c r="GN20" s="208"/>
      <c r="GO20" s="208"/>
      <c r="GP20" s="208"/>
      <c r="GQ20" s="208"/>
      <c r="GR20" s="208"/>
      <c r="GS20" s="208"/>
      <c r="GT20" s="208"/>
      <c r="GU20" s="213">
        <v>15</v>
      </c>
    </row>
    <row r="21" spans="1:203" s="7" customFormat="1">
      <c r="A21" s="4"/>
      <c r="B21" s="36"/>
      <c r="C21" s="48" t="s">
        <v>38</v>
      </c>
      <c r="D21" s="49">
        <f t="shared" ref="D21:D26" si="8">SUM(G21:AK21)</f>
        <v>107.58928571428574</v>
      </c>
      <c r="E21" s="18">
        <f t="shared" ref="E21:E26" si="9">C5-C4</f>
        <v>27</v>
      </c>
      <c r="F21" s="50"/>
      <c r="G21" s="18">
        <f t="shared" ref="G21:AK21" si="10">AVERAGE(G70:G71)</f>
        <v>0</v>
      </c>
      <c r="H21" s="18">
        <f t="shared" si="10"/>
        <v>2.083333333333333</v>
      </c>
      <c r="I21" s="18">
        <f t="shared" si="10"/>
        <v>47.693452380952387</v>
      </c>
      <c r="J21" s="18">
        <f t="shared" si="10"/>
        <v>28.125</v>
      </c>
      <c r="K21" s="18">
        <f t="shared" si="10"/>
        <v>9.8958333333333321</v>
      </c>
      <c r="L21" s="18">
        <f t="shared" si="10"/>
        <v>10.416666666666666</v>
      </c>
      <c r="M21" s="18">
        <f t="shared" si="10"/>
        <v>2.6041666666666665</v>
      </c>
      <c r="N21" s="18">
        <f t="shared" si="10"/>
        <v>4.1666666666666661</v>
      </c>
      <c r="O21" s="18">
        <f t="shared" si="10"/>
        <v>1.0416666666666665</v>
      </c>
      <c r="P21" s="18">
        <f t="shared" si="10"/>
        <v>0</v>
      </c>
      <c r="Q21" s="18">
        <f t="shared" si="10"/>
        <v>1.0416666666666665</v>
      </c>
      <c r="R21" s="18">
        <f t="shared" si="10"/>
        <v>0.52083333333333326</v>
      </c>
      <c r="S21" s="18">
        <f t="shared" si="10"/>
        <v>0</v>
      </c>
      <c r="T21" s="18">
        <f t="shared" si="10"/>
        <v>0</v>
      </c>
      <c r="U21" s="18">
        <f t="shared" si="10"/>
        <v>0</v>
      </c>
      <c r="V21" s="18">
        <f t="shared" si="10"/>
        <v>0</v>
      </c>
      <c r="W21" s="18">
        <f t="shared" si="10"/>
        <v>0</v>
      </c>
      <c r="X21" s="18">
        <f t="shared" si="10"/>
        <v>0</v>
      </c>
      <c r="Y21" s="18">
        <f t="shared" si="10"/>
        <v>0</v>
      </c>
      <c r="Z21" s="18">
        <f t="shared" si="10"/>
        <v>0</v>
      </c>
      <c r="AA21" s="18">
        <f t="shared" si="10"/>
        <v>0</v>
      </c>
      <c r="AB21" s="18">
        <f t="shared" si="10"/>
        <v>0</v>
      </c>
      <c r="AC21" s="18">
        <f t="shared" si="10"/>
        <v>0</v>
      </c>
      <c r="AD21" s="18">
        <f t="shared" si="10"/>
        <v>0</v>
      </c>
      <c r="AE21" s="18">
        <f t="shared" si="10"/>
        <v>0</v>
      </c>
      <c r="AF21" s="18">
        <f t="shared" si="10"/>
        <v>0</v>
      </c>
      <c r="AG21" s="18">
        <f t="shared" si="10"/>
        <v>0</v>
      </c>
      <c r="AH21" s="18">
        <f t="shared" si="10"/>
        <v>0</v>
      </c>
      <c r="AI21" s="18">
        <f t="shared" si="10"/>
        <v>0</v>
      </c>
      <c r="AJ21" s="18">
        <f t="shared" si="10"/>
        <v>0</v>
      </c>
      <c r="AK21" s="18">
        <f t="shared" si="10"/>
        <v>0</v>
      </c>
      <c r="AL21" s="42"/>
      <c r="AM21" s="43">
        <v>5</v>
      </c>
      <c r="AN21">
        <v>391.60138188863556</v>
      </c>
      <c r="AO21">
        <v>32.332051946274241</v>
      </c>
      <c r="AP21">
        <v>90.606582836583641</v>
      </c>
      <c r="AQ21">
        <v>230.08339970002532</v>
      </c>
      <c r="AR21">
        <v>35.086737848765011</v>
      </c>
      <c r="AS21">
        <v>324.67556439829116</v>
      </c>
      <c r="AT21">
        <v>16.172317071444613</v>
      </c>
      <c r="AU21">
        <v>37.791144287435408</v>
      </c>
      <c r="AV21"/>
      <c r="AW21"/>
      <c r="FY21" s="213">
        <v>16</v>
      </c>
      <c r="FZ21">
        <v>50.663191123785701</v>
      </c>
      <c r="GA21">
        <v>53.07772678723434</v>
      </c>
      <c r="GB21">
        <v>12.027319648834439</v>
      </c>
      <c r="GC21">
        <v>4.3613882526707428</v>
      </c>
      <c r="GD21">
        <v>3.7846399839341318</v>
      </c>
      <c r="GE21">
        <v>7.447205774594658</v>
      </c>
      <c r="GF21">
        <v>27.553772381480702</v>
      </c>
      <c r="GG21">
        <v>20.325450646467317</v>
      </c>
      <c r="GH21">
        <v>11.973099418806701</v>
      </c>
      <c r="GI21">
        <v>19.918021536033987</v>
      </c>
      <c r="GJ21"/>
      <c r="GK21"/>
      <c r="GL21"/>
      <c r="GM21"/>
      <c r="GN21" s="208"/>
      <c r="GO21" s="208"/>
      <c r="GP21" s="208"/>
      <c r="GQ21" s="208"/>
      <c r="GR21" s="208"/>
      <c r="GS21" s="208"/>
      <c r="GT21" s="208"/>
      <c r="GU21" s="213">
        <v>16</v>
      </c>
    </row>
    <row r="22" spans="1:203" s="7" customFormat="1">
      <c r="B22" s="36"/>
      <c r="C22" s="48" t="s">
        <v>39</v>
      </c>
      <c r="D22" s="49">
        <f t="shared" si="8"/>
        <v>91.292242703533034</v>
      </c>
      <c r="E22" s="18">
        <f t="shared" si="9"/>
        <v>41</v>
      </c>
      <c r="F22" s="50"/>
      <c r="G22" s="18">
        <f t="shared" ref="G22:AK22" si="11">AVERAGE(G71:G72)</f>
        <v>11.550739247311828</v>
      </c>
      <c r="H22" s="18">
        <f t="shared" si="11"/>
        <v>47.673051075268816</v>
      </c>
      <c r="I22" s="18">
        <f t="shared" si="11"/>
        <v>15.401785714285717</v>
      </c>
      <c r="J22" s="18">
        <f t="shared" si="11"/>
        <v>1.5624999999999998</v>
      </c>
      <c r="K22" s="18">
        <f t="shared" si="11"/>
        <v>4.1666666666666661</v>
      </c>
      <c r="L22" s="18">
        <f t="shared" si="11"/>
        <v>4.1666666666666661</v>
      </c>
      <c r="M22" s="18">
        <f t="shared" si="11"/>
        <v>2.6041666666666665</v>
      </c>
      <c r="N22" s="18">
        <f t="shared" si="11"/>
        <v>0.52083333333333326</v>
      </c>
      <c r="O22" s="18">
        <f t="shared" si="11"/>
        <v>1.5624999999999998</v>
      </c>
      <c r="P22" s="18">
        <f t="shared" si="11"/>
        <v>1.5625</v>
      </c>
      <c r="Q22" s="18">
        <f t="shared" si="11"/>
        <v>0.52083333333333326</v>
      </c>
      <c r="R22" s="18">
        <f t="shared" si="11"/>
        <v>0</v>
      </c>
      <c r="S22" s="18">
        <f t="shared" si="11"/>
        <v>0</v>
      </c>
      <c r="T22" s="18">
        <f t="shared" si="11"/>
        <v>0</v>
      </c>
      <c r="U22" s="18">
        <f t="shared" si="11"/>
        <v>0</v>
      </c>
      <c r="V22" s="18">
        <f t="shared" si="11"/>
        <v>0</v>
      </c>
      <c r="W22" s="18">
        <f t="shared" si="11"/>
        <v>0</v>
      </c>
      <c r="X22" s="18">
        <f t="shared" si="11"/>
        <v>0</v>
      </c>
      <c r="Y22" s="18">
        <f t="shared" si="11"/>
        <v>0</v>
      </c>
      <c r="Z22" s="18">
        <f t="shared" si="11"/>
        <v>0</v>
      </c>
      <c r="AA22" s="18">
        <f t="shared" si="11"/>
        <v>0</v>
      </c>
      <c r="AB22" s="18">
        <f t="shared" si="11"/>
        <v>0</v>
      </c>
      <c r="AC22" s="18">
        <f t="shared" si="11"/>
        <v>0</v>
      </c>
      <c r="AD22" s="18">
        <f t="shared" si="11"/>
        <v>0</v>
      </c>
      <c r="AE22" s="18">
        <f t="shared" si="11"/>
        <v>0</v>
      </c>
      <c r="AF22" s="18">
        <f t="shared" si="11"/>
        <v>0</v>
      </c>
      <c r="AG22" s="18">
        <f t="shared" si="11"/>
        <v>0</v>
      </c>
      <c r="AH22" s="18">
        <f t="shared" si="11"/>
        <v>0</v>
      </c>
      <c r="AI22" s="18">
        <f t="shared" si="11"/>
        <v>0</v>
      </c>
      <c r="AJ22" s="18">
        <f t="shared" si="11"/>
        <v>0</v>
      </c>
      <c r="AK22" s="18">
        <f t="shared" si="11"/>
        <v>0</v>
      </c>
      <c r="AL22" s="42"/>
      <c r="AM22" s="43">
        <v>6</v>
      </c>
      <c r="AN22">
        <v>383.10401797148614</v>
      </c>
      <c r="AO22">
        <v>35.180865681928928</v>
      </c>
      <c r="AP22">
        <v>96.460715944385015</v>
      </c>
      <c r="AQ22">
        <v>277.3356360527506</v>
      </c>
      <c r="AR22">
        <v>34.962878882921224</v>
      </c>
      <c r="AS22">
        <v>327.22192628029757</v>
      </c>
      <c r="AT22">
        <v>18.08172309243896</v>
      </c>
      <c r="AU22">
        <v>4.187731277632416</v>
      </c>
      <c r="AV22"/>
      <c r="AW22"/>
      <c r="FY22" s="213">
        <v>17</v>
      </c>
      <c r="FZ22">
        <v>34.473039053857299</v>
      </c>
      <c r="GA22">
        <v>14.504032909477139</v>
      </c>
      <c r="GB22">
        <v>2.8785524186203206</v>
      </c>
      <c r="GC22">
        <v>4.3294269843226525</v>
      </c>
      <c r="GD22">
        <v>3.8689210784431718</v>
      </c>
      <c r="GE22">
        <v>3.7175053862321494</v>
      </c>
      <c r="GF22">
        <v>11.473474816206167</v>
      </c>
      <c r="GG22">
        <v>12.907486269433925</v>
      </c>
      <c r="GH22">
        <v>16.666932998017678</v>
      </c>
      <c r="GI22">
        <v>12.735990032208669</v>
      </c>
      <c r="GJ22"/>
      <c r="GK22"/>
      <c r="GL22"/>
      <c r="GM22"/>
      <c r="GN22" s="208"/>
      <c r="GO22" s="208"/>
      <c r="GP22" s="208"/>
      <c r="GQ22" s="208"/>
      <c r="GR22" s="208"/>
      <c r="GS22" s="208"/>
      <c r="GT22" s="208"/>
      <c r="GU22" s="213">
        <v>17</v>
      </c>
    </row>
    <row r="23" spans="1:203" s="7" customFormat="1">
      <c r="B23" s="36"/>
      <c r="C23" s="48" t="s">
        <v>40</v>
      </c>
      <c r="D23" s="49">
        <f t="shared" si="8"/>
        <v>309.92591237437938</v>
      </c>
      <c r="E23" s="18">
        <f t="shared" si="9"/>
        <v>33</v>
      </c>
      <c r="F23" s="50"/>
      <c r="G23" s="18">
        <f t="shared" ref="G23:AK23" si="12">AVERAGE(G72:G73)</f>
        <v>19.146225358422939</v>
      </c>
      <c r="H23" s="18">
        <f t="shared" si="12"/>
        <v>259.71690401351827</v>
      </c>
      <c r="I23" s="18">
        <f t="shared" si="12"/>
        <v>24.291949669104842</v>
      </c>
      <c r="J23" s="18">
        <f t="shared" si="12"/>
        <v>1.0416666666666665</v>
      </c>
      <c r="K23" s="18">
        <f t="shared" si="12"/>
        <v>0</v>
      </c>
      <c r="L23" s="18">
        <f t="shared" si="12"/>
        <v>1.5625</v>
      </c>
      <c r="M23" s="18">
        <f t="shared" si="12"/>
        <v>1.5625</v>
      </c>
      <c r="N23" s="18">
        <f t="shared" si="12"/>
        <v>0</v>
      </c>
      <c r="O23" s="18">
        <f t="shared" si="12"/>
        <v>0.52083333333333326</v>
      </c>
      <c r="P23" s="18">
        <f t="shared" si="12"/>
        <v>1.5625</v>
      </c>
      <c r="Q23" s="18">
        <f t="shared" si="12"/>
        <v>0.52083333333333326</v>
      </c>
      <c r="R23" s="18">
        <f t="shared" si="12"/>
        <v>0</v>
      </c>
      <c r="S23" s="18">
        <f t="shared" si="12"/>
        <v>0</v>
      </c>
      <c r="T23" s="18">
        <f t="shared" si="12"/>
        <v>0</v>
      </c>
      <c r="U23" s="18">
        <f t="shared" si="12"/>
        <v>0</v>
      </c>
      <c r="V23" s="18">
        <f t="shared" si="12"/>
        <v>0</v>
      </c>
      <c r="W23" s="18">
        <f t="shared" si="12"/>
        <v>0</v>
      </c>
      <c r="X23" s="18">
        <f t="shared" si="12"/>
        <v>0</v>
      </c>
      <c r="Y23" s="18">
        <f t="shared" si="12"/>
        <v>0</v>
      </c>
      <c r="Z23" s="18">
        <f t="shared" si="12"/>
        <v>0</v>
      </c>
      <c r="AA23" s="18">
        <f t="shared" si="12"/>
        <v>0</v>
      </c>
      <c r="AB23" s="18">
        <f t="shared" si="12"/>
        <v>0</v>
      </c>
      <c r="AC23" s="18">
        <f t="shared" si="12"/>
        <v>0</v>
      </c>
      <c r="AD23" s="18">
        <f t="shared" si="12"/>
        <v>0</v>
      </c>
      <c r="AE23" s="18">
        <f t="shared" si="12"/>
        <v>0</v>
      </c>
      <c r="AF23" s="18">
        <f t="shared" si="12"/>
        <v>0</v>
      </c>
      <c r="AG23" s="18">
        <f t="shared" si="12"/>
        <v>0</v>
      </c>
      <c r="AH23" s="18">
        <f t="shared" si="12"/>
        <v>0</v>
      </c>
      <c r="AI23" s="18">
        <f t="shared" si="12"/>
        <v>0</v>
      </c>
      <c r="AJ23" s="18">
        <f t="shared" si="12"/>
        <v>0</v>
      </c>
      <c r="AK23" s="18">
        <f t="shared" si="12"/>
        <v>0</v>
      </c>
      <c r="AL23" s="42"/>
      <c r="AM23" s="43">
        <v>7</v>
      </c>
      <c r="AN23">
        <v>253.47033435993995</v>
      </c>
      <c r="AO23">
        <v>30.066587734050888</v>
      </c>
      <c r="AP23">
        <v>74.389882025474037</v>
      </c>
      <c r="AQ23">
        <v>213.42983459054989</v>
      </c>
      <c r="AR23">
        <v>34.099393746813277</v>
      </c>
      <c r="AS23">
        <v>250.5586457997407</v>
      </c>
      <c r="AT23">
        <v>14.685860022193884</v>
      </c>
      <c r="AU23">
        <v>145.3637096603664</v>
      </c>
      <c r="AV23"/>
      <c r="AW23"/>
      <c r="FY23" s="213">
        <v>18</v>
      </c>
      <c r="FZ23">
        <v>42.74398319269379</v>
      </c>
      <c r="GA23">
        <v>67.398238285739907</v>
      </c>
      <c r="GB23">
        <v>18.779383882831372</v>
      </c>
      <c r="GC23">
        <v>7.1531275556923095</v>
      </c>
      <c r="GD23">
        <v>6.4249294354390818</v>
      </c>
      <c r="GE23">
        <v>5.2457505146778773</v>
      </c>
      <c r="GF23">
        <v>13.628558085093861</v>
      </c>
      <c r="GG23">
        <v>11.831883088322316</v>
      </c>
      <c r="GH23">
        <v>9.1337921909452593</v>
      </c>
      <c r="GI23">
        <v>19.446955636100054</v>
      </c>
      <c r="GJ23"/>
      <c r="GK23"/>
      <c r="GL23"/>
      <c r="GM23"/>
      <c r="GN23" s="208"/>
      <c r="GO23" s="208"/>
      <c r="GP23" s="208"/>
      <c r="GQ23" s="208"/>
      <c r="GR23" s="208"/>
      <c r="GS23" s="208"/>
      <c r="GT23" s="208"/>
      <c r="GU23" s="213">
        <v>18</v>
      </c>
    </row>
    <row r="24" spans="1:203" s="7" customFormat="1">
      <c r="A24" s="4"/>
      <c r="B24" s="36"/>
      <c r="C24" s="48" t="s">
        <v>41</v>
      </c>
      <c r="D24" s="49">
        <f t="shared" si="8"/>
        <v>618.94553196191202</v>
      </c>
      <c r="E24" s="18">
        <f t="shared" si="9"/>
        <v>28</v>
      </c>
      <c r="F24" s="50"/>
      <c r="G24" s="18">
        <f t="shared" ref="G24:AK24" si="13">AVERAGE(G73:G74)</f>
        <v>19.863987268518517</v>
      </c>
      <c r="H24" s="18">
        <f t="shared" si="13"/>
        <v>400.24415957605618</v>
      </c>
      <c r="I24" s="18">
        <f t="shared" si="13"/>
        <v>188.14294240900384</v>
      </c>
      <c r="J24" s="18">
        <f t="shared" si="13"/>
        <v>9.6527760416666659</v>
      </c>
      <c r="K24" s="18">
        <f t="shared" si="13"/>
        <v>0.52083333333333326</v>
      </c>
      <c r="L24" s="18">
        <f t="shared" si="13"/>
        <v>0.52083333333333326</v>
      </c>
      <c r="M24" s="18">
        <f t="shared" si="13"/>
        <v>0</v>
      </c>
      <c r="N24" s="18">
        <f t="shared" si="13"/>
        <v>0</v>
      </c>
      <c r="O24" s="18">
        <f t="shared" si="13"/>
        <v>0</v>
      </c>
      <c r="P24" s="18">
        <f t="shared" si="13"/>
        <v>0</v>
      </c>
      <c r="Q24" s="18">
        <f t="shared" si="13"/>
        <v>0</v>
      </c>
      <c r="R24" s="18">
        <f t="shared" si="13"/>
        <v>0</v>
      </c>
      <c r="S24" s="18">
        <f t="shared" si="13"/>
        <v>0</v>
      </c>
      <c r="T24" s="18">
        <f t="shared" si="13"/>
        <v>0</v>
      </c>
      <c r="U24" s="18">
        <f t="shared" si="13"/>
        <v>0</v>
      </c>
      <c r="V24" s="18">
        <f t="shared" si="13"/>
        <v>0</v>
      </c>
      <c r="W24" s="18">
        <f t="shared" si="13"/>
        <v>0</v>
      </c>
      <c r="X24" s="18">
        <f t="shared" si="13"/>
        <v>0</v>
      </c>
      <c r="Y24" s="18">
        <f t="shared" si="13"/>
        <v>0</v>
      </c>
      <c r="Z24" s="18">
        <f t="shared" si="13"/>
        <v>0</v>
      </c>
      <c r="AA24" s="18">
        <f t="shared" si="13"/>
        <v>0</v>
      </c>
      <c r="AB24" s="18">
        <f t="shared" si="13"/>
        <v>0</v>
      </c>
      <c r="AC24" s="18">
        <f t="shared" si="13"/>
        <v>0</v>
      </c>
      <c r="AD24" s="18">
        <f t="shared" si="13"/>
        <v>0</v>
      </c>
      <c r="AE24" s="18">
        <f t="shared" si="13"/>
        <v>0</v>
      </c>
      <c r="AF24" s="18">
        <f t="shared" si="13"/>
        <v>0</v>
      </c>
      <c r="AG24" s="18">
        <f t="shared" si="13"/>
        <v>0</v>
      </c>
      <c r="AH24" s="18">
        <f t="shared" si="13"/>
        <v>0</v>
      </c>
      <c r="AI24" s="18">
        <f t="shared" si="13"/>
        <v>0</v>
      </c>
      <c r="AJ24" s="18">
        <f t="shared" si="13"/>
        <v>0</v>
      </c>
      <c r="AK24" s="18">
        <f t="shared" si="13"/>
        <v>0</v>
      </c>
      <c r="AL24" s="42"/>
      <c r="AM24" s="43">
        <v>8</v>
      </c>
      <c r="AN24">
        <v>341.31163446086418</v>
      </c>
      <c r="AO24">
        <v>26.994577308384258</v>
      </c>
      <c r="AP24">
        <v>138.37309453112169</v>
      </c>
      <c r="AQ24">
        <v>199.12819898922839</v>
      </c>
      <c r="AR24">
        <v>27.524759600906471</v>
      </c>
      <c r="AS24">
        <v>268.06099650261405</v>
      </c>
      <c r="AT24">
        <v>14.104895753936432</v>
      </c>
      <c r="AU24">
        <v>97.284709784111129</v>
      </c>
      <c r="AV24"/>
      <c r="AW24"/>
      <c r="FY24" s="213">
        <v>19</v>
      </c>
      <c r="FZ24">
        <v>55.591805343448733</v>
      </c>
      <c r="GA24">
        <v>45.200954803923679</v>
      </c>
      <c r="GB24">
        <v>8.4649261919833751</v>
      </c>
      <c r="GC24">
        <v>6.6741429367363132</v>
      </c>
      <c r="GD24">
        <v>4.8122182546820476</v>
      </c>
      <c r="GE24">
        <v>4.6076294620684717</v>
      </c>
      <c r="GF24">
        <v>28.681997954871115</v>
      </c>
      <c r="GG24">
        <v>24.337941912288294</v>
      </c>
      <c r="GH24">
        <v>8.2560074664378078</v>
      </c>
      <c r="GI24">
        <v>19.717403077598881</v>
      </c>
      <c r="GJ24"/>
      <c r="GK24"/>
      <c r="GL24"/>
      <c r="GM24"/>
      <c r="GN24" s="208"/>
      <c r="GO24" s="208"/>
      <c r="GP24" s="208"/>
      <c r="GQ24" s="208"/>
      <c r="GR24" s="208"/>
      <c r="GS24" s="208"/>
      <c r="GT24" s="208"/>
      <c r="GU24" s="213">
        <v>19</v>
      </c>
    </row>
    <row r="25" spans="1:203" s="7" customFormat="1">
      <c r="A25" s="4"/>
      <c r="B25" s="36"/>
      <c r="C25" s="48" t="s">
        <v>42</v>
      </c>
      <c r="D25" s="49">
        <f t="shared" si="8"/>
        <v>536.86213799575285</v>
      </c>
      <c r="E25" s="18">
        <f t="shared" si="9"/>
        <v>24</v>
      </c>
      <c r="F25" s="50"/>
      <c r="G25" s="18">
        <f t="shared" ref="G25:AK25" si="14">AVERAGE(G74:G75)</f>
        <v>22.999957201363451</v>
      </c>
      <c r="H25" s="18">
        <f t="shared" si="14"/>
        <v>271.08972114486824</v>
      </c>
      <c r="I25" s="18">
        <f t="shared" si="14"/>
        <v>229.47385027452123</v>
      </c>
      <c r="J25" s="18">
        <f t="shared" si="14"/>
        <v>11.736109374999998</v>
      </c>
      <c r="K25" s="18">
        <f t="shared" si="14"/>
        <v>1.0416666666666665</v>
      </c>
      <c r="L25" s="18">
        <f t="shared" si="14"/>
        <v>0.52083333333333326</v>
      </c>
      <c r="M25" s="18">
        <f t="shared" si="14"/>
        <v>0</v>
      </c>
      <c r="N25" s="18">
        <f t="shared" si="14"/>
        <v>0</v>
      </c>
      <c r="O25" s="18">
        <f t="shared" si="14"/>
        <v>0</v>
      </c>
      <c r="P25" s="18">
        <f t="shared" si="14"/>
        <v>0</v>
      </c>
      <c r="Q25" s="18">
        <f t="shared" si="14"/>
        <v>0</v>
      </c>
      <c r="R25" s="18">
        <f t="shared" si="14"/>
        <v>0</v>
      </c>
      <c r="S25" s="18">
        <f t="shared" si="14"/>
        <v>0</v>
      </c>
      <c r="T25" s="18">
        <f t="shared" si="14"/>
        <v>0</v>
      </c>
      <c r="U25" s="18">
        <f t="shared" si="14"/>
        <v>0</v>
      </c>
      <c r="V25" s="18">
        <f t="shared" si="14"/>
        <v>0</v>
      </c>
      <c r="W25" s="18">
        <f t="shared" si="14"/>
        <v>0</v>
      </c>
      <c r="X25" s="18">
        <f t="shared" si="14"/>
        <v>0</v>
      </c>
      <c r="Y25" s="18">
        <f t="shared" si="14"/>
        <v>0</v>
      </c>
      <c r="Z25" s="18">
        <f t="shared" si="14"/>
        <v>0</v>
      </c>
      <c r="AA25" s="18">
        <f t="shared" si="14"/>
        <v>0</v>
      </c>
      <c r="AB25" s="18">
        <f t="shared" si="14"/>
        <v>0</v>
      </c>
      <c r="AC25" s="18">
        <f t="shared" si="14"/>
        <v>0</v>
      </c>
      <c r="AD25" s="18">
        <f t="shared" si="14"/>
        <v>0</v>
      </c>
      <c r="AE25" s="18">
        <f t="shared" si="14"/>
        <v>0</v>
      </c>
      <c r="AF25" s="18">
        <f t="shared" si="14"/>
        <v>0</v>
      </c>
      <c r="AG25" s="18">
        <f t="shared" si="14"/>
        <v>0</v>
      </c>
      <c r="AH25" s="18">
        <f t="shared" si="14"/>
        <v>0</v>
      </c>
      <c r="AI25" s="18">
        <f t="shared" si="14"/>
        <v>0</v>
      </c>
      <c r="AJ25" s="18">
        <f t="shared" si="14"/>
        <v>0</v>
      </c>
      <c r="AK25" s="18">
        <f t="shared" si="14"/>
        <v>0</v>
      </c>
      <c r="AL25" s="42"/>
      <c r="AM25" s="43">
        <v>9</v>
      </c>
      <c r="AN25">
        <v>305.23451482365329</v>
      </c>
      <c r="AO25">
        <v>25.494258156334936</v>
      </c>
      <c r="AP25">
        <v>111.24814387045397</v>
      </c>
      <c r="AQ25">
        <v>182.46858541178742</v>
      </c>
      <c r="AR25">
        <v>25.317411996126555</v>
      </c>
      <c r="AS25">
        <v>239.25924998305965</v>
      </c>
      <c r="AT25">
        <v>12.284785214557189</v>
      </c>
      <c r="AU25">
        <v>51.72216336990374</v>
      </c>
      <c r="AV25"/>
      <c r="AW25"/>
      <c r="FY25" s="213">
        <v>20</v>
      </c>
      <c r="FZ25">
        <v>37.715616912566951</v>
      </c>
      <c r="GA25">
        <v>44.243906889820451</v>
      </c>
      <c r="GB25">
        <v>11.73396832448099</v>
      </c>
      <c r="GC25">
        <v>8.1207783094340122</v>
      </c>
      <c r="GD25">
        <v>6.6444016766351002</v>
      </c>
      <c r="GE25">
        <v>4.2327834757456602</v>
      </c>
      <c r="GF25">
        <v>19.143576905110738</v>
      </c>
      <c r="GG25">
        <v>20.405691947832661</v>
      </c>
      <c r="GH25">
        <v>10.741202360298837</v>
      </c>
      <c r="GI25">
        <v>17.797885439930923</v>
      </c>
      <c r="GJ25"/>
      <c r="GK25"/>
      <c r="GL25"/>
      <c r="GM25"/>
      <c r="GN25" s="208"/>
      <c r="GO25" s="208"/>
      <c r="GP25" s="208"/>
      <c r="GQ25" s="208"/>
      <c r="GR25" s="208"/>
      <c r="GS25" s="208"/>
      <c r="GT25" s="208"/>
      <c r="GU25" s="213">
        <v>20</v>
      </c>
    </row>
    <row r="26" spans="1:203" s="7" customFormat="1">
      <c r="A26" s="4"/>
      <c r="B26" s="36"/>
      <c r="C26" s="48" t="s">
        <v>118</v>
      </c>
      <c r="D26" s="49">
        <f t="shared" si="8"/>
        <v>537.15171419675096</v>
      </c>
      <c r="E26" s="18">
        <f t="shared" si="9"/>
        <v>48</v>
      </c>
      <c r="F26" s="50"/>
      <c r="G26" s="18">
        <f t="shared" ref="G26:AK26" si="15">AVERAGE(G75:G76)</f>
        <v>27.821299793956044</v>
      </c>
      <c r="H26" s="18">
        <f t="shared" si="15"/>
        <v>362.02352909039485</v>
      </c>
      <c r="I26" s="18">
        <f t="shared" si="15"/>
        <v>144.70271864573334</v>
      </c>
      <c r="J26" s="18">
        <f t="shared" si="15"/>
        <v>2.083333333333333</v>
      </c>
      <c r="K26" s="18">
        <f t="shared" si="15"/>
        <v>0.52083333333333326</v>
      </c>
      <c r="L26" s="18">
        <f t="shared" si="15"/>
        <v>0</v>
      </c>
      <c r="M26" s="18">
        <f t="shared" si="15"/>
        <v>0</v>
      </c>
      <c r="N26" s="18">
        <f t="shared" si="15"/>
        <v>0</v>
      </c>
      <c r="O26" s="18">
        <f t="shared" si="15"/>
        <v>0</v>
      </c>
      <c r="P26" s="18">
        <f t="shared" si="15"/>
        <v>0</v>
      </c>
      <c r="Q26" s="18">
        <f t="shared" si="15"/>
        <v>0</v>
      </c>
      <c r="R26" s="18">
        <f t="shared" si="15"/>
        <v>0</v>
      </c>
      <c r="S26" s="18">
        <f t="shared" si="15"/>
        <v>0</v>
      </c>
      <c r="T26" s="18">
        <f t="shared" si="15"/>
        <v>0</v>
      </c>
      <c r="U26" s="18">
        <f t="shared" si="15"/>
        <v>0</v>
      </c>
      <c r="V26" s="18">
        <f t="shared" si="15"/>
        <v>0</v>
      </c>
      <c r="W26" s="18">
        <f t="shared" si="15"/>
        <v>0</v>
      </c>
      <c r="X26" s="18">
        <f t="shared" si="15"/>
        <v>0</v>
      </c>
      <c r="Y26" s="18">
        <f t="shared" si="15"/>
        <v>0</v>
      </c>
      <c r="Z26" s="18">
        <f t="shared" si="15"/>
        <v>0</v>
      </c>
      <c r="AA26" s="18">
        <f t="shared" si="15"/>
        <v>0</v>
      </c>
      <c r="AB26" s="18">
        <f t="shared" si="15"/>
        <v>0</v>
      </c>
      <c r="AC26" s="18">
        <f t="shared" si="15"/>
        <v>0</v>
      </c>
      <c r="AD26" s="18">
        <f t="shared" si="15"/>
        <v>0</v>
      </c>
      <c r="AE26" s="18">
        <f t="shared" si="15"/>
        <v>0</v>
      </c>
      <c r="AF26" s="18">
        <f t="shared" si="15"/>
        <v>0</v>
      </c>
      <c r="AG26" s="18">
        <f t="shared" si="15"/>
        <v>0</v>
      </c>
      <c r="AH26" s="18">
        <f t="shared" si="15"/>
        <v>0</v>
      </c>
      <c r="AI26" s="18">
        <f t="shared" si="15"/>
        <v>0</v>
      </c>
      <c r="AJ26" s="18">
        <f t="shared" si="15"/>
        <v>0</v>
      </c>
      <c r="AK26" s="18">
        <f t="shared" si="15"/>
        <v>0</v>
      </c>
      <c r="AL26" s="42"/>
      <c r="AM26" s="43">
        <v>10</v>
      </c>
      <c r="AN26">
        <v>311.09912046072566</v>
      </c>
      <c r="AO26">
        <v>22.96670862234377</v>
      </c>
      <c r="AP26">
        <v>80.064935797878491</v>
      </c>
      <c r="AQ26">
        <v>147.4077531632399</v>
      </c>
      <c r="AR26">
        <v>23.691713941807738</v>
      </c>
      <c r="AS26">
        <v>233.48993065413964</v>
      </c>
      <c r="AT26">
        <v>9.7338543710431082</v>
      </c>
      <c r="AU26">
        <v>10.553935603531693</v>
      </c>
      <c r="AV26"/>
      <c r="AW26"/>
      <c r="FY26" s="213">
        <v>21</v>
      </c>
      <c r="FZ26">
        <v>35.516350219555768</v>
      </c>
      <c r="GA26">
        <v>37.823640332839709</v>
      </c>
      <c r="GB26">
        <v>9.8837473074906192</v>
      </c>
      <c r="GC26">
        <v>7.4124908501831701</v>
      </c>
      <c r="GD26">
        <v>5.8317924998324466</v>
      </c>
      <c r="GE26">
        <v>5.2359433784442055</v>
      </c>
      <c r="GF26">
        <v>17.658351135358604</v>
      </c>
      <c r="GG26">
        <v>13.838500864492149</v>
      </c>
      <c r="GH26">
        <v>8.290689777109062</v>
      </c>
      <c r="GI26">
        <v>15.858769687977285</v>
      </c>
      <c r="GJ26"/>
      <c r="GK26"/>
      <c r="GL26"/>
      <c r="GM26"/>
      <c r="GN26" s="208"/>
      <c r="GO26" s="208"/>
      <c r="GP26" s="208"/>
      <c r="GQ26" s="208"/>
      <c r="GR26" s="208"/>
      <c r="GS26" s="208"/>
      <c r="GT26" s="208"/>
      <c r="GU26" s="213">
        <v>21</v>
      </c>
    </row>
    <row r="27" spans="1:203" s="7" customFormat="1">
      <c r="A27" s="4"/>
      <c r="B27" s="1"/>
      <c r="C27" s="48" t="s">
        <v>119</v>
      </c>
      <c r="D27" s="49">
        <f>SUM(G27:AK27)</f>
        <v>650.96052234299509</v>
      </c>
      <c r="E27" s="18">
        <f>C11-C10</f>
        <v>63</v>
      </c>
      <c r="F27" s="50"/>
      <c r="G27" s="18">
        <f t="shared" ref="G27:AK29" si="16">AVERAGE(G76:G77)</f>
        <v>56.15234375</v>
      </c>
      <c r="H27" s="18">
        <f t="shared" si="16"/>
        <v>395.76303970410629</v>
      </c>
      <c r="I27" s="18">
        <f t="shared" si="16"/>
        <v>175.60763888888886</v>
      </c>
      <c r="J27" s="18">
        <f t="shared" si="16"/>
        <v>23.437500000000004</v>
      </c>
      <c r="K27" s="18">
        <f t="shared" si="16"/>
        <v>0</v>
      </c>
      <c r="L27" s="18">
        <f t="shared" si="16"/>
        <v>0</v>
      </c>
      <c r="M27" s="18">
        <f t="shared" si="16"/>
        <v>0</v>
      </c>
      <c r="N27" s="18">
        <f t="shared" si="16"/>
        <v>0</v>
      </c>
      <c r="O27" s="18">
        <f t="shared" si="16"/>
        <v>0</v>
      </c>
      <c r="P27" s="18">
        <f t="shared" si="16"/>
        <v>0</v>
      </c>
      <c r="Q27" s="18">
        <f t="shared" si="16"/>
        <v>0</v>
      </c>
      <c r="R27" s="18">
        <f t="shared" si="16"/>
        <v>0</v>
      </c>
      <c r="S27" s="18">
        <f t="shared" si="16"/>
        <v>0</v>
      </c>
      <c r="T27" s="18">
        <f t="shared" si="16"/>
        <v>0</v>
      </c>
      <c r="U27" s="18">
        <f t="shared" si="16"/>
        <v>0</v>
      </c>
      <c r="V27" s="18">
        <f t="shared" si="16"/>
        <v>0</v>
      </c>
      <c r="W27" s="18">
        <f t="shared" si="16"/>
        <v>0</v>
      </c>
      <c r="X27" s="18">
        <f t="shared" si="16"/>
        <v>0</v>
      </c>
      <c r="Y27" s="18">
        <f t="shared" si="16"/>
        <v>0</v>
      </c>
      <c r="Z27" s="18">
        <f t="shared" si="16"/>
        <v>0</v>
      </c>
      <c r="AA27" s="18">
        <f t="shared" si="16"/>
        <v>0</v>
      </c>
      <c r="AB27" s="18">
        <f t="shared" si="16"/>
        <v>0</v>
      </c>
      <c r="AC27" s="18">
        <f t="shared" si="16"/>
        <v>0</v>
      </c>
      <c r="AD27" s="18">
        <f t="shared" si="16"/>
        <v>0</v>
      </c>
      <c r="AE27" s="18">
        <f t="shared" si="16"/>
        <v>0</v>
      </c>
      <c r="AF27" s="18">
        <f t="shared" si="16"/>
        <v>0</v>
      </c>
      <c r="AG27" s="18">
        <f t="shared" si="16"/>
        <v>0</v>
      </c>
      <c r="AH27" s="18">
        <f t="shared" si="16"/>
        <v>0</v>
      </c>
      <c r="AI27" s="18">
        <f t="shared" si="16"/>
        <v>0</v>
      </c>
      <c r="AJ27" s="18">
        <f t="shared" si="16"/>
        <v>0</v>
      </c>
      <c r="AK27" s="18">
        <f t="shared" si="16"/>
        <v>0</v>
      </c>
      <c r="AL27" s="42"/>
      <c r="AM27" s="43">
        <v>11</v>
      </c>
      <c r="AN27">
        <v>366.6011907970975</v>
      </c>
      <c r="AO27">
        <v>34.53773899987582</v>
      </c>
      <c r="AP27">
        <v>105.16802381996948</v>
      </c>
      <c r="AQ27">
        <v>260.13015251455636</v>
      </c>
      <c r="AR27">
        <v>36.015320342068051</v>
      </c>
      <c r="AS27">
        <v>298.67922348949833</v>
      </c>
      <c r="AT27">
        <v>16.883629941955235</v>
      </c>
      <c r="AU27">
        <v>41.375857289348097</v>
      </c>
      <c r="AV27"/>
      <c r="AW27"/>
      <c r="FY27" s="213">
        <v>22</v>
      </c>
      <c r="FZ27">
        <v>61.134251205784203</v>
      </c>
      <c r="GA27">
        <v>67.070401262525451</v>
      </c>
      <c r="GB27">
        <v>11.660345360942852</v>
      </c>
      <c r="GC27">
        <v>5.2649012788657696</v>
      </c>
      <c r="GD27">
        <v>3.6711743938246664</v>
      </c>
      <c r="GE27">
        <v>5.8303143935327162</v>
      </c>
      <c r="GF27">
        <v>7.9429361743221136</v>
      </c>
      <c r="GG27">
        <v>3.7220973921366864</v>
      </c>
      <c r="GH27">
        <v>8.5945319345738636</v>
      </c>
      <c r="GI27">
        <v>17.175317071148669</v>
      </c>
      <c r="GJ27"/>
      <c r="GK27"/>
      <c r="GL27"/>
      <c r="GM27"/>
      <c r="GN27" s="208"/>
      <c r="GO27" s="208"/>
      <c r="GP27" s="208"/>
      <c r="GQ27" s="208"/>
      <c r="GR27" s="208"/>
      <c r="GS27" s="208"/>
      <c r="GT27" s="208"/>
      <c r="GU27" s="213">
        <v>22</v>
      </c>
    </row>
    <row r="28" spans="1:203" s="7" customFormat="1">
      <c r="A28" s="51"/>
      <c r="B28" s="1"/>
      <c r="C28" s="48" t="s">
        <v>120</v>
      </c>
      <c r="D28" s="49">
        <f>SUM(G28:AK28)</f>
        <v>325.07997068232953</v>
      </c>
      <c r="E28" s="18">
        <f>C12-C11</f>
        <v>39</v>
      </c>
      <c r="F28" s="50"/>
      <c r="G28" s="18">
        <f t="shared" si="16"/>
        <v>39.0625</v>
      </c>
      <c r="H28" s="18">
        <f t="shared" si="16"/>
        <v>128.6021051974013</v>
      </c>
      <c r="I28" s="18">
        <f t="shared" si="16"/>
        <v>111.63194444444446</v>
      </c>
      <c r="J28" s="18">
        <f t="shared" si="16"/>
        <v>45.262587707150445</v>
      </c>
      <c r="K28" s="18">
        <f t="shared" si="16"/>
        <v>0.52083333333333326</v>
      </c>
      <c r="L28" s="18">
        <f t="shared" si="16"/>
        <v>0</v>
      </c>
      <c r="M28" s="18">
        <f t="shared" si="16"/>
        <v>0</v>
      </c>
      <c r="N28" s="18">
        <f t="shared" si="16"/>
        <v>0</v>
      </c>
      <c r="O28" s="18">
        <f t="shared" si="16"/>
        <v>0</v>
      </c>
      <c r="P28" s="18">
        <f t="shared" si="16"/>
        <v>0</v>
      </c>
      <c r="Q28" s="18">
        <f t="shared" si="16"/>
        <v>0</v>
      </c>
      <c r="R28" s="18">
        <f t="shared" si="16"/>
        <v>0</v>
      </c>
      <c r="S28" s="18">
        <f t="shared" si="16"/>
        <v>0</v>
      </c>
      <c r="T28" s="18">
        <f t="shared" si="16"/>
        <v>0</v>
      </c>
      <c r="U28" s="18">
        <f t="shared" si="16"/>
        <v>0</v>
      </c>
      <c r="V28" s="18">
        <f t="shared" si="16"/>
        <v>0</v>
      </c>
      <c r="W28" s="18">
        <f t="shared" si="16"/>
        <v>0</v>
      </c>
      <c r="X28" s="18">
        <f t="shared" si="16"/>
        <v>0</v>
      </c>
      <c r="Y28" s="18">
        <f t="shared" si="16"/>
        <v>0</v>
      </c>
      <c r="Z28" s="18">
        <f t="shared" si="16"/>
        <v>0</v>
      </c>
      <c r="AA28" s="18">
        <f t="shared" si="16"/>
        <v>0</v>
      </c>
      <c r="AB28" s="18">
        <f t="shared" si="16"/>
        <v>0</v>
      </c>
      <c r="AC28" s="18">
        <f t="shared" si="16"/>
        <v>0</v>
      </c>
      <c r="AD28" s="18">
        <f t="shared" si="16"/>
        <v>0</v>
      </c>
      <c r="AE28" s="18">
        <f t="shared" si="16"/>
        <v>0</v>
      </c>
      <c r="AF28" s="18">
        <f t="shared" si="16"/>
        <v>0</v>
      </c>
      <c r="AG28" s="18">
        <f t="shared" si="16"/>
        <v>0</v>
      </c>
      <c r="AH28" s="18">
        <f t="shared" si="16"/>
        <v>0</v>
      </c>
      <c r="AI28" s="18">
        <f t="shared" si="16"/>
        <v>0</v>
      </c>
      <c r="AJ28" s="18">
        <f t="shared" si="16"/>
        <v>0</v>
      </c>
      <c r="AK28" s="18">
        <f t="shared" si="16"/>
        <v>0</v>
      </c>
      <c r="AL28" s="42"/>
      <c r="AM28" s="43">
        <v>12</v>
      </c>
      <c r="AN28">
        <v>297.48727808709305</v>
      </c>
      <c r="AO28">
        <v>28.900011638506676</v>
      </c>
      <c r="AP28">
        <v>83.756048017406172</v>
      </c>
      <c r="AQ28">
        <v>212.06980620850169</v>
      </c>
      <c r="AR28">
        <v>30.13882028305316</v>
      </c>
      <c r="AS28">
        <v>241.24326697451278</v>
      </c>
      <c r="AT28">
        <v>13.573919070591437</v>
      </c>
      <c r="AU28">
        <v>5.6086744264178279</v>
      </c>
      <c r="AV28"/>
      <c r="AW28"/>
      <c r="FY28" s="213">
        <v>23</v>
      </c>
      <c r="FZ28">
        <v>50.269815611502679</v>
      </c>
      <c r="GA28">
        <v>19.448901768899233</v>
      </c>
      <c r="GB28">
        <v>4.9302566236691163</v>
      </c>
      <c r="GC28">
        <v>7.3034799028761412</v>
      </c>
      <c r="GD28">
        <v>5.6933830387611337</v>
      </c>
      <c r="GE28">
        <v>2.6589268406228679</v>
      </c>
      <c r="GF28">
        <v>14.600617759425377</v>
      </c>
      <c r="GG28">
        <v>16.181952469569076</v>
      </c>
      <c r="GH28">
        <v>8.7740537101778724</v>
      </c>
      <c r="GI28">
        <v>15.886775996718596</v>
      </c>
      <c r="GJ28"/>
      <c r="GK28"/>
      <c r="GL28"/>
      <c r="GM28"/>
      <c r="GN28" s="208"/>
      <c r="GO28" s="208"/>
      <c r="GP28" s="208"/>
      <c r="GQ28" s="208"/>
      <c r="GR28" s="208"/>
      <c r="GS28" s="208"/>
      <c r="GT28" s="208"/>
      <c r="GU28" s="213">
        <v>23</v>
      </c>
    </row>
    <row r="29" spans="1:203" s="7" customFormat="1">
      <c r="A29" s="51"/>
      <c r="B29" s="1"/>
      <c r="C29" s="48" t="s">
        <v>121</v>
      </c>
      <c r="D29" s="49">
        <f>SUM(G29:AK29)</f>
        <v>74.886230746741745</v>
      </c>
      <c r="E29" s="18">
        <f>C13-C12</f>
        <v>38</v>
      </c>
      <c r="F29" s="50"/>
      <c r="G29" s="18">
        <f t="shared" si="16"/>
        <v>0</v>
      </c>
      <c r="H29" s="18">
        <f t="shared" si="16"/>
        <v>22.100494891443166</v>
      </c>
      <c r="I29" s="18">
        <f t="shared" si="16"/>
        <v>25.231481481481481</v>
      </c>
      <c r="J29" s="18">
        <f t="shared" si="16"/>
        <v>22.866754373817109</v>
      </c>
      <c r="K29" s="18">
        <f t="shared" si="16"/>
        <v>0.52083333333333326</v>
      </c>
      <c r="L29" s="18">
        <f t="shared" si="16"/>
        <v>2.083333333333333</v>
      </c>
      <c r="M29" s="18">
        <f t="shared" si="16"/>
        <v>1.0416666666666665</v>
      </c>
      <c r="N29" s="18">
        <f t="shared" si="16"/>
        <v>0</v>
      </c>
      <c r="O29" s="18">
        <f t="shared" si="16"/>
        <v>1.0416666666666665</v>
      </c>
      <c r="P29" s="18">
        <f t="shared" si="16"/>
        <v>0</v>
      </c>
      <c r="Q29" s="18">
        <f t="shared" si="16"/>
        <v>0</v>
      </c>
      <c r="R29" s="18">
        <f t="shared" si="16"/>
        <v>0</v>
      </c>
      <c r="S29" s="18">
        <f t="shared" si="16"/>
        <v>0</v>
      </c>
      <c r="T29" s="18">
        <f t="shared" si="16"/>
        <v>0</v>
      </c>
      <c r="U29" s="18">
        <f t="shared" si="16"/>
        <v>0</v>
      </c>
      <c r="V29" s="18">
        <f t="shared" si="16"/>
        <v>0</v>
      </c>
      <c r="W29" s="18">
        <f t="shared" si="16"/>
        <v>0</v>
      </c>
      <c r="X29" s="18">
        <f t="shared" si="16"/>
        <v>0</v>
      </c>
      <c r="Y29" s="18">
        <f t="shared" si="16"/>
        <v>0</v>
      </c>
      <c r="Z29" s="18">
        <f t="shared" si="16"/>
        <v>0</v>
      </c>
      <c r="AA29" s="18">
        <f t="shared" si="16"/>
        <v>0</v>
      </c>
      <c r="AB29" s="18">
        <f t="shared" si="16"/>
        <v>0</v>
      </c>
      <c r="AC29" s="18">
        <f t="shared" si="16"/>
        <v>0</v>
      </c>
      <c r="AD29" s="18">
        <f t="shared" si="16"/>
        <v>0</v>
      </c>
      <c r="AE29" s="18">
        <f t="shared" si="16"/>
        <v>0</v>
      </c>
      <c r="AF29" s="18">
        <f t="shared" si="16"/>
        <v>0</v>
      </c>
      <c r="AG29" s="18">
        <f t="shared" si="16"/>
        <v>0</v>
      </c>
      <c r="AH29" s="18">
        <f t="shared" si="16"/>
        <v>0</v>
      </c>
      <c r="AI29" s="18">
        <f t="shared" si="16"/>
        <v>0</v>
      </c>
      <c r="AJ29" s="18">
        <f t="shared" si="16"/>
        <v>0</v>
      </c>
      <c r="AK29" s="18">
        <f t="shared" si="16"/>
        <v>0</v>
      </c>
      <c r="AL29" s="42"/>
      <c r="AM29" s="43">
        <v>13</v>
      </c>
      <c r="AN29">
        <v>232.87563095288365</v>
      </c>
      <c r="AO29">
        <v>24.585140467006887</v>
      </c>
      <c r="AP29">
        <v>71.179268119399154</v>
      </c>
      <c r="AQ29">
        <v>172.80804374073114</v>
      </c>
      <c r="AR29">
        <v>26.397487651554364</v>
      </c>
      <c r="AS29">
        <v>204.21257994899415</v>
      </c>
      <c r="AT29">
        <v>10.055439811460948</v>
      </c>
      <c r="AU29">
        <v>7.0367939096347492</v>
      </c>
      <c r="AV29"/>
      <c r="AW29"/>
      <c r="FY29" s="213">
        <v>24</v>
      </c>
      <c r="FZ29">
        <v>26.213110708855684</v>
      </c>
      <c r="GA29">
        <v>59.279422043756824</v>
      </c>
      <c r="GB29">
        <v>18.439027329812383</v>
      </c>
      <c r="GC29">
        <v>4.633306270209741</v>
      </c>
      <c r="GD29">
        <v>3.6236687333252506</v>
      </c>
      <c r="GE29">
        <v>5.7661563833738017</v>
      </c>
      <c r="GF29">
        <v>13.924448816118561</v>
      </c>
      <c r="GG29">
        <v>10.649261989776425</v>
      </c>
      <c r="GH29">
        <v>28.052836185719311</v>
      </c>
      <c r="GI29">
        <v>18.514367894498005</v>
      </c>
      <c r="GJ29"/>
      <c r="GK29"/>
      <c r="GL29"/>
      <c r="GM29"/>
      <c r="GN29" s="208"/>
      <c r="GO29" s="208"/>
      <c r="GP29" s="208"/>
      <c r="GQ29" s="208"/>
      <c r="GR29" s="208"/>
      <c r="GS29" s="208"/>
      <c r="GT29" s="208"/>
      <c r="GU29" s="213">
        <v>24</v>
      </c>
    </row>
    <row r="30" spans="1:203" s="7" customFormat="1">
      <c r="A30" s="51"/>
      <c r="B30" s="1"/>
      <c r="C30" s="48" t="s">
        <v>122</v>
      </c>
      <c r="D30" s="49">
        <f>SUM(G30:AK30)</f>
        <v>336.04481783483101</v>
      </c>
      <c r="E30" s="18">
        <v>24</v>
      </c>
      <c r="F30" s="50"/>
      <c r="G30" s="18">
        <f>AVERAGE(G70:G79)</f>
        <v>19.659705261957278</v>
      </c>
      <c r="H30" s="18">
        <f t="shared" ref="H30:AK30" si="17">AVERAGE(H70:H79)</f>
        <v>190.15069861745383</v>
      </c>
      <c r="I30" s="18">
        <f t="shared" si="17"/>
        <v>100.45967453898977</v>
      </c>
      <c r="J30" s="18">
        <f t="shared" si="17"/>
        <v>17.441406083096759</v>
      </c>
      <c r="K30" s="18">
        <f t="shared" si="17"/>
        <v>2.291666666666667</v>
      </c>
      <c r="L30" s="18">
        <f t="shared" si="17"/>
        <v>2.9166666666666665</v>
      </c>
      <c r="M30" s="18">
        <f t="shared" si="17"/>
        <v>1.0416666666666665</v>
      </c>
      <c r="N30" s="18">
        <f t="shared" si="17"/>
        <v>0.83333333333333326</v>
      </c>
      <c r="O30" s="18">
        <f t="shared" si="17"/>
        <v>0.52083333333333326</v>
      </c>
      <c r="P30" s="18">
        <f t="shared" si="17"/>
        <v>0.3125</v>
      </c>
      <c r="Q30" s="18">
        <f t="shared" si="17"/>
        <v>0.31249999999999994</v>
      </c>
      <c r="R30" s="18">
        <f t="shared" si="17"/>
        <v>0.10416666666666666</v>
      </c>
      <c r="S30" s="18">
        <f t="shared" si="17"/>
        <v>0</v>
      </c>
      <c r="T30" s="18">
        <f t="shared" si="17"/>
        <v>0</v>
      </c>
      <c r="U30" s="18">
        <f t="shared" si="17"/>
        <v>0</v>
      </c>
      <c r="V30" s="18">
        <f t="shared" si="17"/>
        <v>0</v>
      </c>
      <c r="W30" s="18">
        <f t="shared" si="17"/>
        <v>0</v>
      </c>
      <c r="X30" s="18">
        <f t="shared" si="17"/>
        <v>0</v>
      </c>
      <c r="Y30" s="18">
        <f t="shared" si="17"/>
        <v>0</v>
      </c>
      <c r="Z30" s="18">
        <f t="shared" si="17"/>
        <v>0</v>
      </c>
      <c r="AA30" s="18">
        <f t="shared" si="17"/>
        <v>0</v>
      </c>
      <c r="AB30" s="18">
        <f t="shared" si="17"/>
        <v>0</v>
      </c>
      <c r="AC30" s="18">
        <f t="shared" si="17"/>
        <v>0</v>
      </c>
      <c r="AD30" s="18">
        <f t="shared" si="17"/>
        <v>0</v>
      </c>
      <c r="AE30" s="18">
        <f t="shared" si="17"/>
        <v>0</v>
      </c>
      <c r="AF30" s="18">
        <f t="shared" si="17"/>
        <v>0</v>
      </c>
      <c r="AG30" s="18">
        <f t="shared" si="17"/>
        <v>0</v>
      </c>
      <c r="AH30" s="18">
        <f t="shared" si="17"/>
        <v>0</v>
      </c>
      <c r="AI30" s="18">
        <f t="shared" si="17"/>
        <v>0</v>
      </c>
      <c r="AJ30" s="18">
        <f t="shared" si="17"/>
        <v>0</v>
      </c>
      <c r="AK30" s="18">
        <f t="shared" si="17"/>
        <v>0</v>
      </c>
      <c r="AL30" s="42"/>
      <c r="AM30" s="43">
        <v>14</v>
      </c>
      <c r="AN30">
        <v>226.49459613433291</v>
      </c>
      <c r="AO30">
        <v>27.240457918468678</v>
      </c>
      <c r="AP30">
        <v>61.609522605312094</v>
      </c>
      <c r="AQ30">
        <v>208.04704639973966</v>
      </c>
      <c r="AR30">
        <v>28.868875601537635</v>
      </c>
      <c r="AS30">
        <v>227.61685755312917</v>
      </c>
      <c r="AT30">
        <v>12.800343669631717</v>
      </c>
      <c r="AU30">
        <v>4.0353892249881262</v>
      </c>
      <c r="AV30"/>
      <c r="AW30"/>
      <c r="FY30" s="213">
        <v>25</v>
      </c>
      <c r="FZ30">
        <v>19.885731387961389</v>
      </c>
      <c r="GA30">
        <v>20.501630845011775</v>
      </c>
      <c r="GB30">
        <v>8.6175006376820171</v>
      </c>
      <c r="GC30">
        <v>7.6675110222598732</v>
      </c>
      <c r="GD30">
        <v>6.0012007416846354</v>
      </c>
      <c r="GE30">
        <v>5.5727424703809794</v>
      </c>
      <c r="GF30">
        <v>25.108862629721955</v>
      </c>
      <c r="GG30">
        <v>20.687130543641182</v>
      </c>
      <c r="GH30">
        <v>10.83405521181238</v>
      </c>
      <c r="GI30">
        <v>15.063947331771963</v>
      </c>
      <c r="GJ30"/>
      <c r="GK30"/>
      <c r="GL30"/>
      <c r="GM30"/>
      <c r="GN30" s="208"/>
      <c r="GO30" s="208"/>
      <c r="GP30" s="208"/>
      <c r="GQ30" s="208"/>
      <c r="GR30" s="208"/>
      <c r="GS30" s="208"/>
      <c r="GT30" s="208"/>
      <c r="GU30" s="213">
        <v>25</v>
      </c>
    </row>
    <row r="31" spans="1:203" s="7" customFormat="1">
      <c r="A31" s="51"/>
      <c r="B31" s="1"/>
      <c r="C31" s="48"/>
      <c r="D31" s="49"/>
      <c r="E31" s="18"/>
      <c r="F31" s="50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42"/>
      <c r="AM31" s="43">
        <v>15</v>
      </c>
      <c r="AN31">
        <v>369.90361162000966</v>
      </c>
      <c r="AO31">
        <v>25.514934667693872</v>
      </c>
      <c r="AP31">
        <v>138.75531816646716</v>
      </c>
      <c r="AQ31">
        <v>178.19059536556318</v>
      </c>
      <c r="AR31">
        <v>26.309246215298959</v>
      </c>
      <c r="AS31">
        <v>257.90894581361289</v>
      </c>
      <c r="AT31">
        <v>13.638310184636945</v>
      </c>
      <c r="AU31">
        <v>98.986879548692485</v>
      </c>
      <c r="AV31"/>
      <c r="AW31"/>
      <c r="FY31" s="213">
        <v>26</v>
      </c>
      <c r="FZ31">
        <v>31.906023391941481</v>
      </c>
      <c r="GA31">
        <v>33.929282060654629</v>
      </c>
      <c r="GB31">
        <v>12.296076058998651</v>
      </c>
      <c r="GC31">
        <v>5.2096326354822118</v>
      </c>
      <c r="GD31">
        <v>5.8840450712728298</v>
      </c>
      <c r="GE31">
        <v>9.547532645771879</v>
      </c>
      <c r="GF31">
        <v>11.027241705029805</v>
      </c>
      <c r="GG31">
        <v>9.6521701843808358</v>
      </c>
      <c r="GH31">
        <v>14.269015340004652</v>
      </c>
      <c r="GI31">
        <v>15.840343367465188</v>
      </c>
      <c r="GJ31"/>
      <c r="GK31"/>
      <c r="GL31"/>
      <c r="GM31"/>
      <c r="GN31" s="208"/>
      <c r="GO31" s="208"/>
      <c r="GP31" s="208"/>
      <c r="GQ31" s="208"/>
      <c r="GR31" s="208"/>
      <c r="GS31" s="208"/>
      <c r="GT31" s="208"/>
      <c r="GU31" s="213">
        <v>26</v>
      </c>
    </row>
    <row r="32" spans="1:203" s="7" customFormat="1">
      <c r="A32" s="51"/>
      <c r="B32" s="1"/>
      <c r="C32" s="52" t="s">
        <v>43</v>
      </c>
      <c r="D32" s="53">
        <f>AVERAGE(D21:D31)</f>
        <v>358.87383665535106</v>
      </c>
      <c r="E32" s="18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42"/>
      <c r="AM32" s="43">
        <v>16</v>
      </c>
      <c r="AN32">
        <v>359.65742125958894</v>
      </c>
      <c r="AO32">
        <v>28.32907351706324</v>
      </c>
      <c r="AP32">
        <v>102.72208572256066</v>
      </c>
      <c r="AQ32">
        <v>211.1318155538427</v>
      </c>
      <c r="AR32">
        <v>29.168970217792261</v>
      </c>
      <c r="AS32">
        <v>292.95572612041599</v>
      </c>
      <c r="AT32">
        <v>13.631363566151826</v>
      </c>
      <c r="AU32">
        <v>30.52671574597731</v>
      </c>
      <c r="AV32"/>
      <c r="AW32"/>
      <c r="FY32" s="213">
        <v>27</v>
      </c>
      <c r="FZ32">
        <v>55.627307710385217</v>
      </c>
      <c r="GA32">
        <v>63.2013652653199</v>
      </c>
      <c r="GB32">
        <v>11.499506336554877</v>
      </c>
      <c r="GC32">
        <v>4.4591232806376411</v>
      </c>
      <c r="GD32">
        <v>4.3921839218363994</v>
      </c>
      <c r="GE32">
        <v>5.8987905739254742</v>
      </c>
      <c r="GF32">
        <v>21.451941078472604</v>
      </c>
      <c r="GG32">
        <v>19.956141335227173</v>
      </c>
      <c r="GH32">
        <v>17.910401591788581</v>
      </c>
      <c r="GI32">
        <v>20.729055574002388</v>
      </c>
      <c r="GJ32"/>
      <c r="GK32"/>
      <c r="GL32"/>
      <c r="GM32"/>
      <c r="GN32" s="208"/>
      <c r="GO32" s="208"/>
      <c r="GP32" s="208"/>
      <c r="GQ32" s="208"/>
      <c r="GR32" s="208"/>
      <c r="GS32" s="208"/>
      <c r="GT32" s="208"/>
      <c r="GU32" s="213">
        <v>27</v>
      </c>
    </row>
    <row r="33" spans="1:203" s="7" customFormat="1">
      <c r="A33" s="51"/>
      <c r="B33" s="36"/>
      <c r="C33" s="19"/>
      <c r="D33" s="54"/>
      <c r="E33" s="54"/>
      <c r="F33" s="55"/>
      <c r="G33" s="55"/>
      <c r="H33" s="54"/>
      <c r="I33" s="55"/>
      <c r="J33" s="19"/>
      <c r="K33" s="56"/>
      <c r="L33" s="55"/>
      <c r="M33" s="54"/>
      <c r="N33" s="55"/>
      <c r="O33" s="55"/>
      <c r="P33" s="55"/>
      <c r="Q33" s="54"/>
      <c r="R33" s="54"/>
      <c r="S33" s="54"/>
      <c r="T33" s="54"/>
      <c r="U33" s="54"/>
      <c r="V33" s="54"/>
      <c r="W33" s="54"/>
      <c r="X33" s="54"/>
      <c r="Y33" s="54"/>
      <c r="Z33" s="54"/>
      <c r="AA33" s="54"/>
      <c r="AB33" s="54"/>
      <c r="AC33" s="54"/>
      <c r="AD33" s="54"/>
      <c r="AE33" s="54"/>
      <c r="AF33" s="54"/>
      <c r="AG33" s="54"/>
      <c r="AH33" s="54"/>
      <c r="AI33" s="54"/>
      <c r="AJ33" s="54"/>
      <c r="AK33" s="54"/>
      <c r="AL33" s="42"/>
      <c r="AM33" s="43">
        <v>17</v>
      </c>
      <c r="AN33">
        <v>214.43996405103047</v>
      </c>
      <c r="AO33">
        <v>16.224506282904585</v>
      </c>
      <c r="AP33">
        <v>85.701754346309144</v>
      </c>
      <c r="AQ33">
        <v>117.55536194681915</v>
      </c>
      <c r="AR33">
        <v>18.384539459394755</v>
      </c>
      <c r="AS33">
        <v>166.86743617067106</v>
      </c>
      <c r="AT33">
        <v>9.2721613187068357</v>
      </c>
      <c r="AU33">
        <v>43.135032027916267</v>
      </c>
      <c r="AV33"/>
      <c r="AW33"/>
      <c r="FY33" s="213">
        <v>28</v>
      </c>
      <c r="FZ33">
        <v>39.738039744038012</v>
      </c>
      <c r="GA33">
        <v>47.875049453875285</v>
      </c>
      <c r="GB33">
        <v>8.5822198436850634</v>
      </c>
      <c r="GC33">
        <v>7.1770110672425407</v>
      </c>
      <c r="GD33">
        <v>5.2145237085666709</v>
      </c>
      <c r="GE33">
        <v>4.7113465236220531</v>
      </c>
      <c r="GF33">
        <v>28.108079750133601</v>
      </c>
      <c r="GG33">
        <v>24.398872108788854</v>
      </c>
      <c r="GH33">
        <v>13.428091776973799</v>
      </c>
      <c r="GI33">
        <v>18.477887102387403</v>
      </c>
      <c r="GJ33"/>
      <c r="GK33"/>
      <c r="GL33"/>
      <c r="GM33"/>
      <c r="GN33" s="208"/>
      <c r="GO33" s="208"/>
      <c r="GP33" s="208"/>
      <c r="GQ33" s="208"/>
      <c r="GR33" s="208"/>
      <c r="GS33" s="208"/>
      <c r="GT33" s="208"/>
      <c r="GU33" s="213">
        <v>28</v>
      </c>
    </row>
    <row r="34" spans="1:203" s="7" customFormat="1">
      <c r="A34" s="51"/>
      <c r="B34" s="36"/>
      <c r="C34" s="10" t="s">
        <v>44</v>
      </c>
      <c r="D34" s="10"/>
      <c r="E34" s="10"/>
      <c r="F34" s="10"/>
      <c r="G34" s="11" t="s">
        <v>33</v>
      </c>
      <c r="H34" s="45"/>
      <c r="I34" s="45"/>
      <c r="J34" s="45"/>
      <c r="K34" s="45"/>
      <c r="L34" s="45"/>
      <c r="M34" s="45"/>
      <c r="N34" s="45"/>
      <c r="O34" s="46"/>
      <c r="P34" s="46"/>
      <c r="Q34" s="47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42"/>
      <c r="AM34" s="43">
        <v>18</v>
      </c>
      <c r="AN34">
        <v>324.08319137400622</v>
      </c>
      <c r="AO34">
        <v>29.253545308455916</v>
      </c>
      <c r="AP34">
        <v>96.73197833981888</v>
      </c>
      <c r="AQ34">
        <v>201.78660186753584</v>
      </c>
      <c r="AR34">
        <v>29.15127130008927</v>
      </c>
      <c r="AS34">
        <v>270.32079290052661</v>
      </c>
      <c r="AT34">
        <v>12.362400258010188</v>
      </c>
      <c r="AU34">
        <v>-9.497211313414109</v>
      </c>
      <c r="AV34"/>
      <c r="AW34"/>
      <c r="FY34" s="213">
        <v>29</v>
      </c>
      <c r="FZ34">
        <v>42.837542898608639</v>
      </c>
      <c r="GA34">
        <v>34.450403465899228</v>
      </c>
      <c r="GB34">
        <v>12.547580343478824</v>
      </c>
      <c r="GC34">
        <v>8.0987289741879831</v>
      </c>
      <c r="GD34">
        <v>7.1248330751921891</v>
      </c>
      <c r="GE34">
        <v>7.2694741543013377</v>
      </c>
      <c r="GF34">
        <v>23.351441605336312</v>
      </c>
      <c r="GG34">
        <v>19.584519358741687</v>
      </c>
      <c r="GH34">
        <v>8.2926527138674064</v>
      </c>
      <c r="GI34">
        <v>19.524180646460419</v>
      </c>
      <c r="GJ34"/>
      <c r="GK34"/>
      <c r="GL34"/>
      <c r="GM34"/>
      <c r="GN34" s="208"/>
      <c r="GO34" s="208"/>
      <c r="GP34" s="208"/>
      <c r="GQ34" s="208"/>
      <c r="GR34" s="208"/>
      <c r="GS34" s="208"/>
      <c r="GT34" s="208"/>
      <c r="GU34" s="213">
        <v>29</v>
      </c>
    </row>
    <row r="35" spans="1:203" s="7" customFormat="1">
      <c r="A35" s="51"/>
      <c r="B35" s="36"/>
      <c r="C35" s="11"/>
      <c r="D35" s="10"/>
      <c r="E35" s="13"/>
      <c r="F35" s="13"/>
      <c r="G35" s="44" t="s">
        <v>37</v>
      </c>
      <c r="H35" s="45">
        <v>1</v>
      </c>
      <c r="I35" s="45">
        <v>2</v>
      </c>
      <c r="J35" s="45">
        <v>3</v>
      </c>
      <c r="K35" s="45">
        <v>4</v>
      </c>
      <c r="L35" s="45">
        <v>5</v>
      </c>
      <c r="M35" s="45">
        <v>6</v>
      </c>
      <c r="N35" s="45">
        <v>7</v>
      </c>
      <c r="O35" s="46">
        <v>8</v>
      </c>
      <c r="P35" s="46">
        <v>9</v>
      </c>
      <c r="Q35" s="47">
        <v>10</v>
      </c>
      <c r="R35" s="46">
        <v>11</v>
      </c>
      <c r="S35" s="47">
        <v>12</v>
      </c>
      <c r="T35" s="46">
        <v>13</v>
      </c>
      <c r="U35" s="47">
        <v>14</v>
      </c>
      <c r="V35" s="46">
        <v>15</v>
      </c>
      <c r="W35" s="47">
        <v>16</v>
      </c>
      <c r="X35" s="46">
        <v>17</v>
      </c>
      <c r="Y35" s="47">
        <v>18</v>
      </c>
      <c r="Z35" s="46">
        <v>19</v>
      </c>
      <c r="AA35" s="47">
        <v>20</v>
      </c>
      <c r="AB35" s="46">
        <v>21</v>
      </c>
      <c r="AC35" s="47">
        <v>22</v>
      </c>
      <c r="AD35" s="46">
        <v>23</v>
      </c>
      <c r="AE35" s="47">
        <v>24</v>
      </c>
      <c r="AF35" s="46">
        <v>25</v>
      </c>
      <c r="AG35" s="47">
        <v>26</v>
      </c>
      <c r="AH35" s="46">
        <v>27</v>
      </c>
      <c r="AI35" s="47">
        <v>28</v>
      </c>
      <c r="AJ35" s="46">
        <v>29</v>
      </c>
      <c r="AK35" s="47">
        <v>30</v>
      </c>
      <c r="AL35" s="42"/>
      <c r="AM35" s="43">
        <v>19</v>
      </c>
      <c r="AN35">
        <v>349.80920072947981</v>
      </c>
      <c r="AO35">
        <v>27.813221067469861</v>
      </c>
      <c r="AP35">
        <v>90.780409178832372</v>
      </c>
      <c r="AQ35">
        <v>206.34502740403872</v>
      </c>
      <c r="AR35">
        <v>28.643260563639004</v>
      </c>
      <c r="AS35">
        <v>283.51287697212854</v>
      </c>
      <c r="AT35">
        <v>13.906025818406279</v>
      </c>
      <c r="AU35">
        <v>67.18312771935696</v>
      </c>
      <c r="AV35"/>
      <c r="AW35"/>
      <c r="FY35" s="213">
        <v>30</v>
      </c>
      <c r="FZ35">
        <v>55.493092842756774</v>
      </c>
      <c r="GA35">
        <v>68.782679844661445</v>
      </c>
      <c r="GB35">
        <v>11.424103636714332</v>
      </c>
      <c r="GC35">
        <v>5.6576006006499915</v>
      </c>
      <c r="GD35">
        <v>4.4859425002714453</v>
      </c>
      <c r="GE35">
        <v>5.7074571744562226</v>
      </c>
      <c r="GF35">
        <v>22.981737279465737</v>
      </c>
      <c r="GG35">
        <v>18.568576499829334</v>
      </c>
      <c r="GH35">
        <v>15.178100452278336</v>
      </c>
      <c r="GI35">
        <v>20.639326844662307</v>
      </c>
      <c r="GJ35"/>
      <c r="GK35"/>
      <c r="GL35"/>
      <c r="GM35"/>
      <c r="GN35" s="208"/>
      <c r="GO35" s="208"/>
      <c r="GP35" s="208"/>
      <c r="GQ35" s="208"/>
      <c r="GR35" s="208"/>
      <c r="GS35" s="208"/>
      <c r="GT35" s="208"/>
      <c r="GU35" s="213">
        <v>30</v>
      </c>
    </row>
    <row r="36" spans="1:203" s="7" customFormat="1">
      <c r="A36" s="51"/>
      <c r="B36" s="57"/>
      <c r="C36" s="12" t="s">
        <v>34</v>
      </c>
      <c r="D36" s="58"/>
      <c r="E36" s="10" t="s">
        <v>45</v>
      </c>
      <c r="F36" s="13"/>
      <c r="G36" s="59">
        <f>(1-($A$43/100))*($A$39*(0.5^$A$41))</f>
        <v>1.8156463984709309E-3</v>
      </c>
      <c r="H36" s="59">
        <f t="shared" ref="H36:AK36" si="18">(1-($A$43/100))*($A$39*(H35^$A$41))</f>
        <v>1.15313E-2</v>
      </c>
      <c r="I36" s="59">
        <f t="shared" si="18"/>
        <v>7.3236110182017297E-2</v>
      </c>
      <c r="J36" s="59">
        <f t="shared" si="18"/>
        <v>0.21595370395129135</v>
      </c>
      <c r="K36" s="59">
        <f t="shared" si="18"/>
        <v>0.46512776829954805</v>
      </c>
      <c r="L36" s="59">
        <f t="shared" si="18"/>
        <v>0.84339548649291773</v>
      </c>
      <c r="M36" s="59">
        <f t="shared" si="18"/>
        <v>1.3715374031368122</v>
      </c>
      <c r="N36" s="59">
        <f t="shared" si="18"/>
        <v>2.0689726212277471</v>
      </c>
      <c r="O36" s="59">
        <f t="shared" si="18"/>
        <v>2.9540596886648949</v>
      </c>
      <c r="P36" s="59">
        <f t="shared" si="18"/>
        <v>4.0442970220427874</v>
      </c>
      <c r="Q36" s="59">
        <f t="shared" si="18"/>
        <v>5.3564649931760897</v>
      </c>
      <c r="R36" s="59">
        <f t="shared" si="18"/>
        <v>6.9067313280301672</v>
      </c>
      <c r="S36" s="59">
        <f t="shared" si="18"/>
        <v>8.7107320401763371</v>
      </c>
      <c r="T36" s="59">
        <f t="shared" si="18"/>
        <v>10.783635296383494</v>
      </c>
      <c r="U36" s="59">
        <f t="shared" si="18"/>
        <v>13.140192940241995</v>
      </c>
      <c r="V36" s="59">
        <f t="shared" si="18"/>
        <v>15.794782826216199</v>
      </c>
      <c r="W36" s="59">
        <f t="shared" si="18"/>
        <v>18.761444142752168</v>
      </c>
      <c r="X36" s="59">
        <f t="shared" si="18"/>
        <v>22.053907275344272</v>
      </c>
      <c r="Y36" s="59">
        <f t="shared" si="18"/>
        <v>25.685619341716023</v>
      </c>
      <c r="Z36" s="59">
        <f t="shared" si="18"/>
        <v>29.669766243653644</v>
      </c>
      <c r="AA36" s="59">
        <f t="shared" si="18"/>
        <v>34.019291877443351</v>
      </c>
      <c r="AB36" s="59">
        <f t="shared" si="18"/>
        <v>38.746914998997923</v>
      </c>
      <c r="AC36" s="59">
        <f t="shared" si="18"/>
        <v>43.865144132683035</v>
      </c>
      <c r="AD36" s="59">
        <f t="shared" si="18"/>
        <v>49.386290832891866</v>
      </c>
      <c r="AE36" s="59">
        <f t="shared" si="18"/>
        <v>55.322481546779947</v>
      </c>
      <c r="AF36" s="59">
        <f t="shared" si="18"/>
        <v>61.685668279953298</v>
      </c>
      <c r="AG36" s="59">
        <f t="shared" si="18"/>
        <v>68.487638230609974</v>
      </c>
      <c r="AH36" s="59">
        <f t="shared" si="18"/>
        <v>75.740022529057185</v>
      </c>
      <c r="AI36" s="59">
        <f t="shared" si="18"/>
        <v>83.454304196797253</v>
      </c>
      <c r="AJ36" s="59">
        <f t="shared" si="18"/>
        <v>91.64182542111466</v>
      </c>
      <c r="AK36" s="59">
        <f t="shared" si="18"/>
        <v>100.31379422630621</v>
      </c>
      <c r="AL36" s="42"/>
      <c r="AM36" s="43">
        <v>20</v>
      </c>
      <c r="AN36">
        <v>352.73194301198953</v>
      </c>
      <c r="AO36">
        <v>26.111362856975994</v>
      </c>
      <c r="AP36">
        <v>87.936604611850584</v>
      </c>
      <c r="AQ36">
        <v>180.77981224185632</v>
      </c>
      <c r="AR36">
        <v>26.022162999418416</v>
      </c>
      <c r="AS36">
        <v>262.60911736274164</v>
      </c>
      <c r="AT36">
        <v>12.436877616376487</v>
      </c>
      <c r="AU36">
        <v>56.529899636454843</v>
      </c>
      <c r="AV36"/>
      <c r="AW36"/>
      <c r="FY36" s="213">
        <v>31</v>
      </c>
      <c r="FZ36">
        <v>38.585476257534559</v>
      </c>
      <c r="GA36">
        <v>33.130199472134166</v>
      </c>
      <c r="GB36">
        <v>11.85577649024774</v>
      </c>
      <c r="GC36">
        <v>8.9090801373341399</v>
      </c>
      <c r="GD36">
        <v>8.2559932712843711</v>
      </c>
      <c r="GE36">
        <v>6.0868245298259298</v>
      </c>
      <c r="GF36">
        <v>29.120668340764439</v>
      </c>
      <c r="GG36">
        <v>27.840291713883072</v>
      </c>
      <c r="GH36">
        <v>8.6240273817549848</v>
      </c>
      <c r="GI36">
        <v>20.410436799610729</v>
      </c>
      <c r="GJ36"/>
      <c r="GK36"/>
      <c r="GL36"/>
      <c r="GM36"/>
      <c r="GN36" s="208"/>
      <c r="GO36" s="208"/>
      <c r="GP36" s="208"/>
      <c r="GQ36" s="208"/>
      <c r="GR36" s="208"/>
      <c r="GS36" s="208"/>
      <c r="GT36" s="208"/>
      <c r="GU36" s="213">
        <v>31</v>
      </c>
    </row>
    <row r="37" spans="1:203" s="7" customFormat="1">
      <c r="A37" s="9" t="s">
        <v>46</v>
      </c>
      <c r="B37" s="57"/>
      <c r="C37" s="48" t="s">
        <v>38</v>
      </c>
      <c r="D37" s="49">
        <f t="shared" ref="D37:D42" si="19">IF(SUM(G37:AK37)&lt;0.0001, 0, SUM(G37:AK37))</f>
        <v>47.425284609645587</v>
      </c>
      <c r="E37" s="107">
        <f t="shared" ref="E37:E46" si="20">+D37/D21</f>
        <v>0.4407993258323904</v>
      </c>
      <c r="F37" s="18"/>
      <c r="G37" s="49">
        <f t="shared" ref="G37:G43" si="21">G21*G$36</f>
        <v>0</v>
      </c>
      <c r="H37" s="49">
        <f t="shared" ref="H37:AK40" si="22">H21*H$36</f>
        <v>2.4023541666666662E-2</v>
      </c>
      <c r="I37" s="49">
        <f t="shared" si="22"/>
        <v>3.4928829335322242</v>
      </c>
      <c r="J37" s="49">
        <f t="shared" si="22"/>
        <v>6.0736979236300694</v>
      </c>
      <c r="K37" s="49">
        <f t="shared" si="22"/>
        <v>4.6028268737976106</v>
      </c>
      <c r="L37" s="49">
        <f t="shared" si="22"/>
        <v>8.7853696509678922</v>
      </c>
      <c r="M37" s="49">
        <f t="shared" si="22"/>
        <v>3.5717119873354481</v>
      </c>
      <c r="N37" s="49">
        <f t="shared" si="22"/>
        <v>8.6207192551156115</v>
      </c>
      <c r="O37" s="49">
        <f t="shared" si="22"/>
        <v>3.0771455090259319</v>
      </c>
      <c r="P37" s="49">
        <f t="shared" si="22"/>
        <v>0</v>
      </c>
      <c r="Q37" s="49">
        <f t="shared" si="22"/>
        <v>5.5796510345584256</v>
      </c>
      <c r="R37" s="49">
        <f t="shared" si="22"/>
        <v>3.5972559000157114</v>
      </c>
      <c r="S37" s="49">
        <f t="shared" si="22"/>
        <v>0</v>
      </c>
      <c r="T37" s="49">
        <f t="shared" si="22"/>
        <v>0</v>
      </c>
      <c r="U37" s="49">
        <f t="shared" si="22"/>
        <v>0</v>
      </c>
      <c r="V37" s="49">
        <f t="shared" si="22"/>
        <v>0</v>
      </c>
      <c r="W37" s="49">
        <f t="shared" si="22"/>
        <v>0</v>
      </c>
      <c r="X37" s="49">
        <f t="shared" si="22"/>
        <v>0</v>
      </c>
      <c r="Y37" s="49">
        <f t="shared" si="22"/>
        <v>0</v>
      </c>
      <c r="Z37" s="49">
        <f t="shared" si="22"/>
        <v>0</v>
      </c>
      <c r="AA37" s="49">
        <f t="shared" si="22"/>
        <v>0</v>
      </c>
      <c r="AB37" s="49">
        <f t="shared" si="22"/>
        <v>0</v>
      </c>
      <c r="AC37" s="49">
        <f t="shared" si="22"/>
        <v>0</v>
      </c>
      <c r="AD37" s="49">
        <f t="shared" si="22"/>
        <v>0</v>
      </c>
      <c r="AE37" s="49">
        <f t="shared" si="22"/>
        <v>0</v>
      </c>
      <c r="AF37" s="49">
        <f t="shared" si="22"/>
        <v>0</v>
      </c>
      <c r="AG37" s="49">
        <f t="shared" si="22"/>
        <v>0</v>
      </c>
      <c r="AH37" s="49">
        <f t="shared" si="22"/>
        <v>0</v>
      </c>
      <c r="AI37" s="49">
        <f t="shared" si="22"/>
        <v>0</v>
      </c>
      <c r="AJ37" s="49">
        <f t="shared" si="22"/>
        <v>0</v>
      </c>
      <c r="AK37" s="49">
        <f t="shared" si="22"/>
        <v>0</v>
      </c>
      <c r="AL37" s="42"/>
      <c r="AM37" s="43">
        <v>21</v>
      </c>
      <c r="AN37">
        <v>290.05925828605785</v>
      </c>
      <c r="AO37">
        <v>22.855428114762837</v>
      </c>
      <c r="AP37">
        <v>113.38382913762509</v>
      </c>
      <c r="AQ37">
        <v>157.35027605328304</v>
      </c>
      <c r="AR37">
        <v>23.113554161886327</v>
      </c>
      <c r="AS37">
        <v>215.66086201777892</v>
      </c>
      <c r="AT37">
        <v>11.130503140537682</v>
      </c>
      <c r="AU37">
        <v>56.179302221454648</v>
      </c>
      <c r="AV37"/>
      <c r="AW37"/>
      <c r="FY37" s="213">
        <v>32</v>
      </c>
      <c r="FZ37">
        <v>62.948876813113785</v>
      </c>
      <c r="GA37">
        <v>59.963611815414986</v>
      </c>
      <c r="GB37">
        <v>6.8931141712186434</v>
      </c>
      <c r="GC37">
        <v>5.5433769727417435</v>
      </c>
      <c r="GD37">
        <v>4.7948706836024719</v>
      </c>
      <c r="GE37">
        <v>4.8063785059002493</v>
      </c>
      <c r="GF37">
        <v>16.904781137320729</v>
      </c>
      <c r="GG37">
        <v>16.736955946680364</v>
      </c>
      <c r="GH37">
        <v>17.764596273016227</v>
      </c>
      <c r="GI37">
        <v>19.872919858526757</v>
      </c>
      <c r="GJ37"/>
      <c r="GK37"/>
      <c r="GL37"/>
      <c r="GM37"/>
      <c r="GN37" s="208"/>
      <c r="GO37" s="208"/>
      <c r="GP37" s="208"/>
      <c r="GQ37" s="208"/>
      <c r="GR37" s="208"/>
      <c r="GS37" s="208"/>
      <c r="GT37" s="208"/>
      <c r="GU37" s="213">
        <v>32</v>
      </c>
    </row>
    <row r="38" spans="1:203" s="7" customFormat="1">
      <c r="A38" s="9" t="s">
        <v>47</v>
      </c>
      <c r="B38" s="57"/>
      <c r="C38" s="48" t="s">
        <v>39</v>
      </c>
      <c r="D38" s="49">
        <f t="shared" si="19"/>
        <v>25.862338850260251</v>
      </c>
      <c r="E38" s="107">
        <f t="shared" si="20"/>
        <v>0.28329174620287173</v>
      </c>
      <c r="F38" s="18"/>
      <c r="G38" s="49">
        <f t="shared" si="21"/>
        <v>2.0972058114058553E-2</v>
      </c>
      <c r="H38" s="49">
        <f t="shared" si="22"/>
        <v>0.54973225386424729</v>
      </c>
      <c r="I38" s="49">
        <f t="shared" si="22"/>
        <v>1.1279668755712489</v>
      </c>
      <c r="J38" s="49">
        <f t="shared" si="22"/>
        <v>0.33742766242389266</v>
      </c>
      <c r="K38" s="49">
        <f t="shared" si="22"/>
        <v>1.9380323679147833</v>
      </c>
      <c r="L38" s="49">
        <f t="shared" si="22"/>
        <v>3.5141478603871565</v>
      </c>
      <c r="M38" s="49">
        <f t="shared" si="22"/>
        <v>3.5717119873354481</v>
      </c>
      <c r="N38" s="49">
        <f t="shared" si="22"/>
        <v>1.0775899068894514</v>
      </c>
      <c r="O38" s="49">
        <f t="shared" si="22"/>
        <v>4.6157182635388976</v>
      </c>
      <c r="P38" s="49">
        <f t="shared" si="22"/>
        <v>6.3192140969418551</v>
      </c>
      <c r="Q38" s="49">
        <f t="shared" si="22"/>
        <v>2.7898255172792128</v>
      </c>
      <c r="R38" s="49">
        <f t="shared" si="22"/>
        <v>0</v>
      </c>
      <c r="S38" s="49">
        <f t="shared" si="22"/>
        <v>0</v>
      </c>
      <c r="T38" s="49">
        <f t="shared" si="22"/>
        <v>0</v>
      </c>
      <c r="U38" s="49">
        <f t="shared" si="22"/>
        <v>0</v>
      </c>
      <c r="V38" s="49">
        <f t="shared" si="22"/>
        <v>0</v>
      </c>
      <c r="W38" s="49">
        <f t="shared" si="22"/>
        <v>0</v>
      </c>
      <c r="X38" s="49">
        <f t="shared" si="22"/>
        <v>0</v>
      </c>
      <c r="Y38" s="49">
        <f t="shared" si="22"/>
        <v>0</v>
      </c>
      <c r="Z38" s="49">
        <f t="shared" si="22"/>
        <v>0</v>
      </c>
      <c r="AA38" s="49">
        <f t="shared" si="22"/>
        <v>0</v>
      </c>
      <c r="AB38" s="49">
        <f t="shared" si="22"/>
        <v>0</v>
      </c>
      <c r="AC38" s="49">
        <f t="shared" si="22"/>
        <v>0</v>
      </c>
      <c r="AD38" s="49">
        <f t="shared" si="22"/>
        <v>0</v>
      </c>
      <c r="AE38" s="49">
        <f t="shared" si="22"/>
        <v>0</v>
      </c>
      <c r="AF38" s="49">
        <f t="shared" si="22"/>
        <v>0</v>
      </c>
      <c r="AG38" s="49">
        <f t="shared" si="22"/>
        <v>0</v>
      </c>
      <c r="AH38" s="49">
        <f t="shared" si="22"/>
        <v>0</v>
      </c>
      <c r="AI38" s="49">
        <f t="shared" si="22"/>
        <v>0</v>
      </c>
      <c r="AJ38" s="49">
        <f t="shared" si="22"/>
        <v>0</v>
      </c>
      <c r="AK38" s="49">
        <f t="shared" si="22"/>
        <v>0</v>
      </c>
      <c r="AL38" s="42"/>
      <c r="AM38" s="43">
        <v>22</v>
      </c>
      <c r="AN38">
        <v>282.0314332515556</v>
      </c>
      <c r="AO38">
        <v>24.945665133552705</v>
      </c>
      <c r="AP38">
        <v>69.215691581944668</v>
      </c>
      <c r="AQ38">
        <v>192.06627046765698</v>
      </c>
      <c r="AR38">
        <v>25.44085100221908</v>
      </c>
      <c r="AS38">
        <v>222.98375492603395</v>
      </c>
      <c r="AT38">
        <v>12.249935314984482</v>
      </c>
      <c r="AU38">
        <v>-5.3634444511207846</v>
      </c>
      <c r="AV38"/>
      <c r="AW38"/>
      <c r="FY38" s="213">
        <v>33</v>
      </c>
      <c r="FZ38">
        <v>60.159351392569533</v>
      </c>
      <c r="GA38">
        <v>60.009825417376142</v>
      </c>
      <c r="GB38">
        <v>15.312122645385861</v>
      </c>
      <c r="GC38">
        <v>6.4826243579519618</v>
      </c>
      <c r="GD38">
        <v>6.0057926505003056</v>
      </c>
      <c r="GE38">
        <v>6.8541314446075834</v>
      </c>
      <c r="GF38">
        <v>19.682064964585944</v>
      </c>
      <c r="GG38">
        <v>15.641635798665899</v>
      </c>
      <c r="GH38">
        <v>8.7537934890302882</v>
      </c>
      <c r="GI38">
        <v>21.63515085391559</v>
      </c>
      <c r="GJ38"/>
      <c r="GK38"/>
      <c r="GL38"/>
      <c r="GM38"/>
      <c r="GN38" s="208"/>
      <c r="GO38" s="208"/>
      <c r="GP38" s="208"/>
      <c r="GQ38" s="208"/>
      <c r="GR38" s="208"/>
      <c r="GS38" s="208"/>
      <c r="GT38" s="208"/>
      <c r="GU38" s="213">
        <v>33</v>
      </c>
    </row>
    <row r="39" spans="1:203" s="7" customFormat="1">
      <c r="A39" s="114">
        <v>1.21E-2</v>
      </c>
      <c r="B39" s="57"/>
      <c r="C39" s="48" t="s">
        <v>40</v>
      </c>
      <c r="D39" s="49">
        <f t="shared" si="19"/>
        <v>19.142080996599745</v>
      </c>
      <c r="E39" s="107">
        <f t="shared" si="20"/>
        <v>6.1763409357900985E-2</v>
      </c>
      <c r="F39" s="18"/>
      <c r="G39" s="49">
        <f t="shared" si="21"/>
        <v>3.4762775116333418E-2</v>
      </c>
      <c r="H39" s="49">
        <f t="shared" si="22"/>
        <v>2.9948735352510831</v>
      </c>
      <c r="I39" s="49">
        <f t="shared" si="22"/>
        <v>1.7790479025025807</v>
      </c>
      <c r="J39" s="49">
        <f t="shared" si="22"/>
        <v>0.2249517749492618</v>
      </c>
      <c r="K39" s="49">
        <f t="shared" si="22"/>
        <v>0</v>
      </c>
      <c r="L39" s="49">
        <f t="shared" si="22"/>
        <v>1.3178054476451839</v>
      </c>
      <c r="M39" s="49">
        <f t="shared" si="22"/>
        <v>2.1430271924012692</v>
      </c>
      <c r="N39" s="49">
        <f t="shared" si="22"/>
        <v>0</v>
      </c>
      <c r="O39" s="49">
        <f t="shared" si="22"/>
        <v>1.5385727545129659</v>
      </c>
      <c r="P39" s="49">
        <f t="shared" si="22"/>
        <v>6.3192140969418551</v>
      </c>
      <c r="Q39" s="49">
        <f t="shared" si="22"/>
        <v>2.7898255172792128</v>
      </c>
      <c r="R39" s="49">
        <f t="shared" si="22"/>
        <v>0</v>
      </c>
      <c r="S39" s="49">
        <f t="shared" si="22"/>
        <v>0</v>
      </c>
      <c r="T39" s="49">
        <f t="shared" si="22"/>
        <v>0</v>
      </c>
      <c r="U39" s="49">
        <f t="shared" si="22"/>
        <v>0</v>
      </c>
      <c r="V39" s="49">
        <f t="shared" si="22"/>
        <v>0</v>
      </c>
      <c r="W39" s="49">
        <f t="shared" si="22"/>
        <v>0</v>
      </c>
      <c r="X39" s="49">
        <f t="shared" si="22"/>
        <v>0</v>
      </c>
      <c r="Y39" s="49">
        <f t="shared" si="22"/>
        <v>0</v>
      </c>
      <c r="Z39" s="49">
        <f t="shared" si="22"/>
        <v>0</v>
      </c>
      <c r="AA39" s="49">
        <f t="shared" si="22"/>
        <v>0</v>
      </c>
      <c r="AB39" s="49">
        <f t="shared" si="22"/>
        <v>0</v>
      </c>
      <c r="AC39" s="49">
        <f t="shared" si="22"/>
        <v>0</v>
      </c>
      <c r="AD39" s="49">
        <f t="shared" si="22"/>
        <v>0</v>
      </c>
      <c r="AE39" s="49">
        <f t="shared" si="22"/>
        <v>0</v>
      </c>
      <c r="AF39" s="49">
        <f t="shared" si="22"/>
        <v>0</v>
      </c>
      <c r="AG39" s="49">
        <f t="shared" si="22"/>
        <v>0</v>
      </c>
      <c r="AH39" s="49">
        <f t="shared" si="22"/>
        <v>0</v>
      </c>
      <c r="AI39" s="49">
        <f t="shared" si="22"/>
        <v>0</v>
      </c>
      <c r="AJ39" s="49">
        <f t="shared" si="22"/>
        <v>0</v>
      </c>
      <c r="AK39" s="49">
        <f t="shared" si="22"/>
        <v>0</v>
      </c>
      <c r="AL39" s="42"/>
      <c r="AM39" s="43">
        <v>23</v>
      </c>
      <c r="AN39">
        <v>264.20112336318635</v>
      </c>
      <c r="AO39">
        <v>20.691061452698442</v>
      </c>
      <c r="AP39">
        <v>55.12109665420396</v>
      </c>
      <c r="AQ39">
        <v>145.7481637222221</v>
      </c>
      <c r="AR39">
        <v>23.118307319821888</v>
      </c>
      <c r="AS39">
        <v>209.11908362026159</v>
      </c>
      <c r="AT39">
        <v>11.832122188088533</v>
      </c>
      <c r="AU39">
        <v>57.98088927592417</v>
      </c>
      <c r="AV39"/>
      <c r="AW39"/>
      <c r="FY39" s="213">
        <v>34</v>
      </c>
      <c r="FZ39">
        <v>74.958848155847974</v>
      </c>
      <c r="GA39">
        <v>52.783563374299206</v>
      </c>
      <c r="GB39">
        <v>5.0670287817250781</v>
      </c>
      <c r="GC39">
        <v>4.8587093091883808</v>
      </c>
      <c r="GD39">
        <v>4.1656119856422684</v>
      </c>
      <c r="GE39">
        <v>5.280474599579005</v>
      </c>
      <c r="GF39">
        <v>20.710603764561728</v>
      </c>
      <c r="GG39">
        <v>17.866286240383765</v>
      </c>
      <c r="GH39">
        <v>8.4220760028222852</v>
      </c>
      <c r="GI39">
        <v>19.70505799902406</v>
      </c>
      <c r="GJ39"/>
      <c r="GK39"/>
      <c r="GL39"/>
      <c r="GM39"/>
      <c r="GN39" s="208"/>
      <c r="GO39" s="208"/>
      <c r="GP39" s="208"/>
      <c r="GQ39" s="208"/>
      <c r="GR39" s="208"/>
      <c r="GS39" s="208"/>
      <c r="GT39" s="208"/>
      <c r="GU39" s="213">
        <v>34</v>
      </c>
    </row>
    <row r="40" spans="1:203" s="7" customFormat="1">
      <c r="A40" s="9" t="s">
        <v>48</v>
      </c>
      <c r="B40" s="57"/>
      <c r="C40" s="48" t="s">
        <v>41</v>
      </c>
      <c r="D40" s="49">
        <f t="shared" si="19"/>
        <v>21.196333982645417</v>
      </c>
      <c r="E40" s="107">
        <f t="shared" si="20"/>
        <v>3.4245879302913805E-2</v>
      </c>
      <c r="F40" s="18"/>
      <c r="G40" s="49">
        <f t="shared" si="21"/>
        <v>3.6065976943358072E-2</v>
      </c>
      <c r="H40" s="49">
        <f t="shared" si="22"/>
        <v>4.615335477319376</v>
      </c>
      <c r="I40" s="49">
        <f t="shared" si="22"/>
        <v>13.778857260234739</v>
      </c>
      <c r="J40" s="49">
        <f t="shared" si="22"/>
        <v>2.084552739610201</v>
      </c>
      <c r="K40" s="49">
        <f t="shared" si="22"/>
        <v>0.24225404598934791</v>
      </c>
      <c r="L40" s="49">
        <f t="shared" si="22"/>
        <v>0.43926848254839457</v>
      </c>
      <c r="M40" s="49">
        <f t="shared" si="22"/>
        <v>0</v>
      </c>
      <c r="N40" s="49">
        <f t="shared" si="22"/>
        <v>0</v>
      </c>
      <c r="O40" s="49">
        <f t="shared" si="22"/>
        <v>0</v>
      </c>
      <c r="P40" s="49">
        <f t="shared" si="22"/>
        <v>0</v>
      </c>
      <c r="Q40" s="49">
        <f t="shared" si="22"/>
        <v>0</v>
      </c>
      <c r="R40" s="49">
        <f t="shared" si="22"/>
        <v>0</v>
      </c>
      <c r="S40" s="49">
        <f t="shared" si="22"/>
        <v>0</v>
      </c>
      <c r="T40" s="49">
        <f t="shared" si="22"/>
        <v>0</v>
      </c>
      <c r="U40" s="49">
        <f t="shared" si="22"/>
        <v>0</v>
      </c>
      <c r="V40" s="49">
        <f t="shared" si="22"/>
        <v>0</v>
      </c>
      <c r="W40" s="49">
        <f t="shared" si="22"/>
        <v>0</v>
      </c>
      <c r="X40" s="49">
        <f t="shared" si="22"/>
        <v>0</v>
      </c>
      <c r="Y40" s="49">
        <f t="shared" si="22"/>
        <v>0</v>
      </c>
      <c r="Z40" s="49">
        <f t="shared" si="22"/>
        <v>0</v>
      </c>
      <c r="AA40" s="49">
        <f t="shared" si="22"/>
        <v>0</v>
      </c>
      <c r="AB40" s="49">
        <f t="shared" si="22"/>
        <v>0</v>
      </c>
      <c r="AC40" s="49">
        <f t="shared" si="22"/>
        <v>0</v>
      </c>
      <c r="AD40" s="49">
        <f t="shared" si="22"/>
        <v>0</v>
      </c>
      <c r="AE40" s="49">
        <f t="shared" si="22"/>
        <v>0</v>
      </c>
      <c r="AF40" s="49">
        <f t="shared" si="22"/>
        <v>0</v>
      </c>
      <c r="AG40" s="49">
        <f t="shared" si="22"/>
        <v>0</v>
      </c>
      <c r="AH40" s="49">
        <f t="shared" si="22"/>
        <v>0</v>
      </c>
      <c r="AI40" s="49">
        <f t="shared" si="22"/>
        <v>0</v>
      </c>
      <c r="AJ40" s="49">
        <f t="shared" si="22"/>
        <v>0</v>
      </c>
      <c r="AK40" s="49">
        <f t="shared" si="22"/>
        <v>0</v>
      </c>
      <c r="AL40" s="42"/>
      <c r="AM40" s="43">
        <v>24</v>
      </c>
      <c r="AN40">
        <v>301.88197182309739</v>
      </c>
      <c r="AO40">
        <v>26.811361537169205</v>
      </c>
      <c r="AP40">
        <v>97.225020651387325</v>
      </c>
      <c r="AQ40">
        <v>189.09560635544597</v>
      </c>
      <c r="AR40">
        <v>27.774685237471438</v>
      </c>
      <c r="AS40">
        <v>249.35839300430254</v>
      </c>
      <c r="AT40">
        <v>10.198546261010341</v>
      </c>
      <c r="AU40">
        <v>-14.688390462210272</v>
      </c>
      <c r="AV40"/>
      <c r="AW40"/>
      <c r="FY40" s="213">
        <v>35</v>
      </c>
      <c r="FZ40">
        <v>31.191557336795398</v>
      </c>
      <c r="GA40">
        <v>30.023114501968742</v>
      </c>
      <c r="GB40">
        <v>12.84969179829994</v>
      </c>
      <c r="GC40">
        <v>5.1909163235992359</v>
      </c>
      <c r="GD40">
        <v>4.0635549069521018</v>
      </c>
      <c r="GE40">
        <v>7.0057707783053402</v>
      </c>
      <c r="GF40">
        <v>11.975791666288268</v>
      </c>
      <c r="GG40">
        <v>6.3493681250542542</v>
      </c>
      <c r="GH40">
        <v>13.59681404260999</v>
      </c>
      <c r="GI40">
        <v>14.90014764949545</v>
      </c>
      <c r="GJ40"/>
      <c r="GK40"/>
      <c r="GL40"/>
      <c r="GM40"/>
      <c r="GN40" s="208"/>
      <c r="GO40" s="208"/>
      <c r="GP40" s="208"/>
      <c r="GQ40" s="208"/>
      <c r="GR40" s="208"/>
      <c r="GS40" s="208"/>
      <c r="GT40" s="208"/>
      <c r="GU40" s="213">
        <v>35</v>
      </c>
    </row>
    <row r="41" spans="1:203" s="7" customFormat="1">
      <c r="A41" s="114">
        <v>2.6669999999999998</v>
      </c>
      <c r="B41" s="57"/>
      <c r="C41" s="48" t="s">
        <v>42</v>
      </c>
      <c r="D41" s="49">
        <f t="shared" si="19"/>
        <v>23.431781737527853</v>
      </c>
      <c r="E41" s="107">
        <f t="shared" si="20"/>
        <v>4.3645807888417758E-2</v>
      </c>
      <c r="F41" s="18"/>
      <c r="G41" s="49">
        <f t="shared" si="21"/>
        <v>4.1759789457641104E-2</v>
      </c>
      <c r="H41" s="49">
        <f t="shared" ref="H41:AK43" si="23">H25*H$36</f>
        <v>3.126016901437819</v>
      </c>
      <c r="I41" s="49">
        <f t="shared" si="23"/>
        <v>16.805772182596577</v>
      </c>
      <c r="J41" s="49">
        <f t="shared" si="23"/>
        <v>2.5344562895087246</v>
      </c>
      <c r="K41" s="49">
        <f t="shared" si="23"/>
        <v>0.48450809197869582</v>
      </c>
      <c r="L41" s="49">
        <f t="shared" si="23"/>
        <v>0.43926848254839457</v>
      </c>
      <c r="M41" s="49">
        <f t="shared" si="23"/>
        <v>0</v>
      </c>
      <c r="N41" s="49">
        <f t="shared" si="23"/>
        <v>0</v>
      </c>
      <c r="O41" s="49">
        <f t="shared" si="23"/>
        <v>0</v>
      </c>
      <c r="P41" s="49">
        <f t="shared" si="23"/>
        <v>0</v>
      </c>
      <c r="Q41" s="49">
        <f t="shared" si="23"/>
        <v>0</v>
      </c>
      <c r="R41" s="49">
        <f t="shared" si="23"/>
        <v>0</v>
      </c>
      <c r="S41" s="49">
        <f t="shared" si="23"/>
        <v>0</v>
      </c>
      <c r="T41" s="49">
        <f t="shared" si="23"/>
        <v>0</v>
      </c>
      <c r="U41" s="49">
        <f t="shared" si="23"/>
        <v>0</v>
      </c>
      <c r="V41" s="49">
        <f t="shared" si="23"/>
        <v>0</v>
      </c>
      <c r="W41" s="49">
        <f t="shared" si="23"/>
        <v>0</v>
      </c>
      <c r="X41" s="49">
        <f t="shared" si="23"/>
        <v>0</v>
      </c>
      <c r="Y41" s="49">
        <f t="shared" si="23"/>
        <v>0</v>
      </c>
      <c r="Z41" s="49">
        <f t="shared" si="23"/>
        <v>0</v>
      </c>
      <c r="AA41" s="49">
        <f t="shared" si="23"/>
        <v>0</v>
      </c>
      <c r="AB41" s="49">
        <f t="shared" si="23"/>
        <v>0</v>
      </c>
      <c r="AC41" s="49">
        <f t="shared" si="23"/>
        <v>0</v>
      </c>
      <c r="AD41" s="49">
        <f t="shared" si="23"/>
        <v>0</v>
      </c>
      <c r="AE41" s="49">
        <f t="shared" si="23"/>
        <v>0</v>
      </c>
      <c r="AF41" s="49">
        <f t="shared" si="23"/>
        <v>0</v>
      </c>
      <c r="AG41" s="49">
        <f t="shared" si="23"/>
        <v>0</v>
      </c>
      <c r="AH41" s="49">
        <f t="shared" si="23"/>
        <v>0</v>
      </c>
      <c r="AI41" s="49">
        <f t="shared" si="23"/>
        <v>0</v>
      </c>
      <c r="AJ41" s="49">
        <f t="shared" si="23"/>
        <v>0</v>
      </c>
      <c r="AK41" s="49">
        <f t="shared" si="23"/>
        <v>0</v>
      </c>
      <c r="AL41" s="42"/>
      <c r="AM41" s="43">
        <v>25</v>
      </c>
      <c r="AN41">
        <v>345.52197886763867</v>
      </c>
      <c r="AO41">
        <v>21.324025786947907</v>
      </c>
      <c r="AP41">
        <v>88.246320053817044</v>
      </c>
      <c r="AQ41">
        <v>139.94031282192813</v>
      </c>
      <c r="AR41">
        <v>21.5828858646843</v>
      </c>
      <c r="AS41">
        <v>251.54843800813705</v>
      </c>
      <c r="AT41">
        <v>10.541176832227778</v>
      </c>
      <c r="AU41">
        <v>55.475096839625579</v>
      </c>
      <c r="AV41"/>
      <c r="AW41"/>
      <c r="FY41" s="213">
        <v>36</v>
      </c>
      <c r="FZ41">
        <v>40.141264772619188</v>
      </c>
      <c r="GA41">
        <v>49.799841340695714</v>
      </c>
      <c r="GB41">
        <v>17.054776484185471</v>
      </c>
      <c r="GC41">
        <v>6.2398142523311764</v>
      </c>
      <c r="GD41">
        <v>5.5500237790887743</v>
      </c>
      <c r="GE41">
        <v>6.1924699212972198</v>
      </c>
      <c r="GF41">
        <v>4.9061429354201369</v>
      </c>
      <c r="GG41">
        <v>4.6946917884298198</v>
      </c>
      <c r="GH41">
        <v>18.851283180705003</v>
      </c>
      <c r="GI41">
        <v>18.051628375581949</v>
      </c>
      <c r="GJ41"/>
      <c r="GK41"/>
      <c r="GL41"/>
      <c r="GM41"/>
      <c r="GN41" s="208"/>
      <c r="GO41" s="208"/>
      <c r="GP41" s="208"/>
      <c r="GQ41" s="208"/>
      <c r="GR41" s="208"/>
      <c r="GS41" s="208"/>
      <c r="GT41" s="208"/>
      <c r="GU41" s="213">
        <v>36</v>
      </c>
    </row>
    <row r="42" spans="1:203" s="7" customFormat="1">
      <c r="A42" s="9" t="s">
        <v>49</v>
      </c>
      <c r="B42" s="57"/>
      <c r="C42" s="48" t="s">
        <v>118</v>
      </c>
      <c r="D42" s="49">
        <f t="shared" si="19"/>
        <v>15.514737406035994</v>
      </c>
      <c r="E42" s="107">
        <f t="shared" si="20"/>
        <v>2.8883343375784461E-2</v>
      </c>
      <c r="F42" s="18"/>
      <c r="G42" s="49">
        <f t="shared" si="21"/>
        <v>5.0513642771676345E-2</v>
      </c>
      <c r="H42" s="49">
        <f t="shared" si="23"/>
        <v>4.17460192100007</v>
      </c>
      <c r="I42" s="49">
        <f t="shared" si="23"/>
        <v>10.597464246376376</v>
      </c>
      <c r="J42" s="49">
        <f t="shared" si="23"/>
        <v>0.4499035498985236</v>
      </c>
      <c r="K42" s="49">
        <f t="shared" si="23"/>
        <v>0.24225404598934791</v>
      </c>
      <c r="L42" s="49">
        <f t="shared" si="23"/>
        <v>0</v>
      </c>
      <c r="M42" s="49">
        <f t="shared" si="23"/>
        <v>0</v>
      </c>
      <c r="N42" s="49">
        <f t="shared" si="23"/>
        <v>0</v>
      </c>
      <c r="O42" s="49">
        <f t="shared" si="23"/>
        <v>0</v>
      </c>
      <c r="P42" s="49">
        <f t="shared" si="23"/>
        <v>0</v>
      </c>
      <c r="Q42" s="49">
        <f t="shared" si="23"/>
        <v>0</v>
      </c>
      <c r="R42" s="49">
        <f t="shared" si="23"/>
        <v>0</v>
      </c>
      <c r="S42" s="49">
        <f t="shared" si="23"/>
        <v>0</v>
      </c>
      <c r="T42" s="49">
        <f t="shared" si="23"/>
        <v>0</v>
      </c>
      <c r="U42" s="49">
        <f t="shared" si="23"/>
        <v>0</v>
      </c>
      <c r="V42" s="49">
        <f t="shared" si="23"/>
        <v>0</v>
      </c>
      <c r="W42" s="49">
        <f t="shared" si="23"/>
        <v>0</v>
      </c>
      <c r="X42" s="49">
        <f t="shared" si="23"/>
        <v>0</v>
      </c>
      <c r="Y42" s="49">
        <f t="shared" si="23"/>
        <v>0</v>
      </c>
      <c r="Z42" s="49">
        <f t="shared" si="23"/>
        <v>0</v>
      </c>
      <c r="AA42" s="49">
        <f t="shared" si="23"/>
        <v>0</v>
      </c>
      <c r="AB42" s="49">
        <f t="shared" si="23"/>
        <v>0</v>
      </c>
      <c r="AC42" s="49">
        <f t="shared" si="23"/>
        <v>0</v>
      </c>
      <c r="AD42" s="49">
        <f t="shared" si="23"/>
        <v>0</v>
      </c>
      <c r="AE42" s="49">
        <f t="shared" si="23"/>
        <v>0</v>
      </c>
      <c r="AF42" s="49">
        <f t="shared" si="23"/>
        <v>0</v>
      </c>
      <c r="AG42" s="49">
        <f t="shared" si="23"/>
        <v>0</v>
      </c>
      <c r="AH42" s="49">
        <f t="shared" si="23"/>
        <v>0</v>
      </c>
      <c r="AI42" s="49">
        <f t="shared" si="23"/>
        <v>0</v>
      </c>
      <c r="AJ42" s="49">
        <f t="shared" si="23"/>
        <v>0</v>
      </c>
      <c r="AK42" s="49">
        <f t="shared" si="23"/>
        <v>0</v>
      </c>
      <c r="AL42" s="42"/>
      <c r="AM42" s="43">
        <v>26</v>
      </c>
      <c r="AN42">
        <v>299.27363382081325</v>
      </c>
      <c r="AO42">
        <v>22.145974809995103</v>
      </c>
      <c r="AP42">
        <v>80.856410333151672</v>
      </c>
      <c r="AQ42">
        <v>149.56136246100215</v>
      </c>
      <c r="AR42">
        <v>23.137179225602743</v>
      </c>
      <c r="AS42">
        <v>236.81452585069536</v>
      </c>
      <c r="AT42">
        <v>10.639738348080423</v>
      </c>
      <c r="AU42">
        <v>10.86447992956742</v>
      </c>
      <c r="AV42"/>
      <c r="AW42"/>
      <c r="FY42" s="213">
        <v>37</v>
      </c>
      <c r="FZ42">
        <v>39.080655557659441</v>
      </c>
      <c r="GA42">
        <v>61.314659529389154</v>
      </c>
      <c r="GB42">
        <v>19.397761710007931</v>
      </c>
      <c r="GC42">
        <v>6.2225254512962458</v>
      </c>
      <c r="GD42">
        <v>5.724391097933978</v>
      </c>
      <c r="GE42">
        <v>7.1539364043036704</v>
      </c>
      <c r="GF42">
        <v>16.142328615069435</v>
      </c>
      <c r="GG42">
        <v>12.120318902295255</v>
      </c>
      <c r="GH42">
        <v>16.131647701562837</v>
      </c>
      <c r="GI42">
        <v>20.292438207700933</v>
      </c>
      <c r="GJ42"/>
      <c r="GK42"/>
      <c r="GL42"/>
      <c r="GM42"/>
      <c r="GN42" s="208"/>
      <c r="GO42" s="208"/>
      <c r="GP42" s="208"/>
      <c r="GQ42" s="208"/>
      <c r="GR42" s="208"/>
      <c r="GS42" s="208"/>
      <c r="GT42" s="208"/>
      <c r="GU42" s="213">
        <v>37</v>
      </c>
    </row>
    <row r="43" spans="1:203" s="7" customFormat="1">
      <c r="A43" s="95">
        <v>4.7</v>
      </c>
      <c r="B43" s="1"/>
      <c r="C43" s="48" t="s">
        <v>119</v>
      </c>
      <c r="D43" s="49">
        <f>IF(SUM(G43:AK43)&lt;0.0001, 0, SUM(G43:AK43))</f>
        <v>22.587850467264314</v>
      </c>
      <c r="E43" s="107">
        <f t="shared" si="20"/>
        <v>3.4699263153415372E-2</v>
      </c>
      <c r="F43" s="18"/>
      <c r="G43" s="49">
        <f t="shared" si="21"/>
        <v>0.10195280069538919</v>
      </c>
      <c r="H43" s="49">
        <f t="shared" si="23"/>
        <v>4.5636623397399605</v>
      </c>
      <c r="I43" s="49">
        <f t="shared" si="23"/>
        <v>12.86082039047057</v>
      </c>
      <c r="J43" s="49">
        <f t="shared" si="23"/>
        <v>5.0614149363583918</v>
      </c>
      <c r="K43" s="49">
        <f t="shared" si="23"/>
        <v>0</v>
      </c>
      <c r="L43" s="49">
        <f t="shared" si="23"/>
        <v>0</v>
      </c>
      <c r="M43" s="49">
        <f t="shared" si="23"/>
        <v>0</v>
      </c>
      <c r="N43" s="49">
        <f t="shared" si="23"/>
        <v>0</v>
      </c>
      <c r="O43" s="49">
        <f t="shared" si="23"/>
        <v>0</v>
      </c>
      <c r="P43" s="49">
        <f t="shared" si="23"/>
        <v>0</v>
      </c>
      <c r="Q43" s="49">
        <f t="shared" si="23"/>
        <v>0</v>
      </c>
      <c r="R43" s="49">
        <f t="shared" si="23"/>
        <v>0</v>
      </c>
      <c r="S43" s="49">
        <f t="shared" si="23"/>
        <v>0</v>
      </c>
      <c r="T43" s="49">
        <f t="shared" si="23"/>
        <v>0</v>
      </c>
      <c r="U43" s="49">
        <f t="shared" si="23"/>
        <v>0</v>
      </c>
      <c r="V43" s="49">
        <f t="shared" si="23"/>
        <v>0</v>
      </c>
      <c r="W43" s="49">
        <f t="shared" si="23"/>
        <v>0</v>
      </c>
      <c r="X43" s="49">
        <f t="shared" si="23"/>
        <v>0</v>
      </c>
      <c r="Y43" s="49">
        <f t="shared" si="23"/>
        <v>0</v>
      </c>
      <c r="Z43" s="49">
        <f t="shared" si="23"/>
        <v>0</v>
      </c>
      <c r="AA43" s="49">
        <f t="shared" si="23"/>
        <v>0</v>
      </c>
      <c r="AB43" s="49">
        <f t="shared" si="23"/>
        <v>0</v>
      </c>
      <c r="AC43" s="49">
        <f t="shared" si="23"/>
        <v>0</v>
      </c>
      <c r="AD43" s="49">
        <f t="shared" si="23"/>
        <v>0</v>
      </c>
      <c r="AE43" s="49">
        <f t="shared" si="23"/>
        <v>0</v>
      </c>
      <c r="AF43" s="49">
        <f t="shared" si="23"/>
        <v>0</v>
      </c>
      <c r="AG43" s="49">
        <f t="shared" si="23"/>
        <v>0</v>
      </c>
      <c r="AH43" s="49">
        <f t="shared" si="23"/>
        <v>0</v>
      </c>
      <c r="AI43" s="49">
        <f t="shared" si="23"/>
        <v>0</v>
      </c>
      <c r="AJ43" s="49">
        <f t="shared" si="23"/>
        <v>0</v>
      </c>
      <c r="AK43" s="49">
        <f t="shared" si="23"/>
        <v>0</v>
      </c>
      <c r="AL43" s="42"/>
      <c r="AM43" s="43">
        <v>27</v>
      </c>
      <c r="AN43">
        <v>315.70354128334577</v>
      </c>
      <c r="AO43">
        <v>29.804621248790578</v>
      </c>
      <c r="AP43">
        <v>92.234850674661729</v>
      </c>
      <c r="AQ43">
        <v>225.12581666815024</v>
      </c>
      <c r="AR43">
        <v>30.547319870730231</v>
      </c>
      <c r="AS43">
        <v>288.16443062767172</v>
      </c>
      <c r="AT43">
        <v>13.933883129179852</v>
      </c>
      <c r="AU43">
        <v>-1.5033397097767001</v>
      </c>
      <c r="AV43"/>
      <c r="AW43"/>
      <c r="FY43" s="213">
        <v>38</v>
      </c>
      <c r="FZ43">
        <v>37.438907349382447</v>
      </c>
      <c r="GA43">
        <v>38.238854100945254</v>
      </c>
      <c r="GB43">
        <v>7.6161531847845225</v>
      </c>
      <c r="GC43">
        <v>7.374784318361713</v>
      </c>
      <c r="GD43">
        <v>5.520906326351783</v>
      </c>
      <c r="GE43">
        <v>3.3908693380279491</v>
      </c>
      <c r="GF43">
        <v>14.050756321557182</v>
      </c>
      <c r="GG43">
        <v>12.310615762107386</v>
      </c>
      <c r="GH43">
        <v>7.6572484854305563</v>
      </c>
      <c r="GI43">
        <v>14.585656364412358</v>
      </c>
      <c r="GJ43"/>
      <c r="GK43"/>
      <c r="GL43"/>
      <c r="GM43"/>
      <c r="GN43" s="208"/>
      <c r="GO43" s="208"/>
      <c r="GP43" s="208"/>
      <c r="GQ43" s="208"/>
      <c r="GR43" s="208"/>
      <c r="GS43" s="208"/>
      <c r="GT43" s="208"/>
      <c r="GU43" s="213">
        <v>38</v>
      </c>
    </row>
    <row r="44" spans="1:203" s="7" customFormat="1">
      <c r="A44" s="4"/>
      <c r="B44" s="1"/>
      <c r="C44" s="48" t="s">
        <v>120</v>
      </c>
      <c r="D44" s="49">
        <f>IF(SUM(G44:AK44)&lt;0.0001, 0, SUM(G44:AK44))</f>
        <v>19.746240038037907</v>
      </c>
      <c r="E44" s="107">
        <f t="shared" si="20"/>
        <v>6.0742715082049994E-2</v>
      </c>
      <c r="F44" s="18"/>
      <c r="G44" s="49">
        <f>G28*G36</f>
        <v>7.0923687440270736E-2</v>
      </c>
      <c r="H44" s="49">
        <f t="shared" ref="H44:AK44" si="24">H28*H36</f>
        <v>1.4829494556627936</v>
      </c>
      <c r="I44" s="49">
        <f t="shared" si="24"/>
        <v>8.1754893831661679</v>
      </c>
      <c r="J44" s="49">
        <f t="shared" si="24"/>
        <v>9.7746234657793263</v>
      </c>
      <c r="K44" s="49">
        <f t="shared" si="24"/>
        <v>0.24225404598934791</v>
      </c>
      <c r="L44" s="49">
        <f t="shared" si="24"/>
        <v>0</v>
      </c>
      <c r="M44" s="49">
        <f t="shared" si="24"/>
        <v>0</v>
      </c>
      <c r="N44" s="49">
        <f t="shared" si="24"/>
        <v>0</v>
      </c>
      <c r="O44" s="49">
        <f t="shared" si="24"/>
        <v>0</v>
      </c>
      <c r="P44" s="49">
        <f t="shared" si="24"/>
        <v>0</v>
      </c>
      <c r="Q44" s="49">
        <f t="shared" si="24"/>
        <v>0</v>
      </c>
      <c r="R44" s="49">
        <f t="shared" si="24"/>
        <v>0</v>
      </c>
      <c r="S44" s="49">
        <f t="shared" si="24"/>
        <v>0</v>
      </c>
      <c r="T44" s="49">
        <f t="shared" si="24"/>
        <v>0</v>
      </c>
      <c r="U44" s="49">
        <f t="shared" si="24"/>
        <v>0</v>
      </c>
      <c r="V44" s="49">
        <f t="shared" si="24"/>
        <v>0</v>
      </c>
      <c r="W44" s="49">
        <f t="shared" si="24"/>
        <v>0</v>
      </c>
      <c r="X44" s="49">
        <f t="shared" si="24"/>
        <v>0</v>
      </c>
      <c r="Y44" s="49">
        <f t="shared" si="24"/>
        <v>0</v>
      </c>
      <c r="Z44" s="49">
        <f t="shared" si="24"/>
        <v>0</v>
      </c>
      <c r="AA44" s="49">
        <f t="shared" si="24"/>
        <v>0</v>
      </c>
      <c r="AB44" s="49">
        <f t="shared" si="24"/>
        <v>0</v>
      </c>
      <c r="AC44" s="49">
        <f t="shared" si="24"/>
        <v>0</v>
      </c>
      <c r="AD44" s="49">
        <f t="shared" si="24"/>
        <v>0</v>
      </c>
      <c r="AE44" s="49">
        <f t="shared" si="24"/>
        <v>0</v>
      </c>
      <c r="AF44" s="49">
        <f t="shared" si="24"/>
        <v>0</v>
      </c>
      <c r="AG44" s="49">
        <f t="shared" si="24"/>
        <v>0</v>
      </c>
      <c r="AH44" s="49">
        <f t="shared" si="24"/>
        <v>0</v>
      </c>
      <c r="AI44" s="49">
        <f t="shared" si="24"/>
        <v>0</v>
      </c>
      <c r="AJ44" s="49">
        <f t="shared" si="24"/>
        <v>0</v>
      </c>
      <c r="AK44" s="49">
        <f t="shared" si="24"/>
        <v>0</v>
      </c>
      <c r="AL44" s="42"/>
      <c r="AM44" s="43">
        <v>28</v>
      </c>
      <c r="AN44">
        <v>367.41218865820349</v>
      </c>
      <c r="AO44">
        <v>26.923873643958625</v>
      </c>
      <c r="AP44">
        <v>118.72621901940917</v>
      </c>
      <c r="AQ44">
        <v>197.71112107931327</v>
      </c>
      <c r="AR44">
        <v>26.310126466933628</v>
      </c>
      <c r="AS44">
        <v>268.56536839811889</v>
      </c>
      <c r="AT44">
        <v>13.450121916379196</v>
      </c>
      <c r="AU44">
        <v>12.218528742420736</v>
      </c>
      <c r="AV44"/>
      <c r="AW44"/>
      <c r="FY44" s="213">
        <v>39</v>
      </c>
      <c r="FZ44">
        <v>46.765048447783627</v>
      </c>
      <c r="GA44">
        <v>51.679245885396547</v>
      </c>
      <c r="GB44">
        <v>12.540970562451999</v>
      </c>
      <c r="GC44">
        <v>7.8079186722177321</v>
      </c>
      <c r="GD44">
        <v>6.2190350708845807</v>
      </c>
      <c r="GE44">
        <v>5.4092886855638573</v>
      </c>
      <c r="GF44">
        <v>11.152170148019231</v>
      </c>
      <c r="GG44">
        <v>11.44337990857354</v>
      </c>
      <c r="GH44">
        <v>13.827088824724884</v>
      </c>
      <c r="GI44">
        <v>18.201030365179765</v>
      </c>
      <c r="GJ44"/>
      <c r="GK44"/>
      <c r="GL44"/>
      <c r="GM44"/>
      <c r="GN44" s="208"/>
      <c r="GO44" s="208"/>
      <c r="GP44" s="208"/>
      <c r="GQ44" s="208"/>
      <c r="GR44" s="208"/>
      <c r="GS44" s="208"/>
      <c r="GT44" s="208"/>
      <c r="GU44" s="213">
        <v>39</v>
      </c>
    </row>
    <row r="45" spans="1:203" s="7" customFormat="1">
      <c r="A45" s="4"/>
      <c r="B45" s="1"/>
      <c r="C45" s="48" t="s">
        <v>121</v>
      </c>
      <c r="D45" s="49">
        <f>IF(SUM(G45:AK45)&lt;0.0001, 0, SUM(G45:AK45))</f>
        <v>13.54602157908824</v>
      </c>
      <c r="E45" s="107">
        <f t="shared" si="20"/>
        <v>0.18088801431199847</v>
      </c>
      <c r="F45" s="18"/>
      <c r="G45" s="49">
        <f>G29*G36</f>
        <v>0</v>
      </c>
      <c r="H45" s="49">
        <f t="shared" ref="H45:AK45" si="25">H29*H36</f>
        <v>0.25484743674169857</v>
      </c>
      <c r="I45" s="49">
        <f t="shared" si="25"/>
        <v>1.8478555578333067</v>
      </c>
      <c r="J45" s="49">
        <f t="shared" si="25"/>
        <v>4.9381603043701965</v>
      </c>
      <c r="K45" s="49">
        <f t="shared" si="25"/>
        <v>0.24225404598934791</v>
      </c>
      <c r="L45" s="49">
        <f t="shared" si="25"/>
        <v>1.7570739301935783</v>
      </c>
      <c r="M45" s="49">
        <f t="shared" si="25"/>
        <v>1.4286847949341792</v>
      </c>
      <c r="N45" s="49">
        <f t="shared" si="25"/>
        <v>0</v>
      </c>
      <c r="O45" s="49">
        <f t="shared" si="25"/>
        <v>3.0771455090259319</v>
      </c>
      <c r="P45" s="49">
        <f t="shared" si="25"/>
        <v>0</v>
      </c>
      <c r="Q45" s="49">
        <f t="shared" si="25"/>
        <v>0</v>
      </c>
      <c r="R45" s="49">
        <f t="shared" si="25"/>
        <v>0</v>
      </c>
      <c r="S45" s="49">
        <f t="shared" si="25"/>
        <v>0</v>
      </c>
      <c r="T45" s="49">
        <f t="shared" si="25"/>
        <v>0</v>
      </c>
      <c r="U45" s="49">
        <f t="shared" si="25"/>
        <v>0</v>
      </c>
      <c r="V45" s="49">
        <f t="shared" si="25"/>
        <v>0</v>
      </c>
      <c r="W45" s="49">
        <f t="shared" si="25"/>
        <v>0</v>
      </c>
      <c r="X45" s="49">
        <f t="shared" si="25"/>
        <v>0</v>
      </c>
      <c r="Y45" s="49">
        <f t="shared" si="25"/>
        <v>0</v>
      </c>
      <c r="Z45" s="49">
        <f t="shared" si="25"/>
        <v>0</v>
      </c>
      <c r="AA45" s="49">
        <f t="shared" si="25"/>
        <v>0</v>
      </c>
      <c r="AB45" s="49">
        <f t="shared" si="25"/>
        <v>0</v>
      </c>
      <c r="AC45" s="49">
        <f t="shared" si="25"/>
        <v>0</v>
      </c>
      <c r="AD45" s="49">
        <f t="shared" si="25"/>
        <v>0</v>
      </c>
      <c r="AE45" s="49">
        <f t="shared" si="25"/>
        <v>0</v>
      </c>
      <c r="AF45" s="49">
        <f t="shared" si="25"/>
        <v>0</v>
      </c>
      <c r="AG45" s="49">
        <f t="shared" si="25"/>
        <v>0</v>
      </c>
      <c r="AH45" s="49">
        <f t="shared" si="25"/>
        <v>0</v>
      </c>
      <c r="AI45" s="49">
        <f t="shared" si="25"/>
        <v>0</v>
      </c>
      <c r="AJ45" s="49">
        <f t="shared" si="25"/>
        <v>0</v>
      </c>
      <c r="AK45" s="49">
        <f t="shared" si="25"/>
        <v>0</v>
      </c>
      <c r="AL45" s="42"/>
      <c r="AM45" s="43">
        <v>29</v>
      </c>
      <c r="AN45">
        <v>414.16483362710323</v>
      </c>
      <c r="AO45">
        <v>27.281586239487432</v>
      </c>
      <c r="AP45">
        <v>54.29174873454194</v>
      </c>
      <c r="AQ45">
        <v>183.08135723607401</v>
      </c>
      <c r="AR45">
        <v>28.562897205323758</v>
      </c>
      <c r="AS45">
        <v>270.12930441709238</v>
      </c>
      <c r="AT45">
        <v>12.656576017233894</v>
      </c>
      <c r="AU45">
        <v>24.986071449401589</v>
      </c>
      <c r="AV45"/>
      <c r="AW45"/>
      <c r="FY45" s="213">
        <v>40</v>
      </c>
      <c r="FZ45">
        <v>54.355715222930044</v>
      </c>
      <c r="GA45">
        <v>53.479511915749562</v>
      </c>
      <c r="GB45">
        <v>14.816638390915795</v>
      </c>
      <c r="GC45">
        <v>4.4995427292447818</v>
      </c>
      <c r="GD45">
        <v>4.1807408098872738</v>
      </c>
      <c r="GE45">
        <v>5.5305932523796839</v>
      </c>
      <c r="GF45">
        <v>22.369910358336046</v>
      </c>
      <c r="GG45">
        <v>18.096061575754025</v>
      </c>
      <c r="GH45">
        <v>24.23996408578795</v>
      </c>
      <c r="GI45">
        <v>22.70706602669782</v>
      </c>
      <c r="GJ45"/>
      <c r="GK45"/>
      <c r="GL45"/>
      <c r="GM45"/>
      <c r="GN45" s="208"/>
      <c r="GO45" s="208"/>
      <c r="GP45" s="208"/>
      <c r="GQ45" s="208"/>
      <c r="GR45" s="208"/>
      <c r="GS45" s="208"/>
      <c r="GT45" s="208"/>
      <c r="GU45" s="213">
        <v>40</v>
      </c>
    </row>
    <row r="46" spans="1:203" s="7" customFormat="1">
      <c r="A46" s="4"/>
      <c r="B46" s="1"/>
      <c r="C46" s="48" t="s">
        <v>122</v>
      </c>
      <c r="D46" s="49">
        <f>IF(SUM(G46:AK46)&lt;0.0001, 0, SUM(G46:AK46))</f>
        <v>25.226603878025148</v>
      </c>
      <c r="E46" s="107">
        <f t="shared" si="20"/>
        <v>7.5069165001747609E-2</v>
      </c>
      <c r="F46" s="18"/>
      <c r="G46" s="49">
        <f>G30*G36</f>
        <v>3.569507305387274E-2</v>
      </c>
      <c r="H46" s="49">
        <f t="shared" ref="H46:AK46" si="26">H30*H36</f>
        <v>2.1926847509674454</v>
      </c>
      <c r="I46" s="49">
        <f t="shared" si="26"/>
        <v>7.3572757933870525</v>
      </c>
      <c r="J46" s="49">
        <f t="shared" si="26"/>
        <v>3.7665362457633296</v>
      </c>
      <c r="K46" s="49">
        <f t="shared" si="26"/>
        <v>1.065917802353131</v>
      </c>
      <c r="L46" s="49">
        <f t="shared" si="26"/>
        <v>2.4599035022710098</v>
      </c>
      <c r="M46" s="49">
        <f t="shared" si="26"/>
        <v>1.4286847949341792</v>
      </c>
      <c r="N46" s="49">
        <f t="shared" si="26"/>
        <v>1.7241438510231224</v>
      </c>
      <c r="O46" s="49">
        <f t="shared" si="26"/>
        <v>1.5385727545129659</v>
      </c>
      <c r="P46" s="49">
        <f t="shared" si="26"/>
        <v>1.2638428193883711</v>
      </c>
      <c r="Q46" s="49">
        <f t="shared" si="26"/>
        <v>1.6738953103675278</v>
      </c>
      <c r="R46" s="49">
        <f t="shared" si="26"/>
        <v>0.71945118000314234</v>
      </c>
      <c r="S46" s="49">
        <f t="shared" si="26"/>
        <v>0</v>
      </c>
      <c r="T46" s="49">
        <f t="shared" si="26"/>
        <v>0</v>
      </c>
      <c r="U46" s="49">
        <f t="shared" si="26"/>
        <v>0</v>
      </c>
      <c r="V46" s="49">
        <f t="shared" si="26"/>
        <v>0</v>
      </c>
      <c r="W46" s="49">
        <f t="shared" si="26"/>
        <v>0</v>
      </c>
      <c r="X46" s="49">
        <f t="shared" si="26"/>
        <v>0</v>
      </c>
      <c r="Y46" s="49">
        <f t="shared" si="26"/>
        <v>0</v>
      </c>
      <c r="Z46" s="49">
        <f t="shared" si="26"/>
        <v>0</v>
      </c>
      <c r="AA46" s="49">
        <f t="shared" si="26"/>
        <v>0</v>
      </c>
      <c r="AB46" s="49">
        <f t="shared" si="26"/>
        <v>0</v>
      </c>
      <c r="AC46" s="49">
        <f t="shared" si="26"/>
        <v>0</v>
      </c>
      <c r="AD46" s="49">
        <f t="shared" si="26"/>
        <v>0</v>
      </c>
      <c r="AE46" s="49">
        <f t="shared" si="26"/>
        <v>0</v>
      </c>
      <c r="AF46" s="49">
        <f t="shared" si="26"/>
        <v>0</v>
      </c>
      <c r="AG46" s="49">
        <f t="shared" si="26"/>
        <v>0</v>
      </c>
      <c r="AH46" s="49">
        <f t="shared" si="26"/>
        <v>0</v>
      </c>
      <c r="AI46" s="49">
        <f t="shared" si="26"/>
        <v>0</v>
      </c>
      <c r="AJ46" s="49">
        <f t="shared" si="26"/>
        <v>0</v>
      </c>
      <c r="AK46" s="49">
        <f t="shared" si="26"/>
        <v>0</v>
      </c>
      <c r="AL46" s="42"/>
      <c r="AM46" s="43">
        <v>30</v>
      </c>
      <c r="AN46">
        <v>341.7565320485474</v>
      </c>
      <c r="AO46">
        <v>30.322554443671784</v>
      </c>
      <c r="AP46">
        <v>122.96482354132166</v>
      </c>
      <c r="AQ46">
        <v>228.91861767574591</v>
      </c>
      <c r="AR46">
        <v>30.272916705284374</v>
      </c>
      <c r="AS46">
        <v>269.5286504037075</v>
      </c>
      <c r="AT46">
        <v>13.863123563671797</v>
      </c>
      <c r="AU46">
        <v>13.393606372083546</v>
      </c>
      <c r="AV46"/>
      <c r="AW46"/>
      <c r="FY46" s="213">
        <v>41</v>
      </c>
      <c r="FZ46">
        <v>45.37720772746075</v>
      </c>
      <c r="GA46">
        <v>79.023955965025806</v>
      </c>
      <c r="GB46">
        <v>24.31424388612411</v>
      </c>
      <c r="GC46">
        <v>7.2670069018230672</v>
      </c>
      <c r="GD46">
        <v>5.6703268452791358</v>
      </c>
      <c r="GE46">
        <v>4.4723103558470267</v>
      </c>
      <c r="GF46">
        <v>20.511465867221332</v>
      </c>
      <c r="GG46">
        <v>17.357174662576544</v>
      </c>
      <c r="GH46">
        <v>17.228728306987236</v>
      </c>
      <c r="GI46">
        <v>23.652887993816748</v>
      </c>
      <c r="GJ46"/>
      <c r="GK46"/>
      <c r="GL46"/>
      <c r="GM46"/>
      <c r="GN46" s="208"/>
      <c r="GO46" s="208"/>
      <c r="GP46" s="208"/>
      <c r="GQ46" s="208"/>
      <c r="GR46" s="208"/>
      <c r="GS46" s="208"/>
      <c r="GT46" s="208"/>
      <c r="GU46" s="213">
        <v>41</v>
      </c>
    </row>
    <row r="47" spans="1:203" s="7" customFormat="1">
      <c r="A47" s="4"/>
      <c r="B47" s="1"/>
      <c r="C47" s="48"/>
      <c r="D47" s="49"/>
      <c r="E47" s="107"/>
      <c r="F47" s="18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2"/>
      <c r="AM47" s="43">
        <v>31</v>
      </c>
      <c r="AN47">
        <v>407.11089596671115</v>
      </c>
      <c r="AO47">
        <v>29.266605845985236</v>
      </c>
      <c r="AP47">
        <v>67.60910505277927</v>
      </c>
      <c r="AQ47">
        <v>192.81877439437412</v>
      </c>
      <c r="AR47">
        <v>30.153452583149274</v>
      </c>
      <c r="AS47">
        <v>313.17549287696835</v>
      </c>
      <c r="AT47">
        <v>13.890729702966206</v>
      </c>
      <c r="AU47">
        <v>37.345874713477421</v>
      </c>
      <c r="AV47"/>
      <c r="AW47"/>
      <c r="FY47" s="213">
        <v>42</v>
      </c>
      <c r="FZ47">
        <v>48.449993926391869</v>
      </c>
      <c r="GA47">
        <v>41.612101763935193</v>
      </c>
      <c r="GB47">
        <v>8.0625712388932591</v>
      </c>
      <c r="GC47">
        <v>9.4178193823803813</v>
      </c>
      <c r="GD47">
        <v>6.9012250401750768</v>
      </c>
      <c r="GE47">
        <v>5.3989107527949773</v>
      </c>
      <c r="GF47">
        <v>26.156674322128499</v>
      </c>
      <c r="GG47">
        <v>22.440273524616625</v>
      </c>
      <c r="GH47">
        <v>9.2751491821621936</v>
      </c>
      <c r="GI47">
        <v>19.39538377014096</v>
      </c>
      <c r="GJ47"/>
      <c r="GK47"/>
      <c r="GL47"/>
      <c r="GM47"/>
      <c r="GN47" s="208"/>
      <c r="GO47" s="208"/>
      <c r="GP47" s="208"/>
      <c r="GQ47" s="208"/>
      <c r="GR47" s="208"/>
      <c r="GS47" s="208"/>
      <c r="GT47" s="208"/>
      <c r="GU47" s="213">
        <v>42</v>
      </c>
    </row>
    <row r="48" spans="1:203" s="7" customFormat="1">
      <c r="A48" s="4"/>
      <c r="B48" s="1"/>
      <c r="C48" s="60" t="s">
        <v>50</v>
      </c>
      <c r="D48" s="53">
        <f>AVERAGE(D37:D47)</f>
        <v>23.367927354513043</v>
      </c>
      <c r="E48" s="18"/>
      <c r="F48" s="18"/>
      <c r="G48" s="18"/>
      <c r="H48" s="61"/>
      <c r="I48" s="61"/>
      <c r="J48" s="61"/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2"/>
      <c r="W48" s="62"/>
      <c r="X48" s="62"/>
      <c r="Y48" s="62"/>
      <c r="Z48" s="62"/>
      <c r="AA48" s="62"/>
      <c r="AB48" s="62"/>
      <c r="AC48" s="62"/>
      <c r="AD48" s="62"/>
      <c r="AE48" s="62"/>
      <c r="AF48" s="62"/>
      <c r="AG48" s="63"/>
      <c r="AH48" s="63"/>
      <c r="AI48" s="63"/>
      <c r="AJ48" s="63"/>
      <c r="AK48" s="63"/>
      <c r="AL48" s="42"/>
      <c r="AM48" s="43">
        <v>32</v>
      </c>
      <c r="AN48">
        <v>294.52694976660814</v>
      </c>
      <c r="AO48">
        <v>28.008057557078466</v>
      </c>
      <c r="AP48">
        <v>80.518803545159457</v>
      </c>
      <c r="AQ48">
        <v>216.22948217753597</v>
      </c>
      <c r="AR48">
        <v>28.948328211770516</v>
      </c>
      <c r="AS48">
        <v>252.64994057400293</v>
      </c>
      <c r="AT48">
        <v>14.451898078330856</v>
      </c>
      <c r="AU48">
        <v>20.706726119083225</v>
      </c>
      <c r="AV48"/>
      <c r="AW48"/>
      <c r="FY48" s="213">
        <v>43</v>
      </c>
      <c r="FZ48">
        <v>44.572150722378559</v>
      </c>
      <c r="GA48">
        <v>64.042289235031191</v>
      </c>
      <c r="GB48">
        <v>19.671860035920695</v>
      </c>
      <c r="GC48">
        <v>5.478858498154751</v>
      </c>
      <c r="GD48">
        <v>5.627602435792439</v>
      </c>
      <c r="GE48">
        <v>5.6071665514566735</v>
      </c>
      <c r="GF48">
        <v>15.509451913016072</v>
      </c>
      <c r="GG48">
        <v>16.919508617450923</v>
      </c>
      <c r="GH48">
        <v>15.997163534008811</v>
      </c>
      <c r="GI48">
        <v>20.953650616713496</v>
      </c>
      <c r="GJ48"/>
      <c r="GK48"/>
      <c r="GL48"/>
      <c r="GM48"/>
      <c r="GN48" s="208"/>
      <c r="GO48" s="208"/>
      <c r="GP48" s="208"/>
      <c r="GQ48" s="208"/>
      <c r="GR48" s="208"/>
      <c r="GS48" s="208"/>
      <c r="GT48" s="208"/>
      <c r="GU48" s="213">
        <v>43</v>
      </c>
    </row>
    <row r="49" spans="1:203" s="7" customFormat="1">
      <c r="A49" s="4"/>
      <c r="B49" s="1"/>
      <c r="C49" s="64"/>
      <c r="D49" s="64"/>
      <c r="E49" s="64"/>
      <c r="F49" s="64"/>
      <c r="G49" s="64"/>
      <c r="H49" s="64"/>
      <c r="I49" s="65"/>
      <c r="J49" s="64"/>
      <c r="K49" s="62"/>
      <c r="L49" s="64"/>
      <c r="M49" s="65"/>
      <c r="N49" s="64"/>
      <c r="O49" s="64"/>
      <c r="P49" s="64"/>
      <c r="Q49" s="65"/>
      <c r="R49" s="65"/>
      <c r="S49" s="65"/>
      <c r="T49" s="65"/>
      <c r="U49" s="65"/>
      <c r="V49" s="64"/>
      <c r="W49" s="64"/>
      <c r="X49" s="64"/>
      <c r="Y49" s="64"/>
      <c r="Z49" s="64"/>
      <c r="AA49" s="64"/>
      <c r="AB49" s="64"/>
      <c r="AC49" s="64"/>
      <c r="AD49" s="64"/>
      <c r="AE49" s="64"/>
      <c r="AF49" s="64"/>
      <c r="AG49" s="63"/>
      <c r="AH49" s="63"/>
      <c r="AI49" s="63"/>
      <c r="AJ49" s="63"/>
      <c r="AK49" s="63"/>
      <c r="AL49" s="42"/>
      <c r="AM49" s="43">
        <v>33</v>
      </c>
      <c r="AN49">
        <v>364.88854607499496</v>
      </c>
      <c r="AO49">
        <v>30.908067523246267</v>
      </c>
      <c r="AP49">
        <v>59.995345908009703</v>
      </c>
      <c r="AQ49">
        <v>220.5364930145891</v>
      </c>
      <c r="AR49">
        <v>32.349965257755308</v>
      </c>
      <c r="AS49">
        <v>259.88959393347977</v>
      </c>
      <c r="AT49">
        <v>13.824773852907384</v>
      </c>
      <c r="AU49">
        <v>-4.8022312113400858</v>
      </c>
      <c r="AV49"/>
      <c r="AW49"/>
      <c r="FY49" s="213">
        <v>44</v>
      </c>
      <c r="FZ49">
        <v>41.476990702951412</v>
      </c>
      <c r="GA49">
        <v>40.916443867571296</v>
      </c>
      <c r="GB49">
        <v>11.476184646499208</v>
      </c>
      <c r="GC49">
        <v>5.4874514594577679</v>
      </c>
      <c r="GD49">
        <v>5.1563622579580297</v>
      </c>
      <c r="GE49">
        <v>8.9359445167645664</v>
      </c>
      <c r="GF49">
        <v>20.785484533103904</v>
      </c>
      <c r="GG49">
        <v>16.017547759073317</v>
      </c>
      <c r="GH49">
        <v>12.085621716806829</v>
      </c>
      <c r="GI49">
        <v>18.027830678776823</v>
      </c>
      <c r="GJ49"/>
      <c r="GK49"/>
      <c r="GL49"/>
      <c r="GM49"/>
      <c r="GN49" s="208"/>
      <c r="GO49" s="208"/>
      <c r="GP49" s="208"/>
      <c r="GQ49" s="208"/>
      <c r="GR49" s="208"/>
      <c r="GS49" s="208"/>
      <c r="GT49" s="208"/>
      <c r="GU49" s="213">
        <v>44</v>
      </c>
    </row>
    <row r="50" spans="1:203" s="7" customFormat="1">
      <c r="A50" s="4"/>
      <c r="B50" s="1"/>
      <c r="C50" s="10" t="s">
        <v>51</v>
      </c>
      <c r="D50" s="13"/>
      <c r="E50" s="13"/>
      <c r="F50" s="13"/>
      <c r="G50" s="11" t="s">
        <v>33</v>
      </c>
      <c r="H50" s="13"/>
      <c r="I50" s="14"/>
      <c r="J50" s="13"/>
      <c r="K50" s="21"/>
      <c r="L50" s="13"/>
      <c r="M50" s="14"/>
      <c r="N50" s="13"/>
      <c r="O50" s="13"/>
      <c r="P50" s="13"/>
      <c r="Q50" s="14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42"/>
      <c r="AM50" s="43">
        <v>34</v>
      </c>
      <c r="AN50">
        <v>292.31441712247306</v>
      </c>
      <c r="AO50">
        <v>27.255149885981336</v>
      </c>
      <c r="AP50">
        <v>71.895019852266842</v>
      </c>
      <c r="AQ50">
        <v>213.81826021307378</v>
      </c>
      <c r="AR50">
        <v>28.869268874544758</v>
      </c>
      <c r="AS50">
        <v>245.82780946081726</v>
      </c>
      <c r="AT50">
        <v>14.990654014505056</v>
      </c>
      <c r="AU50">
        <v>50.684814262864833</v>
      </c>
      <c r="AV50"/>
      <c r="AW50"/>
      <c r="FY50" s="213">
        <v>45</v>
      </c>
      <c r="FZ50">
        <v>43.794699956852554</v>
      </c>
      <c r="GA50">
        <v>76.381721069819093</v>
      </c>
      <c r="GB50">
        <v>24.994681089749658</v>
      </c>
      <c r="GC50">
        <v>5.6631292771854138</v>
      </c>
      <c r="GD50">
        <v>4.5343493173295633</v>
      </c>
      <c r="GE50">
        <v>3.0256294195894067</v>
      </c>
      <c r="GF50">
        <v>5.1505854269377984</v>
      </c>
      <c r="GG50">
        <v>6.4027248075447387</v>
      </c>
      <c r="GH50">
        <v>10.584485905947979</v>
      </c>
      <c r="GI50">
        <v>19.170384642261372</v>
      </c>
      <c r="GJ50"/>
      <c r="GK50"/>
      <c r="GL50"/>
      <c r="GM50"/>
      <c r="GN50" s="208"/>
      <c r="GO50" s="208"/>
      <c r="GP50" s="208"/>
      <c r="GQ50" s="208"/>
      <c r="GR50" s="208"/>
      <c r="GS50" s="208"/>
      <c r="GT50" s="208"/>
      <c r="GU50" s="213">
        <v>45</v>
      </c>
    </row>
    <row r="51" spans="1:203" s="7" customFormat="1">
      <c r="A51" s="4"/>
      <c r="B51" s="36"/>
      <c r="C51" s="12" t="s">
        <v>34</v>
      </c>
      <c r="D51" s="10"/>
      <c r="E51" s="10" t="s">
        <v>52</v>
      </c>
      <c r="F51" s="13"/>
      <c r="G51" s="44" t="s">
        <v>37</v>
      </c>
      <c r="H51" s="45">
        <v>1</v>
      </c>
      <c r="I51" s="45">
        <v>2</v>
      </c>
      <c r="J51" s="45">
        <v>3</v>
      </c>
      <c r="K51" s="45">
        <v>4</v>
      </c>
      <c r="L51" s="45">
        <v>5</v>
      </c>
      <c r="M51" s="45">
        <v>6</v>
      </c>
      <c r="N51" s="45">
        <v>7</v>
      </c>
      <c r="O51" s="46">
        <v>8</v>
      </c>
      <c r="P51" s="46">
        <v>9</v>
      </c>
      <c r="Q51" s="47">
        <v>10</v>
      </c>
      <c r="R51" s="46">
        <v>11</v>
      </c>
      <c r="S51" s="47">
        <v>12</v>
      </c>
      <c r="T51" s="46">
        <v>13</v>
      </c>
      <c r="U51" s="47">
        <v>14</v>
      </c>
      <c r="V51" s="46">
        <v>15</v>
      </c>
      <c r="W51" s="47">
        <v>16</v>
      </c>
      <c r="X51" s="46">
        <v>17</v>
      </c>
      <c r="Y51" s="47">
        <v>18</v>
      </c>
      <c r="Z51" s="46">
        <v>19</v>
      </c>
      <c r="AA51" s="47">
        <v>20</v>
      </c>
      <c r="AB51" s="46">
        <v>21</v>
      </c>
      <c r="AC51" s="47">
        <v>22</v>
      </c>
      <c r="AD51" s="46">
        <v>23</v>
      </c>
      <c r="AE51" s="47">
        <v>24</v>
      </c>
      <c r="AF51" s="46">
        <v>25</v>
      </c>
      <c r="AG51" s="47">
        <v>26</v>
      </c>
      <c r="AH51" s="46">
        <v>27</v>
      </c>
      <c r="AI51" s="47">
        <v>28</v>
      </c>
      <c r="AJ51" s="46">
        <v>29</v>
      </c>
      <c r="AK51" s="47">
        <v>30</v>
      </c>
      <c r="AL51" s="42"/>
      <c r="AM51" s="43">
        <v>35</v>
      </c>
      <c r="AN51">
        <v>282.55113317520562</v>
      </c>
      <c r="AO51">
        <v>20.490496037403901</v>
      </c>
      <c r="AP51">
        <v>57.713104664824897</v>
      </c>
      <c r="AQ51">
        <v>137.14672712936874</v>
      </c>
      <c r="AR51">
        <v>22.541278116551759</v>
      </c>
      <c r="AS51">
        <v>197.66361920751905</v>
      </c>
      <c r="AT51">
        <v>8.9505806071831895</v>
      </c>
      <c r="AU51">
        <v>17.23491903420107</v>
      </c>
      <c r="AV51"/>
      <c r="AW51"/>
      <c r="FY51" s="213">
        <v>46</v>
      </c>
      <c r="FZ51">
        <v>43.950960918434156</v>
      </c>
      <c r="GA51">
        <v>33.783196986819213</v>
      </c>
      <c r="GB51">
        <v>7.5094762413947223</v>
      </c>
      <c r="GC51">
        <v>3.7265592259801399</v>
      </c>
      <c r="GD51">
        <v>3.7676048320799156</v>
      </c>
      <c r="GE51">
        <v>3.3284769349290162</v>
      </c>
      <c r="GF51">
        <v>11.776907050889534</v>
      </c>
      <c r="GG51">
        <v>14.113960421562608</v>
      </c>
      <c r="GH51">
        <v>21.692999504401783</v>
      </c>
      <c r="GI51">
        <v>16.337995035771247</v>
      </c>
      <c r="GJ51"/>
      <c r="GK51"/>
      <c r="GL51"/>
      <c r="GM51"/>
      <c r="GN51" s="208"/>
      <c r="GO51" s="208"/>
      <c r="GP51" s="208"/>
      <c r="GQ51" s="208"/>
      <c r="GR51" s="208"/>
      <c r="GS51" s="208"/>
      <c r="GT51" s="208"/>
      <c r="GU51" s="213">
        <v>46</v>
      </c>
    </row>
    <row r="52" spans="1:203" s="7" customFormat="1">
      <c r="A52" s="4"/>
      <c r="B52" s="36"/>
      <c r="C52" s="48" t="s">
        <v>38</v>
      </c>
      <c r="D52" s="49">
        <f>SUM(G52:AK52)</f>
        <v>0</v>
      </c>
      <c r="E52" s="19">
        <f>F374</f>
        <v>0</v>
      </c>
      <c r="F52" s="8"/>
      <c r="G52" s="49">
        <f>$E$52*$E$21*G37</f>
        <v>0</v>
      </c>
      <c r="H52" s="49">
        <f t="shared" ref="H52:AK52" si="27">$E$52*$E$21*H37</f>
        <v>0</v>
      </c>
      <c r="I52" s="49">
        <f t="shared" si="27"/>
        <v>0</v>
      </c>
      <c r="J52" s="49">
        <f t="shared" si="27"/>
        <v>0</v>
      </c>
      <c r="K52" s="49">
        <f t="shared" si="27"/>
        <v>0</v>
      </c>
      <c r="L52" s="49">
        <f t="shared" si="27"/>
        <v>0</v>
      </c>
      <c r="M52" s="49">
        <f t="shared" si="27"/>
        <v>0</v>
      </c>
      <c r="N52" s="49">
        <f t="shared" si="27"/>
        <v>0</v>
      </c>
      <c r="O52" s="49">
        <f t="shared" si="27"/>
        <v>0</v>
      </c>
      <c r="P52" s="49">
        <f t="shared" si="27"/>
        <v>0</v>
      </c>
      <c r="Q52" s="49">
        <f t="shared" si="27"/>
        <v>0</v>
      </c>
      <c r="R52" s="49">
        <f t="shared" si="27"/>
        <v>0</v>
      </c>
      <c r="S52" s="49">
        <f t="shared" si="27"/>
        <v>0</v>
      </c>
      <c r="T52" s="49">
        <f t="shared" si="27"/>
        <v>0</v>
      </c>
      <c r="U52" s="49">
        <f t="shared" si="27"/>
        <v>0</v>
      </c>
      <c r="V52" s="49">
        <f t="shared" si="27"/>
        <v>0</v>
      </c>
      <c r="W52" s="49">
        <f t="shared" si="27"/>
        <v>0</v>
      </c>
      <c r="X52" s="49">
        <f t="shared" si="27"/>
        <v>0</v>
      </c>
      <c r="Y52" s="49">
        <f t="shared" si="27"/>
        <v>0</v>
      </c>
      <c r="Z52" s="49">
        <f t="shared" si="27"/>
        <v>0</v>
      </c>
      <c r="AA52" s="49">
        <f t="shared" si="27"/>
        <v>0</v>
      </c>
      <c r="AB52" s="49">
        <f t="shared" si="27"/>
        <v>0</v>
      </c>
      <c r="AC52" s="49">
        <f t="shared" si="27"/>
        <v>0</v>
      </c>
      <c r="AD52" s="49">
        <f t="shared" si="27"/>
        <v>0</v>
      </c>
      <c r="AE52" s="49">
        <f t="shared" si="27"/>
        <v>0</v>
      </c>
      <c r="AF52" s="49">
        <f t="shared" si="27"/>
        <v>0</v>
      </c>
      <c r="AG52" s="49">
        <f t="shared" si="27"/>
        <v>0</v>
      </c>
      <c r="AH52" s="49">
        <f t="shared" si="27"/>
        <v>0</v>
      </c>
      <c r="AI52" s="49">
        <f t="shared" si="27"/>
        <v>0</v>
      </c>
      <c r="AJ52" s="49">
        <f t="shared" si="27"/>
        <v>0</v>
      </c>
      <c r="AK52" s="49">
        <f t="shared" si="27"/>
        <v>0</v>
      </c>
      <c r="AL52" s="42"/>
      <c r="AM52" s="43">
        <v>36</v>
      </c>
      <c r="AN52">
        <v>263.39294399279208</v>
      </c>
      <c r="AO52">
        <v>25.273458460516771</v>
      </c>
      <c r="AP52">
        <v>70.368996704461978</v>
      </c>
      <c r="AQ52">
        <v>171.48193683035444</v>
      </c>
      <c r="AR52">
        <v>27.245184204481728</v>
      </c>
      <c r="AS52">
        <v>228.56193143268044</v>
      </c>
      <c r="AT52">
        <v>11.305173597456269</v>
      </c>
      <c r="AU52">
        <v>16.397970290270926</v>
      </c>
      <c r="AV52"/>
      <c r="AW52"/>
      <c r="FY52" s="213">
        <v>47</v>
      </c>
      <c r="FZ52">
        <v>63.404428818586489</v>
      </c>
      <c r="GA52">
        <v>43.910124405316694</v>
      </c>
      <c r="GB52">
        <v>13.417250976068743</v>
      </c>
      <c r="GC52">
        <v>6.5364315316554409</v>
      </c>
      <c r="GD52">
        <v>5.9321127610418252</v>
      </c>
      <c r="GE52">
        <v>7.0035274685489401</v>
      </c>
      <c r="GF52">
        <v>20.910727717759865</v>
      </c>
      <c r="GG52">
        <v>17.417053887568208</v>
      </c>
      <c r="GH52">
        <v>13.795356893566694</v>
      </c>
      <c r="GI52">
        <v>22.362145920845123</v>
      </c>
      <c r="GJ52"/>
      <c r="GK52"/>
      <c r="GL52"/>
      <c r="GM52"/>
      <c r="GN52" s="208"/>
      <c r="GO52" s="208"/>
      <c r="GP52" s="208"/>
      <c r="GQ52" s="208"/>
      <c r="GR52" s="208"/>
      <c r="GS52" s="208"/>
      <c r="GT52" s="208"/>
      <c r="GU52" s="213">
        <v>47</v>
      </c>
    </row>
    <row r="53" spans="1:203" s="7" customFormat="1">
      <c r="A53" s="4"/>
      <c r="B53" s="36"/>
      <c r="C53" s="48" t="s">
        <v>39</v>
      </c>
      <c r="D53" s="49">
        <f t="shared" ref="D53:D61" si="28">SUM(G53:AK53)</f>
        <v>0</v>
      </c>
      <c r="E53" s="19">
        <f>F375</f>
        <v>0</v>
      </c>
      <c r="F53" s="8"/>
      <c r="G53" s="49">
        <f>$E$53*$E$22*G38</f>
        <v>0</v>
      </c>
      <c r="H53" s="49">
        <f t="shared" ref="H53:AK53" si="29">$E$53*$E$22*H38</f>
        <v>0</v>
      </c>
      <c r="I53" s="49">
        <f t="shared" si="29"/>
        <v>0</v>
      </c>
      <c r="J53" s="49">
        <f t="shared" si="29"/>
        <v>0</v>
      </c>
      <c r="K53" s="49">
        <f t="shared" si="29"/>
        <v>0</v>
      </c>
      <c r="L53" s="49">
        <f t="shared" si="29"/>
        <v>0</v>
      </c>
      <c r="M53" s="49">
        <f t="shared" si="29"/>
        <v>0</v>
      </c>
      <c r="N53" s="49">
        <f t="shared" si="29"/>
        <v>0</v>
      </c>
      <c r="O53" s="49">
        <f t="shared" si="29"/>
        <v>0</v>
      </c>
      <c r="P53" s="49">
        <f t="shared" si="29"/>
        <v>0</v>
      </c>
      <c r="Q53" s="49">
        <f t="shared" si="29"/>
        <v>0</v>
      </c>
      <c r="R53" s="49">
        <f t="shared" si="29"/>
        <v>0</v>
      </c>
      <c r="S53" s="49">
        <f t="shared" si="29"/>
        <v>0</v>
      </c>
      <c r="T53" s="49">
        <f t="shared" si="29"/>
        <v>0</v>
      </c>
      <c r="U53" s="49">
        <f t="shared" si="29"/>
        <v>0</v>
      </c>
      <c r="V53" s="49">
        <f t="shared" si="29"/>
        <v>0</v>
      </c>
      <c r="W53" s="49">
        <f t="shared" si="29"/>
        <v>0</v>
      </c>
      <c r="X53" s="49">
        <f t="shared" si="29"/>
        <v>0</v>
      </c>
      <c r="Y53" s="49">
        <f t="shared" si="29"/>
        <v>0</v>
      </c>
      <c r="Z53" s="49">
        <f t="shared" si="29"/>
        <v>0</v>
      </c>
      <c r="AA53" s="49">
        <f t="shared" si="29"/>
        <v>0</v>
      </c>
      <c r="AB53" s="49">
        <f t="shared" si="29"/>
        <v>0</v>
      </c>
      <c r="AC53" s="49">
        <f t="shared" si="29"/>
        <v>0</v>
      </c>
      <c r="AD53" s="49">
        <f t="shared" si="29"/>
        <v>0</v>
      </c>
      <c r="AE53" s="49">
        <f t="shared" si="29"/>
        <v>0</v>
      </c>
      <c r="AF53" s="49">
        <f t="shared" si="29"/>
        <v>0</v>
      </c>
      <c r="AG53" s="49">
        <f t="shared" si="29"/>
        <v>0</v>
      </c>
      <c r="AH53" s="49">
        <f t="shared" si="29"/>
        <v>0</v>
      </c>
      <c r="AI53" s="49">
        <f t="shared" si="29"/>
        <v>0</v>
      </c>
      <c r="AJ53" s="49">
        <f t="shared" si="29"/>
        <v>0</v>
      </c>
      <c r="AK53" s="49">
        <f t="shared" si="29"/>
        <v>0</v>
      </c>
      <c r="AL53" s="42"/>
      <c r="AM53" s="43">
        <v>37</v>
      </c>
      <c r="AN53">
        <v>335.14724098045485</v>
      </c>
      <c r="AO53">
        <v>29.940677681642523</v>
      </c>
      <c r="AP53">
        <v>91.335251225720441</v>
      </c>
      <c r="AQ53">
        <v>203.58066317721887</v>
      </c>
      <c r="AR53">
        <v>30.803805101274051</v>
      </c>
      <c r="AS53">
        <v>246.80936238744337</v>
      </c>
      <c r="AT53">
        <v>11.503166261786754</v>
      </c>
      <c r="AU53">
        <v>-36.916413409296617</v>
      </c>
      <c r="AV53"/>
      <c r="AW53"/>
      <c r="FY53" s="213">
        <v>48</v>
      </c>
      <c r="FZ53">
        <v>51.060232191486072</v>
      </c>
      <c r="GA53">
        <v>47.980308394447938</v>
      </c>
      <c r="GB53">
        <v>12.425343591657521</v>
      </c>
      <c r="GC53">
        <v>4.5314160905344787</v>
      </c>
      <c r="GD53">
        <v>4.8099777274217654</v>
      </c>
      <c r="GE53">
        <v>7.7569516523854025</v>
      </c>
      <c r="GF53">
        <v>8.4055337985190732</v>
      </c>
      <c r="GG53">
        <v>8.9700692456721765</v>
      </c>
      <c r="GH53">
        <v>15.780410379321404</v>
      </c>
      <c r="GI53">
        <v>17.842619246201856</v>
      </c>
      <c r="GJ53"/>
      <c r="GK53"/>
      <c r="GL53"/>
      <c r="GM53"/>
      <c r="GN53" s="208"/>
      <c r="GO53" s="208"/>
      <c r="GP53" s="208"/>
      <c r="GQ53" s="208"/>
      <c r="GR53" s="208"/>
      <c r="GS53" s="208"/>
      <c r="GT53" s="208"/>
      <c r="GU53" s="213">
        <v>48</v>
      </c>
    </row>
    <row r="54" spans="1:203" s="7" customFormat="1">
      <c r="A54" s="4"/>
      <c r="B54" s="36"/>
      <c r="C54" s="48" t="s">
        <v>40</v>
      </c>
      <c r="D54" s="49">
        <f t="shared" si="28"/>
        <v>0</v>
      </c>
      <c r="E54" s="19">
        <f t="shared" ref="E54:E61" si="30">F376</f>
        <v>0</v>
      </c>
      <c r="F54" s="8"/>
      <c r="G54" s="49">
        <f>$E$54*$E$23*G39</f>
        <v>0</v>
      </c>
      <c r="H54" s="49">
        <f t="shared" ref="H54:AK54" si="31">$E$54*$E$23*H39</f>
        <v>0</v>
      </c>
      <c r="I54" s="49">
        <f t="shared" si="31"/>
        <v>0</v>
      </c>
      <c r="J54" s="49">
        <f t="shared" si="31"/>
        <v>0</v>
      </c>
      <c r="K54" s="49">
        <f t="shared" si="31"/>
        <v>0</v>
      </c>
      <c r="L54" s="49">
        <f t="shared" si="31"/>
        <v>0</v>
      </c>
      <c r="M54" s="49">
        <f t="shared" si="31"/>
        <v>0</v>
      </c>
      <c r="N54" s="49">
        <f t="shared" si="31"/>
        <v>0</v>
      </c>
      <c r="O54" s="49">
        <f t="shared" si="31"/>
        <v>0</v>
      </c>
      <c r="P54" s="49">
        <f t="shared" si="31"/>
        <v>0</v>
      </c>
      <c r="Q54" s="49">
        <f t="shared" si="31"/>
        <v>0</v>
      </c>
      <c r="R54" s="49">
        <f t="shared" si="31"/>
        <v>0</v>
      </c>
      <c r="S54" s="49">
        <f t="shared" si="31"/>
        <v>0</v>
      </c>
      <c r="T54" s="49">
        <f t="shared" si="31"/>
        <v>0</v>
      </c>
      <c r="U54" s="49">
        <f t="shared" si="31"/>
        <v>0</v>
      </c>
      <c r="V54" s="49">
        <f t="shared" si="31"/>
        <v>0</v>
      </c>
      <c r="W54" s="49">
        <f t="shared" si="31"/>
        <v>0</v>
      </c>
      <c r="X54" s="49">
        <f t="shared" si="31"/>
        <v>0</v>
      </c>
      <c r="Y54" s="49">
        <f t="shared" si="31"/>
        <v>0</v>
      </c>
      <c r="Z54" s="49">
        <f t="shared" si="31"/>
        <v>0</v>
      </c>
      <c r="AA54" s="49">
        <f t="shared" si="31"/>
        <v>0</v>
      </c>
      <c r="AB54" s="49">
        <f t="shared" si="31"/>
        <v>0</v>
      </c>
      <c r="AC54" s="49">
        <f t="shared" si="31"/>
        <v>0</v>
      </c>
      <c r="AD54" s="49">
        <f t="shared" si="31"/>
        <v>0</v>
      </c>
      <c r="AE54" s="49">
        <f t="shared" si="31"/>
        <v>0</v>
      </c>
      <c r="AF54" s="49">
        <f t="shared" si="31"/>
        <v>0</v>
      </c>
      <c r="AG54" s="49">
        <f t="shared" si="31"/>
        <v>0</v>
      </c>
      <c r="AH54" s="49">
        <f t="shared" si="31"/>
        <v>0</v>
      </c>
      <c r="AI54" s="49">
        <f t="shared" si="31"/>
        <v>0</v>
      </c>
      <c r="AJ54" s="49">
        <f t="shared" si="31"/>
        <v>0</v>
      </c>
      <c r="AK54" s="49">
        <f t="shared" si="31"/>
        <v>0</v>
      </c>
      <c r="AL54" s="42"/>
      <c r="AM54" s="43">
        <v>38</v>
      </c>
      <c r="AN54">
        <v>282.98053908557006</v>
      </c>
      <c r="AO54">
        <v>20.957007702905038</v>
      </c>
      <c r="AP54">
        <v>81.369217426883537</v>
      </c>
      <c r="AQ54">
        <v>148.18475155136116</v>
      </c>
      <c r="AR54">
        <v>21.091646847160479</v>
      </c>
      <c r="AS54">
        <v>218.75419955031111</v>
      </c>
      <c r="AT54">
        <v>10.618748219339752</v>
      </c>
      <c r="AU54">
        <v>34.629980821124533</v>
      </c>
      <c r="AV54"/>
      <c r="AW54"/>
      <c r="FY54" s="213">
        <v>49</v>
      </c>
      <c r="FZ54">
        <v>25.89777286542952</v>
      </c>
      <c r="GA54">
        <v>39.830820360598722</v>
      </c>
      <c r="GB54">
        <v>11.801292372349275</v>
      </c>
      <c r="GC54">
        <v>7.2402327485989382</v>
      </c>
      <c r="GD54">
        <v>6.1023841460145025</v>
      </c>
      <c r="GE54">
        <v>3.4808706384117118</v>
      </c>
      <c r="GF54">
        <v>18.234436754785705</v>
      </c>
      <c r="GG54">
        <v>19.102209810816646</v>
      </c>
      <c r="GH54">
        <v>15.465967927358399</v>
      </c>
      <c r="GI54">
        <v>16.525654730500552</v>
      </c>
      <c r="GJ54"/>
      <c r="GK54"/>
      <c r="GL54"/>
      <c r="GM54"/>
      <c r="GN54" s="208"/>
      <c r="GO54" s="208"/>
      <c r="GP54" s="208"/>
      <c r="GQ54" s="208"/>
      <c r="GR54" s="208"/>
      <c r="GS54" s="208"/>
      <c r="GT54" s="208"/>
      <c r="GU54" s="213">
        <v>49</v>
      </c>
    </row>
    <row r="55" spans="1:203" s="7" customFormat="1">
      <c r="A55" s="4"/>
      <c r="B55" s="36"/>
      <c r="C55" s="48" t="s">
        <v>41</v>
      </c>
      <c r="D55" s="49">
        <f t="shared" si="28"/>
        <v>20.276337546966019</v>
      </c>
      <c r="E55" s="19">
        <f t="shared" si="30"/>
        <v>3.4164158433460629E-2</v>
      </c>
      <c r="F55" s="8"/>
      <c r="G55" s="49">
        <f>$E$55*$E$24*G40</f>
        <v>3.4500585009811853E-2</v>
      </c>
      <c r="H55" s="49">
        <f t="shared" ref="H55:AK55" si="32">$E$55*$E$24*H40</f>
        <v>4.4150134691799021</v>
      </c>
      <c r="I55" s="49">
        <f t="shared" si="32"/>
        <v>13.180805749179568</v>
      </c>
      <c r="J55" s="49">
        <f t="shared" si="32"/>
        <v>1.9940757216505247</v>
      </c>
      <c r="K55" s="49">
        <f t="shared" si="32"/>
        <v>0.23173935703315429</v>
      </c>
      <c r="L55" s="49">
        <f t="shared" si="32"/>
        <v>0.42020266491305724</v>
      </c>
      <c r="M55" s="49">
        <f t="shared" si="32"/>
        <v>0</v>
      </c>
      <c r="N55" s="49">
        <f t="shared" si="32"/>
        <v>0</v>
      </c>
      <c r="O55" s="49">
        <f t="shared" si="32"/>
        <v>0</v>
      </c>
      <c r="P55" s="49">
        <f t="shared" si="32"/>
        <v>0</v>
      </c>
      <c r="Q55" s="49">
        <f t="shared" si="32"/>
        <v>0</v>
      </c>
      <c r="R55" s="49">
        <f t="shared" si="32"/>
        <v>0</v>
      </c>
      <c r="S55" s="49">
        <f t="shared" si="32"/>
        <v>0</v>
      </c>
      <c r="T55" s="49">
        <f t="shared" si="32"/>
        <v>0</v>
      </c>
      <c r="U55" s="49">
        <f t="shared" si="32"/>
        <v>0</v>
      </c>
      <c r="V55" s="49">
        <f t="shared" si="32"/>
        <v>0</v>
      </c>
      <c r="W55" s="49">
        <f t="shared" si="32"/>
        <v>0</v>
      </c>
      <c r="X55" s="49">
        <f t="shared" si="32"/>
        <v>0</v>
      </c>
      <c r="Y55" s="49">
        <f t="shared" si="32"/>
        <v>0</v>
      </c>
      <c r="Z55" s="49">
        <f t="shared" si="32"/>
        <v>0</v>
      </c>
      <c r="AA55" s="49">
        <f t="shared" si="32"/>
        <v>0</v>
      </c>
      <c r="AB55" s="49">
        <f t="shared" si="32"/>
        <v>0</v>
      </c>
      <c r="AC55" s="49">
        <f t="shared" si="32"/>
        <v>0</v>
      </c>
      <c r="AD55" s="49">
        <f t="shared" si="32"/>
        <v>0</v>
      </c>
      <c r="AE55" s="49">
        <f t="shared" si="32"/>
        <v>0</v>
      </c>
      <c r="AF55" s="49">
        <f t="shared" si="32"/>
        <v>0</v>
      </c>
      <c r="AG55" s="49">
        <f t="shared" si="32"/>
        <v>0</v>
      </c>
      <c r="AH55" s="49">
        <f t="shared" si="32"/>
        <v>0</v>
      </c>
      <c r="AI55" s="49">
        <f t="shared" si="32"/>
        <v>0</v>
      </c>
      <c r="AJ55" s="49">
        <f t="shared" si="32"/>
        <v>0</v>
      </c>
      <c r="AK55" s="49">
        <f t="shared" si="32"/>
        <v>0</v>
      </c>
      <c r="AL55" s="42"/>
      <c r="AM55" s="43">
        <v>39</v>
      </c>
      <c r="AN55">
        <v>321.43427041724237</v>
      </c>
      <c r="AO55">
        <v>26.233383397386387</v>
      </c>
      <c r="AP55">
        <v>79.822518927996555</v>
      </c>
      <c r="AQ55">
        <v>185.0451765707958</v>
      </c>
      <c r="AR55">
        <v>26.876345752006404</v>
      </c>
      <c r="AS55">
        <v>254.26925517117672</v>
      </c>
      <c r="AT55">
        <v>12.339284836109046</v>
      </c>
      <c r="AU55">
        <v>13.695460005931864</v>
      </c>
      <c r="AV55"/>
      <c r="AW55"/>
      <c r="FY55" s="213">
        <v>50</v>
      </c>
      <c r="FZ55">
        <v>29.879271232899715</v>
      </c>
      <c r="GA55">
        <v>48.357672433976866</v>
      </c>
      <c r="GB55">
        <v>11.455366921453013</v>
      </c>
      <c r="GC55">
        <v>6.8096077767258514</v>
      </c>
      <c r="GD55">
        <v>5.0998038283105327</v>
      </c>
      <c r="GE55">
        <v>2.2417637485097401</v>
      </c>
      <c r="GF55">
        <v>5.0636373130550041</v>
      </c>
      <c r="GG55">
        <v>6.8996052719742016</v>
      </c>
      <c r="GH55">
        <v>10.124831311590578</v>
      </c>
      <c r="GI55">
        <v>13.258976964598103</v>
      </c>
      <c r="GJ55"/>
      <c r="GK55"/>
      <c r="GL55"/>
      <c r="GM55"/>
      <c r="GN55" s="208"/>
      <c r="GO55" s="208"/>
      <c r="GP55" s="208"/>
      <c r="GQ55" s="208"/>
      <c r="GR55" s="208"/>
      <c r="GS55" s="208"/>
      <c r="GT55" s="208"/>
      <c r="GU55" s="213">
        <v>50</v>
      </c>
    </row>
    <row r="56" spans="1:203" s="7" customFormat="1">
      <c r="A56" s="4"/>
      <c r="B56" s="36"/>
      <c r="C56" s="48" t="s">
        <v>42</v>
      </c>
      <c r="D56" s="49">
        <f t="shared" si="28"/>
        <v>0</v>
      </c>
      <c r="E56" s="19">
        <f t="shared" si="30"/>
        <v>0</v>
      </c>
      <c r="F56" s="8"/>
      <c r="G56" s="49">
        <f>$E$56*$E$25*G41</f>
        <v>0</v>
      </c>
      <c r="H56" s="49">
        <f t="shared" ref="H56:AK56" si="33">$E$56*$E$25*H41</f>
        <v>0</v>
      </c>
      <c r="I56" s="49">
        <f t="shared" si="33"/>
        <v>0</v>
      </c>
      <c r="J56" s="49">
        <f t="shared" si="33"/>
        <v>0</v>
      </c>
      <c r="K56" s="49">
        <f t="shared" si="33"/>
        <v>0</v>
      </c>
      <c r="L56" s="49">
        <f t="shared" si="33"/>
        <v>0</v>
      </c>
      <c r="M56" s="49">
        <f t="shared" si="33"/>
        <v>0</v>
      </c>
      <c r="N56" s="49">
        <f t="shared" si="33"/>
        <v>0</v>
      </c>
      <c r="O56" s="49">
        <f t="shared" si="33"/>
        <v>0</v>
      </c>
      <c r="P56" s="49">
        <f t="shared" si="33"/>
        <v>0</v>
      </c>
      <c r="Q56" s="49">
        <f t="shared" si="33"/>
        <v>0</v>
      </c>
      <c r="R56" s="49">
        <f t="shared" si="33"/>
        <v>0</v>
      </c>
      <c r="S56" s="49">
        <f t="shared" si="33"/>
        <v>0</v>
      </c>
      <c r="T56" s="49">
        <f t="shared" si="33"/>
        <v>0</v>
      </c>
      <c r="U56" s="49">
        <f t="shared" si="33"/>
        <v>0</v>
      </c>
      <c r="V56" s="49">
        <f t="shared" si="33"/>
        <v>0</v>
      </c>
      <c r="W56" s="49">
        <f t="shared" si="33"/>
        <v>0</v>
      </c>
      <c r="X56" s="49">
        <f t="shared" si="33"/>
        <v>0</v>
      </c>
      <c r="Y56" s="49">
        <f t="shared" si="33"/>
        <v>0</v>
      </c>
      <c r="Z56" s="49">
        <f t="shared" si="33"/>
        <v>0</v>
      </c>
      <c r="AA56" s="49">
        <f t="shared" si="33"/>
        <v>0</v>
      </c>
      <c r="AB56" s="49">
        <f t="shared" si="33"/>
        <v>0</v>
      </c>
      <c r="AC56" s="49">
        <f t="shared" si="33"/>
        <v>0</v>
      </c>
      <c r="AD56" s="49">
        <f t="shared" si="33"/>
        <v>0</v>
      </c>
      <c r="AE56" s="49">
        <f t="shared" si="33"/>
        <v>0</v>
      </c>
      <c r="AF56" s="49">
        <f t="shared" si="33"/>
        <v>0</v>
      </c>
      <c r="AG56" s="49">
        <f t="shared" si="33"/>
        <v>0</v>
      </c>
      <c r="AH56" s="49">
        <f t="shared" si="33"/>
        <v>0</v>
      </c>
      <c r="AI56" s="49">
        <f t="shared" si="33"/>
        <v>0</v>
      </c>
      <c r="AJ56" s="49">
        <f t="shared" si="33"/>
        <v>0</v>
      </c>
      <c r="AK56" s="49">
        <f t="shared" si="33"/>
        <v>0</v>
      </c>
      <c r="AL56" s="42"/>
      <c r="AM56" s="43">
        <v>40</v>
      </c>
      <c r="AN56">
        <v>310.57581883730745</v>
      </c>
      <c r="AO56">
        <v>30.853040363450425</v>
      </c>
      <c r="AP56">
        <v>117.11045557713226</v>
      </c>
      <c r="AQ56">
        <v>224.27574436768299</v>
      </c>
      <c r="AR56">
        <v>33.94015869245905</v>
      </c>
      <c r="AS56">
        <v>283.00929020289129</v>
      </c>
      <c r="AT56">
        <v>14.205224243661265</v>
      </c>
      <c r="AU56">
        <v>4.56685140773223</v>
      </c>
      <c r="AV56"/>
      <c r="AW56"/>
      <c r="FY56" s="213">
        <v>51</v>
      </c>
      <c r="FZ56">
        <v>31.197534109027053</v>
      </c>
      <c r="GA56">
        <v>58.587348264195228</v>
      </c>
      <c r="GB56">
        <v>20.746530097611057</v>
      </c>
      <c r="GC56">
        <v>4.5236816098467676</v>
      </c>
      <c r="GD56">
        <v>2.9752499697830301</v>
      </c>
      <c r="GE56">
        <v>3.0372812484250171</v>
      </c>
      <c r="GF56">
        <v>10.426386636822333</v>
      </c>
      <c r="GG56">
        <v>10.976499390985955</v>
      </c>
      <c r="GH56">
        <v>19.920919500286121</v>
      </c>
      <c r="GI56">
        <v>17.551852908276381</v>
      </c>
      <c r="GJ56"/>
      <c r="GK56"/>
      <c r="GL56"/>
      <c r="GM56"/>
      <c r="GN56" s="208"/>
      <c r="GO56" s="208"/>
      <c r="GP56" s="208"/>
      <c r="GQ56" s="208"/>
      <c r="GR56" s="208"/>
      <c r="GS56" s="208"/>
      <c r="GT56" s="208"/>
      <c r="GU56" s="213">
        <v>51</v>
      </c>
    </row>
    <row r="57" spans="1:203" s="7" customFormat="1">
      <c r="A57" s="4"/>
      <c r="B57" s="36"/>
      <c r="C57" s="48" t="s">
        <v>118</v>
      </c>
      <c r="D57" s="49">
        <f t="shared" si="28"/>
        <v>0</v>
      </c>
      <c r="E57" s="19">
        <f t="shared" si="30"/>
        <v>0</v>
      </c>
      <c r="F57" s="8"/>
      <c r="G57" s="49">
        <f>$E$57*$E$26*G42</f>
        <v>0</v>
      </c>
      <c r="H57" s="49">
        <f t="shared" ref="H57:AK57" si="34">$E$57*$E$26*H42</f>
        <v>0</v>
      </c>
      <c r="I57" s="49">
        <f t="shared" si="34"/>
        <v>0</v>
      </c>
      <c r="J57" s="49">
        <f t="shared" si="34"/>
        <v>0</v>
      </c>
      <c r="K57" s="49">
        <f t="shared" si="34"/>
        <v>0</v>
      </c>
      <c r="L57" s="49">
        <f t="shared" si="34"/>
        <v>0</v>
      </c>
      <c r="M57" s="49">
        <f t="shared" si="34"/>
        <v>0</v>
      </c>
      <c r="N57" s="49">
        <f t="shared" si="34"/>
        <v>0</v>
      </c>
      <c r="O57" s="49">
        <f t="shared" si="34"/>
        <v>0</v>
      </c>
      <c r="P57" s="49">
        <f t="shared" si="34"/>
        <v>0</v>
      </c>
      <c r="Q57" s="49">
        <f t="shared" si="34"/>
        <v>0</v>
      </c>
      <c r="R57" s="49">
        <f t="shared" si="34"/>
        <v>0</v>
      </c>
      <c r="S57" s="49">
        <f t="shared" si="34"/>
        <v>0</v>
      </c>
      <c r="T57" s="49">
        <f t="shared" si="34"/>
        <v>0</v>
      </c>
      <c r="U57" s="49">
        <f t="shared" si="34"/>
        <v>0</v>
      </c>
      <c r="V57" s="49">
        <f t="shared" si="34"/>
        <v>0</v>
      </c>
      <c r="W57" s="49">
        <f t="shared" si="34"/>
        <v>0</v>
      </c>
      <c r="X57" s="49">
        <f t="shared" si="34"/>
        <v>0</v>
      </c>
      <c r="Y57" s="49">
        <f t="shared" si="34"/>
        <v>0</v>
      </c>
      <c r="Z57" s="49">
        <f t="shared" si="34"/>
        <v>0</v>
      </c>
      <c r="AA57" s="49">
        <f t="shared" si="34"/>
        <v>0</v>
      </c>
      <c r="AB57" s="49">
        <f t="shared" si="34"/>
        <v>0</v>
      </c>
      <c r="AC57" s="49">
        <f t="shared" si="34"/>
        <v>0</v>
      </c>
      <c r="AD57" s="49">
        <f t="shared" si="34"/>
        <v>0</v>
      </c>
      <c r="AE57" s="49">
        <f t="shared" si="34"/>
        <v>0</v>
      </c>
      <c r="AF57" s="49">
        <f t="shared" si="34"/>
        <v>0</v>
      </c>
      <c r="AG57" s="49">
        <f t="shared" si="34"/>
        <v>0</v>
      </c>
      <c r="AH57" s="49">
        <f t="shared" si="34"/>
        <v>0</v>
      </c>
      <c r="AI57" s="49">
        <f t="shared" si="34"/>
        <v>0</v>
      </c>
      <c r="AJ57" s="49">
        <f t="shared" si="34"/>
        <v>0</v>
      </c>
      <c r="AK57" s="49">
        <f t="shared" si="34"/>
        <v>0</v>
      </c>
      <c r="AL57" s="42"/>
      <c r="AM57" s="43">
        <v>41</v>
      </c>
      <c r="AN57">
        <v>356.83578818560312</v>
      </c>
      <c r="AO57">
        <v>35.465666320562306</v>
      </c>
      <c r="AP57">
        <v>107.45304654310333</v>
      </c>
      <c r="AQ57">
        <v>244.87530851216178</v>
      </c>
      <c r="AR57">
        <v>36.049880301381251</v>
      </c>
      <c r="AS57">
        <v>285.87137677600941</v>
      </c>
      <c r="AT57">
        <v>14.536984776248197</v>
      </c>
      <c r="AU57">
        <v>-80.614680476288981</v>
      </c>
      <c r="AV57"/>
      <c r="AW57"/>
      <c r="FY57" s="213">
        <v>52</v>
      </c>
      <c r="FZ57">
        <v>55.693043954798881</v>
      </c>
      <c r="GA57">
        <v>79.082007490170795</v>
      </c>
      <c r="GB57">
        <v>16.223698605284905</v>
      </c>
      <c r="GC57">
        <v>6.569864420260263</v>
      </c>
      <c r="GD57">
        <v>5.7280014043516339</v>
      </c>
      <c r="GE57">
        <v>5.7959242983324577</v>
      </c>
      <c r="GF57">
        <v>18.443180419851693</v>
      </c>
      <c r="GG57">
        <v>17.923464243320939</v>
      </c>
      <c r="GH57">
        <v>32.879455584638798</v>
      </c>
      <c r="GI57">
        <v>24.782921635000552</v>
      </c>
      <c r="GJ57"/>
      <c r="GK57"/>
      <c r="GL57"/>
      <c r="GM57"/>
      <c r="GN57" s="208"/>
      <c r="GO57" s="208"/>
      <c r="GP57" s="208"/>
      <c r="GQ57" s="208"/>
      <c r="GR57" s="208"/>
      <c r="GS57" s="208"/>
      <c r="GT57" s="208"/>
      <c r="GU57" s="213">
        <v>52</v>
      </c>
    </row>
    <row r="58" spans="1:203" s="7" customFormat="1">
      <c r="A58" s="4"/>
      <c r="B58" s="1"/>
      <c r="C58" s="48" t="s">
        <v>119</v>
      </c>
      <c r="D58" s="49">
        <f t="shared" si="28"/>
        <v>16.103031992149972</v>
      </c>
      <c r="E58" s="19">
        <f t="shared" si="30"/>
        <v>1.1315980809484965E-2</v>
      </c>
      <c r="F58" s="8"/>
      <c r="G58" s="49">
        <f>$E$58*$E$27*G43</f>
        <v>7.268284397696298E-2</v>
      </c>
      <c r="H58" s="49">
        <f t="shared" ref="H58:AK58" si="35">$E$58*$E$27*H43</f>
        <v>3.253465873820399</v>
      </c>
      <c r="I58" s="49">
        <f t="shared" si="35"/>
        <v>9.1685661941662691</v>
      </c>
      <c r="J58" s="49">
        <f t="shared" si="35"/>
        <v>3.6083170801863442</v>
      </c>
      <c r="K58" s="49">
        <f t="shared" si="35"/>
        <v>0</v>
      </c>
      <c r="L58" s="49">
        <f t="shared" si="35"/>
        <v>0</v>
      </c>
      <c r="M58" s="49">
        <f t="shared" si="35"/>
        <v>0</v>
      </c>
      <c r="N58" s="49">
        <f t="shared" si="35"/>
        <v>0</v>
      </c>
      <c r="O58" s="49">
        <f t="shared" si="35"/>
        <v>0</v>
      </c>
      <c r="P58" s="49">
        <f t="shared" si="35"/>
        <v>0</v>
      </c>
      <c r="Q58" s="49">
        <f t="shared" si="35"/>
        <v>0</v>
      </c>
      <c r="R58" s="49">
        <f t="shared" si="35"/>
        <v>0</v>
      </c>
      <c r="S58" s="49">
        <f t="shared" si="35"/>
        <v>0</v>
      </c>
      <c r="T58" s="49">
        <f t="shared" si="35"/>
        <v>0</v>
      </c>
      <c r="U58" s="49">
        <f t="shared" si="35"/>
        <v>0</v>
      </c>
      <c r="V58" s="49">
        <f t="shared" si="35"/>
        <v>0</v>
      </c>
      <c r="W58" s="49">
        <f t="shared" si="35"/>
        <v>0</v>
      </c>
      <c r="X58" s="49">
        <f t="shared" si="35"/>
        <v>0</v>
      </c>
      <c r="Y58" s="49">
        <f t="shared" si="35"/>
        <v>0</v>
      </c>
      <c r="Z58" s="49">
        <f t="shared" si="35"/>
        <v>0</v>
      </c>
      <c r="AA58" s="49">
        <f t="shared" si="35"/>
        <v>0</v>
      </c>
      <c r="AB58" s="49">
        <f t="shared" si="35"/>
        <v>0</v>
      </c>
      <c r="AC58" s="49">
        <f t="shared" si="35"/>
        <v>0</v>
      </c>
      <c r="AD58" s="49">
        <f t="shared" si="35"/>
        <v>0</v>
      </c>
      <c r="AE58" s="49">
        <f t="shared" si="35"/>
        <v>0</v>
      </c>
      <c r="AF58" s="49">
        <f t="shared" si="35"/>
        <v>0</v>
      </c>
      <c r="AG58" s="49">
        <f t="shared" si="35"/>
        <v>0</v>
      </c>
      <c r="AH58" s="49">
        <f t="shared" si="35"/>
        <v>0</v>
      </c>
      <c r="AI58" s="49">
        <f t="shared" si="35"/>
        <v>0</v>
      </c>
      <c r="AJ58" s="49">
        <f t="shared" si="35"/>
        <v>0</v>
      </c>
      <c r="AK58" s="49">
        <f t="shared" si="35"/>
        <v>0</v>
      </c>
      <c r="AL58" s="42"/>
      <c r="AM58" s="43">
        <v>42</v>
      </c>
      <c r="AN58">
        <v>420.84368632612285</v>
      </c>
      <c r="AO58">
        <v>27.91710284818809</v>
      </c>
      <c r="AP58">
        <v>73.969466224581993</v>
      </c>
      <c r="AQ58">
        <v>197.11010290361904</v>
      </c>
      <c r="AR58">
        <v>28.171740613965238</v>
      </c>
      <c r="AS58">
        <v>289.08294287991868</v>
      </c>
      <c r="AT58">
        <v>13.526661794015311</v>
      </c>
      <c r="AU58">
        <v>26.353126771659994</v>
      </c>
      <c r="AV58"/>
      <c r="AW58"/>
      <c r="FY58" s="213">
        <v>53</v>
      </c>
      <c r="FZ58">
        <v>43.352685632117698</v>
      </c>
      <c r="GA58">
        <v>47.672220153645846</v>
      </c>
      <c r="GB58">
        <v>12.504121169223955</v>
      </c>
      <c r="GC58">
        <v>7.2984212053278448</v>
      </c>
      <c r="GD58">
        <v>6.185916135679534</v>
      </c>
      <c r="GE58">
        <v>7.026196954841633</v>
      </c>
      <c r="GF58">
        <v>29.376952908013795</v>
      </c>
      <c r="GG58">
        <v>25.322404947431298</v>
      </c>
      <c r="GH58">
        <v>11.21912501897979</v>
      </c>
      <c r="GI58">
        <v>20.645841969769862</v>
      </c>
      <c r="GJ58"/>
      <c r="GK58"/>
      <c r="GL58"/>
      <c r="GM58"/>
      <c r="GN58" s="208"/>
      <c r="GO58" s="208"/>
      <c r="GP58" s="208"/>
      <c r="GQ58" s="208"/>
      <c r="GR58" s="208"/>
      <c r="GS58" s="208"/>
      <c r="GT58" s="208"/>
      <c r="GU58" s="213">
        <v>53</v>
      </c>
    </row>
    <row r="59" spans="1:203" s="7" customFormat="1">
      <c r="A59" s="4"/>
      <c r="B59" s="1"/>
      <c r="C59" s="48" t="s">
        <v>120</v>
      </c>
      <c r="D59" s="49">
        <f t="shared" si="28"/>
        <v>18.504290744109259</v>
      </c>
      <c r="E59" s="19">
        <f t="shared" si="30"/>
        <v>2.4028320962609182E-2</v>
      </c>
      <c r="F59" s="8"/>
      <c r="G59" s="49">
        <f>$E$59*$E$28*G44</f>
        <v>6.6462907900997348E-2</v>
      </c>
      <c r="H59" s="49">
        <f t="shared" ref="H59:AK59" si="36">$E$59*$E$28*H44</f>
        <v>1.389678634187695</v>
      </c>
      <c r="I59" s="49">
        <f t="shared" si="36"/>
        <v>7.6612880340796972</v>
      </c>
      <c r="J59" s="49">
        <f t="shared" si="36"/>
        <v>9.159843807051482</v>
      </c>
      <c r="K59" s="49">
        <f t="shared" si="36"/>
        <v>0.22701736088938673</v>
      </c>
      <c r="L59" s="49">
        <f t="shared" si="36"/>
        <v>0</v>
      </c>
      <c r="M59" s="49">
        <f t="shared" si="36"/>
        <v>0</v>
      </c>
      <c r="N59" s="49">
        <f t="shared" si="36"/>
        <v>0</v>
      </c>
      <c r="O59" s="49">
        <f t="shared" si="36"/>
        <v>0</v>
      </c>
      <c r="P59" s="49">
        <f t="shared" si="36"/>
        <v>0</v>
      </c>
      <c r="Q59" s="49">
        <f t="shared" si="36"/>
        <v>0</v>
      </c>
      <c r="R59" s="49">
        <f t="shared" si="36"/>
        <v>0</v>
      </c>
      <c r="S59" s="49">
        <f t="shared" si="36"/>
        <v>0</v>
      </c>
      <c r="T59" s="49">
        <f t="shared" si="36"/>
        <v>0</v>
      </c>
      <c r="U59" s="49">
        <f t="shared" si="36"/>
        <v>0</v>
      </c>
      <c r="V59" s="49">
        <f t="shared" si="36"/>
        <v>0</v>
      </c>
      <c r="W59" s="49">
        <f t="shared" si="36"/>
        <v>0</v>
      </c>
      <c r="X59" s="49">
        <f t="shared" si="36"/>
        <v>0</v>
      </c>
      <c r="Y59" s="49">
        <f t="shared" si="36"/>
        <v>0</v>
      </c>
      <c r="Z59" s="49">
        <f t="shared" si="36"/>
        <v>0</v>
      </c>
      <c r="AA59" s="49">
        <f t="shared" si="36"/>
        <v>0</v>
      </c>
      <c r="AB59" s="49">
        <f t="shared" si="36"/>
        <v>0</v>
      </c>
      <c r="AC59" s="49">
        <f t="shared" si="36"/>
        <v>0</v>
      </c>
      <c r="AD59" s="49">
        <f t="shared" si="36"/>
        <v>0</v>
      </c>
      <c r="AE59" s="49">
        <f t="shared" si="36"/>
        <v>0</v>
      </c>
      <c r="AF59" s="49">
        <f t="shared" si="36"/>
        <v>0</v>
      </c>
      <c r="AG59" s="49">
        <f t="shared" si="36"/>
        <v>0</v>
      </c>
      <c r="AH59" s="49">
        <f t="shared" si="36"/>
        <v>0</v>
      </c>
      <c r="AI59" s="49">
        <f t="shared" si="36"/>
        <v>0</v>
      </c>
      <c r="AJ59" s="49">
        <f t="shared" si="36"/>
        <v>0</v>
      </c>
      <c r="AK59" s="49">
        <f t="shared" si="36"/>
        <v>0</v>
      </c>
      <c r="AL59" s="42"/>
      <c r="AM59" s="43">
        <v>43</v>
      </c>
      <c r="AN59">
        <v>323.36053301456479</v>
      </c>
      <c r="AO59">
        <v>31.015183443720026</v>
      </c>
      <c r="AP59">
        <v>79.218579847641095</v>
      </c>
      <c r="AQ59">
        <v>214.37970215992365</v>
      </c>
      <c r="AR59">
        <v>32.019602417023556</v>
      </c>
      <c r="AS59">
        <v>254.88077070715312</v>
      </c>
      <c r="AT59">
        <v>12.435126964649319</v>
      </c>
      <c r="AU59">
        <v>-8.0891405039700217</v>
      </c>
      <c r="AV59"/>
      <c r="AW59"/>
      <c r="FY59" s="213">
        <v>54</v>
      </c>
      <c r="FZ59">
        <v>38.298755251070624</v>
      </c>
      <c r="GA59">
        <v>43.574036207994169</v>
      </c>
      <c r="GB59">
        <v>12.769914047866278</v>
      </c>
      <c r="GC59">
        <v>5.0811988348460053</v>
      </c>
      <c r="GD59">
        <v>3.6030146450498397</v>
      </c>
      <c r="GE59">
        <v>1.5519257452058199</v>
      </c>
      <c r="GF59">
        <v>18.471594421977596</v>
      </c>
      <c r="GG59">
        <v>19.442959223279257</v>
      </c>
      <c r="GH59">
        <v>19.168088850309292</v>
      </c>
      <c r="GI59">
        <v>17.821577413809216</v>
      </c>
      <c r="GJ59"/>
      <c r="GK59"/>
      <c r="GL59"/>
      <c r="GM59"/>
      <c r="GN59" s="208"/>
      <c r="GO59" s="208"/>
      <c r="GP59" s="208"/>
      <c r="GQ59" s="208"/>
      <c r="GR59" s="208"/>
      <c r="GS59" s="208"/>
      <c r="GT59" s="208"/>
      <c r="GU59" s="213">
        <v>54</v>
      </c>
    </row>
    <row r="60" spans="1:203" s="7" customFormat="1">
      <c r="A60" s="4"/>
      <c r="B60" s="1"/>
      <c r="C60" s="48" t="s">
        <v>121</v>
      </c>
      <c r="D60" s="49">
        <f t="shared" si="28"/>
        <v>11.282418766374567</v>
      </c>
      <c r="E60" s="19">
        <f t="shared" si="30"/>
        <v>2.191829942661595E-2</v>
      </c>
      <c r="F60" s="8"/>
      <c r="G60" s="49">
        <f>$E$60*$E$29*G45</f>
        <v>0</v>
      </c>
      <c r="H60" s="49">
        <f t="shared" ref="H60:AK60" si="37">$E$60*$E$29*H45</f>
        <v>0.21226125221118444</v>
      </c>
      <c r="I60" s="49">
        <f t="shared" si="37"/>
        <v>1.5390703537216208</v>
      </c>
      <c r="J60" s="49">
        <f t="shared" si="37"/>
        <v>4.1129708943769669</v>
      </c>
      <c r="K60" s="49">
        <f t="shared" si="37"/>
        <v>0.20177227525754129</v>
      </c>
      <c r="L60" s="49">
        <f t="shared" si="37"/>
        <v>1.4634587556339822</v>
      </c>
      <c r="M60" s="49">
        <f t="shared" si="37"/>
        <v>1.1899449626215883</v>
      </c>
      <c r="N60" s="49">
        <f t="shared" si="37"/>
        <v>0</v>
      </c>
      <c r="O60" s="49">
        <f t="shared" si="37"/>
        <v>2.5629402725516832</v>
      </c>
      <c r="P60" s="49">
        <f t="shared" si="37"/>
        <v>0</v>
      </c>
      <c r="Q60" s="49">
        <f t="shared" si="37"/>
        <v>0</v>
      </c>
      <c r="R60" s="49">
        <f t="shared" si="37"/>
        <v>0</v>
      </c>
      <c r="S60" s="49">
        <f t="shared" si="37"/>
        <v>0</v>
      </c>
      <c r="T60" s="49">
        <f t="shared" si="37"/>
        <v>0</v>
      </c>
      <c r="U60" s="49">
        <f t="shared" si="37"/>
        <v>0</v>
      </c>
      <c r="V60" s="49">
        <f t="shared" si="37"/>
        <v>0</v>
      </c>
      <c r="W60" s="49">
        <f t="shared" si="37"/>
        <v>0</v>
      </c>
      <c r="X60" s="49">
        <f t="shared" si="37"/>
        <v>0</v>
      </c>
      <c r="Y60" s="49">
        <f t="shared" si="37"/>
        <v>0</v>
      </c>
      <c r="Z60" s="49">
        <f t="shared" si="37"/>
        <v>0</v>
      </c>
      <c r="AA60" s="49">
        <f t="shared" si="37"/>
        <v>0</v>
      </c>
      <c r="AB60" s="49">
        <f t="shared" si="37"/>
        <v>0</v>
      </c>
      <c r="AC60" s="49">
        <f t="shared" si="37"/>
        <v>0</v>
      </c>
      <c r="AD60" s="49">
        <f t="shared" si="37"/>
        <v>0</v>
      </c>
      <c r="AE60" s="49">
        <f t="shared" si="37"/>
        <v>0</v>
      </c>
      <c r="AF60" s="49">
        <f t="shared" si="37"/>
        <v>0</v>
      </c>
      <c r="AG60" s="49">
        <f t="shared" si="37"/>
        <v>0</v>
      </c>
      <c r="AH60" s="49">
        <f t="shared" si="37"/>
        <v>0</v>
      </c>
      <c r="AI60" s="49">
        <f t="shared" si="37"/>
        <v>0</v>
      </c>
      <c r="AJ60" s="49">
        <f t="shared" si="37"/>
        <v>0</v>
      </c>
      <c r="AK60" s="49">
        <f t="shared" si="37"/>
        <v>0</v>
      </c>
      <c r="AL60" s="42"/>
      <c r="AM60" s="43">
        <v>44</v>
      </c>
      <c r="AN60">
        <v>357.7831921700116</v>
      </c>
      <c r="AO60">
        <v>25.479254485205367</v>
      </c>
      <c r="AP60">
        <v>73.963156163703744</v>
      </c>
      <c r="AQ60">
        <v>180.36586213896317</v>
      </c>
      <c r="AR60">
        <v>26.30927782986198</v>
      </c>
      <c r="AS60">
        <v>251.32131834057557</v>
      </c>
      <c r="AT60">
        <v>12.376186690767568</v>
      </c>
      <c r="AU60">
        <v>36.506637393732547</v>
      </c>
      <c r="AV60"/>
      <c r="AW60"/>
      <c r="FY60" s="213">
        <v>55</v>
      </c>
      <c r="FZ60">
        <v>42.144698729520826</v>
      </c>
      <c r="GA60">
        <v>55.477130127051886</v>
      </c>
      <c r="GB60">
        <v>15.704744874855297</v>
      </c>
      <c r="GC60">
        <v>4.0959230274263811</v>
      </c>
      <c r="GD60">
        <v>3.8354484789739622</v>
      </c>
      <c r="GE60">
        <v>8.6461988071776901</v>
      </c>
      <c r="GF60">
        <v>34.388862985107039</v>
      </c>
      <c r="GG60">
        <v>26.765145132884928</v>
      </c>
      <c r="GH60">
        <v>22.346440528005338</v>
      </c>
      <c r="GI60">
        <v>22.828636344252782</v>
      </c>
      <c r="GJ60"/>
      <c r="GK60"/>
      <c r="GL60"/>
      <c r="GM60"/>
      <c r="GN60" s="208"/>
      <c r="GO60" s="208"/>
      <c r="GP60" s="208"/>
      <c r="GQ60" s="208"/>
      <c r="GR60" s="208"/>
      <c r="GS60" s="208"/>
      <c r="GT60" s="208"/>
      <c r="GU60" s="213">
        <v>55</v>
      </c>
    </row>
    <row r="61" spans="1:203" s="7" customFormat="1">
      <c r="A61" s="4"/>
      <c r="B61" s="1"/>
      <c r="C61" s="48" t="s">
        <v>122</v>
      </c>
      <c r="D61" s="49">
        <f t="shared" si="28"/>
        <v>0</v>
      </c>
      <c r="E61" s="19">
        <f t="shared" si="30"/>
        <v>0</v>
      </c>
      <c r="F61" s="8"/>
      <c r="G61" s="49">
        <f>$E$61*$E$30*G46</f>
        <v>0</v>
      </c>
      <c r="H61" s="49">
        <f t="shared" ref="H61:AK61" si="38">$E$61*$E$30*H46</f>
        <v>0</v>
      </c>
      <c r="I61" s="49">
        <f t="shared" si="38"/>
        <v>0</v>
      </c>
      <c r="J61" s="49">
        <f t="shared" si="38"/>
        <v>0</v>
      </c>
      <c r="K61" s="49">
        <f t="shared" si="38"/>
        <v>0</v>
      </c>
      <c r="L61" s="49">
        <f t="shared" si="38"/>
        <v>0</v>
      </c>
      <c r="M61" s="49">
        <f t="shared" si="38"/>
        <v>0</v>
      </c>
      <c r="N61" s="49">
        <f t="shared" si="38"/>
        <v>0</v>
      </c>
      <c r="O61" s="49">
        <f t="shared" si="38"/>
        <v>0</v>
      </c>
      <c r="P61" s="49">
        <f t="shared" si="38"/>
        <v>0</v>
      </c>
      <c r="Q61" s="49">
        <f t="shared" si="38"/>
        <v>0</v>
      </c>
      <c r="R61" s="49">
        <f t="shared" si="38"/>
        <v>0</v>
      </c>
      <c r="S61" s="49">
        <f t="shared" si="38"/>
        <v>0</v>
      </c>
      <c r="T61" s="49">
        <f t="shared" si="38"/>
        <v>0</v>
      </c>
      <c r="U61" s="49">
        <f t="shared" si="38"/>
        <v>0</v>
      </c>
      <c r="V61" s="49">
        <f t="shared" si="38"/>
        <v>0</v>
      </c>
      <c r="W61" s="49">
        <f t="shared" si="38"/>
        <v>0</v>
      </c>
      <c r="X61" s="49">
        <f t="shared" si="38"/>
        <v>0</v>
      </c>
      <c r="Y61" s="49">
        <f t="shared" si="38"/>
        <v>0</v>
      </c>
      <c r="Z61" s="49">
        <f t="shared" si="38"/>
        <v>0</v>
      </c>
      <c r="AA61" s="49">
        <f t="shared" si="38"/>
        <v>0</v>
      </c>
      <c r="AB61" s="49">
        <f t="shared" si="38"/>
        <v>0</v>
      </c>
      <c r="AC61" s="49">
        <f t="shared" si="38"/>
        <v>0</v>
      </c>
      <c r="AD61" s="49">
        <f t="shared" si="38"/>
        <v>0</v>
      </c>
      <c r="AE61" s="49">
        <f t="shared" si="38"/>
        <v>0</v>
      </c>
      <c r="AF61" s="49">
        <f t="shared" si="38"/>
        <v>0</v>
      </c>
      <c r="AG61" s="49">
        <f t="shared" si="38"/>
        <v>0</v>
      </c>
      <c r="AH61" s="49">
        <f t="shared" si="38"/>
        <v>0</v>
      </c>
      <c r="AI61" s="49">
        <f t="shared" si="38"/>
        <v>0</v>
      </c>
      <c r="AJ61" s="49">
        <f t="shared" si="38"/>
        <v>0</v>
      </c>
      <c r="AK61" s="49">
        <f t="shared" si="38"/>
        <v>0</v>
      </c>
      <c r="AL61" s="42"/>
      <c r="AM61" s="43">
        <v>45</v>
      </c>
      <c r="AN61">
        <v>237.50399481940752</v>
      </c>
      <c r="AO61">
        <v>29.137448240204741</v>
      </c>
      <c r="AP61">
        <v>58.629260359492967</v>
      </c>
      <c r="AQ61">
        <v>199.70239091321758</v>
      </c>
      <c r="AR61">
        <v>29.780099434822635</v>
      </c>
      <c r="AS61">
        <v>247.73686348923218</v>
      </c>
      <c r="AT61">
        <v>10.931949804346763</v>
      </c>
      <c r="AU61">
        <v>3.4078539619316501</v>
      </c>
      <c r="AV61"/>
      <c r="AW61"/>
      <c r="FY61" s="213">
        <v>56</v>
      </c>
      <c r="FZ61">
        <v>47.626920281703974</v>
      </c>
      <c r="GA61">
        <v>57.417838238629031</v>
      </c>
      <c r="GB61">
        <v>12.71317089770022</v>
      </c>
      <c r="GC61">
        <v>4.3622402657332318</v>
      </c>
      <c r="GD61">
        <v>3.9999540338250519</v>
      </c>
      <c r="GE61">
        <v>4.1277034675205471</v>
      </c>
      <c r="GF61">
        <v>21.304570828419042</v>
      </c>
      <c r="GG61">
        <v>21.738023617508258</v>
      </c>
      <c r="GH61">
        <v>22.918681340145458</v>
      </c>
      <c r="GI61">
        <v>20.483031408297183</v>
      </c>
      <c r="GJ61"/>
      <c r="GK61"/>
      <c r="GL61"/>
      <c r="GM61"/>
      <c r="GN61" s="208"/>
      <c r="GO61" s="208"/>
      <c r="GP61" s="208"/>
      <c r="GQ61" s="208"/>
      <c r="GR61" s="208"/>
      <c r="GS61" s="208"/>
      <c r="GT61" s="208"/>
      <c r="GU61" s="213">
        <v>56</v>
      </c>
    </row>
    <row r="62" spans="1:203" s="7" customFormat="1">
      <c r="A62" s="4"/>
      <c r="B62" s="1"/>
      <c r="C62" s="48"/>
      <c r="D62" s="49"/>
      <c r="E62" s="19"/>
      <c r="F62" s="8"/>
      <c r="G62" s="49"/>
      <c r="H62" s="49"/>
      <c r="I62" s="49"/>
      <c r="J62" s="49"/>
      <c r="K62" s="49"/>
      <c r="L62" s="49"/>
      <c r="M62" s="49"/>
      <c r="N62" s="49"/>
      <c r="O62" s="49"/>
      <c r="P62" s="49"/>
      <c r="Q62" s="49"/>
      <c r="R62" s="49"/>
      <c r="S62" s="49"/>
      <c r="T62" s="49"/>
      <c r="U62" s="49"/>
      <c r="V62" s="49"/>
      <c r="W62" s="49"/>
      <c r="X62" s="49"/>
      <c r="Y62" s="49"/>
      <c r="Z62" s="49"/>
      <c r="AA62" s="49"/>
      <c r="AB62" s="49"/>
      <c r="AC62" s="49"/>
      <c r="AD62" s="49"/>
      <c r="AE62" s="49"/>
      <c r="AF62" s="49"/>
      <c r="AG62" s="49"/>
      <c r="AH62" s="49"/>
      <c r="AI62" s="49"/>
      <c r="AJ62" s="49"/>
      <c r="AK62" s="49"/>
      <c r="AL62" s="42"/>
      <c r="AM62" s="43">
        <v>46</v>
      </c>
      <c r="AN62">
        <v>235.37830678242858</v>
      </c>
      <c r="AO62">
        <v>21.582534345345714</v>
      </c>
      <c r="AP62">
        <v>59.679525540118277</v>
      </c>
      <c r="AQ62">
        <v>159.98813715226234</v>
      </c>
      <c r="AR62">
        <v>24.239522112587963</v>
      </c>
      <c r="AS62">
        <v>220.93647183118799</v>
      </c>
      <c r="AT62">
        <v>10.810126267364494</v>
      </c>
      <c r="AU62">
        <v>15.642328758947691</v>
      </c>
      <c r="AV62"/>
      <c r="AW62"/>
      <c r="FY62" s="213">
        <v>57</v>
      </c>
      <c r="FZ62">
        <v>62.957531640956326</v>
      </c>
      <c r="GA62">
        <v>78.81153306774381</v>
      </c>
      <c r="GB62">
        <v>15.967436274002868</v>
      </c>
      <c r="GC62">
        <v>6.6690191999611246</v>
      </c>
      <c r="GD62">
        <v>5.440176839324085</v>
      </c>
      <c r="GE62">
        <v>3.5444550067307166</v>
      </c>
      <c r="GF62">
        <v>8.3299053669399363</v>
      </c>
      <c r="GG62">
        <v>9.287372277407318</v>
      </c>
      <c r="GH62">
        <v>9.1187977298020062</v>
      </c>
      <c r="GI62">
        <v>19.984650287930478</v>
      </c>
      <c r="GJ62"/>
      <c r="GK62"/>
      <c r="GL62"/>
      <c r="GM62"/>
      <c r="GN62" s="208"/>
      <c r="GO62" s="208"/>
      <c r="GP62" s="208"/>
      <c r="GQ62" s="208"/>
      <c r="GR62" s="208"/>
      <c r="GS62" s="208"/>
      <c r="GT62" s="208"/>
      <c r="GU62" s="213">
        <v>57</v>
      </c>
    </row>
    <row r="63" spans="1:203" s="7" customFormat="1">
      <c r="A63" s="4"/>
      <c r="B63" s="1"/>
      <c r="C63" s="52" t="s">
        <v>53</v>
      </c>
      <c r="D63" s="53">
        <f>SUM(D52:D62)</f>
        <v>66.166079049599816</v>
      </c>
      <c r="E63" s="19"/>
      <c r="F63" s="19"/>
      <c r="G63" s="19"/>
      <c r="H63" s="19"/>
      <c r="I63" s="18"/>
      <c r="J63" s="19"/>
      <c r="K63" s="61"/>
      <c r="L63" s="19"/>
      <c r="M63" s="18"/>
      <c r="N63" s="19"/>
      <c r="O63" s="19"/>
      <c r="P63" s="19"/>
      <c r="Q63" s="18"/>
      <c r="R63" s="18"/>
      <c r="S63" s="18"/>
      <c r="T63" s="18"/>
      <c r="U63" s="18"/>
      <c r="V63" s="64"/>
      <c r="W63" s="64"/>
      <c r="X63" s="64"/>
      <c r="Y63" s="64"/>
      <c r="Z63" s="64"/>
      <c r="AA63" s="64"/>
      <c r="AB63" s="64"/>
      <c r="AC63" s="64"/>
      <c r="AD63" s="64"/>
      <c r="AE63" s="64"/>
      <c r="AF63" s="64"/>
      <c r="AG63" s="63"/>
      <c r="AH63" s="63"/>
      <c r="AI63" s="63"/>
      <c r="AJ63" s="63"/>
      <c r="AK63" s="63"/>
      <c r="AL63" s="42"/>
      <c r="AM63" s="43">
        <v>47</v>
      </c>
      <c r="AN63">
        <v>364.81978650961969</v>
      </c>
      <c r="AO63">
        <v>30.349220941443956</v>
      </c>
      <c r="AP63">
        <v>77.628769616203215</v>
      </c>
      <c r="AQ63">
        <v>214.68916038095801</v>
      </c>
      <c r="AR63">
        <v>33.66833054205847</v>
      </c>
      <c r="AS63">
        <v>285.29526080163134</v>
      </c>
      <c r="AT63">
        <v>14.792344028334538</v>
      </c>
      <c r="AU63">
        <v>50.2149927811043</v>
      </c>
      <c r="AV63"/>
      <c r="AW63"/>
      <c r="FY63" s="213">
        <v>58</v>
      </c>
      <c r="FZ63">
        <v>31.00494667050463</v>
      </c>
      <c r="GA63">
        <v>36.591271390142744</v>
      </c>
      <c r="GB63">
        <v>11.850108310951956</v>
      </c>
      <c r="GC63">
        <v>6.9578966027131148</v>
      </c>
      <c r="GD63">
        <v>4.3904957078120201</v>
      </c>
      <c r="GE63">
        <v>2.7137742751118021</v>
      </c>
      <c r="GF63">
        <v>16.573670722737695</v>
      </c>
      <c r="GG63">
        <v>14.66972952707939</v>
      </c>
      <c r="GH63">
        <v>7.2818510762762791</v>
      </c>
      <c r="GI63">
        <v>14.634182277207056</v>
      </c>
      <c r="GJ63"/>
      <c r="GK63"/>
      <c r="GL63"/>
      <c r="GM63"/>
      <c r="GN63" s="208"/>
      <c r="GO63" s="208"/>
      <c r="GP63" s="208"/>
      <c r="GQ63" s="208"/>
      <c r="GR63" s="208"/>
      <c r="GS63" s="208"/>
      <c r="GT63" s="208"/>
      <c r="GU63" s="213">
        <v>58</v>
      </c>
    </row>
    <row r="64" spans="1:203" s="7" customFormat="1">
      <c r="A64" s="4"/>
      <c r="B64" s="1"/>
      <c r="C64" s="64"/>
      <c r="D64" s="64"/>
      <c r="E64" s="64"/>
      <c r="F64" s="64"/>
      <c r="G64" s="64"/>
      <c r="H64" s="64"/>
      <c r="I64" s="64"/>
      <c r="J64" s="62"/>
      <c r="K64" s="64"/>
      <c r="L64" s="64"/>
      <c r="M64" s="64"/>
      <c r="N64" s="65"/>
      <c r="O64" s="64"/>
      <c r="P64" s="65"/>
      <c r="Q64" s="64"/>
      <c r="R64" s="64"/>
      <c r="S64" s="64"/>
      <c r="T64" s="64"/>
      <c r="U64" s="64"/>
      <c r="V64" s="64"/>
      <c r="W64" s="64"/>
      <c r="X64" s="64"/>
      <c r="Y64" s="64"/>
      <c r="Z64" s="64"/>
      <c r="AA64" s="64"/>
      <c r="AB64" s="64"/>
      <c r="AC64" s="64"/>
      <c r="AD64" s="64"/>
      <c r="AE64" s="64"/>
      <c r="AF64" s="64"/>
      <c r="AG64" s="63"/>
      <c r="AH64" s="63"/>
      <c r="AI64" s="63"/>
      <c r="AJ64" s="63"/>
      <c r="AK64" s="63"/>
      <c r="AL64" s="42"/>
      <c r="AM64" s="43">
        <v>48</v>
      </c>
      <c r="AN64">
        <v>289.88224322074814</v>
      </c>
      <c r="AO64">
        <v>25.192060143368828</v>
      </c>
      <c r="AP64">
        <v>94.214128023614919</v>
      </c>
      <c r="AQ64">
        <v>179.56286231764767</v>
      </c>
      <c r="AR64">
        <v>26.920050304809138</v>
      </c>
      <c r="AS64">
        <v>229.20553644154356</v>
      </c>
      <c r="AT64">
        <v>11.450794965041871</v>
      </c>
      <c r="AU64">
        <v>7.8361504281600105</v>
      </c>
      <c r="AV64"/>
      <c r="AW64"/>
      <c r="FY64" s="213">
        <v>59</v>
      </c>
      <c r="FZ64">
        <v>41.396892033724463</v>
      </c>
      <c r="GA64">
        <v>46.893178736036937</v>
      </c>
      <c r="GB64">
        <v>16.125223118176685</v>
      </c>
      <c r="GC64">
        <v>7.1101378222305494</v>
      </c>
      <c r="GD64">
        <v>7.2489659090495646</v>
      </c>
      <c r="GE64">
        <v>6.8069589002877722</v>
      </c>
      <c r="GF64">
        <v>16.614059644876704</v>
      </c>
      <c r="GG64">
        <v>14.819081439045295</v>
      </c>
      <c r="GH64">
        <v>15.650469860140246</v>
      </c>
      <c r="GI64">
        <v>20.456846757059253</v>
      </c>
      <c r="GJ64"/>
      <c r="GK64"/>
      <c r="GL64"/>
      <c r="GM64"/>
      <c r="GN64" s="208"/>
      <c r="GO64" s="208"/>
      <c r="GP64" s="208"/>
      <c r="GQ64" s="208"/>
      <c r="GR64" s="208"/>
      <c r="GS64" s="208"/>
      <c r="GT64" s="208"/>
      <c r="GU64" s="213">
        <v>59</v>
      </c>
    </row>
    <row r="65" spans="1:203" s="7" customFormat="1">
      <c r="A65" s="4"/>
      <c r="B65" s="66"/>
      <c r="C65" s="66"/>
      <c r="D65" s="66"/>
      <c r="E65" s="66"/>
      <c r="F65" s="66"/>
      <c r="G65" s="66"/>
      <c r="H65" s="66"/>
      <c r="I65" s="66"/>
      <c r="J65" s="67"/>
      <c r="K65" s="66"/>
      <c r="L65" s="66"/>
      <c r="M65" s="66"/>
      <c r="N65" s="42"/>
      <c r="O65" s="66"/>
      <c r="P65" s="42"/>
      <c r="Q65" s="66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  <c r="AK65" s="42"/>
      <c r="AL65" s="42"/>
      <c r="AM65" s="43">
        <v>49</v>
      </c>
      <c r="AN65">
        <v>283.02286902532398</v>
      </c>
      <c r="AO65">
        <v>24.273566305960365</v>
      </c>
      <c r="AP65">
        <v>90.150673828183528</v>
      </c>
      <c r="AQ65">
        <v>163.68164235486398</v>
      </c>
      <c r="AR65">
        <v>24.35364503994116</v>
      </c>
      <c r="AS65">
        <v>221.50198775915641</v>
      </c>
      <c r="AT65">
        <v>10.808703273898905</v>
      </c>
      <c r="AU65">
        <v>5.7148303063808381</v>
      </c>
      <c r="AV65"/>
      <c r="AW65"/>
      <c r="FY65" s="213">
        <v>60</v>
      </c>
      <c r="FZ65">
        <v>53.836915004324325</v>
      </c>
      <c r="GA65">
        <v>49.6517052158026</v>
      </c>
      <c r="GB65">
        <v>11.70465453065815</v>
      </c>
      <c r="GC65">
        <v>5.5982790620828213</v>
      </c>
      <c r="GD65">
        <v>4.7867415512703504</v>
      </c>
      <c r="GE65">
        <v>5.9736868423571012</v>
      </c>
      <c r="GF65">
        <v>21.77594826948441</v>
      </c>
      <c r="GG65">
        <v>19.836169666548628</v>
      </c>
      <c r="GH65">
        <v>10.107493587825392</v>
      </c>
      <c r="GI65">
        <v>19.507217486300465</v>
      </c>
      <c r="GJ65"/>
      <c r="GK65"/>
      <c r="GL65"/>
      <c r="GM65"/>
      <c r="GN65" s="208"/>
      <c r="GO65" s="208"/>
      <c r="GP65" s="208"/>
      <c r="GQ65" s="208"/>
      <c r="GR65" s="208"/>
      <c r="GS65" s="208"/>
      <c r="GT65" s="208"/>
      <c r="GU65" s="213">
        <v>60</v>
      </c>
    </row>
    <row r="66" spans="1:203" s="7" customFormat="1">
      <c r="A66" s="4"/>
      <c r="B66" s="68"/>
      <c r="C66" s="68"/>
      <c r="D66" s="68"/>
      <c r="E66" s="68"/>
      <c r="F66" s="68"/>
      <c r="G66" s="68"/>
      <c r="H66" s="68"/>
      <c r="I66" s="68"/>
      <c r="J66" s="69"/>
      <c r="K66" s="68"/>
      <c r="L66" s="68"/>
      <c r="M66" s="68"/>
      <c r="N66" s="70"/>
      <c r="O66" s="68"/>
      <c r="P66" s="70"/>
      <c r="Q66" s="68"/>
      <c r="R66" s="70"/>
      <c r="S66" s="28"/>
      <c r="T66" s="28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3">
        <v>50</v>
      </c>
      <c r="AN66">
        <v>205.82205931362847</v>
      </c>
      <c r="AO66">
        <v>20.053924975676495</v>
      </c>
      <c r="AP66">
        <v>91.103062073371603</v>
      </c>
      <c r="AQ66">
        <v>139.19053680309361</v>
      </c>
      <c r="AR66">
        <v>19.514195166266358</v>
      </c>
      <c r="AS66">
        <v>165.36713987746234</v>
      </c>
      <c r="AT66">
        <v>8.553245365041251</v>
      </c>
      <c r="AU66">
        <v>5.3071878071073861</v>
      </c>
      <c r="AV66"/>
      <c r="AW66"/>
      <c r="FY66" s="213">
        <v>61</v>
      </c>
      <c r="FZ66">
        <v>65.221006951724959</v>
      </c>
      <c r="GA66">
        <v>71.372891318146955</v>
      </c>
      <c r="GB66">
        <v>12.871048511639223</v>
      </c>
      <c r="GC66">
        <v>4.9130697242614563</v>
      </c>
      <c r="GD66">
        <v>3.6183476894633397</v>
      </c>
      <c r="GE66">
        <v>4.5066754396055613</v>
      </c>
      <c r="GF66">
        <v>24.06572018126538</v>
      </c>
      <c r="GG66">
        <v>22.600724263656691</v>
      </c>
      <c r="GH66">
        <v>14.876315047864876</v>
      </c>
      <c r="GI66">
        <v>22.028333422899738</v>
      </c>
      <c r="GJ66"/>
      <c r="GK66"/>
      <c r="GL66"/>
      <c r="GM66"/>
      <c r="GN66" s="208"/>
      <c r="GO66" s="208"/>
      <c r="GP66" s="208"/>
      <c r="GQ66" s="208"/>
      <c r="GR66" s="208"/>
      <c r="GS66" s="208"/>
      <c r="GT66" s="208"/>
      <c r="GU66" s="213">
        <v>61</v>
      </c>
    </row>
    <row r="67" spans="1:203" s="7" customFormat="1">
      <c r="A67" s="4"/>
      <c r="B67" s="66"/>
      <c r="C67" s="1"/>
      <c r="D67" s="1"/>
      <c r="E67" s="2"/>
      <c r="F67" s="2"/>
      <c r="G67" s="1"/>
      <c r="H67" s="1"/>
      <c r="I67" s="3"/>
      <c r="J67" s="2"/>
      <c r="K67" s="1"/>
      <c r="L67" s="1"/>
      <c r="M67" s="1"/>
      <c r="N67" s="1"/>
      <c r="O67" s="2"/>
      <c r="P67" s="1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43">
        <v>51</v>
      </c>
      <c r="AN67">
        <v>258.56319509514452</v>
      </c>
      <c r="AO67">
        <v>26.167076670846861</v>
      </c>
      <c r="AP67">
        <v>74.213883323845948</v>
      </c>
      <c r="AQ67">
        <v>179.94328373525894</v>
      </c>
      <c r="AR67">
        <v>27.268314486731754</v>
      </c>
      <c r="AS67">
        <v>199.46583970727374</v>
      </c>
      <c r="AT67">
        <v>8.796255232257197</v>
      </c>
      <c r="AU67">
        <v>-0.53903654981554894</v>
      </c>
      <c r="AV67"/>
      <c r="AW67"/>
      <c r="FY67" s="213">
        <v>62</v>
      </c>
      <c r="FZ67">
        <v>50.74004845205296</v>
      </c>
      <c r="GA67">
        <v>58.982320631177224</v>
      </c>
      <c r="GB67">
        <v>15.321011040245102</v>
      </c>
      <c r="GC67">
        <v>5.5357082846260317</v>
      </c>
      <c r="GD67">
        <v>4.4577778658848635</v>
      </c>
      <c r="GE67">
        <v>5.8112879885175852</v>
      </c>
      <c r="GF67">
        <v>19.515885542572498</v>
      </c>
      <c r="GG67">
        <v>16.588104229815958</v>
      </c>
      <c r="GH67">
        <v>19.798236050862965</v>
      </c>
      <c r="GI67">
        <v>21.221521794956672</v>
      </c>
      <c r="GJ67"/>
      <c r="GK67"/>
      <c r="GL67"/>
      <c r="GM67"/>
      <c r="GN67" s="208"/>
      <c r="GO67" s="208"/>
      <c r="GP67" s="208"/>
      <c r="GQ67" s="208"/>
      <c r="GR67" s="208"/>
      <c r="GS67" s="208"/>
      <c r="GT67" s="208"/>
      <c r="GU67" s="213">
        <v>62</v>
      </c>
    </row>
    <row r="68" spans="1:203" s="7" customFormat="1">
      <c r="A68" s="4"/>
      <c r="B68" s="66"/>
      <c r="C68" s="13"/>
      <c r="D68" s="13"/>
      <c r="E68" s="14"/>
      <c r="F68" s="14" t="s">
        <v>54</v>
      </c>
      <c r="G68" s="13"/>
      <c r="H68" s="13"/>
      <c r="I68" s="21"/>
      <c r="J68" s="14"/>
      <c r="K68" s="13"/>
      <c r="L68" s="13"/>
      <c r="M68" s="13"/>
      <c r="N68" s="13"/>
      <c r="O68" s="14"/>
      <c r="P68" s="13"/>
      <c r="Q68" s="14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2"/>
      <c r="AM68" s="43">
        <v>52</v>
      </c>
      <c r="AN68">
        <v>367.25921890057282</v>
      </c>
      <c r="AO68">
        <v>35.476677741324387</v>
      </c>
      <c r="AP68">
        <v>129.28502904300916</v>
      </c>
      <c r="AQ68">
        <v>263.12156205601099</v>
      </c>
      <c r="AR68">
        <v>36.64598263960206</v>
      </c>
      <c r="AS68">
        <v>304.47999177006267</v>
      </c>
      <c r="AT68">
        <v>15.078943114853589</v>
      </c>
      <c r="AU68">
        <v>-20.986200285907326</v>
      </c>
      <c r="AV68"/>
      <c r="AW68"/>
      <c r="FY68" s="213">
        <v>63</v>
      </c>
      <c r="FZ68">
        <v>34.862374952078106</v>
      </c>
      <c r="GA68">
        <v>37.066113789949185</v>
      </c>
      <c r="GB68">
        <v>7.9640793390558144</v>
      </c>
      <c r="GC68">
        <v>6.0644991153717527</v>
      </c>
      <c r="GD68">
        <v>5.2430378901617054</v>
      </c>
      <c r="GE68">
        <v>3.7109011872388971</v>
      </c>
      <c r="GF68">
        <v>28.089936302004286</v>
      </c>
      <c r="GG68">
        <v>26.3242454930962</v>
      </c>
      <c r="GH68">
        <v>14.51747361283185</v>
      </c>
      <c r="GI68">
        <v>17.762117929387816</v>
      </c>
      <c r="GJ68"/>
      <c r="GK68"/>
      <c r="GL68"/>
      <c r="GM68"/>
      <c r="GN68" s="208"/>
      <c r="GO68" s="208"/>
      <c r="GP68" s="208"/>
      <c r="GQ68" s="208"/>
      <c r="GR68" s="208"/>
      <c r="GS68" s="208"/>
      <c r="GT68" s="208"/>
      <c r="GU68" s="213">
        <v>63</v>
      </c>
    </row>
    <row r="69" spans="1:203" s="7" customFormat="1">
      <c r="A69" s="133"/>
      <c r="B69" s="66"/>
      <c r="C69" s="9" t="s">
        <v>21</v>
      </c>
      <c r="D69" s="13"/>
      <c r="E69" s="13"/>
      <c r="F69" s="11" t="s">
        <v>33</v>
      </c>
      <c r="G69" s="44" t="s">
        <v>37</v>
      </c>
      <c r="H69" s="45">
        <v>1</v>
      </c>
      <c r="I69" s="45">
        <v>2</v>
      </c>
      <c r="J69" s="45">
        <v>3</v>
      </c>
      <c r="K69" s="45">
        <v>4</v>
      </c>
      <c r="L69" s="45">
        <v>5</v>
      </c>
      <c r="M69" s="45">
        <v>6</v>
      </c>
      <c r="N69" s="45">
        <v>7</v>
      </c>
      <c r="O69" s="46">
        <v>8</v>
      </c>
      <c r="P69" s="46">
        <v>9</v>
      </c>
      <c r="Q69" s="47">
        <v>10</v>
      </c>
      <c r="R69" s="46">
        <v>11</v>
      </c>
      <c r="S69" s="47">
        <v>12</v>
      </c>
      <c r="T69" s="46">
        <v>13</v>
      </c>
      <c r="U69" s="47">
        <v>14</v>
      </c>
      <c r="V69" s="46">
        <v>15</v>
      </c>
      <c r="W69" s="47">
        <v>16</v>
      </c>
      <c r="X69" s="46">
        <v>17</v>
      </c>
      <c r="Y69" s="47">
        <v>18</v>
      </c>
      <c r="Z69" s="46">
        <v>19</v>
      </c>
      <c r="AA69" s="47">
        <v>20</v>
      </c>
      <c r="AB69" s="46">
        <v>21</v>
      </c>
      <c r="AC69" s="47">
        <v>22</v>
      </c>
      <c r="AD69" s="46">
        <v>23</v>
      </c>
      <c r="AE69" s="47">
        <v>24</v>
      </c>
      <c r="AF69" s="46">
        <v>25</v>
      </c>
      <c r="AG69" s="47">
        <v>26</v>
      </c>
      <c r="AH69" s="46">
        <v>27</v>
      </c>
      <c r="AI69" s="47">
        <v>28</v>
      </c>
      <c r="AJ69" s="46">
        <v>29</v>
      </c>
      <c r="AK69" s="47">
        <v>30</v>
      </c>
      <c r="AL69" s="2"/>
      <c r="AM69" s="43">
        <v>53</v>
      </c>
      <c r="AN69">
        <v>409.06262537831924</v>
      </c>
      <c r="AO69">
        <v>29.903953066364391</v>
      </c>
      <c r="AP69">
        <v>78.778025540328372</v>
      </c>
      <c r="AQ69">
        <v>210.60388609503124</v>
      </c>
      <c r="AR69">
        <v>30.040853851852336</v>
      </c>
      <c r="AS69">
        <v>304.89638474753639</v>
      </c>
      <c r="AT69">
        <v>13.560061126390382</v>
      </c>
      <c r="AU69">
        <v>24.803686573922921</v>
      </c>
      <c r="AV69"/>
      <c r="AW69"/>
      <c r="FY69" s="213">
        <v>64</v>
      </c>
      <c r="FZ69">
        <v>52.918200865623142</v>
      </c>
      <c r="GA69">
        <v>42.412314846070949</v>
      </c>
      <c r="GB69">
        <v>7.5296930521583736</v>
      </c>
      <c r="GC69">
        <v>6.7848314696007099</v>
      </c>
      <c r="GD69">
        <v>5.2269604680706347</v>
      </c>
      <c r="GE69">
        <v>3.5381999734460741</v>
      </c>
      <c r="GF69">
        <v>19.173062580823448</v>
      </c>
      <c r="GG69">
        <v>19.063956915996815</v>
      </c>
      <c r="GH69">
        <v>14.523328991741053</v>
      </c>
      <c r="GI69">
        <v>18.642640784845604</v>
      </c>
      <c r="GJ69"/>
      <c r="GK69"/>
      <c r="GL69"/>
      <c r="GM69"/>
      <c r="GN69" s="208"/>
      <c r="GO69" s="208"/>
      <c r="GP69" s="208"/>
      <c r="GQ69" s="208"/>
      <c r="GR69" s="208"/>
      <c r="GS69" s="208"/>
      <c r="GT69" s="208"/>
      <c r="GU69" s="213">
        <v>64</v>
      </c>
    </row>
    <row r="70" spans="1:203" s="7" customFormat="1">
      <c r="A70" s="4"/>
      <c r="B70" s="66"/>
      <c r="C70" s="71">
        <f t="shared" ref="C70:C79" si="39">C4</f>
        <v>39646</v>
      </c>
      <c r="D70" s="72">
        <f t="shared" ref="D70:D75" si="40">SUM(G70:AK70)</f>
        <v>164.58333333333334</v>
      </c>
      <c r="E70" s="64"/>
      <c r="F70" s="64"/>
      <c r="G70" s="18">
        <f>AVERAGE(E228:E237)</f>
        <v>0</v>
      </c>
      <c r="H70" s="18">
        <f t="shared" ref="H70:AK70" si="41">AVERAGE(F228:F237)</f>
        <v>4.1666666666666661</v>
      </c>
      <c r="I70" s="18">
        <f t="shared" si="41"/>
        <v>64.583333333333343</v>
      </c>
      <c r="J70" s="18">
        <f t="shared" si="41"/>
        <v>55.208333333333336</v>
      </c>
      <c r="K70" s="18">
        <f t="shared" si="41"/>
        <v>11.458333333333334</v>
      </c>
      <c r="L70" s="18">
        <f t="shared" si="41"/>
        <v>15.625</v>
      </c>
      <c r="M70" s="18">
        <f t="shared" si="41"/>
        <v>3.125</v>
      </c>
      <c r="N70" s="18">
        <f t="shared" si="41"/>
        <v>7.2916666666666661</v>
      </c>
      <c r="O70" s="18">
        <f t="shared" si="41"/>
        <v>0</v>
      </c>
      <c r="P70" s="18">
        <f t="shared" si="41"/>
        <v>0</v>
      </c>
      <c r="Q70" s="18">
        <f t="shared" si="41"/>
        <v>2.083333333333333</v>
      </c>
      <c r="R70" s="18">
        <f t="shared" si="41"/>
        <v>1.0416666666666665</v>
      </c>
      <c r="S70" s="18">
        <f t="shared" si="41"/>
        <v>0</v>
      </c>
      <c r="T70" s="18">
        <f t="shared" si="41"/>
        <v>0</v>
      </c>
      <c r="U70" s="18">
        <f t="shared" si="41"/>
        <v>0</v>
      </c>
      <c r="V70" s="18">
        <f t="shared" si="41"/>
        <v>0</v>
      </c>
      <c r="W70" s="18">
        <f t="shared" si="41"/>
        <v>0</v>
      </c>
      <c r="X70" s="18">
        <f t="shared" si="41"/>
        <v>0</v>
      </c>
      <c r="Y70" s="18">
        <f t="shared" si="41"/>
        <v>0</v>
      </c>
      <c r="Z70" s="18">
        <f t="shared" si="41"/>
        <v>0</v>
      </c>
      <c r="AA70" s="18">
        <f t="shared" si="41"/>
        <v>0</v>
      </c>
      <c r="AB70" s="18">
        <f t="shared" si="41"/>
        <v>0</v>
      </c>
      <c r="AC70" s="18">
        <f t="shared" si="41"/>
        <v>0</v>
      </c>
      <c r="AD70" s="18">
        <f t="shared" si="41"/>
        <v>0</v>
      </c>
      <c r="AE70" s="18">
        <f t="shared" si="41"/>
        <v>0</v>
      </c>
      <c r="AF70" s="18">
        <f t="shared" si="41"/>
        <v>0</v>
      </c>
      <c r="AG70" s="18">
        <f t="shared" si="41"/>
        <v>0</v>
      </c>
      <c r="AH70" s="18">
        <f t="shared" si="41"/>
        <v>0</v>
      </c>
      <c r="AI70" s="18">
        <f t="shared" si="41"/>
        <v>0</v>
      </c>
      <c r="AJ70" s="18">
        <f t="shared" si="41"/>
        <v>0</v>
      </c>
      <c r="AK70" s="18">
        <f t="shared" si="41"/>
        <v>0</v>
      </c>
      <c r="AL70" s="2"/>
      <c r="AM70" s="43">
        <v>54</v>
      </c>
      <c r="AN70">
        <v>276.12343450817957</v>
      </c>
      <c r="AO70">
        <v>25.033053667228394</v>
      </c>
      <c r="AP70">
        <v>100.52848890695245</v>
      </c>
      <c r="AQ70">
        <v>179.78306464140809</v>
      </c>
      <c r="AR70">
        <v>26.610837735712092</v>
      </c>
      <c r="AS70">
        <v>221.08712018559299</v>
      </c>
      <c r="AT70">
        <v>10.958875018007449</v>
      </c>
      <c r="AU70">
        <v>16.69981622622409</v>
      </c>
      <c r="AV70"/>
      <c r="AW70"/>
      <c r="FY70" s="213">
        <v>65</v>
      </c>
      <c r="FZ70">
        <v>41.521240689301024</v>
      </c>
      <c r="GA70">
        <v>68.018321832182139</v>
      </c>
      <c r="GB70">
        <v>19.251737418077596</v>
      </c>
      <c r="GC70">
        <v>7.3508445124874928</v>
      </c>
      <c r="GD70">
        <v>5.7185643017012895</v>
      </c>
      <c r="GE70">
        <v>4.9236664716919423</v>
      </c>
      <c r="GF70">
        <v>11.410593747738444</v>
      </c>
      <c r="GG70">
        <v>9.3193367139158099</v>
      </c>
      <c r="GH70">
        <v>9.2673266913037793</v>
      </c>
      <c r="GI70">
        <v>18.639058552852013</v>
      </c>
      <c r="GJ70"/>
      <c r="GK70"/>
      <c r="GL70"/>
      <c r="GM70"/>
      <c r="GN70" s="208"/>
      <c r="GO70" s="208"/>
      <c r="GP70" s="208"/>
      <c r="GQ70" s="208"/>
      <c r="GR70" s="208"/>
      <c r="GS70" s="208"/>
      <c r="GT70" s="208"/>
      <c r="GU70" s="213">
        <v>65</v>
      </c>
    </row>
    <row r="71" spans="1:203" s="7" customFormat="1">
      <c r="A71" s="4"/>
      <c r="B71" s="66"/>
      <c r="C71" s="71">
        <f t="shared" si="39"/>
        <v>39673</v>
      </c>
      <c r="D71" s="72">
        <f t="shared" si="40"/>
        <v>50.595238095238102</v>
      </c>
      <c r="E71" s="64"/>
      <c r="F71" s="64"/>
      <c r="G71" s="18">
        <f>AVERAGE(E238:E247)</f>
        <v>0</v>
      </c>
      <c r="H71" s="18">
        <f t="shared" ref="H71:AK71" si="42">AVERAGE(F238:F247)</f>
        <v>0</v>
      </c>
      <c r="I71" s="18">
        <f t="shared" si="42"/>
        <v>30.803571428571434</v>
      </c>
      <c r="J71" s="18">
        <f t="shared" si="42"/>
        <v>1.0416666666666665</v>
      </c>
      <c r="K71" s="18">
        <f t="shared" si="42"/>
        <v>8.3333333333333321</v>
      </c>
      <c r="L71" s="18">
        <f t="shared" si="42"/>
        <v>5.208333333333333</v>
      </c>
      <c r="M71" s="18">
        <f t="shared" si="42"/>
        <v>2.083333333333333</v>
      </c>
      <c r="N71" s="18">
        <f t="shared" si="42"/>
        <v>1.0416666666666665</v>
      </c>
      <c r="O71" s="18">
        <f t="shared" si="42"/>
        <v>2.083333333333333</v>
      </c>
      <c r="P71" s="18">
        <f t="shared" si="42"/>
        <v>0</v>
      </c>
      <c r="Q71" s="18">
        <f t="shared" si="42"/>
        <v>0</v>
      </c>
      <c r="R71" s="18">
        <f t="shared" si="42"/>
        <v>0</v>
      </c>
      <c r="S71" s="18">
        <f t="shared" si="42"/>
        <v>0</v>
      </c>
      <c r="T71" s="18">
        <f t="shared" si="42"/>
        <v>0</v>
      </c>
      <c r="U71" s="18">
        <f t="shared" si="42"/>
        <v>0</v>
      </c>
      <c r="V71" s="18">
        <f t="shared" si="42"/>
        <v>0</v>
      </c>
      <c r="W71" s="18">
        <f t="shared" si="42"/>
        <v>0</v>
      </c>
      <c r="X71" s="18">
        <f t="shared" si="42"/>
        <v>0</v>
      </c>
      <c r="Y71" s="18">
        <f t="shared" si="42"/>
        <v>0</v>
      </c>
      <c r="Z71" s="18">
        <f t="shared" si="42"/>
        <v>0</v>
      </c>
      <c r="AA71" s="18">
        <f t="shared" si="42"/>
        <v>0</v>
      </c>
      <c r="AB71" s="18">
        <f t="shared" si="42"/>
        <v>0</v>
      </c>
      <c r="AC71" s="18">
        <f t="shared" si="42"/>
        <v>0</v>
      </c>
      <c r="AD71" s="18">
        <f t="shared" si="42"/>
        <v>0</v>
      </c>
      <c r="AE71" s="18">
        <f t="shared" si="42"/>
        <v>0</v>
      </c>
      <c r="AF71" s="18">
        <f t="shared" si="42"/>
        <v>0</v>
      </c>
      <c r="AG71" s="18">
        <f t="shared" si="42"/>
        <v>0</v>
      </c>
      <c r="AH71" s="18">
        <f t="shared" si="42"/>
        <v>0</v>
      </c>
      <c r="AI71" s="18">
        <f t="shared" si="42"/>
        <v>0</v>
      </c>
      <c r="AJ71" s="18">
        <f t="shared" si="42"/>
        <v>0</v>
      </c>
      <c r="AK71" s="18">
        <f t="shared" si="42"/>
        <v>0</v>
      </c>
      <c r="AL71" s="2"/>
      <c r="AM71" s="43">
        <v>55</v>
      </c>
      <c r="AN71">
        <v>387.60635510600969</v>
      </c>
      <c r="AO71">
        <v>32.48790418200705</v>
      </c>
      <c r="AP71">
        <v>97.87244895945571</v>
      </c>
      <c r="AQ71">
        <v>236.2332290352561</v>
      </c>
      <c r="AR71">
        <v>33.677788263124263</v>
      </c>
      <c r="AS71">
        <v>299.54038142141735</v>
      </c>
      <c r="AT71">
        <v>13.966146125525219</v>
      </c>
      <c r="AU71">
        <v>6.2819502264927358</v>
      </c>
      <c r="AV71"/>
      <c r="AW71"/>
      <c r="FY71" s="213">
        <v>66</v>
      </c>
      <c r="FZ71">
        <v>74.193444526957521</v>
      </c>
      <c r="GA71">
        <v>49.58212749219993</v>
      </c>
      <c r="GB71">
        <v>6.0617104929633863</v>
      </c>
      <c r="GC71">
        <v>7.4609038109183574</v>
      </c>
      <c r="GD71">
        <v>6.0819913240042345</v>
      </c>
      <c r="GE71">
        <v>2.4896325591811066</v>
      </c>
      <c r="GF71">
        <v>23.988322526573842</v>
      </c>
      <c r="GG71">
        <v>23.978452623721896</v>
      </c>
      <c r="GH71">
        <v>9.2572024196407483</v>
      </c>
      <c r="GI71">
        <v>21.702599937441285</v>
      </c>
      <c r="GJ71"/>
      <c r="GK71"/>
      <c r="GL71"/>
      <c r="GM71"/>
      <c r="GN71" s="208"/>
      <c r="GO71" s="208"/>
      <c r="GP71" s="208"/>
      <c r="GQ71" s="208"/>
      <c r="GR71" s="208"/>
      <c r="GS71" s="208"/>
      <c r="GT71" s="208"/>
      <c r="GU71" s="213">
        <v>66</v>
      </c>
    </row>
    <row r="72" spans="1:203" s="7" customFormat="1">
      <c r="A72" s="4"/>
      <c r="B72" s="66"/>
      <c r="C72" s="71">
        <f t="shared" si="39"/>
        <v>39714</v>
      </c>
      <c r="D72" s="72">
        <f t="shared" si="40"/>
        <v>131.98924731182794</v>
      </c>
      <c r="E72" s="64"/>
      <c r="F72" s="64"/>
      <c r="G72" s="18">
        <f>AVERAGE(E248:E257)</f>
        <v>23.101478494623656</v>
      </c>
      <c r="H72" s="18">
        <f t="shared" ref="H72:AK72" si="43">AVERAGE(F248:F257)</f>
        <v>95.346102150537632</v>
      </c>
      <c r="I72" s="18">
        <f t="shared" si="43"/>
        <v>0</v>
      </c>
      <c r="J72" s="18">
        <f t="shared" si="43"/>
        <v>2.083333333333333</v>
      </c>
      <c r="K72" s="18">
        <f t="shared" si="43"/>
        <v>0</v>
      </c>
      <c r="L72" s="18">
        <f t="shared" si="43"/>
        <v>3.125</v>
      </c>
      <c r="M72" s="18">
        <f t="shared" si="43"/>
        <v>3.125</v>
      </c>
      <c r="N72" s="18">
        <f t="shared" si="43"/>
        <v>0</v>
      </c>
      <c r="O72" s="18">
        <f t="shared" si="43"/>
        <v>1.0416666666666665</v>
      </c>
      <c r="P72" s="18">
        <f t="shared" si="43"/>
        <v>3.125</v>
      </c>
      <c r="Q72" s="18">
        <f t="shared" si="43"/>
        <v>1.0416666666666665</v>
      </c>
      <c r="R72" s="18">
        <f t="shared" si="43"/>
        <v>0</v>
      </c>
      <c r="S72" s="18">
        <f t="shared" si="43"/>
        <v>0</v>
      </c>
      <c r="T72" s="18">
        <f t="shared" si="43"/>
        <v>0</v>
      </c>
      <c r="U72" s="18">
        <f t="shared" si="43"/>
        <v>0</v>
      </c>
      <c r="V72" s="18">
        <f t="shared" si="43"/>
        <v>0</v>
      </c>
      <c r="W72" s="18">
        <f t="shared" si="43"/>
        <v>0</v>
      </c>
      <c r="X72" s="18">
        <f t="shared" si="43"/>
        <v>0</v>
      </c>
      <c r="Y72" s="18">
        <f t="shared" si="43"/>
        <v>0</v>
      </c>
      <c r="Z72" s="18">
        <f t="shared" si="43"/>
        <v>0</v>
      </c>
      <c r="AA72" s="18">
        <f t="shared" si="43"/>
        <v>0</v>
      </c>
      <c r="AB72" s="18">
        <f t="shared" si="43"/>
        <v>0</v>
      </c>
      <c r="AC72" s="18">
        <f t="shared" si="43"/>
        <v>0</v>
      </c>
      <c r="AD72" s="18">
        <f t="shared" si="43"/>
        <v>0</v>
      </c>
      <c r="AE72" s="18">
        <f t="shared" si="43"/>
        <v>0</v>
      </c>
      <c r="AF72" s="18">
        <f t="shared" si="43"/>
        <v>0</v>
      </c>
      <c r="AG72" s="18">
        <f t="shared" si="43"/>
        <v>0</v>
      </c>
      <c r="AH72" s="18">
        <f t="shared" si="43"/>
        <v>0</v>
      </c>
      <c r="AI72" s="18">
        <f t="shared" si="43"/>
        <v>0</v>
      </c>
      <c r="AJ72" s="18">
        <f t="shared" si="43"/>
        <v>0</v>
      </c>
      <c r="AK72" s="18">
        <f t="shared" si="43"/>
        <v>0</v>
      </c>
      <c r="AL72" s="2"/>
      <c r="AM72" s="43">
        <v>56</v>
      </c>
      <c r="AN72">
        <v>293.93420491563313</v>
      </c>
      <c r="AO72">
        <v>29.38736842568203</v>
      </c>
      <c r="AP72">
        <v>109.67733052251864</v>
      </c>
      <c r="AQ72">
        <v>216.69213437948198</v>
      </c>
      <c r="AR72">
        <v>30.637059560866142</v>
      </c>
      <c r="AS72">
        <v>269.01010055833211</v>
      </c>
      <c r="AT72">
        <v>13.185092957422709</v>
      </c>
      <c r="AU72">
        <v>4.5468661505861547</v>
      </c>
      <c r="AV72"/>
      <c r="AW72"/>
      <c r="FY72" s="213">
        <v>67</v>
      </c>
      <c r="FZ72">
        <v>82.655159777096713</v>
      </c>
      <c r="GA72">
        <v>68.624443102577061</v>
      </c>
      <c r="GB72">
        <v>12.993353166695567</v>
      </c>
      <c r="GC72">
        <v>7.1374165385159083</v>
      </c>
      <c r="GD72">
        <v>6.0852995549776585</v>
      </c>
      <c r="GE72">
        <v>5.304171803679516</v>
      </c>
      <c r="GF72">
        <v>10.747084087613469</v>
      </c>
      <c r="GG72">
        <v>8.6722178351024173</v>
      </c>
      <c r="GH72">
        <v>13.039280628438537</v>
      </c>
      <c r="GI72">
        <v>23.271072377501291</v>
      </c>
      <c r="GJ72"/>
      <c r="GK72"/>
      <c r="GL72"/>
      <c r="GM72"/>
      <c r="GN72" s="208"/>
      <c r="GO72" s="208"/>
      <c r="GP72" s="208"/>
      <c r="GQ72" s="208"/>
      <c r="GR72" s="208"/>
      <c r="GS72" s="208"/>
      <c r="GT72" s="208"/>
      <c r="GU72" s="213">
        <v>67</v>
      </c>
    </row>
    <row r="73" spans="1:203" s="7" customFormat="1">
      <c r="A73" s="4"/>
      <c r="B73" s="66"/>
      <c r="C73" s="71">
        <f t="shared" si="39"/>
        <v>39747</v>
      </c>
      <c r="D73" s="72">
        <f t="shared" si="40"/>
        <v>487.86257743693085</v>
      </c>
      <c r="E73" s="64"/>
      <c r="F73" s="64"/>
      <c r="G73" s="18">
        <f>AVERAGE(E258:E267)</f>
        <v>15.190972222222223</v>
      </c>
      <c r="H73" s="18">
        <f t="shared" ref="H73:AK73" si="44">AVERAGE(F258:F267)</f>
        <v>424.08770587649894</v>
      </c>
      <c r="I73" s="18">
        <f t="shared" si="44"/>
        <v>48.583899338209683</v>
      </c>
      <c r="J73" s="18">
        <f t="shared" si="44"/>
        <v>0</v>
      </c>
      <c r="K73" s="18">
        <f t="shared" si="44"/>
        <v>0</v>
      </c>
      <c r="L73" s="18">
        <f t="shared" si="44"/>
        <v>0</v>
      </c>
      <c r="M73" s="18">
        <f t="shared" si="44"/>
        <v>0</v>
      </c>
      <c r="N73" s="18">
        <f t="shared" si="44"/>
        <v>0</v>
      </c>
      <c r="O73" s="18">
        <f t="shared" si="44"/>
        <v>0</v>
      </c>
      <c r="P73" s="18">
        <f t="shared" si="44"/>
        <v>0</v>
      </c>
      <c r="Q73" s="18">
        <f t="shared" si="44"/>
        <v>0</v>
      </c>
      <c r="R73" s="18">
        <f t="shared" si="44"/>
        <v>0</v>
      </c>
      <c r="S73" s="18">
        <f t="shared" si="44"/>
        <v>0</v>
      </c>
      <c r="T73" s="18">
        <f t="shared" si="44"/>
        <v>0</v>
      </c>
      <c r="U73" s="18">
        <f t="shared" si="44"/>
        <v>0</v>
      </c>
      <c r="V73" s="18">
        <f t="shared" si="44"/>
        <v>0</v>
      </c>
      <c r="W73" s="18">
        <f t="shared" si="44"/>
        <v>0</v>
      </c>
      <c r="X73" s="18">
        <f t="shared" si="44"/>
        <v>0</v>
      </c>
      <c r="Y73" s="18">
        <f t="shared" si="44"/>
        <v>0</v>
      </c>
      <c r="Z73" s="18">
        <f t="shared" si="44"/>
        <v>0</v>
      </c>
      <c r="AA73" s="18">
        <f t="shared" si="44"/>
        <v>0</v>
      </c>
      <c r="AB73" s="18">
        <f t="shared" si="44"/>
        <v>0</v>
      </c>
      <c r="AC73" s="18">
        <f t="shared" si="44"/>
        <v>0</v>
      </c>
      <c r="AD73" s="18">
        <f t="shared" si="44"/>
        <v>0</v>
      </c>
      <c r="AE73" s="18">
        <f t="shared" si="44"/>
        <v>0</v>
      </c>
      <c r="AF73" s="18">
        <f t="shared" si="44"/>
        <v>0</v>
      </c>
      <c r="AG73" s="18">
        <f t="shared" si="44"/>
        <v>0</v>
      </c>
      <c r="AH73" s="18">
        <f t="shared" si="44"/>
        <v>0</v>
      </c>
      <c r="AI73" s="18">
        <f t="shared" si="44"/>
        <v>0</v>
      </c>
      <c r="AJ73" s="18">
        <f t="shared" si="44"/>
        <v>0</v>
      </c>
      <c r="AK73" s="18">
        <f t="shared" si="44"/>
        <v>0</v>
      </c>
      <c r="AL73" s="2"/>
      <c r="AM73" s="43">
        <v>57</v>
      </c>
      <c r="AN73">
        <v>299.2154850889915</v>
      </c>
      <c r="AO73">
        <v>29.377334098453225</v>
      </c>
      <c r="AP73">
        <v>80.924075799489486</v>
      </c>
      <c r="AQ73">
        <v>220.11087769079865</v>
      </c>
      <c r="AR73">
        <v>29.461593688516089</v>
      </c>
      <c r="AS73">
        <v>275.7095775321344</v>
      </c>
      <c r="AT73">
        <v>14.114373772645239</v>
      </c>
      <c r="AU73">
        <v>53.195080407650224</v>
      </c>
      <c r="AV73"/>
      <c r="AW73"/>
      <c r="FY73" s="213">
        <v>68</v>
      </c>
      <c r="FZ73">
        <v>38.827688002092401</v>
      </c>
      <c r="GA73">
        <v>43.712233620856559</v>
      </c>
      <c r="GB73">
        <v>9.7134208712482195</v>
      </c>
      <c r="GC73">
        <v>6.6090878380141929</v>
      </c>
      <c r="GD73">
        <v>5.7441495457650991</v>
      </c>
      <c r="GE73">
        <v>5.3686477822455343</v>
      </c>
      <c r="GF73">
        <v>23.833871114119109</v>
      </c>
      <c r="GG73">
        <v>21.802425778908191</v>
      </c>
      <c r="GH73">
        <v>8.386413783533607</v>
      </c>
      <c r="GI73">
        <v>17.399520407239368</v>
      </c>
      <c r="GJ73"/>
      <c r="GK73"/>
      <c r="GL73"/>
      <c r="GM73"/>
      <c r="GN73" s="208"/>
      <c r="GO73" s="208"/>
      <c r="GP73" s="208"/>
      <c r="GQ73" s="208"/>
      <c r="GR73" s="208"/>
      <c r="GS73" s="208"/>
      <c r="GT73" s="208"/>
      <c r="GU73" s="213">
        <v>68</v>
      </c>
    </row>
    <row r="74" spans="1:203" s="7" customFormat="1">
      <c r="A74" s="4"/>
      <c r="B74" s="66"/>
      <c r="C74" s="71">
        <f t="shared" si="39"/>
        <v>39775</v>
      </c>
      <c r="D74" s="72">
        <f t="shared" si="40"/>
        <v>750.02848648689269</v>
      </c>
      <c r="E74" s="64"/>
      <c r="F74" s="64"/>
      <c r="G74" s="18">
        <f>AVERAGE(E268:E277)</f>
        <v>24.537002314814814</v>
      </c>
      <c r="H74" s="18">
        <f t="shared" ref="H74:AK74" si="45">AVERAGE(F268:F277)</f>
        <v>376.40061327561335</v>
      </c>
      <c r="I74" s="18">
        <f t="shared" si="45"/>
        <v>327.701985479798</v>
      </c>
      <c r="J74" s="18">
        <f t="shared" si="45"/>
        <v>19.305552083333332</v>
      </c>
      <c r="K74" s="18">
        <f t="shared" si="45"/>
        <v>1.0416666666666665</v>
      </c>
      <c r="L74" s="18">
        <f t="shared" si="45"/>
        <v>1.0416666666666665</v>
      </c>
      <c r="M74" s="18">
        <f t="shared" si="45"/>
        <v>0</v>
      </c>
      <c r="N74" s="18">
        <f t="shared" si="45"/>
        <v>0</v>
      </c>
      <c r="O74" s="18">
        <f t="shared" si="45"/>
        <v>0</v>
      </c>
      <c r="P74" s="18">
        <f t="shared" si="45"/>
        <v>0</v>
      </c>
      <c r="Q74" s="18">
        <f t="shared" si="45"/>
        <v>0</v>
      </c>
      <c r="R74" s="18">
        <f t="shared" si="45"/>
        <v>0</v>
      </c>
      <c r="S74" s="18">
        <f t="shared" si="45"/>
        <v>0</v>
      </c>
      <c r="T74" s="18">
        <f t="shared" si="45"/>
        <v>0</v>
      </c>
      <c r="U74" s="18">
        <f t="shared" si="45"/>
        <v>0</v>
      </c>
      <c r="V74" s="18">
        <f t="shared" si="45"/>
        <v>0</v>
      </c>
      <c r="W74" s="18">
        <f t="shared" si="45"/>
        <v>0</v>
      </c>
      <c r="X74" s="18">
        <f t="shared" si="45"/>
        <v>0</v>
      </c>
      <c r="Y74" s="18">
        <f t="shared" si="45"/>
        <v>0</v>
      </c>
      <c r="Z74" s="18">
        <f t="shared" si="45"/>
        <v>0</v>
      </c>
      <c r="AA74" s="18">
        <f t="shared" si="45"/>
        <v>0</v>
      </c>
      <c r="AB74" s="18">
        <f t="shared" si="45"/>
        <v>0</v>
      </c>
      <c r="AC74" s="18">
        <f t="shared" si="45"/>
        <v>0</v>
      </c>
      <c r="AD74" s="18">
        <f t="shared" si="45"/>
        <v>0</v>
      </c>
      <c r="AE74" s="18">
        <f t="shared" si="45"/>
        <v>0</v>
      </c>
      <c r="AF74" s="18">
        <f t="shared" si="45"/>
        <v>0</v>
      </c>
      <c r="AG74" s="18">
        <f t="shared" si="45"/>
        <v>0</v>
      </c>
      <c r="AH74" s="18">
        <f t="shared" si="45"/>
        <v>0</v>
      </c>
      <c r="AI74" s="18">
        <f t="shared" si="45"/>
        <v>0</v>
      </c>
      <c r="AJ74" s="18">
        <f t="shared" si="45"/>
        <v>0</v>
      </c>
      <c r="AK74" s="18">
        <f t="shared" si="45"/>
        <v>0</v>
      </c>
      <c r="AL74" s="2"/>
      <c r="AM74" s="43">
        <v>58</v>
      </c>
      <c r="AN74">
        <v>285.28330085965143</v>
      </c>
      <c r="AO74">
        <v>21.179289269412539</v>
      </c>
      <c r="AP74">
        <v>70.425421281164517</v>
      </c>
      <c r="AQ74">
        <v>146.6679265605367</v>
      </c>
      <c r="AR74">
        <v>21.344412244772808</v>
      </c>
      <c r="AS74">
        <v>202.20195368766539</v>
      </c>
      <c r="AT74">
        <v>10.152320690240897</v>
      </c>
      <c r="AU74">
        <v>14.965680945096368</v>
      </c>
      <c r="AV74"/>
      <c r="AW74"/>
      <c r="FY74" s="213">
        <v>69</v>
      </c>
      <c r="FZ74">
        <v>73.262839676139961</v>
      </c>
      <c r="GA74">
        <v>53.738084380963755</v>
      </c>
      <c r="GB74">
        <v>5.2999432274240723</v>
      </c>
      <c r="GC74">
        <v>5.7525288508303394</v>
      </c>
      <c r="GD74">
        <v>3.9069322908070787</v>
      </c>
      <c r="GE74">
        <v>9.286690408840899</v>
      </c>
      <c r="GF74">
        <v>30.192962575378687</v>
      </c>
      <c r="GG74">
        <v>20.668206006847445</v>
      </c>
      <c r="GH74">
        <v>24.115542198371152</v>
      </c>
      <c r="GI74">
        <v>23.580436709621281</v>
      </c>
      <c r="GJ74"/>
      <c r="GK74"/>
      <c r="GL74"/>
      <c r="GM74"/>
      <c r="GN74" s="208"/>
      <c r="GO74" s="208"/>
      <c r="GP74" s="208"/>
      <c r="GQ74" s="208"/>
      <c r="GR74" s="208"/>
      <c r="GS74" s="208"/>
      <c r="GT74" s="208"/>
      <c r="GU74" s="213">
        <v>69</v>
      </c>
    </row>
    <row r="75" spans="1:203" s="7" customFormat="1">
      <c r="A75" s="4"/>
      <c r="B75" s="66"/>
      <c r="C75" s="71">
        <f t="shared" si="39"/>
        <v>39799</v>
      </c>
      <c r="D75" s="72">
        <f t="shared" si="40"/>
        <v>323.69578950461306</v>
      </c>
      <c r="E75" s="64"/>
      <c r="F75" s="64"/>
      <c r="G75" s="18">
        <f>AVERAGE(E278:E287)</f>
        <v>21.462912087912088</v>
      </c>
      <c r="H75" s="18">
        <f t="shared" ref="H75:AK75" si="46">AVERAGE(F278:F287)</f>
        <v>165.77882901412312</v>
      </c>
      <c r="I75" s="18">
        <f t="shared" si="46"/>
        <v>131.24571506924448</v>
      </c>
      <c r="J75" s="18">
        <f t="shared" si="46"/>
        <v>4.1666666666666661</v>
      </c>
      <c r="K75" s="18">
        <f t="shared" si="46"/>
        <v>1.0416666666666665</v>
      </c>
      <c r="L75" s="18">
        <f t="shared" si="46"/>
        <v>0</v>
      </c>
      <c r="M75" s="18">
        <f t="shared" si="46"/>
        <v>0</v>
      </c>
      <c r="N75" s="18">
        <f t="shared" si="46"/>
        <v>0</v>
      </c>
      <c r="O75" s="18">
        <f t="shared" si="46"/>
        <v>0</v>
      </c>
      <c r="P75" s="18">
        <f t="shared" si="46"/>
        <v>0</v>
      </c>
      <c r="Q75" s="18">
        <f t="shared" si="46"/>
        <v>0</v>
      </c>
      <c r="R75" s="18">
        <f t="shared" si="46"/>
        <v>0</v>
      </c>
      <c r="S75" s="18">
        <f t="shared" si="46"/>
        <v>0</v>
      </c>
      <c r="T75" s="18">
        <f t="shared" si="46"/>
        <v>0</v>
      </c>
      <c r="U75" s="18">
        <f t="shared" si="46"/>
        <v>0</v>
      </c>
      <c r="V75" s="18">
        <f t="shared" si="46"/>
        <v>0</v>
      </c>
      <c r="W75" s="18">
        <f t="shared" si="46"/>
        <v>0</v>
      </c>
      <c r="X75" s="18">
        <f t="shared" si="46"/>
        <v>0</v>
      </c>
      <c r="Y75" s="18">
        <f t="shared" si="46"/>
        <v>0</v>
      </c>
      <c r="Z75" s="18">
        <f t="shared" si="46"/>
        <v>0</v>
      </c>
      <c r="AA75" s="18">
        <f t="shared" si="46"/>
        <v>0</v>
      </c>
      <c r="AB75" s="18">
        <f t="shared" si="46"/>
        <v>0</v>
      </c>
      <c r="AC75" s="18">
        <f t="shared" si="46"/>
        <v>0</v>
      </c>
      <c r="AD75" s="18">
        <f t="shared" si="46"/>
        <v>0</v>
      </c>
      <c r="AE75" s="18">
        <f t="shared" si="46"/>
        <v>0</v>
      </c>
      <c r="AF75" s="18">
        <f t="shared" si="46"/>
        <v>0</v>
      </c>
      <c r="AG75" s="18">
        <f t="shared" si="46"/>
        <v>0</v>
      </c>
      <c r="AH75" s="18">
        <f t="shared" si="46"/>
        <v>0</v>
      </c>
      <c r="AI75" s="18">
        <f t="shared" si="46"/>
        <v>0</v>
      </c>
      <c r="AJ75" s="18">
        <f t="shared" si="46"/>
        <v>0</v>
      </c>
      <c r="AK75" s="18">
        <f t="shared" si="46"/>
        <v>0</v>
      </c>
      <c r="AL75" s="2"/>
      <c r="AM75" s="43">
        <v>59</v>
      </c>
      <c r="AN75">
        <v>331.96966509406315</v>
      </c>
      <c r="AO75">
        <v>28.907335804078343</v>
      </c>
      <c r="AP75">
        <v>97.534326026941656</v>
      </c>
      <c r="AQ75">
        <v>193.12181422062747</v>
      </c>
      <c r="AR75">
        <v>30.720676936110653</v>
      </c>
      <c r="AS75">
        <v>255.38813463849289</v>
      </c>
      <c r="AT75">
        <v>12.51853505767434</v>
      </c>
      <c r="AU75">
        <v>18.253040286076107</v>
      </c>
      <c r="AV75"/>
      <c r="AW75"/>
      <c r="FY75" s="213">
        <v>70</v>
      </c>
      <c r="FZ75">
        <v>53.290977205002676</v>
      </c>
      <c r="GA75">
        <v>48.883303777024331</v>
      </c>
      <c r="GB75">
        <v>10.722253890253917</v>
      </c>
      <c r="GC75">
        <v>5.1450923976743805</v>
      </c>
      <c r="GD75">
        <v>5.0044997862895162</v>
      </c>
      <c r="GE75">
        <v>6.0033584152927588</v>
      </c>
      <c r="GF75">
        <v>20.584702190401842</v>
      </c>
      <c r="GG75">
        <v>16.677526322582082</v>
      </c>
      <c r="GH75">
        <v>5.2953291523992085</v>
      </c>
      <c r="GI75">
        <v>18.33080759238727</v>
      </c>
      <c r="GJ75"/>
      <c r="GK75"/>
      <c r="GL75"/>
      <c r="GM75"/>
      <c r="GN75" s="208"/>
      <c r="GO75" s="208"/>
      <c r="GP75" s="208"/>
      <c r="GQ75" s="208"/>
      <c r="GR75" s="208"/>
      <c r="GS75" s="208"/>
      <c r="GT75" s="208"/>
      <c r="GU75" s="213">
        <v>70</v>
      </c>
    </row>
    <row r="76" spans="1:203" s="7" customFormat="1">
      <c r="A76" s="4"/>
      <c r="B76" s="66"/>
      <c r="C76" s="71">
        <f t="shared" si="39"/>
        <v>39847</v>
      </c>
      <c r="D76" s="72">
        <f>SUM(G76:AK76)</f>
        <v>750.6076388888888</v>
      </c>
      <c r="E76" s="64"/>
      <c r="F76" s="64"/>
      <c r="G76" s="18">
        <f>AVERAGE(E288:E297)</f>
        <v>34.1796875</v>
      </c>
      <c r="H76" s="18">
        <f t="shared" ref="H76:AK76" si="47">AVERAGE(F288:F297)</f>
        <v>558.26822916666663</v>
      </c>
      <c r="I76" s="18">
        <f t="shared" si="47"/>
        <v>158.15972222222217</v>
      </c>
      <c r="J76" s="18">
        <f t="shared" si="47"/>
        <v>0</v>
      </c>
      <c r="K76" s="18">
        <f t="shared" si="47"/>
        <v>0</v>
      </c>
      <c r="L76" s="18">
        <f t="shared" si="47"/>
        <v>0</v>
      </c>
      <c r="M76" s="18">
        <f t="shared" si="47"/>
        <v>0</v>
      </c>
      <c r="N76" s="18">
        <f t="shared" si="47"/>
        <v>0</v>
      </c>
      <c r="O76" s="18">
        <f t="shared" si="47"/>
        <v>0</v>
      </c>
      <c r="P76" s="18">
        <f t="shared" si="47"/>
        <v>0</v>
      </c>
      <c r="Q76" s="18">
        <f t="shared" si="47"/>
        <v>0</v>
      </c>
      <c r="R76" s="18">
        <f t="shared" si="47"/>
        <v>0</v>
      </c>
      <c r="S76" s="18">
        <f t="shared" si="47"/>
        <v>0</v>
      </c>
      <c r="T76" s="18">
        <f t="shared" si="47"/>
        <v>0</v>
      </c>
      <c r="U76" s="18">
        <f t="shared" si="47"/>
        <v>0</v>
      </c>
      <c r="V76" s="18">
        <f t="shared" si="47"/>
        <v>0</v>
      </c>
      <c r="W76" s="18">
        <f t="shared" si="47"/>
        <v>0</v>
      </c>
      <c r="X76" s="18">
        <f t="shared" si="47"/>
        <v>0</v>
      </c>
      <c r="Y76" s="18">
        <f t="shared" si="47"/>
        <v>0</v>
      </c>
      <c r="Z76" s="18">
        <f t="shared" si="47"/>
        <v>0</v>
      </c>
      <c r="AA76" s="18">
        <f t="shared" si="47"/>
        <v>0</v>
      </c>
      <c r="AB76" s="18">
        <f t="shared" si="47"/>
        <v>0</v>
      </c>
      <c r="AC76" s="18">
        <f t="shared" si="47"/>
        <v>0</v>
      </c>
      <c r="AD76" s="18">
        <f t="shared" si="47"/>
        <v>0</v>
      </c>
      <c r="AE76" s="18">
        <f t="shared" si="47"/>
        <v>0</v>
      </c>
      <c r="AF76" s="18">
        <f t="shared" si="47"/>
        <v>0</v>
      </c>
      <c r="AG76" s="18">
        <f t="shared" si="47"/>
        <v>0</v>
      </c>
      <c r="AH76" s="18">
        <f t="shared" si="47"/>
        <v>0</v>
      </c>
      <c r="AI76" s="18">
        <f t="shared" si="47"/>
        <v>0</v>
      </c>
      <c r="AJ76" s="18">
        <f t="shared" si="47"/>
        <v>0</v>
      </c>
      <c r="AK76" s="18">
        <f t="shared" si="47"/>
        <v>0</v>
      </c>
      <c r="AL76" s="2"/>
      <c r="AM76" s="43">
        <v>60</v>
      </c>
      <c r="AN76">
        <v>343.26618579961655</v>
      </c>
      <c r="AO76">
        <v>27.869417336005466</v>
      </c>
      <c r="AP76">
        <v>66.813596487762254</v>
      </c>
      <c r="AQ76">
        <v>202.77881121665428</v>
      </c>
      <c r="AR76">
        <v>28.833163947128568</v>
      </c>
      <c r="AS76">
        <v>273.13253876011356</v>
      </c>
      <c r="AT76">
        <v>13.104499789315883</v>
      </c>
      <c r="AU76">
        <v>19.324589851682902</v>
      </c>
      <c r="AV76"/>
      <c r="AW76"/>
      <c r="FY76" s="213">
        <v>71</v>
      </c>
      <c r="FZ76">
        <v>29.759134426519051</v>
      </c>
      <c r="GA76">
        <v>75.425526228817972</v>
      </c>
      <c r="GB76">
        <v>27.278207279961702</v>
      </c>
      <c r="GC76">
        <v>6.3858895696674951</v>
      </c>
      <c r="GD76">
        <v>5.5497046578035718</v>
      </c>
      <c r="GE76">
        <v>3.8874174681127718</v>
      </c>
      <c r="GF76">
        <v>21.184655884990239</v>
      </c>
      <c r="GG76">
        <v>20.537787331648616</v>
      </c>
      <c r="GH76">
        <v>9.7262860789702099</v>
      </c>
      <c r="GI76">
        <v>21.189583903778242</v>
      </c>
      <c r="GJ76"/>
      <c r="GK76"/>
      <c r="GL76"/>
      <c r="GM76"/>
      <c r="GN76" s="208"/>
      <c r="GO76" s="208"/>
      <c r="GP76" s="208"/>
      <c r="GQ76" s="208"/>
      <c r="GR76" s="208"/>
      <c r="GS76" s="208"/>
      <c r="GT76" s="208"/>
      <c r="GU76" s="213">
        <v>71</v>
      </c>
    </row>
    <row r="77" spans="1:203" s="7" customFormat="1">
      <c r="A77" s="4"/>
      <c r="B77" s="66"/>
      <c r="C77" s="71">
        <f t="shared" si="39"/>
        <v>39910</v>
      </c>
      <c r="D77" s="72">
        <f>SUM(G77:AK77)</f>
        <v>551.3134057971015</v>
      </c>
      <c r="E77" s="64"/>
      <c r="F77" s="64"/>
      <c r="G77" s="18">
        <f>AVERAGE(E298:E307)</f>
        <v>78.125</v>
      </c>
      <c r="H77" s="18">
        <f t="shared" ref="H77:AK77" si="48">AVERAGE(F298:F307)</f>
        <v>233.25785024154592</v>
      </c>
      <c r="I77" s="18">
        <f t="shared" si="48"/>
        <v>193.05555555555557</v>
      </c>
      <c r="J77" s="18">
        <f t="shared" si="48"/>
        <v>46.875000000000007</v>
      </c>
      <c r="K77" s="18">
        <f t="shared" si="48"/>
        <v>0</v>
      </c>
      <c r="L77" s="18">
        <f t="shared" si="48"/>
        <v>0</v>
      </c>
      <c r="M77" s="18">
        <f t="shared" si="48"/>
        <v>0</v>
      </c>
      <c r="N77" s="18">
        <f t="shared" si="48"/>
        <v>0</v>
      </c>
      <c r="O77" s="18">
        <f t="shared" si="48"/>
        <v>0</v>
      </c>
      <c r="P77" s="18">
        <f t="shared" si="48"/>
        <v>0</v>
      </c>
      <c r="Q77" s="18">
        <f t="shared" si="48"/>
        <v>0</v>
      </c>
      <c r="R77" s="18">
        <f t="shared" si="48"/>
        <v>0</v>
      </c>
      <c r="S77" s="18">
        <f t="shared" si="48"/>
        <v>0</v>
      </c>
      <c r="T77" s="18">
        <f t="shared" si="48"/>
        <v>0</v>
      </c>
      <c r="U77" s="18">
        <f t="shared" si="48"/>
        <v>0</v>
      </c>
      <c r="V77" s="18">
        <f t="shared" si="48"/>
        <v>0</v>
      </c>
      <c r="W77" s="18">
        <f t="shared" si="48"/>
        <v>0</v>
      </c>
      <c r="X77" s="18">
        <f t="shared" si="48"/>
        <v>0</v>
      </c>
      <c r="Y77" s="18">
        <f t="shared" si="48"/>
        <v>0</v>
      </c>
      <c r="Z77" s="18">
        <f t="shared" si="48"/>
        <v>0</v>
      </c>
      <c r="AA77" s="18">
        <f t="shared" si="48"/>
        <v>0</v>
      </c>
      <c r="AB77" s="18">
        <f t="shared" si="48"/>
        <v>0</v>
      </c>
      <c r="AC77" s="18">
        <f t="shared" si="48"/>
        <v>0</v>
      </c>
      <c r="AD77" s="18">
        <f t="shared" si="48"/>
        <v>0</v>
      </c>
      <c r="AE77" s="18">
        <f t="shared" si="48"/>
        <v>0</v>
      </c>
      <c r="AF77" s="18">
        <f t="shared" si="48"/>
        <v>0</v>
      </c>
      <c r="AG77" s="18">
        <f t="shared" si="48"/>
        <v>0</v>
      </c>
      <c r="AH77" s="18">
        <f t="shared" si="48"/>
        <v>0</v>
      </c>
      <c r="AI77" s="18">
        <f t="shared" si="48"/>
        <v>0</v>
      </c>
      <c r="AJ77" s="18">
        <f t="shared" si="48"/>
        <v>0</v>
      </c>
      <c r="AK77" s="18">
        <f t="shared" si="48"/>
        <v>0</v>
      </c>
      <c r="AL77" s="2"/>
      <c r="AM77" s="43">
        <v>61</v>
      </c>
      <c r="AN77">
        <v>336.43386781462112</v>
      </c>
      <c r="AO77">
        <v>31.757474533242764</v>
      </c>
      <c r="AP77">
        <v>90.32011162549037</v>
      </c>
      <c r="AQ77">
        <v>246.07413255052822</v>
      </c>
      <c r="AR77">
        <v>32.205357607193733</v>
      </c>
      <c r="AS77">
        <v>273.48622580150561</v>
      </c>
      <c r="AT77">
        <v>14.838749768337207</v>
      </c>
      <c r="AU77">
        <v>9.4003109472049751</v>
      </c>
      <c r="AV77"/>
      <c r="AW77"/>
      <c r="FY77" s="213">
        <v>72</v>
      </c>
      <c r="FZ77">
        <v>73.208191904189547</v>
      </c>
      <c r="GA77">
        <v>97.029406897872533</v>
      </c>
      <c r="GB77">
        <v>16.997226589361446</v>
      </c>
      <c r="GC77">
        <v>5.5931469138234116</v>
      </c>
      <c r="GD77">
        <v>4.5403919572543163</v>
      </c>
      <c r="GE77">
        <v>3.58162415950278</v>
      </c>
      <c r="GF77">
        <v>23.396832644066965</v>
      </c>
      <c r="GG77">
        <v>21.979051549722556</v>
      </c>
      <c r="GH77">
        <v>9.4175764697991777</v>
      </c>
      <c r="GI77">
        <v>24.114657663689059</v>
      </c>
      <c r="GJ77"/>
      <c r="GK77"/>
      <c r="GL77"/>
      <c r="GM77"/>
      <c r="GN77" s="208"/>
      <c r="GO77" s="208"/>
      <c r="GP77" s="208"/>
      <c r="GQ77" s="208"/>
      <c r="GR77" s="208"/>
      <c r="GS77" s="208"/>
      <c r="GT77" s="208"/>
      <c r="GU77" s="213">
        <v>72</v>
      </c>
    </row>
    <row r="78" spans="1:203" s="7" customFormat="1">
      <c r="A78" s="4"/>
      <c r="B78" s="66"/>
      <c r="C78" s="71">
        <f t="shared" si="39"/>
        <v>39949</v>
      </c>
      <c r="D78" s="72">
        <f>SUM(G78:AK78)</f>
        <v>98.846535567557581</v>
      </c>
      <c r="E78" s="64"/>
      <c r="F78" s="64"/>
      <c r="G78" s="18">
        <f>AVERAGE(E308:E317)</f>
        <v>0</v>
      </c>
      <c r="H78" s="18">
        <f t="shared" ref="H78:AK78" si="49">AVERAGE(F308:F317)</f>
        <v>23.946360153256702</v>
      </c>
      <c r="I78" s="18">
        <f t="shared" si="49"/>
        <v>30.208333333333332</v>
      </c>
      <c r="J78" s="18">
        <f t="shared" si="49"/>
        <v>43.650175414300882</v>
      </c>
      <c r="K78" s="18">
        <f t="shared" si="49"/>
        <v>1.0416666666666665</v>
      </c>
      <c r="L78" s="18">
        <f t="shared" si="49"/>
        <v>0</v>
      </c>
      <c r="M78" s="18">
        <f t="shared" si="49"/>
        <v>0</v>
      </c>
      <c r="N78" s="18">
        <f t="shared" si="49"/>
        <v>0</v>
      </c>
      <c r="O78" s="18">
        <f t="shared" si="49"/>
        <v>0</v>
      </c>
      <c r="P78" s="18">
        <f t="shared" si="49"/>
        <v>0</v>
      </c>
      <c r="Q78" s="18">
        <f t="shared" si="49"/>
        <v>0</v>
      </c>
      <c r="R78" s="18">
        <f t="shared" si="49"/>
        <v>0</v>
      </c>
      <c r="S78" s="18">
        <f t="shared" si="49"/>
        <v>0</v>
      </c>
      <c r="T78" s="18">
        <f t="shared" si="49"/>
        <v>0</v>
      </c>
      <c r="U78" s="18">
        <f t="shared" si="49"/>
        <v>0</v>
      </c>
      <c r="V78" s="18">
        <f t="shared" si="49"/>
        <v>0</v>
      </c>
      <c r="W78" s="18">
        <f t="shared" si="49"/>
        <v>0</v>
      </c>
      <c r="X78" s="18">
        <f t="shared" si="49"/>
        <v>0</v>
      </c>
      <c r="Y78" s="18">
        <f t="shared" si="49"/>
        <v>0</v>
      </c>
      <c r="Z78" s="18">
        <f t="shared" si="49"/>
        <v>0</v>
      </c>
      <c r="AA78" s="18">
        <f t="shared" si="49"/>
        <v>0</v>
      </c>
      <c r="AB78" s="18">
        <f t="shared" si="49"/>
        <v>0</v>
      </c>
      <c r="AC78" s="18">
        <f t="shared" si="49"/>
        <v>0</v>
      </c>
      <c r="AD78" s="18">
        <f t="shared" si="49"/>
        <v>0</v>
      </c>
      <c r="AE78" s="18">
        <f t="shared" si="49"/>
        <v>0</v>
      </c>
      <c r="AF78" s="18">
        <f t="shared" si="49"/>
        <v>0</v>
      </c>
      <c r="AG78" s="18">
        <f t="shared" si="49"/>
        <v>0</v>
      </c>
      <c r="AH78" s="18">
        <f t="shared" si="49"/>
        <v>0</v>
      </c>
      <c r="AI78" s="18">
        <f t="shared" si="49"/>
        <v>0</v>
      </c>
      <c r="AJ78" s="18">
        <f t="shared" si="49"/>
        <v>0</v>
      </c>
      <c r="AK78" s="18">
        <f t="shared" si="49"/>
        <v>0</v>
      </c>
      <c r="AL78" s="2"/>
      <c r="AM78" s="43">
        <v>62</v>
      </c>
      <c r="AN78">
        <v>333.65643766629307</v>
      </c>
      <c r="AO78">
        <v>30.318625966973048</v>
      </c>
      <c r="AP78">
        <v>80.763881159007553</v>
      </c>
      <c r="AQ78">
        <v>217.97190188071187</v>
      </c>
      <c r="AR78">
        <v>31.948174037962879</v>
      </c>
      <c r="AS78">
        <v>269.48924196177092</v>
      </c>
      <c r="AT78">
        <v>13.215132152617763</v>
      </c>
      <c r="AU78">
        <v>12.840877534893444</v>
      </c>
      <c r="AV78"/>
      <c r="AW78"/>
      <c r="FY78" s="213">
        <v>73</v>
      </c>
      <c r="FZ78">
        <v>39.838806057118113</v>
      </c>
      <c r="GA78">
        <v>30.205220880883317</v>
      </c>
      <c r="GB78">
        <v>5.645022069287319</v>
      </c>
      <c r="GC78">
        <v>6.1922609603051644</v>
      </c>
      <c r="GD78">
        <v>5.7768334826023873</v>
      </c>
      <c r="GE78">
        <v>5.2133398051910032</v>
      </c>
      <c r="GF78">
        <v>18.433394971344718</v>
      </c>
      <c r="GG78">
        <v>17.772113941049664</v>
      </c>
      <c r="GH78">
        <v>14.395755885237653</v>
      </c>
      <c r="GI78">
        <v>16.292987382375102</v>
      </c>
      <c r="GJ78"/>
      <c r="GK78"/>
      <c r="GL78"/>
      <c r="GM78"/>
      <c r="GN78" s="208"/>
      <c r="GO78" s="208"/>
      <c r="GP78" s="208"/>
      <c r="GQ78" s="208"/>
      <c r="GR78" s="208"/>
      <c r="GS78" s="208"/>
      <c r="GT78" s="208"/>
      <c r="GU78" s="213">
        <v>73</v>
      </c>
    </row>
    <row r="79" spans="1:203" s="7" customFormat="1">
      <c r="A79" s="4"/>
      <c r="B79" s="66"/>
      <c r="C79" s="71">
        <f t="shared" si="39"/>
        <v>39987</v>
      </c>
      <c r="D79" s="72">
        <f>SUM(G79:AK79)</f>
        <v>50.925925925925931</v>
      </c>
      <c r="E79" s="64"/>
      <c r="F79" s="64"/>
      <c r="G79" s="18">
        <f>AVERAGE(E318:E327)</f>
        <v>0</v>
      </c>
      <c r="H79" s="18">
        <f t="shared" ref="H79:AK79" si="50">AVERAGE(F318:F327)</f>
        <v>20.25462962962963</v>
      </c>
      <c r="I79" s="18">
        <f t="shared" si="50"/>
        <v>20.25462962962963</v>
      </c>
      <c r="J79" s="18">
        <f t="shared" si="50"/>
        <v>2.083333333333333</v>
      </c>
      <c r="K79" s="18">
        <f t="shared" si="50"/>
        <v>0</v>
      </c>
      <c r="L79" s="18">
        <f t="shared" si="50"/>
        <v>4.1666666666666661</v>
      </c>
      <c r="M79" s="18">
        <f t="shared" si="50"/>
        <v>2.083333333333333</v>
      </c>
      <c r="N79" s="18">
        <f t="shared" si="50"/>
        <v>0</v>
      </c>
      <c r="O79" s="18">
        <f t="shared" si="50"/>
        <v>2.083333333333333</v>
      </c>
      <c r="P79" s="18">
        <f t="shared" si="50"/>
        <v>0</v>
      </c>
      <c r="Q79" s="18">
        <f t="shared" si="50"/>
        <v>0</v>
      </c>
      <c r="R79" s="18">
        <f t="shared" si="50"/>
        <v>0</v>
      </c>
      <c r="S79" s="18">
        <f t="shared" si="50"/>
        <v>0</v>
      </c>
      <c r="T79" s="18">
        <f t="shared" si="50"/>
        <v>0</v>
      </c>
      <c r="U79" s="18">
        <f t="shared" si="50"/>
        <v>0</v>
      </c>
      <c r="V79" s="18">
        <f t="shared" si="50"/>
        <v>0</v>
      </c>
      <c r="W79" s="18">
        <f t="shared" si="50"/>
        <v>0</v>
      </c>
      <c r="X79" s="18">
        <f t="shared" si="50"/>
        <v>0</v>
      </c>
      <c r="Y79" s="18">
        <f t="shared" si="50"/>
        <v>0</v>
      </c>
      <c r="Z79" s="18">
        <f t="shared" si="50"/>
        <v>0</v>
      </c>
      <c r="AA79" s="18">
        <f t="shared" si="50"/>
        <v>0</v>
      </c>
      <c r="AB79" s="18">
        <f t="shared" si="50"/>
        <v>0</v>
      </c>
      <c r="AC79" s="18">
        <f t="shared" si="50"/>
        <v>0</v>
      </c>
      <c r="AD79" s="18">
        <f t="shared" si="50"/>
        <v>0</v>
      </c>
      <c r="AE79" s="18">
        <f t="shared" si="50"/>
        <v>0</v>
      </c>
      <c r="AF79" s="18">
        <f t="shared" si="50"/>
        <v>0</v>
      </c>
      <c r="AG79" s="18">
        <f t="shared" si="50"/>
        <v>0</v>
      </c>
      <c r="AH79" s="18">
        <f t="shared" si="50"/>
        <v>0</v>
      </c>
      <c r="AI79" s="18">
        <f t="shared" si="50"/>
        <v>0</v>
      </c>
      <c r="AJ79" s="18">
        <f t="shared" si="50"/>
        <v>0</v>
      </c>
      <c r="AK79" s="18">
        <f t="shared" si="50"/>
        <v>0</v>
      </c>
      <c r="AL79" s="2"/>
      <c r="AM79" s="43">
        <v>63</v>
      </c>
      <c r="AN79">
        <v>320.54619578891413</v>
      </c>
      <c r="AO79">
        <v>25.144575333506118</v>
      </c>
      <c r="AP79">
        <v>104.30924886111148</v>
      </c>
      <c r="AQ79">
        <v>181.60477961117562</v>
      </c>
      <c r="AR79">
        <v>25.503167675528456</v>
      </c>
      <c r="AS79">
        <v>260.75060014106276</v>
      </c>
      <c r="AT79">
        <v>12.379702717667927</v>
      </c>
      <c r="AU79">
        <v>45.688835846683006</v>
      </c>
      <c r="AV79"/>
      <c r="AW79"/>
      <c r="FY79" s="213">
        <v>74</v>
      </c>
      <c r="FZ79">
        <v>58.496537005979647</v>
      </c>
      <c r="GA79">
        <v>43.637630077421136</v>
      </c>
      <c r="GB79">
        <v>3.2739741272311877</v>
      </c>
      <c r="GC79">
        <v>5.0647727508063669</v>
      </c>
      <c r="GD79">
        <v>4.1556684652470315</v>
      </c>
      <c r="GE79">
        <v>5.2153900066990833</v>
      </c>
      <c r="GF79">
        <v>19.09770127364536</v>
      </c>
      <c r="GG79">
        <v>14.30918074804203</v>
      </c>
      <c r="GH79">
        <v>14.303093419965586</v>
      </c>
      <c r="GI79">
        <v>17.546754155929758</v>
      </c>
      <c r="GJ79"/>
      <c r="GK79"/>
      <c r="GL79"/>
      <c r="GM79"/>
      <c r="GN79" s="208"/>
      <c r="GO79" s="208"/>
      <c r="GP79" s="208"/>
      <c r="GQ79" s="208"/>
      <c r="GR79" s="208"/>
      <c r="GS79" s="208"/>
      <c r="GT79" s="208"/>
      <c r="GU79" s="213">
        <v>74</v>
      </c>
    </row>
    <row r="80" spans="1:203" s="7" customFormat="1">
      <c r="A80" s="4"/>
      <c r="B80" s="66"/>
      <c r="C80" s="71"/>
      <c r="D80" s="72"/>
      <c r="E80" s="64"/>
      <c r="F80" s="64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18"/>
      <c r="AJ80" s="18"/>
      <c r="AK80" s="18"/>
      <c r="AL80" s="2"/>
      <c r="AM80" s="43">
        <v>64</v>
      </c>
      <c r="AN80">
        <v>308.8037959109883</v>
      </c>
      <c r="AO80">
        <v>25.927916852958038</v>
      </c>
      <c r="AP80">
        <v>68.233044442493224</v>
      </c>
      <c r="AQ80">
        <v>189.81318994837679</v>
      </c>
      <c r="AR80">
        <v>27.362317022601651</v>
      </c>
      <c r="AS80">
        <v>244.67376363393726</v>
      </c>
      <c r="AT80">
        <v>13.128172387546199</v>
      </c>
      <c r="AU80">
        <v>29.011939753358909</v>
      </c>
      <c r="AV80"/>
      <c r="AW80"/>
      <c r="FY80" s="213">
        <v>75</v>
      </c>
      <c r="FZ80">
        <v>52.687498565649008</v>
      </c>
      <c r="GA80">
        <v>41.417331628339646</v>
      </c>
      <c r="GB80">
        <v>8.329722495361942</v>
      </c>
      <c r="GC80">
        <v>5.9070820994461952</v>
      </c>
      <c r="GD80">
        <v>4.9705550525107833</v>
      </c>
      <c r="GE80">
        <v>6.6191789202266378</v>
      </c>
      <c r="GF80">
        <v>15.807484074706782</v>
      </c>
      <c r="GG80">
        <v>13.943595470142261</v>
      </c>
      <c r="GH80">
        <v>16.879192545941368</v>
      </c>
      <c r="GI80">
        <v>18.438829522463028</v>
      </c>
      <c r="GJ80"/>
      <c r="GK80"/>
      <c r="GL80"/>
      <c r="GM80"/>
      <c r="GN80" s="208"/>
      <c r="GO80" s="208"/>
      <c r="GP80" s="208"/>
      <c r="GQ80" s="208"/>
      <c r="GR80" s="208"/>
      <c r="GS80" s="208"/>
      <c r="GT80" s="208"/>
      <c r="GU80" s="213">
        <v>75</v>
      </c>
    </row>
    <row r="81" spans="1:203" s="7" customFormat="1">
      <c r="A81" s="4"/>
      <c r="B81" s="42"/>
      <c r="C81" s="71"/>
      <c r="D81" s="72"/>
      <c r="E81" s="64"/>
      <c r="F81" s="64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  <c r="AI81" s="18"/>
      <c r="AJ81" s="18"/>
      <c r="AK81" s="18"/>
      <c r="AL81" s="2"/>
      <c r="AM81" s="43">
        <v>65</v>
      </c>
      <c r="AN81">
        <v>277.50790006439155</v>
      </c>
      <c r="AO81">
        <v>28.648962761949559</v>
      </c>
      <c r="AP81">
        <v>79.831680274275328</v>
      </c>
      <c r="AQ81">
        <v>195.42069093125156</v>
      </c>
      <c r="AR81">
        <v>28.501100754317275</v>
      </c>
      <c r="AS81">
        <v>236.62719859563742</v>
      </c>
      <c r="AT81">
        <v>11.526369199812608</v>
      </c>
      <c r="AU81">
        <v>-8.2017889956746934</v>
      </c>
      <c r="AV81"/>
      <c r="AW81"/>
      <c r="FY81" s="213">
        <v>76</v>
      </c>
      <c r="FZ81">
        <v>81.94139936629891</v>
      </c>
      <c r="GA81">
        <v>64.562650608405733</v>
      </c>
      <c r="GB81">
        <v>11.69179753529945</v>
      </c>
      <c r="GC81">
        <v>6.7296708641067573</v>
      </c>
      <c r="GD81">
        <v>6.4977817645612159</v>
      </c>
      <c r="GE81">
        <v>5.351818192231363</v>
      </c>
      <c r="GF81">
        <v>15.799626823313471</v>
      </c>
      <c r="GG81">
        <v>15.182933611564644</v>
      </c>
      <c r="GH81">
        <v>9.3289696813127438</v>
      </c>
      <c r="GI81">
        <v>23.412516374319274</v>
      </c>
      <c r="GJ81"/>
      <c r="GK81"/>
      <c r="GL81"/>
      <c r="GM81"/>
      <c r="GN81" s="208"/>
      <c r="GO81" s="208"/>
      <c r="GP81" s="208"/>
      <c r="GQ81" s="208"/>
      <c r="GR81" s="208"/>
      <c r="GS81" s="208"/>
      <c r="GT81" s="208"/>
      <c r="GU81" s="213">
        <v>76</v>
      </c>
    </row>
    <row r="82" spans="1:203" s="7" customFormat="1">
      <c r="A82" s="4"/>
      <c r="B82" s="1"/>
      <c r="C82" s="73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9"/>
      <c r="Q82" s="19"/>
      <c r="R82" s="19"/>
      <c r="S82" s="19"/>
      <c r="T82" s="19"/>
      <c r="U82" s="19"/>
      <c r="V82" s="19"/>
      <c r="W82" s="19"/>
      <c r="X82" s="19"/>
      <c r="Y82" s="19"/>
      <c r="Z82" s="19"/>
      <c r="AA82" s="19"/>
      <c r="AB82" s="19"/>
      <c r="AC82" s="19"/>
      <c r="AD82" s="19"/>
      <c r="AE82" s="19"/>
      <c r="AF82" s="63"/>
      <c r="AG82" s="63"/>
      <c r="AH82" s="63"/>
      <c r="AI82" s="63"/>
      <c r="AJ82" s="63"/>
      <c r="AK82" s="63"/>
      <c r="AL82" s="2"/>
      <c r="AM82" s="43">
        <v>66</v>
      </c>
      <c r="AN82">
        <v>318.81646589237027</v>
      </c>
      <c r="AO82">
        <v>29.569075245914508</v>
      </c>
      <c r="AP82">
        <v>120.21853897913375</v>
      </c>
      <c r="AQ82">
        <v>224.79638771360231</v>
      </c>
      <c r="AR82">
        <v>31.446126037405278</v>
      </c>
      <c r="AS82">
        <v>294.11937282086541</v>
      </c>
      <c r="AT82">
        <v>17.609297641168926</v>
      </c>
      <c r="AU82">
        <v>-203.39363676660167</v>
      </c>
      <c r="AV82"/>
      <c r="AW82"/>
      <c r="FY82" s="213">
        <v>77</v>
      </c>
      <c r="FZ82">
        <v>46.357024094380449</v>
      </c>
      <c r="GA82">
        <v>59.253832084211076</v>
      </c>
      <c r="GB82">
        <v>16.243401077893914</v>
      </c>
      <c r="GC82">
        <v>4.9292169602841298</v>
      </c>
      <c r="GD82">
        <v>4.5009017809002057</v>
      </c>
      <c r="GE82">
        <v>5.431418706069854</v>
      </c>
      <c r="GF82">
        <v>3.579190192489162</v>
      </c>
      <c r="GG82">
        <v>5.3203686483585715</v>
      </c>
      <c r="GH82">
        <v>27.096064414382354</v>
      </c>
      <c r="GI82">
        <v>19.171002706574573</v>
      </c>
      <c r="GJ82"/>
      <c r="GK82"/>
      <c r="GL82"/>
      <c r="GM82"/>
      <c r="GN82" s="208"/>
      <c r="GO82" s="208"/>
      <c r="GP82" s="208"/>
      <c r="GQ82" s="208"/>
      <c r="GR82" s="208"/>
      <c r="GS82" s="208"/>
      <c r="GT82" s="208"/>
      <c r="GU82" s="213">
        <v>77</v>
      </c>
    </row>
    <row r="83" spans="1:203" s="7" customFormat="1">
      <c r="A83" s="4"/>
      <c r="B83" s="1"/>
      <c r="C83" s="3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43">
        <v>67</v>
      </c>
      <c r="AN83">
        <v>287.14625387049659</v>
      </c>
      <c r="AO83">
        <v>32.278382559949456</v>
      </c>
      <c r="AP83">
        <v>55.06014643130063</v>
      </c>
      <c r="AQ83">
        <v>238.52949887219816</v>
      </c>
      <c r="AR83">
        <v>35.288211078036177</v>
      </c>
      <c r="AS83">
        <v>273.64847221935662</v>
      </c>
      <c r="AT83">
        <v>16.08164428039596</v>
      </c>
      <c r="AU83">
        <v>13.106059065972175</v>
      </c>
      <c r="AV83"/>
      <c r="AW83"/>
      <c r="FY83" s="213">
        <v>78</v>
      </c>
      <c r="FZ83">
        <v>42.143585464550206</v>
      </c>
      <c r="GA83">
        <v>39.615590546654744</v>
      </c>
      <c r="GB83">
        <v>7.3305177020046397</v>
      </c>
      <c r="GC83">
        <v>5.5303465301166677</v>
      </c>
      <c r="GD83">
        <v>5.5955690860762086</v>
      </c>
      <c r="GE83">
        <v>6.3367663502272098</v>
      </c>
      <c r="GF83">
        <v>12.524518335488812</v>
      </c>
      <c r="GG83">
        <v>12.602471012294053</v>
      </c>
      <c r="GH83">
        <v>10.509512386236075</v>
      </c>
      <c r="GI83">
        <v>15.330766028108947</v>
      </c>
      <c r="GJ83"/>
      <c r="GK83"/>
      <c r="GL83"/>
      <c r="GM83"/>
      <c r="GN83" s="208"/>
      <c r="GO83" s="208"/>
      <c r="GP83" s="208"/>
      <c r="GQ83" s="208"/>
      <c r="GR83" s="208"/>
      <c r="GS83" s="208"/>
      <c r="GT83" s="208"/>
      <c r="GU83" s="213">
        <v>78</v>
      </c>
    </row>
    <row r="84" spans="1:203" s="7" customFormat="1">
      <c r="A84" s="4"/>
      <c r="B84" s="4"/>
      <c r="C84" s="34"/>
      <c r="D84" s="28"/>
      <c r="E84" s="28"/>
      <c r="F84" s="28">
        <v>0.09</v>
      </c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28"/>
      <c r="R84" s="28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>
        <v>3.0028000000000028</v>
      </c>
      <c r="AM84" s="43">
        <v>68</v>
      </c>
      <c r="AN84">
        <v>326.06814257221401</v>
      </c>
      <c r="AO84">
        <v>25.41771241211293</v>
      </c>
      <c r="AP84">
        <v>75.81448511620988</v>
      </c>
      <c r="AQ84">
        <v>181.39745874402229</v>
      </c>
      <c r="AR84">
        <v>25.068681034830796</v>
      </c>
      <c r="AS84">
        <v>259.18231168017007</v>
      </c>
      <c r="AT84">
        <v>11.650710480104827</v>
      </c>
      <c r="AU84">
        <v>32.955028805554299</v>
      </c>
      <c r="AV84"/>
      <c r="AW84"/>
      <c r="AX84" s="157" t="s">
        <v>111</v>
      </c>
      <c r="CJ84" s="157" t="s">
        <v>112</v>
      </c>
      <c r="FY84" s="213">
        <v>79</v>
      </c>
      <c r="FZ84">
        <v>38.673052072943406</v>
      </c>
      <c r="GA84">
        <v>59.29134636603829</v>
      </c>
      <c r="GB84">
        <v>12.912583041443163</v>
      </c>
      <c r="GC84">
        <v>6.1769707564807028</v>
      </c>
      <c r="GD84">
        <v>5.0838725068149753</v>
      </c>
      <c r="GE84">
        <v>3.6040362996367072</v>
      </c>
      <c r="GF84">
        <v>5.5246632693341065</v>
      </c>
      <c r="GG84">
        <v>6.4038399227303131</v>
      </c>
      <c r="GH84">
        <v>7.2772852118591889</v>
      </c>
      <c r="GI84">
        <v>14.481336743718368</v>
      </c>
      <c r="GJ84"/>
      <c r="GK84"/>
      <c r="GL84"/>
      <c r="GM84"/>
      <c r="GN84" s="208"/>
      <c r="GO84" s="208"/>
      <c r="GP84" s="208"/>
      <c r="GQ84" s="208"/>
      <c r="GR84" s="208"/>
      <c r="GS84" s="208"/>
      <c r="GT84" s="208"/>
      <c r="GU84" s="213">
        <v>79</v>
      </c>
    </row>
    <row r="85" spans="1:203" s="7" customFormat="1">
      <c r="A85" s="1"/>
      <c r="B85" s="1"/>
      <c r="C85" s="1"/>
      <c r="D85" s="1"/>
      <c r="E85" s="1"/>
      <c r="F85" s="2"/>
      <c r="G85" s="2"/>
      <c r="H85" s="3"/>
      <c r="I85" s="1"/>
      <c r="J85" s="1"/>
      <c r="K85" s="1"/>
      <c r="L85" s="1"/>
      <c r="M85" s="1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80"/>
      <c r="AL85" s="74">
        <v>3.0028000000000028</v>
      </c>
      <c r="AM85" s="43">
        <v>69</v>
      </c>
      <c r="AN85">
        <v>455.85187908742967</v>
      </c>
      <c r="AO85">
        <v>31.777419867978352</v>
      </c>
      <c r="AP85">
        <v>116.78192055878804</v>
      </c>
      <c r="AQ85">
        <v>249.80416632522468</v>
      </c>
      <c r="AR85">
        <v>34.022408925470891</v>
      </c>
      <c r="AS85">
        <v>332.74668300288226</v>
      </c>
      <c r="AT85">
        <v>17.025408080624953</v>
      </c>
      <c r="AU85">
        <v>30.378062930214188</v>
      </c>
      <c r="AV85"/>
      <c r="AW85"/>
      <c r="AX85" s="146"/>
      <c r="AY85" s="146"/>
      <c r="AZ85" s="146"/>
      <c r="BA85" s="146"/>
      <c r="BB85" s="146"/>
      <c r="BC85" s="147"/>
      <c r="BD85" s="147"/>
      <c r="BE85" s="148"/>
      <c r="BF85" s="146"/>
      <c r="BG85" s="146"/>
      <c r="BH85" s="146"/>
      <c r="BI85" s="146"/>
      <c r="BJ85" s="146"/>
      <c r="BK85" s="147"/>
      <c r="BL85" s="147"/>
      <c r="BM85" s="147"/>
      <c r="BN85" s="147"/>
      <c r="BO85" s="147"/>
      <c r="BP85" s="147"/>
      <c r="BQ85" s="147"/>
      <c r="BR85" s="147"/>
      <c r="BS85" s="147"/>
      <c r="BT85" s="147"/>
      <c r="BU85" s="147"/>
      <c r="BV85" s="147"/>
      <c r="BW85" s="147"/>
      <c r="BX85" s="147"/>
      <c r="BY85" s="147"/>
      <c r="BZ85" s="147"/>
      <c r="CA85" s="147"/>
      <c r="CB85" s="147"/>
      <c r="CC85" s="147"/>
      <c r="CD85" s="147"/>
      <c r="CE85" s="147"/>
      <c r="CF85" s="147"/>
      <c r="CG85" s="147"/>
      <c r="CH85" s="149"/>
      <c r="CJ85" s="146"/>
      <c r="CK85" s="146"/>
      <c r="CL85" s="146"/>
      <c r="CM85" s="146"/>
      <c r="CN85" s="146"/>
      <c r="CO85" s="147"/>
      <c r="CP85" s="147"/>
      <c r="CQ85" s="148"/>
      <c r="CR85" s="146"/>
      <c r="CS85" s="146"/>
      <c r="CT85" s="146"/>
      <c r="CU85" s="146"/>
      <c r="CW85" s="150"/>
      <c r="CX85" s="150"/>
      <c r="CZ85" s="150"/>
      <c r="DB85" s="146"/>
      <c r="DC85" s="146"/>
      <c r="DD85" s="146"/>
      <c r="DE85" s="146"/>
      <c r="DF85" s="146"/>
      <c r="DG85" s="147"/>
      <c r="DH85" s="147"/>
      <c r="DI85" s="148"/>
      <c r="DJ85" s="146"/>
      <c r="DK85" s="146"/>
      <c r="DL85" s="146"/>
      <c r="DM85" s="146"/>
      <c r="DN85" s="146"/>
      <c r="DO85" s="147"/>
      <c r="DP85" s="147"/>
      <c r="DQ85" s="147"/>
      <c r="DR85" s="147"/>
      <c r="DS85" s="147"/>
      <c r="DT85" s="147"/>
      <c r="DU85" s="147"/>
      <c r="DV85" s="147"/>
      <c r="DW85" s="147"/>
      <c r="DX85" s="147"/>
      <c r="DY85" s="147"/>
      <c r="DZ85" s="147"/>
      <c r="EA85" s="147"/>
      <c r="EB85" s="147"/>
      <c r="EC85" s="147"/>
      <c r="ED85" s="147"/>
      <c r="EE85" s="147"/>
      <c r="EF85" s="147"/>
      <c r="EG85" s="147"/>
      <c r="EH85" s="147"/>
      <c r="EI85" s="147"/>
      <c r="EJ85" s="147"/>
      <c r="EK85" s="147"/>
      <c r="EL85" s="149"/>
      <c r="EN85" s="146"/>
      <c r="EO85" s="146"/>
      <c r="EP85" s="146"/>
      <c r="EQ85" s="147"/>
      <c r="ER85" s="147"/>
      <c r="ES85" s="148"/>
      <c r="ET85" s="146"/>
      <c r="EU85" s="146"/>
      <c r="EV85" s="146"/>
      <c r="EW85" s="146"/>
      <c r="EX85" s="146"/>
      <c r="EY85" s="147"/>
      <c r="EZ85" s="147"/>
      <c r="FA85" s="147"/>
      <c r="FB85" s="147"/>
      <c r="FC85" s="147"/>
      <c r="FD85" s="147"/>
      <c r="FE85" s="147"/>
      <c r="FF85" s="147"/>
      <c r="FG85" s="147"/>
      <c r="FH85" s="147"/>
      <c r="FI85" s="147"/>
      <c r="FJ85" s="147"/>
      <c r="FK85" s="147"/>
      <c r="FL85" s="147"/>
      <c r="FM85" s="147"/>
      <c r="FN85" s="147"/>
      <c r="FO85" s="147"/>
      <c r="FP85" s="147"/>
      <c r="FQ85" s="147"/>
      <c r="FR85" s="147"/>
      <c r="FS85" s="147"/>
      <c r="FT85" s="147"/>
      <c r="FU85" s="147"/>
      <c r="FV85" s="149"/>
      <c r="FY85" s="213">
        <v>80</v>
      </c>
      <c r="FZ85">
        <v>20.444173600300296</v>
      </c>
      <c r="GA85">
        <v>28.299388973401726</v>
      </c>
      <c r="GB85">
        <v>10.972945093343045</v>
      </c>
      <c r="GC85">
        <v>5.5149606914776248</v>
      </c>
      <c r="GD85">
        <v>5.6408283316591961</v>
      </c>
      <c r="GE85">
        <v>7.8763355122465137</v>
      </c>
      <c r="GF85">
        <v>18.888554423818643</v>
      </c>
      <c r="GG85">
        <v>15.415825132490745</v>
      </c>
      <c r="GH85">
        <v>11.613981165749331</v>
      </c>
      <c r="GI85">
        <v>14.690600747839978</v>
      </c>
      <c r="GJ85"/>
      <c r="GK85"/>
      <c r="GL85"/>
      <c r="GM85"/>
      <c r="GN85" s="208"/>
      <c r="GO85" s="208"/>
      <c r="GP85" s="208"/>
      <c r="GQ85" s="208"/>
      <c r="GR85" s="208"/>
      <c r="GS85" s="208"/>
      <c r="GT85" s="208"/>
      <c r="GU85" s="213">
        <v>80</v>
      </c>
    </row>
    <row r="86" spans="1:203" s="7" customFormat="1">
      <c r="A86" s="141" t="s">
        <v>109</v>
      </c>
      <c r="B86" s="10"/>
      <c r="C86" s="13"/>
      <c r="D86" s="13"/>
      <c r="E86" s="13" t="s">
        <v>56</v>
      </c>
      <c r="F86" s="21"/>
      <c r="G86" s="14"/>
      <c r="H86" s="21"/>
      <c r="I86" s="13"/>
      <c r="J86" s="13"/>
      <c r="K86" s="13"/>
      <c r="L86" s="13"/>
      <c r="M86" s="13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/>
      <c r="AD86" s="14"/>
      <c r="AE86" s="14"/>
      <c r="AF86" s="14"/>
      <c r="AG86" s="14"/>
      <c r="AH86" s="14"/>
      <c r="AI86" s="14"/>
      <c r="AJ86" s="14"/>
      <c r="AK86" s="80"/>
      <c r="AL86" s="74">
        <v>3.0028000000000028</v>
      </c>
      <c r="AM86" s="43">
        <v>70</v>
      </c>
      <c r="AN86">
        <v>311.987513105679</v>
      </c>
      <c r="AO86">
        <v>25.946899850721451</v>
      </c>
      <c r="AP86">
        <v>74.567338626700632</v>
      </c>
      <c r="AQ86">
        <v>189.93785072930794</v>
      </c>
      <c r="AR86">
        <v>26.75624446883344</v>
      </c>
      <c r="AS86">
        <v>244.27776361698912</v>
      </c>
      <c r="AT86">
        <v>12.629893770439109</v>
      </c>
      <c r="AU86">
        <v>28.676037195377088</v>
      </c>
      <c r="AV86"/>
      <c r="AW86"/>
      <c r="AX86" s="9" t="s">
        <v>55</v>
      </c>
      <c r="AY86" s="10"/>
      <c r="AZ86" s="13"/>
      <c r="BA86" s="13"/>
      <c r="BB86" s="13" t="s">
        <v>56</v>
      </c>
      <c r="BC86" s="21"/>
      <c r="BD86" s="14"/>
      <c r="BE86" s="21"/>
      <c r="BF86" s="13"/>
      <c r="BG86" s="13"/>
      <c r="BH86" s="13"/>
      <c r="BI86" s="13"/>
      <c r="BJ86" s="13"/>
      <c r="BK86" s="14"/>
      <c r="BL86" s="14"/>
      <c r="BM86" s="14"/>
      <c r="BN86" s="14"/>
      <c r="BO86" s="14"/>
      <c r="BP86" s="14"/>
      <c r="BQ86" s="14"/>
      <c r="BR86" s="14"/>
      <c r="BS86" s="14"/>
      <c r="BT86" s="14"/>
      <c r="BU86" s="14"/>
      <c r="BV86" s="14"/>
      <c r="BW86" s="14"/>
      <c r="BX86" s="14"/>
      <c r="BY86" s="14"/>
      <c r="BZ86" s="14"/>
      <c r="CA86" s="14"/>
      <c r="CB86" s="14"/>
      <c r="CC86" s="14"/>
      <c r="CD86" s="14"/>
      <c r="CE86" s="14"/>
      <c r="CF86" s="14"/>
      <c r="CG86" s="14"/>
      <c r="CH86" s="154"/>
      <c r="CJ86" s="9" t="s">
        <v>55</v>
      </c>
      <c r="CK86" s="10"/>
      <c r="CL86" s="13"/>
      <c r="CM86" s="13"/>
      <c r="CN86" s="13" t="s">
        <v>56</v>
      </c>
      <c r="CO86" s="21"/>
      <c r="CP86" s="14"/>
      <c r="CQ86" s="21"/>
      <c r="CR86" s="13"/>
      <c r="CS86" s="13"/>
      <c r="CT86" s="13"/>
      <c r="CU86" s="13"/>
      <c r="CW86" s="226" t="s">
        <v>123</v>
      </c>
      <c r="CX86" s="226"/>
      <c r="CY86" s="144"/>
      <c r="CZ86" s="156" t="s">
        <v>113</v>
      </c>
      <c r="DB86" s="9" t="s">
        <v>105</v>
      </c>
      <c r="DC86" s="10"/>
      <c r="DD86" s="13"/>
      <c r="DE86" s="13"/>
      <c r="DF86" s="13" t="s">
        <v>56</v>
      </c>
      <c r="DG86" s="21"/>
      <c r="DH86" s="14"/>
      <c r="DI86" s="21"/>
      <c r="DJ86" s="13"/>
      <c r="DK86" s="13"/>
      <c r="DL86" s="13"/>
      <c r="DM86" s="13"/>
      <c r="DN86" s="13"/>
      <c r="DO86" s="14"/>
      <c r="DP86" s="14"/>
      <c r="DQ86" s="14"/>
      <c r="DR86" s="14"/>
      <c r="DS86" s="14"/>
      <c r="DT86" s="14"/>
      <c r="DU86" s="14"/>
      <c r="DV86" s="14"/>
      <c r="DW86" s="14"/>
      <c r="DX86" s="14"/>
      <c r="DY86" s="14"/>
      <c r="DZ86" s="14"/>
      <c r="EA86" s="14"/>
      <c r="EB86" s="14"/>
      <c r="EC86" s="14"/>
      <c r="ED86" s="14"/>
      <c r="EE86" s="14"/>
      <c r="EF86" s="14"/>
      <c r="EG86" s="14"/>
      <c r="EH86" s="14"/>
      <c r="EI86" s="14"/>
      <c r="EJ86" s="14"/>
      <c r="EK86" s="140" t="s">
        <v>108</v>
      </c>
      <c r="EL86" s="154"/>
      <c r="EN86" s="9"/>
      <c r="EO86" s="9" t="s">
        <v>106</v>
      </c>
      <c r="EP86" s="13" t="s">
        <v>56</v>
      </c>
      <c r="EQ86" s="21"/>
      <c r="ER86" s="14"/>
      <c r="ES86" s="21"/>
      <c r="ET86" s="13"/>
      <c r="EU86" s="13"/>
      <c r="EV86" s="13"/>
      <c r="EW86" s="13"/>
      <c r="EX86" s="13"/>
      <c r="EY86" s="14"/>
      <c r="EZ86" s="14"/>
      <c r="FA86" s="14"/>
      <c r="FB86" s="14"/>
      <c r="FC86" s="14"/>
      <c r="FD86" s="14"/>
      <c r="FE86" s="14"/>
      <c r="FF86" s="14"/>
      <c r="FG86" s="14"/>
      <c r="FH86" s="14"/>
      <c r="FI86" s="14"/>
      <c r="FJ86" s="14"/>
      <c r="FK86" s="14"/>
      <c r="FL86" s="14"/>
      <c r="FM86" s="14"/>
      <c r="FN86" s="14"/>
      <c r="FO86" s="14"/>
      <c r="FP86" s="14"/>
      <c r="FQ86" s="14"/>
      <c r="FR86" s="14"/>
      <c r="FS86" s="14"/>
      <c r="FT86" s="14"/>
      <c r="FU86" s="14"/>
      <c r="FV86" s="154"/>
      <c r="FY86" s="213">
        <v>81</v>
      </c>
      <c r="FZ86">
        <v>53.25989999197035</v>
      </c>
      <c r="GA86">
        <v>61.211847822148052</v>
      </c>
      <c r="GB86">
        <v>14.032943708641289</v>
      </c>
      <c r="GC86">
        <v>6.3829361164621545</v>
      </c>
      <c r="GD86">
        <v>4.674567144624409</v>
      </c>
      <c r="GE86">
        <v>4.6234293081167328</v>
      </c>
      <c r="GF86">
        <v>10.825149659104991</v>
      </c>
      <c r="GG86">
        <v>10.87920827650048</v>
      </c>
      <c r="GH86">
        <v>15.707538899645986</v>
      </c>
      <c r="GI86">
        <v>18.972307444873113</v>
      </c>
      <c r="GJ86"/>
      <c r="GK86"/>
      <c r="GL86"/>
      <c r="GM86"/>
      <c r="GN86" s="208"/>
      <c r="GO86" s="208"/>
      <c r="GP86" s="208"/>
      <c r="GQ86" s="208"/>
      <c r="GR86" s="208"/>
      <c r="GS86" s="208"/>
      <c r="GT86" s="208"/>
      <c r="GU86" s="213">
        <v>81</v>
      </c>
    </row>
    <row r="87" spans="1:203" s="7" customFormat="1">
      <c r="A87" s="9" t="s">
        <v>107</v>
      </c>
      <c r="B87" s="10" t="s">
        <v>58</v>
      </c>
      <c r="C87" s="10" t="s">
        <v>59</v>
      </c>
      <c r="D87" s="75"/>
      <c r="E87" s="76" t="s">
        <v>37</v>
      </c>
      <c r="F87" s="45">
        <v>1</v>
      </c>
      <c r="G87" s="45">
        <v>2</v>
      </c>
      <c r="H87" s="45">
        <v>3</v>
      </c>
      <c r="I87" s="45">
        <v>4</v>
      </c>
      <c r="J87" s="45">
        <v>5</v>
      </c>
      <c r="K87" s="45">
        <v>6</v>
      </c>
      <c r="L87" s="45">
        <v>7</v>
      </c>
      <c r="M87" s="46">
        <v>8</v>
      </c>
      <c r="N87" s="46">
        <v>9</v>
      </c>
      <c r="O87" s="47">
        <v>10</v>
      </c>
      <c r="P87" s="46">
        <v>11</v>
      </c>
      <c r="Q87" s="47">
        <v>12</v>
      </c>
      <c r="R87" s="46">
        <v>13</v>
      </c>
      <c r="S87" s="47">
        <v>14</v>
      </c>
      <c r="T87" s="46">
        <v>15</v>
      </c>
      <c r="U87" s="47">
        <v>16</v>
      </c>
      <c r="V87" s="46">
        <v>17</v>
      </c>
      <c r="W87" s="47">
        <v>18</v>
      </c>
      <c r="X87" s="46">
        <v>19</v>
      </c>
      <c r="Y87" s="47">
        <v>20</v>
      </c>
      <c r="Z87" s="46">
        <v>21</v>
      </c>
      <c r="AA87" s="47">
        <v>22</v>
      </c>
      <c r="AB87" s="46">
        <v>23</v>
      </c>
      <c r="AC87" s="47">
        <v>24</v>
      </c>
      <c r="AD87" s="46">
        <v>25</v>
      </c>
      <c r="AE87" s="47">
        <v>26</v>
      </c>
      <c r="AF87" s="46">
        <v>27</v>
      </c>
      <c r="AG87" s="47">
        <v>28</v>
      </c>
      <c r="AH87" s="46">
        <v>29</v>
      </c>
      <c r="AI87" s="47">
        <v>30</v>
      </c>
      <c r="AJ87" s="12"/>
      <c r="AK87" s="80"/>
      <c r="AL87" s="74">
        <v>3.0028000000000028</v>
      </c>
      <c r="AM87" s="43">
        <v>71</v>
      </c>
      <c r="AN87">
        <v>316.45718283150416</v>
      </c>
      <c r="AO87">
        <v>33.243834177382531</v>
      </c>
      <c r="AP87">
        <v>105.71875636674979</v>
      </c>
      <c r="AQ87">
        <v>220.92419283026987</v>
      </c>
      <c r="AR87">
        <v>32.505072714861761</v>
      </c>
      <c r="AS87">
        <v>320.69054493278935</v>
      </c>
      <c r="AT87">
        <v>12.466068650966074</v>
      </c>
      <c r="AU87">
        <v>-21.176028965177771</v>
      </c>
      <c r="AV87"/>
      <c r="AW87"/>
      <c r="AX87" s="9" t="s">
        <v>57</v>
      </c>
      <c r="AY87" s="10" t="s">
        <v>58</v>
      </c>
      <c r="AZ87" s="10" t="s">
        <v>59</v>
      </c>
      <c r="BA87" s="75" t="s">
        <v>21</v>
      </c>
      <c r="BB87" s="76" t="s">
        <v>37</v>
      </c>
      <c r="BC87" s="45">
        <v>1</v>
      </c>
      <c r="BD87" s="45">
        <v>2</v>
      </c>
      <c r="BE87" s="45">
        <v>3</v>
      </c>
      <c r="BF87" s="45">
        <v>4</v>
      </c>
      <c r="BG87" s="45">
        <v>5</v>
      </c>
      <c r="BH87" s="45">
        <v>6</v>
      </c>
      <c r="BI87" s="45">
        <v>7</v>
      </c>
      <c r="BJ87" s="46">
        <v>8</v>
      </c>
      <c r="BK87" s="46">
        <v>9</v>
      </c>
      <c r="BL87" s="47">
        <v>10</v>
      </c>
      <c r="BM87" s="46">
        <v>11</v>
      </c>
      <c r="BN87" s="47">
        <v>12</v>
      </c>
      <c r="BO87" s="46">
        <v>13</v>
      </c>
      <c r="BP87" s="47">
        <v>14</v>
      </c>
      <c r="BQ87" s="46">
        <v>15</v>
      </c>
      <c r="BR87" s="47">
        <v>16</v>
      </c>
      <c r="BS87" s="46">
        <v>17</v>
      </c>
      <c r="BT87" s="47">
        <v>18</v>
      </c>
      <c r="BU87" s="46">
        <v>19</v>
      </c>
      <c r="BV87" s="47">
        <v>20</v>
      </c>
      <c r="BW87" s="46">
        <v>21</v>
      </c>
      <c r="BX87" s="47">
        <v>22</v>
      </c>
      <c r="BY87" s="46">
        <v>23</v>
      </c>
      <c r="BZ87" s="47">
        <v>24</v>
      </c>
      <c r="CA87" s="46">
        <v>25</v>
      </c>
      <c r="CB87" s="47">
        <v>26</v>
      </c>
      <c r="CC87" s="46">
        <v>27</v>
      </c>
      <c r="CD87" s="47">
        <v>28</v>
      </c>
      <c r="CE87" s="46">
        <v>29</v>
      </c>
      <c r="CF87" s="47">
        <v>30</v>
      </c>
      <c r="CG87" s="12"/>
      <c r="CH87" s="154"/>
      <c r="CJ87" s="9" t="s">
        <v>57</v>
      </c>
      <c r="CK87" s="10" t="s">
        <v>58</v>
      </c>
      <c r="CL87" s="10" t="s">
        <v>59</v>
      </c>
      <c r="CM87" s="75" t="s">
        <v>21</v>
      </c>
      <c r="CN87" s="76" t="s">
        <v>37</v>
      </c>
      <c r="CO87" s="45">
        <v>1</v>
      </c>
      <c r="CP87" s="45">
        <v>2</v>
      </c>
      <c r="CQ87" s="45">
        <v>3</v>
      </c>
      <c r="CR87" s="45">
        <v>4</v>
      </c>
      <c r="CS87" s="45">
        <v>5</v>
      </c>
      <c r="CT87" s="45">
        <v>6</v>
      </c>
      <c r="CU87" s="45">
        <v>7</v>
      </c>
      <c r="CW87" s="96" t="s">
        <v>124</v>
      </c>
      <c r="CX87" s="96" t="s">
        <v>125</v>
      </c>
      <c r="CZ87" s="156" t="s">
        <v>114</v>
      </c>
      <c r="DB87" s="9" t="s">
        <v>110</v>
      </c>
      <c r="DC87" s="10" t="s">
        <v>58</v>
      </c>
      <c r="DD87" s="10" t="s">
        <v>59</v>
      </c>
      <c r="DE87" s="75" t="s">
        <v>21</v>
      </c>
      <c r="DF87" s="76" t="s">
        <v>37</v>
      </c>
      <c r="DG87" s="45">
        <v>1</v>
      </c>
      <c r="DH87" s="45">
        <v>2</v>
      </c>
      <c r="DI87" s="45">
        <v>3</v>
      </c>
      <c r="DJ87" s="45">
        <v>4</v>
      </c>
      <c r="DK87" s="45">
        <v>5</v>
      </c>
      <c r="DL87" s="45">
        <v>6</v>
      </c>
      <c r="DM87" s="45">
        <v>7</v>
      </c>
      <c r="DN87" s="46">
        <v>8</v>
      </c>
      <c r="DO87" s="46">
        <v>9</v>
      </c>
      <c r="DP87" s="47">
        <v>10</v>
      </c>
      <c r="DQ87" s="46">
        <v>11</v>
      </c>
      <c r="DR87" s="47">
        <v>12</v>
      </c>
      <c r="DS87" s="46">
        <v>13</v>
      </c>
      <c r="DT87" s="47">
        <v>14</v>
      </c>
      <c r="DU87" s="46">
        <v>15</v>
      </c>
      <c r="DV87" s="47">
        <v>16</v>
      </c>
      <c r="DW87" s="46">
        <v>17</v>
      </c>
      <c r="DX87" s="47">
        <v>18</v>
      </c>
      <c r="DY87" s="46">
        <v>19</v>
      </c>
      <c r="DZ87" s="47">
        <v>20</v>
      </c>
      <c r="EA87" s="46">
        <v>21</v>
      </c>
      <c r="EB87" s="47">
        <v>22</v>
      </c>
      <c r="EC87" s="46">
        <v>23</v>
      </c>
      <c r="ED87" s="47">
        <v>24</v>
      </c>
      <c r="EE87" s="46">
        <v>25</v>
      </c>
      <c r="EF87" s="47">
        <v>26</v>
      </c>
      <c r="EG87" s="46">
        <v>27</v>
      </c>
      <c r="EH87" s="47">
        <v>28</v>
      </c>
      <c r="EI87" s="46">
        <v>29</v>
      </c>
      <c r="EJ87" s="47">
        <v>30</v>
      </c>
      <c r="EK87" s="12"/>
      <c r="EL87" s="154"/>
      <c r="EN87" s="9"/>
      <c r="EO87" s="9"/>
      <c r="EP87" s="76" t="s">
        <v>37</v>
      </c>
      <c r="EQ87" s="45">
        <v>1</v>
      </c>
      <c r="ER87" s="45">
        <v>2</v>
      </c>
      <c r="ES87" s="45">
        <v>3</v>
      </c>
      <c r="ET87" s="45">
        <v>4</v>
      </c>
      <c r="EU87" s="45">
        <v>5</v>
      </c>
      <c r="EV87" s="45">
        <v>6</v>
      </c>
      <c r="EW87" s="45">
        <v>7</v>
      </c>
      <c r="EX87" s="46">
        <v>8</v>
      </c>
      <c r="EY87" s="46">
        <v>9</v>
      </c>
      <c r="EZ87" s="47">
        <v>10</v>
      </c>
      <c r="FA87" s="46">
        <v>11</v>
      </c>
      <c r="FB87" s="47">
        <v>12</v>
      </c>
      <c r="FC87" s="46">
        <v>13</v>
      </c>
      <c r="FD87" s="47">
        <v>14</v>
      </c>
      <c r="FE87" s="46">
        <v>15</v>
      </c>
      <c r="FF87" s="47">
        <v>16</v>
      </c>
      <c r="FG87" s="46">
        <v>17</v>
      </c>
      <c r="FH87" s="47">
        <v>18</v>
      </c>
      <c r="FI87" s="46">
        <v>19</v>
      </c>
      <c r="FJ87" s="47">
        <v>20</v>
      </c>
      <c r="FK87" s="46">
        <v>21</v>
      </c>
      <c r="FL87" s="47">
        <v>22</v>
      </c>
      <c r="FM87" s="46">
        <v>23</v>
      </c>
      <c r="FN87" s="47">
        <v>24</v>
      </c>
      <c r="FO87" s="46">
        <v>25</v>
      </c>
      <c r="FP87" s="47">
        <v>26</v>
      </c>
      <c r="FQ87" s="46">
        <v>27</v>
      </c>
      <c r="FR87" s="47">
        <v>28</v>
      </c>
      <c r="FS87" s="46">
        <v>29</v>
      </c>
      <c r="FT87" s="47">
        <v>30</v>
      </c>
      <c r="FU87" s="12" t="s">
        <v>11</v>
      </c>
      <c r="FV87" s="155"/>
      <c r="FY87" s="213">
        <v>82</v>
      </c>
      <c r="FZ87">
        <v>47.172598596310841</v>
      </c>
      <c r="GA87">
        <v>52.98976429128313</v>
      </c>
      <c r="GB87">
        <v>15.352990016368633</v>
      </c>
      <c r="GC87">
        <v>5.6003366169086517</v>
      </c>
      <c r="GD87">
        <v>4.9999124818164624</v>
      </c>
      <c r="GE87">
        <v>3.8169906798303601</v>
      </c>
      <c r="GF87">
        <v>8.304428848417988</v>
      </c>
      <c r="GG87">
        <v>10.413223914421094</v>
      </c>
      <c r="GH87">
        <v>13.635088916933771</v>
      </c>
      <c r="GI87">
        <v>17.997842369941988</v>
      </c>
      <c r="GJ87"/>
      <c r="GK87"/>
      <c r="GL87"/>
      <c r="GM87"/>
      <c r="GN87" s="208"/>
      <c r="GO87" s="208"/>
      <c r="GP87" s="208"/>
      <c r="GQ87" s="208"/>
      <c r="GR87" s="208"/>
      <c r="GS87" s="208"/>
      <c r="GT87" s="208"/>
      <c r="GU87" s="213">
        <v>82</v>
      </c>
    </row>
    <row r="88" spans="1:203" s="7" customFormat="1">
      <c r="A88" s="128"/>
      <c r="B88" s="76">
        <f ca="1">IF(C88="", "", RAND())</f>
        <v>0.41486633551807373</v>
      </c>
      <c r="C88">
        <v>9</v>
      </c>
      <c r="D88">
        <v>39646</v>
      </c>
      <c r="E88">
        <v>0</v>
      </c>
      <c r="F88">
        <v>0</v>
      </c>
      <c r="G88">
        <v>20.833333333333332</v>
      </c>
      <c r="H88">
        <v>52.083333333333336</v>
      </c>
      <c r="I88">
        <v>0</v>
      </c>
      <c r="J88">
        <v>10.416666666666666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 s="2"/>
      <c r="AK88" s="80"/>
      <c r="AL88" s="74"/>
      <c r="AM88" s="43">
        <v>72</v>
      </c>
      <c r="AN88">
        <v>296.9185486066022</v>
      </c>
      <c r="AO88">
        <v>36.203048518923509</v>
      </c>
      <c r="AP88">
        <v>84.506448195257022</v>
      </c>
      <c r="AQ88">
        <v>279.85810674928177</v>
      </c>
      <c r="AR88">
        <v>35.423799482952937</v>
      </c>
      <c r="AS88">
        <v>297.28718884571663</v>
      </c>
      <c r="AT88">
        <v>17.048758528699196</v>
      </c>
      <c r="AU88">
        <v>-2.8409339463113703</v>
      </c>
      <c r="AV88"/>
      <c r="AW88"/>
      <c r="AX88" s="128"/>
      <c r="AY88" s="76">
        <f ca="1">IF(AZ88="", "", RAND())</f>
        <v>0.18932218393579436</v>
      </c>
      <c r="AZ88">
        <v>1</v>
      </c>
      <c r="BA88" s="129">
        <f>IF(AZ88="", "",$C$4)</f>
        <v>39646</v>
      </c>
      <c r="BB88" s="207">
        <v>0</v>
      </c>
      <c r="BC88" s="207">
        <v>0</v>
      </c>
      <c r="BD88" s="207">
        <v>1</v>
      </c>
      <c r="BE88" s="207">
        <v>6</v>
      </c>
      <c r="BF88" s="207">
        <v>3</v>
      </c>
      <c r="BG88" s="207">
        <v>4</v>
      </c>
      <c r="BH88" s="207">
        <v>1</v>
      </c>
      <c r="BI88" s="207">
        <v>3</v>
      </c>
      <c r="BJ88" s="207">
        <v>0</v>
      </c>
      <c r="BK88" s="207">
        <v>0</v>
      </c>
      <c r="BL88" s="207">
        <v>1</v>
      </c>
      <c r="BM88" s="207">
        <v>0</v>
      </c>
      <c r="BN88" s="207">
        <v>0</v>
      </c>
      <c r="BO88" s="207">
        <v>0</v>
      </c>
      <c r="BP88" s="207">
        <v>0</v>
      </c>
      <c r="BQ88" s="207">
        <v>0</v>
      </c>
      <c r="BR88" s="207">
        <v>0</v>
      </c>
      <c r="BS88" s="207">
        <v>0</v>
      </c>
      <c r="BT88" s="207">
        <v>0</v>
      </c>
      <c r="BU88" s="207">
        <v>0</v>
      </c>
      <c r="BV88" s="207">
        <v>0</v>
      </c>
      <c r="BW88" s="207">
        <v>0</v>
      </c>
      <c r="BX88" s="207">
        <v>0</v>
      </c>
      <c r="BY88" s="207">
        <v>0</v>
      </c>
      <c r="BZ88" s="207">
        <v>0</v>
      </c>
      <c r="CA88" s="207">
        <v>0</v>
      </c>
      <c r="CB88" s="207">
        <v>0</v>
      </c>
      <c r="CC88" s="207">
        <v>0</v>
      </c>
      <c r="CD88" s="207">
        <v>0</v>
      </c>
      <c r="CE88" s="207">
        <v>0</v>
      </c>
      <c r="CF88" s="207">
        <v>0</v>
      </c>
      <c r="CG88" s="147"/>
      <c r="CH88" s="176"/>
      <c r="CJ88" s="128"/>
      <c r="CK88" s="76">
        <f ca="1">IF(AZ88="", "", RAND())</f>
        <v>0.98678293761251545</v>
      </c>
      <c r="CL88" s="179">
        <f>IF(AZ88="", "", AZ88)</f>
        <v>1</v>
      </c>
      <c r="CM88" s="180">
        <f>IF(AZ88="", "", BA88)</f>
        <v>39646</v>
      </c>
      <c r="CN88" s="208">
        <v>0</v>
      </c>
      <c r="CO88" s="208">
        <v>0</v>
      </c>
      <c r="CP88" s="208">
        <v>3</v>
      </c>
      <c r="CQ88" s="208">
        <v>0</v>
      </c>
      <c r="CR88" s="208">
        <v>0</v>
      </c>
      <c r="CS88" s="208">
        <v>0</v>
      </c>
      <c r="CT88" s="208">
        <v>0</v>
      </c>
      <c r="CU88" s="208">
        <v>0</v>
      </c>
      <c r="CW88">
        <v>1</v>
      </c>
      <c r="CX88">
        <v>2</v>
      </c>
      <c r="CY88" s="158"/>
      <c r="CZ88" s="177">
        <f>IF(AZ88="", "", $G$15)</f>
        <v>9.6000000000000002E-2</v>
      </c>
      <c r="DB88" s="128"/>
      <c r="DC88" s="76">
        <f t="shared" ref="DC88:DC151" ca="1" si="51">IF(DD88="", "", RAND())</f>
        <v>0.91422971707768519</v>
      </c>
      <c r="DD88">
        <f>IF(AZ88="", "", AZ88)</f>
        <v>1</v>
      </c>
      <c r="DE88" s="129">
        <f t="shared" ref="DE88:DE97" si="52">IF(DD88="", "", $C$4)</f>
        <v>39646</v>
      </c>
      <c r="DF88" s="161">
        <f t="shared" ref="DF88:DM88" si="53">IF($AZ88="", "", ((BB88*$CW88)+(CN88*$CX88))/$CZ88)</f>
        <v>0</v>
      </c>
      <c r="DG88" s="161">
        <f t="shared" si="53"/>
        <v>0</v>
      </c>
      <c r="DH88" s="161">
        <f t="shared" si="53"/>
        <v>72.916666666666671</v>
      </c>
      <c r="DI88" s="161">
        <f t="shared" si="53"/>
        <v>62.5</v>
      </c>
      <c r="DJ88" s="161">
        <f t="shared" si="53"/>
        <v>31.25</v>
      </c>
      <c r="DK88" s="161">
        <f t="shared" si="53"/>
        <v>41.666666666666664</v>
      </c>
      <c r="DL88" s="161">
        <f t="shared" si="53"/>
        <v>10.416666666666666</v>
      </c>
      <c r="DM88" s="161">
        <f t="shared" si="53"/>
        <v>31.25</v>
      </c>
      <c r="DN88" s="161">
        <f t="shared" ref="DN88:EJ88" si="54">IF($AZ88="", "", (BJ88*$CW88)/$CZ88)</f>
        <v>0</v>
      </c>
      <c r="DO88" s="161">
        <f t="shared" si="54"/>
        <v>0</v>
      </c>
      <c r="DP88" s="161">
        <f t="shared" si="54"/>
        <v>10.416666666666666</v>
      </c>
      <c r="DQ88" s="161">
        <f t="shared" si="54"/>
        <v>0</v>
      </c>
      <c r="DR88" s="161">
        <f t="shared" si="54"/>
        <v>0</v>
      </c>
      <c r="DS88" s="161">
        <f t="shared" si="54"/>
        <v>0</v>
      </c>
      <c r="DT88" s="161">
        <f t="shared" si="54"/>
        <v>0</v>
      </c>
      <c r="DU88" s="161">
        <f t="shared" si="54"/>
        <v>0</v>
      </c>
      <c r="DV88" s="161">
        <f t="shared" si="54"/>
        <v>0</v>
      </c>
      <c r="DW88" s="161">
        <f t="shared" si="54"/>
        <v>0</v>
      </c>
      <c r="DX88" s="161">
        <f t="shared" si="54"/>
        <v>0</v>
      </c>
      <c r="DY88" s="161">
        <f t="shared" si="54"/>
        <v>0</v>
      </c>
      <c r="DZ88" s="161">
        <f t="shared" si="54"/>
        <v>0</v>
      </c>
      <c r="EA88" s="161">
        <f t="shared" si="54"/>
        <v>0</v>
      </c>
      <c r="EB88" s="161">
        <f t="shared" si="54"/>
        <v>0</v>
      </c>
      <c r="EC88" s="161">
        <f t="shared" si="54"/>
        <v>0</v>
      </c>
      <c r="ED88" s="161">
        <f t="shared" si="54"/>
        <v>0</v>
      </c>
      <c r="EE88" s="161">
        <f t="shared" si="54"/>
        <v>0</v>
      </c>
      <c r="EF88" s="161">
        <f t="shared" si="54"/>
        <v>0</v>
      </c>
      <c r="EG88" s="161">
        <f t="shared" si="54"/>
        <v>0</v>
      </c>
      <c r="EH88" s="161">
        <f t="shared" si="54"/>
        <v>0</v>
      </c>
      <c r="EI88" s="161">
        <f t="shared" si="54"/>
        <v>0</v>
      </c>
      <c r="EJ88" s="161">
        <f t="shared" si="54"/>
        <v>0</v>
      </c>
      <c r="EK88" s="147">
        <f t="shared" ref="EK88:EK119" si="55">IF(DF88="", "", SUM(DF88:EJ88))</f>
        <v>260.41666666666669</v>
      </c>
      <c r="EL88" s="149"/>
      <c r="EN88" s="146"/>
      <c r="EO88" s="146"/>
      <c r="EP88" s="139">
        <f t="shared" ref="EP88:EP119" si="56">IF(DF88="", "", DF88*G$36)</f>
        <v>0</v>
      </c>
      <c r="EQ88" s="139">
        <f t="shared" ref="EQ88:EQ119" si="57">IF(DG88="", "", DG88*H$36)</f>
        <v>0</v>
      </c>
      <c r="ER88" s="139">
        <f t="shared" ref="ER88:ER119" si="58">IF(DH88="", "", DH88*I$36)</f>
        <v>5.3401330341054285</v>
      </c>
      <c r="ES88" s="139">
        <f t="shared" ref="ES88:ES119" si="59">IF(DI88="", "", DI88*J$36)</f>
        <v>13.497106496955709</v>
      </c>
      <c r="ET88" s="139">
        <f t="shared" ref="ET88:ET119" si="60">IF(DJ88="", "", DJ88*K$36)</f>
        <v>14.535242759360877</v>
      </c>
      <c r="EU88" s="139">
        <f t="shared" ref="EU88:EU119" si="61">IF(DK88="", "", DK88*L$36)</f>
        <v>35.141478603871569</v>
      </c>
      <c r="EV88" s="139">
        <f t="shared" ref="EV88:EV119" si="62">IF(DL88="", "", DL88*M$36)</f>
        <v>14.286847949341793</v>
      </c>
      <c r="EW88" s="139">
        <f t="shared" ref="EW88:EW119" si="63">IF(DM88="", "", DM88*N$36)</f>
        <v>64.655394413367091</v>
      </c>
      <c r="EX88" s="139">
        <f t="shared" ref="EX88:EX119" si="64">IF(DN88="", "", DN88*O$36)</f>
        <v>0</v>
      </c>
      <c r="EY88" s="139">
        <f t="shared" ref="EY88:EY119" si="65">IF(DO88="", "", DO88*P$36)</f>
        <v>0</v>
      </c>
      <c r="EZ88" s="139">
        <f t="shared" ref="EZ88:EZ119" si="66">IF(DP88="", "", DP88*Q$36)</f>
        <v>55.796510345584267</v>
      </c>
      <c r="FA88" s="139">
        <f t="shared" ref="FA88:FA119" si="67">IF(DQ88="", "", DQ88*R$36)</f>
        <v>0</v>
      </c>
      <c r="FB88" s="139">
        <f t="shared" ref="FB88:FB119" si="68">IF(DR88="", "", DR88*S$36)</f>
        <v>0</v>
      </c>
      <c r="FC88" s="139">
        <f t="shared" ref="FC88:FC119" si="69">IF(DS88="", "", DS88*T$36)</f>
        <v>0</v>
      </c>
      <c r="FD88" s="139">
        <f t="shared" ref="FD88:FD119" si="70">IF(DT88="", "", DT88*U$36)</f>
        <v>0</v>
      </c>
      <c r="FE88" s="139">
        <f t="shared" ref="FE88:FE119" si="71">IF(DU88="", "", DU88*V$36)</f>
        <v>0</v>
      </c>
      <c r="FF88" s="139">
        <f t="shared" ref="FF88:FF119" si="72">IF(DV88="", "", DV88*W$36)</f>
        <v>0</v>
      </c>
      <c r="FG88" s="139">
        <f t="shared" ref="FG88:FG119" si="73">IF(DW88="", "", DW88*X$36)</f>
        <v>0</v>
      </c>
      <c r="FH88" s="139">
        <f t="shared" ref="FH88:FH119" si="74">IF(DX88="", "", DX88*Y$36)</f>
        <v>0</v>
      </c>
      <c r="FI88" s="139">
        <f t="shared" ref="FI88:FI119" si="75">IF(DY88="", "", DY88*Z$36)</f>
        <v>0</v>
      </c>
      <c r="FJ88" s="139">
        <f t="shared" ref="FJ88:FJ119" si="76">IF(DZ88="", "", DZ88*AA$36)</f>
        <v>0</v>
      </c>
      <c r="FK88" s="139">
        <f t="shared" ref="FK88:FK119" si="77">IF(EA88="", "", EA88*AB$36)</f>
        <v>0</v>
      </c>
      <c r="FL88" s="139">
        <f t="shared" ref="FL88:FL119" si="78">IF(EB88="", "", EB88*AC$36)</f>
        <v>0</v>
      </c>
      <c r="FM88" s="139">
        <f t="shared" ref="FM88:FM119" si="79">IF(EC88="", "", EC88*AD$36)</f>
        <v>0</v>
      </c>
      <c r="FN88" s="139">
        <f t="shared" ref="FN88:FN119" si="80">IF(ED88="", "", ED88*AE$36)</f>
        <v>0</v>
      </c>
      <c r="FO88" s="139">
        <f t="shared" ref="FO88:FO119" si="81">IF(EE88="", "", EE88*AF$36)</f>
        <v>0</v>
      </c>
      <c r="FP88" s="139">
        <f t="shared" ref="FP88:FP119" si="82">IF(EF88="", "", EF88*AG$36)</f>
        <v>0</v>
      </c>
      <c r="FQ88" s="139">
        <f t="shared" ref="FQ88:FQ119" si="83">IF(EG88="", "", EG88*AH$36)</f>
        <v>0</v>
      </c>
      <c r="FR88" s="139">
        <f t="shared" ref="FR88:FR119" si="84">IF(EH88="", "", EH88*AI$36)</f>
        <v>0</v>
      </c>
      <c r="FS88" s="139">
        <f t="shared" ref="FS88:FS119" si="85">IF(EI88="", "", EI88*AJ$36)</f>
        <v>0</v>
      </c>
      <c r="FT88" s="139">
        <f t="shared" ref="FT88:FT119" si="86">IF(EJ88="", "", EJ88*AK$36)</f>
        <v>0</v>
      </c>
      <c r="FU88" s="148">
        <f t="shared" ref="FU88:FU119" si="87">IF(EP88="","",SUM(EP88:FT88))</f>
        <v>203.25271360258674</v>
      </c>
      <c r="FV88" s="149"/>
      <c r="FY88" s="213">
        <v>83</v>
      </c>
      <c r="FZ88">
        <v>44.430739614186542</v>
      </c>
      <c r="GA88">
        <v>38.957338431804573</v>
      </c>
      <c r="GB88">
        <v>8.0890421049491152</v>
      </c>
      <c r="GC88">
        <v>5.4735489037104399</v>
      </c>
      <c r="GD88">
        <v>4.4444780277324618</v>
      </c>
      <c r="GE88">
        <v>5.3314482370948326</v>
      </c>
      <c r="GF88">
        <v>32.254882718215562</v>
      </c>
      <c r="GG88">
        <v>27.183362685278109</v>
      </c>
      <c r="GH88">
        <v>13.1944460855361</v>
      </c>
      <c r="GI88">
        <v>19.260246506084659</v>
      </c>
      <c r="GJ88"/>
      <c r="GK88"/>
      <c r="GL88"/>
      <c r="GM88"/>
      <c r="GN88" s="208"/>
      <c r="GO88" s="208"/>
      <c r="GP88" s="208"/>
      <c r="GQ88" s="208"/>
      <c r="GR88" s="208"/>
      <c r="GS88" s="208"/>
      <c r="GT88" s="208"/>
      <c r="GU88" s="213">
        <v>83</v>
      </c>
    </row>
    <row r="89" spans="1:203" s="7" customFormat="1">
      <c r="A89" s="115"/>
      <c r="B89" s="76">
        <f ca="1">IF(C89="", "", RAND())</f>
        <v>0.51052899822859743</v>
      </c>
      <c r="C89">
        <v>2</v>
      </c>
      <c r="D89">
        <v>39646</v>
      </c>
      <c r="E89">
        <v>0</v>
      </c>
      <c r="F89">
        <v>0</v>
      </c>
      <c r="G89">
        <v>41.666666666666664</v>
      </c>
      <c r="H89">
        <v>41.666666666666664</v>
      </c>
      <c r="I89">
        <v>20.833333333333332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 s="2"/>
      <c r="AK89" s="80"/>
      <c r="AL89" s="74"/>
      <c r="AM89" s="43">
        <v>73</v>
      </c>
      <c r="AN89">
        <v>290.47579755706425</v>
      </c>
      <c r="AO89">
        <v>21.994533462343529</v>
      </c>
      <c r="AP89">
        <v>64.575575724125642</v>
      </c>
      <c r="AQ89">
        <v>159.76573543539445</v>
      </c>
      <c r="AR89">
        <v>23.054846726835223</v>
      </c>
      <c r="AS89">
        <v>229.85620850563032</v>
      </c>
      <c r="AT89">
        <v>11.700180113151042</v>
      </c>
      <c r="AU89">
        <v>34.358795593389502</v>
      </c>
      <c r="AV89"/>
      <c r="AW89"/>
      <c r="AX89" s="150"/>
      <c r="AY89" s="76">
        <f t="shared" ref="AY89:AY151" ca="1" si="88">IF(AZ89="", "", RAND())</f>
        <v>0.94556178126511092</v>
      </c>
      <c r="AZ89">
        <v>2</v>
      </c>
      <c r="BA89" s="129">
        <f t="shared" ref="BA89:BA97" si="89">IF(AZ89="", "",$C$4)</f>
        <v>39646</v>
      </c>
      <c r="BB89" s="207">
        <v>0</v>
      </c>
      <c r="BC89" s="207">
        <v>0</v>
      </c>
      <c r="BD89" s="207">
        <v>0</v>
      </c>
      <c r="BE89" s="207">
        <v>2</v>
      </c>
      <c r="BF89" s="207">
        <v>2</v>
      </c>
      <c r="BG89" s="207">
        <v>0</v>
      </c>
      <c r="BH89" s="207">
        <v>0</v>
      </c>
      <c r="BI89" s="207">
        <v>0</v>
      </c>
      <c r="BJ89" s="207">
        <v>0</v>
      </c>
      <c r="BK89" s="207">
        <v>0</v>
      </c>
      <c r="BL89" s="207">
        <v>0</v>
      </c>
      <c r="BM89" s="207">
        <v>0</v>
      </c>
      <c r="BN89" s="207">
        <v>0</v>
      </c>
      <c r="BO89" s="207">
        <v>0</v>
      </c>
      <c r="BP89" s="207">
        <v>0</v>
      </c>
      <c r="BQ89" s="207">
        <v>0</v>
      </c>
      <c r="BR89" s="207">
        <v>0</v>
      </c>
      <c r="BS89" s="207">
        <v>0</v>
      </c>
      <c r="BT89" s="207">
        <v>0</v>
      </c>
      <c r="BU89" s="207">
        <v>0</v>
      </c>
      <c r="BV89" s="207">
        <v>0</v>
      </c>
      <c r="BW89" s="207">
        <v>0</v>
      </c>
      <c r="BX89" s="207">
        <v>0</v>
      </c>
      <c r="BY89" s="207">
        <v>0</v>
      </c>
      <c r="BZ89" s="207">
        <v>0</v>
      </c>
      <c r="CA89" s="207">
        <v>0</v>
      </c>
      <c r="CB89" s="207">
        <v>0</v>
      </c>
      <c r="CC89" s="207">
        <v>0</v>
      </c>
      <c r="CD89" s="207">
        <v>0</v>
      </c>
      <c r="CE89" s="207">
        <v>0</v>
      </c>
      <c r="CF89" s="207">
        <v>0</v>
      </c>
      <c r="CG89" s="147"/>
      <c r="CH89" s="176"/>
      <c r="CJ89" s="150"/>
      <c r="CK89" s="76">
        <f t="shared" ref="CK89:CK152" ca="1" si="90">IF(AZ89="", "", RAND())</f>
        <v>0.945966476583326</v>
      </c>
      <c r="CL89" s="179">
        <f t="shared" ref="CL89:CL152" si="91">IF(AZ89="", "", AZ89)</f>
        <v>2</v>
      </c>
      <c r="CM89" s="180">
        <f t="shared" ref="CM89:CM152" si="92">IF(AZ89="", "", BA89)</f>
        <v>39646</v>
      </c>
      <c r="CN89" s="208">
        <v>0</v>
      </c>
      <c r="CO89" s="208">
        <v>0</v>
      </c>
      <c r="CP89" s="208">
        <v>2</v>
      </c>
      <c r="CQ89" s="208">
        <v>1</v>
      </c>
      <c r="CR89" s="208">
        <v>0</v>
      </c>
      <c r="CS89" s="208">
        <v>0</v>
      </c>
      <c r="CT89" s="208">
        <v>0</v>
      </c>
      <c r="CU89" s="208">
        <v>0</v>
      </c>
      <c r="CW89">
        <v>1</v>
      </c>
      <c r="CX89">
        <f>2/1</f>
        <v>2</v>
      </c>
      <c r="CY89" s="158"/>
      <c r="CZ89" s="177">
        <f t="shared" ref="CZ89:CZ152" si="93">IF(AZ89="", "", $G$15)</f>
        <v>9.6000000000000002E-2</v>
      </c>
      <c r="DB89" s="150"/>
      <c r="DC89" s="76">
        <f t="shared" ca="1" si="51"/>
        <v>0.42300435859430419</v>
      </c>
      <c r="DD89">
        <f t="shared" ref="DD89:DD152" si="94">IF(AZ89="", "", AZ89)</f>
        <v>2</v>
      </c>
      <c r="DE89" s="129">
        <f t="shared" si="52"/>
        <v>39646</v>
      </c>
      <c r="DF89" s="161">
        <f t="shared" ref="DF89:DF152" si="95">IF($AZ89="", "", ((BB89*$CW89)+(CN89*$CX89))/$CZ89)</f>
        <v>0</v>
      </c>
      <c r="DG89" s="161">
        <f t="shared" ref="DG89:DG152" si="96">IF($AZ89="", "", ((BC89*$CW89)+(CO89*$CX89))/$CZ89)</f>
        <v>0</v>
      </c>
      <c r="DH89" s="161">
        <f t="shared" ref="DH89:DH152" si="97">IF($AZ89="", "", ((BD89*$CW89)+(CP89*$CX89))/$CZ89)</f>
        <v>41.666666666666664</v>
      </c>
      <c r="DI89" s="161">
        <f t="shared" ref="DI89:DI152" si="98">IF($AZ89="", "", ((BE89*$CW89)+(CQ89*$CX89))/$CZ89)</f>
        <v>41.666666666666664</v>
      </c>
      <c r="DJ89" s="161">
        <f t="shared" ref="DJ89:DJ152" si="99">IF($AZ89="", "", ((BF89*$CW89)+(CR89*$CX89))/$CZ89)</f>
        <v>20.833333333333332</v>
      </c>
      <c r="DK89" s="161">
        <f t="shared" ref="DK89:DK152" si="100">IF($AZ89="", "", ((BG89*$CW89)+(CS89*$CX89))/$CZ89)</f>
        <v>0</v>
      </c>
      <c r="DL89" s="161">
        <f t="shared" ref="DL89:DL152" si="101">IF($AZ89="", "", ((BH89*$CW89)+(CT89*$CX89))/$CZ89)</f>
        <v>0</v>
      </c>
      <c r="DM89" s="161">
        <f t="shared" ref="DM89:DM152" si="102">IF($AZ89="", "", ((BI89*$CW89)+(CU89*$CX89))/$CZ89)</f>
        <v>0</v>
      </c>
      <c r="DN89" s="161">
        <f t="shared" ref="DN89:DN152" si="103">IF($AZ89="", "", (BJ89*$CW89)/$CZ89)</f>
        <v>0</v>
      </c>
      <c r="DO89" s="161">
        <f t="shared" ref="DO89:DO152" si="104">IF($AZ89="", "", (BK89*$CW89)/$CZ89)</f>
        <v>0</v>
      </c>
      <c r="DP89" s="161">
        <f t="shared" ref="DP89:DP152" si="105">IF($AZ89="", "", (BL89*$CW89)/$CZ89)</f>
        <v>0</v>
      </c>
      <c r="DQ89" s="161">
        <f t="shared" ref="DQ89:DQ152" si="106">IF($AZ89="", "", (BM89*$CW89)/$CZ89)</f>
        <v>0</v>
      </c>
      <c r="DR89" s="161">
        <f t="shared" ref="DR89:DR152" si="107">IF($AZ89="", "", (BN89*$CW89)/$CZ89)</f>
        <v>0</v>
      </c>
      <c r="DS89" s="161">
        <f t="shared" ref="DS89:DS152" si="108">IF($AZ89="", "", (BO89*$CW89)/$CZ89)</f>
        <v>0</v>
      </c>
      <c r="DT89" s="161">
        <f t="shared" ref="DT89:DT152" si="109">IF($AZ89="", "", (BP89*$CW89)/$CZ89)</f>
        <v>0</v>
      </c>
      <c r="DU89" s="161">
        <f t="shared" ref="DU89:DU152" si="110">IF($AZ89="", "", (BQ89*$CW89)/$CZ89)</f>
        <v>0</v>
      </c>
      <c r="DV89" s="161">
        <f t="shared" ref="DV89:DV152" si="111">IF($AZ89="", "", (BR89*$CW89)/$CZ89)</f>
        <v>0</v>
      </c>
      <c r="DW89" s="161">
        <f t="shared" ref="DW89:DW152" si="112">IF($AZ89="", "", (BS89*$CW89)/$CZ89)</f>
        <v>0</v>
      </c>
      <c r="DX89" s="161">
        <f t="shared" ref="DX89:DX152" si="113">IF($AZ89="", "", (BT89*$CW89)/$CZ89)</f>
        <v>0</v>
      </c>
      <c r="DY89" s="161">
        <f t="shared" ref="DY89:DY152" si="114">IF($AZ89="", "", (BU89*$CW89)/$CZ89)</f>
        <v>0</v>
      </c>
      <c r="DZ89" s="161">
        <f t="shared" ref="DZ89:DZ152" si="115">IF($AZ89="", "", (BV89*$CW89)/$CZ89)</f>
        <v>0</v>
      </c>
      <c r="EA89" s="161">
        <f t="shared" ref="EA89:EA152" si="116">IF($AZ89="", "", (BW89*$CW89)/$CZ89)</f>
        <v>0</v>
      </c>
      <c r="EB89" s="161">
        <f t="shared" ref="EB89:EB152" si="117">IF($AZ89="", "", (BX89*$CW89)/$CZ89)</f>
        <v>0</v>
      </c>
      <c r="EC89" s="161">
        <f t="shared" ref="EC89:EC152" si="118">IF($AZ89="", "", (BY89*$CW89)/$CZ89)</f>
        <v>0</v>
      </c>
      <c r="ED89" s="161">
        <f t="shared" ref="ED89:ED152" si="119">IF($AZ89="", "", (BZ89*$CW89)/$CZ89)</f>
        <v>0</v>
      </c>
      <c r="EE89" s="161">
        <f t="shared" ref="EE89:EE152" si="120">IF($AZ89="", "", (CA89*$CW89)/$CZ89)</f>
        <v>0</v>
      </c>
      <c r="EF89" s="161">
        <f t="shared" ref="EF89:EF152" si="121">IF($AZ89="", "", (CB89*$CW89)/$CZ89)</f>
        <v>0</v>
      </c>
      <c r="EG89" s="161">
        <f t="shared" ref="EG89:EG152" si="122">IF($AZ89="", "", (CC89*$CW89)/$CZ89)</f>
        <v>0</v>
      </c>
      <c r="EH89" s="161">
        <f t="shared" ref="EH89:EH152" si="123">IF($AZ89="", "", (CD89*$CW89)/$CZ89)</f>
        <v>0</v>
      </c>
      <c r="EI89" s="161">
        <f t="shared" ref="EI89:EI152" si="124">IF($AZ89="", "", (CE89*$CW89)/$CZ89)</f>
        <v>0</v>
      </c>
      <c r="EJ89" s="161">
        <f t="shared" ref="EJ89:EJ152" si="125">IF($AZ89="", "", (CF89*$CW89)/$CZ89)</f>
        <v>0</v>
      </c>
      <c r="EK89" s="147">
        <f t="shared" si="55"/>
        <v>104.16666666666666</v>
      </c>
      <c r="EL89" s="149"/>
      <c r="EN89" s="150"/>
      <c r="EO89" s="150"/>
      <c r="EP89" s="139">
        <f t="shared" si="56"/>
        <v>0</v>
      </c>
      <c r="EQ89" s="139">
        <f t="shared" si="57"/>
        <v>0</v>
      </c>
      <c r="ER89" s="139">
        <f t="shared" si="58"/>
        <v>3.051504590917387</v>
      </c>
      <c r="ES89" s="139">
        <f t="shared" si="59"/>
        <v>8.9980709979704727</v>
      </c>
      <c r="ET89" s="139">
        <f t="shared" si="60"/>
        <v>9.6901618395739177</v>
      </c>
      <c r="EU89" s="139">
        <f t="shared" si="61"/>
        <v>0</v>
      </c>
      <c r="EV89" s="139">
        <f t="shared" si="62"/>
        <v>0</v>
      </c>
      <c r="EW89" s="139">
        <f t="shared" si="63"/>
        <v>0</v>
      </c>
      <c r="EX89" s="139">
        <f t="shared" si="64"/>
        <v>0</v>
      </c>
      <c r="EY89" s="139">
        <f t="shared" si="65"/>
        <v>0</v>
      </c>
      <c r="EZ89" s="139">
        <f t="shared" si="66"/>
        <v>0</v>
      </c>
      <c r="FA89" s="139">
        <f t="shared" si="67"/>
        <v>0</v>
      </c>
      <c r="FB89" s="139">
        <f t="shared" si="68"/>
        <v>0</v>
      </c>
      <c r="FC89" s="139">
        <f t="shared" si="69"/>
        <v>0</v>
      </c>
      <c r="FD89" s="139">
        <f t="shared" si="70"/>
        <v>0</v>
      </c>
      <c r="FE89" s="139">
        <f t="shared" si="71"/>
        <v>0</v>
      </c>
      <c r="FF89" s="139">
        <f t="shared" si="72"/>
        <v>0</v>
      </c>
      <c r="FG89" s="139">
        <f t="shared" si="73"/>
        <v>0</v>
      </c>
      <c r="FH89" s="139">
        <f t="shared" si="74"/>
        <v>0</v>
      </c>
      <c r="FI89" s="139">
        <f t="shared" si="75"/>
        <v>0</v>
      </c>
      <c r="FJ89" s="139">
        <f t="shared" si="76"/>
        <v>0</v>
      </c>
      <c r="FK89" s="139">
        <f t="shared" si="77"/>
        <v>0</v>
      </c>
      <c r="FL89" s="139">
        <f t="shared" si="78"/>
        <v>0</v>
      </c>
      <c r="FM89" s="139">
        <f t="shared" si="79"/>
        <v>0</v>
      </c>
      <c r="FN89" s="139">
        <f t="shared" si="80"/>
        <v>0</v>
      </c>
      <c r="FO89" s="139">
        <f t="shared" si="81"/>
        <v>0</v>
      </c>
      <c r="FP89" s="139">
        <f t="shared" si="82"/>
        <v>0</v>
      </c>
      <c r="FQ89" s="139">
        <f t="shared" si="83"/>
        <v>0</v>
      </c>
      <c r="FR89" s="139">
        <f t="shared" si="84"/>
        <v>0</v>
      </c>
      <c r="FS89" s="139">
        <f t="shared" si="85"/>
        <v>0</v>
      </c>
      <c r="FT89" s="139">
        <f t="shared" si="86"/>
        <v>0</v>
      </c>
      <c r="FU89" s="148">
        <f t="shared" si="87"/>
        <v>21.73973742846178</v>
      </c>
      <c r="FV89" s="149"/>
      <c r="FY89" s="213">
        <v>84</v>
      </c>
      <c r="FZ89">
        <v>59.923507112192972</v>
      </c>
      <c r="GA89">
        <v>87.07071203174101</v>
      </c>
      <c r="GB89">
        <v>23.354323429993336</v>
      </c>
      <c r="GC89">
        <v>4.1554168034269541</v>
      </c>
      <c r="GD89">
        <v>4.3256960090199934</v>
      </c>
      <c r="GE89">
        <v>4.8975145755531964</v>
      </c>
      <c r="GF89">
        <v>18.37521104594159</v>
      </c>
      <c r="GG89">
        <v>18.377389154944048</v>
      </c>
      <c r="GH89">
        <v>10.617854476432724</v>
      </c>
      <c r="GI89">
        <v>23.273873454866795</v>
      </c>
      <c r="GJ89"/>
      <c r="GK89"/>
      <c r="GL89"/>
      <c r="GM89"/>
      <c r="GN89" s="208"/>
      <c r="GO89" s="208"/>
      <c r="GP89" s="208"/>
      <c r="GQ89" s="208"/>
      <c r="GR89" s="208"/>
      <c r="GS89" s="208"/>
      <c r="GT89" s="208"/>
      <c r="GU89" s="213">
        <v>84</v>
      </c>
    </row>
    <row r="90" spans="1:203" s="7" customFormat="1">
      <c r="A90" s="115"/>
      <c r="B90" s="76">
        <f ca="1">IF(C90="", "", RAND())</f>
        <v>0.68197195828371293</v>
      </c>
      <c r="C90">
        <v>10</v>
      </c>
      <c r="D90">
        <v>39646</v>
      </c>
      <c r="E90">
        <v>0</v>
      </c>
      <c r="F90">
        <v>0</v>
      </c>
      <c r="G90">
        <v>93.75</v>
      </c>
      <c r="H90">
        <v>72.916666666666671</v>
      </c>
      <c r="I90">
        <v>0</v>
      </c>
      <c r="J90">
        <v>10.416666666666666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 s="2"/>
      <c r="AK90" s="80"/>
      <c r="AL90" s="74"/>
      <c r="AM90" s="43">
        <v>74</v>
      </c>
      <c r="AN90">
        <v>283.13634351186482</v>
      </c>
      <c r="AO90">
        <v>23.69317282661596</v>
      </c>
      <c r="AP90">
        <v>76.254279253673204</v>
      </c>
      <c r="AQ90">
        <v>185.1007020309672</v>
      </c>
      <c r="AR90">
        <v>25.239225838132366</v>
      </c>
      <c r="AS90">
        <v>241.93573805706819</v>
      </c>
      <c r="AT90">
        <v>13.195241244644075</v>
      </c>
      <c r="AU90">
        <v>26.700266642076496</v>
      </c>
      <c r="AV90"/>
      <c r="AW90"/>
      <c r="AX90" s="150"/>
      <c r="AY90" s="76">
        <f t="shared" ca="1" si="88"/>
        <v>0.7075902748969769</v>
      </c>
      <c r="AZ90">
        <v>3</v>
      </c>
      <c r="BA90" s="129">
        <f t="shared" si="89"/>
        <v>39646</v>
      </c>
      <c r="BB90" s="207">
        <v>0</v>
      </c>
      <c r="BC90" s="207">
        <v>0</v>
      </c>
      <c r="BD90" s="207">
        <v>0</v>
      </c>
      <c r="BE90" s="207">
        <v>0</v>
      </c>
      <c r="BF90" s="207">
        <v>1</v>
      </c>
      <c r="BG90" s="207">
        <v>0</v>
      </c>
      <c r="BH90" s="207">
        <v>0</v>
      </c>
      <c r="BI90" s="207">
        <v>0</v>
      </c>
      <c r="BJ90" s="207">
        <v>0</v>
      </c>
      <c r="BK90" s="207">
        <v>0</v>
      </c>
      <c r="BL90" s="207">
        <v>0</v>
      </c>
      <c r="BM90" s="207">
        <v>0</v>
      </c>
      <c r="BN90" s="207">
        <v>0</v>
      </c>
      <c r="BO90" s="207">
        <v>0</v>
      </c>
      <c r="BP90" s="207">
        <v>0</v>
      </c>
      <c r="BQ90" s="207">
        <v>0</v>
      </c>
      <c r="BR90" s="207">
        <v>0</v>
      </c>
      <c r="BS90" s="207">
        <v>0</v>
      </c>
      <c r="BT90" s="207">
        <v>0</v>
      </c>
      <c r="BU90" s="207">
        <v>0</v>
      </c>
      <c r="BV90" s="207">
        <v>0</v>
      </c>
      <c r="BW90" s="207">
        <v>0</v>
      </c>
      <c r="BX90" s="207">
        <v>0</v>
      </c>
      <c r="BY90" s="207">
        <v>0</v>
      </c>
      <c r="BZ90" s="207">
        <v>0</v>
      </c>
      <c r="CA90" s="207">
        <v>0</v>
      </c>
      <c r="CB90" s="207">
        <v>0</v>
      </c>
      <c r="CC90" s="207">
        <v>0</v>
      </c>
      <c r="CD90" s="207">
        <v>0</v>
      </c>
      <c r="CE90" s="207">
        <v>0</v>
      </c>
      <c r="CF90" s="207">
        <v>0</v>
      </c>
      <c r="CG90" s="147"/>
      <c r="CH90" s="176"/>
      <c r="CJ90" s="150"/>
      <c r="CK90" s="76">
        <f t="shared" ca="1" si="90"/>
        <v>7.2541156380926175E-2</v>
      </c>
      <c r="CL90" s="179">
        <f t="shared" si="91"/>
        <v>3</v>
      </c>
      <c r="CM90" s="180">
        <f t="shared" si="92"/>
        <v>39646</v>
      </c>
      <c r="CN90" s="208">
        <v>0</v>
      </c>
      <c r="CO90" s="208">
        <v>4</v>
      </c>
      <c r="CP90" s="208">
        <v>6</v>
      </c>
      <c r="CQ90" s="208">
        <v>0</v>
      </c>
      <c r="CR90" s="208">
        <v>0</v>
      </c>
      <c r="CS90" s="208">
        <v>0</v>
      </c>
      <c r="CT90" s="208">
        <v>0</v>
      </c>
      <c r="CU90" s="208">
        <v>0</v>
      </c>
      <c r="CW90">
        <v>1</v>
      </c>
      <c r="CX90">
        <v>1</v>
      </c>
      <c r="CY90" s="158"/>
      <c r="CZ90" s="177">
        <f t="shared" si="93"/>
        <v>9.6000000000000002E-2</v>
      </c>
      <c r="DB90" s="150"/>
      <c r="DC90" s="76">
        <f t="shared" ca="1" si="51"/>
        <v>0.15087751962648888</v>
      </c>
      <c r="DD90">
        <f t="shared" si="94"/>
        <v>3</v>
      </c>
      <c r="DE90" s="129">
        <f t="shared" si="52"/>
        <v>39646</v>
      </c>
      <c r="DF90" s="161">
        <f t="shared" si="95"/>
        <v>0</v>
      </c>
      <c r="DG90" s="161">
        <f t="shared" si="96"/>
        <v>41.666666666666664</v>
      </c>
      <c r="DH90" s="161">
        <f t="shared" si="97"/>
        <v>62.5</v>
      </c>
      <c r="DI90" s="161">
        <f t="shared" si="98"/>
        <v>0</v>
      </c>
      <c r="DJ90" s="161">
        <f t="shared" si="99"/>
        <v>10.416666666666666</v>
      </c>
      <c r="DK90" s="161">
        <f t="shared" si="100"/>
        <v>0</v>
      </c>
      <c r="DL90" s="161">
        <f t="shared" si="101"/>
        <v>0</v>
      </c>
      <c r="DM90" s="161">
        <f t="shared" si="102"/>
        <v>0</v>
      </c>
      <c r="DN90" s="161">
        <f t="shared" si="103"/>
        <v>0</v>
      </c>
      <c r="DO90" s="161">
        <f t="shared" si="104"/>
        <v>0</v>
      </c>
      <c r="DP90" s="161">
        <f t="shared" si="105"/>
        <v>0</v>
      </c>
      <c r="DQ90" s="161">
        <f t="shared" si="106"/>
        <v>0</v>
      </c>
      <c r="DR90" s="161">
        <f t="shared" si="107"/>
        <v>0</v>
      </c>
      <c r="DS90" s="161">
        <f t="shared" si="108"/>
        <v>0</v>
      </c>
      <c r="DT90" s="161">
        <f t="shared" si="109"/>
        <v>0</v>
      </c>
      <c r="DU90" s="161">
        <f t="shared" si="110"/>
        <v>0</v>
      </c>
      <c r="DV90" s="161">
        <f t="shared" si="111"/>
        <v>0</v>
      </c>
      <c r="DW90" s="161">
        <f t="shared" si="112"/>
        <v>0</v>
      </c>
      <c r="DX90" s="161">
        <f t="shared" si="113"/>
        <v>0</v>
      </c>
      <c r="DY90" s="161">
        <f t="shared" si="114"/>
        <v>0</v>
      </c>
      <c r="DZ90" s="161">
        <f t="shared" si="115"/>
        <v>0</v>
      </c>
      <c r="EA90" s="161">
        <f t="shared" si="116"/>
        <v>0</v>
      </c>
      <c r="EB90" s="161">
        <f t="shared" si="117"/>
        <v>0</v>
      </c>
      <c r="EC90" s="161">
        <f t="shared" si="118"/>
        <v>0</v>
      </c>
      <c r="ED90" s="161">
        <f t="shared" si="119"/>
        <v>0</v>
      </c>
      <c r="EE90" s="161">
        <f t="shared" si="120"/>
        <v>0</v>
      </c>
      <c r="EF90" s="161">
        <f t="shared" si="121"/>
        <v>0</v>
      </c>
      <c r="EG90" s="161">
        <f t="shared" si="122"/>
        <v>0</v>
      </c>
      <c r="EH90" s="161">
        <f t="shared" si="123"/>
        <v>0</v>
      </c>
      <c r="EI90" s="161">
        <f t="shared" si="124"/>
        <v>0</v>
      </c>
      <c r="EJ90" s="161">
        <f t="shared" si="125"/>
        <v>0</v>
      </c>
      <c r="EK90" s="147">
        <f t="shared" si="55"/>
        <v>114.58333333333333</v>
      </c>
      <c r="EL90" s="149"/>
      <c r="EN90" s="150"/>
      <c r="EO90" s="150"/>
      <c r="EP90" s="139">
        <f t="shared" si="56"/>
        <v>0</v>
      </c>
      <c r="EQ90" s="139">
        <f t="shared" si="57"/>
        <v>0.48047083333333329</v>
      </c>
      <c r="ER90" s="139">
        <f t="shared" si="58"/>
        <v>4.5772568863760812</v>
      </c>
      <c r="ES90" s="139">
        <f t="shared" si="59"/>
        <v>0</v>
      </c>
      <c r="ET90" s="139">
        <f t="shared" si="60"/>
        <v>4.8450809197869589</v>
      </c>
      <c r="EU90" s="139">
        <f t="shared" si="61"/>
        <v>0</v>
      </c>
      <c r="EV90" s="139">
        <f t="shared" si="62"/>
        <v>0</v>
      </c>
      <c r="EW90" s="139">
        <f t="shared" si="63"/>
        <v>0</v>
      </c>
      <c r="EX90" s="139">
        <f t="shared" si="64"/>
        <v>0</v>
      </c>
      <c r="EY90" s="139">
        <f t="shared" si="65"/>
        <v>0</v>
      </c>
      <c r="EZ90" s="139">
        <f t="shared" si="66"/>
        <v>0</v>
      </c>
      <c r="FA90" s="139">
        <f t="shared" si="67"/>
        <v>0</v>
      </c>
      <c r="FB90" s="139">
        <f t="shared" si="68"/>
        <v>0</v>
      </c>
      <c r="FC90" s="139">
        <f t="shared" si="69"/>
        <v>0</v>
      </c>
      <c r="FD90" s="139">
        <f t="shared" si="70"/>
        <v>0</v>
      </c>
      <c r="FE90" s="139">
        <f t="shared" si="71"/>
        <v>0</v>
      </c>
      <c r="FF90" s="139">
        <f t="shared" si="72"/>
        <v>0</v>
      </c>
      <c r="FG90" s="139">
        <f t="shared" si="73"/>
        <v>0</v>
      </c>
      <c r="FH90" s="139">
        <f t="shared" si="74"/>
        <v>0</v>
      </c>
      <c r="FI90" s="139">
        <f t="shared" si="75"/>
        <v>0</v>
      </c>
      <c r="FJ90" s="139">
        <f t="shared" si="76"/>
        <v>0</v>
      </c>
      <c r="FK90" s="139">
        <f t="shared" si="77"/>
        <v>0</v>
      </c>
      <c r="FL90" s="139">
        <f t="shared" si="78"/>
        <v>0</v>
      </c>
      <c r="FM90" s="139">
        <f t="shared" si="79"/>
        <v>0</v>
      </c>
      <c r="FN90" s="139">
        <f t="shared" si="80"/>
        <v>0</v>
      </c>
      <c r="FO90" s="139">
        <f t="shared" si="81"/>
        <v>0</v>
      </c>
      <c r="FP90" s="139">
        <f t="shared" si="82"/>
        <v>0</v>
      </c>
      <c r="FQ90" s="139">
        <f t="shared" si="83"/>
        <v>0</v>
      </c>
      <c r="FR90" s="139">
        <f t="shared" si="84"/>
        <v>0</v>
      </c>
      <c r="FS90" s="139">
        <f t="shared" si="85"/>
        <v>0</v>
      </c>
      <c r="FT90" s="139">
        <f t="shared" si="86"/>
        <v>0</v>
      </c>
      <c r="FU90" s="148">
        <f t="shared" si="87"/>
        <v>9.9028086394963744</v>
      </c>
      <c r="FV90" s="149"/>
      <c r="FY90" s="213">
        <v>85</v>
      </c>
      <c r="FZ90">
        <v>34.929074238332582</v>
      </c>
      <c r="GA90">
        <v>57.958559644712999</v>
      </c>
      <c r="GB90">
        <v>16.639150186336344</v>
      </c>
      <c r="GC90">
        <v>8.4341133919042548</v>
      </c>
      <c r="GD90">
        <v>7.2991247069517931</v>
      </c>
      <c r="GE90">
        <v>4.8386532897034682</v>
      </c>
      <c r="GF90">
        <v>8.6149005730620267</v>
      </c>
      <c r="GG90">
        <v>8.4182046228650727</v>
      </c>
      <c r="GH90">
        <v>5.3945509292439127</v>
      </c>
      <c r="GI90">
        <v>16.524224820889742</v>
      </c>
      <c r="GJ90"/>
      <c r="GK90"/>
      <c r="GL90"/>
      <c r="GM90"/>
      <c r="GN90" s="208"/>
      <c r="GO90" s="208"/>
      <c r="GP90" s="208"/>
      <c r="GQ90" s="208"/>
      <c r="GR90" s="208"/>
      <c r="GS90" s="208"/>
      <c r="GT90" s="208"/>
      <c r="GU90" s="213">
        <v>85</v>
      </c>
    </row>
    <row r="91" spans="1:203" s="7" customFormat="1">
      <c r="A91" s="77"/>
      <c r="B91" s="76">
        <f ca="1">IF(C91="", "", RAND())</f>
        <v>0.64273683497309286</v>
      </c>
      <c r="C91">
        <v>4</v>
      </c>
      <c r="D91">
        <v>39646</v>
      </c>
      <c r="E91">
        <v>0</v>
      </c>
      <c r="F91">
        <v>0</v>
      </c>
      <c r="G91">
        <v>0</v>
      </c>
      <c r="H91">
        <v>52.083333333333336</v>
      </c>
      <c r="I91">
        <v>31.25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 s="2"/>
      <c r="AK91" s="80"/>
      <c r="AL91" s="74"/>
      <c r="AM91" s="43">
        <v>75</v>
      </c>
      <c r="AN91">
        <v>304.43954784137901</v>
      </c>
      <c r="AO91">
        <v>25.368820882651967</v>
      </c>
      <c r="AP91">
        <v>71.996104942126095</v>
      </c>
      <c r="AQ91">
        <v>185.00047037478771</v>
      </c>
      <c r="AR91">
        <v>27.162077129483208</v>
      </c>
      <c r="AS91">
        <v>244.22332943069105</v>
      </c>
      <c r="AT91">
        <v>12.990695795996393</v>
      </c>
      <c r="AU91">
        <v>27.842206996432637</v>
      </c>
      <c r="AV91"/>
      <c r="AW91"/>
      <c r="AX91" s="151"/>
      <c r="AY91" s="76">
        <f t="shared" ca="1" si="88"/>
        <v>0.97078695077631938</v>
      </c>
      <c r="AZ91">
        <v>4</v>
      </c>
      <c r="BA91" s="129">
        <f t="shared" si="89"/>
        <v>39646</v>
      </c>
      <c r="BB91" s="207">
        <v>0</v>
      </c>
      <c r="BC91" s="207">
        <v>0</v>
      </c>
      <c r="BD91" s="207">
        <v>0</v>
      </c>
      <c r="BE91" s="207">
        <v>4</v>
      </c>
      <c r="BF91" s="207">
        <v>3</v>
      </c>
      <c r="BG91" s="207">
        <v>0</v>
      </c>
      <c r="BH91" s="207">
        <v>0</v>
      </c>
      <c r="BI91" s="207">
        <v>0</v>
      </c>
      <c r="BJ91" s="207">
        <v>0</v>
      </c>
      <c r="BK91" s="207">
        <v>0</v>
      </c>
      <c r="BL91" s="207">
        <v>0</v>
      </c>
      <c r="BM91" s="207">
        <v>0</v>
      </c>
      <c r="BN91" s="207">
        <v>0</v>
      </c>
      <c r="BO91" s="207">
        <v>0</v>
      </c>
      <c r="BP91" s="207">
        <v>0</v>
      </c>
      <c r="BQ91" s="207">
        <v>0</v>
      </c>
      <c r="BR91" s="207">
        <v>0</v>
      </c>
      <c r="BS91" s="207">
        <v>0</v>
      </c>
      <c r="BT91" s="207">
        <v>0</v>
      </c>
      <c r="BU91" s="207">
        <v>0</v>
      </c>
      <c r="BV91" s="207">
        <v>0</v>
      </c>
      <c r="BW91" s="207">
        <v>0</v>
      </c>
      <c r="BX91" s="207">
        <v>0</v>
      </c>
      <c r="BY91" s="207">
        <v>0</v>
      </c>
      <c r="BZ91" s="207">
        <v>0</v>
      </c>
      <c r="CA91" s="207">
        <v>0</v>
      </c>
      <c r="CB91" s="207">
        <v>0</v>
      </c>
      <c r="CC91" s="207">
        <v>0</v>
      </c>
      <c r="CD91" s="207">
        <v>0</v>
      </c>
      <c r="CE91" s="207">
        <v>0</v>
      </c>
      <c r="CF91" s="207">
        <v>0</v>
      </c>
      <c r="CG91" s="147"/>
      <c r="CH91" s="176"/>
      <c r="CJ91" s="151"/>
      <c r="CK91" s="76">
        <f t="shared" ca="1" si="90"/>
        <v>0.39551646134098739</v>
      </c>
      <c r="CL91" s="179">
        <f t="shared" si="91"/>
        <v>4</v>
      </c>
      <c r="CM91" s="180">
        <f t="shared" si="92"/>
        <v>39646</v>
      </c>
      <c r="CN91" s="208">
        <v>0</v>
      </c>
      <c r="CO91" s="208">
        <v>0</v>
      </c>
      <c r="CP91" s="208">
        <v>0</v>
      </c>
      <c r="CQ91" s="208">
        <v>1</v>
      </c>
      <c r="CR91" s="208">
        <v>0</v>
      </c>
      <c r="CS91" s="208">
        <v>0</v>
      </c>
      <c r="CT91" s="208">
        <v>0</v>
      </c>
      <c r="CU91" s="208">
        <v>0</v>
      </c>
      <c r="CW91">
        <v>1</v>
      </c>
      <c r="CX91">
        <v>1</v>
      </c>
      <c r="CY91" s="158"/>
      <c r="CZ91" s="177">
        <f t="shared" si="93"/>
        <v>9.6000000000000002E-2</v>
      </c>
      <c r="DB91" s="151"/>
      <c r="DC91" s="76">
        <f t="shared" ca="1" si="51"/>
        <v>0.79860741972229898</v>
      </c>
      <c r="DD91">
        <f t="shared" si="94"/>
        <v>4</v>
      </c>
      <c r="DE91" s="129">
        <f t="shared" si="52"/>
        <v>39646</v>
      </c>
      <c r="DF91" s="161">
        <f t="shared" si="95"/>
        <v>0</v>
      </c>
      <c r="DG91" s="161">
        <f t="shared" si="96"/>
        <v>0</v>
      </c>
      <c r="DH91" s="161">
        <f t="shared" si="97"/>
        <v>0</v>
      </c>
      <c r="DI91" s="161">
        <f t="shared" si="98"/>
        <v>52.083333333333336</v>
      </c>
      <c r="DJ91" s="161">
        <f t="shared" si="99"/>
        <v>31.25</v>
      </c>
      <c r="DK91" s="161">
        <f t="shared" si="100"/>
        <v>0</v>
      </c>
      <c r="DL91" s="161">
        <f t="shared" si="101"/>
        <v>0</v>
      </c>
      <c r="DM91" s="161">
        <f t="shared" si="102"/>
        <v>0</v>
      </c>
      <c r="DN91" s="161">
        <f t="shared" si="103"/>
        <v>0</v>
      </c>
      <c r="DO91" s="161">
        <f t="shared" si="104"/>
        <v>0</v>
      </c>
      <c r="DP91" s="161">
        <f t="shared" si="105"/>
        <v>0</v>
      </c>
      <c r="DQ91" s="161">
        <f t="shared" si="106"/>
        <v>0</v>
      </c>
      <c r="DR91" s="161">
        <f t="shared" si="107"/>
        <v>0</v>
      </c>
      <c r="DS91" s="161">
        <f t="shared" si="108"/>
        <v>0</v>
      </c>
      <c r="DT91" s="161">
        <f t="shared" si="109"/>
        <v>0</v>
      </c>
      <c r="DU91" s="161">
        <f t="shared" si="110"/>
        <v>0</v>
      </c>
      <c r="DV91" s="161">
        <f t="shared" si="111"/>
        <v>0</v>
      </c>
      <c r="DW91" s="161">
        <f t="shared" si="112"/>
        <v>0</v>
      </c>
      <c r="DX91" s="161">
        <f t="shared" si="113"/>
        <v>0</v>
      </c>
      <c r="DY91" s="161">
        <f t="shared" si="114"/>
        <v>0</v>
      </c>
      <c r="DZ91" s="161">
        <f t="shared" si="115"/>
        <v>0</v>
      </c>
      <c r="EA91" s="161">
        <f t="shared" si="116"/>
        <v>0</v>
      </c>
      <c r="EB91" s="161">
        <f t="shared" si="117"/>
        <v>0</v>
      </c>
      <c r="EC91" s="161">
        <f t="shared" si="118"/>
        <v>0</v>
      </c>
      <c r="ED91" s="161">
        <f t="shared" si="119"/>
        <v>0</v>
      </c>
      <c r="EE91" s="161">
        <f t="shared" si="120"/>
        <v>0</v>
      </c>
      <c r="EF91" s="161">
        <f t="shared" si="121"/>
        <v>0</v>
      </c>
      <c r="EG91" s="161">
        <f t="shared" si="122"/>
        <v>0</v>
      </c>
      <c r="EH91" s="161">
        <f t="shared" si="123"/>
        <v>0</v>
      </c>
      <c r="EI91" s="161">
        <f t="shared" si="124"/>
        <v>0</v>
      </c>
      <c r="EJ91" s="161">
        <f t="shared" si="125"/>
        <v>0</v>
      </c>
      <c r="EK91" s="147">
        <f t="shared" si="55"/>
        <v>83.333333333333343</v>
      </c>
      <c r="EL91" s="149"/>
      <c r="EN91" s="151"/>
      <c r="EO91" s="151"/>
      <c r="EP91" s="139">
        <f t="shared" si="56"/>
        <v>0</v>
      </c>
      <c r="EQ91" s="139">
        <f t="shared" si="57"/>
        <v>0</v>
      </c>
      <c r="ER91" s="139">
        <f t="shared" si="58"/>
        <v>0</v>
      </c>
      <c r="ES91" s="139">
        <f t="shared" si="59"/>
        <v>11.247588747463091</v>
      </c>
      <c r="ET91" s="139">
        <f t="shared" si="60"/>
        <v>14.535242759360877</v>
      </c>
      <c r="EU91" s="139">
        <f t="shared" si="61"/>
        <v>0</v>
      </c>
      <c r="EV91" s="139">
        <f t="shared" si="62"/>
        <v>0</v>
      </c>
      <c r="EW91" s="139">
        <f t="shared" si="63"/>
        <v>0</v>
      </c>
      <c r="EX91" s="139">
        <f t="shared" si="64"/>
        <v>0</v>
      </c>
      <c r="EY91" s="139">
        <f t="shared" si="65"/>
        <v>0</v>
      </c>
      <c r="EZ91" s="139">
        <f t="shared" si="66"/>
        <v>0</v>
      </c>
      <c r="FA91" s="139">
        <f t="shared" si="67"/>
        <v>0</v>
      </c>
      <c r="FB91" s="139">
        <f t="shared" si="68"/>
        <v>0</v>
      </c>
      <c r="FC91" s="139">
        <f t="shared" si="69"/>
        <v>0</v>
      </c>
      <c r="FD91" s="139">
        <f t="shared" si="70"/>
        <v>0</v>
      </c>
      <c r="FE91" s="139">
        <f t="shared" si="71"/>
        <v>0</v>
      </c>
      <c r="FF91" s="139">
        <f t="shared" si="72"/>
        <v>0</v>
      </c>
      <c r="FG91" s="139">
        <f t="shared" si="73"/>
        <v>0</v>
      </c>
      <c r="FH91" s="139">
        <f t="shared" si="74"/>
        <v>0</v>
      </c>
      <c r="FI91" s="139">
        <f t="shared" si="75"/>
        <v>0</v>
      </c>
      <c r="FJ91" s="139">
        <f t="shared" si="76"/>
        <v>0</v>
      </c>
      <c r="FK91" s="139">
        <f t="shared" si="77"/>
        <v>0</v>
      </c>
      <c r="FL91" s="139">
        <f t="shared" si="78"/>
        <v>0</v>
      </c>
      <c r="FM91" s="139">
        <f t="shared" si="79"/>
        <v>0</v>
      </c>
      <c r="FN91" s="139">
        <f t="shared" si="80"/>
        <v>0</v>
      </c>
      <c r="FO91" s="139">
        <f t="shared" si="81"/>
        <v>0</v>
      </c>
      <c r="FP91" s="139">
        <f t="shared" si="82"/>
        <v>0</v>
      </c>
      <c r="FQ91" s="139">
        <f t="shared" si="83"/>
        <v>0</v>
      </c>
      <c r="FR91" s="139">
        <f t="shared" si="84"/>
        <v>0</v>
      </c>
      <c r="FS91" s="139">
        <f t="shared" si="85"/>
        <v>0</v>
      </c>
      <c r="FT91" s="139">
        <f t="shared" si="86"/>
        <v>0</v>
      </c>
      <c r="FU91" s="148">
        <f t="shared" si="87"/>
        <v>25.782831506823968</v>
      </c>
      <c r="FV91" s="149"/>
      <c r="FY91" s="213">
        <v>86</v>
      </c>
      <c r="FZ91">
        <v>38.585909253376293</v>
      </c>
      <c r="GA91">
        <v>64.624785485128953</v>
      </c>
      <c r="GB91">
        <v>23.7545292315254</v>
      </c>
      <c r="GC91">
        <v>7.668787116350317</v>
      </c>
      <c r="GD91">
        <v>6.8873795311393398</v>
      </c>
      <c r="GE91">
        <v>4.7804786195329445</v>
      </c>
      <c r="GF91">
        <v>12.422845033245148</v>
      </c>
      <c r="GG91">
        <v>14.310548207992856</v>
      </c>
      <c r="GH91">
        <v>15.7613135952117</v>
      </c>
      <c r="GI91">
        <v>21.376145222474225</v>
      </c>
      <c r="GJ91"/>
      <c r="GK91"/>
      <c r="GL91"/>
      <c r="GM91"/>
      <c r="GN91" s="208"/>
      <c r="GO91" s="208"/>
      <c r="GP91" s="208"/>
      <c r="GQ91" s="208"/>
      <c r="GR91" s="208"/>
      <c r="GS91" s="208"/>
      <c r="GT91" s="208"/>
      <c r="GU91" s="213">
        <v>86</v>
      </c>
    </row>
    <row r="92" spans="1:203" s="7" customFormat="1">
      <c r="A92" s="77"/>
      <c r="B92" s="76">
        <f ca="1">IF(C92="", "", RAND())</f>
        <v>0.43620770423930022</v>
      </c>
      <c r="C92">
        <v>1</v>
      </c>
      <c r="D92">
        <v>39646</v>
      </c>
      <c r="E92">
        <v>0</v>
      </c>
      <c r="F92">
        <v>0</v>
      </c>
      <c r="G92">
        <v>72.916666666666671</v>
      </c>
      <c r="H92">
        <v>62.5</v>
      </c>
      <c r="I92">
        <v>31.25</v>
      </c>
      <c r="J92">
        <v>41.666666666666664</v>
      </c>
      <c r="K92">
        <v>10.416666666666666</v>
      </c>
      <c r="L92">
        <v>31.25</v>
      </c>
      <c r="M92">
        <v>0</v>
      </c>
      <c r="N92">
        <v>0</v>
      </c>
      <c r="O92">
        <v>10.416666666666666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 s="2"/>
      <c r="AK92" s="80"/>
      <c r="AL92" s="74"/>
      <c r="AM92" s="43">
        <v>76</v>
      </c>
      <c r="AN92">
        <v>305.37045572169984</v>
      </c>
      <c r="AO92">
        <v>32.447361895225114</v>
      </c>
      <c r="AP92">
        <v>60.172674345110821</v>
      </c>
      <c r="AQ92">
        <v>240.49916482141353</v>
      </c>
      <c r="AR92">
        <v>34.865511918999047</v>
      </c>
      <c r="AS92">
        <v>286.98687102701859</v>
      </c>
      <c r="AT92">
        <v>16.970088268247704</v>
      </c>
      <c r="AU92">
        <v>38.197900865417338</v>
      </c>
      <c r="AV92"/>
      <c r="AW92"/>
      <c r="AX92" s="151"/>
      <c r="AY92" s="76">
        <f t="shared" ca="1" si="88"/>
        <v>0.88824547910514462</v>
      </c>
      <c r="AZ92">
        <v>5</v>
      </c>
      <c r="BA92" s="129">
        <f t="shared" si="89"/>
        <v>39646</v>
      </c>
      <c r="BB92" s="207">
        <v>0</v>
      </c>
      <c r="BC92" s="207">
        <v>0</v>
      </c>
      <c r="BD92" s="207">
        <v>0</v>
      </c>
      <c r="BE92" s="207">
        <v>0</v>
      </c>
      <c r="BF92" s="207">
        <v>0</v>
      </c>
      <c r="BG92" s="207">
        <v>0</v>
      </c>
      <c r="BH92" s="207">
        <v>0</v>
      </c>
      <c r="BI92" s="207">
        <v>0</v>
      </c>
      <c r="BJ92" s="207">
        <v>0</v>
      </c>
      <c r="BK92" s="207">
        <v>0</v>
      </c>
      <c r="BL92" s="207">
        <v>0</v>
      </c>
      <c r="BM92" s="207">
        <v>0</v>
      </c>
      <c r="BN92" s="207">
        <v>0</v>
      </c>
      <c r="BO92" s="207">
        <v>0</v>
      </c>
      <c r="BP92" s="207">
        <v>0</v>
      </c>
      <c r="BQ92" s="207">
        <v>0</v>
      </c>
      <c r="BR92" s="207">
        <v>0</v>
      </c>
      <c r="BS92" s="207">
        <v>0</v>
      </c>
      <c r="BT92" s="207">
        <v>0</v>
      </c>
      <c r="BU92" s="207">
        <v>0</v>
      </c>
      <c r="BV92" s="207">
        <v>0</v>
      </c>
      <c r="BW92" s="207">
        <v>0</v>
      </c>
      <c r="BX92" s="207">
        <v>0</v>
      </c>
      <c r="BY92" s="207">
        <v>0</v>
      </c>
      <c r="BZ92" s="207">
        <v>0</v>
      </c>
      <c r="CA92" s="207">
        <v>0</v>
      </c>
      <c r="CB92" s="207">
        <v>0</v>
      </c>
      <c r="CC92" s="207">
        <v>0</v>
      </c>
      <c r="CD92" s="207">
        <v>0</v>
      </c>
      <c r="CE92" s="207">
        <v>0</v>
      </c>
      <c r="CF92" s="207">
        <v>0</v>
      </c>
      <c r="CG92" s="147"/>
      <c r="CH92" s="176"/>
      <c r="CJ92" s="151"/>
      <c r="CK92" s="76">
        <f t="shared" ca="1" si="90"/>
        <v>0.12086056867095785</v>
      </c>
      <c r="CL92" s="179">
        <f t="shared" si="91"/>
        <v>5</v>
      </c>
      <c r="CM92" s="180">
        <f t="shared" si="92"/>
        <v>39646</v>
      </c>
      <c r="CN92" s="208">
        <v>0</v>
      </c>
      <c r="CO92" s="208">
        <v>0</v>
      </c>
      <c r="CP92" s="208">
        <v>0</v>
      </c>
      <c r="CQ92" s="208">
        <v>0</v>
      </c>
      <c r="CR92" s="208">
        <v>0</v>
      </c>
      <c r="CS92" s="208">
        <v>0</v>
      </c>
      <c r="CT92" s="208">
        <v>0</v>
      </c>
      <c r="CU92" s="208">
        <v>0</v>
      </c>
      <c r="CW92">
        <v>1</v>
      </c>
      <c r="CX92">
        <v>1</v>
      </c>
      <c r="CY92" s="158"/>
      <c r="CZ92" s="177">
        <f t="shared" si="93"/>
        <v>9.6000000000000002E-2</v>
      </c>
      <c r="DB92" s="151"/>
      <c r="DC92" s="76">
        <f t="shared" ca="1" si="51"/>
        <v>0.86586512304543017</v>
      </c>
      <c r="DD92">
        <f t="shared" si="94"/>
        <v>5</v>
      </c>
      <c r="DE92" s="129">
        <f t="shared" si="52"/>
        <v>39646</v>
      </c>
      <c r="DF92" s="161">
        <f t="shared" si="95"/>
        <v>0</v>
      </c>
      <c r="DG92" s="161">
        <f t="shared" si="96"/>
        <v>0</v>
      </c>
      <c r="DH92" s="161">
        <f t="shared" si="97"/>
        <v>0</v>
      </c>
      <c r="DI92" s="161">
        <f t="shared" si="98"/>
        <v>0</v>
      </c>
      <c r="DJ92" s="161">
        <f t="shared" si="99"/>
        <v>0</v>
      </c>
      <c r="DK92" s="161">
        <f t="shared" si="100"/>
        <v>0</v>
      </c>
      <c r="DL92" s="161">
        <f t="shared" si="101"/>
        <v>0</v>
      </c>
      <c r="DM92" s="161">
        <f t="shared" si="102"/>
        <v>0</v>
      </c>
      <c r="DN92" s="161">
        <f t="shared" si="103"/>
        <v>0</v>
      </c>
      <c r="DO92" s="161">
        <f t="shared" si="104"/>
        <v>0</v>
      </c>
      <c r="DP92" s="161">
        <f t="shared" si="105"/>
        <v>0</v>
      </c>
      <c r="DQ92" s="161">
        <f t="shared" si="106"/>
        <v>0</v>
      </c>
      <c r="DR92" s="161">
        <f t="shared" si="107"/>
        <v>0</v>
      </c>
      <c r="DS92" s="161">
        <f t="shared" si="108"/>
        <v>0</v>
      </c>
      <c r="DT92" s="161">
        <f t="shared" si="109"/>
        <v>0</v>
      </c>
      <c r="DU92" s="161">
        <f t="shared" si="110"/>
        <v>0</v>
      </c>
      <c r="DV92" s="161">
        <f t="shared" si="111"/>
        <v>0</v>
      </c>
      <c r="DW92" s="161">
        <f t="shared" si="112"/>
        <v>0</v>
      </c>
      <c r="DX92" s="161">
        <f t="shared" si="113"/>
        <v>0</v>
      </c>
      <c r="DY92" s="161">
        <f t="shared" si="114"/>
        <v>0</v>
      </c>
      <c r="DZ92" s="161">
        <f t="shared" si="115"/>
        <v>0</v>
      </c>
      <c r="EA92" s="161">
        <f t="shared" si="116"/>
        <v>0</v>
      </c>
      <c r="EB92" s="161">
        <f t="shared" si="117"/>
        <v>0</v>
      </c>
      <c r="EC92" s="161">
        <f t="shared" si="118"/>
        <v>0</v>
      </c>
      <c r="ED92" s="161">
        <f t="shared" si="119"/>
        <v>0</v>
      </c>
      <c r="EE92" s="161">
        <f t="shared" si="120"/>
        <v>0</v>
      </c>
      <c r="EF92" s="161">
        <f t="shared" si="121"/>
        <v>0</v>
      </c>
      <c r="EG92" s="161">
        <f t="shared" si="122"/>
        <v>0</v>
      </c>
      <c r="EH92" s="161">
        <f t="shared" si="123"/>
        <v>0</v>
      </c>
      <c r="EI92" s="161">
        <f t="shared" si="124"/>
        <v>0</v>
      </c>
      <c r="EJ92" s="161">
        <f t="shared" si="125"/>
        <v>0</v>
      </c>
      <c r="EK92" s="147">
        <f t="shared" si="55"/>
        <v>0</v>
      </c>
      <c r="EL92" s="149"/>
      <c r="EN92" s="151"/>
      <c r="EO92" s="151"/>
      <c r="EP92" s="139">
        <f t="shared" si="56"/>
        <v>0</v>
      </c>
      <c r="EQ92" s="139">
        <f t="shared" si="57"/>
        <v>0</v>
      </c>
      <c r="ER92" s="139">
        <f t="shared" si="58"/>
        <v>0</v>
      </c>
      <c r="ES92" s="139">
        <f t="shared" si="59"/>
        <v>0</v>
      </c>
      <c r="ET92" s="139">
        <f t="shared" si="60"/>
        <v>0</v>
      </c>
      <c r="EU92" s="139">
        <f t="shared" si="61"/>
        <v>0</v>
      </c>
      <c r="EV92" s="139">
        <f t="shared" si="62"/>
        <v>0</v>
      </c>
      <c r="EW92" s="139">
        <f t="shared" si="63"/>
        <v>0</v>
      </c>
      <c r="EX92" s="139">
        <f t="shared" si="64"/>
        <v>0</v>
      </c>
      <c r="EY92" s="139">
        <f t="shared" si="65"/>
        <v>0</v>
      </c>
      <c r="EZ92" s="139">
        <f t="shared" si="66"/>
        <v>0</v>
      </c>
      <c r="FA92" s="139">
        <f t="shared" si="67"/>
        <v>0</v>
      </c>
      <c r="FB92" s="139">
        <f t="shared" si="68"/>
        <v>0</v>
      </c>
      <c r="FC92" s="139">
        <f t="shared" si="69"/>
        <v>0</v>
      </c>
      <c r="FD92" s="139">
        <f t="shared" si="70"/>
        <v>0</v>
      </c>
      <c r="FE92" s="139">
        <f t="shared" si="71"/>
        <v>0</v>
      </c>
      <c r="FF92" s="139">
        <f t="shared" si="72"/>
        <v>0</v>
      </c>
      <c r="FG92" s="139">
        <f t="shared" si="73"/>
        <v>0</v>
      </c>
      <c r="FH92" s="139">
        <f t="shared" si="74"/>
        <v>0</v>
      </c>
      <c r="FI92" s="139">
        <f t="shared" si="75"/>
        <v>0</v>
      </c>
      <c r="FJ92" s="139">
        <f t="shared" si="76"/>
        <v>0</v>
      </c>
      <c r="FK92" s="139">
        <f t="shared" si="77"/>
        <v>0</v>
      </c>
      <c r="FL92" s="139">
        <f t="shared" si="78"/>
        <v>0</v>
      </c>
      <c r="FM92" s="139">
        <f t="shared" si="79"/>
        <v>0</v>
      </c>
      <c r="FN92" s="139">
        <f t="shared" si="80"/>
        <v>0</v>
      </c>
      <c r="FO92" s="139">
        <f t="shared" si="81"/>
        <v>0</v>
      </c>
      <c r="FP92" s="139">
        <f t="shared" si="82"/>
        <v>0</v>
      </c>
      <c r="FQ92" s="139">
        <f t="shared" si="83"/>
        <v>0</v>
      </c>
      <c r="FR92" s="139">
        <f t="shared" si="84"/>
        <v>0</v>
      </c>
      <c r="FS92" s="139">
        <f t="shared" si="85"/>
        <v>0</v>
      </c>
      <c r="FT92" s="139">
        <f t="shared" si="86"/>
        <v>0</v>
      </c>
      <c r="FU92" s="148">
        <f t="shared" si="87"/>
        <v>0</v>
      </c>
      <c r="FV92" s="149"/>
      <c r="FY92" s="213">
        <v>87</v>
      </c>
      <c r="FZ92">
        <v>41.420102316787535</v>
      </c>
      <c r="GA92">
        <v>51.397216843050863</v>
      </c>
      <c r="GB92">
        <v>15.553885752669824</v>
      </c>
      <c r="GC92">
        <v>5.7893887946025266</v>
      </c>
      <c r="GD92">
        <v>5.2776875392727574</v>
      </c>
      <c r="GE92">
        <v>7.362176686943303</v>
      </c>
      <c r="GF92">
        <v>19.867382778107054</v>
      </c>
      <c r="GG92">
        <v>16.116177748175737</v>
      </c>
      <c r="GH92">
        <v>9.3167461211628027</v>
      </c>
      <c r="GI92">
        <v>18.681131550990052</v>
      </c>
      <c r="GJ92"/>
      <c r="GK92"/>
      <c r="GL92"/>
      <c r="GM92"/>
      <c r="GN92" s="208"/>
      <c r="GO92" s="208"/>
      <c r="GP92" s="208"/>
      <c r="GQ92" s="208"/>
      <c r="GR92" s="208"/>
      <c r="GS92" s="208"/>
      <c r="GT92" s="208"/>
      <c r="GU92" s="213">
        <v>87</v>
      </c>
    </row>
    <row r="93" spans="1:203" s="7" customFormat="1">
      <c r="A93" s="77"/>
      <c r="B93" s="76">
        <f ca="1">IF(C93="", "", RAND())</f>
        <v>0.22428027063104494</v>
      </c>
      <c r="C93">
        <v>3</v>
      </c>
      <c r="D93">
        <v>39646</v>
      </c>
      <c r="E93">
        <v>0</v>
      </c>
      <c r="F93">
        <v>41.666666666666664</v>
      </c>
      <c r="G93">
        <v>62.5</v>
      </c>
      <c r="H93">
        <v>0</v>
      </c>
      <c r="I93">
        <v>10.416666666666666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 s="2"/>
      <c r="AK93" s="80"/>
      <c r="AL93" s="74"/>
      <c r="AM93" s="43">
        <v>77</v>
      </c>
      <c r="AN93">
        <v>247.90424032654056</v>
      </c>
      <c r="AO93">
        <v>26.858986613559431</v>
      </c>
      <c r="AP93">
        <v>99.151035774921837</v>
      </c>
      <c r="AQ93">
        <v>191.88242066554423</v>
      </c>
      <c r="AR93">
        <v>29.137122235506176</v>
      </c>
      <c r="AS93">
        <v>216.32446117230754</v>
      </c>
      <c r="AT93">
        <v>11.41626297159983</v>
      </c>
      <c r="AU93">
        <v>4.3153888353060026</v>
      </c>
      <c r="AV93"/>
      <c r="AW93"/>
      <c r="AX93" s="151"/>
      <c r="AY93" s="76">
        <f t="shared" ca="1" si="88"/>
        <v>0.36263014374570002</v>
      </c>
      <c r="AZ93">
        <v>6</v>
      </c>
      <c r="BA93" s="129">
        <f t="shared" si="89"/>
        <v>39646</v>
      </c>
      <c r="BB93" s="207">
        <v>0</v>
      </c>
      <c r="BC93" s="207">
        <v>0</v>
      </c>
      <c r="BD93" s="207">
        <v>0</v>
      </c>
      <c r="BE93" s="207">
        <v>1</v>
      </c>
      <c r="BF93" s="207">
        <v>1</v>
      </c>
      <c r="BG93" s="207">
        <v>0</v>
      </c>
      <c r="BH93" s="207">
        <v>0</v>
      </c>
      <c r="BI93" s="207">
        <v>0</v>
      </c>
      <c r="BJ93" s="207">
        <v>0</v>
      </c>
      <c r="BK93" s="207">
        <v>0</v>
      </c>
      <c r="BL93" s="207">
        <v>0</v>
      </c>
      <c r="BM93" s="207">
        <v>0</v>
      </c>
      <c r="BN93" s="207">
        <v>0</v>
      </c>
      <c r="BO93" s="207">
        <v>0</v>
      </c>
      <c r="BP93" s="207">
        <v>0</v>
      </c>
      <c r="BQ93" s="207">
        <v>0</v>
      </c>
      <c r="BR93" s="207">
        <v>0</v>
      </c>
      <c r="BS93" s="207">
        <v>0</v>
      </c>
      <c r="BT93" s="207">
        <v>0</v>
      </c>
      <c r="BU93" s="207">
        <v>0</v>
      </c>
      <c r="BV93" s="207">
        <v>0</v>
      </c>
      <c r="BW93" s="207">
        <v>0</v>
      </c>
      <c r="BX93" s="207">
        <v>0</v>
      </c>
      <c r="BY93" s="207">
        <v>0</v>
      </c>
      <c r="BZ93" s="207">
        <v>0</v>
      </c>
      <c r="CA93" s="207">
        <v>0</v>
      </c>
      <c r="CB93" s="207">
        <v>0</v>
      </c>
      <c r="CC93" s="207">
        <v>0</v>
      </c>
      <c r="CD93" s="207">
        <v>0</v>
      </c>
      <c r="CE93" s="207">
        <v>0</v>
      </c>
      <c r="CF93" s="207">
        <v>0</v>
      </c>
      <c r="CG93" s="147"/>
      <c r="CH93" s="176"/>
      <c r="CJ93" s="151"/>
      <c r="CK93" s="76">
        <f t="shared" ca="1" si="90"/>
        <v>0.80678628845583322</v>
      </c>
      <c r="CL93" s="179">
        <f t="shared" si="91"/>
        <v>6</v>
      </c>
      <c r="CM93" s="180">
        <f t="shared" si="92"/>
        <v>39646</v>
      </c>
      <c r="CN93" s="208">
        <v>0</v>
      </c>
      <c r="CO93" s="208">
        <v>0</v>
      </c>
      <c r="CP93" s="208">
        <v>1</v>
      </c>
      <c r="CQ93" s="208">
        <v>1</v>
      </c>
      <c r="CR93" s="208">
        <v>0</v>
      </c>
      <c r="CS93" s="208">
        <v>0</v>
      </c>
      <c r="CT93" s="208">
        <v>0</v>
      </c>
      <c r="CU93" s="208">
        <v>0</v>
      </c>
      <c r="CW93">
        <v>1</v>
      </c>
      <c r="CX93">
        <v>2</v>
      </c>
      <c r="CY93" s="159"/>
      <c r="CZ93" s="177">
        <f t="shared" si="93"/>
        <v>9.6000000000000002E-2</v>
      </c>
      <c r="DB93" s="151"/>
      <c r="DC93" s="76">
        <f t="shared" ca="1" si="51"/>
        <v>0.19122203452916597</v>
      </c>
      <c r="DD93">
        <f t="shared" si="94"/>
        <v>6</v>
      </c>
      <c r="DE93" s="129">
        <f t="shared" si="52"/>
        <v>39646</v>
      </c>
      <c r="DF93" s="161">
        <f t="shared" si="95"/>
        <v>0</v>
      </c>
      <c r="DG93" s="161">
        <f t="shared" si="96"/>
        <v>0</v>
      </c>
      <c r="DH93" s="161">
        <f t="shared" si="97"/>
        <v>20.833333333333332</v>
      </c>
      <c r="DI93" s="161">
        <f t="shared" si="98"/>
        <v>31.25</v>
      </c>
      <c r="DJ93" s="161">
        <f t="shared" si="99"/>
        <v>10.416666666666666</v>
      </c>
      <c r="DK93" s="161">
        <f t="shared" si="100"/>
        <v>0</v>
      </c>
      <c r="DL93" s="161">
        <f t="shared" si="101"/>
        <v>0</v>
      </c>
      <c r="DM93" s="161">
        <f t="shared" si="102"/>
        <v>0</v>
      </c>
      <c r="DN93" s="161">
        <f t="shared" si="103"/>
        <v>0</v>
      </c>
      <c r="DO93" s="161">
        <f t="shared" si="104"/>
        <v>0</v>
      </c>
      <c r="DP93" s="161">
        <f t="shared" si="105"/>
        <v>0</v>
      </c>
      <c r="DQ93" s="161">
        <f t="shared" si="106"/>
        <v>0</v>
      </c>
      <c r="DR93" s="161">
        <f t="shared" si="107"/>
        <v>0</v>
      </c>
      <c r="DS93" s="161">
        <f t="shared" si="108"/>
        <v>0</v>
      </c>
      <c r="DT93" s="161">
        <f t="shared" si="109"/>
        <v>0</v>
      </c>
      <c r="DU93" s="161">
        <f t="shared" si="110"/>
        <v>0</v>
      </c>
      <c r="DV93" s="161">
        <f t="shared" si="111"/>
        <v>0</v>
      </c>
      <c r="DW93" s="161">
        <f t="shared" si="112"/>
        <v>0</v>
      </c>
      <c r="DX93" s="161">
        <f t="shared" si="113"/>
        <v>0</v>
      </c>
      <c r="DY93" s="161">
        <f t="shared" si="114"/>
        <v>0</v>
      </c>
      <c r="DZ93" s="161">
        <f t="shared" si="115"/>
        <v>0</v>
      </c>
      <c r="EA93" s="161">
        <f t="shared" si="116"/>
        <v>0</v>
      </c>
      <c r="EB93" s="161">
        <f t="shared" si="117"/>
        <v>0</v>
      </c>
      <c r="EC93" s="161">
        <f t="shared" si="118"/>
        <v>0</v>
      </c>
      <c r="ED93" s="161">
        <f t="shared" si="119"/>
        <v>0</v>
      </c>
      <c r="EE93" s="161">
        <f t="shared" si="120"/>
        <v>0</v>
      </c>
      <c r="EF93" s="161">
        <f t="shared" si="121"/>
        <v>0</v>
      </c>
      <c r="EG93" s="161">
        <f t="shared" si="122"/>
        <v>0</v>
      </c>
      <c r="EH93" s="161">
        <f t="shared" si="123"/>
        <v>0</v>
      </c>
      <c r="EI93" s="161">
        <f t="shared" si="124"/>
        <v>0</v>
      </c>
      <c r="EJ93" s="161">
        <f t="shared" si="125"/>
        <v>0</v>
      </c>
      <c r="EK93" s="147">
        <f t="shared" si="55"/>
        <v>62.499999999999993</v>
      </c>
      <c r="EL93" s="149"/>
      <c r="EN93" s="151"/>
      <c r="EO93" s="151"/>
      <c r="EP93" s="139">
        <f t="shared" si="56"/>
        <v>0</v>
      </c>
      <c r="EQ93" s="139">
        <f t="shared" si="57"/>
        <v>0</v>
      </c>
      <c r="ER93" s="139">
        <f t="shared" si="58"/>
        <v>1.5257522954586935</v>
      </c>
      <c r="ES93" s="139">
        <f t="shared" si="59"/>
        <v>6.7485532484778545</v>
      </c>
      <c r="ET93" s="139">
        <f t="shared" si="60"/>
        <v>4.8450809197869589</v>
      </c>
      <c r="EU93" s="139">
        <f t="shared" si="61"/>
        <v>0</v>
      </c>
      <c r="EV93" s="139">
        <f t="shared" si="62"/>
        <v>0</v>
      </c>
      <c r="EW93" s="139">
        <f t="shared" si="63"/>
        <v>0</v>
      </c>
      <c r="EX93" s="139">
        <f t="shared" si="64"/>
        <v>0</v>
      </c>
      <c r="EY93" s="139">
        <f t="shared" si="65"/>
        <v>0</v>
      </c>
      <c r="EZ93" s="139">
        <f t="shared" si="66"/>
        <v>0</v>
      </c>
      <c r="FA93" s="139">
        <f t="shared" si="67"/>
        <v>0</v>
      </c>
      <c r="FB93" s="139">
        <f t="shared" si="68"/>
        <v>0</v>
      </c>
      <c r="FC93" s="139">
        <f t="shared" si="69"/>
        <v>0</v>
      </c>
      <c r="FD93" s="139">
        <f t="shared" si="70"/>
        <v>0</v>
      </c>
      <c r="FE93" s="139">
        <f t="shared" si="71"/>
        <v>0</v>
      </c>
      <c r="FF93" s="139">
        <f t="shared" si="72"/>
        <v>0</v>
      </c>
      <c r="FG93" s="139">
        <f t="shared" si="73"/>
        <v>0</v>
      </c>
      <c r="FH93" s="139">
        <f t="shared" si="74"/>
        <v>0</v>
      </c>
      <c r="FI93" s="139">
        <f t="shared" si="75"/>
        <v>0</v>
      </c>
      <c r="FJ93" s="139">
        <f t="shared" si="76"/>
        <v>0</v>
      </c>
      <c r="FK93" s="139">
        <f t="shared" si="77"/>
        <v>0</v>
      </c>
      <c r="FL93" s="139">
        <f t="shared" si="78"/>
        <v>0</v>
      </c>
      <c r="FM93" s="139">
        <f t="shared" si="79"/>
        <v>0</v>
      </c>
      <c r="FN93" s="139">
        <f t="shared" si="80"/>
        <v>0</v>
      </c>
      <c r="FO93" s="139">
        <f t="shared" si="81"/>
        <v>0</v>
      </c>
      <c r="FP93" s="139">
        <f t="shared" si="82"/>
        <v>0</v>
      </c>
      <c r="FQ93" s="139">
        <f t="shared" si="83"/>
        <v>0</v>
      </c>
      <c r="FR93" s="139">
        <f t="shared" si="84"/>
        <v>0</v>
      </c>
      <c r="FS93" s="139">
        <f t="shared" si="85"/>
        <v>0</v>
      </c>
      <c r="FT93" s="139">
        <f t="shared" si="86"/>
        <v>0</v>
      </c>
      <c r="FU93" s="148">
        <f t="shared" si="87"/>
        <v>13.119386463723506</v>
      </c>
      <c r="FV93" s="149"/>
      <c r="FY93" s="213">
        <v>88</v>
      </c>
      <c r="FZ93">
        <v>28.532819493177335</v>
      </c>
      <c r="GA93">
        <v>47.242486134825803</v>
      </c>
      <c r="GB93">
        <v>12.822266327985467</v>
      </c>
      <c r="GC93">
        <v>4.8056608154240088</v>
      </c>
      <c r="GD93">
        <v>4.4744318300763002</v>
      </c>
      <c r="GE93">
        <v>6.4760510202140695</v>
      </c>
      <c r="GF93">
        <v>24.271141224881077</v>
      </c>
      <c r="GG93">
        <v>21.766801667873352</v>
      </c>
      <c r="GH93">
        <v>11.748283384644292</v>
      </c>
      <c r="GI93">
        <v>16.745463468553769</v>
      </c>
      <c r="GJ93"/>
      <c r="GK93"/>
      <c r="GL93"/>
      <c r="GM93"/>
      <c r="GN93" s="208"/>
      <c r="GO93" s="208"/>
      <c r="GP93" s="208"/>
      <c r="GQ93" s="208"/>
      <c r="GR93" s="208"/>
      <c r="GS93" s="208"/>
      <c r="GT93" s="208"/>
      <c r="GU93" s="213">
        <v>88</v>
      </c>
    </row>
    <row r="94" spans="1:203" s="7" customFormat="1">
      <c r="A94" s="77"/>
      <c r="B94" s="76">
        <f ca="1">IF(C94="", "", RAND())</f>
        <v>0.30269075996680739</v>
      </c>
      <c r="C94">
        <v>6</v>
      </c>
      <c r="D94">
        <v>39646</v>
      </c>
      <c r="E94">
        <v>0</v>
      </c>
      <c r="F94">
        <v>0</v>
      </c>
      <c r="G94">
        <v>20.833333333333332</v>
      </c>
      <c r="H94">
        <v>31.25</v>
      </c>
      <c r="I94">
        <v>10.416666666666666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 s="2"/>
      <c r="AK94" s="80"/>
      <c r="AL94" s="74"/>
      <c r="AM94" s="43">
        <v>78</v>
      </c>
      <c r="AN94">
        <v>291.37818487470997</v>
      </c>
      <c r="AO94">
        <v>21.700354739053292</v>
      </c>
      <c r="AP94">
        <v>105.16204346931849</v>
      </c>
      <c r="AQ94">
        <v>157.51964344175755</v>
      </c>
      <c r="AR94">
        <v>22.111437941973346</v>
      </c>
      <c r="AS94">
        <v>215.93636793684115</v>
      </c>
      <c r="AT94">
        <v>12.358820890146809</v>
      </c>
      <c r="AU94">
        <v>110.69854373102281</v>
      </c>
      <c r="AV94"/>
      <c r="AW94"/>
      <c r="AX94" s="151"/>
      <c r="AY94" s="76">
        <f t="shared" ca="1" si="88"/>
        <v>0.5638684098142992</v>
      </c>
      <c r="AZ94">
        <v>7</v>
      </c>
      <c r="BA94" s="129">
        <f t="shared" si="89"/>
        <v>39646</v>
      </c>
      <c r="BB94" s="207">
        <v>0</v>
      </c>
      <c r="BC94" s="207">
        <v>0</v>
      </c>
      <c r="BD94" s="207">
        <v>0</v>
      </c>
      <c r="BE94" s="207">
        <v>5</v>
      </c>
      <c r="BF94" s="207">
        <v>0</v>
      </c>
      <c r="BG94" s="207">
        <v>0</v>
      </c>
      <c r="BH94" s="207">
        <v>1</v>
      </c>
      <c r="BI94" s="207">
        <v>1</v>
      </c>
      <c r="BJ94" s="207">
        <v>0</v>
      </c>
      <c r="BK94" s="207">
        <v>0</v>
      </c>
      <c r="BL94" s="207">
        <v>0</v>
      </c>
      <c r="BM94" s="207">
        <v>1</v>
      </c>
      <c r="BN94" s="207">
        <v>0</v>
      </c>
      <c r="BO94" s="207">
        <v>0</v>
      </c>
      <c r="BP94" s="207">
        <v>0</v>
      </c>
      <c r="BQ94" s="207">
        <v>0</v>
      </c>
      <c r="BR94" s="207">
        <v>0</v>
      </c>
      <c r="BS94" s="207">
        <v>0</v>
      </c>
      <c r="BT94" s="207">
        <v>0</v>
      </c>
      <c r="BU94" s="207">
        <v>0</v>
      </c>
      <c r="BV94" s="207">
        <v>0</v>
      </c>
      <c r="BW94" s="207">
        <v>0</v>
      </c>
      <c r="BX94" s="207">
        <v>0</v>
      </c>
      <c r="BY94" s="207">
        <v>0</v>
      </c>
      <c r="BZ94" s="207">
        <v>0</v>
      </c>
      <c r="CA94" s="207">
        <v>0</v>
      </c>
      <c r="CB94" s="207">
        <v>0</v>
      </c>
      <c r="CC94" s="207">
        <v>0</v>
      </c>
      <c r="CD94" s="207">
        <v>0</v>
      </c>
      <c r="CE94" s="207">
        <v>0</v>
      </c>
      <c r="CF94" s="207">
        <v>0</v>
      </c>
      <c r="CG94" s="147"/>
      <c r="CH94" s="176"/>
      <c r="CJ94" s="151"/>
      <c r="CK94" s="76">
        <f t="shared" ca="1" si="90"/>
        <v>0.24220889406248425</v>
      </c>
      <c r="CL94" s="179">
        <f t="shared" si="91"/>
        <v>7</v>
      </c>
      <c r="CM94" s="180">
        <f t="shared" si="92"/>
        <v>39646</v>
      </c>
      <c r="CN94" s="208">
        <v>0</v>
      </c>
      <c r="CO94" s="208">
        <v>0</v>
      </c>
      <c r="CP94" s="208">
        <v>2</v>
      </c>
      <c r="CQ94" s="208">
        <v>1</v>
      </c>
      <c r="CR94" s="208">
        <v>0</v>
      </c>
      <c r="CS94" s="208">
        <v>0</v>
      </c>
      <c r="CT94" s="208">
        <v>0</v>
      </c>
      <c r="CU94" s="208">
        <v>0</v>
      </c>
      <c r="CV94" s="160"/>
      <c r="CW94">
        <v>1</v>
      </c>
      <c r="CX94">
        <v>2</v>
      </c>
      <c r="CY94" s="164"/>
      <c r="CZ94" s="177">
        <f t="shared" si="93"/>
        <v>9.6000000000000002E-2</v>
      </c>
      <c r="DB94" s="151"/>
      <c r="DC94" s="76">
        <f t="shared" ca="1" si="51"/>
        <v>0.11754560583592077</v>
      </c>
      <c r="DD94">
        <f t="shared" si="94"/>
        <v>7</v>
      </c>
      <c r="DE94" s="129">
        <f t="shared" si="52"/>
        <v>39646</v>
      </c>
      <c r="DF94" s="161">
        <f t="shared" si="95"/>
        <v>0</v>
      </c>
      <c r="DG94" s="161">
        <f t="shared" si="96"/>
        <v>0</v>
      </c>
      <c r="DH94" s="161">
        <f t="shared" si="97"/>
        <v>41.666666666666664</v>
      </c>
      <c r="DI94" s="161">
        <f t="shared" si="98"/>
        <v>72.916666666666671</v>
      </c>
      <c r="DJ94" s="161">
        <f t="shared" si="99"/>
        <v>0</v>
      </c>
      <c r="DK94" s="161">
        <f t="shared" si="100"/>
        <v>0</v>
      </c>
      <c r="DL94" s="161">
        <f t="shared" si="101"/>
        <v>10.416666666666666</v>
      </c>
      <c r="DM94" s="161">
        <f t="shared" si="102"/>
        <v>10.416666666666666</v>
      </c>
      <c r="DN94" s="161">
        <f t="shared" si="103"/>
        <v>0</v>
      </c>
      <c r="DO94" s="161">
        <f t="shared" si="104"/>
        <v>0</v>
      </c>
      <c r="DP94" s="161">
        <f t="shared" si="105"/>
        <v>0</v>
      </c>
      <c r="DQ94" s="161">
        <f t="shared" si="106"/>
        <v>10.416666666666666</v>
      </c>
      <c r="DR94" s="161">
        <f t="shared" si="107"/>
        <v>0</v>
      </c>
      <c r="DS94" s="161">
        <f t="shared" si="108"/>
        <v>0</v>
      </c>
      <c r="DT94" s="161">
        <f t="shared" si="109"/>
        <v>0</v>
      </c>
      <c r="DU94" s="161">
        <f t="shared" si="110"/>
        <v>0</v>
      </c>
      <c r="DV94" s="161">
        <f t="shared" si="111"/>
        <v>0</v>
      </c>
      <c r="DW94" s="161">
        <f t="shared" si="112"/>
        <v>0</v>
      </c>
      <c r="DX94" s="161">
        <f t="shared" si="113"/>
        <v>0</v>
      </c>
      <c r="DY94" s="161">
        <f t="shared" si="114"/>
        <v>0</v>
      </c>
      <c r="DZ94" s="161">
        <f t="shared" si="115"/>
        <v>0</v>
      </c>
      <c r="EA94" s="161">
        <f t="shared" si="116"/>
        <v>0</v>
      </c>
      <c r="EB94" s="161">
        <f t="shared" si="117"/>
        <v>0</v>
      </c>
      <c r="EC94" s="161">
        <f t="shared" si="118"/>
        <v>0</v>
      </c>
      <c r="ED94" s="161">
        <f t="shared" si="119"/>
        <v>0</v>
      </c>
      <c r="EE94" s="161">
        <f t="shared" si="120"/>
        <v>0</v>
      </c>
      <c r="EF94" s="161">
        <f t="shared" si="121"/>
        <v>0</v>
      </c>
      <c r="EG94" s="161">
        <f t="shared" si="122"/>
        <v>0</v>
      </c>
      <c r="EH94" s="161">
        <f t="shared" si="123"/>
        <v>0</v>
      </c>
      <c r="EI94" s="161">
        <f t="shared" si="124"/>
        <v>0</v>
      </c>
      <c r="EJ94" s="161">
        <f t="shared" si="125"/>
        <v>0</v>
      </c>
      <c r="EK94" s="147">
        <f t="shared" si="55"/>
        <v>145.83333333333334</v>
      </c>
      <c r="EL94" s="149"/>
      <c r="EN94" s="151"/>
      <c r="EO94" s="151"/>
      <c r="EP94" s="139">
        <f t="shared" si="56"/>
        <v>0</v>
      </c>
      <c r="EQ94" s="139">
        <f t="shared" si="57"/>
        <v>0</v>
      </c>
      <c r="ER94" s="139">
        <f t="shared" si="58"/>
        <v>3.051504590917387</v>
      </c>
      <c r="ES94" s="139">
        <f t="shared" si="59"/>
        <v>15.746624246448329</v>
      </c>
      <c r="ET94" s="139">
        <f t="shared" si="60"/>
        <v>0</v>
      </c>
      <c r="EU94" s="139">
        <f t="shared" si="61"/>
        <v>0</v>
      </c>
      <c r="EV94" s="139">
        <f t="shared" si="62"/>
        <v>14.286847949341793</v>
      </c>
      <c r="EW94" s="139">
        <f t="shared" si="63"/>
        <v>21.551798137789032</v>
      </c>
      <c r="EX94" s="139">
        <f t="shared" si="64"/>
        <v>0</v>
      </c>
      <c r="EY94" s="139">
        <f t="shared" si="65"/>
        <v>0</v>
      </c>
      <c r="EZ94" s="139">
        <f t="shared" si="66"/>
        <v>0</v>
      </c>
      <c r="FA94" s="139">
        <f t="shared" si="67"/>
        <v>71.945118000314238</v>
      </c>
      <c r="FB94" s="139">
        <f t="shared" si="68"/>
        <v>0</v>
      </c>
      <c r="FC94" s="139">
        <f t="shared" si="69"/>
        <v>0</v>
      </c>
      <c r="FD94" s="139">
        <f t="shared" si="70"/>
        <v>0</v>
      </c>
      <c r="FE94" s="139">
        <f t="shared" si="71"/>
        <v>0</v>
      </c>
      <c r="FF94" s="139">
        <f t="shared" si="72"/>
        <v>0</v>
      </c>
      <c r="FG94" s="139">
        <f t="shared" si="73"/>
        <v>0</v>
      </c>
      <c r="FH94" s="139">
        <f t="shared" si="74"/>
        <v>0</v>
      </c>
      <c r="FI94" s="139">
        <f t="shared" si="75"/>
        <v>0</v>
      </c>
      <c r="FJ94" s="139">
        <f t="shared" si="76"/>
        <v>0</v>
      </c>
      <c r="FK94" s="139">
        <f t="shared" si="77"/>
        <v>0</v>
      </c>
      <c r="FL94" s="139">
        <f t="shared" si="78"/>
        <v>0</v>
      </c>
      <c r="FM94" s="139">
        <f t="shared" si="79"/>
        <v>0</v>
      </c>
      <c r="FN94" s="139">
        <f t="shared" si="80"/>
        <v>0</v>
      </c>
      <c r="FO94" s="139">
        <f t="shared" si="81"/>
        <v>0</v>
      </c>
      <c r="FP94" s="139">
        <f t="shared" si="82"/>
        <v>0</v>
      </c>
      <c r="FQ94" s="139">
        <f t="shared" si="83"/>
        <v>0</v>
      </c>
      <c r="FR94" s="139">
        <f t="shared" si="84"/>
        <v>0</v>
      </c>
      <c r="FS94" s="139">
        <f t="shared" si="85"/>
        <v>0</v>
      </c>
      <c r="FT94" s="139">
        <f t="shared" si="86"/>
        <v>0</v>
      </c>
      <c r="FU94" s="148">
        <f t="shared" si="87"/>
        <v>126.58189292481077</v>
      </c>
      <c r="FV94" s="149"/>
      <c r="FY94" s="213">
        <v>89</v>
      </c>
      <c r="FZ94">
        <v>43.074174367484396</v>
      </c>
      <c r="GA94">
        <v>31.971663245683605</v>
      </c>
      <c r="GB94">
        <v>12.157799115256489</v>
      </c>
      <c r="GC94">
        <v>4.3767764714081476</v>
      </c>
      <c r="GD94">
        <v>4.2731159998806287</v>
      </c>
      <c r="GE94">
        <v>6.4799631472211017</v>
      </c>
      <c r="GF94">
        <v>3.887112691410787</v>
      </c>
      <c r="GG94">
        <v>4.9784088686212824</v>
      </c>
      <c r="GH94">
        <v>15.550708857146304</v>
      </c>
      <c r="GI94">
        <v>15.371780220234951</v>
      </c>
      <c r="GJ94"/>
      <c r="GK94"/>
      <c r="GL94"/>
      <c r="GM94"/>
      <c r="GN94" s="208"/>
      <c r="GO94" s="208"/>
      <c r="GP94" s="208"/>
      <c r="GQ94" s="208"/>
      <c r="GR94" s="208"/>
      <c r="GS94" s="208"/>
      <c r="GT94" s="208"/>
      <c r="GU94" s="213">
        <v>89</v>
      </c>
    </row>
    <row r="95" spans="1:203" s="7" customFormat="1">
      <c r="A95" s="77"/>
      <c r="B95" s="76">
        <f ca="1">IF(C95="", "", RAND())</f>
        <v>0.42001375368555838</v>
      </c>
      <c r="C95">
        <v>7</v>
      </c>
      <c r="D95">
        <v>39646</v>
      </c>
      <c r="E95">
        <v>0</v>
      </c>
      <c r="F95">
        <v>0</v>
      </c>
      <c r="G95">
        <v>41.666666666666664</v>
      </c>
      <c r="H95">
        <v>72.916666666666671</v>
      </c>
      <c r="I95">
        <v>0</v>
      </c>
      <c r="J95">
        <v>0</v>
      </c>
      <c r="K95">
        <v>10.416666666666666</v>
      </c>
      <c r="L95">
        <v>10.416666666666666</v>
      </c>
      <c r="M95">
        <v>0</v>
      </c>
      <c r="N95">
        <v>0</v>
      </c>
      <c r="O95">
        <v>0</v>
      </c>
      <c r="P95">
        <v>10.416666666666666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 s="2"/>
      <c r="AK95" s="80"/>
      <c r="AL95" s="74"/>
      <c r="AM95" s="43">
        <v>79</v>
      </c>
      <c r="AN95">
        <v>221.70982823904501</v>
      </c>
      <c r="AO95">
        <v>22.331788160393693</v>
      </c>
      <c r="AP95">
        <v>53.718151384785251</v>
      </c>
      <c r="AQ95">
        <v>159.42898619099918</v>
      </c>
      <c r="AR95">
        <v>21.621817733418688</v>
      </c>
      <c r="AS95">
        <v>183.66070522723257</v>
      </c>
      <c r="AT95">
        <v>9.9271902646820696</v>
      </c>
      <c r="AU95">
        <v>-25.731819261772745</v>
      </c>
      <c r="AV95"/>
      <c r="AW95"/>
      <c r="AX95" s="151"/>
      <c r="AY95" s="76">
        <f t="shared" ca="1" si="88"/>
        <v>0.78678632378842517</v>
      </c>
      <c r="AZ95">
        <v>8</v>
      </c>
      <c r="BA95" s="129">
        <f t="shared" si="89"/>
        <v>39646</v>
      </c>
      <c r="BB95" s="207">
        <v>0</v>
      </c>
      <c r="BC95" s="207">
        <v>0</v>
      </c>
      <c r="BD95" s="207">
        <v>1</v>
      </c>
      <c r="BE95" s="207">
        <v>8</v>
      </c>
      <c r="BF95" s="207">
        <v>1</v>
      </c>
      <c r="BG95" s="207">
        <v>2</v>
      </c>
      <c r="BH95" s="207">
        <v>0</v>
      </c>
      <c r="BI95" s="207">
        <v>0</v>
      </c>
      <c r="BJ95" s="207">
        <v>0</v>
      </c>
      <c r="BK95" s="207">
        <v>0</v>
      </c>
      <c r="BL95" s="207">
        <v>0</v>
      </c>
      <c r="BM95" s="207">
        <v>0</v>
      </c>
      <c r="BN95" s="207">
        <v>0</v>
      </c>
      <c r="BO95" s="207">
        <v>0</v>
      </c>
      <c r="BP95" s="207">
        <v>0</v>
      </c>
      <c r="BQ95" s="207">
        <v>0</v>
      </c>
      <c r="BR95" s="207">
        <v>0</v>
      </c>
      <c r="BS95" s="207">
        <v>0</v>
      </c>
      <c r="BT95" s="207">
        <v>0</v>
      </c>
      <c r="BU95" s="207">
        <v>0</v>
      </c>
      <c r="BV95" s="207">
        <v>0</v>
      </c>
      <c r="BW95" s="207">
        <v>0</v>
      </c>
      <c r="BX95" s="207">
        <v>0</v>
      </c>
      <c r="BY95" s="207">
        <v>0</v>
      </c>
      <c r="BZ95" s="207">
        <v>0</v>
      </c>
      <c r="CA95" s="207">
        <v>0</v>
      </c>
      <c r="CB95" s="207">
        <v>0</v>
      </c>
      <c r="CC95" s="207">
        <v>0</v>
      </c>
      <c r="CD95" s="207">
        <v>0</v>
      </c>
      <c r="CE95" s="207">
        <v>0</v>
      </c>
      <c r="CF95" s="207">
        <v>0</v>
      </c>
      <c r="CG95" s="147"/>
      <c r="CH95" s="176"/>
      <c r="CJ95" s="151"/>
      <c r="CK95" s="76">
        <f t="shared" ca="1" si="90"/>
        <v>0.33851668961094372</v>
      </c>
      <c r="CL95" s="179">
        <f t="shared" si="91"/>
        <v>8</v>
      </c>
      <c r="CM95" s="180">
        <f t="shared" si="92"/>
        <v>39646</v>
      </c>
      <c r="CN95" s="208">
        <v>0</v>
      </c>
      <c r="CO95" s="208">
        <v>0</v>
      </c>
      <c r="CP95" s="208">
        <v>4</v>
      </c>
      <c r="CQ95" s="208">
        <v>0</v>
      </c>
      <c r="CR95" s="208">
        <v>0</v>
      </c>
      <c r="CS95" s="208">
        <v>0</v>
      </c>
      <c r="CT95" s="208">
        <v>0</v>
      </c>
      <c r="CU95" s="208">
        <v>0</v>
      </c>
      <c r="CV95" s="160"/>
      <c r="CW95">
        <v>1</v>
      </c>
      <c r="CX95">
        <v>2</v>
      </c>
      <c r="CY95" s="164"/>
      <c r="CZ95" s="177">
        <f t="shared" si="93"/>
        <v>9.6000000000000002E-2</v>
      </c>
      <c r="DB95" s="151"/>
      <c r="DC95" s="76">
        <f t="shared" ca="1" si="51"/>
        <v>0.6262009916197695</v>
      </c>
      <c r="DD95">
        <f t="shared" si="94"/>
        <v>8</v>
      </c>
      <c r="DE95" s="129">
        <f t="shared" si="52"/>
        <v>39646</v>
      </c>
      <c r="DF95" s="161">
        <f t="shared" si="95"/>
        <v>0</v>
      </c>
      <c r="DG95" s="161">
        <f t="shared" si="96"/>
        <v>0</v>
      </c>
      <c r="DH95" s="161">
        <f t="shared" si="97"/>
        <v>93.75</v>
      </c>
      <c r="DI95" s="161">
        <f t="shared" si="98"/>
        <v>83.333333333333329</v>
      </c>
      <c r="DJ95" s="161">
        <f t="shared" si="99"/>
        <v>10.416666666666666</v>
      </c>
      <c r="DK95" s="161">
        <f t="shared" si="100"/>
        <v>20.833333333333332</v>
      </c>
      <c r="DL95" s="161">
        <f t="shared" si="101"/>
        <v>0</v>
      </c>
      <c r="DM95" s="161">
        <f t="shared" si="102"/>
        <v>0</v>
      </c>
      <c r="DN95" s="161">
        <f t="shared" si="103"/>
        <v>0</v>
      </c>
      <c r="DO95" s="161">
        <f t="shared" si="104"/>
        <v>0</v>
      </c>
      <c r="DP95" s="161">
        <f t="shared" si="105"/>
        <v>0</v>
      </c>
      <c r="DQ95" s="161">
        <f t="shared" si="106"/>
        <v>0</v>
      </c>
      <c r="DR95" s="161">
        <f t="shared" si="107"/>
        <v>0</v>
      </c>
      <c r="DS95" s="161">
        <f t="shared" si="108"/>
        <v>0</v>
      </c>
      <c r="DT95" s="161">
        <f t="shared" si="109"/>
        <v>0</v>
      </c>
      <c r="DU95" s="161">
        <f t="shared" si="110"/>
        <v>0</v>
      </c>
      <c r="DV95" s="161">
        <f t="shared" si="111"/>
        <v>0</v>
      </c>
      <c r="DW95" s="161">
        <f t="shared" si="112"/>
        <v>0</v>
      </c>
      <c r="DX95" s="161">
        <f t="shared" si="113"/>
        <v>0</v>
      </c>
      <c r="DY95" s="161">
        <f t="shared" si="114"/>
        <v>0</v>
      </c>
      <c r="DZ95" s="161">
        <f t="shared" si="115"/>
        <v>0</v>
      </c>
      <c r="EA95" s="161">
        <f t="shared" si="116"/>
        <v>0</v>
      </c>
      <c r="EB95" s="161">
        <f t="shared" si="117"/>
        <v>0</v>
      </c>
      <c r="EC95" s="161">
        <f t="shared" si="118"/>
        <v>0</v>
      </c>
      <c r="ED95" s="161">
        <f t="shared" si="119"/>
        <v>0</v>
      </c>
      <c r="EE95" s="161">
        <f t="shared" si="120"/>
        <v>0</v>
      </c>
      <c r="EF95" s="161">
        <f t="shared" si="121"/>
        <v>0</v>
      </c>
      <c r="EG95" s="161">
        <f t="shared" si="122"/>
        <v>0</v>
      </c>
      <c r="EH95" s="161">
        <f t="shared" si="123"/>
        <v>0</v>
      </c>
      <c r="EI95" s="161">
        <f t="shared" si="124"/>
        <v>0</v>
      </c>
      <c r="EJ95" s="161">
        <f t="shared" si="125"/>
        <v>0</v>
      </c>
      <c r="EK95" s="147">
        <f t="shared" si="55"/>
        <v>208.33333333333331</v>
      </c>
      <c r="EL95" s="149"/>
      <c r="EN95" s="151"/>
      <c r="EO95" s="151"/>
      <c r="EP95" s="139">
        <f t="shared" si="56"/>
        <v>0</v>
      </c>
      <c r="EQ95" s="139">
        <f t="shared" si="57"/>
        <v>0</v>
      </c>
      <c r="ER95" s="139">
        <f t="shared" si="58"/>
        <v>6.8658853295641213</v>
      </c>
      <c r="ES95" s="139">
        <f t="shared" si="59"/>
        <v>17.996141995940945</v>
      </c>
      <c r="ET95" s="139">
        <f t="shared" si="60"/>
        <v>4.8450809197869589</v>
      </c>
      <c r="EU95" s="139">
        <f t="shared" si="61"/>
        <v>17.570739301935784</v>
      </c>
      <c r="EV95" s="139">
        <f t="shared" si="62"/>
        <v>0</v>
      </c>
      <c r="EW95" s="139">
        <f t="shared" si="63"/>
        <v>0</v>
      </c>
      <c r="EX95" s="139">
        <f t="shared" si="64"/>
        <v>0</v>
      </c>
      <c r="EY95" s="139">
        <f t="shared" si="65"/>
        <v>0</v>
      </c>
      <c r="EZ95" s="139">
        <f t="shared" si="66"/>
        <v>0</v>
      </c>
      <c r="FA95" s="139">
        <f t="shared" si="67"/>
        <v>0</v>
      </c>
      <c r="FB95" s="139">
        <f t="shared" si="68"/>
        <v>0</v>
      </c>
      <c r="FC95" s="139">
        <f t="shared" si="69"/>
        <v>0</v>
      </c>
      <c r="FD95" s="139">
        <f t="shared" si="70"/>
        <v>0</v>
      </c>
      <c r="FE95" s="139">
        <f t="shared" si="71"/>
        <v>0</v>
      </c>
      <c r="FF95" s="139">
        <f t="shared" si="72"/>
        <v>0</v>
      </c>
      <c r="FG95" s="139">
        <f t="shared" si="73"/>
        <v>0</v>
      </c>
      <c r="FH95" s="139">
        <f t="shared" si="74"/>
        <v>0</v>
      </c>
      <c r="FI95" s="139">
        <f t="shared" si="75"/>
        <v>0</v>
      </c>
      <c r="FJ95" s="139">
        <f t="shared" si="76"/>
        <v>0</v>
      </c>
      <c r="FK95" s="139">
        <f t="shared" si="77"/>
        <v>0</v>
      </c>
      <c r="FL95" s="139">
        <f t="shared" si="78"/>
        <v>0</v>
      </c>
      <c r="FM95" s="139">
        <f t="shared" si="79"/>
        <v>0</v>
      </c>
      <c r="FN95" s="139">
        <f t="shared" si="80"/>
        <v>0</v>
      </c>
      <c r="FO95" s="139">
        <f t="shared" si="81"/>
        <v>0</v>
      </c>
      <c r="FP95" s="139">
        <f t="shared" si="82"/>
        <v>0</v>
      </c>
      <c r="FQ95" s="139">
        <f t="shared" si="83"/>
        <v>0</v>
      </c>
      <c r="FR95" s="139">
        <f t="shared" si="84"/>
        <v>0</v>
      </c>
      <c r="FS95" s="139">
        <f t="shared" si="85"/>
        <v>0</v>
      </c>
      <c r="FT95" s="139">
        <f t="shared" si="86"/>
        <v>0</v>
      </c>
      <c r="FU95" s="148">
        <f t="shared" si="87"/>
        <v>47.277847547227807</v>
      </c>
      <c r="FV95" s="149"/>
      <c r="FY95" s="213">
        <v>90</v>
      </c>
      <c r="FZ95">
        <v>78.505499765820446</v>
      </c>
      <c r="GA95">
        <v>75.76796671160119</v>
      </c>
      <c r="GB95">
        <v>7.6944321886524865</v>
      </c>
      <c r="GC95">
        <v>10.229977772622282</v>
      </c>
      <c r="GD95">
        <v>8.8167756167028273</v>
      </c>
      <c r="GE95">
        <v>6.3874576241113648</v>
      </c>
      <c r="GF95">
        <v>15.064921739811822</v>
      </c>
      <c r="GG95">
        <v>11.777912267091478</v>
      </c>
      <c r="GH95">
        <v>10.067887554841992</v>
      </c>
      <c r="GI95">
        <v>23.052935326624095</v>
      </c>
      <c r="GJ95"/>
      <c r="GK95"/>
      <c r="GL95"/>
      <c r="GM95"/>
      <c r="GN95" s="208"/>
      <c r="GO95" s="208"/>
      <c r="GP95" s="208"/>
      <c r="GQ95" s="208"/>
      <c r="GR95" s="208"/>
      <c r="GS95" s="208"/>
      <c r="GT95" s="208"/>
      <c r="GU95" s="213">
        <v>90</v>
      </c>
    </row>
    <row r="96" spans="1:203" s="7" customFormat="1">
      <c r="A96" s="77"/>
      <c r="B96" s="76">
        <f ca="1">IF(C96="", "", RAND())</f>
        <v>0.62475864599470654</v>
      </c>
      <c r="C96">
        <v>5</v>
      </c>
      <c r="D96">
        <v>39646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 s="2"/>
      <c r="AK96" s="80"/>
      <c r="AL96" s="74"/>
      <c r="AM96" s="43">
        <v>80</v>
      </c>
      <c r="AN96">
        <v>340.83919174436284</v>
      </c>
      <c r="AO96">
        <v>21.164922147876517</v>
      </c>
      <c r="AP96">
        <v>73.690577833246735</v>
      </c>
      <c r="AQ96">
        <v>139.35759367232711</v>
      </c>
      <c r="AR96">
        <v>21.466888978203546</v>
      </c>
      <c r="AS96">
        <v>239.95571572591226</v>
      </c>
      <c r="AT96">
        <v>9.6360345200447686</v>
      </c>
      <c r="AU96">
        <v>28.905008313853028</v>
      </c>
      <c r="AV96"/>
      <c r="AW96"/>
      <c r="AX96" s="151"/>
      <c r="AY96" s="76">
        <f t="shared" ca="1" si="88"/>
        <v>0.28513411402310518</v>
      </c>
      <c r="AZ96">
        <v>9</v>
      </c>
      <c r="BA96" s="129">
        <f t="shared" si="89"/>
        <v>39646</v>
      </c>
      <c r="BB96" s="207">
        <v>0</v>
      </c>
      <c r="BC96" s="207">
        <v>0</v>
      </c>
      <c r="BD96" s="207">
        <v>0</v>
      </c>
      <c r="BE96" s="207">
        <v>3</v>
      </c>
      <c r="BF96" s="207">
        <v>0</v>
      </c>
      <c r="BG96" s="207">
        <v>1</v>
      </c>
      <c r="BH96" s="207">
        <v>0</v>
      </c>
      <c r="BI96" s="207">
        <v>0</v>
      </c>
      <c r="BJ96" s="207">
        <v>0</v>
      </c>
      <c r="BK96" s="207">
        <v>0</v>
      </c>
      <c r="BL96" s="207">
        <v>0</v>
      </c>
      <c r="BM96" s="207">
        <v>0</v>
      </c>
      <c r="BN96" s="207">
        <v>0</v>
      </c>
      <c r="BO96" s="207">
        <v>0</v>
      </c>
      <c r="BP96" s="207">
        <v>0</v>
      </c>
      <c r="BQ96" s="207">
        <v>0</v>
      </c>
      <c r="BR96" s="207">
        <v>0</v>
      </c>
      <c r="BS96" s="207">
        <v>0</v>
      </c>
      <c r="BT96" s="207">
        <v>0</v>
      </c>
      <c r="BU96" s="207">
        <v>0</v>
      </c>
      <c r="BV96" s="207">
        <v>0</v>
      </c>
      <c r="BW96" s="207">
        <v>0</v>
      </c>
      <c r="BX96" s="207">
        <v>0</v>
      </c>
      <c r="BY96" s="207">
        <v>0</v>
      </c>
      <c r="BZ96" s="207">
        <v>0</v>
      </c>
      <c r="CA96" s="207">
        <v>0</v>
      </c>
      <c r="CB96" s="207">
        <v>0</v>
      </c>
      <c r="CC96" s="207">
        <v>0</v>
      </c>
      <c r="CD96" s="207">
        <v>0</v>
      </c>
      <c r="CE96" s="207">
        <v>0</v>
      </c>
      <c r="CF96" s="207">
        <v>0</v>
      </c>
      <c r="CG96" s="147"/>
      <c r="CH96" s="176"/>
      <c r="CJ96" s="151"/>
      <c r="CK96" s="76">
        <f t="shared" ca="1" si="90"/>
        <v>0.50228614843662212</v>
      </c>
      <c r="CL96" s="179">
        <f t="shared" si="91"/>
        <v>9</v>
      </c>
      <c r="CM96" s="180">
        <f t="shared" si="92"/>
        <v>39646</v>
      </c>
      <c r="CN96" s="208">
        <v>0</v>
      </c>
      <c r="CO96" s="208">
        <v>0</v>
      </c>
      <c r="CP96" s="208">
        <v>2</v>
      </c>
      <c r="CQ96" s="208">
        <v>2</v>
      </c>
      <c r="CR96" s="208">
        <v>0</v>
      </c>
      <c r="CS96" s="208">
        <v>0</v>
      </c>
      <c r="CT96" s="208">
        <v>0</v>
      </c>
      <c r="CU96" s="208">
        <v>0</v>
      </c>
      <c r="CV96" s="160"/>
      <c r="CW96">
        <v>1</v>
      </c>
      <c r="CX96">
        <v>1</v>
      </c>
      <c r="CY96" s="164"/>
      <c r="CZ96" s="177">
        <f t="shared" si="93"/>
        <v>9.6000000000000002E-2</v>
      </c>
      <c r="DB96" s="151"/>
      <c r="DC96" s="76">
        <f t="shared" ca="1" si="51"/>
        <v>0.24412351203358362</v>
      </c>
      <c r="DD96">
        <f t="shared" si="94"/>
        <v>9</v>
      </c>
      <c r="DE96" s="129">
        <f t="shared" si="52"/>
        <v>39646</v>
      </c>
      <c r="DF96" s="161">
        <f t="shared" si="95"/>
        <v>0</v>
      </c>
      <c r="DG96" s="161">
        <f t="shared" si="96"/>
        <v>0</v>
      </c>
      <c r="DH96" s="161">
        <f t="shared" si="97"/>
        <v>20.833333333333332</v>
      </c>
      <c r="DI96" s="161">
        <f t="shared" si="98"/>
        <v>52.083333333333336</v>
      </c>
      <c r="DJ96" s="161">
        <f t="shared" si="99"/>
        <v>0</v>
      </c>
      <c r="DK96" s="161">
        <f t="shared" si="100"/>
        <v>10.416666666666666</v>
      </c>
      <c r="DL96" s="161">
        <f t="shared" si="101"/>
        <v>0</v>
      </c>
      <c r="DM96" s="161">
        <f t="shared" si="102"/>
        <v>0</v>
      </c>
      <c r="DN96" s="161">
        <f t="shared" si="103"/>
        <v>0</v>
      </c>
      <c r="DO96" s="161">
        <f t="shared" si="104"/>
        <v>0</v>
      </c>
      <c r="DP96" s="161">
        <f t="shared" si="105"/>
        <v>0</v>
      </c>
      <c r="DQ96" s="161">
        <f t="shared" si="106"/>
        <v>0</v>
      </c>
      <c r="DR96" s="161">
        <f t="shared" si="107"/>
        <v>0</v>
      </c>
      <c r="DS96" s="161">
        <f t="shared" si="108"/>
        <v>0</v>
      </c>
      <c r="DT96" s="161">
        <f t="shared" si="109"/>
        <v>0</v>
      </c>
      <c r="DU96" s="161">
        <f t="shared" si="110"/>
        <v>0</v>
      </c>
      <c r="DV96" s="161">
        <f t="shared" si="111"/>
        <v>0</v>
      </c>
      <c r="DW96" s="161">
        <f t="shared" si="112"/>
        <v>0</v>
      </c>
      <c r="DX96" s="161">
        <f t="shared" si="113"/>
        <v>0</v>
      </c>
      <c r="DY96" s="161">
        <f t="shared" si="114"/>
        <v>0</v>
      </c>
      <c r="DZ96" s="161">
        <f t="shared" si="115"/>
        <v>0</v>
      </c>
      <c r="EA96" s="161">
        <f t="shared" si="116"/>
        <v>0</v>
      </c>
      <c r="EB96" s="161">
        <f t="shared" si="117"/>
        <v>0</v>
      </c>
      <c r="EC96" s="161">
        <f t="shared" si="118"/>
        <v>0</v>
      </c>
      <c r="ED96" s="161">
        <f t="shared" si="119"/>
        <v>0</v>
      </c>
      <c r="EE96" s="161">
        <f t="shared" si="120"/>
        <v>0</v>
      </c>
      <c r="EF96" s="161">
        <f t="shared" si="121"/>
        <v>0</v>
      </c>
      <c r="EG96" s="161">
        <f t="shared" si="122"/>
        <v>0</v>
      </c>
      <c r="EH96" s="161">
        <f t="shared" si="123"/>
        <v>0</v>
      </c>
      <c r="EI96" s="161">
        <f t="shared" si="124"/>
        <v>0</v>
      </c>
      <c r="EJ96" s="161">
        <f t="shared" si="125"/>
        <v>0</v>
      </c>
      <c r="EK96" s="147">
        <f t="shared" si="55"/>
        <v>83.333333333333343</v>
      </c>
      <c r="EL96" s="149"/>
      <c r="EN96" s="151"/>
      <c r="EO96" s="151"/>
      <c r="EP96" s="139">
        <f t="shared" si="56"/>
        <v>0</v>
      </c>
      <c r="EQ96" s="139">
        <f t="shared" si="57"/>
        <v>0</v>
      </c>
      <c r="ER96" s="139">
        <f t="shared" si="58"/>
        <v>1.5257522954586935</v>
      </c>
      <c r="ES96" s="139">
        <f t="shared" si="59"/>
        <v>11.247588747463091</v>
      </c>
      <c r="ET96" s="139">
        <f t="shared" si="60"/>
        <v>0</v>
      </c>
      <c r="EU96" s="139">
        <f t="shared" si="61"/>
        <v>8.7853696509678922</v>
      </c>
      <c r="EV96" s="139">
        <f t="shared" si="62"/>
        <v>0</v>
      </c>
      <c r="EW96" s="139">
        <f t="shared" si="63"/>
        <v>0</v>
      </c>
      <c r="EX96" s="139">
        <f t="shared" si="64"/>
        <v>0</v>
      </c>
      <c r="EY96" s="139">
        <f t="shared" si="65"/>
        <v>0</v>
      </c>
      <c r="EZ96" s="139">
        <f t="shared" si="66"/>
        <v>0</v>
      </c>
      <c r="FA96" s="139">
        <f t="shared" si="67"/>
        <v>0</v>
      </c>
      <c r="FB96" s="139">
        <f t="shared" si="68"/>
        <v>0</v>
      </c>
      <c r="FC96" s="139">
        <f t="shared" si="69"/>
        <v>0</v>
      </c>
      <c r="FD96" s="139">
        <f t="shared" si="70"/>
        <v>0</v>
      </c>
      <c r="FE96" s="139">
        <f t="shared" si="71"/>
        <v>0</v>
      </c>
      <c r="FF96" s="139">
        <f t="shared" si="72"/>
        <v>0</v>
      </c>
      <c r="FG96" s="139">
        <f t="shared" si="73"/>
        <v>0</v>
      </c>
      <c r="FH96" s="139">
        <f t="shared" si="74"/>
        <v>0</v>
      </c>
      <c r="FI96" s="139">
        <f t="shared" si="75"/>
        <v>0</v>
      </c>
      <c r="FJ96" s="139">
        <f t="shared" si="76"/>
        <v>0</v>
      </c>
      <c r="FK96" s="139">
        <f t="shared" si="77"/>
        <v>0</v>
      </c>
      <c r="FL96" s="139">
        <f t="shared" si="78"/>
        <v>0</v>
      </c>
      <c r="FM96" s="139">
        <f t="shared" si="79"/>
        <v>0</v>
      </c>
      <c r="FN96" s="139">
        <f t="shared" si="80"/>
        <v>0</v>
      </c>
      <c r="FO96" s="139">
        <f t="shared" si="81"/>
        <v>0</v>
      </c>
      <c r="FP96" s="139">
        <f t="shared" si="82"/>
        <v>0</v>
      </c>
      <c r="FQ96" s="139">
        <f t="shared" si="83"/>
        <v>0</v>
      </c>
      <c r="FR96" s="139">
        <f t="shared" si="84"/>
        <v>0</v>
      </c>
      <c r="FS96" s="139">
        <f t="shared" si="85"/>
        <v>0</v>
      </c>
      <c r="FT96" s="139">
        <f t="shared" si="86"/>
        <v>0</v>
      </c>
      <c r="FU96" s="148">
        <f t="shared" si="87"/>
        <v>21.558710693889676</v>
      </c>
      <c r="FV96" s="149"/>
      <c r="FY96" s="213">
        <v>91</v>
      </c>
      <c r="FZ96">
        <v>66.552155047160483</v>
      </c>
      <c r="GA96">
        <v>76.635907722207079</v>
      </c>
      <c r="GB96">
        <v>11.76671111539755</v>
      </c>
      <c r="GC96">
        <v>7.7257811379236214</v>
      </c>
      <c r="GD96">
        <v>6.6333984933481585</v>
      </c>
      <c r="GE96">
        <v>5.8355008416390861</v>
      </c>
      <c r="GF96">
        <v>13.342297189610392</v>
      </c>
      <c r="GG96">
        <v>13.835369438592494</v>
      </c>
      <c r="GH96">
        <v>13.268982506538809</v>
      </c>
      <c r="GI96">
        <v>21.521862341169424</v>
      </c>
      <c r="GJ96"/>
      <c r="GK96"/>
      <c r="GL96"/>
      <c r="GM96"/>
      <c r="GN96" s="208"/>
      <c r="GO96" s="208"/>
      <c r="GP96" s="208"/>
      <c r="GQ96" s="208"/>
      <c r="GR96" s="208"/>
      <c r="GS96" s="208"/>
      <c r="GT96" s="208"/>
      <c r="GU96" s="213">
        <v>91</v>
      </c>
    </row>
    <row r="97" spans="1:203" s="7" customFormat="1">
      <c r="A97" s="77"/>
      <c r="B97" s="76">
        <f ca="1">IF(C97="", "", RAND())</f>
        <v>0.57374304162534262</v>
      </c>
      <c r="C97">
        <v>8</v>
      </c>
      <c r="D97">
        <v>39646</v>
      </c>
      <c r="E97">
        <v>0</v>
      </c>
      <c r="F97">
        <v>0</v>
      </c>
      <c r="G97">
        <v>93.75</v>
      </c>
      <c r="H97">
        <v>83.333333333333329</v>
      </c>
      <c r="I97">
        <v>10.416666666666666</v>
      </c>
      <c r="J97">
        <v>20.833333333333332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 s="2"/>
      <c r="AK97" s="80"/>
      <c r="AL97" s="74"/>
      <c r="AM97" s="43">
        <v>81</v>
      </c>
      <c r="AN97">
        <v>290.29434868455508</v>
      </c>
      <c r="AO97">
        <v>27.16059517197623</v>
      </c>
      <c r="AP97">
        <v>62.791696269293837</v>
      </c>
      <c r="AQ97">
        <v>200.56982837208756</v>
      </c>
      <c r="AR97">
        <v>28.048447234442328</v>
      </c>
      <c r="AS97">
        <v>231.86615692187684</v>
      </c>
      <c r="AT97">
        <v>12.910558366018796</v>
      </c>
      <c r="AU97">
        <v>9.5429482621752619</v>
      </c>
      <c r="AV97"/>
      <c r="AW97"/>
      <c r="AX97" s="151"/>
      <c r="AY97" s="76">
        <f t="shared" ca="1" si="88"/>
        <v>0.58720075132389815</v>
      </c>
      <c r="AZ97">
        <v>10</v>
      </c>
      <c r="BA97" s="129">
        <f t="shared" si="89"/>
        <v>39646</v>
      </c>
      <c r="BB97" s="207">
        <v>0</v>
      </c>
      <c r="BC97" s="207">
        <v>0</v>
      </c>
      <c r="BD97" s="207">
        <v>1</v>
      </c>
      <c r="BE97" s="207">
        <v>7</v>
      </c>
      <c r="BF97" s="207">
        <v>0</v>
      </c>
      <c r="BG97" s="207">
        <v>1</v>
      </c>
      <c r="BH97" s="207">
        <v>0</v>
      </c>
      <c r="BI97" s="207">
        <v>0</v>
      </c>
      <c r="BJ97" s="207">
        <v>0</v>
      </c>
      <c r="BK97" s="207">
        <v>0</v>
      </c>
      <c r="BL97" s="207">
        <v>0</v>
      </c>
      <c r="BM97" s="207">
        <v>0</v>
      </c>
      <c r="BN97" s="207">
        <v>0</v>
      </c>
      <c r="BO97" s="207">
        <v>0</v>
      </c>
      <c r="BP97" s="207">
        <v>0</v>
      </c>
      <c r="BQ97" s="207">
        <v>0</v>
      </c>
      <c r="BR97" s="207">
        <v>0</v>
      </c>
      <c r="BS97" s="207">
        <v>0</v>
      </c>
      <c r="BT97" s="207">
        <v>0</v>
      </c>
      <c r="BU97" s="207">
        <v>0</v>
      </c>
      <c r="BV97" s="207">
        <v>0</v>
      </c>
      <c r="BW97" s="207">
        <v>0</v>
      </c>
      <c r="BX97" s="207">
        <v>0</v>
      </c>
      <c r="BY97" s="207">
        <v>0</v>
      </c>
      <c r="BZ97" s="207">
        <v>0</v>
      </c>
      <c r="CA97" s="207">
        <v>0</v>
      </c>
      <c r="CB97" s="207">
        <v>0</v>
      </c>
      <c r="CC97" s="207">
        <v>0</v>
      </c>
      <c r="CD97" s="207">
        <v>0</v>
      </c>
      <c r="CE97" s="207">
        <v>0</v>
      </c>
      <c r="CF97" s="207">
        <v>0</v>
      </c>
      <c r="CG97" s="147"/>
      <c r="CH97" s="176"/>
      <c r="CJ97" s="151"/>
      <c r="CK97" s="76">
        <f t="shared" ca="1" si="90"/>
        <v>0.34595030193616161</v>
      </c>
      <c r="CL97" s="179">
        <f t="shared" si="91"/>
        <v>10</v>
      </c>
      <c r="CM97" s="180">
        <f t="shared" si="92"/>
        <v>39646</v>
      </c>
      <c r="CN97" s="208">
        <v>0</v>
      </c>
      <c r="CO97" s="208">
        <v>0</v>
      </c>
      <c r="CP97" s="208">
        <v>4</v>
      </c>
      <c r="CQ97" s="208">
        <v>0</v>
      </c>
      <c r="CR97" s="208">
        <v>0</v>
      </c>
      <c r="CS97" s="208">
        <v>0</v>
      </c>
      <c r="CT97" s="208">
        <v>0</v>
      </c>
      <c r="CU97" s="208">
        <v>0</v>
      </c>
      <c r="CV97" s="160"/>
      <c r="CW97">
        <v>1</v>
      </c>
      <c r="CX97">
        <v>2</v>
      </c>
      <c r="CY97" s="164"/>
      <c r="CZ97" s="177">
        <f t="shared" si="93"/>
        <v>9.6000000000000002E-2</v>
      </c>
      <c r="DB97" s="151"/>
      <c r="DC97" s="76">
        <f t="shared" ca="1" si="51"/>
        <v>4.0547170983002534E-2</v>
      </c>
      <c r="DD97">
        <f t="shared" si="94"/>
        <v>10</v>
      </c>
      <c r="DE97" s="129">
        <f t="shared" si="52"/>
        <v>39646</v>
      </c>
      <c r="DF97" s="161">
        <f t="shared" si="95"/>
        <v>0</v>
      </c>
      <c r="DG97" s="161">
        <f t="shared" si="96"/>
        <v>0</v>
      </c>
      <c r="DH97" s="161">
        <f t="shared" si="97"/>
        <v>93.75</v>
      </c>
      <c r="DI97" s="161">
        <f t="shared" si="98"/>
        <v>72.916666666666671</v>
      </c>
      <c r="DJ97" s="161">
        <f t="shared" si="99"/>
        <v>0</v>
      </c>
      <c r="DK97" s="161">
        <f t="shared" si="100"/>
        <v>10.416666666666666</v>
      </c>
      <c r="DL97" s="161">
        <f t="shared" si="101"/>
        <v>0</v>
      </c>
      <c r="DM97" s="161">
        <f t="shared" si="102"/>
        <v>0</v>
      </c>
      <c r="DN97" s="161">
        <f t="shared" si="103"/>
        <v>0</v>
      </c>
      <c r="DO97" s="161">
        <f t="shared" si="104"/>
        <v>0</v>
      </c>
      <c r="DP97" s="161">
        <f t="shared" si="105"/>
        <v>0</v>
      </c>
      <c r="DQ97" s="161">
        <f t="shared" si="106"/>
        <v>0</v>
      </c>
      <c r="DR97" s="161">
        <f t="shared" si="107"/>
        <v>0</v>
      </c>
      <c r="DS97" s="161">
        <f t="shared" si="108"/>
        <v>0</v>
      </c>
      <c r="DT97" s="161">
        <f t="shared" si="109"/>
        <v>0</v>
      </c>
      <c r="DU97" s="161">
        <f t="shared" si="110"/>
        <v>0</v>
      </c>
      <c r="DV97" s="161">
        <f t="shared" si="111"/>
        <v>0</v>
      </c>
      <c r="DW97" s="161">
        <f t="shared" si="112"/>
        <v>0</v>
      </c>
      <c r="DX97" s="161">
        <f t="shared" si="113"/>
        <v>0</v>
      </c>
      <c r="DY97" s="161">
        <f t="shared" si="114"/>
        <v>0</v>
      </c>
      <c r="DZ97" s="161">
        <f t="shared" si="115"/>
        <v>0</v>
      </c>
      <c r="EA97" s="161">
        <f t="shared" si="116"/>
        <v>0</v>
      </c>
      <c r="EB97" s="161">
        <f t="shared" si="117"/>
        <v>0</v>
      </c>
      <c r="EC97" s="161">
        <f t="shared" si="118"/>
        <v>0</v>
      </c>
      <c r="ED97" s="161">
        <f t="shared" si="119"/>
        <v>0</v>
      </c>
      <c r="EE97" s="161">
        <f t="shared" si="120"/>
        <v>0</v>
      </c>
      <c r="EF97" s="161">
        <f t="shared" si="121"/>
        <v>0</v>
      </c>
      <c r="EG97" s="161">
        <f t="shared" si="122"/>
        <v>0</v>
      </c>
      <c r="EH97" s="161">
        <f t="shared" si="123"/>
        <v>0</v>
      </c>
      <c r="EI97" s="161">
        <f t="shared" si="124"/>
        <v>0</v>
      </c>
      <c r="EJ97" s="161">
        <f t="shared" si="125"/>
        <v>0</v>
      </c>
      <c r="EK97" s="147">
        <f t="shared" si="55"/>
        <v>177.08333333333334</v>
      </c>
      <c r="EL97" s="149"/>
      <c r="EN97" s="151"/>
      <c r="EO97" s="151"/>
      <c r="EP97" s="139">
        <f t="shared" si="56"/>
        <v>0</v>
      </c>
      <c r="EQ97" s="139">
        <f t="shared" si="57"/>
        <v>0</v>
      </c>
      <c r="ER97" s="139">
        <f t="shared" si="58"/>
        <v>6.8658853295641213</v>
      </c>
      <c r="ES97" s="139">
        <f t="shared" si="59"/>
        <v>15.746624246448329</v>
      </c>
      <c r="ET97" s="139">
        <f t="shared" si="60"/>
        <v>0</v>
      </c>
      <c r="EU97" s="139">
        <f t="shared" si="61"/>
        <v>8.7853696509678922</v>
      </c>
      <c r="EV97" s="139">
        <f t="shared" si="62"/>
        <v>0</v>
      </c>
      <c r="EW97" s="139">
        <f t="shared" si="63"/>
        <v>0</v>
      </c>
      <c r="EX97" s="139">
        <f t="shared" si="64"/>
        <v>0</v>
      </c>
      <c r="EY97" s="139">
        <f t="shared" si="65"/>
        <v>0</v>
      </c>
      <c r="EZ97" s="139">
        <f t="shared" si="66"/>
        <v>0</v>
      </c>
      <c r="FA97" s="139">
        <f t="shared" si="67"/>
        <v>0</v>
      </c>
      <c r="FB97" s="139">
        <f t="shared" si="68"/>
        <v>0</v>
      </c>
      <c r="FC97" s="139">
        <f t="shared" si="69"/>
        <v>0</v>
      </c>
      <c r="FD97" s="139">
        <f t="shared" si="70"/>
        <v>0</v>
      </c>
      <c r="FE97" s="139">
        <f t="shared" si="71"/>
        <v>0</v>
      </c>
      <c r="FF97" s="139">
        <f t="shared" si="72"/>
        <v>0</v>
      </c>
      <c r="FG97" s="139">
        <f t="shared" si="73"/>
        <v>0</v>
      </c>
      <c r="FH97" s="139">
        <f t="shared" si="74"/>
        <v>0</v>
      </c>
      <c r="FI97" s="139">
        <f t="shared" si="75"/>
        <v>0</v>
      </c>
      <c r="FJ97" s="139">
        <f t="shared" si="76"/>
        <v>0</v>
      </c>
      <c r="FK97" s="139">
        <f t="shared" si="77"/>
        <v>0</v>
      </c>
      <c r="FL97" s="139">
        <f t="shared" si="78"/>
        <v>0</v>
      </c>
      <c r="FM97" s="139">
        <f t="shared" si="79"/>
        <v>0</v>
      </c>
      <c r="FN97" s="139">
        <f t="shared" si="80"/>
        <v>0</v>
      </c>
      <c r="FO97" s="139">
        <f t="shared" si="81"/>
        <v>0</v>
      </c>
      <c r="FP97" s="139">
        <f t="shared" si="82"/>
        <v>0</v>
      </c>
      <c r="FQ97" s="139">
        <f t="shared" si="83"/>
        <v>0</v>
      </c>
      <c r="FR97" s="139">
        <f t="shared" si="84"/>
        <v>0</v>
      </c>
      <c r="FS97" s="139">
        <f t="shared" si="85"/>
        <v>0</v>
      </c>
      <c r="FT97" s="139">
        <f t="shared" si="86"/>
        <v>0</v>
      </c>
      <c r="FU97" s="148">
        <f t="shared" si="87"/>
        <v>31.397879226980344</v>
      </c>
      <c r="FV97" s="149"/>
      <c r="FY97" s="213">
        <v>92</v>
      </c>
      <c r="FZ97">
        <v>43.897959605137224</v>
      </c>
      <c r="GA97">
        <v>55.691354072018804</v>
      </c>
      <c r="GB97">
        <v>16.160198684174073</v>
      </c>
      <c r="GC97">
        <v>7.1588681459378778</v>
      </c>
      <c r="GD97">
        <v>5.8694227623646924</v>
      </c>
      <c r="GE97">
        <v>5.7485262015224814</v>
      </c>
      <c r="GF97">
        <v>19.322676039038953</v>
      </c>
      <c r="GG97">
        <v>16.865632552291977</v>
      </c>
      <c r="GH97">
        <v>11.726404897481896</v>
      </c>
      <c r="GI97">
        <v>19.858022588835684</v>
      </c>
      <c r="GJ97"/>
      <c r="GK97"/>
      <c r="GL97"/>
      <c r="GM97"/>
      <c r="GN97" s="208"/>
      <c r="GO97" s="208"/>
      <c r="GP97" s="208"/>
      <c r="GQ97" s="208"/>
      <c r="GR97" s="208"/>
      <c r="GS97" s="208"/>
      <c r="GT97" s="208"/>
      <c r="GU97" s="213">
        <v>92</v>
      </c>
    </row>
    <row r="98" spans="1:203" s="7" customFormat="1">
      <c r="A98" s="128"/>
      <c r="B98" s="76">
        <f ca="1">IF(C98="", "", RAND())</f>
        <v>7.8620860367606404E-3</v>
      </c>
      <c r="C98">
        <v>4</v>
      </c>
      <c r="D98">
        <v>39673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 s="2"/>
      <c r="AK98" s="80"/>
      <c r="AL98" s="74"/>
      <c r="AM98" s="43">
        <v>82</v>
      </c>
      <c r="AN98">
        <v>269.02930690133633</v>
      </c>
      <c r="AO98">
        <v>25.447307704612946</v>
      </c>
      <c r="AP98">
        <v>59.901687534725696</v>
      </c>
      <c r="AQ98">
        <v>180.2831767322329</v>
      </c>
      <c r="AR98">
        <v>26.88889098276114</v>
      </c>
      <c r="AS98">
        <v>221.73487689197322</v>
      </c>
      <c r="AT98">
        <v>10.777013167030601</v>
      </c>
      <c r="AU98">
        <v>14.083929636318015</v>
      </c>
      <c r="AV98"/>
      <c r="AW98"/>
      <c r="AX98" s="128"/>
      <c r="AY98" s="76">
        <f t="shared" ca="1" si="88"/>
        <v>0.33227285363432291</v>
      </c>
      <c r="AZ98">
        <v>1</v>
      </c>
      <c r="BA98" s="129">
        <f>IF(AZ98="", "",$C$5)</f>
        <v>39673</v>
      </c>
      <c r="BB98" s="207">
        <v>0</v>
      </c>
      <c r="BC98" s="207">
        <v>0</v>
      </c>
      <c r="BD98" s="207">
        <v>0</v>
      </c>
      <c r="BE98" s="207">
        <v>0</v>
      </c>
      <c r="BF98" s="207">
        <v>3</v>
      </c>
      <c r="BG98" s="207">
        <v>1</v>
      </c>
      <c r="BH98" s="207">
        <v>0</v>
      </c>
      <c r="BI98" s="207">
        <v>0</v>
      </c>
      <c r="BJ98" s="207">
        <v>0</v>
      </c>
      <c r="BK98" s="207">
        <v>0</v>
      </c>
      <c r="BL98" s="207">
        <v>0</v>
      </c>
      <c r="BM98" s="207">
        <v>0</v>
      </c>
      <c r="BN98" s="207">
        <v>0</v>
      </c>
      <c r="BO98" s="207">
        <v>0</v>
      </c>
      <c r="BP98" s="207">
        <v>0</v>
      </c>
      <c r="BQ98" s="207">
        <v>0</v>
      </c>
      <c r="BR98" s="207">
        <v>0</v>
      </c>
      <c r="BS98" s="207">
        <v>0</v>
      </c>
      <c r="BT98" s="207">
        <v>0</v>
      </c>
      <c r="BU98" s="207">
        <v>0</v>
      </c>
      <c r="BV98" s="207">
        <v>0</v>
      </c>
      <c r="BW98" s="207">
        <v>0</v>
      </c>
      <c r="BX98" s="207">
        <v>0</v>
      </c>
      <c r="BY98" s="207">
        <v>0</v>
      </c>
      <c r="BZ98" s="207">
        <v>0</v>
      </c>
      <c r="CA98" s="207">
        <v>0</v>
      </c>
      <c r="CB98" s="207">
        <v>0</v>
      </c>
      <c r="CC98" s="207">
        <v>0</v>
      </c>
      <c r="CD98" s="207">
        <v>0</v>
      </c>
      <c r="CE98" s="207">
        <v>0</v>
      </c>
      <c r="CF98" s="207">
        <v>0</v>
      </c>
      <c r="CG98" s="147"/>
      <c r="CH98" s="176"/>
      <c r="CJ98" s="128"/>
      <c r="CK98" s="76">
        <f t="shared" ca="1" si="90"/>
        <v>5.8874449780501159E-2</v>
      </c>
      <c r="CL98" s="179">
        <f t="shared" si="91"/>
        <v>1</v>
      </c>
      <c r="CM98" s="180">
        <f t="shared" si="92"/>
        <v>39673</v>
      </c>
      <c r="CN98" s="208">
        <v>0</v>
      </c>
      <c r="CO98" s="208">
        <v>0</v>
      </c>
      <c r="CP98" s="208">
        <v>0</v>
      </c>
      <c r="CQ98" s="208">
        <v>0</v>
      </c>
      <c r="CR98" s="208">
        <v>0</v>
      </c>
      <c r="CS98" s="208">
        <v>0</v>
      </c>
      <c r="CT98" s="208">
        <v>0</v>
      </c>
      <c r="CU98" s="208">
        <v>0</v>
      </c>
      <c r="CW98">
        <v>1</v>
      </c>
      <c r="CX98">
        <v>1</v>
      </c>
      <c r="CY98" s="158"/>
      <c r="CZ98" s="177">
        <f t="shared" si="93"/>
        <v>9.6000000000000002E-2</v>
      </c>
      <c r="DB98" s="128"/>
      <c r="DC98" s="76">
        <f t="shared" ca="1" si="51"/>
        <v>0.93755581242053698</v>
      </c>
      <c r="DD98">
        <f t="shared" si="94"/>
        <v>1</v>
      </c>
      <c r="DE98" s="129">
        <f t="shared" ref="DE98:DE107" si="126">IF((DD98)="", "", $C$5)</f>
        <v>39673</v>
      </c>
      <c r="DF98" s="161">
        <f t="shared" si="95"/>
        <v>0</v>
      </c>
      <c r="DG98" s="161">
        <f t="shared" si="96"/>
        <v>0</v>
      </c>
      <c r="DH98" s="161">
        <f t="shared" si="97"/>
        <v>0</v>
      </c>
      <c r="DI98" s="161">
        <f t="shared" si="98"/>
        <v>0</v>
      </c>
      <c r="DJ98" s="161">
        <f t="shared" si="99"/>
        <v>31.25</v>
      </c>
      <c r="DK98" s="161">
        <f t="shared" si="100"/>
        <v>10.416666666666666</v>
      </c>
      <c r="DL98" s="161">
        <f t="shared" si="101"/>
        <v>0</v>
      </c>
      <c r="DM98" s="161">
        <f t="shared" si="102"/>
        <v>0</v>
      </c>
      <c r="DN98" s="161">
        <f t="shared" si="103"/>
        <v>0</v>
      </c>
      <c r="DO98" s="161">
        <f t="shared" si="104"/>
        <v>0</v>
      </c>
      <c r="DP98" s="161">
        <f t="shared" si="105"/>
        <v>0</v>
      </c>
      <c r="DQ98" s="161">
        <f t="shared" si="106"/>
        <v>0</v>
      </c>
      <c r="DR98" s="161">
        <f t="shared" si="107"/>
        <v>0</v>
      </c>
      <c r="DS98" s="161">
        <f t="shared" si="108"/>
        <v>0</v>
      </c>
      <c r="DT98" s="161">
        <f t="shared" si="109"/>
        <v>0</v>
      </c>
      <c r="DU98" s="161">
        <f t="shared" si="110"/>
        <v>0</v>
      </c>
      <c r="DV98" s="161">
        <f t="shared" si="111"/>
        <v>0</v>
      </c>
      <c r="DW98" s="161">
        <f t="shared" si="112"/>
        <v>0</v>
      </c>
      <c r="DX98" s="161">
        <f t="shared" si="113"/>
        <v>0</v>
      </c>
      <c r="DY98" s="161">
        <f t="shared" si="114"/>
        <v>0</v>
      </c>
      <c r="DZ98" s="161">
        <f t="shared" si="115"/>
        <v>0</v>
      </c>
      <c r="EA98" s="161">
        <f t="shared" si="116"/>
        <v>0</v>
      </c>
      <c r="EB98" s="161">
        <f t="shared" si="117"/>
        <v>0</v>
      </c>
      <c r="EC98" s="161">
        <f t="shared" si="118"/>
        <v>0</v>
      </c>
      <c r="ED98" s="161">
        <f t="shared" si="119"/>
        <v>0</v>
      </c>
      <c r="EE98" s="161">
        <f t="shared" si="120"/>
        <v>0</v>
      </c>
      <c r="EF98" s="161">
        <f t="shared" si="121"/>
        <v>0</v>
      </c>
      <c r="EG98" s="161">
        <f t="shared" si="122"/>
        <v>0</v>
      </c>
      <c r="EH98" s="161">
        <f t="shared" si="123"/>
        <v>0</v>
      </c>
      <c r="EI98" s="161">
        <f t="shared" si="124"/>
        <v>0</v>
      </c>
      <c r="EJ98" s="161">
        <f t="shared" si="125"/>
        <v>0</v>
      </c>
      <c r="EK98" s="147">
        <f t="shared" si="55"/>
        <v>41.666666666666664</v>
      </c>
      <c r="EL98" s="149"/>
      <c r="EN98" s="146"/>
      <c r="EO98" s="146"/>
      <c r="EP98" s="139">
        <f t="shared" si="56"/>
        <v>0</v>
      </c>
      <c r="EQ98" s="139">
        <f t="shared" si="57"/>
        <v>0</v>
      </c>
      <c r="ER98" s="139">
        <f t="shared" si="58"/>
        <v>0</v>
      </c>
      <c r="ES98" s="139">
        <f t="shared" si="59"/>
        <v>0</v>
      </c>
      <c r="ET98" s="139">
        <f t="shared" si="60"/>
        <v>14.535242759360877</v>
      </c>
      <c r="EU98" s="139">
        <f t="shared" si="61"/>
        <v>8.7853696509678922</v>
      </c>
      <c r="EV98" s="139">
        <f t="shared" si="62"/>
        <v>0</v>
      </c>
      <c r="EW98" s="139">
        <f t="shared" si="63"/>
        <v>0</v>
      </c>
      <c r="EX98" s="139">
        <f t="shared" si="64"/>
        <v>0</v>
      </c>
      <c r="EY98" s="139">
        <f t="shared" si="65"/>
        <v>0</v>
      </c>
      <c r="EZ98" s="139">
        <f t="shared" si="66"/>
        <v>0</v>
      </c>
      <c r="FA98" s="139">
        <f t="shared" si="67"/>
        <v>0</v>
      </c>
      <c r="FB98" s="139">
        <f t="shared" si="68"/>
        <v>0</v>
      </c>
      <c r="FC98" s="139">
        <f t="shared" si="69"/>
        <v>0</v>
      </c>
      <c r="FD98" s="139">
        <f t="shared" si="70"/>
        <v>0</v>
      </c>
      <c r="FE98" s="139">
        <f t="shared" si="71"/>
        <v>0</v>
      </c>
      <c r="FF98" s="139">
        <f t="shared" si="72"/>
        <v>0</v>
      </c>
      <c r="FG98" s="139">
        <f t="shared" si="73"/>
        <v>0</v>
      </c>
      <c r="FH98" s="139">
        <f t="shared" si="74"/>
        <v>0</v>
      </c>
      <c r="FI98" s="139">
        <f t="shared" si="75"/>
        <v>0</v>
      </c>
      <c r="FJ98" s="139">
        <f t="shared" si="76"/>
        <v>0</v>
      </c>
      <c r="FK98" s="139">
        <f t="shared" si="77"/>
        <v>0</v>
      </c>
      <c r="FL98" s="139">
        <f t="shared" si="78"/>
        <v>0</v>
      </c>
      <c r="FM98" s="139">
        <f t="shared" si="79"/>
        <v>0</v>
      </c>
      <c r="FN98" s="139">
        <f t="shared" si="80"/>
        <v>0</v>
      </c>
      <c r="FO98" s="139">
        <f t="shared" si="81"/>
        <v>0</v>
      </c>
      <c r="FP98" s="139">
        <f t="shared" si="82"/>
        <v>0</v>
      </c>
      <c r="FQ98" s="139">
        <f t="shared" si="83"/>
        <v>0</v>
      </c>
      <c r="FR98" s="139">
        <f t="shared" si="84"/>
        <v>0</v>
      </c>
      <c r="FS98" s="139">
        <f t="shared" si="85"/>
        <v>0</v>
      </c>
      <c r="FT98" s="139">
        <f t="shared" si="86"/>
        <v>0</v>
      </c>
      <c r="FU98" s="148">
        <f t="shared" si="87"/>
        <v>23.320612410328771</v>
      </c>
      <c r="FV98" s="149"/>
      <c r="FY98" s="213">
        <v>93</v>
      </c>
      <c r="FZ98">
        <v>49.964117651928525</v>
      </c>
      <c r="GA98">
        <v>38.166808692196248</v>
      </c>
      <c r="GB98">
        <v>11.364282407219322</v>
      </c>
      <c r="GC98">
        <v>6.248428826234222</v>
      </c>
      <c r="GD98">
        <v>5.5974392863280205</v>
      </c>
      <c r="GE98">
        <v>8.916753481276821</v>
      </c>
      <c r="GF98">
        <v>22.226770497770289</v>
      </c>
      <c r="GG98">
        <v>16.186024207187295</v>
      </c>
      <c r="GH98">
        <v>18.76625335026629</v>
      </c>
      <c r="GI98">
        <v>20.823109322602622</v>
      </c>
      <c r="GJ98"/>
      <c r="GK98"/>
      <c r="GL98"/>
      <c r="GM98"/>
      <c r="GN98" s="208"/>
      <c r="GO98" s="208"/>
      <c r="GP98" s="208"/>
      <c r="GQ98" s="208"/>
      <c r="GR98" s="208"/>
      <c r="GS98" s="208"/>
      <c r="GT98" s="208"/>
      <c r="GU98" s="213">
        <v>93</v>
      </c>
    </row>
    <row r="99" spans="1:203" s="7" customFormat="1">
      <c r="A99" s="1"/>
      <c r="B99" s="76">
        <f ca="1">IF(C99="", "", RAND())</f>
        <v>0.86692270553505879</v>
      </c>
      <c r="C99">
        <v>2</v>
      </c>
      <c r="D99">
        <v>39673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20.833333333333332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 s="2"/>
      <c r="AK99" s="80"/>
      <c r="AL99" s="74"/>
      <c r="AM99" s="43">
        <v>83</v>
      </c>
      <c r="AN99">
        <v>377.25824640406523</v>
      </c>
      <c r="AO99">
        <v>26.889547433294315</v>
      </c>
      <c r="AP99">
        <v>86.838600133329763</v>
      </c>
      <c r="AQ99">
        <v>198.61953331459236</v>
      </c>
      <c r="AR99">
        <v>27.752605745614638</v>
      </c>
      <c r="AS99">
        <v>280.60347035606634</v>
      </c>
      <c r="AT99">
        <v>12.816576665122549</v>
      </c>
      <c r="AU99">
        <v>25.854427283238095</v>
      </c>
      <c r="AV99"/>
      <c r="AW99"/>
      <c r="AX99" s="146"/>
      <c r="AY99" s="76">
        <f t="shared" ca="1" si="88"/>
        <v>7.5218862124101893E-2</v>
      </c>
      <c r="AZ99">
        <v>2</v>
      </c>
      <c r="BA99" s="129">
        <f t="shared" ref="BA99:BA107" si="127">IF(AZ99="", "",$C$5)</f>
        <v>39673</v>
      </c>
      <c r="BB99" s="207">
        <v>0</v>
      </c>
      <c r="BC99" s="207">
        <v>0</v>
      </c>
      <c r="BD99" s="207">
        <v>0</v>
      </c>
      <c r="BE99" s="207">
        <v>0</v>
      </c>
      <c r="BF99" s="207">
        <v>0</v>
      </c>
      <c r="BG99" s="207">
        <v>0</v>
      </c>
      <c r="BH99" s="207">
        <v>0</v>
      </c>
      <c r="BI99" s="207">
        <v>2</v>
      </c>
      <c r="BJ99" s="207">
        <v>0</v>
      </c>
      <c r="BK99" s="207">
        <v>0</v>
      </c>
      <c r="BL99" s="207">
        <v>0</v>
      </c>
      <c r="BM99" s="207">
        <v>0</v>
      </c>
      <c r="BN99" s="207">
        <v>0</v>
      </c>
      <c r="BO99" s="207">
        <v>0</v>
      </c>
      <c r="BP99" s="207">
        <v>0</v>
      </c>
      <c r="BQ99" s="207">
        <v>0</v>
      </c>
      <c r="BR99" s="207">
        <v>0</v>
      </c>
      <c r="BS99" s="207">
        <v>0</v>
      </c>
      <c r="BT99" s="207">
        <v>0</v>
      </c>
      <c r="BU99" s="207">
        <v>0</v>
      </c>
      <c r="BV99" s="207">
        <v>0</v>
      </c>
      <c r="BW99" s="207">
        <v>0</v>
      </c>
      <c r="BX99" s="207">
        <v>0</v>
      </c>
      <c r="BY99" s="207">
        <v>0</v>
      </c>
      <c r="BZ99" s="207">
        <v>0</v>
      </c>
      <c r="CA99" s="207">
        <v>0</v>
      </c>
      <c r="CB99" s="207">
        <v>0</v>
      </c>
      <c r="CC99" s="207">
        <v>0</v>
      </c>
      <c r="CD99" s="207">
        <v>0</v>
      </c>
      <c r="CE99" s="207">
        <v>0</v>
      </c>
      <c r="CF99" s="207">
        <v>0</v>
      </c>
      <c r="CG99" s="147"/>
      <c r="CH99" s="176"/>
      <c r="CJ99" s="146"/>
      <c r="CK99" s="76">
        <f t="shared" ca="1" si="90"/>
        <v>0.82882487453235143</v>
      </c>
      <c r="CL99" s="179">
        <f t="shared" si="91"/>
        <v>2</v>
      </c>
      <c r="CM99" s="180">
        <f t="shared" si="92"/>
        <v>39673</v>
      </c>
      <c r="CN99" s="208">
        <v>0</v>
      </c>
      <c r="CO99" s="208">
        <v>0</v>
      </c>
      <c r="CP99" s="208">
        <v>0</v>
      </c>
      <c r="CQ99" s="208">
        <v>0</v>
      </c>
      <c r="CR99" s="208">
        <v>0</v>
      </c>
      <c r="CS99" s="208">
        <v>0</v>
      </c>
      <c r="CT99" s="208">
        <v>0</v>
      </c>
      <c r="CU99" s="208">
        <v>0</v>
      </c>
      <c r="CW99">
        <v>1</v>
      </c>
      <c r="CX99">
        <v>6</v>
      </c>
      <c r="CY99" s="158"/>
      <c r="CZ99" s="177">
        <f t="shared" si="93"/>
        <v>9.6000000000000002E-2</v>
      </c>
      <c r="DB99" s="146"/>
      <c r="DC99" s="76">
        <f t="shared" ca="1" si="51"/>
        <v>0.58717078847016868</v>
      </c>
      <c r="DD99">
        <f t="shared" si="94"/>
        <v>2</v>
      </c>
      <c r="DE99" s="129">
        <f t="shared" si="126"/>
        <v>39673</v>
      </c>
      <c r="DF99" s="161">
        <f t="shared" si="95"/>
        <v>0</v>
      </c>
      <c r="DG99" s="161">
        <f t="shared" si="96"/>
        <v>0</v>
      </c>
      <c r="DH99" s="161">
        <f t="shared" si="97"/>
        <v>0</v>
      </c>
      <c r="DI99" s="161">
        <f t="shared" si="98"/>
        <v>0</v>
      </c>
      <c r="DJ99" s="161">
        <f t="shared" si="99"/>
        <v>0</v>
      </c>
      <c r="DK99" s="161">
        <f t="shared" si="100"/>
        <v>0</v>
      </c>
      <c r="DL99" s="161">
        <f t="shared" si="101"/>
        <v>0</v>
      </c>
      <c r="DM99" s="161">
        <f t="shared" si="102"/>
        <v>20.833333333333332</v>
      </c>
      <c r="DN99" s="161">
        <f t="shared" si="103"/>
        <v>0</v>
      </c>
      <c r="DO99" s="161">
        <f t="shared" si="104"/>
        <v>0</v>
      </c>
      <c r="DP99" s="161">
        <f t="shared" si="105"/>
        <v>0</v>
      </c>
      <c r="DQ99" s="161">
        <f t="shared" si="106"/>
        <v>0</v>
      </c>
      <c r="DR99" s="161">
        <f t="shared" si="107"/>
        <v>0</v>
      </c>
      <c r="DS99" s="161">
        <f t="shared" si="108"/>
        <v>0</v>
      </c>
      <c r="DT99" s="161">
        <f t="shared" si="109"/>
        <v>0</v>
      </c>
      <c r="DU99" s="161">
        <f t="shared" si="110"/>
        <v>0</v>
      </c>
      <c r="DV99" s="161">
        <f t="shared" si="111"/>
        <v>0</v>
      </c>
      <c r="DW99" s="161">
        <f t="shared" si="112"/>
        <v>0</v>
      </c>
      <c r="DX99" s="161">
        <f t="shared" si="113"/>
        <v>0</v>
      </c>
      <c r="DY99" s="161">
        <f t="shared" si="114"/>
        <v>0</v>
      </c>
      <c r="DZ99" s="161">
        <f t="shared" si="115"/>
        <v>0</v>
      </c>
      <c r="EA99" s="161">
        <f t="shared" si="116"/>
        <v>0</v>
      </c>
      <c r="EB99" s="161">
        <f t="shared" si="117"/>
        <v>0</v>
      </c>
      <c r="EC99" s="161">
        <f t="shared" si="118"/>
        <v>0</v>
      </c>
      <c r="ED99" s="161">
        <f t="shared" si="119"/>
        <v>0</v>
      </c>
      <c r="EE99" s="161">
        <f t="shared" si="120"/>
        <v>0</v>
      </c>
      <c r="EF99" s="161">
        <f t="shared" si="121"/>
        <v>0</v>
      </c>
      <c r="EG99" s="161">
        <f t="shared" si="122"/>
        <v>0</v>
      </c>
      <c r="EH99" s="161">
        <f t="shared" si="123"/>
        <v>0</v>
      </c>
      <c r="EI99" s="161">
        <f t="shared" si="124"/>
        <v>0</v>
      </c>
      <c r="EJ99" s="161">
        <f t="shared" si="125"/>
        <v>0</v>
      </c>
      <c r="EK99" s="147">
        <f t="shared" si="55"/>
        <v>20.833333333333332</v>
      </c>
      <c r="EL99" s="149"/>
      <c r="EN99" s="146"/>
      <c r="EO99" s="146"/>
      <c r="EP99" s="139">
        <f t="shared" si="56"/>
        <v>0</v>
      </c>
      <c r="EQ99" s="139">
        <f t="shared" si="57"/>
        <v>0</v>
      </c>
      <c r="ER99" s="139">
        <f t="shared" si="58"/>
        <v>0</v>
      </c>
      <c r="ES99" s="139">
        <f t="shared" si="59"/>
        <v>0</v>
      </c>
      <c r="ET99" s="139">
        <f t="shared" si="60"/>
        <v>0</v>
      </c>
      <c r="EU99" s="139">
        <f t="shared" si="61"/>
        <v>0</v>
      </c>
      <c r="EV99" s="139">
        <f t="shared" si="62"/>
        <v>0</v>
      </c>
      <c r="EW99" s="139">
        <f t="shared" si="63"/>
        <v>43.103596275578063</v>
      </c>
      <c r="EX99" s="139">
        <f t="shared" si="64"/>
        <v>0</v>
      </c>
      <c r="EY99" s="139">
        <f t="shared" si="65"/>
        <v>0</v>
      </c>
      <c r="EZ99" s="139">
        <f t="shared" si="66"/>
        <v>0</v>
      </c>
      <c r="FA99" s="139">
        <f t="shared" si="67"/>
        <v>0</v>
      </c>
      <c r="FB99" s="139">
        <f t="shared" si="68"/>
        <v>0</v>
      </c>
      <c r="FC99" s="139">
        <f t="shared" si="69"/>
        <v>0</v>
      </c>
      <c r="FD99" s="139">
        <f t="shared" si="70"/>
        <v>0</v>
      </c>
      <c r="FE99" s="139">
        <f t="shared" si="71"/>
        <v>0</v>
      </c>
      <c r="FF99" s="139">
        <f t="shared" si="72"/>
        <v>0</v>
      </c>
      <c r="FG99" s="139">
        <f t="shared" si="73"/>
        <v>0</v>
      </c>
      <c r="FH99" s="139">
        <f t="shared" si="74"/>
        <v>0</v>
      </c>
      <c r="FI99" s="139">
        <f t="shared" si="75"/>
        <v>0</v>
      </c>
      <c r="FJ99" s="139">
        <f t="shared" si="76"/>
        <v>0</v>
      </c>
      <c r="FK99" s="139">
        <f t="shared" si="77"/>
        <v>0</v>
      </c>
      <c r="FL99" s="139">
        <f t="shared" si="78"/>
        <v>0</v>
      </c>
      <c r="FM99" s="139">
        <f t="shared" si="79"/>
        <v>0</v>
      </c>
      <c r="FN99" s="139">
        <f t="shared" si="80"/>
        <v>0</v>
      </c>
      <c r="FO99" s="139">
        <f t="shared" si="81"/>
        <v>0</v>
      </c>
      <c r="FP99" s="139">
        <f t="shared" si="82"/>
        <v>0</v>
      </c>
      <c r="FQ99" s="139">
        <f t="shared" si="83"/>
        <v>0</v>
      </c>
      <c r="FR99" s="139">
        <f t="shared" si="84"/>
        <v>0</v>
      </c>
      <c r="FS99" s="139">
        <f t="shared" si="85"/>
        <v>0</v>
      </c>
      <c r="FT99" s="139">
        <f t="shared" si="86"/>
        <v>0</v>
      </c>
      <c r="FU99" s="148">
        <f t="shared" si="87"/>
        <v>43.103596275578063</v>
      </c>
      <c r="FV99" s="149"/>
      <c r="FY99" s="213">
        <v>94</v>
      </c>
      <c r="FZ99">
        <v>28.37868325984828</v>
      </c>
      <c r="GA99">
        <v>44.674409575964667</v>
      </c>
      <c r="GB99">
        <v>15.564381897439249</v>
      </c>
      <c r="GC99">
        <v>6.4378413442978246</v>
      </c>
      <c r="GD99">
        <v>4.399040125663654</v>
      </c>
      <c r="GE99">
        <v>2.5174089624714244</v>
      </c>
      <c r="GF99">
        <v>3.031542364550865</v>
      </c>
      <c r="GG99">
        <v>6.4365817594232961</v>
      </c>
      <c r="GH99">
        <v>15.724786021955165</v>
      </c>
      <c r="GI99">
        <v>14.34994481404881</v>
      </c>
      <c r="GJ99"/>
      <c r="GK99"/>
      <c r="GL99"/>
      <c r="GM99"/>
      <c r="GN99" s="208"/>
      <c r="GO99" s="208"/>
      <c r="GP99" s="208"/>
      <c r="GQ99" s="208"/>
      <c r="GR99" s="208"/>
      <c r="GS99" s="208"/>
      <c r="GT99" s="208"/>
      <c r="GU99" s="213">
        <v>94</v>
      </c>
    </row>
    <row r="100" spans="1:203" s="7" customFormat="1">
      <c r="A100" s="1"/>
      <c r="B100" s="76">
        <f ca="1">IF(C100="", "", RAND())</f>
        <v>0.99433675321603476</v>
      </c>
      <c r="C100">
        <v>5</v>
      </c>
      <c r="D100">
        <v>39673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 s="2"/>
      <c r="AK100" s="80"/>
      <c r="AL100" s="74"/>
      <c r="AM100" s="43">
        <v>84</v>
      </c>
      <c r="AN100">
        <v>285.55660652264521</v>
      </c>
      <c r="AO100">
        <v>35.018812450847285</v>
      </c>
      <c r="AP100">
        <v>52.506771925688753</v>
      </c>
      <c r="AQ100">
        <v>254.37149809411261</v>
      </c>
      <c r="AR100">
        <v>35.477281447875782</v>
      </c>
      <c r="AS100">
        <v>297.57540728332469</v>
      </c>
      <c r="AT100">
        <v>13.764280581308855</v>
      </c>
      <c r="AU100">
        <v>-9.782237203005046</v>
      </c>
      <c r="AV100"/>
      <c r="AW100"/>
      <c r="AX100" s="146"/>
      <c r="AY100" s="76">
        <f t="shared" ca="1" si="88"/>
        <v>0.22014212965759006</v>
      </c>
      <c r="AZ100">
        <v>3</v>
      </c>
      <c r="BA100" s="129">
        <f t="shared" si="127"/>
        <v>39673</v>
      </c>
      <c r="BB100" s="207">
        <v>0</v>
      </c>
      <c r="BC100" s="207">
        <v>0</v>
      </c>
      <c r="BD100" s="207">
        <v>0</v>
      </c>
      <c r="BE100" s="207">
        <v>0</v>
      </c>
      <c r="BF100" s="207">
        <v>0</v>
      </c>
      <c r="BG100" s="207">
        <v>0</v>
      </c>
      <c r="BH100" s="207">
        <v>0</v>
      </c>
      <c r="BI100" s="207">
        <v>0</v>
      </c>
      <c r="BJ100" s="207">
        <v>0</v>
      </c>
      <c r="BK100" s="207">
        <v>0</v>
      </c>
      <c r="BL100" s="207">
        <v>0</v>
      </c>
      <c r="BM100" s="207">
        <v>0</v>
      </c>
      <c r="BN100" s="207">
        <v>0</v>
      </c>
      <c r="BO100" s="207">
        <v>0</v>
      </c>
      <c r="BP100" s="207">
        <v>0</v>
      </c>
      <c r="BQ100" s="207">
        <v>0</v>
      </c>
      <c r="BR100" s="207">
        <v>0</v>
      </c>
      <c r="BS100" s="207">
        <v>0</v>
      </c>
      <c r="BT100" s="207">
        <v>0</v>
      </c>
      <c r="BU100" s="207">
        <v>0</v>
      </c>
      <c r="BV100" s="207">
        <v>0</v>
      </c>
      <c r="BW100" s="207">
        <v>0</v>
      </c>
      <c r="BX100" s="207">
        <v>0</v>
      </c>
      <c r="BY100" s="207">
        <v>0</v>
      </c>
      <c r="BZ100" s="207">
        <v>0</v>
      </c>
      <c r="CA100" s="207">
        <v>0</v>
      </c>
      <c r="CB100" s="207">
        <v>0</v>
      </c>
      <c r="CC100" s="207">
        <v>0</v>
      </c>
      <c r="CD100" s="207">
        <v>0</v>
      </c>
      <c r="CE100" s="207">
        <v>0</v>
      </c>
      <c r="CF100" s="207">
        <v>0</v>
      </c>
      <c r="CG100" s="147"/>
      <c r="CH100" s="176"/>
      <c r="CJ100" s="146"/>
      <c r="CK100" s="76">
        <f t="shared" ca="1" si="90"/>
        <v>0.50847568439883339</v>
      </c>
      <c r="CL100" s="179">
        <f t="shared" si="91"/>
        <v>3</v>
      </c>
      <c r="CM100" s="180">
        <f t="shared" si="92"/>
        <v>39673</v>
      </c>
      <c r="CN100" s="208">
        <v>0</v>
      </c>
      <c r="CO100" s="208">
        <v>0</v>
      </c>
      <c r="CP100" s="208">
        <v>0</v>
      </c>
      <c r="CQ100" s="208">
        <v>0</v>
      </c>
      <c r="CR100" s="208">
        <v>0</v>
      </c>
      <c r="CS100" s="208">
        <v>0</v>
      </c>
      <c r="CT100" s="208">
        <v>0</v>
      </c>
      <c r="CU100" s="208">
        <v>0</v>
      </c>
      <c r="CW100">
        <v>1</v>
      </c>
      <c r="CX100">
        <f>350/51</f>
        <v>6.8627450980392153</v>
      </c>
      <c r="CY100" s="158"/>
      <c r="CZ100" s="177">
        <f t="shared" si="93"/>
        <v>9.6000000000000002E-2</v>
      </c>
      <c r="DB100" s="146"/>
      <c r="DC100" s="76">
        <f t="shared" ca="1" si="51"/>
        <v>0.60273565621407332</v>
      </c>
      <c r="DD100">
        <f t="shared" si="94"/>
        <v>3</v>
      </c>
      <c r="DE100" s="129">
        <f t="shared" si="126"/>
        <v>39673</v>
      </c>
      <c r="DF100" s="161">
        <f t="shared" si="95"/>
        <v>0</v>
      </c>
      <c r="DG100" s="161">
        <f t="shared" si="96"/>
        <v>0</v>
      </c>
      <c r="DH100" s="161">
        <f t="shared" si="97"/>
        <v>0</v>
      </c>
      <c r="DI100" s="161">
        <f t="shared" si="98"/>
        <v>0</v>
      </c>
      <c r="DJ100" s="161">
        <f t="shared" si="99"/>
        <v>0</v>
      </c>
      <c r="DK100" s="161">
        <f t="shared" si="100"/>
        <v>0</v>
      </c>
      <c r="DL100" s="161">
        <f t="shared" si="101"/>
        <v>0</v>
      </c>
      <c r="DM100" s="161">
        <f t="shared" si="102"/>
        <v>0</v>
      </c>
      <c r="DN100" s="161">
        <f t="shared" si="103"/>
        <v>0</v>
      </c>
      <c r="DO100" s="161">
        <f t="shared" si="104"/>
        <v>0</v>
      </c>
      <c r="DP100" s="161">
        <f t="shared" si="105"/>
        <v>0</v>
      </c>
      <c r="DQ100" s="161">
        <f t="shared" si="106"/>
        <v>0</v>
      </c>
      <c r="DR100" s="161">
        <f t="shared" si="107"/>
        <v>0</v>
      </c>
      <c r="DS100" s="161">
        <f t="shared" si="108"/>
        <v>0</v>
      </c>
      <c r="DT100" s="161">
        <f t="shared" si="109"/>
        <v>0</v>
      </c>
      <c r="DU100" s="161">
        <f t="shared" si="110"/>
        <v>0</v>
      </c>
      <c r="DV100" s="161">
        <f t="shared" si="111"/>
        <v>0</v>
      </c>
      <c r="DW100" s="161">
        <f t="shared" si="112"/>
        <v>0</v>
      </c>
      <c r="DX100" s="161">
        <f t="shared" si="113"/>
        <v>0</v>
      </c>
      <c r="DY100" s="161">
        <f t="shared" si="114"/>
        <v>0</v>
      </c>
      <c r="DZ100" s="161">
        <f t="shared" si="115"/>
        <v>0</v>
      </c>
      <c r="EA100" s="161">
        <f t="shared" si="116"/>
        <v>0</v>
      </c>
      <c r="EB100" s="161">
        <f t="shared" si="117"/>
        <v>0</v>
      </c>
      <c r="EC100" s="161">
        <f t="shared" si="118"/>
        <v>0</v>
      </c>
      <c r="ED100" s="161">
        <f t="shared" si="119"/>
        <v>0</v>
      </c>
      <c r="EE100" s="161">
        <f t="shared" si="120"/>
        <v>0</v>
      </c>
      <c r="EF100" s="161">
        <f t="shared" si="121"/>
        <v>0</v>
      </c>
      <c r="EG100" s="161">
        <f t="shared" si="122"/>
        <v>0</v>
      </c>
      <c r="EH100" s="161">
        <f t="shared" si="123"/>
        <v>0</v>
      </c>
      <c r="EI100" s="161">
        <f t="shared" si="124"/>
        <v>0</v>
      </c>
      <c r="EJ100" s="161">
        <f t="shared" si="125"/>
        <v>0</v>
      </c>
      <c r="EK100" s="147">
        <f t="shared" si="55"/>
        <v>0</v>
      </c>
      <c r="EL100" s="149"/>
      <c r="EN100" s="146"/>
      <c r="EO100" s="146"/>
      <c r="EP100" s="139">
        <f t="shared" si="56"/>
        <v>0</v>
      </c>
      <c r="EQ100" s="139">
        <f t="shared" si="57"/>
        <v>0</v>
      </c>
      <c r="ER100" s="139">
        <f t="shared" si="58"/>
        <v>0</v>
      </c>
      <c r="ES100" s="139">
        <f t="shared" si="59"/>
        <v>0</v>
      </c>
      <c r="ET100" s="139">
        <f t="shared" si="60"/>
        <v>0</v>
      </c>
      <c r="EU100" s="139">
        <f t="shared" si="61"/>
        <v>0</v>
      </c>
      <c r="EV100" s="139">
        <f t="shared" si="62"/>
        <v>0</v>
      </c>
      <c r="EW100" s="139">
        <f t="shared" si="63"/>
        <v>0</v>
      </c>
      <c r="EX100" s="139">
        <f t="shared" si="64"/>
        <v>0</v>
      </c>
      <c r="EY100" s="139">
        <f t="shared" si="65"/>
        <v>0</v>
      </c>
      <c r="EZ100" s="139">
        <f t="shared" si="66"/>
        <v>0</v>
      </c>
      <c r="FA100" s="139">
        <f t="shared" si="67"/>
        <v>0</v>
      </c>
      <c r="FB100" s="139">
        <f t="shared" si="68"/>
        <v>0</v>
      </c>
      <c r="FC100" s="139">
        <f t="shared" si="69"/>
        <v>0</v>
      </c>
      <c r="FD100" s="139">
        <f t="shared" si="70"/>
        <v>0</v>
      </c>
      <c r="FE100" s="139">
        <f t="shared" si="71"/>
        <v>0</v>
      </c>
      <c r="FF100" s="139">
        <f t="shared" si="72"/>
        <v>0</v>
      </c>
      <c r="FG100" s="139">
        <f t="shared" si="73"/>
        <v>0</v>
      </c>
      <c r="FH100" s="139">
        <f t="shared" si="74"/>
        <v>0</v>
      </c>
      <c r="FI100" s="139">
        <f t="shared" si="75"/>
        <v>0</v>
      </c>
      <c r="FJ100" s="139">
        <f t="shared" si="76"/>
        <v>0</v>
      </c>
      <c r="FK100" s="139">
        <f t="shared" si="77"/>
        <v>0</v>
      </c>
      <c r="FL100" s="139">
        <f t="shared" si="78"/>
        <v>0</v>
      </c>
      <c r="FM100" s="139">
        <f t="shared" si="79"/>
        <v>0</v>
      </c>
      <c r="FN100" s="139">
        <f t="shared" si="80"/>
        <v>0</v>
      </c>
      <c r="FO100" s="139">
        <f t="shared" si="81"/>
        <v>0</v>
      </c>
      <c r="FP100" s="139">
        <f t="shared" si="82"/>
        <v>0</v>
      </c>
      <c r="FQ100" s="139">
        <f t="shared" si="83"/>
        <v>0</v>
      </c>
      <c r="FR100" s="139">
        <f t="shared" si="84"/>
        <v>0</v>
      </c>
      <c r="FS100" s="139">
        <f t="shared" si="85"/>
        <v>0</v>
      </c>
      <c r="FT100" s="139">
        <f t="shared" si="86"/>
        <v>0</v>
      </c>
      <c r="FU100" s="148">
        <f t="shared" si="87"/>
        <v>0</v>
      </c>
      <c r="FV100" s="149"/>
      <c r="FY100" s="213">
        <v>95</v>
      </c>
      <c r="FZ100">
        <v>40.038129029617259</v>
      </c>
      <c r="GA100">
        <v>29.284574776550066</v>
      </c>
      <c r="GB100">
        <v>7.356724447392283</v>
      </c>
      <c r="GC100">
        <v>4.4950438021192189</v>
      </c>
      <c r="GD100">
        <v>4.8691735293246143</v>
      </c>
      <c r="GE100">
        <v>5.1583872834592075</v>
      </c>
      <c r="GF100">
        <v>28.401341879085908</v>
      </c>
      <c r="GG100">
        <v>28.136288102079487</v>
      </c>
      <c r="GH100">
        <v>10.3759670877202</v>
      </c>
      <c r="GI100">
        <v>17.567199335415758</v>
      </c>
      <c r="GJ100"/>
      <c r="GK100"/>
      <c r="GL100"/>
      <c r="GM100"/>
      <c r="GN100" s="208"/>
      <c r="GO100" s="208"/>
      <c r="GP100" s="208"/>
      <c r="GQ100" s="208"/>
      <c r="GR100" s="208"/>
      <c r="GS100" s="208"/>
      <c r="GT100" s="208"/>
      <c r="GU100" s="213">
        <v>95</v>
      </c>
    </row>
    <row r="101" spans="1:203" s="7" customFormat="1">
      <c r="A101" s="1"/>
      <c r="B101" s="76">
        <f ca="1">IF(C101="", "", RAND())</f>
        <v>3.692682724154972E-2</v>
      </c>
      <c r="C101">
        <v>9</v>
      </c>
      <c r="D101">
        <v>39673</v>
      </c>
      <c r="E101">
        <v>0</v>
      </c>
      <c r="F101">
        <v>0</v>
      </c>
      <c r="G101">
        <v>0</v>
      </c>
      <c r="H101">
        <v>0</v>
      </c>
      <c r="I101">
        <v>20.833333333333332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 s="2"/>
      <c r="AK101" s="80"/>
      <c r="AL101" s="74"/>
      <c r="AM101" s="43">
        <v>85</v>
      </c>
      <c r="AN101">
        <v>298.38142234349846</v>
      </c>
      <c r="AO101">
        <v>25.432605144868909</v>
      </c>
      <c r="AP101">
        <v>103.16404775507391</v>
      </c>
      <c r="AQ101">
        <v>169.05055640400215</v>
      </c>
      <c r="AR101">
        <v>24.730773675405224</v>
      </c>
      <c r="AS101">
        <v>224.75473358716232</v>
      </c>
      <c r="AT101">
        <v>11.01918669499271</v>
      </c>
      <c r="AU101">
        <v>-20.074467843479631</v>
      </c>
      <c r="AV101"/>
      <c r="AW101"/>
      <c r="AX101" s="146"/>
      <c r="AY101" s="76">
        <f t="shared" ca="1" si="88"/>
        <v>0.66233358162276468</v>
      </c>
      <c r="AZ101">
        <v>4</v>
      </c>
      <c r="BA101" s="129">
        <f t="shared" si="127"/>
        <v>39673</v>
      </c>
      <c r="BB101" s="207">
        <v>0</v>
      </c>
      <c r="BC101" s="207">
        <v>0</v>
      </c>
      <c r="BD101" s="207">
        <v>0</v>
      </c>
      <c r="BE101" s="207">
        <v>0</v>
      </c>
      <c r="BF101" s="207">
        <v>0</v>
      </c>
      <c r="BG101" s="207">
        <v>0</v>
      </c>
      <c r="BH101" s="207">
        <v>0</v>
      </c>
      <c r="BI101" s="207">
        <v>0</v>
      </c>
      <c r="BJ101" s="207">
        <v>0</v>
      </c>
      <c r="BK101" s="207">
        <v>0</v>
      </c>
      <c r="BL101" s="207">
        <v>0</v>
      </c>
      <c r="BM101" s="207">
        <v>0</v>
      </c>
      <c r="BN101" s="207">
        <v>0</v>
      </c>
      <c r="BO101" s="207">
        <v>0</v>
      </c>
      <c r="BP101" s="207">
        <v>0</v>
      </c>
      <c r="BQ101" s="207">
        <v>0</v>
      </c>
      <c r="BR101" s="207">
        <v>0</v>
      </c>
      <c r="BS101" s="207">
        <v>0</v>
      </c>
      <c r="BT101" s="207">
        <v>0</v>
      </c>
      <c r="BU101" s="207">
        <v>0</v>
      </c>
      <c r="BV101" s="207">
        <v>0</v>
      </c>
      <c r="BW101" s="207">
        <v>0</v>
      </c>
      <c r="BX101" s="207">
        <v>0</v>
      </c>
      <c r="BY101" s="207">
        <v>0</v>
      </c>
      <c r="BZ101" s="207">
        <v>0</v>
      </c>
      <c r="CA101" s="207">
        <v>0</v>
      </c>
      <c r="CB101" s="207">
        <v>0</v>
      </c>
      <c r="CC101" s="207">
        <v>0</v>
      </c>
      <c r="CD101" s="207">
        <v>0</v>
      </c>
      <c r="CE101" s="207">
        <v>0</v>
      </c>
      <c r="CF101" s="207">
        <v>0</v>
      </c>
      <c r="CG101" s="147"/>
      <c r="CH101" s="176"/>
      <c r="CJ101" s="146"/>
      <c r="CK101" s="76">
        <f t="shared" ca="1" si="90"/>
        <v>0.48680052500285614</v>
      </c>
      <c r="CL101" s="179">
        <f t="shared" si="91"/>
        <v>4</v>
      </c>
      <c r="CM101" s="180">
        <f t="shared" si="92"/>
        <v>39673</v>
      </c>
      <c r="CN101" s="208">
        <v>0</v>
      </c>
      <c r="CO101" s="208">
        <v>0</v>
      </c>
      <c r="CP101" s="208">
        <v>0</v>
      </c>
      <c r="CQ101" s="208">
        <v>0</v>
      </c>
      <c r="CR101" s="208">
        <v>0</v>
      </c>
      <c r="CS101" s="208">
        <v>0</v>
      </c>
      <c r="CT101" s="208">
        <v>0</v>
      </c>
      <c r="CU101" s="208">
        <v>0</v>
      </c>
      <c r="CW101">
        <v>1</v>
      </c>
      <c r="CX101">
        <f>355/50</f>
        <v>7.1</v>
      </c>
      <c r="CY101" s="158"/>
      <c r="CZ101" s="177">
        <f t="shared" si="93"/>
        <v>9.6000000000000002E-2</v>
      </c>
      <c r="DB101" s="146"/>
      <c r="DC101" s="76">
        <f t="shared" ca="1" si="51"/>
        <v>9.5227785610028981E-2</v>
      </c>
      <c r="DD101">
        <f t="shared" si="94"/>
        <v>4</v>
      </c>
      <c r="DE101" s="129">
        <f t="shared" si="126"/>
        <v>39673</v>
      </c>
      <c r="DF101" s="161">
        <f t="shared" si="95"/>
        <v>0</v>
      </c>
      <c r="DG101" s="161">
        <f t="shared" si="96"/>
        <v>0</v>
      </c>
      <c r="DH101" s="161">
        <f t="shared" si="97"/>
        <v>0</v>
      </c>
      <c r="DI101" s="161">
        <f t="shared" si="98"/>
        <v>0</v>
      </c>
      <c r="DJ101" s="161">
        <f t="shared" si="99"/>
        <v>0</v>
      </c>
      <c r="DK101" s="161">
        <f t="shared" si="100"/>
        <v>0</v>
      </c>
      <c r="DL101" s="161">
        <f t="shared" si="101"/>
        <v>0</v>
      </c>
      <c r="DM101" s="161">
        <f t="shared" si="102"/>
        <v>0</v>
      </c>
      <c r="DN101" s="161">
        <f t="shared" si="103"/>
        <v>0</v>
      </c>
      <c r="DO101" s="161">
        <f t="shared" si="104"/>
        <v>0</v>
      </c>
      <c r="DP101" s="161">
        <f t="shared" si="105"/>
        <v>0</v>
      </c>
      <c r="DQ101" s="161">
        <f t="shared" si="106"/>
        <v>0</v>
      </c>
      <c r="DR101" s="161">
        <f t="shared" si="107"/>
        <v>0</v>
      </c>
      <c r="DS101" s="161">
        <f t="shared" si="108"/>
        <v>0</v>
      </c>
      <c r="DT101" s="161">
        <f t="shared" si="109"/>
        <v>0</v>
      </c>
      <c r="DU101" s="161">
        <f t="shared" si="110"/>
        <v>0</v>
      </c>
      <c r="DV101" s="161">
        <f t="shared" si="111"/>
        <v>0</v>
      </c>
      <c r="DW101" s="161">
        <f t="shared" si="112"/>
        <v>0</v>
      </c>
      <c r="DX101" s="161">
        <f t="shared" si="113"/>
        <v>0</v>
      </c>
      <c r="DY101" s="161">
        <f t="shared" si="114"/>
        <v>0</v>
      </c>
      <c r="DZ101" s="161">
        <f t="shared" si="115"/>
        <v>0</v>
      </c>
      <c r="EA101" s="161">
        <f t="shared" si="116"/>
        <v>0</v>
      </c>
      <c r="EB101" s="161">
        <f t="shared" si="117"/>
        <v>0</v>
      </c>
      <c r="EC101" s="161">
        <f t="shared" si="118"/>
        <v>0</v>
      </c>
      <c r="ED101" s="161">
        <f t="shared" si="119"/>
        <v>0</v>
      </c>
      <c r="EE101" s="161">
        <f t="shared" si="120"/>
        <v>0</v>
      </c>
      <c r="EF101" s="161">
        <f t="shared" si="121"/>
        <v>0</v>
      </c>
      <c r="EG101" s="161">
        <f t="shared" si="122"/>
        <v>0</v>
      </c>
      <c r="EH101" s="161">
        <f t="shared" si="123"/>
        <v>0</v>
      </c>
      <c r="EI101" s="161">
        <f t="shared" si="124"/>
        <v>0</v>
      </c>
      <c r="EJ101" s="161">
        <f t="shared" si="125"/>
        <v>0</v>
      </c>
      <c r="EK101" s="147">
        <f t="shared" si="55"/>
        <v>0</v>
      </c>
      <c r="EL101" s="149"/>
      <c r="EN101" s="146"/>
      <c r="EO101" s="146"/>
      <c r="EP101" s="139">
        <f t="shared" si="56"/>
        <v>0</v>
      </c>
      <c r="EQ101" s="139">
        <f t="shared" si="57"/>
        <v>0</v>
      </c>
      <c r="ER101" s="139">
        <f t="shared" si="58"/>
        <v>0</v>
      </c>
      <c r="ES101" s="139">
        <f t="shared" si="59"/>
        <v>0</v>
      </c>
      <c r="ET101" s="139">
        <f t="shared" si="60"/>
        <v>0</v>
      </c>
      <c r="EU101" s="139">
        <f t="shared" si="61"/>
        <v>0</v>
      </c>
      <c r="EV101" s="139">
        <f t="shared" si="62"/>
        <v>0</v>
      </c>
      <c r="EW101" s="139">
        <f t="shared" si="63"/>
        <v>0</v>
      </c>
      <c r="EX101" s="139">
        <f t="shared" si="64"/>
        <v>0</v>
      </c>
      <c r="EY101" s="139">
        <f t="shared" si="65"/>
        <v>0</v>
      </c>
      <c r="EZ101" s="139">
        <f t="shared" si="66"/>
        <v>0</v>
      </c>
      <c r="FA101" s="139">
        <f t="shared" si="67"/>
        <v>0</v>
      </c>
      <c r="FB101" s="139">
        <f t="shared" si="68"/>
        <v>0</v>
      </c>
      <c r="FC101" s="139">
        <f t="shared" si="69"/>
        <v>0</v>
      </c>
      <c r="FD101" s="139">
        <f t="shared" si="70"/>
        <v>0</v>
      </c>
      <c r="FE101" s="139">
        <f t="shared" si="71"/>
        <v>0</v>
      </c>
      <c r="FF101" s="139">
        <f t="shared" si="72"/>
        <v>0</v>
      </c>
      <c r="FG101" s="139">
        <f t="shared" si="73"/>
        <v>0</v>
      </c>
      <c r="FH101" s="139">
        <f t="shared" si="74"/>
        <v>0</v>
      </c>
      <c r="FI101" s="139">
        <f t="shared" si="75"/>
        <v>0</v>
      </c>
      <c r="FJ101" s="139">
        <f t="shared" si="76"/>
        <v>0</v>
      </c>
      <c r="FK101" s="139">
        <f t="shared" si="77"/>
        <v>0</v>
      </c>
      <c r="FL101" s="139">
        <f t="shared" si="78"/>
        <v>0</v>
      </c>
      <c r="FM101" s="139">
        <f t="shared" si="79"/>
        <v>0</v>
      </c>
      <c r="FN101" s="139">
        <f t="shared" si="80"/>
        <v>0</v>
      </c>
      <c r="FO101" s="139">
        <f t="shared" si="81"/>
        <v>0</v>
      </c>
      <c r="FP101" s="139">
        <f t="shared" si="82"/>
        <v>0</v>
      </c>
      <c r="FQ101" s="139">
        <f t="shared" si="83"/>
        <v>0</v>
      </c>
      <c r="FR101" s="139">
        <f t="shared" si="84"/>
        <v>0</v>
      </c>
      <c r="FS101" s="139">
        <f t="shared" si="85"/>
        <v>0</v>
      </c>
      <c r="FT101" s="139">
        <f t="shared" si="86"/>
        <v>0</v>
      </c>
      <c r="FU101" s="148">
        <f t="shared" si="87"/>
        <v>0</v>
      </c>
      <c r="FV101" s="149"/>
      <c r="FY101" s="213">
        <v>96</v>
      </c>
      <c r="FZ101">
        <v>36.613122195353391</v>
      </c>
      <c r="GA101">
        <v>53.768487659693662</v>
      </c>
      <c r="GB101">
        <v>21.208306321759064</v>
      </c>
      <c r="GC101">
        <v>9.8602729447863329</v>
      </c>
      <c r="GD101">
        <v>8.3675937769227637</v>
      </c>
      <c r="GE101">
        <v>6.6295087388741685</v>
      </c>
      <c r="GF101">
        <v>8.4264025478859317</v>
      </c>
      <c r="GG101">
        <v>8.1892041476975308</v>
      </c>
      <c r="GH101">
        <v>17.36019549303392</v>
      </c>
      <c r="GI101">
        <v>20.757848581847966</v>
      </c>
      <c r="GJ101"/>
      <c r="GK101"/>
      <c r="GL101"/>
      <c r="GM101"/>
      <c r="GN101" s="208"/>
      <c r="GO101" s="208"/>
      <c r="GP101" s="208"/>
      <c r="GQ101" s="208"/>
      <c r="GR101" s="208"/>
      <c r="GS101" s="208"/>
      <c r="GT101" s="208"/>
      <c r="GU101" s="213">
        <v>96</v>
      </c>
    </row>
    <row r="102" spans="1:203" s="7" customFormat="1">
      <c r="A102" s="1"/>
      <c r="B102" s="76">
        <f ca="1">IF(C102="", "", RAND())</f>
        <v>0.77807655427328459</v>
      </c>
      <c r="C102">
        <v>6</v>
      </c>
      <c r="D102">
        <v>39673</v>
      </c>
      <c r="E102">
        <v>0</v>
      </c>
      <c r="F102">
        <v>10.416666666666666</v>
      </c>
      <c r="G102">
        <v>10.416666666666666</v>
      </c>
      <c r="H102">
        <v>20.833333333333332</v>
      </c>
      <c r="I102">
        <v>41.666666666666664</v>
      </c>
      <c r="J102">
        <v>31.25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 s="2"/>
      <c r="AK102" s="80"/>
      <c r="AL102" s="74"/>
      <c r="AM102" s="43">
        <v>86</v>
      </c>
      <c r="AN102">
        <v>320.35035972689337</v>
      </c>
      <c r="AO102">
        <v>32.040879101193362</v>
      </c>
      <c r="AP102">
        <v>64.812958684613861</v>
      </c>
      <c r="AQ102">
        <v>210.17272129597723</v>
      </c>
      <c r="AR102">
        <v>33.147292196013943</v>
      </c>
      <c r="AS102">
        <v>262.32825746261125</v>
      </c>
      <c r="AT102">
        <v>11.803026025948967</v>
      </c>
      <c r="AU102">
        <v>-12.820357828127101</v>
      </c>
      <c r="AV102"/>
      <c r="AW102"/>
      <c r="AX102" s="146"/>
      <c r="AY102" s="76">
        <f t="shared" ca="1" si="88"/>
        <v>0.37127289540186315</v>
      </c>
      <c r="AZ102">
        <v>5</v>
      </c>
      <c r="BA102" s="129">
        <f t="shared" si="127"/>
        <v>39673</v>
      </c>
      <c r="BB102" s="207">
        <v>0</v>
      </c>
      <c r="BC102" s="207">
        <v>0</v>
      </c>
      <c r="BD102" s="207">
        <v>0</v>
      </c>
      <c r="BE102" s="207">
        <v>0</v>
      </c>
      <c r="BF102" s="207">
        <v>0</v>
      </c>
      <c r="BG102" s="207">
        <v>0</v>
      </c>
      <c r="BH102" s="207">
        <v>0</v>
      </c>
      <c r="BI102" s="207">
        <v>0</v>
      </c>
      <c r="BJ102" s="207">
        <v>0</v>
      </c>
      <c r="BK102" s="207">
        <v>0</v>
      </c>
      <c r="BL102" s="207">
        <v>0</v>
      </c>
      <c r="BM102" s="207">
        <v>0</v>
      </c>
      <c r="BN102" s="207">
        <v>0</v>
      </c>
      <c r="BO102" s="207">
        <v>0</v>
      </c>
      <c r="BP102" s="207">
        <v>0</v>
      </c>
      <c r="BQ102" s="207">
        <v>0</v>
      </c>
      <c r="BR102" s="207">
        <v>0</v>
      </c>
      <c r="BS102" s="207">
        <v>0</v>
      </c>
      <c r="BT102" s="207">
        <v>0</v>
      </c>
      <c r="BU102" s="207">
        <v>0</v>
      </c>
      <c r="BV102" s="207">
        <v>0</v>
      </c>
      <c r="BW102" s="207">
        <v>0</v>
      </c>
      <c r="BX102" s="207">
        <v>0</v>
      </c>
      <c r="BY102" s="207">
        <v>0</v>
      </c>
      <c r="BZ102" s="207">
        <v>0</v>
      </c>
      <c r="CA102" s="207">
        <v>0</v>
      </c>
      <c r="CB102" s="207">
        <v>0</v>
      </c>
      <c r="CC102" s="207">
        <v>0</v>
      </c>
      <c r="CD102" s="207">
        <v>0</v>
      </c>
      <c r="CE102" s="207">
        <v>0</v>
      </c>
      <c r="CF102" s="207">
        <v>0</v>
      </c>
      <c r="CG102" s="147"/>
      <c r="CH102" s="176"/>
      <c r="CJ102" s="146"/>
      <c r="CK102" s="76">
        <f t="shared" ca="1" si="90"/>
        <v>0.14425492229270098</v>
      </c>
      <c r="CL102" s="179">
        <f t="shared" si="91"/>
        <v>5</v>
      </c>
      <c r="CM102" s="180">
        <f t="shared" si="92"/>
        <v>39673</v>
      </c>
      <c r="CN102" s="208">
        <v>0</v>
      </c>
      <c r="CO102" s="208">
        <v>0</v>
      </c>
      <c r="CP102" s="208">
        <v>0</v>
      </c>
      <c r="CQ102" s="208">
        <v>0</v>
      </c>
      <c r="CR102" s="208">
        <v>0</v>
      </c>
      <c r="CS102" s="208">
        <v>0</v>
      </c>
      <c r="CT102" s="208">
        <v>0</v>
      </c>
      <c r="CU102" s="208">
        <v>0</v>
      </c>
      <c r="CW102">
        <v>1</v>
      </c>
      <c r="CX102">
        <v>1</v>
      </c>
      <c r="CY102" s="164"/>
      <c r="CZ102" s="177">
        <f t="shared" si="93"/>
        <v>9.6000000000000002E-2</v>
      </c>
      <c r="DB102" s="146"/>
      <c r="DC102" s="76">
        <f t="shared" ca="1" si="51"/>
        <v>0.64953724156491743</v>
      </c>
      <c r="DD102">
        <f t="shared" si="94"/>
        <v>5</v>
      </c>
      <c r="DE102" s="129">
        <f t="shared" si="126"/>
        <v>39673</v>
      </c>
      <c r="DF102" s="161">
        <f t="shared" si="95"/>
        <v>0</v>
      </c>
      <c r="DG102" s="161">
        <f t="shared" si="96"/>
        <v>0</v>
      </c>
      <c r="DH102" s="161">
        <f t="shared" si="97"/>
        <v>0</v>
      </c>
      <c r="DI102" s="161">
        <f t="shared" si="98"/>
        <v>0</v>
      </c>
      <c r="DJ102" s="161">
        <f t="shared" si="99"/>
        <v>0</v>
      </c>
      <c r="DK102" s="161">
        <f t="shared" si="100"/>
        <v>0</v>
      </c>
      <c r="DL102" s="161">
        <f t="shared" si="101"/>
        <v>0</v>
      </c>
      <c r="DM102" s="161">
        <f t="shared" si="102"/>
        <v>0</v>
      </c>
      <c r="DN102" s="161">
        <f t="shared" si="103"/>
        <v>0</v>
      </c>
      <c r="DO102" s="161">
        <f t="shared" si="104"/>
        <v>0</v>
      </c>
      <c r="DP102" s="161">
        <f t="shared" si="105"/>
        <v>0</v>
      </c>
      <c r="DQ102" s="161">
        <f t="shared" si="106"/>
        <v>0</v>
      </c>
      <c r="DR102" s="161">
        <f t="shared" si="107"/>
        <v>0</v>
      </c>
      <c r="DS102" s="161">
        <f t="shared" si="108"/>
        <v>0</v>
      </c>
      <c r="DT102" s="161">
        <f t="shared" si="109"/>
        <v>0</v>
      </c>
      <c r="DU102" s="161">
        <f t="shared" si="110"/>
        <v>0</v>
      </c>
      <c r="DV102" s="161">
        <f t="shared" si="111"/>
        <v>0</v>
      </c>
      <c r="DW102" s="161">
        <f t="shared" si="112"/>
        <v>0</v>
      </c>
      <c r="DX102" s="161">
        <f t="shared" si="113"/>
        <v>0</v>
      </c>
      <c r="DY102" s="161">
        <f t="shared" si="114"/>
        <v>0</v>
      </c>
      <c r="DZ102" s="161">
        <f t="shared" si="115"/>
        <v>0</v>
      </c>
      <c r="EA102" s="161">
        <f t="shared" si="116"/>
        <v>0</v>
      </c>
      <c r="EB102" s="161">
        <f t="shared" si="117"/>
        <v>0</v>
      </c>
      <c r="EC102" s="161">
        <f t="shared" si="118"/>
        <v>0</v>
      </c>
      <c r="ED102" s="161">
        <f t="shared" si="119"/>
        <v>0</v>
      </c>
      <c r="EE102" s="161">
        <f t="shared" si="120"/>
        <v>0</v>
      </c>
      <c r="EF102" s="161">
        <f t="shared" si="121"/>
        <v>0</v>
      </c>
      <c r="EG102" s="161">
        <f t="shared" si="122"/>
        <v>0</v>
      </c>
      <c r="EH102" s="161">
        <f t="shared" si="123"/>
        <v>0</v>
      </c>
      <c r="EI102" s="161">
        <f t="shared" si="124"/>
        <v>0</v>
      </c>
      <c r="EJ102" s="161">
        <f t="shared" si="125"/>
        <v>0</v>
      </c>
      <c r="EK102" s="147">
        <f t="shared" si="55"/>
        <v>0</v>
      </c>
      <c r="EL102" s="149"/>
      <c r="EN102" s="146"/>
      <c r="EO102" s="146"/>
      <c r="EP102" s="139">
        <f t="shared" si="56"/>
        <v>0</v>
      </c>
      <c r="EQ102" s="139">
        <f t="shared" si="57"/>
        <v>0</v>
      </c>
      <c r="ER102" s="139">
        <f t="shared" si="58"/>
        <v>0</v>
      </c>
      <c r="ES102" s="139">
        <f t="shared" si="59"/>
        <v>0</v>
      </c>
      <c r="ET102" s="139">
        <f t="shared" si="60"/>
        <v>0</v>
      </c>
      <c r="EU102" s="139">
        <f t="shared" si="61"/>
        <v>0</v>
      </c>
      <c r="EV102" s="139">
        <f t="shared" si="62"/>
        <v>0</v>
      </c>
      <c r="EW102" s="139">
        <f t="shared" si="63"/>
        <v>0</v>
      </c>
      <c r="EX102" s="139">
        <f t="shared" si="64"/>
        <v>0</v>
      </c>
      <c r="EY102" s="139">
        <f t="shared" si="65"/>
        <v>0</v>
      </c>
      <c r="EZ102" s="139">
        <f t="shared" si="66"/>
        <v>0</v>
      </c>
      <c r="FA102" s="139">
        <f t="shared" si="67"/>
        <v>0</v>
      </c>
      <c r="FB102" s="139">
        <f t="shared" si="68"/>
        <v>0</v>
      </c>
      <c r="FC102" s="139">
        <f t="shared" si="69"/>
        <v>0</v>
      </c>
      <c r="FD102" s="139">
        <f t="shared" si="70"/>
        <v>0</v>
      </c>
      <c r="FE102" s="139">
        <f t="shared" si="71"/>
        <v>0</v>
      </c>
      <c r="FF102" s="139">
        <f t="shared" si="72"/>
        <v>0</v>
      </c>
      <c r="FG102" s="139">
        <f t="shared" si="73"/>
        <v>0</v>
      </c>
      <c r="FH102" s="139">
        <f t="shared" si="74"/>
        <v>0</v>
      </c>
      <c r="FI102" s="139">
        <f t="shared" si="75"/>
        <v>0</v>
      </c>
      <c r="FJ102" s="139">
        <f t="shared" si="76"/>
        <v>0</v>
      </c>
      <c r="FK102" s="139">
        <f t="shared" si="77"/>
        <v>0</v>
      </c>
      <c r="FL102" s="139">
        <f t="shared" si="78"/>
        <v>0</v>
      </c>
      <c r="FM102" s="139">
        <f t="shared" si="79"/>
        <v>0</v>
      </c>
      <c r="FN102" s="139">
        <f t="shared" si="80"/>
        <v>0</v>
      </c>
      <c r="FO102" s="139">
        <f t="shared" si="81"/>
        <v>0</v>
      </c>
      <c r="FP102" s="139">
        <f t="shared" si="82"/>
        <v>0</v>
      </c>
      <c r="FQ102" s="139">
        <f t="shared" si="83"/>
        <v>0</v>
      </c>
      <c r="FR102" s="139">
        <f t="shared" si="84"/>
        <v>0</v>
      </c>
      <c r="FS102" s="139">
        <f t="shared" si="85"/>
        <v>0</v>
      </c>
      <c r="FT102" s="139">
        <f t="shared" si="86"/>
        <v>0</v>
      </c>
      <c r="FU102" s="148">
        <f t="shared" si="87"/>
        <v>0</v>
      </c>
      <c r="FV102" s="149"/>
      <c r="FY102" s="213">
        <v>97</v>
      </c>
      <c r="FZ102">
        <v>35.252715323609692</v>
      </c>
      <c r="GA102">
        <v>38.327360346606959</v>
      </c>
      <c r="GB102">
        <v>11.256068595069879</v>
      </c>
      <c r="GC102">
        <v>6.972083755953701</v>
      </c>
      <c r="GD102">
        <v>5.9000934770353215</v>
      </c>
      <c r="GE102">
        <v>7.7183448047247643</v>
      </c>
      <c r="GF102">
        <v>17.919815406783268</v>
      </c>
      <c r="GG102">
        <v>11.209264397423045</v>
      </c>
      <c r="GH102">
        <v>12.269056258525501</v>
      </c>
      <c r="GI102">
        <v>16.98412136372928</v>
      </c>
      <c r="GJ102"/>
      <c r="GK102"/>
      <c r="GL102"/>
      <c r="GM102"/>
      <c r="GN102" s="208"/>
      <c r="GO102" s="208"/>
      <c r="GP102" s="208"/>
      <c r="GQ102" s="208"/>
      <c r="GR102" s="208"/>
      <c r="GS102" s="208"/>
      <c r="GT102" s="208"/>
      <c r="GU102" s="213">
        <v>97</v>
      </c>
    </row>
    <row r="103" spans="1:203" s="7" customFormat="1">
      <c r="A103" s="1"/>
      <c r="B103" s="76">
        <f ca="1">IF(C103="", "", RAND())</f>
        <v>0.22675724908884298</v>
      </c>
      <c r="C103">
        <v>1</v>
      </c>
      <c r="D103">
        <v>39673</v>
      </c>
      <c r="E103">
        <v>0</v>
      </c>
      <c r="F103">
        <v>0</v>
      </c>
      <c r="G103">
        <v>0</v>
      </c>
      <c r="H103">
        <v>0</v>
      </c>
      <c r="I103">
        <v>31.25</v>
      </c>
      <c r="J103">
        <v>10.416666666666666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 s="2"/>
      <c r="AK103" s="80"/>
      <c r="AL103" s="74"/>
      <c r="AM103" s="43">
        <v>87</v>
      </c>
      <c r="AN103">
        <v>353.27150470522122</v>
      </c>
      <c r="AO103">
        <v>27.282340879650075</v>
      </c>
      <c r="AP103">
        <v>81.367972922999527</v>
      </c>
      <c r="AQ103">
        <v>190.78189613176247</v>
      </c>
      <c r="AR103">
        <v>27.688860522235846</v>
      </c>
      <c r="AS103">
        <v>247.4443442982039</v>
      </c>
      <c r="AT103">
        <v>11.989553097718293</v>
      </c>
      <c r="AU103">
        <v>8.8297729818106951</v>
      </c>
      <c r="AV103"/>
      <c r="AW103"/>
      <c r="AX103" s="146"/>
      <c r="AY103" s="76">
        <f ca="1">IF(AZ103="", "", RAND())</f>
        <v>0.23878176121920469</v>
      </c>
      <c r="AZ103">
        <v>6</v>
      </c>
      <c r="BA103" s="129">
        <f t="shared" si="127"/>
        <v>39673</v>
      </c>
      <c r="BB103" s="207">
        <v>0</v>
      </c>
      <c r="BC103" s="207">
        <v>0</v>
      </c>
      <c r="BD103" s="207">
        <v>0</v>
      </c>
      <c r="BE103" s="207">
        <v>2</v>
      </c>
      <c r="BF103" s="207">
        <v>4</v>
      </c>
      <c r="BG103" s="207">
        <v>1</v>
      </c>
      <c r="BH103" s="207">
        <v>0</v>
      </c>
      <c r="BI103" s="207">
        <v>0</v>
      </c>
      <c r="BJ103" s="207">
        <v>0</v>
      </c>
      <c r="BK103" s="207">
        <v>0</v>
      </c>
      <c r="BL103" s="207">
        <v>0</v>
      </c>
      <c r="BM103" s="207">
        <v>0</v>
      </c>
      <c r="BN103" s="207">
        <v>0</v>
      </c>
      <c r="BO103" s="207">
        <v>0</v>
      </c>
      <c r="BP103" s="207">
        <v>0</v>
      </c>
      <c r="BQ103" s="207">
        <v>0</v>
      </c>
      <c r="BR103" s="207">
        <v>0</v>
      </c>
      <c r="BS103" s="207">
        <v>0</v>
      </c>
      <c r="BT103" s="207">
        <v>0</v>
      </c>
      <c r="BU103" s="207">
        <v>0</v>
      </c>
      <c r="BV103" s="207">
        <v>0</v>
      </c>
      <c r="BW103" s="207">
        <v>0</v>
      </c>
      <c r="BX103" s="207">
        <v>0</v>
      </c>
      <c r="BY103" s="207">
        <v>0</v>
      </c>
      <c r="BZ103" s="207">
        <v>0</v>
      </c>
      <c r="CA103" s="207">
        <v>0</v>
      </c>
      <c r="CB103" s="207">
        <v>0</v>
      </c>
      <c r="CC103" s="207">
        <v>0</v>
      </c>
      <c r="CD103" s="207">
        <v>0</v>
      </c>
      <c r="CE103" s="207">
        <v>0</v>
      </c>
      <c r="CF103" s="207">
        <v>0</v>
      </c>
      <c r="CG103" s="147"/>
      <c r="CH103" s="176"/>
      <c r="CJ103" s="146"/>
      <c r="CK103" s="76">
        <f t="shared" ca="1" si="90"/>
        <v>0.41095915054316134</v>
      </c>
      <c r="CL103" s="179">
        <f t="shared" si="91"/>
        <v>6</v>
      </c>
      <c r="CM103" s="180">
        <f t="shared" si="92"/>
        <v>39673</v>
      </c>
      <c r="CN103" s="208">
        <v>0</v>
      </c>
      <c r="CO103" s="208">
        <v>1</v>
      </c>
      <c r="CP103" s="208">
        <v>1</v>
      </c>
      <c r="CQ103" s="208">
        <v>0</v>
      </c>
      <c r="CR103" s="208">
        <v>0</v>
      </c>
      <c r="CS103" s="208">
        <v>2</v>
      </c>
      <c r="CT103" s="208">
        <v>0</v>
      </c>
      <c r="CU103" s="208">
        <v>0</v>
      </c>
      <c r="CV103" s="160"/>
      <c r="CW103">
        <v>1</v>
      </c>
      <c r="CX103">
        <v>1</v>
      </c>
      <c r="CY103" s="164"/>
      <c r="CZ103" s="177">
        <f t="shared" si="93"/>
        <v>9.6000000000000002E-2</v>
      </c>
      <c r="DB103" s="146"/>
      <c r="DC103" s="76">
        <f t="shared" ca="1" si="51"/>
        <v>0.51231522397018114</v>
      </c>
      <c r="DD103">
        <f>IF(AZ103="", "", AZ103)</f>
        <v>6</v>
      </c>
      <c r="DE103" s="129">
        <f t="shared" si="126"/>
        <v>39673</v>
      </c>
      <c r="DF103" s="161">
        <f t="shared" si="95"/>
        <v>0</v>
      </c>
      <c r="DG103" s="161">
        <f t="shared" si="96"/>
        <v>10.416666666666666</v>
      </c>
      <c r="DH103" s="161">
        <f t="shared" si="97"/>
        <v>10.416666666666666</v>
      </c>
      <c r="DI103" s="161">
        <f t="shared" si="98"/>
        <v>20.833333333333332</v>
      </c>
      <c r="DJ103" s="161">
        <f t="shared" si="99"/>
        <v>41.666666666666664</v>
      </c>
      <c r="DK103" s="161">
        <f t="shared" si="100"/>
        <v>31.25</v>
      </c>
      <c r="DL103" s="161">
        <f t="shared" si="101"/>
        <v>0</v>
      </c>
      <c r="DM103" s="161">
        <f t="shared" si="102"/>
        <v>0</v>
      </c>
      <c r="DN103" s="161">
        <f t="shared" si="103"/>
        <v>0</v>
      </c>
      <c r="DO103" s="161">
        <f t="shared" si="104"/>
        <v>0</v>
      </c>
      <c r="DP103" s="161">
        <f t="shared" si="105"/>
        <v>0</v>
      </c>
      <c r="DQ103" s="161">
        <f t="shared" si="106"/>
        <v>0</v>
      </c>
      <c r="DR103" s="161">
        <f t="shared" si="107"/>
        <v>0</v>
      </c>
      <c r="DS103" s="161">
        <f t="shared" si="108"/>
        <v>0</v>
      </c>
      <c r="DT103" s="161">
        <f t="shared" si="109"/>
        <v>0</v>
      </c>
      <c r="DU103" s="161">
        <f t="shared" si="110"/>
        <v>0</v>
      </c>
      <c r="DV103" s="161">
        <f t="shared" si="111"/>
        <v>0</v>
      </c>
      <c r="DW103" s="161">
        <f t="shared" si="112"/>
        <v>0</v>
      </c>
      <c r="DX103" s="161">
        <f t="shared" si="113"/>
        <v>0</v>
      </c>
      <c r="DY103" s="161">
        <f t="shared" si="114"/>
        <v>0</v>
      </c>
      <c r="DZ103" s="161">
        <f t="shared" si="115"/>
        <v>0</v>
      </c>
      <c r="EA103" s="161">
        <f t="shared" si="116"/>
        <v>0</v>
      </c>
      <c r="EB103" s="161">
        <f t="shared" si="117"/>
        <v>0</v>
      </c>
      <c r="EC103" s="161">
        <f t="shared" si="118"/>
        <v>0</v>
      </c>
      <c r="ED103" s="161">
        <f t="shared" si="119"/>
        <v>0</v>
      </c>
      <c r="EE103" s="161">
        <f t="shared" si="120"/>
        <v>0</v>
      </c>
      <c r="EF103" s="161">
        <f t="shared" si="121"/>
        <v>0</v>
      </c>
      <c r="EG103" s="161">
        <f t="shared" si="122"/>
        <v>0</v>
      </c>
      <c r="EH103" s="161">
        <f t="shared" si="123"/>
        <v>0</v>
      </c>
      <c r="EI103" s="161">
        <f t="shared" si="124"/>
        <v>0</v>
      </c>
      <c r="EJ103" s="161">
        <f t="shared" si="125"/>
        <v>0</v>
      </c>
      <c r="EK103" s="147">
        <f t="shared" si="55"/>
        <v>114.58333333333333</v>
      </c>
      <c r="EL103" s="149"/>
      <c r="EN103" s="146"/>
      <c r="EO103" s="146"/>
      <c r="EP103" s="139">
        <f t="shared" si="56"/>
        <v>0</v>
      </c>
      <c r="EQ103" s="139">
        <f t="shared" si="57"/>
        <v>0.12011770833333332</v>
      </c>
      <c r="ER103" s="139">
        <f t="shared" si="58"/>
        <v>0.76287614772934675</v>
      </c>
      <c r="ES103" s="139">
        <f t="shared" si="59"/>
        <v>4.4990354989852364</v>
      </c>
      <c r="ET103" s="139">
        <f t="shared" si="60"/>
        <v>19.380323679147835</v>
      </c>
      <c r="EU103" s="139">
        <f t="shared" si="61"/>
        <v>26.356108952903678</v>
      </c>
      <c r="EV103" s="139">
        <f t="shared" si="62"/>
        <v>0</v>
      </c>
      <c r="EW103" s="139">
        <f t="shared" si="63"/>
        <v>0</v>
      </c>
      <c r="EX103" s="139">
        <f t="shared" si="64"/>
        <v>0</v>
      </c>
      <c r="EY103" s="139">
        <f t="shared" si="65"/>
        <v>0</v>
      </c>
      <c r="EZ103" s="139">
        <f t="shared" si="66"/>
        <v>0</v>
      </c>
      <c r="FA103" s="139">
        <f t="shared" si="67"/>
        <v>0</v>
      </c>
      <c r="FB103" s="139">
        <f t="shared" si="68"/>
        <v>0</v>
      </c>
      <c r="FC103" s="139">
        <f t="shared" si="69"/>
        <v>0</v>
      </c>
      <c r="FD103" s="139">
        <f t="shared" si="70"/>
        <v>0</v>
      </c>
      <c r="FE103" s="139">
        <f t="shared" si="71"/>
        <v>0</v>
      </c>
      <c r="FF103" s="139">
        <f t="shared" si="72"/>
        <v>0</v>
      </c>
      <c r="FG103" s="139">
        <f t="shared" si="73"/>
        <v>0</v>
      </c>
      <c r="FH103" s="139">
        <f t="shared" si="74"/>
        <v>0</v>
      </c>
      <c r="FI103" s="139">
        <f t="shared" si="75"/>
        <v>0</v>
      </c>
      <c r="FJ103" s="139">
        <f t="shared" si="76"/>
        <v>0</v>
      </c>
      <c r="FK103" s="139">
        <f t="shared" si="77"/>
        <v>0</v>
      </c>
      <c r="FL103" s="139">
        <f t="shared" si="78"/>
        <v>0</v>
      </c>
      <c r="FM103" s="139">
        <f t="shared" si="79"/>
        <v>0</v>
      </c>
      <c r="FN103" s="139">
        <f t="shared" si="80"/>
        <v>0</v>
      </c>
      <c r="FO103" s="139">
        <f t="shared" si="81"/>
        <v>0</v>
      </c>
      <c r="FP103" s="139">
        <f t="shared" si="82"/>
        <v>0</v>
      </c>
      <c r="FQ103" s="139">
        <f t="shared" si="83"/>
        <v>0</v>
      </c>
      <c r="FR103" s="139">
        <f t="shared" si="84"/>
        <v>0</v>
      </c>
      <c r="FS103" s="139">
        <f t="shared" si="85"/>
        <v>0</v>
      </c>
      <c r="FT103" s="139">
        <f t="shared" si="86"/>
        <v>0</v>
      </c>
      <c r="FU103" s="148">
        <f t="shared" si="87"/>
        <v>51.11846198709943</v>
      </c>
      <c r="FV103" s="149"/>
      <c r="FY103" s="213">
        <v>98</v>
      </c>
      <c r="FZ103">
        <v>35.651009509819161</v>
      </c>
      <c r="GA103">
        <v>32.773345311493962</v>
      </c>
      <c r="GB103">
        <v>4.5546987543025024</v>
      </c>
      <c r="GC103">
        <v>4.6960915580460894</v>
      </c>
      <c r="GD103">
        <v>3.5934561007684414</v>
      </c>
      <c r="GE103">
        <v>3.7136739265510434</v>
      </c>
      <c r="GF103">
        <v>11.648874724264738</v>
      </c>
      <c r="GG103">
        <v>13.507617452752349</v>
      </c>
      <c r="GH103">
        <v>20.641527071950694</v>
      </c>
      <c r="GI103">
        <v>13.854683572151401</v>
      </c>
      <c r="GJ103"/>
      <c r="GK103"/>
      <c r="GL103"/>
      <c r="GM103"/>
      <c r="GN103" s="208"/>
      <c r="GO103" s="208"/>
      <c r="GP103" s="208"/>
      <c r="GQ103" s="208"/>
      <c r="GR103" s="208"/>
      <c r="GS103" s="208"/>
      <c r="GT103" s="208"/>
      <c r="GU103" s="213">
        <v>98</v>
      </c>
    </row>
    <row r="104" spans="1:203" s="7" customFormat="1">
      <c r="A104" s="1"/>
      <c r="B104" s="76">
        <f ca="1">IF(C104="", "", RAND())</f>
        <v>0.94143949581594466</v>
      </c>
      <c r="C104">
        <v>7</v>
      </c>
      <c r="D104">
        <v>39673</v>
      </c>
      <c r="E104">
        <v>0</v>
      </c>
      <c r="F104">
        <v>0</v>
      </c>
      <c r="G104">
        <v>10.416666666666666</v>
      </c>
      <c r="H104">
        <v>10.416666666666666</v>
      </c>
      <c r="I104">
        <v>10.416666666666666</v>
      </c>
      <c r="J104">
        <v>41.666666666666664</v>
      </c>
      <c r="K104">
        <v>20.833333333333332</v>
      </c>
      <c r="L104">
        <v>10.416666666666666</v>
      </c>
      <c r="M104">
        <v>20.833333333333332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 s="2"/>
      <c r="AK104" s="80"/>
      <c r="AL104" s="74"/>
      <c r="AM104" s="43">
        <v>88</v>
      </c>
      <c r="AN104">
        <v>334.39098931916658</v>
      </c>
      <c r="AO104">
        <v>24.945482521387916</v>
      </c>
      <c r="AP104">
        <v>98.098585080936886</v>
      </c>
      <c r="AQ104">
        <v>178.88540536765547</v>
      </c>
      <c r="AR104">
        <v>24.146845695207681</v>
      </c>
      <c r="AS104">
        <v>249.72577875018425</v>
      </c>
      <c r="AT104">
        <v>10.989858398539456</v>
      </c>
      <c r="AU104">
        <v>37.404915680960393</v>
      </c>
      <c r="AV104"/>
      <c r="AW104"/>
      <c r="AX104" s="146"/>
      <c r="AY104" s="76">
        <f ca="1">IF(AZ104="", "", RAND())</f>
        <v>0.67271725017374173</v>
      </c>
      <c r="AZ104">
        <v>7</v>
      </c>
      <c r="BA104" s="129">
        <f t="shared" si="127"/>
        <v>39673</v>
      </c>
      <c r="BB104" s="207">
        <v>0</v>
      </c>
      <c r="BC104" s="207">
        <v>0</v>
      </c>
      <c r="BD104" s="207">
        <v>1</v>
      </c>
      <c r="BE104" s="207">
        <v>1</v>
      </c>
      <c r="BF104" s="207">
        <v>1</v>
      </c>
      <c r="BG104" s="207">
        <v>4</v>
      </c>
      <c r="BH104" s="207">
        <v>2</v>
      </c>
      <c r="BI104" s="207">
        <v>1</v>
      </c>
      <c r="BJ104" s="207">
        <v>2</v>
      </c>
      <c r="BK104" s="207">
        <v>0</v>
      </c>
      <c r="BL104" s="207">
        <v>0</v>
      </c>
      <c r="BM104" s="207">
        <v>0</v>
      </c>
      <c r="BN104" s="207">
        <v>0</v>
      </c>
      <c r="BO104" s="207">
        <v>0</v>
      </c>
      <c r="BP104" s="207">
        <v>0</v>
      </c>
      <c r="BQ104" s="207">
        <v>0</v>
      </c>
      <c r="BR104" s="207">
        <v>0</v>
      </c>
      <c r="BS104" s="207">
        <v>0</v>
      </c>
      <c r="BT104" s="207">
        <v>0</v>
      </c>
      <c r="BU104" s="207">
        <v>0</v>
      </c>
      <c r="BV104" s="207">
        <v>0</v>
      </c>
      <c r="BW104" s="207">
        <v>0</v>
      </c>
      <c r="BX104" s="207">
        <v>0</v>
      </c>
      <c r="BY104" s="207">
        <v>0</v>
      </c>
      <c r="BZ104" s="207">
        <v>0</v>
      </c>
      <c r="CA104" s="207">
        <v>0</v>
      </c>
      <c r="CB104" s="207">
        <v>0</v>
      </c>
      <c r="CC104" s="207">
        <v>0</v>
      </c>
      <c r="CD104" s="207">
        <v>0</v>
      </c>
      <c r="CE104" s="207">
        <v>0</v>
      </c>
      <c r="CF104" s="207">
        <v>0</v>
      </c>
      <c r="CG104" s="147"/>
      <c r="CH104" s="176"/>
      <c r="CJ104" s="146"/>
      <c r="CK104" s="76">
        <f t="shared" ca="1" si="90"/>
        <v>0.76598314184998673</v>
      </c>
      <c r="CL104" s="179">
        <f t="shared" si="91"/>
        <v>7</v>
      </c>
      <c r="CM104" s="180">
        <f t="shared" si="92"/>
        <v>39673</v>
      </c>
      <c r="CN104" s="208">
        <v>0</v>
      </c>
      <c r="CO104" s="208">
        <v>0</v>
      </c>
      <c r="CP104" s="208">
        <v>0</v>
      </c>
      <c r="CQ104" s="208">
        <v>0</v>
      </c>
      <c r="CR104" s="208">
        <v>0</v>
      </c>
      <c r="CS104" s="208">
        <v>0</v>
      </c>
      <c r="CT104" s="208">
        <v>0</v>
      </c>
      <c r="CU104" s="208">
        <v>0</v>
      </c>
      <c r="CV104" s="160"/>
      <c r="CW104">
        <v>1</v>
      </c>
      <c r="CX104">
        <v>1</v>
      </c>
      <c r="CY104" s="164"/>
      <c r="CZ104" s="177">
        <f t="shared" si="93"/>
        <v>9.6000000000000002E-2</v>
      </c>
      <c r="DB104" s="146"/>
      <c r="DC104" s="76">
        <f t="shared" ca="1" si="51"/>
        <v>0.28150220726390107</v>
      </c>
      <c r="DD104">
        <f>IF(AZ104="", "", AZ104)</f>
        <v>7</v>
      </c>
      <c r="DE104" s="129">
        <f t="shared" si="126"/>
        <v>39673</v>
      </c>
      <c r="DF104" s="161">
        <f t="shared" si="95"/>
        <v>0</v>
      </c>
      <c r="DG104" s="161">
        <f t="shared" si="96"/>
        <v>0</v>
      </c>
      <c r="DH104" s="161">
        <f t="shared" si="97"/>
        <v>10.416666666666666</v>
      </c>
      <c r="DI104" s="161">
        <f t="shared" si="98"/>
        <v>10.416666666666666</v>
      </c>
      <c r="DJ104" s="161">
        <f t="shared" si="99"/>
        <v>10.416666666666666</v>
      </c>
      <c r="DK104" s="161">
        <f t="shared" si="100"/>
        <v>41.666666666666664</v>
      </c>
      <c r="DL104" s="161">
        <f t="shared" si="101"/>
        <v>20.833333333333332</v>
      </c>
      <c r="DM104" s="161">
        <f t="shared" si="102"/>
        <v>10.416666666666666</v>
      </c>
      <c r="DN104" s="161">
        <f t="shared" si="103"/>
        <v>20.833333333333332</v>
      </c>
      <c r="DO104" s="161">
        <f t="shared" si="104"/>
        <v>0</v>
      </c>
      <c r="DP104" s="161">
        <f t="shared" si="105"/>
        <v>0</v>
      </c>
      <c r="DQ104" s="161">
        <f t="shared" si="106"/>
        <v>0</v>
      </c>
      <c r="DR104" s="161">
        <f t="shared" si="107"/>
        <v>0</v>
      </c>
      <c r="DS104" s="161">
        <f t="shared" si="108"/>
        <v>0</v>
      </c>
      <c r="DT104" s="161">
        <f t="shared" si="109"/>
        <v>0</v>
      </c>
      <c r="DU104" s="161">
        <f t="shared" si="110"/>
        <v>0</v>
      </c>
      <c r="DV104" s="161">
        <f t="shared" si="111"/>
        <v>0</v>
      </c>
      <c r="DW104" s="161">
        <f t="shared" si="112"/>
        <v>0</v>
      </c>
      <c r="DX104" s="161">
        <f t="shared" si="113"/>
        <v>0</v>
      </c>
      <c r="DY104" s="161">
        <f t="shared" si="114"/>
        <v>0</v>
      </c>
      <c r="DZ104" s="161">
        <f t="shared" si="115"/>
        <v>0</v>
      </c>
      <c r="EA104" s="161">
        <f t="shared" si="116"/>
        <v>0</v>
      </c>
      <c r="EB104" s="161">
        <f t="shared" si="117"/>
        <v>0</v>
      </c>
      <c r="EC104" s="161">
        <f t="shared" si="118"/>
        <v>0</v>
      </c>
      <c r="ED104" s="161">
        <f t="shared" si="119"/>
        <v>0</v>
      </c>
      <c r="EE104" s="161">
        <f t="shared" si="120"/>
        <v>0</v>
      </c>
      <c r="EF104" s="161">
        <f t="shared" si="121"/>
        <v>0</v>
      </c>
      <c r="EG104" s="161">
        <f t="shared" si="122"/>
        <v>0</v>
      </c>
      <c r="EH104" s="161">
        <f t="shared" si="123"/>
        <v>0</v>
      </c>
      <c r="EI104" s="161">
        <f t="shared" si="124"/>
        <v>0</v>
      </c>
      <c r="EJ104" s="161">
        <f t="shared" si="125"/>
        <v>0</v>
      </c>
      <c r="EK104" s="147">
        <f t="shared" si="55"/>
        <v>124.99999999999999</v>
      </c>
      <c r="EL104" s="149"/>
      <c r="EN104" s="146"/>
      <c r="EO104" s="146"/>
      <c r="EP104" s="139">
        <f t="shared" si="56"/>
        <v>0</v>
      </c>
      <c r="EQ104" s="139">
        <f t="shared" si="57"/>
        <v>0</v>
      </c>
      <c r="ER104" s="139">
        <f t="shared" si="58"/>
        <v>0.76287614772934675</v>
      </c>
      <c r="ES104" s="139">
        <f t="shared" si="59"/>
        <v>2.2495177494926182</v>
      </c>
      <c r="ET104" s="139">
        <f t="shared" si="60"/>
        <v>4.8450809197869589</v>
      </c>
      <c r="EU104" s="139">
        <f t="shared" si="61"/>
        <v>35.141478603871569</v>
      </c>
      <c r="EV104" s="139">
        <f t="shared" si="62"/>
        <v>28.573695898683585</v>
      </c>
      <c r="EW104" s="139">
        <f t="shared" si="63"/>
        <v>21.551798137789032</v>
      </c>
      <c r="EX104" s="139">
        <f t="shared" si="64"/>
        <v>61.542910180518639</v>
      </c>
      <c r="EY104" s="139">
        <f t="shared" si="65"/>
        <v>0</v>
      </c>
      <c r="EZ104" s="139">
        <f t="shared" si="66"/>
        <v>0</v>
      </c>
      <c r="FA104" s="139">
        <f t="shared" si="67"/>
        <v>0</v>
      </c>
      <c r="FB104" s="139">
        <f t="shared" si="68"/>
        <v>0</v>
      </c>
      <c r="FC104" s="139">
        <f t="shared" si="69"/>
        <v>0</v>
      </c>
      <c r="FD104" s="139">
        <f t="shared" si="70"/>
        <v>0</v>
      </c>
      <c r="FE104" s="139">
        <f t="shared" si="71"/>
        <v>0</v>
      </c>
      <c r="FF104" s="139">
        <f t="shared" si="72"/>
        <v>0</v>
      </c>
      <c r="FG104" s="139">
        <f t="shared" si="73"/>
        <v>0</v>
      </c>
      <c r="FH104" s="139">
        <f t="shared" si="74"/>
        <v>0</v>
      </c>
      <c r="FI104" s="139">
        <f t="shared" si="75"/>
        <v>0</v>
      </c>
      <c r="FJ104" s="139">
        <f t="shared" si="76"/>
        <v>0</v>
      </c>
      <c r="FK104" s="139">
        <f t="shared" si="77"/>
        <v>0</v>
      </c>
      <c r="FL104" s="139">
        <f t="shared" si="78"/>
        <v>0</v>
      </c>
      <c r="FM104" s="139">
        <f t="shared" si="79"/>
        <v>0</v>
      </c>
      <c r="FN104" s="139">
        <f t="shared" si="80"/>
        <v>0</v>
      </c>
      <c r="FO104" s="139">
        <f t="shared" si="81"/>
        <v>0</v>
      </c>
      <c r="FP104" s="139">
        <f t="shared" si="82"/>
        <v>0</v>
      </c>
      <c r="FQ104" s="139">
        <f t="shared" si="83"/>
        <v>0</v>
      </c>
      <c r="FR104" s="139">
        <f t="shared" si="84"/>
        <v>0</v>
      </c>
      <c r="FS104" s="139">
        <f t="shared" si="85"/>
        <v>0</v>
      </c>
      <c r="FT104" s="139">
        <f t="shared" si="86"/>
        <v>0</v>
      </c>
      <c r="FU104" s="148">
        <f t="shared" si="87"/>
        <v>154.66735763787176</v>
      </c>
      <c r="FV104" s="149"/>
      <c r="FY104" s="213">
        <v>99</v>
      </c>
      <c r="FZ104">
        <v>30.360853679241135</v>
      </c>
      <c r="GA104">
        <v>28.93723520268512</v>
      </c>
      <c r="GB104">
        <v>8.1153844872292993</v>
      </c>
      <c r="GC104">
        <v>5.0315724096628003</v>
      </c>
      <c r="GD104">
        <v>4.2698364081271309</v>
      </c>
      <c r="GE104">
        <v>6.8806851240343532</v>
      </c>
      <c r="GF104">
        <v>16.736345479433304</v>
      </c>
      <c r="GG104">
        <v>14.519756937950399</v>
      </c>
      <c r="GH104">
        <v>13.751723885034641</v>
      </c>
      <c r="GI104">
        <v>14.425070999176022</v>
      </c>
      <c r="GJ104"/>
      <c r="GK104"/>
      <c r="GL104"/>
      <c r="GM104"/>
      <c r="GN104" s="208"/>
      <c r="GO104" s="208"/>
      <c r="GP104" s="208"/>
      <c r="GQ104" s="208"/>
      <c r="GR104" s="208"/>
      <c r="GS104" s="208"/>
      <c r="GT104" s="208"/>
      <c r="GU104" s="213">
        <v>99</v>
      </c>
    </row>
    <row r="105" spans="1:203" s="7" customFormat="1">
      <c r="A105" s="1"/>
      <c r="B105" s="76">
        <f ca="1">IF(C105="", "", RAND())</f>
        <v>0.22389423287883092</v>
      </c>
      <c r="C105">
        <v>10</v>
      </c>
      <c r="D105">
        <v>39673</v>
      </c>
      <c r="E105">
        <v>0</v>
      </c>
      <c r="F105">
        <v>0</v>
      </c>
      <c r="G105">
        <v>148.80952380952382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 s="2"/>
      <c r="AK105" s="80"/>
      <c r="AL105" s="74"/>
      <c r="AM105" s="43">
        <v>89</v>
      </c>
      <c r="AN105">
        <v>230.3682751083993</v>
      </c>
      <c r="AO105">
        <v>20.745645431501011</v>
      </c>
      <c r="AP105">
        <v>50.211129992731713</v>
      </c>
      <c r="AQ105">
        <v>142.1215029843477</v>
      </c>
      <c r="AR105">
        <v>23.518530933017072</v>
      </c>
      <c r="AS105">
        <v>189.67303801348385</v>
      </c>
      <c r="AT105">
        <v>9.165472698964555</v>
      </c>
      <c r="AU105">
        <v>27.46733577208785</v>
      </c>
      <c r="AV105"/>
      <c r="AW105"/>
      <c r="AX105" s="146"/>
      <c r="AY105" s="76">
        <f ca="1">IF(AZ105="", "", RAND())</f>
        <v>0.15497489813326393</v>
      </c>
      <c r="AZ105">
        <v>8</v>
      </c>
      <c r="BA105" s="129">
        <f t="shared" si="127"/>
        <v>39673</v>
      </c>
      <c r="BB105" s="207">
        <v>0</v>
      </c>
      <c r="BC105" s="207">
        <v>0</v>
      </c>
      <c r="BD105" s="207">
        <v>7.2727269999999997</v>
      </c>
      <c r="BE105" s="207">
        <v>13.090909</v>
      </c>
      <c r="BF105" s="207">
        <v>18.909089999999999</v>
      </c>
      <c r="BG105" s="207">
        <v>2.90909</v>
      </c>
      <c r="BH105" s="207">
        <v>4.3636359999999996</v>
      </c>
      <c r="BI105" s="207">
        <v>0</v>
      </c>
      <c r="BJ105" s="207">
        <v>1.454545</v>
      </c>
      <c r="BK105" s="207">
        <v>0</v>
      </c>
      <c r="BL105" s="207">
        <v>0</v>
      </c>
      <c r="BM105" s="207">
        <v>0</v>
      </c>
      <c r="BN105" s="207">
        <v>0</v>
      </c>
      <c r="BO105" s="207">
        <v>0</v>
      </c>
      <c r="BP105" s="207">
        <v>0</v>
      </c>
      <c r="BQ105" s="207">
        <v>0</v>
      </c>
      <c r="BR105" s="207">
        <v>0</v>
      </c>
      <c r="BS105" s="207">
        <v>0</v>
      </c>
      <c r="BT105" s="207">
        <v>0</v>
      </c>
      <c r="BU105" s="207">
        <v>0</v>
      </c>
      <c r="BV105" s="207">
        <v>0</v>
      </c>
      <c r="BW105" s="207">
        <v>0</v>
      </c>
      <c r="BX105" s="207">
        <v>0</v>
      </c>
      <c r="BY105" s="207">
        <v>0</v>
      </c>
      <c r="BZ105" s="207">
        <v>0</v>
      </c>
      <c r="CA105" s="207">
        <v>0</v>
      </c>
      <c r="CB105" s="207">
        <v>0</v>
      </c>
      <c r="CC105" s="207">
        <v>0</v>
      </c>
      <c r="CD105" s="207">
        <v>0</v>
      </c>
      <c r="CE105" s="207">
        <v>0</v>
      </c>
      <c r="CF105" s="207">
        <v>0</v>
      </c>
      <c r="CG105" s="147"/>
      <c r="CH105" s="176"/>
      <c r="CJ105" s="146"/>
      <c r="CK105" s="76">
        <f t="shared" ca="1" si="90"/>
        <v>0.22345724956721491</v>
      </c>
      <c r="CL105" s="179">
        <f t="shared" si="91"/>
        <v>8</v>
      </c>
      <c r="CM105" s="180">
        <f t="shared" si="92"/>
        <v>39673</v>
      </c>
      <c r="CN105" s="208">
        <v>0</v>
      </c>
      <c r="CO105" s="208">
        <v>0</v>
      </c>
      <c r="CP105" s="208">
        <v>2</v>
      </c>
      <c r="CQ105" s="208">
        <v>0</v>
      </c>
      <c r="CR105" s="208">
        <v>0</v>
      </c>
      <c r="CS105" s="208">
        <v>0</v>
      </c>
      <c r="CT105" s="208">
        <v>0</v>
      </c>
      <c r="CU105" s="208">
        <v>0</v>
      </c>
      <c r="CV105" s="160"/>
      <c r="CW105">
        <v>1</v>
      </c>
      <c r="CX105">
        <v>2</v>
      </c>
      <c r="CY105" s="164"/>
      <c r="CZ105" s="177">
        <f t="shared" si="93"/>
        <v>9.6000000000000002E-2</v>
      </c>
      <c r="DB105" s="146"/>
      <c r="DC105" s="76">
        <f t="shared" ca="1" si="51"/>
        <v>0.58903349203777111</v>
      </c>
      <c r="DD105">
        <f>IF(AZ105="", "", AZ105)</f>
        <v>8</v>
      </c>
      <c r="DE105" s="129">
        <f t="shared" si="126"/>
        <v>39673</v>
      </c>
      <c r="DF105" s="161">
        <f t="shared" si="95"/>
        <v>0</v>
      </c>
      <c r="DG105" s="161">
        <f t="shared" si="96"/>
        <v>0</v>
      </c>
      <c r="DH105" s="161">
        <f t="shared" si="97"/>
        <v>117.42423958333333</v>
      </c>
      <c r="DI105" s="161">
        <f t="shared" si="98"/>
        <v>136.36363541666665</v>
      </c>
      <c r="DJ105" s="161">
        <f t="shared" si="99"/>
        <v>196.96968749999999</v>
      </c>
      <c r="DK105" s="161">
        <f t="shared" si="100"/>
        <v>30.303020833333331</v>
      </c>
      <c r="DL105" s="161">
        <f t="shared" si="101"/>
        <v>45.454541666666664</v>
      </c>
      <c r="DM105" s="161">
        <f t="shared" si="102"/>
        <v>0</v>
      </c>
      <c r="DN105" s="161">
        <f t="shared" si="103"/>
        <v>15.151510416666666</v>
      </c>
      <c r="DO105" s="161">
        <f t="shared" si="104"/>
        <v>0</v>
      </c>
      <c r="DP105" s="161">
        <f t="shared" si="105"/>
        <v>0</v>
      </c>
      <c r="DQ105" s="161">
        <f t="shared" si="106"/>
        <v>0</v>
      </c>
      <c r="DR105" s="161">
        <f t="shared" si="107"/>
        <v>0</v>
      </c>
      <c r="DS105" s="161">
        <f t="shared" si="108"/>
        <v>0</v>
      </c>
      <c r="DT105" s="161">
        <f t="shared" si="109"/>
        <v>0</v>
      </c>
      <c r="DU105" s="161">
        <f t="shared" si="110"/>
        <v>0</v>
      </c>
      <c r="DV105" s="161">
        <f t="shared" si="111"/>
        <v>0</v>
      </c>
      <c r="DW105" s="161">
        <f t="shared" si="112"/>
        <v>0</v>
      </c>
      <c r="DX105" s="161">
        <f t="shared" si="113"/>
        <v>0</v>
      </c>
      <c r="DY105" s="161">
        <f t="shared" si="114"/>
        <v>0</v>
      </c>
      <c r="DZ105" s="161">
        <f t="shared" si="115"/>
        <v>0</v>
      </c>
      <c r="EA105" s="161">
        <f t="shared" si="116"/>
        <v>0</v>
      </c>
      <c r="EB105" s="161">
        <f t="shared" si="117"/>
        <v>0</v>
      </c>
      <c r="EC105" s="161">
        <f t="shared" si="118"/>
        <v>0</v>
      </c>
      <c r="ED105" s="161">
        <f t="shared" si="119"/>
        <v>0</v>
      </c>
      <c r="EE105" s="161">
        <f t="shared" si="120"/>
        <v>0</v>
      </c>
      <c r="EF105" s="161">
        <f t="shared" si="121"/>
        <v>0</v>
      </c>
      <c r="EG105" s="161">
        <f t="shared" si="122"/>
        <v>0</v>
      </c>
      <c r="EH105" s="161">
        <f t="shared" si="123"/>
        <v>0</v>
      </c>
      <c r="EI105" s="161">
        <f t="shared" si="124"/>
        <v>0</v>
      </c>
      <c r="EJ105" s="161">
        <f t="shared" si="125"/>
        <v>0</v>
      </c>
      <c r="EK105" s="147">
        <f t="shared" si="55"/>
        <v>541.66663541666651</v>
      </c>
      <c r="EL105" s="149"/>
      <c r="EN105" s="146"/>
      <c r="EO105" s="146"/>
      <c r="EP105" s="139">
        <f t="shared" si="56"/>
        <v>0</v>
      </c>
      <c r="EQ105" s="139">
        <f t="shared" si="57"/>
        <v>0</v>
      </c>
      <c r="ER105" s="139">
        <f t="shared" si="58"/>
        <v>8.5996945481645959</v>
      </c>
      <c r="ES105" s="139">
        <f t="shared" si="59"/>
        <v>29.448232152492658</v>
      </c>
      <c r="ET105" s="139">
        <f t="shared" si="60"/>
        <v>91.616071169534379</v>
      </c>
      <c r="EU105" s="139">
        <f t="shared" si="61"/>
        <v>25.557430997934187</v>
      </c>
      <c r="EV105" s="139">
        <f t="shared" si="62"/>
        <v>62.342604038274025</v>
      </c>
      <c r="EW105" s="139">
        <f t="shared" si="63"/>
        <v>0</v>
      </c>
      <c r="EX105" s="139">
        <f t="shared" si="64"/>
        <v>44.758466144261241</v>
      </c>
      <c r="EY105" s="139">
        <f t="shared" si="65"/>
        <v>0</v>
      </c>
      <c r="EZ105" s="139">
        <f t="shared" si="66"/>
        <v>0</v>
      </c>
      <c r="FA105" s="139">
        <f t="shared" si="67"/>
        <v>0</v>
      </c>
      <c r="FB105" s="139">
        <f t="shared" si="68"/>
        <v>0</v>
      </c>
      <c r="FC105" s="139">
        <f t="shared" si="69"/>
        <v>0</v>
      </c>
      <c r="FD105" s="139">
        <f t="shared" si="70"/>
        <v>0</v>
      </c>
      <c r="FE105" s="139">
        <f t="shared" si="71"/>
        <v>0</v>
      </c>
      <c r="FF105" s="139">
        <f t="shared" si="72"/>
        <v>0</v>
      </c>
      <c r="FG105" s="139">
        <f t="shared" si="73"/>
        <v>0</v>
      </c>
      <c r="FH105" s="139">
        <f t="shared" si="74"/>
        <v>0</v>
      </c>
      <c r="FI105" s="139">
        <f t="shared" si="75"/>
        <v>0</v>
      </c>
      <c r="FJ105" s="139">
        <f t="shared" si="76"/>
        <v>0</v>
      </c>
      <c r="FK105" s="139">
        <f t="shared" si="77"/>
        <v>0</v>
      </c>
      <c r="FL105" s="139">
        <f t="shared" si="78"/>
        <v>0</v>
      </c>
      <c r="FM105" s="139">
        <f t="shared" si="79"/>
        <v>0</v>
      </c>
      <c r="FN105" s="139">
        <f t="shared" si="80"/>
        <v>0</v>
      </c>
      <c r="FO105" s="139">
        <f t="shared" si="81"/>
        <v>0</v>
      </c>
      <c r="FP105" s="139">
        <f t="shared" si="82"/>
        <v>0</v>
      </c>
      <c r="FQ105" s="139">
        <f t="shared" si="83"/>
        <v>0</v>
      </c>
      <c r="FR105" s="139">
        <f t="shared" si="84"/>
        <v>0</v>
      </c>
      <c r="FS105" s="139">
        <f t="shared" si="85"/>
        <v>0</v>
      </c>
      <c r="FT105" s="139">
        <f t="shared" si="86"/>
        <v>0</v>
      </c>
      <c r="FU105" s="148">
        <f t="shared" si="87"/>
        <v>262.32249905066107</v>
      </c>
      <c r="FV105" s="149"/>
      <c r="FY105" s="213">
        <v>100</v>
      </c>
      <c r="FZ105">
        <v>36.870431648386294</v>
      </c>
      <c r="GA105">
        <v>58.903617588869444</v>
      </c>
      <c r="GB105">
        <v>16.98150467973322</v>
      </c>
      <c r="GC105">
        <v>6.9287508071900685</v>
      </c>
      <c r="GD105">
        <v>6.0225405146341489</v>
      </c>
      <c r="GE105">
        <v>5.858285897763837</v>
      </c>
      <c r="GF105">
        <v>20.075377185868927</v>
      </c>
      <c r="GG105">
        <v>18.19642299461643</v>
      </c>
      <c r="GH105">
        <v>16.352555302877487</v>
      </c>
      <c r="GI105">
        <v>20.047326309295389</v>
      </c>
      <c r="GJ105"/>
      <c r="GK105"/>
      <c r="GL105"/>
      <c r="GM105"/>
      <c r="GN105" s="208"/>
      <c r="GO105" s="208"/>
      <c r="GP105" s="208"/>
      <c r="GQ105" s="208"/>
      <c r="GR105" s="208"/>
      <c r="GS105" s="208"/>
      <c r="GT105" s="208"/>
      <c r="GU105" s="213">
        <v>100</v>
      </c>
    </row>
    <row r="106" spans="1:203" s="7" customFormat="1">
      <c r="A106" s="1"/>
      <c r="B106" s="76">
        <f ca="1">IF(C106="", "", RAND())</f>
        <v>0.40266523270046006</v>
      </c>
      <c r="C106">
        <v>8</v>
      </c>
      <c r="D106">
        <v>39673</v>
      </c>
      <c r="E106">
        <v>0</v>
      </c>
      <c r="F106">
        <v>0</v>
      </c>
      <c r="G106">
        <v>117.42423958333333</v>
      </c>
      <c r="H106">
        <v>136.36363541666665</v>
      </c>
      <c r="I106">
        <v>196.96968749999999</v>
      </c>
      <c r="J106">
        <v>30.303020833333331</v>
      </c>
      <c r="K106">
        <v>45.454541666666664</v>
      </c>
      <c r="L106">
        <v>0</v>
      </c>
      <c r="M106">
        <v>15.151510416666666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 s="2"/>
      <c r="AK106" s="80"/>
      <c r="AL106" s="74"/>
      <c r="AM106" s="43">
        <v>90</v>
      </c>
      <c r="AN106">
        <v>360.95394039630941</v>
      </c>
      <c r="AO106">
        <v>33.149552863015607</v>
      </c>
      <c r="AP106">
        <v>119.28970844423284</v>
      </c>
      <c r="AQ106">
        <v>247.36576656787994</v>
      </c>
      <c r="AR106">
        <v>33.386268838258005</v>
      </c>
      <c r="AS106">
        <v>312.37089498479736</v>
      </c>
      <c r="AT106">
        <v>18.245855624422447</v>
      </c>
      <c r="AU106">
        <v>59.582057623582116</v>
      </c>
      <c r="AV106"/>
      <c r="AW106"/>
      <c r="AX106" s="146"/>
      <c r="AY106" s="76">
        <f t="shared" ca="1" si="88"/>
        <v>0.10509207132895426</v>
      </c>
      <c r="AZ106">
        <v>9</v>
      </c>
      <c r="BA106" s="129">
        <f t="shared" si="127"/>
        <v>39673</v>
      </c>
      <c r="BB106" s="207">
        <v>0</v>
      </c>
      <c r="BC106" s="207">
        <v>0</v>
      </c>
      <c r="BD106" s="207">
        <v>0</v>
      </c>
      <c r="BE106" s="207">
        <v>0</v>
      </c>
      <c r="BF106" s="207">
        <v>1</v>
      </c>
      <c r="BG106" s="207">
        <v>0</v>
      </c>
      <c r="BH106" s="207">
        <v>0</v>
      </c>
      <c r="BI106" s="207">
        <v>0</v>
      </c>
      <c r="BJ106" s="207">
        <v>0</v>
      </c>
      <c r="BK106" s="207">
        <v>0</v>
      </c>
      <c r="BL106" s="207">
        <v>0</v>
      </c>
      <c r="BM106" s="207">
        <v>0</v>
      </c>
      <c r="BN106" s="207">
        <v>0</v>
      </c>
      <c r="BO106" s="207">
        <v>0</v>
      </c>
      <c r="BP106" s="207">
        <v>0</v>
      </c>
      <c r="BQ106" s="207">
        <v>0</v>
      </c>
      <c r="BR106" s="207">
        <v>0</v>
      </c>
      <c r="BS106" s="207">
        <v>0</v>
      </c>
      <c r="BT106" s="207">
        <v>0</v>
      </c>
      <c r="BU106" s="207">
        <v>0</v>
      </c>
      <c r="BV106" s="207">
        <v>0</v>
      </c>
      <c r="BW106" s="207">
        <v>0</v>
      </c>
      <c r="BX106" s="207">
        <v>0</v>
      </c>
      <c r="BY106" s="207">
        <v>0</v>
      </c>
      <c r="BZ106" s="207">
        <v>0</v>
      </c>
      <c r="CA106" s="207">
        <v>0</v>
      </c>
      <c r="CB106" s="207">
        <v>0</v>
      </c>
      <c r="CC106" s="207">
        <v>0</v>
      </c>
      <c r="CD106" s="207">
        <v>0</v>
      </c>
      <c r="CE106" s="207">
        <v>0</v>
      </c>
      <c r="CF106" s="207">
        <v>0</v>
      </c>
      <c r="CG106" s="147"/>
      <c r="CH106" s="176"/>
      <c r="CJ106" s="146"/>
      <c r="CK106" s="76">
        <f t="shared" ca="1" si="90"/>
        <v>0.8326465344239804</v>
      </c>
      <c r="CL106" s="179">
        <f t="shared" si="91"/>
        <v>9</v>
      </c>
      <c r="CM106" s="180">
        <f t="shared" si="92"/>
        <v>39673</v>
      </c>
      <c r="CN106" s="208">
        <v>0</v>
      </c>
      <c r="CO106" s="208">
        <v>0</v>
      </c>
      <c r="CP106" s="208">
        <v>0</v>
      </c>
      <c r="CQ106" s="208">
        <v>0</v>
      </c>
      <c r="CR106" s="208">
        <v>1</v>
      </c>
      <c r="CS106" s="208">
        <v>0</v>
      </c>
      <c r="CT106" s="208">
        <v>0</v>
      </c>
      <c r="CU106" s="208">
        <v>0</v>
      </c>
      <c r="CV106" s="160"/>
      <c r="CW106">
        <v>1</v>
      </c>
      <c r="CX106">
        <v>1</v>
      </c>
      <c r="CY106" s="164"/>
      <c r="CZ106" s="177">
        <f t="shared" si="93"/>
        <v>9.6000000000000002E-2</v>
      </c>
      <c r="DB106" s="146"/>
      <c r="DC106" s="76">
        <f t="shared" ca="1" si="51"/>
        <v>0.67462860619229081</v>
      </c>
      <c r="DD106">
        <f t="shared" si="94"/>
        <v>9</v>
      </c>
      <c r="DE106" s="129">
        <f t="shared" si="126"/>
        <v>39673</v>
      </c>
      <c r="DF106" s="161">
        <f t="shared" si="95"/>
        <v>0</v>
      </c>
      <c r="DG106" s="161">
        <f t="shared" si="96"/>
        <v>0</v>
      </c>
      <c r="DH106" s="161">
        <f t="shared" si="97"/>
        <v>0</v>
      </c>
      <c r="DI106" s="161">
        <f t="shared" si="98"/>
        <v>0</v>
      </c>
      <c r="DJ106" s="161">
        <f t="shared" si="99"/>
        <v>20.833333333333332</v>
      </c>
      <c r="DK106" s="161">
        <f t="shared" si="100"/>
        <v>0</v>
      </c>
      <c r="DL106" s="161">
        <f t="shared" si="101"/>
        <v>0</v>
      </c>
      <c r="DM106" s="161">
        <f t="shared" si="102"/>
        <v>0</v>
      </c>
      <c r="DN106" s="161">
        <f t="shared" si="103"/>
        <v>0</v>
      </c>
      <c r="DO106" s="161">
        <f t="shared" si="104"/>
        <v>0</v>
      </c>
      <c r="DP106" s="161">
        <f t="shared" si="105"/>
        <v>0</v>
      </c>
      <c r="DQ106" s="161">
        <f t="shared" si="106"/>
        <v>0</v>
      </c>
      <c r="DR106" s="161">
        <f t="shared" si="107"/>
        <v>0</v>
      </c>
      <c r="DS106" s="161">
        <f t="shared" si="108"/>
        <v>0</v>
      </c>
      <c r="DT106" s="161">
        <f t="shared" si="109"/>
        <v>0</v>
      </c>
      <c r="DU106" s="161">
        <f t="shared" si="110"/>
        <v>0</v>
      </c>
      <c r="DV106" s="161">
        <f t="shared" si="111"/>
        <v>0</v>
      </c>
      <c r="DW106" s="161">
        <f t="shared" si="112"/>
        <v>0</v>
      </c>
      <c r="DX106" s="161">
        <f t="shared" si="113"/>
        <v>0</v>
      </c>
      <c r="DY106" s="161">
        <f t="shared" si="114"/>
        <v>0</v>
      </c>
      <c r="DZ106" s="161">
        <f t="shared" si="115"/>
        <v>0</v>
      </c>
      <c r="EA106" s="161">
        <f t="shared" si="116"/>
        <v>0</v>
      </c>
      <c r="EB106" s="161">
        <f t="shared" si="117"/>
        <v>0</v>
      </c>
      <c r="EC106" s="161">
        <f t="shared" si="118"/>
        <v>0</v>
      </c>
      <c r="ED106" s="161">
        <f t="shared" si="119"/>
        <v>0</v>
      </c>
      <c r="EE106" s="161">
        <f t="shared" si="120"/>
        <v>0</v>
      </c>
      <c r="EF106" s="161">
        <f t="shared" si="121"/>
        <v>0</v>
      </c>
      <c r="EG106" s="161">
        <f t="shared" si="122"/>
        <v>0</v>
      </c>
      <c r="EH106" s="161">
        <f t="shared" si="123"/>
        <v>0</v>
      </c>
      <c r="EI106" s="161">
        <f t="shared" si="124"/>
        <v>0</v>
      </c>
      <c r="EJ106" s="161">
        <f t="shared" si="125"/>
        <v>0</v>
      </c>
      <c r="EK106" s="147">
        <f t="shared" si="55"/>
        <v>20.833333333333332</v>
      </c>
      <c r="EL106" s="149"/>
      <c r="EN106" s="146"/>
      <c r="EO106" s="146"/>
      <c r="EP106" s="139">
        <f t="shared" si="56"/>
        <v>0</v>
      </c>
      <c r="EQ106" s="139">
        <f t="shared" si="57"/>
        <v>0</v>
      </c>
      <c r="ER106" s="139">
        <f t="shared" si="58"/>
        <v>0</v>
      </c>
      <c r="ES106" s="139">
        <f t="shared" si="59"/>
        <v>0</v>
      </c>
      <c r="ET106" s="139">
        <f t="shared" si="60"/>
        <v>9.6901618395739177</v>
      </c>
      <c r="EU106" s="139">
        <f t="shared" si="61"/>
        <v>0</v>
      </c>
      <c r="EV106" s="139">
        <f t="shared" si="62"/>
        <v>0</v>
      </c>
      <c r="EW106" s="139">
        <f t="shared" si="63"/>
        <v>0</v>
      </c>
      <c r="EX106" s="139">
        <f t="shared" si="64"/>
        <v>0</v>
      </c>
      <c r="EY106" s="139">
        <f t="shared" si="65"/>
        <v>0</v>
      </c>
      <c r="EZ106" s="139">
        <f t="shared" si="66"/>
        <v>0</v>
      </c>
      <c r="FA106" s="139">
        <f t="shared" si="67"/>
        <v>0</v>
      </c>
      <c r="FB106" s="139">
        <f t="shared" si="68"/>
        <v>0</v>
      </c>
      <c r="FC106" s="139">
        <f t="shared" si="69"/>
        <v>0</v>
      </c>
      <c r="FD106" s="139">
        <f t="shared" si="70"/>
        <v>0</v>
      </c>
      <c r="FE106" s="139">
        <f t="shared" si="71"/>
        <v>0</v>
      </c>
      <c r="FF106" s="139">
        <f t="shared" si="72"/>
        <v>0</v>
      </c>
      <c r="FG106" s="139">
        <f t="shared" si="73"/>
        <v>0</v>
      </c>
      <c r="FH106" s="139">
        <f t="shared" si="74"/>
        <v>0</v>
      </c>
      <c r="FI106" s="139">
        <f t="shared" si="75"/>
        <v>0</v>
      </c>
      <c r="FJ106" s="139">
        <f t="shared" si="76"/>
        <v>0</v>
      </c>
      <c r="FK106" s="139">
        <f t="shared" si="77"/>
        <v>0</v>
      </c>
      <c r="FL106" s="139">
        <f t="shared" si="78"/>
        <v>0</v>
      </c>
      <c r="FM106" s="139">
        <f t="shared" si="79"/>
        <v>0</v>
      </c>
      <c r="FN106" s="139">
        <f t="shared" si="80"/>
        <v>0</v>
      </c>
      <c r="FO106" s="139">
        <f t="shared" si="81"/>
        <v>0</v>
      </c>
      <c r="FP106" s="139">
        <f t="shared" si="82"/>
        <v>0</v>
      </c>
      <c r="FQ106" s="139">
        <f t="shared" si="83"/>
        <v>0</v>
      </c>
      <c r="FR106" s="139">
        <f t="shared" si="84"/>
        <v>0</v>
      </c>
      <c r="FS106" s="139">
        <f t="shared" si="85"/>
        <v>0</v>
      </c>
      <c r="FT106" s="139">
        <f t="shared" si="86"/>
        <v>0</v>
      </c>
      <c r="FU106" s="148">
        <f t="shared" si="87"/>
        <v>9.6901618395739177</v>
      </c>
      <c r="FV106" s="149"/>
      <c r="FY106" s="213">
        <v>101</v>
      </c>
      <c r="FZ106">
        <v>64.234633961351619</v>
      </c>
      <c r="GA106">
        <v>44.116004487345386</v>
      </c>
      <c r="GB106">
        <v>4.046097188781717</v>
      </c>
      <c r="GC106">
        <v>8.4540625615033154</v>
      </c>
      <c r="GD106">
        <v>7.3835561869926547</v>
      </c>
      <c r="GE106">
        <v>6.5282470257937568</v>
      </c>
      <c r="GF106">
        <v>11.122968063163455</v>
      </c>
      <c r="GG106">
        <v>9.31520436270179</v>
      </c>
      <c r="GH106">
        <v>6.2271167007833075</v>
      </c>
      <c r="GI106">
        <v>17.588336452131724</v>
      </c>
      <c r="GJ106"/>
      <c r="GK106"/>
      <c r="GL106"/>
      <c r="GM106"/>
      <c r="GN106" s="208"/>
      <c r="GO106" s="208"/>
      <c r="GP106" s="208"/>
      <c r="GQ106" s="208"/>
      <c r="GR106" s="208"/>
      <c r="GS106" s="208"/>
      <c r="GT106" s="208"/>
      <c r="GU106" s="213">
        <v>101</v>
      </c>
    </row>
    <row r="107" spans="1:203" s="7" customFormat="1">
      <c r="A107" s="1"/>
      <c r="B107" s="76">
        <f ca="1">IF(C107="", "", RAND())</f>
        <v>0.68692050071876931</v>
      </c>
      <c r="C107">
        <v>3</v>
      </c>
      <c r="D107">
        <v>39673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 s="2"/>
      <c r="AK107" s="80"/>
      <c r="AL107" s="74"/>
      <c r="AM107" s="43">
        <v>91</v>
      </c>
      <c r="AN107">
        <v>348.64971991451404</v>
      </c>
      <c r="AO107">
        <v>31.384936899016601</v>
      </c>
      <c r="AP107">
        <v>86.629925975417279</v>
      </c>
      <c r="AQ107">
        <v>237.11796583358708</v>
      </c>
      <c r="AR107">
        <v>31.139685102107119</v>
      </c>
      <c r="AS107">
        <v>304.47491868131158</v>
      </c>
      <c r="AT107">
        <v>15.656848014378108</v>
      </c>
      <c r="AU107">
        <v>9.5775526425079285</v>
      </c>
      <c r="AV107"/>
      <c r="AW107"/>
      <c r="AX107" s="146"/>
      <c r="AY107" s="76">
        <f t="shared" ca="1" si="88"/>
        <v>0.50335325235485251</v>
      </c>
      <c r="AZ107">
        <v>10</v>
      </c>
      <c r="BA107" s="129">
        <f t="shared" si="127"/>
        <v>39673</v>
      </c>
      <c r="BB107" s="207">
        <v>0</v>
      </c>
      <c r="BC107" s="207">
        <v>0</v>
      </c>
      <c r="BD107" s="207">
        <v>0</v>
      </c>
      <c r="BE107" s="207">
        <v>0</v>
      </c>
      <c r="BF107" s="207">
        <v>0</v>
      </c>
      <c r="BG107" s="207">
        <v>0</v>
      </c>
      <c r="BH107" s="207">
        <v>0</v>
      </c>
      <c r="BI107" s="207">
        <v>0</v>
      </c>
      <c r="BJ107" s="207">
        <v>0</v>
      </c>
      <c r="BK107" s="207">
        <v>0</v>
      </c>
      <c r="BL107" s="207">
        <v>0</v>
      </c>
      <c r="BM107" s="207">
        <v>0</v>
      </c>
      <c r="BN107" s="207">
        <v>0</v>
      </c>
      <c r="BO107" s="207">
        <v>0</v>
      </c>
      <c r="BP107" s="207">
        <v>0</v>
      </c>
      <c r="BQ107" s="207">
        <v>0</v>
      </c>
      <c r="BR107" s="207">
        <v>0</v>
      </c>
      <c r="BS107" s="207">
        <v>0</v>
      </c>
      <c r="BT107" s="207">
        <v>0</v>
      </c>
      <c r="BU107" s="207">
        <v>0</v>
      </c>
      <c r="BV107" s="207">
        <v>0</v>
      </c>
      <c r="BW107" s="207">
        <v>0</v>
      </c>
      <c r="BX107" s="207">
        <v>0</v>
      </c>
      <c r="BY107" s="207">
        <v>0</v>
      </c>
      <c r="BZ107" s="207">
        <v>0</v>
      </c>
      <c r="CA107" s="207">
        <v>0</v>
      </c>
      <c r="CB107" s="207">
        <v>0</v>
      </c>
      <c r="CC107" s="207">
        <v>0</v>
      </c>
      <c r="CD107" s="207">
        <v>0</v>
      </c>
      <c r="CE107" s="207">
        <v>0</v>
      </c>
      <c r="CF107" s="207">
        <v>0</v>
      </c>
      <c r="CG107" s="147"/>
      <c r="CH107" s="176"/>
      <c r="CJ107" s="146"/>
      <c r="CK107" s="76">
        <f t="shared" ca="1" si="90"/>
        <v>0.30173082790128736</v>
      </c>
      <c r="CL107" s="179">
        <f t="shared" si="91"/>
        <v>10</v>
      </c>
      <c r="CM107" s="180">
        <f t="shared" si="92"/>
        <v>39673</v>
      </c>
      <c r="CN107" s="208">
        <v>0</v>
      </c>
      <c r="CO107" s="208">
        <v>0</v>
      </c>
      <c r="CP107" s="208">
        <v>1</v>
      </c>
      <c r="CQ107" s="208">
        <v>0</v>
      </c>
      <c r="CR107" s="208">
        <v>0</v>
      </c>
      <c r="CS107" s="208">
        <v>0</v>
      </c>
      <c r="CT107" s="208">
        <v>0</v>
      </c>
      <c r="CU107" s="208">
        <v>0</v>
      </c>
      <c r="CV107" s="160"/>
      <c r="CW107">
        <f>18/10</f>
        <v>1.8</v>
      </c>
      <c r="CX107">
        <f>100/7</f>
        <v>14.285714285714286</v>
      </c>
      <c r="CY107" s="164"/>
      <c r="CZ107" s="177">
        <f t="shared" si="93"/>
        <v>9.6000000000000002E-2</v>
      </c>
      <c r="DB107" s="146"/>
      <c r="DC107" s="76">
        <f t="shared" ca="1" si="51"/>
        <v>0.10223953003341357</v>
      </c>
      <c r="DD107">
        <f t="shared" si="94"/>
        <v>10</v>
      </c>
      <c r="DE107" s="129">
        <f t="shared" si="126"/>
        <v>39673</v>
      </c>
      <c r="DF107" s="161">
        <f t="shared" si="95"/>
        <v>0</v>
      </c>
      <c r="DG107" s="161">
        <f t="shared" si="96"/>
        <v>0</v>
      </c>
      <c r="DH107" s="161">
        <f t="shared" si="97"/>
        <v>148.80952380952382</v>
      </c>
      <c r="DI107" s="161">
        <f t="shared" si="98"/>
        <v>0</v>
      </c>
      <c r="DJ107" s="161">
        <f t="shared" si="99"/>
        <v>0</v>
      </c>
      <c r="DK107" s="161">
        <f t="shared" si="100"/>
        <v>0</v>
      </c>
      <c r="DL107" s="161">
        <f t="shared" si="101"/>
        <v>0</v>
      </c>
      <c r="DM107" s="161">
        <f t="shared" si="102"/>
        <v>0</v>
      </c>
      <c r="DN107" s="161">
        <f t="shared" si="103"/>
        <v>0</v>
      </c>
      <c r="DO107" s="161">
        <f t="shared" si="104"/>
        <v>0</v>
      </c>
      <c r="DP107" s="161">
        <f t="shared" si="105"/>
        <v>0</v>
      </c>
      <c r="DQ107" s="161">
        <f t="shared" si="106"/>
        <v>0</v>
      </c>
      <c r="DR107" s="161">
        <f t="shared" si="107"/>
        <v>0</v>
      </c>
      <c r="DS107" s="161">
        <f t="shared" si="108"/>
        <v>0</v>
      </c>
      <c r="DT107" s="161">
        <f t="shared" si="109"/>
        <v>0</v>
      </c>
      <c r="DU107" s="161">
        <f t="shared" si="110"/>
        <v>0</v>
      </c>
      <c r="DV107" s="161">
        <f t="shared" si="111"/>
        <v>0</v>
      </c>
      <c r="DW107" s="161">
        <f t="shared" si="112"/>
        <v>0</v>
      </c>
      <c r="DX107" s="161">
        <f t="shared" si="113"/>
        <v>0</v>
      </c>
      <c r="DY107" s="161">
        <f t="shared" si="114"/>
        <v>0</v>
      </c>
      <c r="DZ107" s="161">
        <f t="shared" si="115"/>
        <v>0</v>
      </c>
      <c r="EA107" s="161">
        <f t="shared" si="116"/>
        <v>0</v>
      </c>
      <c r="EB107" s="161">
        <f t="shared" si="117"/>
        <v>0</v>
      </c>
      <c r="EC107" s="161">
        <f t="shared" si="118"/>
        <v>0</v>
      </c>
      <c r="ED107" s="161">
        <f t="shared" si="119"/>
        <v>0</v>
      </c>
      <c r="EE107" s="161">
        <f t="shared" si="120"/>
        <v>0</v>
      </c>
      <c r="EF107" s="161">
        <f t="shared" si="121"/>
        <v>0</v>
      </c>
      <c r="EG107" s="161">
        <f t="shared" si="122"/>
        <v>0</v>
      </c>
      <c r="EH107" s="161">
        <f t="shared" si="123"/>
        <v>0</v>
      </c>
      <c r="EI107" s="161">
        <f t="shared" si="124"/>
        <v>0</v>
      </c>
      <c r="EJ107" s="161">
        <f t="shared" si="125"/>
        <v>0</v>
      </c>
      <c r="EK107" s="147">
        <f t="shared" si="55"/>
        <v>148.80952380952382</v>
      </c>
      <c r="EL107" s="149"/>
      <c r="EN107" s="146"/>
      <c r="EO107" s="146"/>
      <c r="EP107" s="139">
        <f t="shared" si="56"/>
        <v>0</v>
      </c>
      <c r="EQ107" s="139">
        <f t="shared" si="57"/>
        <v>0</v>
      </c>
      <c r="ER107" s="139">
        <f t="shared" si="58"/>
        <v>10.898230681847814</v>
      </c>
      <c r="ES107" s="139">
        <f t="shared" si="59"/>
        <v>0</v>
      </c>
      <c r="ET107" s="139">
        <f t="shared" si="60"/>
        <v>0</v>
      </c>
      <c r="EU107" s="139">
        <f t="shared" si="61"/>
        <v>0</v>
      </c>
      <c r="EV107" s="139">
        <f t="shared" si="62"/>
        <v>0</v>
      </c>
      <c r="EW107" s="139">
        <f t="shared" si="63"/>
        <v>0</v>
      </c>
      <c r="EX107" s="139">
        <f t="shared" si="64"/>
        <v>0</v>
      </c>
      <c r="EY107" s="139">
        <f t="shared" si="65"/>
        <v>0</v>
      </c>
      <c r="EZ107" s="139">
        <f t="shared" si="66"/>
        <v>0</v>
      </c>
      <c r="FA107" s="139">
        <f t="shared" si="67"/>
        <v>0</v>
      </c>
      <c r="FB107" s="139">
        <f t="shared" si="68"/>
        <v>0</v>
      </c>
      <c r="FC107" s="139">
        <f t="shared" si="69"/>
        <v>0</v>
      </c>
      <c r="FD107" s="139">
        <f t="shared" si="70"/>
        <v>0</v>
      </c>
      <c r="FE107" s="139">
        <f t="shared" si="71"/>
        <v>0</v>
      </c>
      <c r="FF107" s="139">
        <f t="shared" si="72"/>
        <v>0</v>
      </c>
      <c r="FG107" s="139">
        <f t="shared" si="73"/>
        <v>0</v>
      </c>
      <c r="FH107" s="139">
        <f t="shared" si="74"/>
        <v>0</v>
      </c>
      <c r="FI107" s="139">
        <f t="shared" si="75"/>
        <v>0</v>
      </c>
      <c r="FJ107" s="139">
        <f t="shared" si="76"/>
        <v>0</v>
      </c>
      <c r="FK107" s="139">
        <f t="shared" si="77"/>
        <v>0</v>
      </c>
      <c r="FL107" s="139">
        <f t="shared" si="78"/>
        <v>0</v>
      </c>
      <c r="FM107" s="139">
        <f t="shared" si="79"/>
        <v>0</v>
      </c>
      <c r="FN107" s="139">
        <f t="shared" si="80"/>
        <v>0</v>
      </c>
      <c r="FO107" s="139">
        <f t="shared" si="81"/>
        <v>0</v>
      </c>
      <c r="FP107" s="139">
        <f t="shared" si="82"/>
        <v>0</v>
      </c>
      <c r="FQ107" s="139">
        <f t="shared" si="83"/>
        <v>0</v>
      </c>
      <c r="FR107" s="139">
        <f t="shared" si="84"/>
        <v>0</v>
      </c>
      <c r="FS107" s="139">
        <f t="shared" si="85"/>
        <v>0</v>
      </c>
      <c r="FT107" s="139">
        <f t="shared" si="86"/>
        <v>0</v>
      </c>
      <c r="FU107" s="148">
        <f t="shared" si="87"/>
        <v>10.898230681847814</v>
      </c>
      <c r="FV107" s="149"/>
      <c r="FY107" s="213">
        <v>102</v>
      </c>
      <c r="FZ107">
        <v>54.537545377285191</v>
      </c>
      <c r="GA107">
        <v>51.874107969180152</v>
      </c>
      <c r="GB107">
        <v>8.2484430609748163</v>
      </c>
      <c r="GC107">
        <v>7.6595232655238012</v>
      </c>
      <c r="GD107">
        <v>7.3224060769035457</v>
      </c>
      <c r="GE107">
        <v>8.0984868228877751</v>
      </c>
      <c r="GF107">
        <v>22.779963919724565</v>
      </c>
      <c r="GG107">
        <v>19.347745861710148</v>
      </c>
      <c r="GH107">
        <v>7.539138049064384</v>
      </c>
      <c r="GI107">
        <v>19.833083060627651</v>
      </c>
      <c r="GJ107"/>
      <c r="GK107"/>
      <c r="GL107"/>
      <c r="GM107"/>
      <c r="GN107" s="208"/>
      <c r="GO107" s="208"/>
      <c r="GP107" s="208"/>
      <c r="GQ107" s="208"/>
      <c r="GR107" s="208"/>
      <c r="GS107" s="208"/>
      <c r="GT107" s="208"/>
      <c r="GU107" s="213">
        <v>102</v>
      </c>
    </row>
    <row r="108" spans="1:203" s="7" customFormat="1">
      <c r="A108" s="128"/>
      <c r="B108" s="76">
        <f ca="1">IF(C108="", "", RAND())</f>
        <v>0.74698273773423685</v>
      </c>
      <c r="C108">
        <v>9</v>
      </c>
      <c r="D108">
        <v>39714</v>
      </c>
      <c r="E108">
        <v>100.80645161290323</v>
      </c>
      <c r="F108">
        <v>302.41935483870964</v>
      </c>
      <c r="G108">
        <v>0</v>
      </c>
      <c r="H108">
        <v>0</v>
      </c>
      <c r="I108">
        <v>0</v>
      </c>
      <c r="J108">
        <v>0</v>
      </c>
      <c r="K108">
        <v>10.416666666666666</v>
      </c>
      <c r="L108">
        <v>0</v>
      </c>
      <c r="M108">
        <v>10.416666666666666</v>
      </c>
      <c r="N108">
        <v>31.25</v>
      </c>
      <c r="O108">
        <v>10.416666666666666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 s="2"/>
      <c r="AK108" s="80"/>
      <c r="AL108" s="74"/>
      <c r="AM108" s="43">
        <v>92</v>
      </c>
      <c r="AN108">
        <v>387.22798298804611</v>
      </c>
      <c r="AO108">
        <v>29.277841865701227</v>
      </c>
      <c r="AP108">
        <v>59.400052217651677</v>
      </c>
      <c r="AQ108">
        <v>202.29906554880367</v>
      </c>
      <c r="AR108">
        <v>29.875043598314797</v>
      </c>
      <c r="AS108">
        <v>281.49824490288881</v>
      </c>
      <c r="AT108">
        <v>12.076615277118714</v>
      </c>
      <c r="AU108">
        <v>-8.9647558403976753</v>
      </c>
      <c r="AV108"/>
      <c r="AW108"/>
      <c r="AX108" s="128"/>
      <c r="AY108" s="76">
        <f t="shared" ca="1" si="88"/>
        <v>0.27012311585462179</v>
      </c>
      <c r="AZ108">
        <v>1</v>
      </c>
      <c r="BA108" s="129">
        <f>IF(AZ108="", "",$C$6)</f>
        <v>39714</v>
      </c>
      <c r="BB108" s="207">
        <v>0</v>
      </c>
      <c r="BC108" s="207">
        <v>0</v>
      </c>
      <c r="BD108" s="207">
        <v>0</v>
      </c>
      <c r="BE108" s="207">
        <v>0</v>
      </c>
      <c r="BF108" s="207">
        <v>0</v>
      </c>
      <c r="BG108" s="207">
        <v>0</v>
      </c>
      <c r="BH108" s="207">
        <v>0</v>
      </c>
      <c r="BI108" s="207">
        <v>0</v>
      </c>
      <c r="BJ108" s="207">
        <v>0</v>
      </c>
      <c r="BK108" s="207">
        <v>0</v>
      </c>
      <c r="BL108" s="207">
        <v>0</v>
      </c>
      <c r="BM108" s="207">
        <v>0</v>
      </c>
      <c r="BN108" s="207">
        <v>0</v>
      </c>
      <c r="BO108" s="207">
        <v>0</v>
      </c>
      <c r="BP108" s="207">
        <v>0</v>
      </c>
      <c r="BQ108" s="207">
        <v>0</v>
      </c>
      <c r="BR108" s="207">
        <v>0</v>
      </c>
      <c r="BS108" s="207">
        <v>0</v>
      </c>
      <c r="BT108" s="207">
        <v>0</v>
      </c>
      <c r="BU108" s="207">
        <v>0</v>
      </c>
      <c r="BV108" s="207">
        <v>0</v>
      </c>
      <c r="BW108" s="207">
        <v>0</v>
      </c>
      <c r="BX108" s="207">
        <v>0</v>
      </c>
      <c r="BY108" s="207">
        <v>0</v>
      </c>
      <c r="BZ108" s="207">
        <v>0</v>
      </c>
      <c r="CA108" s="207">
        <v>0</v>
      </c>
      <c r="CB108" s="207">
        <v>0</v>
      </c>
      <c r="CC108" s="207">
        <v>0</v>
      </c>
      <c r="CD108" s="207">
        <v>0</v>
      </c>
      <c r="CE108" s="207">
        <v>0</v>
      </c>
      <c r="CF108" s="207">
        <v>0</v>
      </c>
      <c r="CG108" s="147"/>
      <c r="CH108" s="176"/>
      <c r="CJ108" s="128"/>
      <c r="CK108" s="76">
        <f t="shared" ca="1" si="90"/>
        <v>0.28892922081172134</v>
      </c>
      <c r="CL108" s="179">
        <f t="shared" si="91"/>
        <v>1</v>
      </c>
      <c r="CM108" s="180">
        <f t="shared" si="92"/>
        <v>39714</v>
      </c>
      <c r="CN108" s="208">
        <v>2</v>
      </c>
      <c r="CO108" s="208">
        <v>1</v>
      </c>
      <c r="CP108" s="208">
        <v>0</v>
      </c>
      <c r="CQ108" s="208">
        <v>0</v>
      </c>
      <c r="CR108" s="208">
        <v>0</v>
      </c>
      <c r="CS108" s="208">
        <v>0</v>
      </c>
      <c r="CT108" s="208">
        <v>0</v>
      </c>
      <c r="CU108" s="208">
        <v>0</v>
      </c>
      <c r="CW108">
        <v>1</v>
      </c>
      <c r="CX108">
        <f>300/48</f>
        <v>6.25</v>
      </c>
      <c r="CY108" s="158"/>
      <c r="CZ108" s="177">
        <f t="shared" si="93"/>
        <v>9.6000000000000002E-2</v>
      </c>
      <c r="DB108" s="128"/>
      <c r="DC108" s="76">
        <f t="shared" ca="1" si="51"/>
        <v>9.3862187922105766E-2</v>
      </c>
      <c r="DD108">
        <f t="shared" si="94"/>
        <v>1</v>
      </c>
      <c r="DE108" s="129">
        <f t="shared" ref="DE108:DE117" si="128">IF((DD108)="", "", $C$6)</f>
        <v>39714</v>
      </c>
      <c r="DF108" s="161">
        <f t="shared" si="95"/>
        <v>130.20833333333334</v>
      </c>
      <c r="DG108" s="161">
        <f t="shared" si="96"/>
        <v>65.104166666666671</v>
      </c>
      <c r="DH108" s="161">
        <f t="shared" si="97"/>
        <v>0</v>
      </c>
      <c r="DI108" s="161">
        <f t="shared" si="98"/>
        <v>0</v>
      </c>
      <c r="DJ108" s="161">
        <f t="shared" si="99"/>
        <v>0</v>
      </c>
      <c r="DK108" s="161">
        <f t="shared" si="100"/>
        <v>0</v>
      </c>
      <c r="DL108" s="161">
        <f t="shared" si="101"/>
        <v>0</v>
      </c>
      <c r="DM108" s="161">
        <f t="shared" si="102"/>
        <v>0</v>
      </c>
      <c r="DN108" s="161">
        <f t="shared" si="103"/>
        <v>0</v>
      </c>
      <c r="DO108" s="161">
        <f t="shared" si="104"/>
        <v>0</v>
      </c>
      <c r="DP108" s="161">
        <f t="shared" si="105"/>
        <v>0</v>
      </c>
      <c r="DQ108" s="161">
        <f t="shared" si="106"/>
        <v>0</v>
      </c>
      <c r="DR108" s="161">
        <f t="shared" si="107"/>
        <v>0</v>
      </c>
      <c r="DS108" s="161">
        <f t="shared" si="108"/>
        <v>0</v>
      </c>
      <c r="DT108" s="161">
        <f t="shared" si="109"/>
        <v>0</v>
      </c>
      <c r="DU108" s="161">
        <f t="shared" si="110"/>
        <v>0</v>
      </c>
      <c r="DV108" s="161">
        <f t="shared" si="111"/>
        <v>0</v>
      </c>
      <c r="DW108" s="161">
        <f t="shared" si="112"/>
        <v>0</v>
      </c>
      <c r="DX108" s="161">
        <f t="shared" si="113"/>
        <v>0</v>
      </c>
      <c r="DY108" s="161">
        <f t="shared" si="114"/>
        <v>0</v>
      </c>
      <c r="DZ108" s="161">
        <f t="shared" si="115"/>
        <v>0</v>
      </c>
      <c r="EA108" s="161">
        <f t="shared" si="116"/>
        <v>0</v>
      </c>
      <c r="EB108" s="161">
        <f t="shared" si="117"/>
        <v>0</v>
      </c>
      <c r="EC108" s="161">
        <f t="shared" si="118"/>
        <v>0</v>
      </c>
      <c r="ED108" s="161">
        <f t="shared" si="119"/>
        <v>0</v>
      </c>
      <c r="EE108" s="161">
        <f t="shared" si="120"/>
        <v>0</v>
      </c>
      <c r="EF108" s="161">
        <f t="shared" si="121"/>
        <v>0</v>
      </c>
      <c r="EG108" s="161">
        <f t="shared" si="122"/>
        <v>0</v>
      </c>
      <c r="EH108" s="161">
        <f t="shared" si="123"/>
        <v>0</v>
      </c>
      <c r="EI108" s="161">
        <f t="shared" si="124"/>
        <v>0</v>
      </c>
      <c r="EJ108" s="161">
        <f t="shared" si="125"/>
        <v>0</v>
      </c>
      <c r="EK108" s="147">
        <f t="shared" si="55"/>
        <v>195.3125</v>
      </c>
      <c r="EL108" s="149"/>
      <c r="EN108" s="146"/>
      <c r="EO108" s="146"/>
      <c r="EP108" s="139">
        <f t="shared" si="56"/>
        <v>0.23641229146756915</v>
      </c>
      <c r="EQ108" s="139">
        <f t="shared" si="57"/>
        <v>0.75073567708333333</v>
      </c>
      <c r="ER108" s="139">
        <f t="shared" si="58"/>
        <v>0</v>
      </c>
      <c r="ES108" s="139">
        <f t="shared" si="59"/>
        <v>0</v>
      </c>
      <c r="ET108" s="139">
        <f t="shared" si="60"/>
        <v>0</v>
      </c>
      <c r="EU108" s="139">
        <f t="shared" si="61"/>
        <v>0</v>
      </c>
      <c r="EV108" s="139">
        <f t="shared" si="62"/>
        <v>0</v>
      </c>
      <c r="EW108" s="139">
        <f t="shared" si="63"/>
        <v>0</v>
      </c>
      <c r="EX108" s="139">
        <f t="shared" si="64"/>
        <v>0</v>
      </c>
      <c r="EY108" s="139">
        <f t="shared" si="65"/>
        <v>0</v>
      </c>
      <c r="EZ108" s="139">
        <f t="shared" si="66"/>
        <v>0</v>
      </c>
      <c r="FA108" s="139">
        <f t="shared" si="67"/>
        <v>0</v>
      </c>
      <c r="FB108" s="139">
        <f t="shared" si="68"/>
        <v>0</v>
      </c>
      <c r="FC108" s="139">
        <f t="shared" si="69"/>
        <v>0</v>
      </c>
      <c r="FD108" s="139">
        <f t="shared" si="70"/>
        <v>0</v>
      </c>
      <c r="FE108" s="139">
        <f t="shared" si="71"/>
        <v>0</v>
      </c>
      <c r="FF108" s="139">
        <f t="shared" si="72"/>
        <v>0</v>
      </c>
      <c r="FG108" s="139">
        <f t="shared" si="73"/>
        <v>0</v>
      </c>
      <c r="FH108" s="139">
        <f t="shared" si="74"/>
        <v>0</v>
      </c>
      <c r="FI108" s="139">
        <f t="shared" si="75"/>
        <v>0</v>
      </c>
      <c r="FJ108" s="139">
        <f t="shared" si="76"/>
        <v>0</v>
      </c>
      <c r="FK108" s="139">
        <f t="shared" si="77"/>
        <v>0</v>
      </c>
      <c r="FL108" s="139">
        <f t="shared" si="78"/>
        <v>0</v>
      </c>
      <c r="FM108" s="139">
        <f t="shared" si="79"/>
        <v>0</v>
      </c>
      <c r="FN108" s="139">
        <f t="shared" si="80"/>
        <v>0</v>
      </c>
      <c r="FO108" s="139">
        <f t="shared" si="81"/>
        <v>0</v>
      </c>
      <c r="FP108" s="139">
        <f t="shared" si="82"/>
        <v>0</v>
      </c>
      <c r="FQ108" s="139">
        <f t="shared" si="83"/>
        <v>0</v>
      </c>
      <c r="FR108" s="139">
        <f t="shared" si="84"/>
        <v>0</v>
      </c>
      <c r="FS108" s="139">
        <f t="shared" si="85"/>
        <v>0</v>
      </c>
      <c r="FT108" s="139">
        <f t="shared" si="86"/>
        <v>0</v>
      </c>
      <c r="FU108" s="148">
        <f t="shared" si="87"/>
        <v>0.98714796855090248</v>
      </c>
      <c r="FV108" s="149"/>
      <c r="FY108" s="213">
        <v>103</v>
      </c>
      <c r="FZ108">
        <v>42.207572872884349</v>
      </c>
      <c r="GA108">
        <v>72.570002267927279</v>
      </c>
      <c r="GB108">
        <v>20.038962841768587</v>
      </c>
      <c r="GC108">
        <v>7.9559721877224963</v>
      </c>
      <c r="GD108">
        <v>6.0196716610238861</v>
      </c>
      <c r="GE108">
        <v>6.3583525010519777</v>
      </c>
      <c r="GF108">
        <v>16.547869041415048</v>
      </c>
      <c r="GG108">
        <v>13.094350314673148</v>
      </c>
      <c r="GH108">
        <v>14.65567695199829</v>
      </c>
      <c r="GI108">
        <v>20.879275214158515</v>
      </c>
      <c r="GJ108"/>
      <c r="GK108"/>
      <c r="GL108"/>
      <c r="GM108"/>
      <c r="GN108" s="208"/>
      <c r="GO108" s="208"/>
      <c r="GP108" s="208"/>
      <c r="GQ108" s="208"/>
      <c r="GR108" s="208"/>
      <c r="GS108" s="208"/>
      <c r="GT108" s="208"/>
      <c r="GU108" s="213">
        <v>103</v>
      </c>
    </row>
    <row r="109" spans="1:203" s="7" customFormat="1">
      <c r="A109" s="1"/>
      <c r="B109" s="76">
        <f ca="1">IF(C109="", "", RAND())</f>
        <v>0.5751918130121596</v>
      </c>
      <c r="C109">
        <v>2</v>
      </c>
      <c r="D109">
        <v>39714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10.416666666666666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 s="2"/>
      <c r="AK109" s="80"/>
      <c r="AL109" s="74"/>
      <c r="AM109" s="43">
        <v>93</v>
      </c>
      <c r="AN109">
        <v>385.43257529011532</v>
      </c>
      <c r="AO109">
        <v>28.195335778444427</v>
      </c>
      <c r="AP109">
        <v>123.73744597011439</v>
      </c>
      <c r="AQ109">
        <v>198.25998772300966</v>
      </c>
      <c r="AR109">
        <v>30.687176226278616</v>
      </c>
      <c r="AS109">
        <v>299.63049412354655</v>
      </c>
      <c r="AT109">
        <v>13.759401504049132</v>
      </c>
      <c r="AU109">
        <v>23.48238654458882</v>
      </c>
      <c r="AV109"/>
      <c r="AW109"/>
      <c r="AX109" s="146"/>
      <c r="AY109" s="76">
        <f t="shared" ca="1" si="88"/>
        <v>0.63297356697458174</v>
      </c>
      <c r="AZ109">
        <v>2</v>
      </c>
      <c r="BA109" s="129">
        <f t="shared" ref="BA109:BA117" si="129">IF(AZ109="", "",$C$6)</f>
        <v>39714</v>
      </c>
      <c r="BB109" s="207">
        <v>0</v>
      </c>
      <c r="BC109" s="207">
        <v>0</v>
      </c>
      <c r="BD109" s="207">
        <v>0</v>
      </c>
      <c r="BE109" s="207">
        <v>0</v>
      </c>
      <c r="BF109" s="207">
        <v>0</v>
      </c>
      <c r="BG109" s="207">
        <v>0</v>
      </c>
      <c r="BH109" s="207">
        <v>1</v>
      </c>
      <c r="BI109" s="207">
        <v>0</v>
      </c>
      <c r="BJ109" s="207">
        <v>0</v>
      </c>
      <c r="BK109" s="207">
        <v>0</v>
      </c>
      <c r="BL109" s="207">
        <v>0</v>
      </c>
      <c r="BM109" s="207">
        <v>0</v>
      </c>
      <c r="BN109" s="207">
        <v>0</v>
      </c>
      <c r="BO109" s="207">
        <v>0</v>
      </c>
      <c r="BP109" s="207">
        <v>0</v>
      </c>
      <c r="BQ109" s="207">
        <v>0</v>
      </c>
      <c r="BR109" s="207">
        <v>0</v>
      </c>
      <c r="BS109" s="207">
        <v>0</v>
      </c>
      <c r="BT109" s="207">
        <v>0</v>
      </c>
      <c r="BU109" s="207">
        <v>0</v>
      </c>
      <c r="BV109" s="207">
        <v>0</v>
      </c>
      <c r="BW109" s="207">
        <v>0</v>
      </c>
      <c r="BX109" s="207">
        <v>0</v>
      </c>
      <c r="BY109" s="207">
        <v>0</v>
      </c>
      <c r="BZ109" s="207">
        <v>0</v>
      </c>
      <c r="CA109" s="207">
        <v>0</v>
      </c>
      <c r="CB109" s="207">
        <v>0</v>
      </c>
      <c r="CC109" s="207">
        <v>0</v>
      </c>
      <c r="CD109" s="207">
        <v>0</v>
      </c>
      <c r="CE109" s="207">
        <v>0</v>
      </c>
      <c r="CF109" s="207">
        <v>0</v>
      </c>
      <c r="CG109" s="147"/>
      <c r="CH109" s="176"/>
      <c r="CJ109" s="146"/>
      <c r="CK109" s="76">
        <f t="shared" ca="1" si="90"/>
        <v>0.62065287092093446</v>
      </c>
      <c r="CL109" s="179">
        <f t="shared" si="91"/>
        <v>2</v>
      </c>
      <c r="CM109" s="180">
        <f t="shared" si="92"/>
        <v>39714</v>
      </c>
      <c r="CN109" s="208">
        <v>0</v>
      </c>
      <c r="CO109" s="208">
        <v>0</v>
      </c>
      <c r="CP109" s="208">
        <v>0</v>
      </c>
      <c r="CQ109" s="208">
        <v>0</v>
      </c>
      <c r="CR109" s="208">
        <v>0</v>
      </c>
      <c r="CS109" s="208">
        <v>0</v>
      </c>
      <c r="CT109" s="208">
        <v>0</v>
      </c>
      <c r="CU109" s="208">
        <v>0</v>
      </c>
      <c r="CW109">
        <v>1</v>
      </c>
      <c r="CX109">
        <v>1</v>
      </c>
      <c r="CY109" s="158"/>
      <c r="CZ109" s="177">
        <f t="shared" si="93"/>
        <v>9.6000000000000002E-2</v>
      </c>
      <c r="DB109" s="146"/>
      <c r="DC109" s="76">
        <f t="shared" ca="1" si="51"/>
        <v>0.37145315111110389</v>
      </c>
      <c r="DD109">
        <f t="shared" si="94"/>
        <v>2</v>
      </c>
      <c r="DE109" s="129">
        <f t="shared" si="128"/>
        <v>39714</v>
      </c>
      <c r="DF109" s="161">
        <f t="shared" si="95"/>
        <v>0</v>
      </c>
      <c r="DG109" s="161">
        <f t="shared" si="96"/>
        <v>0</v>
      </c>
      <c r="DH109" s="161">
        <f t="shared" si="97"/>
        <v>0</v>
      </c>
      <c r="DI109" s="161">
        <f t="shared" si="98"/>
        <v>0</v>
      </c>
      <c r="DJ109" s="161">
        <f t="shared" si="99"/>
        <v>0</v>
      </c>
      <c r="DK109" s="161">
        <f t="shared" si="100"/>
        <v>0</v>
      </c>
      <c r="DL109" s="161">
        <f t="shared" si="101"/>
        <v>10.416666666666666</v>
      </c>
      <c r="DM109" s="161">
        <f t="shared" si="102"/>
        <v>0</v>
      </c>
      <c r="DN109" s="161">
        <f t="shared" si="103"/>
        <v>0</v>
      </c>
      <c r="DO109" s="161">
        <f t="shared" si="104"/>
        <v>0</v>
      </c>
      <c r="DP109" s="161">
        <f t="shared" si="105"/>
        <v>0</v>
      </c>
      <c r="DQ109" s="161">
        <f t="shared" si="106"/>
        <v>0</v>
      </c>
      <c r="DR109" s="161">
        <f t="shared" si="107"/>
        <v>0</v>
      </c>
      <c r="DS109" s="161">
        <f t="shared" si="108"/>
        <v>0</v>
      </c>
      <c r="DT109" s="161">
        <f t="shared" si="109"/>
        <v>0</v>
      </c>
      <c r="DU109" s="161">
        <f t="shared" si="110"/>
        <v>0</v>
      </c>
      <c r="DV109" s="161">
        <f t="shared" si="111"/>
        <v>0</v>
      </c>
      <c r="DW109" s="161">
        <f t="shared" si="112"/>
        <v>0</v>
      </c>
      <c r="DX109" s="161">
        <f t="shared" si="113"/>
        <v>0</v>
      </c>
      <c r="DY109" s="161">
        <f t="shared" si="114"/>
        <v>0</v>
      </c>
      <c r="DZ109" s="161">
        <f t="shared" si="115"/>
        <v>0</v>
      </c>
      <c r="EA109" s="161">
        <f t="shared" si="116"/>
        <v>0</v>
      </c>
      <c r="EB109" s="161">
        <f t="shared" si="117"/>
        <v>0</v>
      </c>
      <c r="EC109" s="161">
        <f t="shared" si="118"/>
        <v>0</v>
      </c>
      <c r="ED109" s="161">
        <f t="shared" si="119"/>
        <v>0</v>
      </c>
      <c r="EE109" s="161">
        <f t="shared" si="120"/>
        <v>0</v>
      </c>
      <c r="EF109" s="161">
        <f t="shared" si="121"/>
        <v>0</v>
      </c>
      <c r="EG109" s="161">
        <f t="shared" si="122"/>
        <v>0</v>
      </c>
      <c r="EH109" s="161">
        <f t="shared" si="123"/>
        <v>0</v>
      </c>
      <c r="EI109" s="161">
        <f t="shared" si="124"/>
        <v>0</v>
      </c>
      <c r="EJ109" s="161">
        <f t="shared" si="125"/>
        <v>0</v>
      </c>
      <c r="EK109" s="147">
        <f t="shared" si="55"/>
        <v>10.416666666666666</v>
      </c>
      <c r="EL109" s="149"/>
      <c r="EN109" s="146"/>
      <c r="EO109" s="146"/>
      <c r="EP109" s="139">
        <f t="shared" si="56"/>
        <v>0</v>
      </c>
      <c r="EQ109" s="139">
        <f t="shared" si="57"/>
        <v>0</v>
      </c>
      <c r="ER109" s="139">
        <f t="shared" si="58"/>
        <v>0</v>
      </c>
      <c r="ES109" s="139">
        <f t="shared" si="59"/>
        <v>0</v>
      </c>
      <c r="ET109" s="139">
        <f t="shared" si="60"/>
        <v>0</v>
      </c>
      <c r="EU109" s="139">
        <f t="shared" si="61"/>
        <v>0</v>
      </c>
      <c r="EV109" s="139">
        <f t="shared" si="62"/>
        <v>14.286847949341793</v>
      </c>
      <c r="EW109" s="139">
        <f t="shared" si="63"/>
        <v>0</v>
      </c>
      <c r="EX109" s="139">
        <f t="shared" si="64"/>
        <v>0</v>
      </c>
      <c r="EY109" s="139">
        <f t="shared" si="65"/>
        <v>0</v>
      </c>
      <c r="EZ109" s="139">
        <f t="shared" si="66"/>
        <v>0</v>
      </c>
      <c r="FA109" s="139">
        <f t="shared" si="67"/>
        <v>0</v>
      </c>
      <c r="FB109" s="139">
        <f t="shared" si="68"/>
        <v>0</v>
      </c>
      <c r="FC109" s="139">
        <f t="shared" si="69"/>
        <v>0</v>
      </c>
      <c r="FD109" s="139">
        <f t="shared" si="70"/>
        <v>0</v>
      </c>
      <c r="FE109" s="139">
        <f t="shared" si="71"/>
        <v>0</v>
      </c>
      <c r="FF109" s="139">
        <f t="shared" si="72"/>
        <v>0</v>
      </c>
      <c r="FG109" s="139">
        <f t="shared" si="73"/>
        <v>0</v>
      </c>
      <c r="FH109" s="139">
        <f t="shared" si="74"/>
        <v>0</v>
      </c>
      <c r="FI109" s="139">
        <f t="shared" si="75"/>
        <v>0</v>
      </c>
      <c r="FJ109" s="139">
        <f t="shared" si="76"/>
        <v>0</v>
      </c>
      <c r="FK109" s="139">
        <f t="shared" si="77"/>
        <v>0</v>
      </c>
      <c r="FL109" s="139">
        <f t="shared" si="78"/>
        <v>0</v>
      </c>
      <c r="FM109" s="139">
        <f t="shared" si="79"/>
        <v>0</v>
      </c>
      <c r="FN109" s="139">
        <f t="shared" si="80"/>
        <v>0</v>
      </c>
      <c r="FO109" s="139">
        <f t="shared" si="81"/>
        <v>0</v>
      </c>
      <c r="FP109" s="139">
        <f t="shared" si="82"/>
        <v>0</v>
      </c>
      <c r="FQ109" s="139">
        <f t="shared" si="83"/>
        <v>0</v>
      </c>
      <c r="FR109" s="139">
        <f t="shared" si="84"/>
        <v>0</v>
      </c>
      <c r="FS109" s="139">
        <f t="shared" si="85"/>
        <v>0</v>
      </c>
      <c r="FT109" s="139">
        <f t="shared" si="86"/>
        <v>0</v>
      </c>
      <c r="FU109" s="148">
        <f t="shared" si="87"/>
        <v>14.286847949341793</v>
      </c>
      <c r="FV109" s="149"/>
      <c r="FY109" s="213">
        <v>104</v>
      </c>
      <c r="FZ109">
        <v>33.75790980111514</v>
      </c>
      <c r="GA109">
        <v>45.145312538221937</v>
      </c>
      <c r="GB109">
        <v>13.650471162900745</v>
      </c>
      <c r="GC109">
        <v>6.0711034241300412</v>
      </c>
      <c r="GD109">
        <v>3.745383757730369</v>
      </c>
      <c r="GE109">
        <v>6.0424533940316794</v>
      </c>
      <c r="GF109">
        <v>24.461766242705234</v>
      </c>
      <c r="GG109">
        <v>19.261501805874481</v>
      </c>
      <c r="GH109">
        <v>14.178161829187079</v>
      </c>
      <c r="GI109">
        <v>17.659765417277928</v>
      </c>
      <c r="GJ109"/>
      <c r="GK109"/>
      <c r="GL109"/>
      <c r="GM109"/>
      <c r="GN109" s="208"/>
      <c r="GO109" s="208"/>
      <c r="GP109" s="208"/>
      <c r="GQ109" s="208"/>
      <c r="GR109" s="208"/>
      <c r="GS109" s="208"/>
      <c r="GT109" s="208"/>
      <c r="GU109" s="213">
        <v>104</v>
      </c>
    </row>
    <row r="110" spans="1:203" s="7" customFormat="1">
      <c r="A110" s="1"/>
      <c r="B110" s="76">
        <f ca="1">IF(C110="", "", RAND())</f>
        <v>0.84887039825103661</v>
      </c>
      <c r="C110">
        <v>5</v>
      </c>
      <c r="D110">
        <v>39714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 s="2"/>
      <c r="AK110" s="80"/>
      <c r="AL110" s="74"/>
      <c r="AM110" s="43">
        <v>94</v>
      </c>
      <c r="AN110">
        <v>227.05819930425099</v>
      </c>
      <c r="AO110">
        <v>21.098322061791173</v>
      </c>
      <c r="AP110">
        <v>66.663552713605867</v>
      </c>
      <c r="AQ110">
        <v>141.51462012566321</v>
      </c>
      <c r="AR110">
        <v>21.745051397131242</v>
      </c>
      <c r="AS110">
        <v>196.84015693066797</v>
      </c>
      <c r="AT110">
        <v>8.4286753003110295</v>
      </c>
      <c r="AU110">
        <v>-2.2307348683310799</v>
      </c>
      <c r="AV110"/>
      <c r="AW110"/>
      <c r="AX110" s="146"/>
      <c r="AY110" s="76">
        <f t="shared" ca="1" si="88"/>
        <v>3.7139171799790205E-2</v>
      </c>
      <c r="AZ110">
        <v>3</v>
      </c>
      <c r="BA110" s="129">
        <f t="shared" si="129"/>
        <v>39714</v>
      </c>
      <c r="BB110" s="207">
        <v>0</v>
      </c>
      <c r="BC110" s="207">
        <v>0</v>
      </c>
      <c r="BD110" s="207">
        <v>0</v>
      </c>
      <c r="BE110" s="207">
        <v>1</v>
      </c>
      <c r="BF110" s="207">
        <v>0</v>
      </c>
      <c r="BG110" s="207">
        <v>0</v>
      </c>
      <c r="BH110" s="207">
        <v>0</v>
      </c>
      <c r="BI110" s="207">
        <v>0</v>
      </c>
      <c r="BJ110" s="207">
        <v>0</v>
      </c>
      <c r="BK110" s="207">
        <v>0</v>
      </c>
      <c r="BL110" s="207">
        <v>0</v>
      </c>
      <c r="BM110" s="207">
        <v>0</v>
      </c>
      <c r="BN110" s="207">
        <v>0</v>
      </c>
      <c r="BO110" s="207">
        <v>0</v>
      </c>
      <c r="BP110" s="207">
        <v>0</v>
      </c>
      <c r="BQ110" s="207">
        <v>0</v>
      </c>
      <c r="BR110" s="207">
        <v>0</v>
      </c>
      <c r="BS110" s="207">
        <v>0</v>
      </c>
      <c r="BT110" s="207">
        <v>0</v>
      </c>
      <c r="BU110" s="207">
        <v>0</v>
      </c>
      <c r="BV110" s="207">
        <v>0</v>
      </c>
      <c r="BW110" s="207">
        <v>0</v>
      </c>
      <c r="BX110" s="207">
        <v>0</v>
      </c>
      <c r="BY110" s="207">
        <v>0</v>
      </c>
      <c r="BZ110" s="207">
        <v>0</v>
      </c>
      <c r="CA110" s="207">
        <v>0</v>
      </c>
      <c r="CB110" s="207">
        <v>0</v>
      </c>
      <c r="CC110" s="207">
        <v>0</v>
      </c>
      <c r="CD110" s="207">
        <v>0</v>
      </c>
      <c r="CE110" s="207">
        <v>0</v>
      </c>
      <c r="CF110" s="207">
        <v>0</v>
      </c>
      <c r="CG110" s="147"/>
      <c r="CH110" s="176"/>
      <c r="CJ110" s="146"/>
      <c r="CK110" s="76">
        <f t="shared" ca="1" si="90"/>
        <v>0.19322051852037614</v>
      </c>
      <c r="CL110" s="179">
        <f t="shared" si="91"/>
        <v>3</v>
      </c>
      <c r="CM110" s="180">
        <f t="shared" si="92"/>
        <v>39714</v>
      </c>
      <c r="CN110" s="208">
        <v>0</v>
      </c>
      <c r="CO110" s="208">
        <v>3</v>
      </c>
      <c r="CP110" s="208">
        <v>0</v>
      </c>
      <c r="CQ110" s="208">
        <v>0</v>
      </c>
      <c r="CR110" s="208">
        <v>0</v>
      </c>
      <c r="CS110" s="208">
        <v>0</v>
      </c>
      <c r="CT110" s="208">
        <v>0</v>
      </c>
      <c r="CU110" s="208">
        <v>0</v>
      </c>
      <c r="CW110">
        <v>1</v>
      </c>
      <c r="CX110">
        <f>300/32</f>
        <v>9.375</v>
      </c>
      <c r="CY110" s="158"/>
      <c r="CZ110" s="177">
        <f t="shared" si="93"/>
        <v>9.6000000000000002E-2</v>
      </c>
      <c r="DB110" s="146"/>
      <c r="DC110" s="76">
        <f t="shared" ca="1" si="51"/>
        <v>0.52188340357007856</v>
      </c>
      <c r="DD110">
        <f t="shared" si="94"/>
        <v>3</v>
      </c>
      <c r="DE110" s="129">
        <f t="shared" si="128"/>
        <v>39714</v>
      </c>
      <c r="DF110" s="161">
        <f t="shared" si="95"/>
        <v>0</v>
      </c>
      <c r="DG110" s="161">
        <f t="shared" si="96"/>
        <v>292.96875</v>
      </c>
      <c r="DH110" s="161">
        <f t="shared" si="97"/>
        <v>0</v>
      </c>
      <c r="DI110" s="161">
        <f t="shared" si="98"/>
        <v>10.416666666666666</v>
      </c>
      <c r="DJ110" s="161">
        <f t="shared" si="99"/>
        <v>0</v>
      </c>
      <c r="DK110" s="161">
        <f t="shared" si="100"/>
        <v>0</v>
      </c>
      <c r="DL110" s="161">
        <f t="shared" si="101"/>
        <v>0</v>
      </c>
      <c r="DM110" s="161">
        <f t="shared" si="102"/>
        <v>0</v>
      </c>
      <c r="DN110" s="161">
        <f t="shared" si="103"/>
        <v>0</v>
      </c>
      <c r="DO110" s="161">
        <f t="shared" si="104"/>
        <v>0</v>
      </c>
      <c r="DP110" s="161">
        <f t="shared" si="105"/>
        <v>0</v>
      </c>
      <c r="DQ110" s="161">
        <f t="shared" si="106"/>
        <v>0</v>
      </c>
      <c r="DR110" s="161">
        <f t="shared" si="107"/>
        <v>0</v>
      </c>
      <c r="DS110" s="161">
        <f t="shared" si="108"/>
        <v>0</v>
      </c>
      <c r="DT110" s="161">
        <f t="shared" si="109"/>
        <v>0</v>
      </c>
      <c r="DU110" s="161">
        <f t="shared" si="110"/>
        <v>0</v>
      </c>
      <c r="DV110" s="161">
        <f t="shared" si="111"/>
        <v>0</v>
      </c>
      <c r="DW110" s="161">
        <f t="shared" si="112"/>
        <v>0</v>
      </c>
      <c r="DX110" s="161">
        <f t="shared" si="113"/>
        <v>0</v>
      </c>
      <c r="DY110" s="161">
        <f t="shared" si="114"/>
        <v>0</v>
      </c>
      <c r="DZ110" s="161">
        <f t="shared" si="115"/>
        <v>0</v>
      </c>
      <c r="EA110" s="161">
        <f t="shared" si="116"/>
        <v>0</v>
      </c>
      <c r="EB110" s="161">
        <f t="shared" si="117"/>
        <v>0</v>
      </c>
      <c r="EC110" s="161">
        <f t="shared" si="118"/>
        <v>0</v>
      </c>
      <c r="ED110" s="161">
        <f t="shared" si="119"/>
        <v>0</v>
      </c>
      <c r="EE110" s="161">
        <f t="shared" si="120"/>
        <v>0</v>
      </c>
      <c r="EF110" s="161">
        <f t="shared" si="121"/>
        <v>0</v>
      </c>
      <c r="EG110" s="161">
        <f t="shared" si="122"/>
        <v>0</v>
      </c>
      <c r="EH110" s="161">
        <f t="shared" si="123"/>
        <v>0</v>
      </c>
      <c r="EI110" s="161">
        <f t="shared" si="124"/>
        <v>0</v>
      </c>
      <c r="EJ110" s="161">
        <f t="shared" si="125"/>
        <v>0</v>
      </c>
      <c r="EK110" s="147">
        <f t="shared" si="55"/>
        <v>303.38541666666669</v>
      </c>
      <c r="EL110" s="149"/>
      <c r="EN110" s="146"/>
      <c r="EO110" s="146"/>
      <c r="EP110" s="139">
        <f t="shared" si="56"/>
        <v>0</v>
      </c>
      <c r="EQ110" s="139">
        <f t="shared" si="57"/>
        <v>3.3783105468749999</v>
      </c>
      <c r="ER110" s="139">
        <f t="shared" si="58"/>
        <v>0</v>
      </c>
      <c r="ES110" s="139">
        <f t="shared" si="59"/>
        <v>2.2495177494926182</v>
      </c>
      <c r="ET110" s="139">
        <f t="shared" si="60"/>
        <v>0</v>
      </c>
      <c r="EU110" s="139">
        <f t="shared" si="61"/>
        <v>0</v>
      </c>
      <c r="EV110" s="139">
        <f t="shared" si="62"/>
        <v>0</v>
      </c>
      <c r="EW110" s="139">
        <f t="shared" si="63"/>
        <v>0</v>
      </c>
      <c r="EX110" s="139">
        <f t="shared" si="64"/>
        <v>0</v>
      </c>
      <c r="EY110" s="139">
        <f t="shared" si="65"/>
        <v>0</v>
      </c>
      <c r="EZ110" s="139">
        <f t="shared" si="66"/>
        <v>0</v>
      </c>
      <c r="FA110" s="139">
        <f t="shared" si="67"/>
        <v>0</v>
      </c>
      <c r="FB110" s="139">
        <f t="shared" si="68"/>
        <v>0</v>
      </c>
      <c r="FC110" s="139">
        <f t="shared" si="69"/>
        <v>0</v>
      </c>
      <c r="FD110" s="139">
        <f t="shared" si="70"/>
        <v>0</v>
      </c>
      <c r="FE110" s="139">
        <f t="shared" si="71"/>
        <v>0</v>
      </c>
      <c r="FF110" s="139">
        <f t="shared" si="72"/>
        <v>0</v>
      </c>
      <c r="FG110" s="139">
        <f t="shared" si="73"/>
        <v>0</v>
      </c>
      <c r="FH110" s="139">
        <f t="shared" si="74"/>
        <v>0</v>
      </c>
      <c r="FI110" s="139">
        <f t="shared" si="75"/>
        <v>0</v>
      </c>
      <c r="FJ110" s="139">
        <f t="shared" si="76"/>
        <v>0</v>
      </c>
      <c r="FK110" s="139">
        <f t="shared" si="77"/>
        <v>0</v>
      </c>
      <c r="FL110" s="139">
        <f t="shared" si="78"/>
        <v>0</v>
      </c>
      <c r="FM110" s="139">
        <f t="shared" si="79"/>
        <v>0</v>
      </c>
      <c r="FN110" s="139">
        <f t="shared" si="80"/>
        <v>0</v>
      </c>
      <c r="FO110" s="139">
        <f t="shared" si="81"/>
        <v>0</v>
      </c>
      <c r="FP110" s="139">
        <f t="shared" si="82"/>
        <v>0</v>
      </c>
      <c r="FQ110" s="139">
        <f t="shared" si="83"/>
        <v>0</v>
      </c>
      <c r="FR110" s="139">
        <f t="shared" si="84"/>
        <v>0</v>
      </c>
      <c r="FS110" s="139">
        <f t="shared" si="85"/>
        <v>0</v>
      </c>
      <c r="FT110" s="139">
        <f t="shared" si="86"/>
        <v>0</v>
      </c>
      <c r="FU110" s="148">
        <f t="shared" si="87"/>
        <v>5.6278282963676176</v>
      </c>
      <c r="FV110" s="149"/>
      <c r="FY110" s="213">
        <v>105</v>
      </c>
      <c r="FZ110">
        <v>45.992542513031722</v>
      </c>
      <c r="GA110">
        <v>53.807239644363001</v>
      </c>
      <c r="GB110">
        <v>16.336446612317921</v>
      </c>
      <c r="GC110">
        <v>4.8979713835452285</v>
      </c>
      <c r="GD110">
        <v>3.560854870476474</v>
      </c>
      <c r="GE110">
        <v>6.3422021357756844</v>
      </c>
      <c r="GF110">
        <v>10.029305173606883</v>
      </c>
      <c r="GG110">
        <v>6.8321160427256897</v>
      </c>
      <c r="GH110">
        <v>13.167387617529478</v>
      </c>
      <c r="GI110">
        <v>17.419523080027851</v>
      </c>
      <c r="GJ110"/>
      <c r="GK110"/>
      <c r="GL110"/>
      <c r="GM110"/>
      <c r="GN110" s="208"/>
      <c r="GO110" s="208"/>
      <c r="GP110" s="208"/>
      <c r="GQ110" s="208"/>
      <c r="GR110" s="208"/>
      <c r="GS110" s="208"/>
      <c r="GT110" s="208"/>
      <c r="GU110" s="213">
        <v>105</v>
      </c>
    </row>
    <row r="111" spans="1:203" s="7" customFormat="1">
      <c r="A111" s="1"/>
      <c r="B111" s="76">
        <f ca="1">IF(C111="", "", RAND())</f>
        <v>0.96294489925334337</v>
      </c>
      <c r="C111">
        <v>3</v>
      </c>
      <c r="D111">
        <v>39714</v>
      </c>
      <c r="E111">
        <v>0</v>
      </c>
      <c r="F111">
        <v>292.96875</v>
      </c>
      <c r="G111">
        <v>0</v>
      </c>
      <c r="H111">
        <v>10.416666666666666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 s="2"/>
      <c r="AK111" s="80"/>
      <c r="AL111" s="74"/>
      <c r="AM111" s="43">
        <v>95</v>
      </c>
      <c r="AN111">
        <v>292.49596751450838</v>
      </c>
      <c r="AO111">
        <v>24.609282683657948</v>
      </c>
      <c r="AP111">
        <v>70.828788829052854</v>
      </c>
      <c r="AQ111">
        <v>175.68282927276397</v>
      </c>
      <c r="AR111">
        <v>25.641273272565819</v>
      </c>
      <c r="AS111">
        <v>245.65735192192608</v>
      </c>
      <c r="AT111">
        <v>12.795945633162402</v>
      </c>
      <c r="AU111">
        <v>84.276941211048097</v>
      </c>
      <c r="AV111"/>
      <c r="AW111"/>
      <c r="AX111" s="146"/>
      <c r="AY111" s="76">
        <f t="shared" ca="1" si="88"/>
        <v>0.2804425229463956</v>
      </c>
      <c r="AZ111">
        <v>4</v>
      </c>
      <c r="BA111" s="129">
        <f t="shared" si="129"/>
        <v>39714</v>
      </c>
      <c r="BB111" s="207">
        <v>0</v>
      </c>
      <c r="BC111" s="207">
        <v>0</v>
      </c>
      <c r="BD111" s="207">
        <v>0</v>
      </c>
      <c r="BE111" s="207">
        <v>0</v>
      </c>
      <c r="BF111" s="207">
        <v>0</v>
      </c>
      <c r="BG111" s="207">
        <v>0</v>
      </c>
      <c r="BH111" s="207">
        <v>0</v>
      </c>
      <c r="BI111" s="207">
        <v>0</v>
      </c>
      <c r="BJ111" s="207">
        <v>0</v>
      </c>
      <c r="BK111" s="207">
        <v>0</v>
      </c>
      <c r="BL111" s="207">
        <v>0</v>
      </c>
      <c r="BM111" s="207">
        <v>0</v>
      </c>
      <c r="BN111" s="207">
        <v>0</v>
      </c>
      <c r="BO111" s="207">
        <v>0</v>
      </c>
      <c r="BP111" s="207">
        <v>0</v>
      </c>
      <c r="BQ111" s="207">
        <v>0</v>
      </c>
      <c r="BR111" s="207">
        <v>0</v>
      </c>
      <c r="BS111" s="207">
        <v>0</v>
      </c>
      <c r="BT111" s="207">
        <v>0</v>
      </c>
      <c r="BU111" s="207">
        <v>0</v>
      </c>
      <c r="BV111" s="207">
        <v>0</v>
      </c>
      <c r="BW111" s="207">
        <v>0</v>
      </c>
      <c r="BX111" s="207">
        <v>0</v>
      </c>
      <c r="BY111" s="207">
        <v>0</v>
      </c>
      <c r="BZ111" s="207">
        <v>0</v>
      </c>
      <c r="CA111" s="207">
        <v>0</v>
      </c>
      <c r="CB111" s="207">
        <v>0</v>
      </c>
      <c r="CC111" s="207">
        <v>0</v>
      </c>
      <c r="CD111" s="207">
        <v>0</v>
      </c>
      <c r="CE111" s="207">
        <v>0</v>
      </c>
      <c r="CF111" s="207">
        <v>0</v>
      </c>
      <c r="CG111" s="147"/>
      <c r="CH111" s="176"/>
      <c r="CJ111" s="146"/>
      <c r="CK111" s="76">
        <f t="shared" ca="1" si="90"/>
        <v>0.59638464958736748</v>
      </c>
      <c r="CL111" s="179">
        <f t="shared" si="91"/>
        <v>4</v>
      </c>
      <c r="CM111" s="180">
        <f t="shared" si="92"/>
        <v>39714</v>
      </c>
      <c r="CN111" s="208">
        <v>0</v>
      </c>
      <c r="CO111" s="208">
        <v>0</v>
      </c>
      <c r="CP111" s="208">
        <v>0</v>
      </c>
      <c r="CQ111" s="208">
        <v>0</v>
      </c>
      <c r="CR111" s="208">
        <v>0</v>
      </c>
      <c r="CS111" s="208">
        <v>0</v>
      </c>
      <c r="CT111" s="208">
        <v>0</v>
      </c>
      <c r="CU111" s="208">
        <v>0</v>
      </c>
      <c r="CW111">
        <v>1</v>
      </c>
      <c r="CX111">
        <v>1</v>
      </c>
      <c r="CY111" s="158"/>
      <c r="CZ111" s="177">
        <f t="shared" si="93"/>
        <v>9.6000000000000002E-2</v>
      </c>
      <c r="DB111" s="146"/>
      <c r="DC111" s="76">
        <f t="shared" ca="1" si="51"/>
        <v>0.67080879917904035</v>
      </c>
      <c r="DD111">
        <f t="shared" si="94"/>
        <v>4</v>
      </c>
      <c r="DE111" s="129">
        <f t="shared" si="128"/>
        <v>39714</v>
      </c>
      <c r="DF111" s="161">
        <f t="shared" si="95"/>
        <v>0</v>
      </c>
      <c r="DG111" s="161">
        <f t="shared" si="96"/>
        <v>0</v>
      </c>
      <c r="DH111" s="161">
        <f t="shared" si="97"/>
        <v>0</v>
      </c>
      <c r="DI111" s="161">
        <f t="shared" si="98"/>
        <v>0</v>
      </c>
      <c r="DJ111" s="161">
        <f t="shared" si="99"/>
        <v>0</v>
      </c>
      <c r="DK111" s="161">
        <f t="shared" si="100"/>
        <v>0</v>
      </c>
      <c r="DL111" s="161">
        <f t="shared" si="101"/>
        <v>0</v>
      </c>
      <c r="DM111" s="161">
        <f t="shared" si="102"/>
        <v>0</v>
      </c>
      <c r="DN111" s="161">
        <f t="shared" si="103"/>
        <v>0</v>
      </c>
      <c r="DO111" s="161">
        <f t="shared" si="104"/>
        <v>0</v>
      </c>
      <c r="DP111" s="161">
        <f t="shared" si="105"/>
        <v>0</v>
      </c>
      <c r="DQ111" s="161">
        <f t="shared" si="106"/>
        <v>0</v>
      </c>
      <c r="DR111" s="161">
        <f t="shared" si="107"/>
        <v>0</v>
      </c>
      <c r="DS111" s="161">
        <f t="shared" si="108"/>
        <v>0</v>
      </c>
      <c r="DT111" s="161">
        <f t="shared" si="109"/>
        <v>0</v>
      </c>
      <c r="DU111" s="161">
        <f t="shared" si="110"/>
        <v>0</v>
      </c>
      <c r="DV111" s="161">
        <f t="shared" si="111"/>
        <v>0</v>
      </c>
      <c r="DW111" s="161">
        <f t="shared" si="112"/>
        <v>0</v>
      </c>
      <c r="DX111" s="161">
        <f t="shared" si="113"/>
        <v>0</v>
      </c>
      <c r="DY111" s="161">
        <f t="shared" si="114"/>
        <v>0</v>
      </c>
      <c r="DZ111" s="161">
        <f t="shared" si="115"/>
        <v>0</v>
      </c>
      <c r="EA111" s="161">
        <f t="shared" si="116"/>
        <v>0</v>
      </c>
      <c r="EB111" s="161">
        <f t="shared" si="117"/>
        <v>0</v>
      </c>
      <c r="EC111" s="161">
        <f t="shared" si="118"/>
        <v>0</v>
      </c>
      <c r="ED111" s="161">
        <f t="shared" si="119"/>
        <v>0</v>
      </c>
      <c r="EE111" s="161">
        <f t="shared" si="120"/>
        <v>0</v>
      </c>
      <c r="EF111" s="161">
        <f t="shared" si="121"/>
        <v>0</v>
      </c>
      <c r="EG111" s="161">
        <f t="shared" si="122"/>
        <v>0</v>
      </c>
      <c r="EH111" s="161">
        <f t="shared" si="123"/>
        <v>0</v>
      </c>
      <c r="EI111" s="161">
        <f t="shared" si="124"/>
        <v>0</v>
      </c>
      <c r="EJ111" s="161">
        <f t="shared" si="125"/>
        <v>0</v>
      </c>
      <c r="EK111" s="147">
        <f t="shared" si="55"/>
        <v>0</v>
      </c>
      <c r="EL111" s="149"/>
      <c r="EN111" s="146"/>
      <c r="EO111" s="146"/>
      <c r="EP111" s="139">
        <f t="shared" si="56"/>
        <v>0</v>
      </c>
      <c r="EQ111" s="139">
        <f t="shared" si="57"/>
        <v>0</v>
      </c>
      <c r="ER111" s="139">
        <f t="shared" si="58"/>
        <v>0</v>
      </c>
      <c r="ES111" s="139">
        <f t="shared" si="59"/>
        <v>0</v>
      </c>
      <c r="ET111" s="139">
        <f t="shared" si="60"/>
        <v>0</v>
      </c>
      <c r="EU111" s="139">
        <f t="shared" si="61"/>
        <v>0</v>
      </c>
      <c r="EV111" s="139">
        <f t="shared" si="62"/>
        <v>0</v>
      </c>
      <c r="EW111" s="139">
        <f t="shared" si="63"/>
        <v>0</v>
      </c>
      <c r="EX111" s="139">
        <f t="shared" si="64"/>
        <v>0</v>
      </c>
      <c r="EY111" s="139">
        <f t="shared" si="65"/>
        <v>0</v>
      </c>
      <c r="EZ111" s="139">
        <f t="shared" si="66"/>
        <v>0</v>
      </c>
      <c r="FA111" s="139">
        <f t="shared" si="67"/>
        <v>0</v>
      </c>
      <c r="FB111" s="139">
        <f t="shared" si="68"/>
        <v>0</v>
      </c>
      <c r="FC111" s="139">
        <f t="shared" si="69"/>
        <v>0</v>
      </c>
      <c r="FD111" s="139">
        <f t="shared" si="70"/>
        <v>0</v>
      </c>
      <c r="FE111" s="139">
        <f t="shared" si="71"/>
        <v>0</v>
      </c>
      <c r="FF111" s="139">
        <f t="shared" si="72"/>
        <v>0</v>
      </c>
      <c r="FG111" s="139">
        <f t="shared" si="73"/>
        <v>0</v>
      </c>
      <c r="FH111" s="139">
        <f t="shared" si="74"/>
        <v>0</v>
      </c>
      <c r="FI111" s="139">
        <f t="shared" si="75"/>
        <v>0</v>
      </c>
      <c r="FJ111" s="139">
        <f t="shared" si="76"/>
        <v>0</v>
      </c>
      <c r="FK111" s="139">
        <f t="shared" si="77"/>
        <v>0</v>
      </c>
      <c r="FL111" s="139">
        <f t="shared" si="78"/>
        <v>0</v>
      </c>
      <c r="FM111" s="139">
        <f t="shared" si="79"/>
        <v>0</v>
      </c>
      <c r="FN111" s="139">
        <f t="shared" si="80"/>
        <v>0</v>
      </c>
      <c r="FO111" s="139">
        <f t="shared" si="81"/>
        <v>0</v>
      </c>
      <c r="FP111" s="139">
        <f t="shared" si="82"/>
        <v>0</v>
      </c>
      <c r="FQ111" s="139">
        <f t="shared" si="83"/>
        <v>0</v>
      </c>
      <c r="FR111" s="139">
        <f t="shared" si="84"/>
        <v>0</v>
      </c>
      <c r="FS111" s="139">
        <f t="shared" si="85"/>
        <v>0</v>
      </c>
      <c r="FT111" s="139">
        <f t="shared" si="86"/>
        <v>0</v>
      </c>
      <c r="FU111" s="148">
        <f t="shared" si="87"/>
        <v>0</v>
      </c>
      <c r="FV111" s="149"/>
      <c r="FY111" s="213">
        <v>106</v>
      </c>
      <c r="FZ111">
        <v>34.663495291396053</v>
      </c>
      <c r="GA111">
        <v>9.8339180927414134</v>
      </c>
      <c r="GB111">
        <v>3.7415277293730331</v>
      </c>
      <c r="GC111">
        <v>5.6211379056394293</v>
      </c>
      <c r="GD111">
        <v>5.7347384195524658</v>
      </c>
      <c r="GE111">
        <v>7.3714512450308218</v>
      </c>
      <c r="GF111">
        <v>21.522721168930783</v>
      </c>
      <c r="GG111">
        <v>20.618926980316289</v>
      </c>
      <c r="GH111">
        <v>14.928408542474841</v>
      </c>
      <c r="GI111">
        <v>15.560218135085993</v>
      </c>
      <c r="GJ111"/>
      <c r="GK111"/>
      <c r="GL111"/>
      <c r="GM111"/>
      <c r="GN111" s="208"/>
      <c r="GO111" s="208"/>
      <c r="GP111" s="208"/>
      <c r="GQ111" s="208"/>
      <c r="GR111" s="208"/>
      <c r="GS111" s="208"/>
      <c r="GT111" s="208"/>
      <c r="GU111" s="213">
        <v>106</v>
      </c>
    </row>
    <row r="112" spans="1:203" s="7" customFormat="1">
      <c r="A112" s="1"/>
      <c r="B112" s="76">
        <f ca="1">IF(C112="", "", RAND())</f>
        <v>0.74288091332693185</v>
      </c>
      <c r="C112">
        <v>10</v>
      </c>
      <c r="D112">
        <v>39714</v>
      </c>
      <c r="E112">
        <v>357.14285714285711</v>
      </c>
      <c r="F112">
        <v>367.5595238095238</v>
      </c>
      <c r="G112">
        <v>0</v>
      </c>
      <c r="H112">
        <v>0</v>
      </c>
      <c r="I112">
        <v>10.416666666666666</v>
      </c>
      <c r="J112">
        <v>0</v>
      </c>
      <c r="K112">
        <v>0</v>
      </c>
      <c r="L112">
        <v>0</v>
      </c>
      <c r="M112">
        <v>10.416666666666666</v>
      </c>
      <c r="N112">
        <v>41.666666666666664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 s="2"/>
      <c r="AK112" s="80"/>
      <c r="AL112" s="74"/>
      <c r="AM112" s="43">
        <v>96</v>
      </c>
      <c r="AN112">
        <v>373.8476147886077</v>
      </c>
      <c r="AO112">
        <v>29.836783439976905</v>
      </c>
      <c r="AP112">
        <v>90.118686356858248</v>
      </c>
      <c r="AQ112">
        <v>191.18094240785473</v>
      </c>
      <c r="AR112">
        <v>31.185794562210397</v>
      </c>
      <c r="AS112">
        <v>281.67158883057789</v>
      </c>
      <c r="AT112">
        <v>11.870476167598532</v>
      </c>
      <c r="AU112">
        <v>15.272767299316875</v>
      </c>
      <c r="AV112"/>
      <c r="AW112"/>
      <c r="AX112" s="146"/>
      <c r="AY112" s="76">
        <f t="shared" ca="1" si="88"/>
        <v>0.21443999749116127</v>
      </c>
      <c r="AZ112">
        <v>5</v>
      </c>
      <c r="BA112" s="129">
        <f t="shared" si="129"/>
        <v>39714</v>
      </c>
      <c r="BB112" s="207">
        <v>0</v>
      </c>
      <c r="BC112" s="207">
        <v>0</v>
      </c>
      <c r="BD112" s="207">
        <v>0</v>
      </c>
      <c r="BE112" s="207">
        <v>0</v>
      </c>
      <c r="BF112" s="207">
        <v>0</v>
      </c>
      <c r="BG112" s="207">
        <v>0</v>
      </c>
      <c r="BH112" s="207">
        <v>0</v>
      </c>
      <c r="BI112" s="207">
        <v>0</v>
      </c>
      <c r="BJ112" s="207">
        <v>0</v>
      </c>
      <c r="BK112" s="207">
        <v>0</v>
      </c>
      <c r="BL112" s="207">
        <v>0</v>
      </c>
      <c r="BM112" s="207">
        <v>0</v>
      </c>
      <c r="BN112" s="207">
        <v>0</v>
      </c>
      <c r="BO112" s="207">
        <v>0</v>
      </c>
      <c r="BP112" s="207">
        <v>0</v>
      </c>
      <c r="BQ112" s="207">
        <v>0</v>
      </c>
      <c r="BR112" s="207">
        <v>0</v>
      </c>
      <c r="BS112" s="207">
        <v>0</v>
      </c>
      <c r="BT112" s="207">
        <v>0</v>
      </c>
      <c r="BU112" s="207">
        <v>0</v>
      </c>
      <c r="BV112" s="207">
        <v>0</v>
      </c>
      <c r="BW112" s="207">
        <v>0</v>
      </c>
      <c r="BX112" s="207">
        <v>0</v>
      </c>
      <c r="BY112" s="207">
        <v>0</v>
      </c>
      <c r="BZ112" s="207">
        <v>0</v>
      </c>
      <c r="CA112" s="207">
        <v>0</v>
      </c>
      <c r="CB112" s="207">
        <v>0</v>
      </c>
      <c r="CC112" s="207">
        <v>0</v>
      </c>
      <c r="CD112" s="207">
        <v>0</v>
      </c>
      <c r="CE112" s="207">
        <v>0</v>
      </c>
      <c r="CF112" s="207">
        <v>0</v>
      </c>
      <c r="CG112" s="147"/>
      <c r="CH112" s="176"/>
      <c r="CJ112" s="146"/>
      <c r="CK112" s="76">
        <f t="shared" ca="1" si="90"/>
        <v>0.38090676350477271</v>
      </c>
      <c r="CL112" s="179">
        <f t="shared" si="91"/>
        <v>5</v>
      </c>
      <c r="CM112" s="180">
        <f t="shared" si="92"/>
        <v>39714</v>
      </c>
      <c r="CN112" s="208">
        <v>0</v>
      </c>
      <c r="CO112" s="208">
        <v>0</v>
      </c>
      <c r="CP112" s="208">
        <v>0</v>
      </c>
      <c r="CQ112" s="208">
        <v>0</v>
      </c>
      <c r="CR112" s="208">
        <v>0</v>
      </c>
      <c r="CS112" s="208">
        <v>0</v>
      </c>
      <c r="CT112" s="208">
        <v>0</v>
      </c>
      <c r="CU112" s="208">
        <v>0</v>
      </c>
      <c r="CW112">
        <v>1</v>
      </c>
      <c r="CX112">
        <v>1</v>
      </c>
      <c r="CY112" s="158"/>
      <c r="CZ112" s="177">
        <f t="shared" si="93"/>
        <v>9.6000000000000002E-2</v>
      </c>
      <c r="DB112" s="146"/>
      <c r="DC112" s="76">
        <f t="shared" ca="1" si="51"/>
        <v>0.47157483349725382</v>
      </c>
      <c r="DD112">
        <f t="shared" si="94"/>
        <v>5</v>
      </c>
      <c r="DE112" s="129">
        <f t="shared" si="128"/>
        <v>39714</v>
      </c>
      <c r="DF112" s="161">
        <f t="shared" si="95"/>
        <v>0</v>
      </c>
      <c r="DG112" s="161">
        <f t="shared" si="96"/>
        <v>0</v>
      </c>
      <c r="DH112" s="161">
        <f t="shared" si="97"/>
        <v>0</v>
      </c>
      <c r="DI112" s="161">
        <f t="shared" si="98"/>
        <v>0</v>
      </c>
      <c r="DJ112" s="161">
        <f t="shared" si="99"/>
        <v>0</v>
      </c>
      <c r="DK112" s="161">
        <f t="shared" si="100"/>
        <v>0</v>
      </c>
      <c r="DL112" s="161">
        <f t="shared" si="101"/>
        <v>0</v>
      </c>
      <c r="DM112" s="161">
        <f t="shared" si="102"/>
        <v>0</v>
      </c>
      <c r="DN112" s="161">
        <f t="shared" si="103"/>
        <v>0</v>
      </c>
      <c r="DO112" s="161">
        <f t="shared" si="104"/>
        <v>0</v>
      </c>
      <c r="DP112" s="161">
        <f t="shared" si="105"/>
        <v>0</v>
      </c>
      <c r="DQ112" s="161">
        <f t="shared" si="106"/>
        <v>0</v>
      </c>
      <c r="DR112" s="161">
        <f t="shared" si="107"/>
        <v>0</v>
      </c>
      <c r="DS112" s="161">
        <f t="shared" si="108"/>
        <v>0</v>
      </c>
      <c r="DT112" s="161">
        <f t="shared" si="109"/>
        <v>0</v>
      </c>
      <c r="DU112" s="161">
        <f t="shared" si="110"/>
        <v>0</v>
      </c>
      <c r="DV112" s="161">
        <f t="shared" si="111"/>
        <v>0</v>
      </c>
      <c r="DW112" s="161">
        <f t="shared" si="112"/>
        <v>0</v>
      </c>
      <c r="DX112" s="161">
        <f t="shared" si="113"/>
        <v>0</v>
      </c>
      <c r="DY112" s="161">
        <f t="shared" si="114"/>
        <v>0</v>
      </c>
      <c r="DZ112" s="161">
        <f t="shared" si="115"/>
        <v>0</v>
      </c>
      <c r="EA112" s="161">
        <f t="shared" si="116"/>
        <v>0</v>
      </c>
      <c r="EB112" s="161">
        <f t="shared" si="117"/>
        <v>0</v>
      </c>
      <c r="EC112" s="161">
        <f t="shared" si="118"/>
        <v>0</v>
      </c>
      <c r="ED112" s="161">
        <f t="shared" si="119"/>
        <v>0</v>
      </c>
      <c r="EE112" s="161">
        <f t="shared" si="120"/>
        <v>0</v>
      </c>
      <c r="EF112" s="161">
        <f t="shared" si="121"/>
        <v>0</v>
      </c>
      <c r="EG112" s="161">
        <f t="shared" si="122"/>
        <v>0</v>
      </c>
      <c r="EH112" s="161">
        <f t="shared" si="123"/>
        <v>0</v>
      </c>
      <c r="EI112" s="161">
        <f t="shared" si="124"/>
        <v>0</v>
      </c>
      <c r="EJ112" s="161">
        <f t="shared" si="125"/>
        <v>0</v>
      </c>
      <c r="EK112" s="147">
        <f t="shared" si="55"/>
        <v>0</v>
      </c>
      <c r="EL112" s="149"/>
      <c r="EN112" s="146"/>
      <c r="EO112" s="146"/>
      <c r="EP112" s="139">
        <f t="shared" si="56"/>
        <v>0</v>
      </c>
      <c r="EQ112" s="139">
        <f t="shared" si="57"/>
        <v>0</v>
      </c>
      <c r="ER112" s="139">
        <f t="shared" si="58"/>
        <v>0</v>
      </c>
      <c r="ES112" s="139">
        <f t="shared" si="59"/>
        <v>0</v>
      </c>
      <c r="ET112" s="139">
        <f t="shared" si="60"/>
        <v>0</v>
      </c>
      <c r="EU112" s="139">
        <f t="shared" si="61"/>
        <v>0</v>
      </c>
      <c r="EV112" s="139">
        <f t="shared" si="62"/>
        <v>0</v>
      </c>
      <c r="EW112" s="139">
        <f t="shared" si="63"/>
        <v>0</v>
      </c>
      <c r="EX112" s="139">
        <f t="shared" si="64"/>
        <v>0</v>
      </c>
      <c r="EY112" s="139">
        <f t="shared" si="65"/>
        <v>0</v>
      </c>
      <c r="EZ112" s="139">
        <f t="shared" si="66"/>
        <v>0</v>
      </c>
      <c r="FA112" s="139">
        <f t="shared" si="67"/>
        <v>0</v>
      </c>
      <c r="FB112" s="139">
        <f t="shared" si="68"/>
        <v>0</v>
      </c>
      <c r="FC112" s="139">
        <f t="shared" si="69"/>
        <v>0</v>
      </c>
      <c r="FD112" s="139">
        <f t="shared" si="70"/>
        <v>0</v>
      </c>
      <c r="FE112" s="139">
        <f t="shared" si="71"/>
        <v>0</v>
      </c>
      <c r="FF112" s="139">
        <f t="shared" si="72"/>
        <v>0</v>
      </c>
      <c r="FG112" s="139">
        <f t="shared" si="73"/>
        <v>0</v>
      </c>
      <c r="FH112" s="139">
        <f t="shared" si="74"/>
        <v>0</v>
      </c>
      <c r="FI112" s="139">
        <f t="shared" si="75"/>
        <v>0</v>
      </c>
      <c r="FJ112" s="139">
        <f t="shared" si="76"/>
        <v>0</v>
      </c>
      <c r="FK112" s="139">
        <f t="shared" si="77"/>
        <v>0</v>
      </c>
      <c r="FL112" s="139">
        <f t="shared" si="78"/>
        <v>0</v>
      </c>
      <c r="FM112" s="139">
        <f t="shared" si="79"/>
        <v>0</v>
      </c>
      <c r="FN112" s="139">
        <f t="shared" si="80"/>
        <v>0</v>
      </c>
      <c r="FO112" s="139">
        <f t="shared" si="81"/>
        <v>0</v>
      </c>
      <c r="FP112" s="139">
        <f t="shared" si="82"/>
        <v>0</v>
      </c>
      <c r="FQ112" s="139">
        <f t="shared" si="83"/>
        <v>0</v>
      </c>
      <c r="FR112" s="139">
        <f t="shared" si="84"/>
        <v>0</v>
      </c>
      <c r="FS112" s="139">
        <f t="shared" si="85"/>
        <v>0</v>
      </c>
      <c r="FT112" s="139">
        <f t="shared" si="86"/>
        <v>0</v>
      </c>
      <c r="FU112" s="148">
        <f t="shared" si="87"/>
        <v>0</v>
      </c>
      <c r="FV112" s="149"/>
      <c r="FY112" s="213">
        <v>107</v>
      </c>
      <c r="FZ112">
        <v>53.607645591579093</v>
      </c>
      <c r="GA112">
        <v>34.748665315127766</v>
      </c>
      <c r="GB112">
        <v>4.2683477519888999</v>
      </c>
      <c r="GC112">
        <v>7.5391549538029663</v>
      </c>
      <c r="GD112">
        <v>4.9376938897658702</v>
      </c>
      <c r="GE112">
        <v>2.0283298446248361</v>
      </c>
      <c r="GF112">
        <v>11.770861257016115</v>
      </c>
      <c r="GG112">
        <v>11.331664580784517</v>
      </c>
      <c r="GH112">
        <v>14.232431219802193</v>
      </c>
      <c r="GI112">
        <v>16.178961180864409</v>
      </c>
      <c r="GJ112"/>
      <c r="GK112"/>
      <c r="GL112"/>
      <c r="GM112"/>
      <c r="GN112" s="208"/>
      <c r="GO112" s="208"/>
      <c r="GP112" s="208"/>
      <c r="GQ112" s="208"/>
      <c r="GR112" s="208"/>
      <c r="GS112" s="208"/>
      <c r="GT112" s="208"/>
      <c r="GU112" s="213">
        <v>107</v>
      </c>
    </row>
    <row r="113" spans="1:203" s="7" customFormat="1">
      <c r="A113" s="1"/>
      <c r="B113" s="76">
        <f ca="1">IF(C113="", "", RAND())</f>
        <v>0.91909386555175687</v>
      </c>
      <c r="C113">
        <v>4</v>
      </c>
      <c r="D113">
        <v>39714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 s="2"/>
      <c r="AK113" s="80"/>
      <c r="AL113" s="74"/>
      <c r="AM113" s="43">
        <v>97</v>
      </c>
      <c r="AN113">
        <v>342.52174445452783</v>
      </c>
      <c r="AO113">
        <v>24.15725440955265</v>
      </c>
      <c r="AP113">
        <v>100.90987778560019</v>
      </c>
      <c r="AQ113">
        <v>163.80892372946141</v>
      </c>
      <c r="AR113">
        <v>25.150894059537979</v>
      </c>
      <c r="AS113">
        <v>228.87202423704969</v>
      </c>
      <c r="AT113">
        <v>11.328830564233074</v>
      </c>
      <c r="AU113">
        <v>9.6407821963510401</v>
      </c>
      <c r="AV113"/>
      <c r="AW113"/>
      <c r="AX113" s="146"/>
      <c r="AY113" s="76">
        <f t="shared" ca="1" si="88"/>
        <v>0.49729510990007819</v>
      </c>
      <c r="AZ113">
        <v>6</v>
      </c>
      <c r="BA113" s="129">
        <f t="shared" si="129"/>
        <v>39714</v>
      </c>
      <c r="BB113" s="207">
        <v>0</v>
      </c>
      <c r="BC113" s="207">
        <v>0</v>
      </c>
      <c r="BD113" s="207">
        <v>0</v>
      </c>
      <c r="BE113" s="207">
        <v>0</v>
      </c>
      <c r="BF113" s="207">
        <v>0</v>
      </c>
      <c r="BG113" s="207">
        <v>0</v>
      </c>
      <c r="BH113" s="207">
        <v>0</v>
      </c>
      <c r="BI113" s="207">
        <v>0</v>
      </c>
      <c r="BJ113" s="207">
        <v>1</v>
      </c>
      <c r="BK113" s="207">
        <v>0</v>
      </c>
      <c r="BL113" s="207">
        <v>0</v>
      </c>
      <c r="BM113" s="207">
        <v>0</v>
      </c>
      <c r="BN113" s="207">
        <v>0</v>
      </c>
      <c r="BO113" s="207">
        <v>0</v>
      </c>
      <c r="BP113" s="207">
        <v>0</v>
      </c>
      <c r="BQ113" s="207">
        <v>0</v>
      </c>
      <c r="BR113" s="207">
        <v>0</v>
      </c>
      <c r="BS113" s="207">
        <v>0</v>
      </c>
      <c r="BT113" s="207">
        <v>0</v>
      </c>
      <c r="BU113" s="207">
        <v>0</v>
      </c>
      <c r="BV113" s="207">
        <v>0</v>
      </c>
      <c r="BW113" s="207">
        <v>0</v>
      </c>
      <c r="BX113" s="207">
        <v>0</v>
      </c>
      <c r="BY113" s="207">
        <v>0</v>
      </c>
      <c r="BZ113" s="207">
        <v>0</v>
      </c>
      <c r="CA113" s="207">
        <v>0</v>
      </c>
      <c r="CB113" s="207">
        <v>0</v>
      </c>
      <c r="CC113" s="207">
        <v>0</v>
      </c>
      <c r="CD113" s="207">
        <v>0</v>
      </c>
      <c r="CE113" s="207">
        <v>0</v>
      </c>
      <c r="CF113" s="207">
        <v>0</v>
      </c>
      <c r="CG113" s="147"/>
      <c r="CH113" s="176"/>
      <c r="CJ113" s="146"/>
      <c r="CK113" s="76">
        <f t="shared" ca="1" si="90"/>
        <v>9.8409572023209435E-2</v>
      </c>
      <c r="CL113" s="179">
        <f t="shared" si="91"/>
        <v>6</v>
      </c>
      <c r="CM113" s="180">
        <f t="shared" si="92"/>
        <v>39714</v>
      </c>
      <c r="CN113" s="208">
        <v>0</v>
      </c>
      <c r="CO113" s="208">
        <v>0</v>
      </c>
      <c r="CP113" s="208">
        <v>0</v>
      </c>
      <c r="CQ113" s="208">
        <v>0</v>
      </c>
      <c r="CR113" s="208">
        <v>0</v>
      </c>
      <c r="CS113" s="208">
        <v>0</v>
      </c>
      <c r="CT113" s="208">
        <v>0</v>
      </c>
      <c r="CU113" s="208">
        <v>0</v>
      </c>
      <c r="CV113" s="160"/>
      <c r="CW113">
        <v>1</v>
      </c>
      <c r="CX113">
        <v>1</v>
      </c>
      <c r="CY113" s="164"/>
      <c r="CZ113" s="177">
        <f t="shared" si="93"/>
        <v>9.6000000000000002E-2</v>
      </c>
      <c r="DB113" s="146"/>
      <c r="DC113" s="76">
        <f t="shared" ca="1" si="51"/>
        <v>0.60771147670084624</v>
      </c>
      <c r="DD113">
        <f t="shared" si="94"/>
        <v>6</v>
      </c>
      <c r="DE113" s="129">
        <f t="shared" si="128"/>
        <v>39714</v>
      </c>
      <c r="DF113" s="161">
        <f t="shared" si="95"/>
        <v>0</v>
      </c>
      <c r="DG113" s="161">
        <f t="shared" si="96"/>
        <v>0</v>
      </c>
      <c r="DH113" s="161">
        <f t="shared" si="97"/>
        <v>0</v>
      </c>
      <c r="DI113" s="161">
        <f t="shared" si="98"/>
        <v>0</v>
      </c>
      <c r="DJ113" s="161">
        <f t="shared" si="99"/>
        <v>0</v>
      </c>
      <c r="DK113" s="161">
        <f t="shared" si="100"/>
        <v>0</v>
      </c>
      <c r="DL113" s="161">
        <f t="shared" si="101"/>
        <v>0</v>
      </c>
      <c r="DM113" s="161">
        <f t="shared" si="102"/>
        <v>0</v>
      </c>
      <c r="DN113" s="161">
        <f t="shared" si="103"/>
        <v>10.416666666666666</v>
      </c>
      <c r="DO113" s="161">
        <f t="shared" si="104"/>
        <v>0</v>
      </c>
      <c r="DP113" s="161">
        <f t="shared" si="105"/>
        <v>0</v>
      </c>
      <c r="DQ113" s="161">
        <f t="shared" si="106"/>
        <v>0</v>
      </c>
      <c r="DR113" s="161">
        <f t="shared" si="107"/>
        <v>0</v>
      </c>
      <c r="DS113" s="161">
        <f t="shared" si="108"/>
        <v>0</v>
      </c>
      <c r="DT113" s="161">
        <f t="shared" si="109"/>
        <v>0</v>
      </c>
      <c r="DU113" s="161">
        <f t="shared" si="110"/>
        <v>0</v>
      </c>
      <c r="DV113" s="161">
        <f t="shared" si="111"/>
        <v>0</v>
      </c>
      <c r="DW113" s="161">
        <f t="shared" si="112"/>
        <v>0</v>
      </c>
      <c r="DX113" s="161">
        <f t="shared" si="113"/>
        <v>0</v>
      </c>
      <c r="DY113" s="161">
        <f t="shared" si="114"/>
        <v>0</v>
      </c>
      <c r="DZ113" s="161">
        <f t="shared" si="115"/>
        <v>0</v>
      </c>
      <c r="EA113" s="161">
        <f t="shared" si="116"/>
        <v>0</v>
      </c>
      <c r="EB113" s="161">
        <f t="shared" si="117"/>
        <v>0</v>
      </c>
      <c r="EC113" s="161">
        <f t="shared" si="118"/>
        <v>0</v>
      </c>
      <c r="ED113" s="161">
        <f t="shared" si="119"/>
        <v>0</v>
      </c>
      <c r="EE113" s="161">
        <f t="shared" si="120"/>
        <v>0</v>
      </c>
      <c r="EF113" s="161">
        <f t="shared" si="121"/>
        <v>0</v>
      </c>
      <c r="EG113" s="161">
        <f t="shared" si="122"/>
        <v>0</v>
      </c>
      <c r="EH113" s="161">
        <f t="shared" si="123"/>
        <v>0</v>
      </c>
      <c r="EI113" s="161">
        <f t="shared" si="124"/>
        <v>0</v>
      </c>
      <c r="EJ113" s="161">
        <f t="shared" si="125"/>
        <v>0</v>
      </c>
      <c r="EK113" s="147">
        <f t="shared" si="55"/>
        <v>10.416666666666666</v>
      </c>
      <c r="EL113" s="149"/>
      <c r="EN113" s="146"/>
      <c r="EO113" s="146"/>
      <c r="EP113" s="139">
        <f t="shared" si="56"/>
        <v>0</v>
      </c>
      <c r="EQ113" s="139">
        <f t="shared" si="57"/>
        <v>0</v>
      </c>
      <c r="ER113" s="139">
        <f t="shared" si="58"/>
        <v>0</v>
      </c>
      <c r="ES113" s="139">
        <f t="shared" si="59"/>
        <v>0</v>
      </c>
      <c r="ET113" s="139">
        <f t="shared" si="60"/>
        <v>0</v>
      </c>
      <c r="EU113" s="139">
        <f t="shared" si="61"/>
        <v>0</v>
      </c>
      <c r="EV113" s="139">
        <f t="shared" si="62"/>
        <v>0</v>
      </c>
      <c r="EW113" s="139">
        <f t="shared" si="63"/>
        <v>0</v>
      </c>
      <c r="EX113" s="139">
        <f t="shared" si="64"/>
        <v>30.77145509025932</v>
      </c>
      <c r="EY113" s="139">
        <f t="shared" si="65"/>
        <v>0</v>
      </c>
      <c r="EZ113" s="139">
        <f t="shared" si="66"/>
        <v>0</v>
      </c>
      <c r="FA113" s="139">
        <f t="shared" si="67"/>
        <v>0</v>
      </c>
      <c r="FB113" s="139">
        <f t="shared" si="68"/>
        <v>0</v>
      </c>
      <c r="FC113" s="139">
        <f t="shared" si="69"/>
        <v>0</v>
      </c>
      <c r="FD113" s="139">
        <f t="shared" si="70"/>
        <v>0</v>
      </c>
      <c r="FE113" s="139">
        <f t="shared" si="71"/>
        <v>0</v>
      </c>
      <c r="FF113" s="139">
        <f t="shared" si="72"/>
        <v>0</v>
      </c>
      <c r="FG113" s="139">
        <f t="shared" si="73"/>
        <v>0</v>
      </c>
      <c r="FH113" s="139">
        <f t="shared" si="74"/>
        <v>0</v>
      </c>
      <c r="FI113" s="139">
        <f t="shared" si="75"/>
        <v>0</v>
      </c>
      <c r="FJ113" s="139">
        <f t="shared" si="76"/>
        <v>0</v>
      </c>
      <c r="FK113" s="139">
        <f t="shared" si="77"/>
        <v>0</v>
      </c>
      <c r="FL113" s="139">
        <f t="shared" si="78"/>
        <v>0</v>
      </c>
      <c r="FM113" s="139">
        <f t="shared" si="79"/>
        <v>0</v>
      </c>
      <c r="FN113" s="139">
        <f t="shared" si="80"/>
        <v>0</v>
      </c>
      <c r="FO113" s="139">
        <f t="shared" si="81"/>
        <v>0</v>
      </c>
      <c r="FP113" s="139">
        <f t="shared" si="82"/>
        <v>0</v>
      </c>
      <c r="FQ113" s="139">
        <f t="shared" si="83"/>
        <v>0</v>
      </c>
      <c r="FR113" s="139">
        <f t="shared" si="84"/>
        <v>0</v>
      </c>
      <c r="FS113" s="139">
        <f t="shared" si="85"/>
        <v>0</v>
      </c>
      <c r="FT113" s="139">
        <f t="shared" si="86"/>
        <v>0</v>
      </c>
      <c r="FU113" s="148">
        <f t="shared" si="87"/>
        <v>30.77145509025932</v>
      </c>
      <c r="FV113" s="149"/>
      <c r="FY113" s="213">
        <v>108</v>
      </c>
      <c r="FZ113">
        <v>43.451209725372223</v>
      </c>
      <c r="GA113">
        <v>59.149436639992707</v>
      </c>
      <c r="GB113">
        <v>19.053388562383887</v>
      </c>
      <c r="GC113">
        <v>4.2281596109657018</v>
      </c>
      <c r="GD113">
        <v>4.691061042360686</v>
      </c>
      <c r="GE113">
        <v>6.7230016255728602</v>
      </c>
      <c r="GF113">
        <v>26.647698285203404</v>
      </c>
      <c r="GG113">
        <v>24.405488924625853</v>
      </c>
      <c r="GH113">
        <v>9.2796921538981199</v>
      </c>
      <c r="GI113">
        <v>21.04196539592105</v>
      </c>
      <c r="GJ113"/>
      <c r="GK113"/>
      <c r="GL113"/>
      <c r="GM113"/>
      <c r="GN113" s="208"/>
      <c r="GO113" s="208"/>
      <c r="GP113" s="208"/>
      <c r="GQ113" s="208"/>
      <c r="GR113" s="208"/>
      <c r="GS113" s="208"/>
      <c r="GT113" s="208"/>
      <c r="GU113" s="213">
        <v>108</v>
      </c>
    </row>
    <row r="114" spans="1:203" s="7" customFormat="1">
      <c r="A114" s="1"/>
      <c r="B114" s="76">
        <f ca="1">IF(C114="", "", RAND())</f>
        <v>0.54393286425707732</v>
      </c>
      <c r="C114">
        <v>6</v>
      </c>
      <c r="D114">
        <v>39714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10.416666666666666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 s="2"/>
      <c r="AK114" s="80"/>
      <c r="AL114" s="74"/>
      <c r="AM114" s="43">
        <v>98</v>
      </c>
      <c r="AN114">
        <v>248.36456785960962</v>
      </c>
      <c r="AO114">
        <v>18.74077436999664</v>
      </c>
      <c r="AP114">
        <v>99.681765603829632</v>
      </c>
      <c r="AQ114">
        <v>144.63497798210039</v>
      </c>
      <c r="AR114">
        <v>19.537560873719464</v>
      </c>
      <c r="AS114">
        <v>190.46977513368415</v>
      </c>
      <c r="AT114">
        <v>9.9818491465359696</v>
      </c>
      <c r="AU114">
        <v>23.977012594510011</v>
      </c>
      <c r="AV114"/>
      <c r="AW114"/>
      <c r="AX114" s="146"/>
      <c r="AY114" s="76">
        <f t="shared" ca="1" si="88"/>
        <v>0.362245310185074</v>
      </c>
      <c r="AZ114">
        <v>7</v>
      </c>
      <c r="BA114" s="129">
        <f t="shared" si="129"/>
        <v>39714</v>
      </c>
      <c r="BB114" s="207">
        <v>0</v>
      </c>
      <c r="BC114" s="207">
        <v>0</v>
      </c>
      <c r="BD114" s="207">
        <v>0</v>
      </c>
      <c r="BE114" s="207">
        <v>0</v>
      </c>
      <c r="BF114" s="207">
        <v>0</v>
      </c>
      <c r="BG114" s="207">
        <v>0</v>
      </c>
      <c r="BH114" s="207">
        <v>0</v>
      </c>
      <c r="BI114" s="207">
        <v>0</v>
      </c>
      <c r="BJ114" s="207">
        <v>0</v>
      </c>
      <c r="BK114" s="207">
        <v>0</v>
      </c>
      <c r="BL114" s="207">
        <v>0</v>
      </c>
      <c r="BM114" s="207">
        <v>0</v>
      </c>
      <c r="BN114" s="207">
        <v>0</v>
      </c>
      <c r="BO114" s="207">
        <v>0</v>
      </c>
      <c r="BP114" s="207">
        <v>0</v>
      </c>
      <c r="BQ114" s="207">
        <v>0</v>
      </c>
      <c r="BR114" s="207">
        <v>0</v>
      </c>
      <c r="BS114" s="207">
        <v>0</v>
      </c>
      <c r="BT114" s="207">
        <v>0</v>
      </c>
      <c r="BU114" s="207">
        <v>0</v>
      </c>
      <c r="BV114" s="207">
        <v>0</v>
      </c>
      <c r="BW114" s="207">
        <v>0</v>
      </c>
      <c r="BX114" s="207">
        <v>0</v>
      </c>
      <c r="BY114" s="207">
        <v>0</v>
      </c>
      <c r="BZ114" s="207">
        <v>0</v>
      </c>
      <c r="CA114" s="207">
        <v>0</v>
      </c>
      <c r="CB114" s="207">
        <v>0</v>
      </c>
      <c r="CC114" s="207">
        <v>0</v>
      </c>
      <c r="CD114" s="207">
        <v>0</v>
      </c>
      <c r="CE114" s="207">
        <v>0</v>
      </c>
      <c r="CF114" s="207">
        <v>0</v>
      </c>
      <c r="CG114" s="147"/>
      <c r="CH114" s="176"/>
      <c r="CJ114" s="146"/>
      <c r="CK114" s="76">
        <f t="shared" ca="1" si="90"/>
        <v>0.87593637274534442</v>
      </c>
      <c r="CL114" s="179">
        <f t="shared" si="91"/>
        <v>7</v>
      </c>
      <c r="CM114" s="180">
        <f t="shared" si="92"/>
        <v>39714</v>
      </c>
      <c r="CN114" s="208">
        <v>0</v>
      </c>
      <c r="CO114" s="208">
        <v>0</v>
      </c>
      <c r="CP114" s="208">
        <v>0</v>
      </c>
      <c r="CQ114" s="208">
        <v>0</v>
      </c>
      <c r="CR114" s="208">
        <v>0</v>
      </c>
      <c r="CS114" s="208">
        <v>0</v>
      </c>
      <c r="CT114" s="208">
        <v>0</v>
      </c>
      <c r="CU114" s="208">
        <v>0</v>
      </c>
      <c r="CV114" s="160"/>
      <c r="CW114">
        <v>1</v>
      </c>
      <c r="CX114">
        <v>1</v>
      </c>
      <c r="CY114" s="164"/>
      <c r="CZ114" s="177">
        <f t="shared" si="93"/>
        <v>9.6000000000000002E-2</v>
      </c>
      <c r="DB114" s="146"/>
      <c r="DC114" s="76">
        <f t="shared" ca="1" si="51"/>
        <v>0.95833430678592224</v>
      </c>
      <c r="DD114">
        <f t="shared" si="94"/>
        <v>7</v>
      </c>
      <c r="DE114" s="129">
        <f t="shared" si="128"/>
        <v>39714</v>
      </c>
      <c r="DF114" s="161">
        <f t="shared" si="95"/>
        <v>0</v>
      </c>
      <c r="DG114" s="161">
        <f t="shared" si="96"/>
        <v>0</v>
      </c>
      <c r="DH114" s="161">
        <f t="shared" si="97"/>
        <v>0</v>
      </c>
      <c r="DI114" s="161">
        <f t="shared" si="98"/>
        <v>0</v>
      </c>
      <c r="DJ114" s="161">
        <f t="shared" si="99"/>
        <v>0</v>
      </c>
      <c r="DK114" s="161">
        <f t="shared" si="100"/>
        <v>0</v>
      </c>
      <c r="DL114" s="161">
        <f t="shared" si="101"/>
        <v>0</v>
      </c>
      <c r="DM114" s="161">
        <f t="shared" si="102"/>
        <v>0</v>
      </c>
      <c r="DN114" s="161">
        <f t="shared" si="103"/>
        <v>0</v>
      </c>
      <c r="DO114" s="161">
        <f t="shared" si="104"/>
        <v>0</v>
      </c>
      <c r="DP114" s="161">
        <f t="shared" si="105"/>
        <v>0</v>
      </c>
      <c r="DQ114" s="161">
        <f t="shared" si="106"/>
        <v>0</v>
      </c>
      <c r="DR114" s="161">
        <f t="shared" si="107"/>
        <v>0</v>
      </c>
      <c r="DS114" s="161">
        <f t="shared" si="108"/>
        <v>0</v>
      </c>
      <c r="DT114" s="161">
        <f t="shared" si="109"/>
        <v>0</v>
      </c>
      <c r="DU114" s="161">
        <f t="shared" si="110"/>
        <v>0</v>
      </c>
      <c r="DV114" s="161">
        <f t="shared" si="111"/>
        <v>0</v>
      </c>
      <c r="DW114" s="161">
        <f t="shared" si="112"/>
        <v>0</v>
      </c>
      <c r="DX114" s="161">
        <f t="shared" si="113"/>
        <v>0</v>
      </c>
      <c r="DY114" s="161">
        <f t="shared" si="114"/>
        <v>0</v>
      </c>
      <c r="DZ114" s="161">
        <f t="shared" si="115"/>
        <v>0</v>
      </c>
      <c r="EA114" s="161">
        <f t="shared" si="116"/>
        <v>0</v>
      </c>
      <c r="EB114" s="161">
        <f t="shared" si="117"/>
        <v>0</v>
      </c>
      <c r="EC114" s="161">
        <f t="shared" si="118"/>
        <v>0</v>
      </c>
      <c r="ED114" s="161">
        <f t="shared" si="119"/>
        <v>0</v>
      </c>
      <c r="EE114" s="161">
        <f t="shared" si="120"/>
        <v>0</v>
      </c>
      <c r="EF114" s="161">
        <f t="shared" si="121"/>
        <v>0</v>
      </c>
      <c r="EG114" s="161">
        <f t="shared" si="122"/>
        <v>0</v>
      </c>
      <c r="EH114" s="161">
        <f t="shared" si="123"/>
        <v>0</v>
      </c>
      <c r="EI114" s="161">
        <f t="shared" si="124"/>
        <v>0</v>
      </c>
      <c r="EJ114" s="161">
        <f t="shared" si="125"/>
        <v>0</v>
      </c>
      <c r="EK114" s="147">
        <f t="shared" si="55"/>
        <v>0</v>
      </c>
      <c r="EL114" s="149"/>
      <c r="EN114" s="146"/>
      <c r="EO114" s="146"/>
      <c r="EP114" s="139">
        <f t="shared" si="56"/>
        <v>0</v>
      </c>
      <c r="EQ114" s="139">
        <f t="shared" si="57"/>
        <v>0</v>
      </c>
      <c r="ER114" s="139">
        <f t="shared" si="58"/>
        <v>0</v>
      </c>
      <c r="ES114" s="139">
        <f t="shared" si="59"/>
        <v>0</v>
      </c>
      <c r="ET114" s="139">
        <f t="shared" si="60"/>
        <v>0</v>
      </c>
      <c r="EU114" s="139">
        <f t="shared" si="61"/>
        <v>0</v>
      </c>
      <c r="EV114" s="139">
        <f t="shared" si="62"/>
        <v>0</v>
      </c>
      <c r="EW114" s="139">
        <f t="shared" si="63"/>
        <v>0</v>
      </c>
      <c r="EX114" s="139">
        <f t="shared" si="64"/>
        <v>0</v>
      </c>
      <c r="EY114" s="139">
        <f t="shared" si="65"/>
        <v>0</v>
      </c>
      <c r="EZ114" s="139">
        <f t="shared" si="66"/>
        <v>0</v>
      </c>
      <c r="FA114" s="139">
        <f t="shared" si="67"/>
        <v>0</v>
      </c>
      <c r="FB114" s="139">
        <f t="shared" si="68"/>
        <v>0</v>
      </c>
      <c r="FC114" s="139">
        <f t="shared" si="69"/>
        <v>0</v>
      </c>
      <c r="FD114" s="139">
        <f t="shared" si="70"/>
        <v>0</v>
      </c>
      <c r="FE114" s="139">
        <f t="shared" si="71"/>
        <v>0</v>
      </c>
      <c r="FF114" s="139">
        <f t="shared" si="72"/>
        <v>0</v>
      </c>
      <c r="FG114" s="139">
        <f t="shared" si="73"/>
        <v>0</v>
      </c>
      <c r="FH114" s="139">
        <f t="shared" si="74"/>
        <v>0</v>
      </c>
      <c r="FI114" s="139">
        <f t="shared" si="75"/>
        <v>0</v>
      </c>
      <c r="FJ114" s="139">
        <f t="shared" si="76"/>
        <v>0</v>
      </c>
      <c r="FK114" s="139">
        <f t="shared" si="77"/>
        <v>0</v>
      </c>
      <c r="FL114" s="139">
        <f t="shared" si="78"/>
        <v>0</v>
      </c>
      <c r="FM114" s="139">
        <f t="shared" si="79"/>
        <v>0</v>
      </c>
      <c r="FN114" s="139">
        <f t="shared" si="80"/>
        <v>0</v>
      </c>
      <c r="FO114" s="139">
        <f t="shared" si="81"/>
        <v>0</v>
      </c>
      <c r="FP114" s="139">
        <f t="shared" si="82"/>
        <v>0</v>
      </c>
      <c r="FQ114" s="139">
        <f t="shared" si="83"/>
        <v>0</v>
      </c>
      <c r="FR114" s="139">
        <f t="shared" si="84"/>
        <v>0</v>
      </c>
      <c r="FS114" s="139">
        <f t="shared" si="85"/>
        <v>0</v>
      </c>
      <c r="FT114" s="139">
        <f t="shared" si="86"/>
        <v>0</v>
      </c>
      <c r="FU114" s="148">
        <f t="shared" si="87"/>
        <v>0</v>
      </c>
      <c r="FV114" s="149"/>
      <c r="FY114" s="213">
        <v>109</v>
      </c>
      <c r="FZ114">
        <v>54.368422275504983</v>
      </c>
      <c r="GA114">
        <v>36.609417268116161</v>
      </c>
      <c r="GB114">
        <v>10.40047039220941</v>
      </c>
      <c r="GC114">
        <v>8.2727868662432158</v>
      </c>
      <c r="GD114">
        <v>7.1617582670479392</v>
      </c>
      <c r="GE114">
        <v>7.8350102815753315</v>
      </c>
      <c r="GF114">
        <v>17.545881530970579</v>
      </c>
      <c r="GG114">
        <v>15.889282000443048</v>
      </c>
      <c r="GH114">
        <v>22.292296596539352</v>
      </c>
      <c r="GI114">
        <v>21.511188992891547</v>
      </c>
      <c r="GJ114"/>
      <c r="GK114"/>
      <c r="GL114"/>
      <c r="GM114"/>
      <c r="GN114" s="208"/>
      <c r="GO114" s="208"/>
      <c r="GP114" s="208"/>
      <c r="GQ114" s="208"/>
      <c r="GR114" s="208"/>
      <c r="GS114" s="208"/>
      <c r="GT114" s="208"/>
      <c r="GU114" s="213">
        <v>109</v>
      </c>
    </row>
    <row r="115" spans="1:203" s="7" customFormat="1">
      <c r="A115" s="1"/>
      <c r="B115" s="76">
        <f ca="1">IF(C115="", "", RAND())</f>
        <v>0.7922874676883962</v>
      </c>
      <c r="C115">
        <v>7</v>
      </c>
      <c r="D115">
        <v>39714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 s="2"/>
      <c r="AK115" s="80"/>
      <c r="AL115" s="74"/>
      <c r="AM115" s="43">
        <v>99</v>
      </c>
      <c r="AN115">
        <v>322.32859216426442</v>
      </c>
      <c r="AO115">
        <v>20.201749056691462</v>
      </c>
      <c r="AP115">
        <v>70.626072117317435</v>
      </c>
      <c r="AQ115">
        <v>143.02846461257423</v>
      </c>
      <c r="AR115">
        <v>20.788822920937381</v>
      </c>
      <c r="AS115">
        <v>208.19796114128042</v>
      </c>
      <c r="AT115">
        <v>9.4499551930456764</v>
      </c>
      <c r="AU115">
        <v>21.649028877629963</v>
      </c>
      <c r="AV115"/>
      <c r="AW115"/>
      <c r="AX115" s="146"/>
      <c r="AY115" s="76">
        <f t="shared" ca="1" si="88"/>
        <v>0.65580958749357521</v>
      </c>
      <c r="AZ115">
        <v>8</v>
      </c>
      <c r="BA115" s="129">
        <f t="shared" si="129"/>
        <v>39714</v>
      </c>
      <c r="BB115" s="207">
        <v>0</v>
      </c>
      <c r="BC115" s="207">
        <v>0</v>
      </c>
      <c r="BD115" s="207">
        <v>0</v>
      </c>
      <c r="BE115" s="207">
        <v>0</v>
      </c>
      <c r="BF115" s="207">
        <v>0</v>
      </c>
      <c r="BG115" s="207">
        <v>1</v>
      </c>
      <c r="BH115" s="207">
        <v>0</v>
      </c>
      <c r="BI115" s="207">
        <v>0</v>
      </c>
      <c r="BJ115" s="207">
        <v>0</v>
      </c>
      <c r="BK115" s="207">
        <v>0</v>
      </c>
      <c r="BL115" s="207">
        <v>0</v>
      </c>
      <c r="BM115" s="207">
        <v>0</v>
      </c>
      <c r="BN115" s="207">
        <v>0</v>
      </c>
      <c r="BO115" s="207">
        <v>0</v>
      </c>
      <c r="BP115" s="207">
        <v>0</v>
      </c>
      <c r="BQ115" s="207">
        <v>0</v>
      </c>
      <c r="BR115" s="207">
        <v>0</v>
      </c>
      <c r="BS115" s="207">
        <v>0</v>
      </c>
      <c r="BT115" s="207">
        <v>0</v>
      </c>
      <c r="BU115" s="207">
        <v>0</v>
      </c>
      <c r="BV115" s="207">
        <v>0</v>
      </c>
      <c r="BW115" s="207">
        <v>0</v>
      </c>
      <c r="BX115" s="207">
        <v>0</v>
      </c>
      <c r="BY115" s="207">
        <v>0</v>
      </c>
      <c r="BZ115" s="207">
        <v>0</v>
      </c>
      <c r="CA115" s="207">
        <v>0</v>
      </c>
      <c r="CB115" s="207">
        <v>0</v>
      </c>
      <c r="CC115" s="207">
        <v>0</v>
      </c>
      <c r="CD115" s="207">
        <v>0</v>
      </c>
      <c r="CE115" s="207">
        <v>0</v>
      </c>
      <c r="CF115" s="207">
        <v>0</v>
      </c>
      <c r="CG115" s="147"/>
      <c r="CH115" s="176"/>
      <c r="CJ115" s="146"/>
      <c r="CK115" s="76">
        <f t="shared" ca="1" si="90"/>
        <v>0.30616588174513581</v>
      </c>
      <c r="CL115" s="179">
        <f t="shared" si="91"/>
        <v>8</v>
      </c>
      <c r="CM115" s="180">
        <f t="shared" si="92"/>
        <v>39714</v>
      </c>
      <c r="CN115" s="208">
        <v>0</v>
      </c>
      <c r="CO115" s="208">
        <v>0</v>
      </c>
      <c r="CP115" s="208">
        <v>0</v>
      </c>
      <c r="CQ115" s="208">
        <v>0</v>
      </c>
      <c r="CR115" s="208">
        <v>0</v>
      </c>
      <c r="CS115" s="208">
        <v>0</v>
      </c>
      <c r="CT115" s="208">
        <v>0</v>
      </c>
      <c r="CU115" s="208">
        <v>0</v>
      </c>
      <c r="CV115" s="160"/>
      <c r="CW115">
        <v>1</v>
      </c>
      <c r="CX115">
        <v>1</v>
      </c>
      <c r="CY115" s="164"/>
      <c r="CZ115" s="177">
        <f t="shared" si="93"/>
        <v>9.6000000000000002E-2</v>
      </c>
      <c r="DB115" s="146"/>
      <c r="DC115" s="76">
        <f t="shared" ca="1" si="51"/>
        <v>0.74884263952333718</v>
      </c>
      <c r="DD115">
        <f t="shared" si="94"/>
        <v>8</v>
      </c>
      <c r="DE115" s="129">
        <f t="shared" si="128"/>
        <v>39714</v>
      </c>
      <c r="DF115" s="161">
        <f t="shared" si="95"/>
        <v>0</v>
      </c>
      <c r="DG115" s="161">
        <f t="shared" si="96"/>
        <v>0</v>
      </c>
      <c r="DH115" s="161">
        <f t="shared" si="97"/>
        <v>0</v>
      </c>
      <c r="DI115" s="161">
        <f t="shared" si="98"/>
        <v>0</v>
      </c>
      <c r="DJ115" s="161">
        <f t="shared" si="99"/>
        <v>0</v>
      </c>
      <c r="DK115" s="161">
        <f t="shared" si="100"/>
        <v>10.416666666666666</v>
      </c>
      <c r="DL115" s="161">
        <f t="shared" si="101"/>
        <v>0</v>
      </c>
      <c r="DM115" s="161">
        <f t="shared" si="102"/>
        <v>0</v>
      </c>
      <c r="DN115" s="161">
        <f t="shared" si="103"/>
        <v>0</v>
      </c>
      <c r="DO115" s="161">
        <f t="shared" si="104"/>
        <v>0</v>
      </c>
      <c r="DP115" s="161">
        <f t="shared" si="105"/>
        <v>0</v>
      </c>
      <c r="DQ115" s="161">
        <f t="shared" si="106"/>
        <v>0</v>
      </c>
      <c r="DR115" s="161">
        <f t="shared" si="107"/>
        <v>0</v>
      </c>
      <c r="DS115" s="161">
        <f t="shared" si="108"/>
        <v>0</v>
      </c>
      <c r="DT115" s="161">
        <f t="shared" si="109"/>
        <v>0</v>
      </c>
      <c r="DU115" s="161">
        <f t="shared" si="110"/>
        <v>0</v>
      </c>
      <c r="DV115" s="161">
        <f t="shared" si="111"/>
        <v>0</v>
      </c>
      <c r="DW115" s="161">
        <f t="shared" si="112"/>
        <v>0</v>
      </c>
      <c r="DX115" s="161">
        <f t="shared" si="113"/>
        <v>0</v>
      </c>
      <c r="DY115" s="161">
        <f t="shared" si="114"/>
        <v>0</v>
      </c>
      <c r="DZ115" s="161">
        <f t="shared" si="115"/>
        <v>0</v>
      </c>
      <c r="EA115" s="161">
        <f t="shared" si="116"/>
        <v>0</v>
      </c>
      <c r="EB115" s="161">
        <f t="shared" si="117"/>
        <v>0</v>
      </c>
      <c r="EC115" s="161">
        <f t="shared" si="118"/>
        <v>0</v>
      </c>
      <c r="ED115" s="161">
        <f t="shared" si="119"/>
        <v>0</v>
      </c>
      <c r="EE115" s="161">
        <f t="shared" si="120"/>
        <v>0</v>
      </c>
      <c r="EF115" s="161">
        <f t="shared" si="121"/>
        <v>0</v>
      </c>
      <c r="EG115" s="161">
        <f t="shared" si="122"/>
        <v>0</v>
      </c>
      <c r="EH115" s="161">
        <f t="shared" si="123"/>
        <v>0</v>
      </c>
      <c r="EI115" s="161">
        <f t="shared" si="124"/>
        <v>0</v>
      </c>
      <c r="EJ115" s="161">
        <f t="shared" si="125"/>
        <v>0</v>
      </c>
      <c r="EK115" s="147">
        <f t="shared" si="55"/>
        <v>10.416666666666666</v>
      </c>
      <c r="EL115" s="149"/>
      <c r="EN115" s="146"/>
      <c r="EO115" s="146"/>
      <c r="EP115" s="139">
        <f t="shared" si="56"/>
        <v>0</v>
      </c>
      <c r="EQ115" s="139">
        <f t="shared" si="57"/>
        <v>0</v>
      </c>
      <c r="ER115" s="139">
        <f t="shared" si="58"/>
        <v>0</v>
      </c>
      <c r="ES115" s="139">
        <f t="shared" si="59"/>
        <v>0</v>
      </c>
      <c r="ET115" s="139">
        <f t="shared" si="60"/>
        <v>0</v>
      </c>
      <c r="EU115" s="139">
        <f t="shared" si="61"/>
        <v>8.7853696509678922</v>
      </c>
      <c r="EV115" s="139">
        <f t="shared" si="62"/>
        <v>0</v>
      </c>
      <c r="EW115" s="139">
        <f t="shared" si="63"/>
        <v>0</v>
      </c>
      <c r="EX115" s="139">
        <f t="shared" si="64"/>
        <v>0</v>
      </c>
      <c r="EY115" s="139">
        <f t="shared" si="65"/>
        <v>0</v>
      </c>
      <c r="EZ115" s="139">
        <f t="shared" si="66"/>
        <v>0</v>
      </c>
      <c r="FA115" s="139">
        <f t="shared" si="67"/>
        <v>0</v>
      </c>
      <c r="FB115" s="139">
        <f t="shared" si="68"/>
        <v>0</v>
      </c>
      <c r="FC115" s="139">
        <f t="shared" si="69"/>
        <v>0</v>
      </c>
      <c r="FD115" s="139">
        <f t="shared" si="70"/>
        <v>0</v>
      </c>
      <c r="FE115" s="139">
        <f t="shared" si="71"/>
        <v>0</v>
      </c>
      <c r="FF115" s="139">
        <f t="shared" si="72"/>
        <v>0</v>
      </c>
      <c r="FG115" s="139">
        <f t="shared" si="73"/>
        <v>0</v>
      </c>
      <c r="FH115" s="139">
        <f t="shared" si="74"/>
        <v>0</v>
      </c>
      <c r="FI115" s="139">
        <f t="shared" si="75"/>
        <v>0</v>
      </c>
      <c r="FJ115" s="139">
        <f t="shared" si="76"/>
        <v>0</v>
      </c>
      <c r="FK115" s="139">
        <f t="shared" si="77"/>
        <v>0</v>
      </c>
      <c r="FL115" s="139">
        <f t="shared" si="78"/>
        <v>0</v>
      </c>
      <c r="FM115" s="139">
        <f t="shared" si="79"/>
        <v>0</v>
      </c>
      <c r="FN115" s="139">
        <f t="shared" si="80"/>
        <v>0</v>
      </c>
      <c r="FO115" s="139">
        <f t="shared" si="81"/>
        <v>0</v>
      </c>
      <c r="FP115" s="139">
        <f t="shared" si="82"/>
        <v>0</v>
      </c>
      <c r="FQ115" s="139">
        <f t="shared" si="83"/>
        <v>0</v>
      </c>
      <c r="FR115" s="139">
        <f t="shared" si="84"/>
        <v>0</v>
      </c>
      <c r="FS115" s="139">
        <f t="shared" si="85"/>
        <v>0</v>
      </c>
      <c r="FT115" s="139">
        <f t="shared" si="86"/>
        <v>0</v>
      </c>
      <c r="FU115" s="148">
        <f t="shared" si="87"/>
        <v>8.7853696509678922</v>
      </c>
      <c r="FV115" s="149"/>
      <c r="FY115" s="213">
        <v>110</v>
      </c>
      <c r="FZ115">
        <v>78.882596200369889</v>
      </c>
      <c r="GA115">
        <v>80.674342563197754</v>
      </c>
      <c r="GB115">
        <v>16.203583183734594</v>
      </c>
      <c r="GC115">
        <v>5.8468458597947768</v>
      </c>
      <c r="GD115">
        <v>5.0326052766519718</v>
      </c>
      <c r="GE115">
        <v>6.2646282965141813</v>
      </c>
      <c r="GF115">
        <v>14.49004826013916</v>
      </c>
      <c r="GG115">
        <v>12.21538069584288</v>
      </c>
      <c r="GH115">
        <v>27.849354366615746</v>
      </c>
      <c r="GI115">
        <v>26.264085079991652</v>
      </c>
      <c r="GJ115"/>
      <c r="GK115"/>
      <c r="GL115"/>
      <c r="GM115"/>
      <c r="GN115" s="208"/>
      <c r="GO115" s="208"/>
      <c r="GP115" s="208"/>
      <c r="GQ115" s="208"/>
      <c r="GR115" s="208"/>
      <c r="GS115" s="208"/>
      <c r="GT115" s="208"/>
      <c r="GU115" s="213">
        <v>110</v>
      </c>
    </row>
    <row r="116" spans="1:203" s="7" customFormat="1">
      <c r="A116" s="1"/>
      <c r="B116" s="76">
        <f ca="1">IF(C116="", "", RAND())</f>
        <v>0.47418411885588885</v>
      </c>
      <c r="C116">
        <v>1</v>
      </c>
      <c r="D116">
        <v>39714</v>
      </c>
      <c r="E116">
        <v>130.20833333333334</v>
      </c>
      <c r="F116">
        <v>65.104166666666671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 s="2"/>
      <c r="AK116" s="80"/>
      <c r="AL116" s="74"/>
      <c r="AM116" s="43">
        <v>100</v>
      </c>
      <c r="AN116">
        <v>365.96666062000821</v>
      </c>
      <c r="AO116">
        <v>29.341025988226523</v>
      </c>
      <c r="AP116">
        <v>81.289786935590968</v>
      </c>
      <c r="AQ116">
        <v>206.23681292923521</v>
      </c>
      <c r="AR116">
        <v>29.466404812844484</v>
      </c>
      <c r="AS116">
        <v>282.0918074209232</v>
      </c>
      <c r="AT116">
        <v>12.550127503566321</v>
      </c>
      <c r="AU116">
        <v>-5.863820384227509</v>
      </c>
      <c r="AV116"/>
      <c r="AW116"/>
      <c r="AX116" s="146"/>
      <c r="AY116" s="76">
        <f t="shared" ca="1" si="88"/>
        <v>0.25840578161022143</v>
      </c>
      <c r="AZ116">
        <v>9</v>
      </c>
      <c r="BA116" s="129">
        <f t="shared" si="129"/>
        <v>39714</v>
      </c>
      <c r="BB116" s="207">
        <v>0</v>
      </c>
      <c r="BC116" s="207">
        <v>0</v>
      </c>
      <c r="BD116" s="207">
        <v>0</v>
      </c>
      <c r="BE116" s="207">
        <v>0</v>
      </c>
      <c r="BF116" s="207">
        <v>0</v>
      </c>
      <c r="BG116" s="207">
        <v>0</v>
      </c>
      <c r="BH116" s="207">
        <v>1</v>
      </c>
      <c r="BI116" s="207">
        <v>0</v>
      </c>
      <c r="BJ116" s="207">
        <v>1</v>
      </c>
      <c r="BK116" s="207">
        <v>3</v>
      </c>
      <c r="BL116" s="207">
        <v>1</v>
      </c>
      <c r="BM116" s="207">
        <v>0</v>
      </c>
      <c r="BN116" s="207">
        <v>0</v>
      </c>
      <c r="BO116" s="207">
        <v>0</v>
      </c>
      <c r="BP116" s="207">
        <v>0</v>
      </c>
      <c r="BQ116" s="207">
        <v>0</v>
      </c>
      <c r="BR116" s="207">
        <v>0</v>
      </c>
      <c r="BS116" s="207">
        <v>0</v>
      </c>
      <c r="BT116" s="207">
        <v>0</v>
      </c>
      <c r="BU116" s="207">
        <v>0</v>
      </c>
      <c r="BV116" s="207">
        <v>0</v>
      </c>
      <c r="BW116" s="207">
        <v>0</v>
      </c>
      <c r="BX116" s="207">
        <v>0</v>
      </c>
      <c r="BY116" s="207">
        <v>0</v>
      </c>
      <c r="BZ116" s="207">
        <v>0</v>
      </c>
      <c r="CA116" s="207">
        <v>0</v>
      </c>
      <c r="CB116" s="207">
        <v>0</v>
      </c>
      <c r="CC116" s="207">
        <v>0</v>
      </c>
      <c r="CD116" s="207">
        <v>0</v>
      </c>
      <c r="CE116" s="207">
        <v>0</v>
      </c>
      <c r="CF116" s="207">
        <v>0</v>
      </c>
      <c r="CG116" s="147"/>
      <c r="CH116" s="176"/>
      <c r="CJ116" s="146"/>
      <c r="CK116" s="76">
        <f t="shared" ca="1" si="90"/>
        <v>0.68285890051079345</v>
      </c>
      <c r="CL116" s="179">
        <f t="shared" si="91"/>
        <v>9</v>
      </c>
      <c r="CM116" s="180">
        <f t="shared" si="92"/>
        <v>39714</v>
      </c>
      <c r="CN116" s="208">
        <v>1</v>
      </c>
      <c r="CO116" s="208">
        <v>3</v>
      </c>
      <c r="CP116" s="208">
        <v>0</v>
      </c>
      <c r="CQ116" s="208">
        <v>0</v>
      </c>
      <c r="CR116" s="208">
        <v>0</v>
      </c>
      <c r="CS116" s="208">
        <v>0</v>
      </c>
      <c r="CT116" s="208">
        <v>0</v>
      </c>
      <c r="CU116" s="208">
        <v>0</v>
      </c>
      <c r="CV116" s="160"/>
      <c r="CW116">
        <v>1</v>
      </c>
      <c r="CX116">
        <f>300/31</f>
        <v>9.67741935483871</v>
      </c>
      <c r="CY116" s="164"/>
      <c r="CZ116" s="177">
        <f t="shared" si="93"/>
        <v>9.6000000000000002E-2</v>
      </c>
      <c r="DB116" s="146"/>
      <c r="DC116" s="76">
        <f t="shared" ca="1" si="51"/>
        <v>0.69553913208595119</v>
      </c>
      <c r="DD116">
        <f t="shared" si="94"/>
        <v>9</v>
      </c>
      <c r="DE116" s="129">
        <f t="shared" si="128"/>
        <v>39714</v>
      </c>
      <c r="DF116" s="161">
        <f t="shared" si="95"/>
        <v>100.80645161290323</v>
      </c>
      <c r="DG116" s="161">
        <f t="shared" si="96"/>
        <v>302.41935483870964</v>
      </c>
      <c r="DH116" s="161">
        <f t="shared" si="97"/>
        <v>0</v>
      </c>
      <c r="DI116" s="161">
        <f t="shared" si="98"/>
        <v>0</v>
      </c>
      <c r="DJ116" s="161">
        <f t="shared" si="99"/>
        <v>0</v>
      </c>
      <c r="DK116" s="161">
        <f t="shared" si="100"/>
        <v>0</v>
      </c>
      <c r="DL116" s="161">
        <f t="shared" si="101"/>
        <v>10.416666666666666</v>
      </c>
      <c r="DM116" s="161">
        <f t="shared" si="102"/>
        <v>0</v>
      </c>
      <c r="DN116" s="161">
        <f t="shared" si="103"/>
        <v>10.416666666666666</v>
      </c>
      <c r="DO116" s="161">
        <f t="shared" si="104"/>
        <v>31.25</v>
      </c>
      <c r="DP116" s="161">
        <f t="shared" si="105"/>
        <v>10.416666666666666</v>
      </c>
      <c r="DQ116" s="161">
        <f t="shared" si="106"/>
        <v>0</v>
      </c>
      <c r="DR116" s="161">
        <f t="shared" si="107"/>
        <v>0</v>
      </c>
      <c r="DS116" s="161">
        <f t="shared" si="108"/>
        <v>0</v>
      </c>
      <c r="DT116" s="161">
        <f t="shared" si="109"/>
        <v>0</v>
      </c>
      <c r="DU116" s="161">
        <f t="shared" si="110"/>
        <v>0</v>
      </c>
      <c r="DV116" s="161">
        <f t="shared" si="111"/>
        <v>0</v>
      </c>
      <c r="DW116" s="161">
        <f t="shared" si="112"/>
        <v>0</v>
      </c>
      <c r="DX116" s="161">
        <f t="shared" si="113"/>
        <v>0</v>
      </c>
      <c r="DY116" s="161">
        <f t="shared" si="114"/>
        <v>0</v>
      </c>
      <c r="DZ116" s="161">
        <f t="shared" si="115"/>
        <v>0</v>
      </c>
      <c r="EA116" s="161">
        <f t="shared" si="116"/>
        <v>0</v>
      </c>
      <c r="EB116" s="161">
        <f t="shared" si="117"/>
        <v>0</v>
      </c>
      <c r="EC116" s="161">
        <f t="shared" si="118"/>
        <v>0</v>
      </c>
      <c r="ED116" s="161">
        <f t="shared" si="119"/>
        <v>0</v>
      </c>
      <c r="EE116" s="161">
        <f t="shared" si="120"/>
        <v>0</v>
      </c>
      <c r="EF116" s="161">
        <f t="shared" si="121"/>
        <v>0</v>
      </c>
      <c r="EG116" s="161">
        <f t="shared" si="122"/>
        <v>0</v>
      </c>
      <c r="EH116" s="161">
        <f t="shared" si="123"/>
        <v>0</v>
      </c>
      <c r="EI116" s="161">
        <f t="shared" si="124"/>
        <v>0</v>
      </c>
      <c r="EJ116" s="161">
        <f t="shared" si="125"/>
        <v>0</v>
      </c>
      <c r="EK116" s="147">
        <f t="shared" si="55"/>
        <v>465.72580645161293</v>
      </c>
      <c r="EL116" s="149"/>
      <c r="EN116" s="146"/>
      <c r="EO116" s="146"/>
      <c r="EP116" s="139">
        <f t="shared" si="56"/>
        <v>0.18302887081360192</v>
      </c>
      <c r="EQ116" s="139">
        <f t="shared" si="57"/>
        <v>3.4872883064516125</v>
      </c>
      <c r="ER116" s="139">
        <f t="shared" si="58"/>
        <v>0</v>
      </c>
      <c r="ES116" s="139">
        <f t="shared" si="59"/>
        <v>0</v>
      </c>
      <c r="ET116" s="139">
        <f t="shared" si="60"/>
        <v>0</v>
      </c>
      <c r="EU116" s="139">
        <f t="shared" si="61"/>
        <v>0</v>
      </c>
      <c r="EV116" s="139">
        <f t="shared" si="62"/>
        <v>14.286847949341793</v>
      </c>
      <c r="EW116" s="139">
        <f t="shared" si="63"/>
        <v>0</v>
      </c>
      <c r="EX116" s="139">
        <f t="shared" si="64"/>
        <v>30.77145509025932</v>
      </c>
      <c r="EY116" s="139">
        <f t="shared" si="65"/>
        <v>126.38428193883711</v>
      </c>
      <c r="EZ116" s="139">
        <f t="shared" si="66"/>
        <v>55.796510345584267</v>
      </c>
      <c r="FA116" s="139">
        <f t="shared" si="67"/>
        <v>0</v>
      </c>
      <c r="FB116" s="139">
        <f t="shared" si="68"/>
        <v>0</v>
      </c>
      <c r="FC116" s="139">
        <f t="shared" si="69"/>
        <v>0</v>
      </c>
      <c r="FD116" s="139">
        <f t="shared" si="70"/>
        <v>0</v>
      </c>
      <c r="FE116" s="139">
        <f t="shared" si="71"/>
        <v>0</v>
      </c>
      <c r="FF116" s="139">
        <f t="shared" si="72"/>
        <v>0</v>
      </c>
      <c r="FG116" s="139">
        <f t="shared" si="73"/>
        <v>0</v>
      </c>
      <c r="FH116" s="139">
        <f t="shared" si="74"/>
        <v>0</v>
      </c>
      <c r="FI116" s="139">
        <f t="shared" si="75"/>
        <v>0</v>
      </c>
      <c r="FJ116" s="139">
        <f t="shared" si="76"/>
        <v>0</v>
      </c>
      <c r="FK116" s="139">
        <f t="shared" si="77"/>
        <v>0</v>
      </c>
      <c r="FL116" s="139">
        <f t="shared" si="78"/>
        <v>0</v>
      </c>
      <c r="FM116" s="139">
        <f t="shared" si="79"/>
        <v>0</v>
      </c>
      <c r="FN116" s="139">
        <f t="shared" si="80"/>
        <v>0</v>
      </c>
      <c r="FO116" s="139">
        <f t="shared" si="81"/>
        <v>0</v>
      </c>
      <c r="FP116" s="139">
        <f t="shared" si="82"/>
        <v>0</v>
      </c>
      <c r="FQ116" s="139">
        <f t="shared" si="83"/>
        <v>0</v>
      </c>
      <c r="FR116" s="139">
        <f t="shared" si="84"/>
        <v>0</v>
      </c>
      <c r="FS116" s="139">
        <f t="shared" si="85"/>
        <v>0</v>
      </c>
      <c r="FT116" s="139">
        <f t="shared" si="86"/>
        <v>0</v>
      </c>
      <c r="FU116" s="148">
        <f t="shared" si="87"/>
        <v>230.9094125012877</v>
      </c>
      <c r="FV116" s="149"/>
      <c r="FY116" s="213">
        <v>111</v>
      </c>
      <c r="FZ116">
        <v>63.024036047533464</v>
      </c>
      <c r="GA116">
        <v>61.543080158557508</v>
      </c>
      <c r="GB116">
        <v>10.880672188755353</v>
      </c>
      <c r="GC116">
        <v>5.4564163521036662</v>
      </c>
      <c r="GD116">
        <v>6.2440318676742628</v>
      </c>
      <c r="GE116">
        <v>6.4266702468189809</v>
      </c>
      <c r="GF116">
        <v>15.698942345010703</v>
      </c>
      <c r="GG116">
        <v>14.769871951787259</v>
      </c>
      <c r="GH116">
        <v>6.6386238450467863</v>
      </c>
      <c r="GI116">
        <v>19.838091051684863</v>
      </c>
      <c r="GJ116"/>
      <c r="GK116"/>
      <c r="GL116"/>
      <c r="GM116"/>
      <c r="GN116" s="208"/>
      <c r="GO116" s="208"/>
      <c r="GP116" s="208"/>
      <c r="GQ116" s="208"/>
      <c r="GR116" s="208"/>
      <c r="GS116" s="208"/>
      <c r="GT116" s="208"/>
      <c r="GU116" s="213">
        <v>111</v>
      </c>
    </row>
    <row r="117" spans="1:203" s="7" customFormat="1">
      <c r="A117" s="1"/>
      <c r="B117" s="76">
        <f ca="1">IF(C117="", "", RAND())</f>
        <v>0.3050386730128456</v>
      </c>
      <c r="C117">
        <v>8</v>
      </c>
      <c r="D117">
        <v>39714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10.416666666666666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 s="2"/>
      <c r="AK117" s="80"/>
      <c r="AL117" s="74"/>
      <c r="AM117" s="43">
        <v>101</v>
      </c>
      <c r="AN117">
        <v>335.55081323096414</v>
      </c>
      <c r="AO117">
        <v>24.140284360155391</v>
      </c>
      <c r="AP117">
        <v>48.912518996646057</v>
      </c>
      <c r="AQ117">
        <v>179.01622699054872</v>
      </c>
      <c r="AR117">
        <v>25.161412436751554</v>
      </c>
      <c r="AS117">
        <v>255.23263260406449</v>
      </c>
      <c r="AT117">
        <v>14.199472414967483</v>
      </c>
      <c r="AU117">
        <v>30.930547405830069</v>
      </c>
      <c r="AV117"/>
      <c r="AW117"/>
      <c r="AX117" s="146"/>
      <c r="AY117" s="76">
        <f t="shared" ca="1" si="88"/>
        <v>0.49141370192240297</v>
      </c>
      <c r="AZ117">
        <v>10</v>
      </c>
      <c r="BA117" s="129">
        <f t="shared" si="129"/>
        <v>39714</v>
      </c>
      <c r="BB117" s="207">
        <v>0</v>
      </c>
      <c r="BC117" s="207">
        <v>1</v>
      </c>
      <c r="BD117" s="207">
        <v>0</v>
      </c>
      <c r="BE117" s="207">
        <v>0</v>
      </c>
      <c r="BF117" s="207">
        <v>1</v>
      </c>
      <c r="BG117" s="207">
        <v>0</v>
      </c>
      <c r="BH117" s="207">
        <v>0</v>
      </c>
      <c r="BI117" s="207">
        <v>0</v>
      </c>
      <c r="BJ117" s="207">
        <v>1</v>
      </c>
      <c r="BK117" s="207">
        <v>4</v>
      </c>
      <c r="BL117" s="207">
        <v>0</v>
      </c>
      <c r="BM117" s="207">
        <v>0</v>
      </c>
      <c r="BN117" s="207">
        <v>0</v>
      </c>
      <c r="BO117" s="207">
        <v>0</v>
      </c>
      <c r="BP117" s="207">
        <v>0</v>
      </c>
      <c r="BQ117" s="207">
        <v>0</v>
      </c>
      <c r="BR117" s="207">
        <v>0</v>
      </c>
      <c r="BS117" s="207">
        <v>0</v>
      </c>
      <c r="BT117" s="207">
        <v>0</v>
      </c>
      <c r="BU117" s="207">
        <v>0</v>
      </c>
      <c r="BV117" s="207">
        <v>0</v>
      </c>
      <c r="BW117" s="207">
        <v>0</v>
      </c>
      <c r="BX117" s="207">
        <v>0</v>
      </c>
      <c r="BY117" s="207">
        <v>0</v>
      </c>
      <c r="BZ117" s="207">
        <v>0</v>
      </c>
      <c r="CA117" s="207">
        <v>0</v>
      </c>
      <c r="CB117" s="207">
        <v>0</v>
      </c>
      <c r="CC117" s="207">
        <v>0</v>
      </c>
      <c r="CD117" s="207">
        <v>0</v>
      </c>
      <c r="CE117" s="207">
        <v>0</v>
      </c>
      <c r="CF117" s="207">
        <v>0</v>
      </c>
      <c r="CG117" s="147"/>
      <c r="CH117" s="176"/>
      <c r="CJ117" s="146"/>
      <c r="CK117" s="76">
        <f t="shared" ca="1" si="90"/>
        <v>4.2270106334098223E-2</v>
      </c>
      <c r="CL117" s="179">
        <f t="shared" si="91"/>
        <v>10</v>
      </c>
      <c r="CM117" s="180">
        <f t="shared" si="92"/>
        <v>39714</v>
      </c>
      <c r="CN117" s="208">
        <v>4</v>
      </c>
      <c r="CO117" s="208">
        <v>4</v>
      </c>
      <c r="CP117" s="208">
        <v>0</v>
      </c>
      <c r="CQ117" s="208">
        <v>0</v>
      </c>
      <c r="CR117" s="208">
        <v>0</v>
      </c>
      <c r="CS117" s="208">
        <v>0</v>
      </c>
      <c r="CT117" s="208">
        <v>0</v>
      </c>
      <c r="CU117" s="208">
        <v>0</v>
      </c>
      <c r="CV117" s="160"/>
      <c r="CW117">
        <v>1</v>
      </c>
      <c r="CX117">
        <f>300/35</f>
        <v>8.5714285714285712</v>
      </c>
      <c r="CY117" s="164"/>
      <c r="CZ117" s="177">
        <f t="shared" si="93"/>
        <v>9.6000000000000002E-2</v>
      </c>
      <c r="DB117" s="146"/>
      <c r="DC117" s="76">
        <f t="shared" ca="1" si="51"/>
        <v>0.99415468795406436</v>
      </c>
      <c r="DD117">
        <f t="shared" si="94"/>
        <v>10</v>
      </c>
      <c r="DE117" s="129">
        <f t="shared" si="128"/>
        <v>39714</v>
      </c>
      <c r="DF117" s="161">
        <f t="shared" si="95"/>
        <v>357.14285714285711</v>
      </c>
      <c r="DG117" s="161">
        <f t="shared" si="96"/>
        <v>367.5595238095238</v>
      </c>
      <c r="DH117" s="161">
        <f t="shared" si="97"/>
        <v>0</v>
      </c>
      <c r="DI117" s="161">
        <f t="shared" si="98"/>
        <v>0</v>
      </c>
      <c r="DJ117" s="161">
        <f t="shared" si="99"/>
        <v>10.416666666666666</v>
      </c>
      <c r="DK117" s="161">
        <f t="shared" si="100"/>
        <v>0</v>
      </c>
      <c r="DL117" s="161">
        <f t="shared" si="101"/>
        <v>0</v>
      </c>
      <c r="DM117" s="161">
        <f t="shared" si="102"/>
        <v>0</v>
      </c>
      <c r="DN117" s="161">
        <f t="shared" si="103"/>
        <v>10.416666666666666</v>
      </c>
      <c r="DO117" s="161">
        <f t="shared" si="104"/>
        <v>41.666666666666664</v>
      </c>
      <c r="DP117" s="161">
        <f t="shared" si="105"/>
        <v>0</v>
      </c>
      <c r="DQ117" s="161">
        <f t="shared" si="106"/>
        <v>0</v>
      </c>
      <c r="DR117" s="161">
        <f t="shared" si="107"/>
        <v>0</v>
      </c>
      <c r="DS117" s="161">
        <f t="shared" si="108"/>
        <v>0</v>
      </c>
      <c r="DT117" s="161">
        <f t="shared" si="109"/>
        <v>0</v>
      </c>
      <c r="DU117" s="161">
        <f t="shared" si="110"/>
        <v>0</v>
      </c>
      <c r="DV117" s="161">
        <f t="shared" si="111"/>
        <v>0</v>
      </c>
      <c r="DW117" s="161">
        <f t="shared" si="112"/>
        <v>0</v>
      </c>
      <c r="DX117" s="161">
        <f t="shared" si="113"/>
        <v>0</v>
      </c>
      <c r="DY117" s="161">
        <f t="shared" si="114"/>
        <v>0</v>
      </c>
      <c r="DZ117" s="161">
        <f t="shared" si="115"/>
        <v>0</v>
      </c>
      <c r="EA117" s="161">
        <f t="shared" si="116"/>
        <v>0</v>
      </c>
      <c r="EB117" s="161">
        <f t="shared" si="117"/>
        <v>0</v>
      </c>
      <c r="EC117" s="161">
        <f t="shared" si="118"/>
        <v>0</v>
      </c>
      <c r="ED117" s="161">
        <f t="shared" si="119"/>
        <v>0</v>
      </c>
      <c r="EE117" s="161">
        <f t="shared" si="120"/>
        <v>0</v>
      </c>
      <c r="EF117" s="161">
        <f t="shared" si="121"/>
        <v>0</v>
      </c>
      <c r="EG117" s="161">
        <f t="shared" si="122"/>
        <v>0</v>
      </c>
      <c r="EH117" s="161">
        <f t="shared" si="123"/>
        <v>0</v>
      </c>
      <c r="EI117" s="161">
        <f t="shared" si="124"/>
        <v>0</v>
      </c>
      <c r="EJ117" s="161">
        <f t="shared" si="125"/>
        <v>0</v>
      </c>
      <c r="EK117" s="147">
        <f t="shared" si="55"/>
        <v>787.20238095238085</v>
      </c>
      <c r="EL117" s="149"/>
      <c r="EN117" s="146"/>
      <c r="EO117" s="146"/>
      <c r="EP117" s="139">
        <f t="shared" si="56"/>
        <v>0.64844514231104666</v>
      </c>
      <c r="EQ117" s="139">
        <f t="shared" si="57"/>
        <v>4.2384391369047618</v>
      </c>
      <c r="ER117" s="139">
        <f t="shared" si="58"/>
        <v>0</v>
      </c>
      <c r="ES117" s="139">
        <f t="shared" si="59"/>
        <v>0</v>
      </c>
      <c r="ET117" s="139">
        <f t="shared" si="60"/>
        <v>4.8450809197869589</v>
      </c>
      <c r="EU117" s="139">
        <f t="shared" si="61"/>
        <v>0</v>
      </c>
      <c r="EV117" s="139">
        <f t="shared" si="62"/>
        <v>0</v>
      </c>
      <c r="EW117" s="139">
        <f t="shared" si="63"/>
        <v>0</v>
      </c>
      <c r="EX117" s="139">
        <f t="shared" si="64"/>
        <v>30.77145509025932</v>
      </c>
      <c r="EY117" s="139">
        <f t="shared" si="65"/>
        <v>168.51237591844946</v>
      </c>
      <c r="EZ117" s="139">
        <f t="shared" si="66"/>
        <v>0</v>
      </c>
      <c r="FA117" s="139">
        <f t="shared" si="67"/>
        <v>0</v>
      </c>
      <c r="FB117" s="139">
        <f t="shared" si="68"/>
        <v>0</v>
      </c>
      <c r="FC117" s="139">
        <f t="shared" si="69"/>
        <v>0</v>
      </c>
      <c r="FD117" s="139">
        <f t="shared" si="70"/>
        <v>0</v>
      </c>
      <c r="FE117" s="139">
        <f t="shared" si="71"/>
        <v>0</v>
      </c>
      <c r="FF117" s="139">
        <f t="shared" si="72"/>
        <v>0</v>
      </c>
      <c r="FG117" s="139">
        <f t="shared" si="73"/>
        <v>0</v>
      </c>
      <c r="FH117" s="139">
        <f t="shared" si="74"/>
        <v>0</v>
      </c>
      <c r="FI117" s="139">
        <f t="shared" si="75"/>
        <v>0</v>
      </c>
      <c r="FJ117" s="139">
        <f t="shared" si="76"/>
        <v>0</v>
      </c>
      <c r="FK117" s="139">
        <f t="shared" si="77"/>
        <v>0</v>
      </c>
      <c r="FL117" s="139">
        <f t="shared" si="78"/>
        <v>0</v>
      </c>
      <c r="FM117" s="139">
        <f t="shared" si="79"/>
        <v>0</v>
      </c>
      <c r="FN117" s="139">
        <f t="shared" si="80"/>
        <v>0</v>
      </c>
      <c r="FO117" s="139">
        <f t="shared" si="81"/>
        <v>0</v>
      </c>
      <c r="FP117" s="139">
        <f t="shared" si="82"/>
        <v>0</v>
      </c>
      <c r="FQ117" s="139">
        <f t="shared" si="83"/>
        <v>0</v>
      </c>
      <c r="FR117" s="139">
        <f t="shared" si="84"/>
        <v>0</v>
      </c>
      <c r="FS117" s="139">
        <f t="shared" si="85"/>
        <v>0</v>
      </c>
      <c r="FT117" s="139">
        <f t="shared" si="86"/>
        <v>0</v>
      </c>
      <c r="FU117" s="148">
        <f t="shared" si="87"/>
        <v>209.01579620771156</v>
      </c>
      <c r="FV117" s="149"/>
      <c r="FY117" s="213">
        <v>112</v>
      </c>
      <c r="FZ117">
        <v>54.898288326684678</v>
      </c>
      <c r="GA117">
        <v>72.998430153991549</v>
      </c>
      <c r="GB117">
        <v>11.568890763194373</v>
      </c>
      <c r="GC117">
        <v>5.252699138901777</v>
      </c>
      <c r="GD117">
        <v>4.4709716362616172</v>
      </c>
      <c r="GE117">
        <v>5.9268779919081318</v>
      </c>
      <c r="GF117">
        <v>21.781019666718407</v>
      </c>
      <c r="GG117">
        <v>17.61896948195896</v>
      </c>
      <c r="GH117">
        <v>6.2807021377434653</v>
      </c>
      <c r="GI117">
        <v>18.920017844965386</v>
      </c>
      <c r="GJ117"/>
      <c r="GK117"/>
      <c r="GL117"/>
      <c r="GM117"/>
      <c r="GN117" s="208"/>
      <c r="GO117" s="208"/>
      <c r="GP117" s="208"/>
      <c r="GQ117" s="208"/>
      <c r="GR117" s="208"/>
      <c r="GS117" s="208"/>
      <c r="GT117" s="208"/>
      <c r="GU117" s="213">
        <v>112</v>
      </c>
    </row>
    <row r="118" spans="1:203" s="7" customFormat="1">
      <c r="A118" s="128"/>
      <c r="B118" s="76">
        <f ca="1">IF(C118="", "", RAND())</f>
        <v>0.17286671398068476</v>
      </c>
      <c r="C118">
        <v>3</v>
      </c>
      <c r="D118">
        <v>39747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 s="2"/>
      <c r="AK118" s="80"/>
      <c r="AL118" s="74"/>
      <c r="AM118" s="43">
        <v>102</v>
      </c>
      <c r="AN118">
        <v>406.49975382255309</v>
      </c>
      <c r="AO118">
        <v>28.366766524444262</v>
      </c>
      <c r="AP118">
        <v>87.464587439401228</v>
      </c>
      <c r="AQ118">
        <v>207.240443463882</v>
      </c>
      <c r="AR118">
        <v>28.153698648150868</v>
      </c>
      <c r="AS118">
        <v>286.99467024811258</v>
      </c>
      <c r="AT118">
        <v>14.948861094809411</v>
      </c>
      <c r="AU118">
        <v>32.26154204964012</v>
      </c>
      <c r="AV118"/>
      <c r="AW118"/>
      <c r="AX118" s="128"/>
      <c r="AY118" s="76">
        <f t="shared" ca="1" si="88"/>
        <v>0.57940816854338273</v>
      </c>
      <c r="AZ118">
        <v>1</v>
      </c>
      <c r="BA118" s="129">
        <f>IF(AZ118="", "",$C$7)</f>
        <v>39747</v>
      </c>
      <c r="BB118" s="207">
        <v>0</v>
      </c>
      <c r="BC118" s="207">
        <v>0</v>
      </c>
      <c r="BD118" s="207">
        <v>0</v>
      </c>
      <c r="BE118" s="207">
        <v>0</v>
      </c>
      <c r="BF118" s="207">
        <v>0</v>
      </c>
      <c r="BG118" s="207">
        <v>0</v>
      </c>
      <c r="BH118" s="207">
        <v>0</v>
      </c>
      <c r="BI118" s="207">
        <v>0</v>
      </c>
      <c r="BJ118" s="207">
        <v>0</v>
      </c>
      <c r="BK118" s="207">
        <v>0</v>
      </c>
      <c r="BL118" s="207">
        <v>0</v>
      </c>
      <c r="BM118" s="207">
        <v>0</v>
      </c>
      <c r="BN118" s="207">
        <v>0</v>
      </c>
      <c r="BO118" s="207">
        <v>0</v>
      </c>
      <c r="BP118" s="207">
        <v>0</v>
      </c>
      <c r="BQ118" s="207">
        <v>0</v>
      </c>
      <c r="BR118" s="207">
        <v>0</v>
      </c>
      <c r="BS118" s="207">
        <v>0</v>
      </c>
      <c r="BT118" s="207">
        <v>0</v>
      </c>
      <c r="BU118" s="207">
        <v>0</v>
      </c>
      <c r="BV118" s="207">
        <v>0</v>
      </c>
      <c r="BW118" s="207">
        <v>0</v>
      </c>
      <c r="BX118" s="207">
        <v>0</v>
      </c>
      <c r="BY118" s="207">
        <v>0</v>
      </c>
      <c r="BZ118" s="207">
        <v>0</v>
      </c>
      <c r="CA118" s="207">
        <v>0</v>
      </c>
      <c r="CB118" s="207">
        <v>0</v>
      </c>
      <c r="CC118" s="207">
        <v>0</v>
      </c>
      <c r="CD118" s="207">
        <v>0</v>
      </c>
      <c r="CE118" s="207">
        <v>0</v>
      </c>
      <c r="CF118" s="207">
        <v>0</v>
      </c>
      <c r="CG118" s="147"/>
      <c r="CH118" s="176"/>
      <c r="CJ118" s="128"/>
      <c r="CK118" s="76">
        <f t="shared" ca="1" si="90"/>
        <v>0.21270322759886007</v>
      </c>
      <c r="CL118" s="179">
        <f t="shared" si="91"/>
        <v>1</v>
      </c>
      <c r="CM118" s="180">
        <f t="shared" si="92"/>
        <v>39747</v>
      </c>
      <c r="CN118" s="208">
        <v>1</v>
      </c>
      <c r="CO118" s="208">
        <v>3</v>
      </c>
      <c r="CP118" s="208">
        <v>0</v>
      </c>
      <c r="CQ118" s="208">
        <v>0</v>
      </c>
      <c r="CR118" s="208">
        <v>0</v>
      </c>
      <c r="CS118" s="208">
        <v>0</v>
      </c>
      <c r="CT118" s="208">
        <v>0</v>
      </c>
      <c r="CU118" s="208">
        <v>0</v>
      </c>
      <c r="CV118" s="160"/>
      <c r="CW118">
        <v>1</v>
      </c>
      <c r="CX118">
        <f>350/42</f>
        <v>8.3333333333333339</v>
      </c>
      <c r="CY118" s="160"/>
      <c r="CZ118" s="177">
        <f t="shared" si="93"/>
        <v>9.6000000000000002E-2</v>
      </c>
      <c r="DB118" s="128"/>
      <c r="DC118" s="76">
        <f t="shared" ca="1" si="51"/>
        <v>0.59232400709334732</v>
      </c>
      <c r="DD118">
        <f t="shared" si="94"/>
        <v>1</v>
      </c>
      <c r="DE118" s="129">
        <f t="shared" ref="DE118:DE127" si="130">IF((DD118)="", "", $C$7)</f>
        <v>39747</v>
      </c>
      <c r="DF118" s="161">
        <f t="shared" si="95"/>
        <v>86.805555555555557</v>
      </c>
      <c r="DG118" s="161">
        <f t="shared" si="96"/>
        <v>260.41666666666669</v>
      </c>
      <c r="DH118" s="161">
        <f t="shared" si="97"/>
        <v>0</v>
      </c>
      <c r="DI118" s="161">
        <f t="shared" si="98"/>
        <v>0</v>
      </c>
      <c r="DJ118" s="161">
        <f t="shared" si="99"/>
        <v>0</v>
      </c>
      <c r="DK118" s="161">
        <f t="shared" si="100"/>
        <v>0</v>
      </c>
      <c r="DL118" s="161">
        <f t="shared" si="101"/>
        <v>0</v>
      </c>
      <c r="DM118" s="161">
        <f t="shared" si="102"/>
        <v>0</v>
      </c>
      <c r="DN118" s="161">
        <f t="shared" si="103"/>
        <v>0</v>
      </c>
      <c r="DO118" s="161">
        <f t="shared" si="104"/>
        <v>0</v>
      </c>
      <c r="DP118" s="161">
        <f t="shared" si="105"/>
        <v>0</v>
      </c>
      <c r="DQ118" s="161">
        <f t="shared" si="106"/>
        <v>0</v>
      </c>
      <c r="DR118" s="161">
        <f t="shared" si="107"/>
        <v>0</v>
      </c>
      <c r="DS118" s="161">
        <f t="shared" si="108"/>
        <v>0</v>
      </c>
      <c r="DT118" s="161">
        <f t="shared" si="109"/>
        <v>0</v>
      </c>
      <c r="DU118" s="161">
        <f t="shared" si="110"/>
        <v>0</v>
      </c>
      <c r="DV118" s="161">
        <f t="shared" si="111"/>
        <v>0</v>
      </c>
      <c r="DW118" s="161">
        <f t="shared" si="112"/>
        <v>0</v>
      </c>
      <c r="DX118" s="161">
        <f t="shared" si="113"/>
        <v>0</v>
      </c>
      <c r="DY118" s="161">
        <f t="shared" si="114"/>
        <v>0</v>
      </c>
      <c r="DZ118" s="161">
        <f t="shared" si="115"/>
        <v>0</v>
      </c>
      <c r="EA118" s="161">
        <f t="shared" si="116"/>
        <v>0</v>
      </c>
      <c r="EB118" s="161">
        <f t="shared" si="117"/>
        <v>0</v>
      </c>
      <c r="EC118" s="161">
        <f t="shared" si="118"/>
        <v>0</v>
      </c>
      <c r="ED118" s="161">
        <f t="shared" si="119"/>
        <v>0</v>
      </c>
      <c r="EE118" s="161">
        <f t="shared" si="120"/>
        <v>0</v>
      </c>
      <c r="EF118" s="161">
        <f t="shared" si="121"/>
        <v>0</v>
      </c>
      <c r="EG118" s="161">
        <f t="shared" si="122"/>
        <v>0</v>
      </c>
      <c r="EH118" s="161">
        <f t="shared" si="123"/>
        <v>0</v>
      </c>
      <c r="EI118" s="161">
        <f t="shared" si="124"/>
        <v>0</v>
      </c>
      <c r="EJ118" s="161">
        <f t="shared" si="125"/>
        <v>0</v>
      </c>
      <c r="EK118" s="147">
        <f t="shared" si="55"/>
        <v>347.22222222222223</v>
      </c>
      <c r="EL118" s="149"/>
      <c r="EN118" s="146"/>
      <c r="EO118" s="146"/>
      <c r="EP118" s="139">
        <f t="shared" si="56"/>
        <v>0.15760819431171275</v>
      </c>
      <c r="EQ118" s="139">
        <f t="shared" si="57"/>
        <v>3.0029427083333333</v>
      </c>
      <c r="ER118" s="139">
        <f t="shared" si="58"/>
        <v>0</v>
      </c>
      <c r="ES118" s="139">
        <f t="shared" si="59"/>
        <v>0</v>
      </c>
      <c r="ET118" s="139">
        <f t="shared" si="60"/>
        <v>0</v>
      </c>
      <c r="EU118" s="139">
        <f t="shared" si="61"/>
        <v>0</v>
      </c>
      <c r="EV118" s="139">
        <f t="shared" si="62"/>
        <v>0</v>
      </c>
      <c r="EW118" s="139">
        <f t="shared" si="63"/>
        <v>0</v>
      </c>
      <c r="EX118" s="139">
        <f t="shared" si="64"/>
        <v>0</v>
      </c>
      <c r="EY118" s="139">
        <f t="shared" si="65"/>
        <v>0</v>
      </c>
      <c r="EZ118" s="139">
        <f t="shared" si="66"/>
        <v>0</v>
      </c>
      <c r="FA118" s="139">
        <f t="shared" si="67"/>
        <v>0</v>
      </c>
      <c r="FB118" s="139">
        <f t="shared" si="68"/>
        <v>0</v>
      </c>
      <c r="FC118" s="139">
        <f t="shared" si="69"/>
        <v>0</v>
      </c>
      <c r="FD118" s="139">
        <f t="shared" si="70"/>
        <v>0</v>
      </c>
      <c r="FE118" s="139">
        <f t="shared" si="71"/>
        <v>0</v>
      </c>
      <c r="FF118" s="139">
        <f t="shared" si="72"/>
        <v>0</v>
      </c>
      <c r="FG118" s="139">
        <f t="shared" si="73"/>
        <v>0</v>
      </c>
      <c r="FH118" s="139">
        <f t="shared" si="74"/>
        <v>0</v>
      </c>
      <c r="FI118" s="139">
        <f t="shared" si="75"/>
        <v>0</v>
      </c>
      <c r="FJ118" s="139">
        <f t="shared" si="76"/>
        <v>0</v>
      </c>
      <c r="FK118" s="139">
        <f t="shared" si="77"/>
        <v>0</v>
      </c>
      <c r="FL118" s="139">
        <f t="shared" si="78"/>
        <v>0</v>
      </c>
      <c r="FM118" s="139">
        <f t="shared" si="79"/>
        <v>0</v>
      </c>
      <c r="FN118" s="139">
        <f t="shared" si="80"/>
        <v>0</v>
      </c>
      <c r="FO118" s="139">
        <f t="shared" si="81"/>
        <v>0</v>
      </c>
      <c r="FP118" s="139">
        <f t="shared" si="82"/>
        <v>0</v>
      </c>
      <c r="FQ118" s="139">
        <f t="shared" si="83"/>
        <v>0</v>
      </c>
      <c r="FR118" s="139">
        <f t="shared" si="84"/>
        <v>0</v>
      </c>
      <c r="FS118" s="139">
        <f t="shared" si="85"/>
        <v>0</v>
      </c>
      <c r="FT118" s="139">
        <f t="shared" si="86"/>
        <v>0</v>
      </c>
      <c r="FU118" s="148">
        <f t="shared" si="87"/>
        <v>3.160550902645046</v>
      </c>
      <c r="FV118" s="149"/>
      <c r="FY118" s="213">
        <v>113</v>
      </c>
      <c r="FZ118">
        <v>57.092998518694998</v>
      </c>
      <c r="GA118">
        <v>66.258722528132864</v>
      </c>
      <c r="GB118">
        <v>15.481225099645147</v>
      </c>
      <c r="GC118">
        <v>6.2711976129002682</v>
      </c>
      <c r="GD118">
        <v>5.3785895567133828</v>
      </c>
      <c r="GE118">
        <v>4.3078322327975576</v>
      </c>
      <c r="GF118">
        <v>12.4939920458947</v>
      </c>
      <c r="GG118">
        <v>12.584282429694081</v>
      </c>
      <c r="GH118">
        <v>17.054307479013787</v>
      </c>
      <c r="GI118">
        <v>20.930479840600057</v>
      </c>
      <c r="GJ118"/>
      <c r="GK118"/>
      <c r="GL118"/>
      <c r="GM118"/>
      <c r="GN118" s="208"/>
      <c r="GO118" s="208"/>
      <c r="GP118" s="208"/>
      <c r="GQ118" s="208"/>
      <c r="GR118" s="208"/>
      <c r="GS118" s="208"/>
      <c r="GT118" s="208"/>
      <c r="GU118" s="213">
        <v>113</v>
      </c>
    </row>
    <row r="119" spans="1:203" s="7" customFormat="1">
      <c r="A119" s="1"/>
      <c r="B119" s="76">
        <f ca="1">IF(C119="", "", RAND())</f>
        <v>0.221875056898031</v>
      </c>
      <c r="C119">
        <v>1</v>
      </c>
      <c r="D119">
        <v>39747</v>
      </c>
      <c r="E119">
        <v>86.805555555555557</v>
      </c>
      <c r="F119">
        <v>260.41666666666669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 s="2"/>
      <c r="AK119" s="80"/>
      <c r="AL119" s="74"/>
      <c r="AM119" s="43">
        <v>103</v>
      </c>
      <c r="AN119">
        <v>379.7852647449223</v>
      </c>
      <c r="AO119">
        <v>31.660385852372418</v>
      </c>
      <c r="AP119">
        <v>118.63582946748366</v>
      </c>
      <c r="AQ119">
        <v>220.32770585462356</v>
      </c>
      <c r="AR119">
        <v>31.288091015107142</v>
      </c>
      <c r="AS119">
        <v>300.68935562917619</v>
      </c>
      <c r="AT119">
        <v>13.008857599482125</v>
      </c>
      <c r="AU119">
        <v>-9.5247665787711711</v>
      </c>
      <c r="AV119"/>
      <c r="AW119"/>
      <c r="AX119" s="146"/>
      <c r="AY119" s="76">
        <f t="shared" ca="1" si="88"/>
        <v>0.27099179750150904</v>
      </c>
      <c r="AZ119">
        <v>2</v>
      </c>
      <c r="BA119" s="129">
        <f t="shared" ref="BA119:BA127" si="131">IF(AZ119="", "",$C$7)</f>
        <v>39747</v>
      </c>
      <c r="BB119" s="207">
        <v>0</v>
      </c>
      <c r="BC119" s="207">
        <v>0</v>
      </c>
      <c r="BD119" s="207">
        <v>0</v>
      </c>
      <c r="BE119" s="207">
        <v>0</v>
      </c>
      <c r="BF119" s="207">
        <v>0</v>
      </c>
      <c r="BG119" s="207">
        <v>0</v>
      </c>
      <c r="BH119" s="207">
        <v>0</v>
      </c>
      <c r="BI119" s="207">
        <v>0</v>
      </c>
      <c r="BJ119" s="207">
        <v>0</v>
      </c>
      <c r="BK119" s="207">
        <v>0</v>
      </c>
      <c r="BL119" s="207">
        <v>0</v>
      </c>
      <c r="BM119" s="207">
        <v>0</v>
      </c>
      <c r="BN119" s="207">
        <v>0</v>
      </c>
      <c r="BO119" s="207">
        <v>0</v>
      </c>
      <c r="BP119" s="207">
        <v>0</v>
      </c>
      <c r="BQ119" s="207">
        <v>0</v>
      </c>
      <c r="BR119" s="207">
        <v>0</v>
      </c>
      <c r="BS119" s="207">
        <v>0</v>
      </c>
      <c r="BT119" s="207">
        <v>0</v>
      </c>
      <c r="BU119" s="207">
        <v>0</v>
      </c>
      <c r="BV119" s="207">
        <v>0</v>
      </c>
      <c r="BW119" s="207">
        <v>0</v>
      </c>
      <c r="BX119" s="207">
        <v>0</v>
      </c>
      <c r="BY119" s="207">
        <v>0</v>
      </c>
      <c r="BZ119" s="207">
        <v>0</v>
      </c>
      <c r="CA119" s="207">
        <v>0</v>
      </c>
      <c r="CB119" s="207">
        <v>0</v>
      </c>
      <c r="CC119" s="207">
        <v>0</v>
      </c>
      <c r="CD119" s="207">
        <v>0</v>
      </c>
      <c r="CE119" s="207">
        <v>0</v>
      </c>
      <c r="CF119" s="207">
        <v>0</v>
      </c>
      <c r="CG119" s="147"/>
      <c r="CH119" s="176"/>
      <c r="CJ119" s="146"/>
      <c r="CK119" s="76">
        <f t="shared" ca="1" si="90"/>
        <v>0.22120089283860178</v>
      </c>
      <c r="CL119" s="179">
        <f t="shared" si="91"/>
        <v>2</v>
      </c>
      <c r="CM119" s="180">
        <f t="shared" si="92"/>
        <v>39747</v>
      </c>
      <c r="CN119" s="208">
        <v>0</v>
      </c>
      <c r="CO119" s="208">
        <v>5</v>
      </c>
      <c r="CP119" s="208">
        <v>1</v>
      </c>
      <c r="CQ119" s="208">
        <v>0</v>
      </c>
      <c r="CR119" s="208">
        <v>0</v>
      </c>
      <c r="CS119" s="208">
        <v>0</v>
      </c>
      <c r="CT119" s="208">
        <v>0</v>
      </c>
      <c r="CU119" s="208">
        <v>0</v>
      </c>
      <c r="CV119" s="160"/>
      <c r="CW119">
        <f>20/8</f>
        <v>2.5</v>
      </c>
      <c r="CX119">
        <f>350/40</f>
        <v>8.75</v>
      </c>
      <c r="CY119" s="160"/>
      <c r="CZ119" s="177">
        <f t="shared" si="93"/>
        <v>9.6000000000000002E-2</v>
      </c>
      <c r="DB119" s="146"/>
      <c r="DC119" s="76">
        <f t="shared" ca="1" si="51"/>
        <v>0.21211666252727035</v>
      </c>
      <c r="DD119">
        <f t="shared" si="94"/>
        <v>2</v>
      </c>
      <c r="DE119" s="129">
        <f t="shared" si="130"/>
        <v>39747</v>
      </c>
      <c r="DF119" s="161">
        <f t="shared" si="95"/>
        <v>0</v>
      </c>
      <c r="DG119" s="161">
        <f t="shared" si="96"/>
        <v>455.72916666666663</v>
      </c>
      <c r="DH119" s="161">
        <f t="shared" si="97"/>
        <v>91.145833333333329</v>
      </c>
      <c r="DI119" s="161">
        <f t="shared" si="98"/>
        <v>0</v>
      </c>
      <c r="DJ119" s="161">
        <f t="shared" si="99"/>
        <v>0</v>
      </c>
      <c r="DK119" s="161">
        <f t="shared" si="100"/>
        <v>0</v>
      </c>
      <c r="DL119" s="161">
        <f t="shared" si="101"/>
        <v>0</v>
      </c>
      <c r="DM119" s="161">
        <f t="shared" si="102"/>
        <v>0</v>
      </c>
      <c r="DN119" s="161">
        <f t="shared" si="103"/>
        <v>0</v>
      </c>
      <c r="DO119" s="161">
        <f t="shared" si="104"/>
        <v>0</v>
      </c>
      <c r="DP119" s="161">
        <f t="shared" si="105"/>
        <v>0</v>
      </c>
      <c r="DQ119" s="161">
        <f t="shared" si="106"/>
        <v>0</v>
      </c>
      <c r="DR119" s="161">
        <f t="shared" si="107"/>
        <v>0</v>
      </c>
      <c r="DS119" s="161">
        <f t="shared" si="108"/>
        <v>0</v>
      </c>
      <c r="DT119" s="161">
        <f t="shared" si="109"/>
        <v>0</v>
      </c>
      <c r="DU119" s="161">
        <f t="shared" si="110"/>
        <v>0</v>
      </c>
      <c r="DV119" s="161">
        <f t="shared" si="111"/>
        <v>0</v>
      </c>
      <c r="DW119" s="161">
        <f t="shared" si="112"/>
        <v>0</v>
      </c>
      <c r="DX119" s="161">
        <f t="shared" si="113"/>
        <v>0</v>
      </c>
      <c r="DY119" s="161">
        <f t="shared" si="114"/>
        <v>0</v>
      </c>
      <c r="DZ119" s="161">
        <f t="shared" si="115"/>
        <v>0</v>
      </c>
      <c r="EA119" s="161">
        <f t="shared" si="116"/>
        <v>0</v>
      </c>
      <c r="EB119" s="161">
        <f t="shared" si="117"/>
        <v>0</v>
      </c>
      <c r="EC119" s="161">
        <f t="shared" si="118"/>
        <v>0</v>
      </c>
      <c r="ED119" s="161">
        <f t="shared" si="119"/>
        <v>0</v>
      </c>
      <c r="EE119" s="161">
        <f t="shared" si="120"/>
        <v>0</v>
      </c>
      <c r="EF119" s="161">
        <f t="shared" si="121"/>
        <v>0</v>
      </c>
      <c r="EG119" s="161">
        <f t="shared" si="122"/>
        <v>0</v>
      </c>
      <c r="EH119" s="161">
        <f t="shared" si="123"/>
        <v>0</v>
      </c>
      <c r="EI119" s="161">
        <f t="shared" si="124"/>
        <v>0</v>
      </c>
      <c r="EJ119" s="161">
        <f t="shared" si="125"/>
        <v>0</v>
      </c>
      <c r="EK119" s="147">
        <f t="shared" si="55"/>
        <v>546.875</v>
      </c>
      <c r="EL119" s="149"/>
      <c r="EN119" s="146"/>
      <c r="EO119" s="146"/>
      <c r="EP119" s="139">
        <f t="shared" si="56"/>
        <v>0</v>
      </c>
      <c r="EQ119" s="139">
        <f t="shared" si="57"/>
        <v>5.2551497395833326</v>
      </c>
      <c r="ER119" s="139">
        <f t="shared" si="58"/>
        <v>6.6751662926317845</v>
      </c>
      <c r="ES119" s="139">
        <f t="shared" si="59"/>
        <v>0</v>
      </c>
      <c r="ET119" s="139">
        <f t="shared" si="60"/>
        <v>0</v>
      </c>
      <c r="EU119" s="139">
        <f t="shared" si="61"/>
        <v>0</v>
      </c>
      <c r="EV119" s="139">
        <f t="shared" si="62"/>
        <v>0</v>
      </c>
      <c r="EW119" s="139">
        <f t="shared" si="63"/>
        <v>0</v>
      </c>
      <c r="EX119" s="139">
        <f t="shared" si="64"/>
        <v>0</v>
      </c>
      <c r="EY119" s="139">
        <f t="shared" si="65"/>
        <v>0</v>
      </c>
      <c r="EZ119" s="139">
        <f t="shared" si="66"/>
        <v>0</v>
      </c>
      <c r="FA119" s="139">
        <f t="shared" si="67"/>
        <v>0</v>
      </c>
      <c r="FB119" s="139">
        <f t="shared" si="68"/>
        <v>0</v>
      </c>
      <c r="FC119" s="139">
        <f t="shared" si="69"/>
        <v>0</v>
      </c>
      <c r="FD119" s="139">
        <f t="shared" si="70"/>
        <v>0</v>
      </c>
      <c r="FE119" s="139">
        <f t="shared" si="71"/>
        <v>0</v>
      </c>
      <c r="FF119" s="139">
        <f t="shared" si="72"/>
        <v>0</v>
      </c>
      <c r="FG119" s="139">
        <f t="shared" si="73"/>
        <v>0</v>
      </c>
      <c r="FH119" s="139">
        <f t="shared" si="74"/>
        <v>0</v>
      </c>
      <c r="FI119" s="139">
        <f t="shared" si="75"/>
        <v>0</v>
      </c>
      <c r="FJ119" s="139">
        <f t="shared" si="76"/>
        <v>0</v>
      </c>
      <c r="FK119" s="139">
        <f t="shared" si="77"/>
        <v>0</v>
      </c>
      <c r="FL119" s="139">
        <f t="shared" si="78"/>
        <v>0</v>
      </c>
      <c r="FM119" s="139">
        <f t="shared" si="79"/>
        <v>0</v>
      </c>
      <c r="FN119" s="139">
        <f t="shared" si="80"/>
        <v>0</v>
      </c>
      <c r="FO119" s="139">
        <f t="shared" si="81"/>
        <v>0</v>
      </c>
      <c r="FP119" s="139">
        <f t="shared" si="82"/>
        <v>0</v>
      </c>
      <c r="FQ119" s="139">
        <f t="shared" si="83"/>
        <v>0</v>
      </c>
      <c r="FR119" s="139">
        <f t="shared" si="84"/>
        <v>0</v>
      </c>
      <c r="FS119" s="139">
        <f t="shared" si="85"/>
        <v>0</v>
      </c>
      <c r="FT119" s="139">
        <f t="shared" si="86"/>
        <v>0</v>
      </c>
      <c r="FU119" s="148">
        <f t="shared" si="87"/>
        <v>11.930316032215117</v>
      </c>
      <c r="FV119" s="149"/>
      <c r="FY119" s="213">
        <v>114</v>
      </c>
      <c r="FZ119">
        <v>41.40436279623863</v>
      </c>
      <c r="GA119">
        <v>26.58161947199666</v>
      </c>
      <c r="GB119">
        <v>3.0276572843392229</v>
      </c>
      <c r="GC119">
        <v>5.6390762112098676</v>
      </c>
      <c r="GD119">
        <v>5.6590684203965695</v>
      </c>
      <c r="GE119">
        <v>6.8361911816198706</v>
      </c>
      <c r="GF119">
        <v>18.08463020436546</v>
      </c>
      <c r="GG119">
        <v>17.223213917787088</v>
      </c>
      <c r="GH119">
        <v>14.278957843514902</v>
      </c>
      <c r="GI119">
        <v>15.559063370219086</v>
      </c>
      <c r="GJ119"/>
      <c r="GK119"/>
      <c r="GL119"/>
      <c r="GM119"/>
      <c r="GN119" s="208"/>
      <c r="GO119" s="208"/>
      <c r="GP119" s="208"/>
      <c r="GQ119" s="208"/>
      <c r="GR119" s="208"/>
      <c r="GS119" s="208"/>
      <c r="GT119" s="208"/>
      <c r="GU119" s="213">
        <v>114</v>
      </c>
    </row>
    <row r="120" spans="1:203" s="7" customFormat="1">
      <c r="A120" s="1"/>
      <c r="B120" s="76">
        <f ca="1">IF(C120="", "", RAND())</f>
        <v>0.79519902921664709</v>
      </c>
      <c r="C120">
        <v>6</v>
      </c>
      <c r="D120">
        <v>39747</v>
      </c>
      <c r="E120">
        <v>0</v>
      </c>
      <c r="F120">
        <v>520.83333333333337</v>
      </c>
      <c r="G120">
        <v>65.104166666666671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 s="2"/>
      <c r="AK120" s="80"/>
      <c r="AL120" s="74"/>
      <c r="AM120" s="43">
        <v>104</v>
      </c>
      <c r="AN120">
        <v>361.26746295025794</v>
      </c>
      <c r="AO120">
        <v>25.79138448744294</v>
      </c>
      <c r="AP120">
        <v>95.02831601117677</v>
      </c>
      <c r="AQ120">
        <v>183.97382937317462</v>
      </c>
      <c r="AR120">
        <v>25.863453745485931</v>
      </c>
      <c r="AS120">
        <v>248.46534826321781</v>
      </c>
      <c r="AT120">
        <v>11.062583376283692</v>
      </c>
      <c r="AU120">
        <v>12.590578829620814</v>
      </c>
      <c r="AV120"/>
      <c r="AW120"/>
      <c r="AX120" s="146"/>
      <c r="AY120" s="76">
        <f t="shared" ca="1" si="88"/>
        <v>0.71912635117595536</v>
      </c>
      <c r="AZ120">
        <v>3</v>
      </c>
      <c r="BA120" s="129">
        <f t="shared" si="131"/>
        <v>39747</v>
      </c>
      <c r="BB120" s="207">
        <v>0</v>
      </c>
      <c r="BC120" s="207">
        <v>0</v>
      </c>
      <c r="BD120" s="207">
        <v>0</v>
      </c>
      <c r="BE120" s="207">
        <v>0</v>
      </c>
      <c r="BF120" s="207">
        <v>0</v>
      </c>
      <c r="BG120" s="207">
        <v>0</v>
      </c>
      <c r="BH120" s="207">
        <v>0</v>
      </c>
      <c r="BI120" s="207">
        <v>0</v>
      </c>
      <c r="BJ120" s="207">
        <v>0</v>
      </c>
      <c r="BK120" s="207">
        <v>0</v>
      </c>
      <c r="BL120" s="207">
        <v>0</v>
      </c>
      <c r="BM120" s="207">
        <v>0</v>
      </c>
      <c r="BN120" s="207">
        <v>0</v>
      </c>
      <c r="BO120" s="207">
        <v>0</v>
      </c>
      <c r="BP120" s="207">
        <v>0</v>
      </c>
      <c r="BQ120" s="207">
        <v>0</v>
      </c>
      <c r="BR120" s="207">
        <v>0</v>
      </c>
      <c r="BS120" s="207">
        <v>0</v>
      </c>
      <c r="BT120" s="207">
        <v>0</v>
      </c>
      <c r="BU120" s="207">
        <v>0</v>
      </c>
      <c r="BV120" s="207">
        <v>0</v>
      </c>
      <c r="BW120" s="207">
        <v>0</v>
      </c>
      <c r="BX120" s="207">
        <v>0</v>
      </c>
      <c r="BY120" s="207">
        <v>0</v>
      </c>
      <c r="BZ120" s="207">
        <v>0</v>
      </c>
      <c r="CA120" s="207">
        <v>0</v>
      </c>
      <c r="CB120" s="207">
        <v>0</v>
      </c>
      <c r="CC120" s="207">
        <v>0</v>
      </c>
      <c r="CD120" s="207">
        <v>0</v>
      </c>
      <c r="CE120" s="207">
        <v>0</v>
      </c>
      <c r="CF120" s="207">
        <v>0</v>
      </c>
      <c r="CG120" s="147"/>
      <c r="CH120" s="176"/>
      <c r="CJ120" s="146"/>
      <c r="CK120" s="76">
        <f t="shared" ca="1" si="90"/>
        <v>0.14355332048396985</v>
      </c>
      <c r="CL120" s="179">
        <f t="shared" si="91"/>
        <v>3</v>
      </c>
      <c r="CM120" s="180">
        <f t="shared" si="92"/>
        <v>39747</v>
      </c>
      <c r="CN120" s="208">
        <v>0</v>
      </c>
      <c r="CO120" s="208">
        <v>0</v>
      </c>
      <c r="CP120" s="208">
        <v>0</v>
      </c>
      <c r="CQ120" s="208">
        <v>0</v>
      </c>
      <c r="CR120" s="208">
        <v>0</v>
      </c>
      <c r="CS120" s="208">
        <v>0</v>
      </c>
      <c r="CT120" s="208">
        <v>0</v>
      </c>
      <c r="CU120" s="208">
        <v>0</v>
      </c>
      <c r="CV120" s="160"/>
      <c r="CW120">
        <v>1</v>
      </c>
      <c r="CX120">
        <v>1</v>
      </c>
      <c r="CY120" s="160"/>
      <c r="CZ120" s="177">
        <f t="shared" si="93"/>
        <v>9.6000000000000002E-2</v>
      </c>
      <c r="DB120" s="146"/>
      <c r="DC120" s="76">
        <f t="shared" ca="1" si="51"/>
        <v>0.88471292221005449</v>
      </c>
      <c r="DD120">
        <f t="shared" si="94"/>
        <v>3</v>
      </c>
      <c r="DE120" s="129">
        <f t="shared" si="130"/>
        <v>39747</v>
      </c>
      <c r="DF120" s="161">
        <f t="shared" si="95"/>
        <v>0</v>
      </c>
      <c r="DG120" s="161">
        <f t="shared" si="96"/>
        <v>0</v>
      </c>
      <c r="DH120" s="161">
        <f t="shared" si="97"/>
        <v>0</v>
      </c>
      <c r="DI120" s="161">
        <f t="shared" si="98"/>
        <v>0</v>
      </c>
      <c r="DJ120" s="161">
        <f t="shared" si="99"/>
        <v>0</v>
      </c>
      <c r="DK120" s="161">
        <f t="shared" si="100"/>
        <v>0</v>
      </c>
      <c r="DL120" s="161">
        <f t="shared" si="101"/>
        <v>0</v>
      </c>
      <c r="DM120" s="161">
        <f t="shared" si="102"/>
        <v>0</v>
      </c>
      <c r="DN120" s="161">
        <f t="shared" si="103"/>
        <v>0</v>
      </c>
      <c r="DO120" s="161">
        <f t="shared" si="104"/>
        <v>0</v>
      </c>
      <c r="DP120" s="161">
        <f t="shared" si="105"/>
        <v>0</v>
      </c>
      <c r="DQ120" s="161">
        <f t="shared" si="106"/>
        <v>0</v>
      </c>
      <c r="DR120" s="161">
        <f t="shared" si="107"/>
        <v>0</v>
      </c>
      <c r="DS120" s="161">
        <f t="shared" si="108"/>
        <v>0</v>
      </c>
      <c r="DT120" s="161">
        <f t="shared" si="109"/>
        <v>0</v>
      </c>
      <c r="DU120" s="161">
        <f t="shared" si="110"/>
        <v>0</v>
      </c>
      <c r="DV120" s="161">
        <f t="shared" si="111"/>
        <v>0</v>
      </c>
      <c r="DW120" s="161">
        <f t="shared" si="112"/>
        <v>0</v>
      </c>
      <c r="DX120" s="161">
        <f t="shared" si="113"/>
        <v>0</v>
      </c>
      <c r="DY120" s="161">
        <f t="shared" si="114"/>
        <v>0</v>
      </c>
      <c r="DZ120" s="161">
        <f t="shared" si="115"/>
        <v>0</v>
      </c>
      <c r="EA120" s="161">
        <f t="shared" si="116"/>
        <v>0</v>
      </c>
      <c r="EB120" s="161">
        <f t="shared" si="117"/>
        <v>0</v>
      </c>
      <c r="EC120" s="161">
        <f t="shared" si="118"/>
        <v>0</v>
      </c>
      <c r="ED120" s="161">
        <f t="shared" si="119"/>
        <v>0</v>
      </c>
      <c r="EE120" s="161">
        <f t="shared" si="120"/>
        <v>0</v>
      </c>
      <c r="EF120" s="161">
        <f t="shared" si="121"/>
        <v>0</v>
      </c>
      <c r="EG120" s="161">
        <f t="shared" si="122"/>
        <v>0</v>
      </c>
      <c r="EH120" s="161">
        <f t="shared" si="123"/>
        <v>0</v>
      </c>
      <c r="EI120" s="161">
        <f t="shared" si="124"/>
        <v>0</v>
      </c>
      <c r="EJ120" s="161">
        <f t="shared" si="125"/>
        <v>0</v>
      </c>
      <c r="EK120" s="147">
        <f t="shared" ref="EK120:EK151" si="132">IF(DF120="", "", SUM(DF120:EJ120))</f>
        <v>0</v>
      </c>
      <c r="EL120" s="149"/>
      <c r="EN120" s="146"/>
      <c r="EO120" s="146"/>
      <c r="EP120" s="139">
        <f t="shared" ref="EP120:EP151" si="133">IF(DF120="", "", DF120*G$36)</f>
        <v>0</v>
      </c>
      <c r="EQ120" s="139">
        <f t="shared" ref="EQ120:EQ151" si="134">IF(DG120="", "", DG120*H$36)</f>
        <v>0</v>
      </c>
      <c r="ER120" s="139">
        <f t="shared" ref="ER120:ER151" si="135">IF(DH120="", "", DH120*I$36)</f>
        <v>0</v>
      </c>
      <c r="ES120" s="139">
        <f t="shared" ref="ES120:ES151" si="136">IF(DI120="", "", DI120*J$36)</f>
        <v>0</v>
      </c>
      <c r="ET120" s="139">
        <f t="shared" ref="ET120:ET151" si="137">IF(DJ120="", "", DJ120*K$36)</f>
        <v>0</v>
      </c>
      <c r="EU120" s="139">
        <f t="shared" ref="EU120:EU151" si="138">IF(DK120="", "", DK120*L$36)</f>
        <v>0</v>
      </c>
      <c r="EV120" s="139">
        <f t="shared" ref="EV120:EV151" si="139">IF(DL120="", "", DL120*M$36)</f>
        <v>0</v>
      </c>
      <c r="EW120" s="139">
        <f t="shared" ref="EW120:EW151" si="140">IF(DM120="", "", DM120*N$36)</f>
        <v>0</v>
      </c>
      <c r="EX120" s="139">
        <f t="shared" ref="EX120:EX151" si="141">IF(DN120="", "", DN120*O$36)</f>
        <v>0</v>
      </c>
      <c r="EY120" s="139">
        <f t="shared" ref="EY120:EY151" si="142">IF(DO120="", "", DO120*P$36)</f>
        <v>0</v>
      </c>
      <c r="EZ120" s="139">
        <f t="shared" ref="EZ120:EZ151" si="143">IF(DP120="", "", DP120*Q$36)</f>
        <v>0</v>
      </c>
      <c r="FA120" s="139">
        <f t="shared" ref="FA120:FA151" si="144">IF(DQ120="", "", DQ120*R$36)</f>
        <v>0</v>
      </c>
      <c r="FB120" s="139">
        <f t="shared" ref="FB120:FB151" si="145">IF(DR120="", "", DR120*S$36)</f>
        <v>0</v>
      </c>
      <c r="FC120" s="139">
        <f t="shared" ref="FC120:FC151" si="146">IF(DS120="", "", DS120*T$36)</f>
        <v>0</v>
      </c>
      <c r="FD120" s="139">
        <f t="shared" ref="FD120:FD151" si="147">IF(DT120="", "", DT120*U$36)</f>
        <v>0</v>
      </c>
      <c r="FE120" s="139">
        <f t="shared" ref="FE120:FE151" si="148">IF(DU120="", "", DU120*V$36)</f>
        <v>0</v>
      </c>
      <c r="FF120" s="139">
        <f t="shared" ref="FF120:FF151" si="149">IF(DV120="", "", DV120*W$36)</f>
        <v>0</v>
      </c>
      <c r="FG120" s="139">
        <f t="shared" ref="FG120:FG151" si="150">IF(DW120="", "", DW120*X$36)</f>
        <v>0</v>
      </c>
      <c r="FH120" s="139">
        <f t="shared" ref="FH120:FH151" si="151">IF(DX120="", "", DX120*Y$36)</f>
        <v>0</v>
      </c>
      <c r="FI120" s="139">
        <f t="shared" ref="FI120:FI151" si="152">IF(DY120="", "", DY120*Z$36)</f>
        <v>0</v>
      </c>
      <c r="FJ120" s="139">
        <f t="shared" ref="FJ120:FJ151" si="153">IF(DZ120="", "", DZ120*AA$36)</f>
        <v>0</v>
      </c>
      <c r="FK120" s="139">
        <f t="shared" ref="FK120:FK151" si="154">IF(EA120="", "", EA120*AB$36)</f>
        <v>0</v>
      </c>
      <c r="FL120" s="139">
        <f t="shared" ref="FL120:FL151" si="155">IF(EB120="", "", EB120*AC$36)</f>
        <v>0</v>
      </c>
      <c r="FM120" s="139">
        <f t="shared" ref="FM120:FM151" si="156">IF(EC120="", "", EC120*AD$36)</f>
        <v>0</v>
      </c>
      <c r="FN120" s="139">
        <f t="shared" ref="FN120:FN151" si="157">IF(ED120="", "", ED120*AE$36)</f>
        <v>0</v>
      </c>
      <c r="FO120" s="139">
        <f t="shared" ref="FO120:FO151" si="158">IF(EE120="", "", EE120*AF$36)</f>
        <v>0</v>
      </c>
      <c r="FP120" s="139">
        <f t="shared" ref="FP120:FP151" si="159">IF(EF120="", "", EF120*AG$36)</f>
        <v>0</v>
      </c>
      <c r="FQ120" s="139">
        <f t="shared" ref="FQ120:FQ151" si="160">IF(EG120="", "", EG120*AH$36)</f>
        <v>0</v>
      </c>
      <c r="FR120" s="139">
        <f t="shared" ref="FR120:FR151" si="161">IF(EH120="", "", EH120*AI$36)</f>
        <v>0</v>
      </c>
      <c r="FS120" s="139">
        <f t="shared" ref="FS120:FS151" si="162">IF(EI120="", "", EI120*AJ$36)</f>
        <v>0</v>
      </c>
      <c r="FT120" s="139">
        <f t="shared" ref="FT120:FT151" si="163">IF(EJ120="", "", EJ120*AK$36)</f>
        <v>0</v>
      </c>
      <c r="FU120" s="148">
        <f t="shared" ref="FU120:FU151" si="164">IF(EP120="","",SUM(EP120:FT120))</f>
        <v>0</v>
      </c>
      <c r="FV120" s="149"/>
      <c r="FY120" s="213">
        <v>115</v>
      </c>
      <c r="FZ120">
        <v>24.98116634943915</v>
      </c>
      <c r="GA120">
        <v>33.104714469710359</v>
      </c>
      <c r="GB120">
        <v>7.8377168451052963</v>
      </c>
      <c r="GC120">
        <v>5.8378987504063931</v>
      </c>
      <c r="GD120">
        <v>5.0745561759329902</v>
      </c>
      <c r="GE120">
        <v>4.5220477904526346</v>
      </c>
      <c r="GF120">
        <v>10.448116340115355</v>
      </c>
      <c r="GG120">
        <v>9.3578480722596478</v>
      </c>
      <c r="GH120">
        <v>14.686030189390403</v>
      </c>
      <c r="GI120">
        <v>13.097386674761154</v>
      </c>
      <c r="GJ120"/>
      <c r="GK120"/>
      <c r="GL120"/>
      <c r="GM120"/>
      <c r="GN120" s="208"/>
      <c r="GO120" s="208"/>
      <c r="GP120" s="208"/>
      <c r="GQ120" s="208"/>
      <c r="GR120" s="208"/>
      <c r="GS120" s="208"/>
      <c r="GT120" s="208"/>
      <c r="GU120" s="213">
        <v>115</v>
      </c>
    </row>
    <row r="121" spans="1:203" s="7" customFormat="1">
      <c r="A121" s="1"/>
      <c r="B121" s="76">
        <f ca="1">IF(C121="", "", RAND())</f>
        <v>0.10285603505839536</v>
      </c>
      <c r="C121">
        <v>8</v>
      </c>
      <c r="D121">
        <v>39747</v>
      </c>
      <c r="E121">
        <v>70.112179487179489</v>
      </c>
      <c r="F121">
        <v>701.1217948717948</v>
      </c>
      <c r="G121">
        <v>70.112179487179489</v>
      </c>
      <c r="H121">
        <v>0</v>
      </c>
      <c r="I121">
        <v>10.416666666666666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 s="2"/>
      <c r="AK121" s="80"/>
      <c r="AL121" s="74"/>
      <c r="AM121" s="43">
        <v>105</v>
      </c>
      <c r="AN121">
        <v>266.64979722608513</v>
      </c>
      <c r="AO121">
        <v>25.330664598673994</v>
      </c>
      <c r="AP121">
        <v>82.153285276724105</v>
      </c>
      <c r="AQ121">
        <v>178.38558907339993</v>
      </c>
      <c r="AR121">
        <v>26.753119885321528</v>
      </c>
      <c r="AS121">
        <v>207.53330068171442</v>
      </c>
      <c r="AT121">
        <v>10.821906246295844</v>
      </c>
      <c r="AU121">
        <v>7.798064106964155</v>
      </c>
      <c r="AV121"/>
      <c r="AW121"/>
      <c r="AX121" s="146"/>
      <c r="AY121" s="76">
        <f t="shared" ca="1" si="88"/>
        <v>0.59591910854537744</v>
      </c>
      <c r="AZ121">
        <v>4</v>
      </c>
      <c r="BA121" s="129">
        <f t="shared" si="131"/>
        <v>39747</v>
      </c>
      <c r="BB121" s="207">
        <v>0</v>
      </c>
      <c r="BC121" s="207">
        <v>0</v>
      </c>
      <c r="BD121" s="207">
        <v>0</v>
      </c>
      <c r="BE121" s="207">
        <v>0</v>
      </c>
      <c r="BF121" s="207">
        <v>0</v>
      </c>
      <c r="BG121" s="207">
        <v>0</v>
      </c>
      <c r="BH121" s="207">
        <v>0</v>
      </c>
      <c r="BI121" s="207">
        <v>0</v>
      </c>
      <c r="BJ121" s="207">
        <v>0</v>
      </c>
      <c r="BK121" s="207">
        <v>0</v>
      </c>
      <c r="BL121" s="207">
        <v>0</v>
      </c>
      <c r="BM121" s="207">
        <v>0</v>
      </c>
      <c r="BN121" s="207">
        <v>0</v>
      </c>
      <c r="BO121" s="207">
        <v>0</v>
      </c>
      <c r="BP121" s="207">
        <v>0</v>
      </c>
      <c r="BQ121" s="207">
        <v>0</v>
      </c>
      <c r="BR121" s="207">
        <v>0</v>
      </c>
      <c r="BS121" s="207">
        <v>0</v>
      </c>
      <c r="BT121" s="207">
        <v>0</v>
      </c>
      <c r="BU121" s="207">
        <v>0</v>
      </c>
      <c r="BV121" s="207">
        <v>0</v>
      </c>
      <c r="BW121" s="207">
        <v>0</v>
      </c>
      <c r="BX121" s="207">
        <v>0</v>
      </c>
      <c r="BY121" s="207">
        <v>0</v>
      </c>
      <c r="BZ121" s="207">
        <v>0</v>
      </c>
      <c r="CA121" s="207">
        <v>0</v>
      </c>
      <c r="CB121" s="207">
        <v>0</v>
      </c>
      <c r="CC121" s="207">
        <v>0</v>
      </c>
      <c r="CD121" s="207">
        <v>0</v>
      </c>
      <c r="CE121" s="207">
        <v>0</v>
      </c>
      <c r="CF121" s="207">
        <v>0</v>
      </c>
      <c r="CG121" s="147"/>
      <c r="CH121" s="176"/>
      <c r="CJ121" s="146"/>
      <c r="CK121" s="76">
        <f t="shared" ca="1" si="90"/>
        <v>0.20004307815342059</v>
      </c>
      <c r="CL121" s="179">
        <f t="shared" si="91"/>
        <v>4</v>
      </c>
      <c r="CM121" s="180">
        <f t="shared" si="92"/>
        <v>39747</v>
      </c>
      <c r="CN121" s="208">
        <v>0</v>
      </c>
      <c r="CO121" s="208">
        <v>9</v>
      </c>
      <c r="CP121" s="208">
        <v>1</v>
      </c>
      <c r="CQ121" s="208">
        <v>0</v>
      </c>
      <c r="CR121" s="208">
        <v>0</v>
      </c>
      <c r="CS121" s="208">
        <v>0</v>
      </c>
      <c r="CT121" s="208">
        <v>0</v>
      </c>
      <c r="CU121" s="208">
        <v>0</v>
      </c>
      <c r="CV121" s="160"/>
      <c r="CW121" s="178">
        <f>30/11</f>
        <v>2.7272727272727271</v>
      </c>
      <c r="CX121">
        <f>350/58</f>
        <v>6.0344827586206895</v>
      </c>
      <c r="CY121" s="160"/>
      <c r="CZ121" s="177">
        <f t="shared" si="93"/>
        <v>9.6000000000000002E-2</v>
      </c>
      <c r="DB121" s="146"/>
      <c r="DC121" s="76">
        <f t="shared" ca="1" si="51"/>
        <v>0.26572527838893922</v>
      </c>
      <c r="DD121">
        <f t="shared" si="94"/>
        <v>4</v>
      </c>
      <c r="DE121" s="129">
        <f t="shared" si="130"/>
        <v>39747</v>
      </c>
      <c r="DF121" s="161">
        <f t="shared" si="95"/>
        <v>0</v>
      </c>
      <c r="DG121" s="161">
        <f t="shared" si="96"/>
        <v>565.73275862068965</v>
      </c>
      <c r="DH121" s="161">
        <f t="shared" si="97"/>
        <v>62.859195402298845</v>
      </c>
      <c r="DI121" s="161">
        <f t="shared" si="98"/>
        <v>0</v>
      </c>
      <c r="DJ121" s="161">
        <f t="shared" si="99"/>
        <v>0</v>
      </c>
      <c r="DK121" s="161">
        <f t="shared" si="100"/>
        <v>0</v>
      </c>
      <c r="DL121" s="161">
        <f t="shared" si="101"/>
        <v>0</v>
      </c>
      <c r="DM121" s="161">
        <f t="shared" si="102"/>
        <v>0</v>
      </c>
      <c r="DN121" s="161">
        <f t="shared" si="103"/>
        <v>0</v>
      </c>
      <c r="DO121" s="161">
        <f t="shared" si="104"/>
        <v>0</v>
      </c>
      <c r="DP121" s="161">
        <f t="shared" si="105"/>
        <v>0</v>
      </c>
      <c r="DQ121" s="161">
        <f t="shared" si="106"/>
        <v>0</v>
      </c>
      <c r="DR121" s="161">
        <f t="shared" si="107"/>
        <v>0</v>
      </c>
      <c r="DS121" s="161">
        <f t="shared" si="108"/>
        <v>0</v>
      </c>
      <c r="DT121" s="161">
        <f t="shared" si="109"/>
        <v>0</v>
      </c>
      <c r="DU121" s="161">
        <f t="shared" si="110"/>
        <v>0</v>
      </c>
      <c r="DV121" s="161">
        <f t="shared" si="111"/>
        <v>0</v>
      </c>
      <c r="DW121" s="161">
        <f t="shared" si="112"/>
        <v>0</v>
      </c>
      <c r="DX121" s="161">
        <f t="shared" si="113"/>
        <v>0</v>
      </c>
      <c r="DY121" s="161">
        <f t="shared" si="114"/>
        <v>0</v>
      </c>
      <c r="DZ121" s="161">
        <f t="shared" si="115"/>
        <v>0</v>
      </c>
      <c r="EA121" s="161">
        <f t="shared" si="116"/>
        <v>0</v>
      </c>
      <c r="EB121" s="161">
        <f t="shared" si="117"/>
        <v>0</v>
      </c>
      <c r="EC121" s="161">
        <f t="shared" si="118"/>
        <v>0</v>
      </c>
      <c r="ED121" s="161">
        <f t="shared" si="119"/>
        <v>0</v>
      </c>
      <c r="EE121" s="161">
        <f t="shared" si="120"/>
        <v>0</v>
      </c>
      <c r="EF121" s="161">
        <f t="shared" si="121"/>
        <v>0</v>
      </c>
      <c r="EG121" s="161">
        <f t="shared" si="122"/>
        <v>0</v>
      </c>
      <c r="EH121" s="161">
        <f t="shared" si="123"/>
        <v>0</v>
      </c>
      <c r="EI121" s="161">
        <f t="shared" si="124"/>
        <v>0</v>
      </c>
      <c r="EJ121" s="161">
        <f t="shared" si="125"/>
        <v>0</v>
      </c>
      <c r="EK121" s="147">
        <f t="shared" si="132"/>
        <v>628.59195402298849</v>
      </c>
      <c r="EL121" s="149"/>
      <c r="EN121" s="146"/>
      <c r="EO121" s="146"/>
      <c r="EP121" s="139">
        <f t="shared" si="133"/>
        <v>0</v>
      </c>
      <c r="EQ121" s="139">
        <f t="shared" si="134"/>
        <v>6.523634159482758</v>
      </c>
      <c r="ER121" s="139">
        <f t="shared" si="135"/>
        <v>4.6035629604357133</v>
      </c>
      <c r="ES121" s="139">
        <f t="shared" si="136"/>
        <v>0</v>
      </c>
      <c r="ET121" s="139">
        <f t="shared" si="137"/>
        <v>0</v>
      </c>
      <c r="EU121" s="139">
        <f t="shared" si="138"/>
        <v>0</v>
      </c>
      <c r="EV121" s="139">
        <f t="shared" si="139"/>
        <v>0</v>
      </c>
      <c r="EW121" s="139">
        <f t="shared" si="140"/>
        <v>0</v>
      </c>
      <c r="EX121" s="139">
        <f t="shared" si="141"/>
        <v>0</v>
      </c>
      <c r="EY121" s="139">
        <f t="shared" si="142"/>
        <v>0</v>
      </c>
      <c r="EZ121" s="139">
        <f t="shared" si="143"/>
        <v>0</v>
      </c>
      <c r="FA121" s="139">
        <f t="shared" si="144"/>
        <v>0</v>
      </c>
      <c r="FB121" s="139">
        <f t="shared" si="145"/>
        <v>0</v>
      </c>
      <c r="FC121" s="139">
        <f t="shared" si="146"/>
        <v>0</v>
      </c>
      <c r="FD121" s="139">
        <f t="shared" si="147"/>
        <v>0</v>
      </c>
      <c r="FE121" s="139">
        <f t="shared" si="148"/>
        <v>0</v>
      </c>
      <c r="FF121" s="139">
        <f t="shared" si="149"/>
        <v>0</v>
      </c>
      <c r="FG121" s="139">
        <f t="shared" si="150"/>
        <v>0</v>
      </c>
      <c r="FH121" s="139">
        <f t="shared" si="151"/>
        <v>0</v>
      </c>
      <c r="FI121" s="139">
        <f t="shared" si="152"/>
        <v>0</v>
      </c>
      <c r="FJ121" s="139">
        <f t="shared" si="153"/>
        <v>0</v>
      </c>
      <c r="FK121" s="139">
        <f t="shared" si="154"/>
        <v>0</v>
      </c>
      <c r="FL121" s="139">
        <f t="shared" si="155"/>
        <v>0</v>
      </c>
      <c r="FM121" s="139">
        <f t="shared" si="156"/>
        <v>0</v>
      </c>
      <c r="FN121" s="139">
        <f t="shared" si="157"/>
        <v>0</v>
      </c>
      <c r="FO121" s="139">
        <f t="shared" si="158"/>
        <v>0</v>
      </c>
      <c r="FP121" s="139">
        <f t="shared" si="159"/>
        <v>0</v>
      </c>
      <c r="FQ121" s="139">
        <f t="shared" si="160"/>
        <v>0</v>
      </c>
      <c r="FR121" s="139">
        <f t="shared" si="161"/>
        <v>0</v>
      </c>
      <c r="FS121" s="139">
        <f t="shared" si="162"/>
        <v>0</v>
      </c>
      <c r="FT121" s="139">
        <f t="shared" si="163"/>
        <v>0</v>
      </c>
      <c r="FU121" s="148">
        <f t="shared" si="164"/>
        <v>11.12719711991847</v>
      </c>
      <c r="FV121" s="149"/>
      <c r="FY121" s="213">
        <v>116</v>
      </c>
      <c r="FZ121">
        <v>60.985549214679942</v>
      </c>
      <c r="GA121">
        <v>52.227667704279831</v>
      </c>
      <c r="GB121">
        <v>7.5218754497150648</v>
      </c>
      <c r="GC121">
        <v>4.9210681532421123</v>
      </c>
      <c r="GD121">
        <v>4.3365177219363247</v>
      </c>
      <c r="GE121">
        <v>3.5343883302433663</v>
      </c>
      <c r="GF121">
        <v>14.663020482355401</v>
      </c>
      <c r="GG121">
        <v>15.619541095759569</v>
      </c>
      <c r="GH121">
        <v>15.723860495940055</v>
      </c>
      <c r="GI121">
        <v>18.622596385693765</v>
      </c>
      <c r="GJ121"/>
      <c r="GK121"/>
      <c r="GL121"/>
      <c r="GM121"/>
      <c r="GN121" s="208"/>
      <c r="GO121" s="208"/>
      <c r="GP121" s="208"/>
      <c r="GQ121" s="208"/>
      <c r="GR121" s="208"/>
      <c r="GS121" s="208"/>
      <c r="GT121" s="208"/>
      <c r="GU121" s="213">
        <v>116</v>
      </c>
    </row>
    <row r="122" spans="1:203" s="7" customFormat="1">
      <c r="A122" s="1"/>
      <c r="B122" s="76">
        <f ca="1">IF(C122="", "", RAND())</f>
        <v>0.84315221567695708</v>
      </c>
      <c r="C122">
        <v>4</v>
      </c>
      <c r="D122">
        <v>39747</v>
      </c>
      <c r="E122">
        <v>0</v>
      </c>
      <c r="F122">
        <v>565.73275862068965</v>
      </c>
      <c r="G122">
        <v>62.859195402298845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 s="2"/>
      <c r="AK122" s="80"/>
      <c r="AL122" s="74"/>
      <c r="AM122" s="43">
        <v>106</v>
      </c>
      <c r="AN122">
        <v>345.1962166532158</v>
      </c>
      <c r="AO122">
        <v>20.232831940897444</v>
      </c>
      <c r="AP122">
        <v>65.666711581991564</v>
      </c>
      <c r="AQ122">
        <v>139.59654351054112</v>
      </c>
      <c r="AR122">
        <v>22.234689437629356</v>
      </c>
      <c r="AS122">
        <v>244.37581571139549</v>
      </c>
      <c r="AT122">
        <v>11.047260993176735</v>
      </c>
      <c r="AU122">
        <v>59.379665736905906</v>
      </c>
      <c r="AV122"/>
      <c r="AW122"/>
      <c r="AX122" s="146"/>
      <c r="AY122" s="76">
        <f t="shared" ca="1" si="88"/>
        <v>0.78862725781133314</v>
      </c>
      <c r="AZ122">
        <v>5</v>
      </c>
      <c r="BA122" s="129">
        <f t="shared" si="131"/>
        <v>39747</v>
      </c>
      <c r="BB122" s="207">
        <v>0</v>
      </c>
      <c r="BC122" s="207">
        <v>0</v>
      </c>
      <c r="BD122" s="207">
        <v>0</v>
      </c>
      <c r="BE122" s="207">
        <v>0</v>
      </c>
      <c r="BF122" s="207">
        <v>0</v>
      </c>
      <c r="BG122" s="207">
        <v>0</v>
      </c>
      <c r="BH122" s="207">
        <v>0</v>
      </c>
      <c r="BI122" s="207">
        <v>0</v>
      </c>
      <c r="BJ122" s="207">
        <v>0</v>
      </c>
      <c r="BK122" s="207">
        <v>0</v>
      </c>
      <c r="BL122" s="207">
        <v>0</v>
      </c>
      <c r="BM122" s="207">
        <v>0</v>
      </c>
      <c r="BN122" s="207">
        <v>0</v>
      </c>
      <c r="BO122" s="207">
        <v>0</v>
      </c>
      <c r="BP122" s="207">
        <v>0</v>
      </c>
      <c r="BQ122" s="207">
        <v>0</v>
      </c>
      <c r="BR122" s="207">
        <v>0</v>
      </c>
      <c r="BS122" s="207">
        <v>0</v>
      </c>
      <c r="BT122" s="207">
        <v>0</v>
      </c>
      <c r="BU122" s="207">
        <v>0</v>
      </c>
      <c r="BV122" s="207">
        <v>0</v>
      </c>
      <c r="BW122" s="207">
        <v>0</v>
      </c>
      <c r="BX122" s="207">
        <v>0</v>
      </c>
      <c r="BY122" s="207">
        <v>0</v>
      </c>
      <c r="BZ122" s="207">
        <v>0</v>
      </c>
      <c r="CA122" s="207">
        <v>0</v>
      </c>
      <c r="CB122" s="207">
        <v>0</v>
      </c>
      <c r="CC122" s="207">
        <v>0</v>
      </c>
      <c r="CD122" s="207">
        <v>0</v>
      </c>
      <c r="CE122" s="207">
        <v>0</v>
      </c>
      <c r="CF122" s="207">
        <v>0</v>
      </c>
      <c r="CG122" s="147"/>
      <c r="CH122" s="176"/>
      <c r="CJ122" s="146"/>
      <c r="CK122" s="76">
        <f t="shared" ca="1" si="90"/>
        <v>0.52773741621942083</v>
      </c>
      <c r="CL122" s="179">
        <f t="shared" si="91"/>
        <v>5</v>
      </c>
      <c r="CM122" s="180">
        <f t="shared" si="92"/>
        <v>39747</v>
      </c>
      <c r="CN122" s="208">
        <v>0</v>
      </c>
      <c r="CO122" s="208">
        <v>7</v>
      </c>
      <c r="CP122" s="208">
        <v>1</v>
      </c>
      <c r="CQ122" s="208">
        <v>0</v>
      </c>
      <c r="CR122" s="208">
        <v>0</v>
      </c>
      <c r="CS122" s="208">
        <v>0</v>
      </c>
      <c r="CT122" s="208">
        <v>0</v>
      </c>
      <c r="CU122" s="208">
        <v>0</v>
      </c>
      <c r="CV122" s="160"/>
      <c r="CW122" s="178">
        <v>1</v>
      </c>
      <c r="CX122">
        <f>350/33</f>
        <v>10.606060606060606</v>
      </c>
      <c r="CY122" s="160"/>
      <c r="CZ122" s="177">
        <f t="shared" si="93"/>
        <v>9.6000000000000002E-2</v>
      </c>
      <c r="DB122" s="146"/>
      <c r="DC122" s="76">
        <f t="shared" ca="1" si="51"/>
        <v>0.75545261166375521</v>
      </c>
      <c r="DD122">
        <f t="shared" si="94"/>
        <v>5</v>
      </c>
      <c r="DE122" s="129">
        <f t="shared" si="130"/>
        <v>39747</v>
      </c>
      <c r="DF122" s="161">
        <f t="shared" si="95"/>
        <v>0</v>
      </c>
      <c r="DG122" s="161">
        <f t="shared" si="96"/>
        <v>773.3585858585858</v>
      </c>
      <c r="DH122" s="161">
        <f t="shared" si="97"/>
        <v>110.47979797979797</v>
      </c>
      <c r="DI122" s="161">
        <f t="shared" si="98"/>
        <v>0</v>
      </c>
      <c r="DJ122" s="161">
        <f t="shared" si="99"/>
        <v>0</v>
      </c>
      <c r="DK122" s="161">
        <f t="shared" si="100"/>
        <v>0</v>
      </c>
      <c r="DL122" s="161">
        <f t="shared" si="101"/>
        <v>0</v>
      </c>
      <c r="DM122" s="161">
        <f t="shared" si="102"/>
        <v>0</v>
      </c>
      <c r="DN122" s="161">
        <f t="shared" si="103"/>
        <v>0</v>
      </c>
      <c r="DO122" s="161">
        <f t="shared" si="104"/>
        <v>0</v>
      </c>
      <c r="DP122" s="161">
        <f t="shared" si="105"/>
        <v>0</v>
      </c>
      <c r="DQ122" s="161">
        <f t="shared" si="106"/>
        <v>0</v>
      </c>
      <c r="DR122" s="161">
        <f t="shared" si="107"/>
        <v>0</v>
      </c>
      <c r="DS122" s="161">
        <f t="shared" si="108"/>
        <v>0</v>
      </c>
      <c r="DT122" s="161">
        <f t="shared" si="109"/>
        <v>0</v>
      </c>
      <c r="DU122" s="161">
        <f t="shared" si="110"/>
        <v>0</v>
      </c>
      <c r="DV122" s="161">
        <f t="shared" si="111"/>
        <v>0</v>
      </c>
      <c r="DW122" s="161">
        <f t="shared" si="112"/>
        <v>0</v>
      </c>
      <c r="DX122" s="161">
        <f t="shared" si="113"/>
        <v>0</v>
      </c>
      <c r="DY122" s="161">
        <f t="shared" si="114"/>
        <v>0</v>
      </c>
      <c r="DZ122" s="161">
        <f t="shared" si="115"/>
        <v>0</v>
      </c>
      <c r="EA122" s="161">
        <f t="shared" si="116"/>
        <v>0</v>
      </c>
      <c r="EB122" s="161">
        <f t="shared" si="117"/>
        <v>0</v>
      </c>
      <c r="EC122" s="161">
        <f t="shared" si="118"/>
        <v>0</v>
      </c>
      <c r="ED122" s="161">
        <f t="shared" si="119"/>
        <v>0</v>
      </c>
      <c r="EE122" s="161">
        <f t="shared" si="120"/>
        <v>0</v>
      </c>
      <c r="EF122" s="161">
        <f t="shared" si="121"/>
        <v>0</v>
      </c>
      <c r="EG122" s="161">
        <f t="shared" si="122"/>
        <v>0</v>
      </c>
      <c r="EH122" s="161">
        <f t="shared" si="123"/>
        <v>0</v>
      </c>
      <c r="EI122" s="161">
        <f t="shared" si="124"/>
        <v>0</v>
      </c>
      <c r="EJ122" s="161">
        <f t="shared" si="125"/>
        <v>0</v>
      </c>
      <c r="EK122" s="147">
        <f t="shared" si="132"/>
        <v>883.83838383838372</v>
      </c>
      <c r="EL122" s="149"/>
      <c r="EN122" s="146"/>
      <c r="EO122" s="146"/>
      <c r="EP122" s="139">
        <f t="shared" si="133"/>
        <v>0</v>
      </c>
      <c r="EQ122" s="139">
        <f t="shared" si="134"/>
        <v>8.9178298611111106</v>
      </c>
      <c r="ER122" s="139">
        <f t="shared" si="135"/>
        <v>8.091110657735495</v>
      </c>
      <c r="ES122" s="139">
        <f t="shared" si="136"/>
        <v>0</v>
      </c>
      <c r="ET122" s="139">
        <f t="shared" si="137"/>
        <v>0</v>
      </c>
      <c r="EU122" s="139">
        <f t="shared" si="138"/>
        <v>0</v>
      </c>
      <c r="EV122" s="139">
        <f t="shared" si="139"/>
        <v>0</v>
      </c>
      <c r="EW122" s="139">
        <f t="shared" si="140"/>
        <v>0</v>
      </c>
      <c r="EX122" s="139">
        <f t="shared" si="141"/>
        <v>0</v>
      </c>
      <c r="EY122" s="139">
        <f t="shared" si="142"/>
        <v>0</v>
      </c>
      <c r="EZ122" s="139">
        <f t="shared" si="143"/>
        <v>0</v>
      </c>
      <c r="FA122" s="139">
        <f t="shared" si="144"/>
        <v>0</v>
      </c>
      <c r="FB122" s="139">
        <f t="shared" si="145"/>
        <v>0</v>
      </c>
      <c r="FC122" s="139">
        <f t="shared" si="146"/>
        <v>0</v>
      </c>
      <c r="FD122" s="139">
        <f t="shared" si="147"/>
        <v>0</v>
      </c>
      <c r="FE122" s="139">
        <f t="shared" si="148"/>
        <v>0</v>
      </c>
      <c r="FF122" s="139">
        <f t="shared" si="149"/>
        <v>0</v>
      </c>
      <c r="FG122" s="139">
        <f t="shared" si="150"/>
        <v>0</v>
      </c>
      <c r="FH122" s="139">
        <f t="shared" si="151"/>
        <v>0</v>
      </c>
      <c r="FI122" s="139">
        <f t="shared" si="152"/>
        <v>0</v>
      </c>
      <c r="FJ122" s="139">
        <f t="shared" si="153"/>
        <v>0</v>
      </c>
      <c r="FK122" s="139">
        <f t="shared" si="154"/>
        <v>0</v>
      </c>
      <c r="FL122" s="139">
        <f t="shared" si="155"/>
        <v>0</v>
      </c>
      <c r="FM122" s="139">
        <f t="shared" si="156"/>
        <v>0</v>
      </c>
      <c r="FN122" s="139">
        <f t="shared" si="157"/>
        <v>0</v>
      </c>
      <c r="FO122" s="139">
        <f t="shared" si="158"/>
        <v>0</v>
      </c>
      <c r="FP122" s="139">
        <f t="shared" si="159"/>
        <v>0</v>
      </c>
      <c r="FQ122" s="139">
        <f t="shared" si="160"/>
        <v>0</v>
      </c>
      <c r="FR122" s="139">
        <f t="shared" si="161"/>
        <v>0</v>
      </c>
      <c r="FS122" s="139">
        <f t="shared" si="162"/>
        <v>0</v>
      </c>
      <c r="FT122" s="139">
        <f t="shared" si="163"/>
        <v>0</v>
      </c>
      <c r="FU122" s="148">
        <f t="shared" si="164"/>
        <v>17.008940518846607</v>
      </c>
      <c r="FV122" s="149"/>
      <c r="FY122" s="213">
        <v>117</v>
      </c>
      <c r="FZ122">
        <v>52.685880843659419</v>
      </c>
      <c r="GA122">
        <v>56.832165562616588</v>
      </c>
      <c r="GB122">
        <v>13.666765156488765</v>
      </c>
      <c r="GC122">
        <v>6.970441551921942</v>
      </c>
      <c r="GD122">
        <v>4.3979355313928554</v>
      </c>
      <c r="GE122">
        <v>4.5040502389475012</v>
      </c>
      <c r="GF122">
        <v>15.588346649094433</v>
      </c>
      <c r="GG122">
        <v>12.667749308145094</v>
      </c>
      <c r="GH122">
        <v>8.9297385337047626</v>
      </c>
      <c r="GI122">
        <v>18.301295351953442</v>
      </c>
      <c r="GJ122"/>
      <c r="GK122"/>
      <c r="GL122"/>
      <c r="GM122"/>
      <c r="GN122" s="208"/>
      <c r="GO122" s="208"/>
      <c r="GP122" s="208"/>
      <c r="GQ122" s="208"/>
      <c r="GR122" s="208"/>
      <c r="GS122" s="208"/>
      <c r="GT122" s="208"/>
      <c r="GU122" s="213">
        <v>117</v>
      </c>
    </row>
    <row r="123" spans="1:203" s="7" customFormat="1">
      <c r="A123" s="1"/>
      <c r="B123" s="76">
        <f ca="1">IF(C123="", "", RAND())</f>
        <v>0.13607717319885015</v>
      </c>
      <c r="C123">
        <v>9</v>
      </c>
      <c r="D123">
        <v>39747</v>
      </c>
      <c r="E123">
        <v>0</v>
      </c>
      <c r="F123">
        <v>355.6910569105691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 s="2"/>
      <c r="AK123" s="80"/>
      <c r="AL123" s="74"/>
      <c r="AM123" s="43">
        <v>107</v>
      </c>
      <c r="AN123">
        <v>259.3606012218288</v>
      </c>
      <c r="AO123">
        <v>21.303211545145551</v>
      </c>
      <c r="AP123">
        <v>59.749574040395125</v>
      </c>
      <c r="AQ123">
        <v>160.64375558535664</v>
      </c>
      <c r="AR123">
        <v>23.131318466469519</v>
      </c>
      <c r="AS123">
        <v>213.48958401058692</v>
      </c>
      <c r="AT123">
        <v>11.88219661287251</v>
      </c>
      <c r="AU123">
        <v>28.398396645217353</v>
      </c>
      <c r="AV123"/>
      <c r="AW123"/>
      <c r="AX123" s="146"/>
      <c r="AY123" s="76">
        <f t="shared" ca="1" si="88"/>
        <v>0.13193579614782802</v>
      </c>
      <c r="AZ123">
        <v>6</v>
      </c>
      <c r="BA123" s="129">
        <f t="shared" si="131"/>
        <v>39747</v>
      </c>
      <c r="BB123" s="207">
        <v>0</v>
      </c>
      <c r="BC123" s="207">
        <v>0</v>
      </c>
      <c r="BD123" s="207">
        <v>0</v>
      </c>
      <c r="BE123" s="207">
        <v>0</v>
      </c>
      <c r="BF123" s="207">
        <v>0</v>
      </c>
      <c r="BG123" s="207">
        <v>0</v>
      </c>
      <c r="BH123" s="207">
        <v>0</v>
      </c>
      <c r="BI123" s="207">
        <v>0</v>
      </c>
      <c r="BJ123" s="207">
        <v>0</v>
      </c>
      <c r="BK123" s="207">
        <v>0</v>
      </c>
      <c r="BL123" s="207">
        <v>0</v>
      </c>
      <c r="BM123" s="207">
        <v>0</v>
      </c>
      <c r="BN123" s="207">
        <v>0</v>
      </c>
      <c r="BO123" s="207">
        <v>0</v>
      </c>
      <c r="BP123" s="207">
        <v>0</v>
      </c>
      <c r="BQ123" s="207">
        <v>0</v>
      </c>
      <c r="BR123" s="207">
        <v>0</v>
      </c>
      <c r="BS123" s="207">
        <v>0</v>
      </c>
      <c r="BT123" s="207">
        <v>0</v>
      </c>
      <c r="BU123" s="207">
        <v>0</v>
      </c>
      <c r="BV123" s="207">
        <v>0</v>
      </c>
      <c r="BW123" s="207">
        <v>0</v>
      </c>
      <c r="BX123" s="207">
        <v>0</v>
      </c>
      <c r="BY123" s="207">
        <v>0</v>
      </c>
      <c r="BZ123" s="207">
        <v>0</v>
      </c>
      <c r="CA123" s="207">
        <v>0</v>
      </c>
      <c r="CB123" s="207">
        <v>0</v>
      </c>
      <c r="CC123" s="207">
        <v>0</v>
      </c>
      <c r="CD123" s="207">
        <v>0</v>
      </c>
      <c r="CE123" s="207">
        <v>0</v>
      </c>
      <c r="CF123" s="207">
        <v>0</v>
      </c>
      <c r="CG123" s="147"/>
      <c r="CH123" s="176"/>
      <c r="CJ123" s="146"/>
      <c r="CK123" s="76">
        <f t="shared" ca="1" si="90"/>
        <v>0.67032124603209509</v>
      </c>
      <c r="CL123" s="179">
        <f t="shared" si="91"/>
        <v>6</v>
      </c>
      <c r="CM123" s="180">
        <f t="shared" si="92"/>
        <v>39747</v>
      </c>
      <c r="CN123" s="208">
        <v>0</v>
      </c>
      <c r="CO123" s="208">
        <v>8</v>
      </c>
      <c r="CP123" s="208">
        <v>1</v>
      </c>
      <c r="CQ123" s="208">
        <v>0</v>
      </c>
      <c r="CR123" s="208">
        <v>0</v>
      </c>
      <c r="CS123" s="208">
        <v>0</v>
      </c>
      <c r="CT123" s="208">
        <v>0</v>
      </c>
      <c r="CU123" s="208">
        <v>0</v>
      </c>
      <c r="CV123" s="160"/>
      <c r="CW123" s="178">
        <v>1</v>
      </c>
      <c r="CX123">
        <f>375/60</f>
        <v>6.25</v>
      </c>
      <c r="CY123" s="160"/>
      <c r="CZ123" s="177">
        <f t="shared" si="93"/>
        <v>9.6000000000000002E-2</v>
      </c>
      <c r="DB123" s="146"/>
      <c r="DC123" s="76">
        <f t="shared" ca="1" si="51"/>
        <v>0.89080771240567103</v>
      </c>
      <c r="DD123">
        <f t="shared" si="94"/>
        <v>6</v>
      </c>
      <c r="DE123" s="129">
        <f t="shared" si="130"/>
        <v>39747</v>
      </c>
      <c r="DF123" s="161">
        <f t="shared" si="95"/>
        <v>0</v>
      </c>
      <c r="DG123" s="161">
        <f t="shared" si="96"/>
        <v>520.83333333333337</v>
      </c>
      <c r="DH123" s="161">
        <f t="shared" si="97"/>
        <v>65.104166666666671</v>
      </c>
      <c r="DI123" s="161">
        <f t="shared" si="98"/>
        <v>0</v>
      </c>
      <c r="DJ123" s="161">
        <f t="shared" si="99"/>
        <v>0</v>
      </c>
      <c r="DK123" s="161">
        <f t="shared" si="100"/>
        <v>0</v>
      </c>
      <c r="DL123" s="161">
        <f t="shared" si="101"/>
        <v>0</v>
      </c>
      <c r="DM123" s="161">
        <f t="shared" si="102"/>
        <v>0</v>
      </c>
      <c r="DN123" s="161">
        <f t="shared" si="103"/>
        <v>0</v>
      </c>
      <c r="DO123" s="161">
        <f t="shared" si="104"/>
        <v>0</v>
      </c>
      <c r="DP123" s="161">
        <f t="shared" si="105"/>
        <v>0</v>
      </c>
      <c r="DQ123" s="161">
        <f t="shared" si="106"/>
        <v>0</v>
      </c>
      <c r="DR123" s="161">
        <f t="shared" si="107"/>
        <v>0</v>
      </c>
      <c r="DS123" s="161">
        <f t="shared" si="108"/>
        <v>0</v>
      </c>
      <c r="DT123" s="161">
        <f t="shared" si="109"/>
        <v>0</v>
      </c>
      <c r="DU123" s="161">
        <f t="shared" si="110"/>
        <v>0</v>
      </c>
      <c r="DV123" s="161">
        <f t="shared" si="111"/>
        <v>0</v>
      </c>
      <c r="DW123" s="161">
        <f t="shared" si="112"/>
        <v>0</v>
      </c>
      <c r="DX123" s="161">
        <f t="shared" si="113"/>
        <v>0</v>
      </c>
      <c r="DY123" s="161">
        <f t="shared" si="114"/>
        <v>0</v>
      </c>
      <c r="DZ123" s="161">
        <f t="shared" si="115"/>
        <v>0</v>
      </c>
      <c r="EA123" s="161">
        <f t="shared" si="116"/>
        <v>0</v>
      </c>
      <c r="EB123" s="161">
        <f t="shared" si="117"/>
        <v>0</v>
      </c>
      <c r="EC123" s="161">
        <f t="shared" si="118"/>
        <v>0</v>
      </c>
      <c r="ED123" s="161">
        <f t="shared" si="119"/>
        <v>0</v>
      </c>
      <c r="EE123" s="161">
        <f t="shared" si="120"/>
        <v>0</v>
      </c>
      <c r="EF123" s="161">
        <f t="shared" si="121"/>
        <v>0</v>
      </c>
      <c r="EG123" s="161">
        <f t="shared" si="122"/>
        <v>0</v>
      </c>
      <c r="EH123" s="161">
        <f t="shared" si="123"/>
        <v>0</v>
      </c>
      <c r="EI123" s="161">
        <f t="shared" si="124"/>
        <v>0</v>
      </c>
      <c r="EJ123" s="161">
        <f t="shared" si="125"/>
        <v>0</v>
      </c>
      <c r="EK123" s="147">
        <f t="shared" si="132"/>
        <v>585.9375</v>
      </c>
      <c r="EL123" s="149"/>
      <c r="EN123" s="146"/>
      <c r="EO123" s="146"/>
      <c r="EP123" s="139">
        <f t="shared" si="133"/>
        <v>0</v>
      </c>
      <c r="EQ123" s="139">
        <f t="shared" si="134"/>
        <v>6.0058854166666666</v>
      </c>
      <c r="ER123" s="139">
        <f t="shared" si="135"/>
        <v>4.767975923308418</v>
      </c>
      <c r="ES123" s="139">
        <f t="shared" si="136"/>
        <v>0</v>
      </c>
      <c r="ET123" s="139">
        <f t="shared" si="137"/>
        <v>0</v>
      </c>
      <c r="EU123" s="139">
        <f t="shared" si="138"/>
        <v>0</v>
      </c>
      <c r="EV123" s="139">
        <f t="shared" si="139"/>
        <v>0</v>
      </c>
      <c r="EW123" s="139">
        <f t="shared" si="140"/>
        <v>0</v>
      </c>
      <c r="EX123" s="139">
        <f t="shared" si="141"/>
        <v>0</v>
      </c>
      <c r="EY123" s="139">
        <f t="shared" si="142"/>
        <v>0</v>
      </c>
      <c r="EZ123" s="139">
        <f t="shared" si="143"/>
        <v>0</v>
      </c>
      <c r="FA123" s="139">
        <f t="shared" si="144"/>
        <v>0</v>
      </c>
      <c r="FB123" s="139">
        <f t="shared" si="145"/>
        <v>0</v>
      </c>
      <c r="FC123" s="139">
        <f t="shared" si="146"/>
        <v>0</v>
      </c>
      <c r="FD123" s="139">
        <f t="shared" si="147"/>
        <v>0</v>
      </c>
      <c r="FE123" s="139">
        <f t="shared" si="148"/>
        <v>0</v>
      </c>
      <c r="FF123" s="139">
        <f t="shared" si="149"/>
        <v>0</v>
      </c>
      <c r="FG123" s="139">
        <f t="shared" si="150"/>
        <v>0</v>
      </c>
      <c r="FH123" s="139">
        <f t="shared" si="151"/>
        <v>0</v>
      </c>
      <c r="FI123" s="139">
        <f t="shared" si="152"/>
        <v>0</v>
      </c>
      <c r="FJ123" s="139">
        <f t="shared" si="153"/>
        <v>0</v>
      </c>
      <c r="FK123" s="139">
        <f t="shared" si="154"/>
        <v>0</v>
      </c>
      <c r="FL123" s="139">
        <f t="shared" si="155"/>
        <v>0</v>
      </c>
      <c r="FM123" s="139">
        <f t="shared" si="156"/>
        <v>0</v>
      </c>
      <c r="FN123" s="139">
        <f t="shared" si="157"/>
        <v>0</v>
      </c>
      <c r="FO123" s="139">
        <f t="shared" si="158"/>
        <v>0</v>
      </c>
      <c r="FP123" s="139">
        <f t="shared" si="159"/>
        <v>0</v>
      </c>
      <c r="FQ123" s="139">
        <f t="shared" si="160"/>
        <v>0</v>
      </c>
      <c r="FR123" s="139">
        <f t="shared" si="161"/>
        <v>0</v>
      </c>
      <c r="FS123" s="139">
        <f t="shared" si="162"/>
        <v>0</v>
      </c>
      <c r="FT123" s="139">
        <f t="shared" si="163"/>
        <v>0</v>
      </c>
      <c r="FU123" s="148">
        <f t="shared" si="164"/>
        <v>10.773861339975085</v>
      </c>
      <c r="FV123" s="149"/>
      <c r="FY123" s="213">
        <v>118</v>
      </c>
      <c r="FZ123">
        <v>52.387708342896993</v>
      </c>
      <c r="GA123">
        <v>38.822736407147325</v>
      </c>
      <c r="GB123">
        <v>11.735087307494547</v>
      </c>
      <c r="GC123">
        <v>5.5695803071329673</v>
      </c>
      <c r="GD123">
        <v>6.5197820304668097</v>
      </c>
      <c r="GE123">
        <v>9.4870204805252794</v>
      </c>
      <c r="GF123">
        <v>21.389950818257624</v>
      </c>
      <c r="GG123">
        <v>17.345480076570194</v>
      </c>
      <c r="GH123">
        <v>17.586592942176932</v>
      </c>
      <c r="GI123">
        <v>21.484464789228781</v>
      </c>
      <c r="GJ123"/>
      <c r="GK123"/>
      <c r="GL123"/>
      <c r="GM123"/>
      <c r="GN123" s="208"/>
      <c r="GO123" s="208"/>
      <c r="GP123" s="208"/>
      <c r="GQ123" s="208"/>
      <c r="GR123" s="208"/>
      <c r="GS123" s="208"/>
      <c r="GT123" s="208"/>
      <c r="GU123" s="213">
        <v>118</v>
      </c>
    </row>
    <row r="124" spans="1:203" s="7" customFormat="1">
      <c r="A124" s="1"/>
      <c r="B124" s="76">
        <f ca="1">IF(C124="", "", RAND())</f>
        <v>0.51640350732290696</v>
      </c>
      <c r="C124">
        <v>10</v>
      </c>
      <c r="D124">
        <v>39747</v>
      </c>
      <c r="E124">
        <v>65.104166666666671</v>
      </c>
      <c r="F124">
        <v>390.625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 s="2"/>
      <c r="AK124" s="80"/>
      <c r="AL124" s="74"/>
      <c r="AM124" s="43">
        <v>108</v>
      </c>
      <c r="AN124">
        <v>362.09285567053723</v>
      </c>
      <c r="AO124">
        <v>31.126772692317019</v>
      </c>
      <c r="AP124">
        <v>85.213196424633509</v>
      </c>
      <c r="AQ124">
        <v>218.67110196629645</v>
      </c>
      <c r="AR124">
        <v>31.450808783429178</v>
      </c>
      <c r="AS124">
        <v>275.57919743621443</v>
      </c>
      <c r="AT124">
        <v>12.678853426736465</v>
      </c>
      <c r="AU124">
        <v>-13.369516007206485</v>
      </c>
      <c r="AV124"/>
      <c r="AW124"/>
      <c r="AX124" s="146"/>
      <c r="AY124" s="76">
        <f t="shared" ca="1" si="88"/>
        <v>0.36835510537223826</v>
      </c>
      <c r="AZ124">
        <v>7</v>
      </c>
      <c r="BA124" s="129">
        <f t="shared" si="131"/>
        <v>39747</v>
      </c>
      <c r="BB124" s="207">
        <v>0</v>
      </c>
      <c r="BC124" s="207">
        <v>0</v>
      </c>
      <c r="BD124" s="207">
        <v>0</v>
      </c>
      <c r="BE124" s="207">
        <v>0</v>
      </c>
      <c r="BF124" s="207">
        <v>0</v>
      </c>
      <c r="BG124" s="207">
        <v>0</v>
      </c>
      <c r="BH124" s="207">
        <v>0</v>
      </c>
      <c r="BI124" s="207">
        <v>0</v>
      </c>
      <c r="BJ124" s="207">
        <v>0</v>
      </c>
      <c r="BK124" s="207">
        <v>0</v>
      </c>
      <c r="BL124" s="207">
        <v>0</v>
      </c>
      <c r="BM124" s="207">
        <v>0</v>
      </c>
      <c r="BN124" s="207">
        <v>0</v>
      </c>
      <c r="BO124" s="207">
        <v>0</v>
      </c>
      <c r="BP124" s="207">
        <v>0</v>
      </c>
      <c r="BQ124" s="207">
        <v>0</v>
      </c>
      <c r="BR124" s="207">
        <v>0</v>
      </c>
      <c r="BS124" s="207">
        <v>0</v>
      </c>
      <c r="BT124" s="207">
        <v>0</v>
      </c>
      <c r="BU124" s="207">
        <v>0</v>
      </c>
      <c r="BV124" s="207">
        <v>0</v>
      </c>
      <c r="BW124" s="207">
        <v>0</v>
      </c>
      <c r="BX124" s="207">
        <v>0</v>
      </c>
      <c r="BY124" s="207">
        <v>0</v>
      </c>
      <c r="BZ124" s="207">
        <v>0</v>
      </c>
      <c r="CA124" s="207">
        <v>0</v>
      </c>
      <c r="CB124" s="207">
        <v>0</v>
      </c>
      <c r="CC124" s="207">
        <v>0</v>
      </c>
      <c r="CD124" s="207">
        <v>0</v>
      </c>
      <c r="CE124" s="207">
        <v>0</v>
      </c>
      <c r="CF124" s="207">
        <v>0</v>
      </c>
      <c r="CG124" s="147"/>
      <c r="CH124" s="176"/>
      <c r="CJ124" s="146"/>
      <c r="CK124" s="76">
        <f t="shared" ca="1" si="90"/>
        <v>0.61843879253488376</v>
      </c>
      <c r="CL124" s="179">
        <f t="shared" si="91"/>
        <v>7</v>
      </c>
      <c r="CM124" s="180">
        <f t="shared" si="92"/>
        <v>39747</v>
      </c>
      <c r="CN124" s="208">
        <v>0</v>
      </c>
      <c r="CO124" s="208">
        <v>4</v>
      </c>
      <c r="CP124" s="208">
        <v>0</v>
      </c>
      <c r="CQ124" s="208">
        <v>0</v>
      </c>
      <c r="CR124" s="208">
        <v>0</v>
      </c>
      <c r="CS124" s="208">
        <v>0</v>
      </c>
      <c r="CT124" s="208">
        <v>0</v>
      </c>
      <c r="CU124" s="208">
        <v>0</v>
      </c>
      <c r="CV124" s="160"/>
      <c r="CW124" s="178">
        <v>1</v>
      </c>
      <c r="CX124">
        <f>350/49</f>
        <v>7.1428571428571432</v>
      </c>
      <c r="CY124" s="164"/>
      <c r="CZ124" s="177">
        <f t="shared" si="93"/>
        <v>9.6000000000000002E-2</v>
      </c>
      <c r="DB124" s="146"/>
      <c r="DC124" s="76">
        <f t="shared" ca="1" si="51"/>
        <v>0.79396035381176966</v>
      </c>
      <c r="DD124">
        <f t="shared" si="94"/>
        <v>7</v>
      </c>
      <c r="DE124" s="129">
        <f t="shared" si="130"/>
        <v>39747</v>
      </c>
      <c r="DF124" s="161">
        <f t="shared" si="95"/>
        <v>0</v>
      </c>
      <c r="DG124" s="161">
        <f t="shared" si="96"/>
        <v>297.61904761904765</v>
      </c>
      <c r="DH124" s="161">
        <f t="shared" si="97"/>
        <v>0</v>
      </c>
      <c r="DI124" s="161">
        <f t="shared" si="98"/>
        <v>0</v>
      </c>
      <c r="DJ124" s="161">
        <f t="shared" si="99"/>
        <v>0</v>
      </c>
      <c r="DK124" s="161">
        <f t="shared" si="100"/>
        <v>0</v>
      </c>
      <c r="DL124" s="161">
        <f t="shared" si="101"/>
        <v>0</v>
      </c>
      <c r="DM124" s="161">
        <f t="shared" si="102"/>
        <v>0</v>
      </c>
      <c r="DN124" s="161">
        <f t="shared" si="103"/>
        <v>0</v>
      </c>
      <c r="DO124" s="161">
        <f t="shared" si="104"/>
        <v>0</v>
      </c>
      <c r="DP124" s="161">
        <f t="shared" si="105"/>
        <v>0</v>
      </c>
      <c r="DQ124" s="161">
        <f t="shared" si="106"/>
        <v>0</v>
      </c>
      <c r="DR124" s="161">
        <f t="shared" si="107"/>
        <v>0</v>
      </c>
      <c r="DS124" s="161">
        <f t="shared" si="108"/>
        <v>0</v>
      </c>
      <c r="DT124" s="161">
        <f t="shared" si="109"/>
        <v>0</v>
      </c>
      <c r="DU124" s="161">
        <f t="shared" si="110"/>
        <v>0</v>
      </c>
      <c r="DV124" s="161">
        <f t="shared" si="111"/>
        <v>0</v>
      </c>
      <c r="DW124" s="161">
        <f t="shared" si="112"/>
        <v>0</v>
      </c>
      <c r="DX124" s="161">
        <f t="shared" si="113"/>
        <v>0</v>
      </c>
      <c r="DY124" s="161">
        <f t="shared" si="114"/>
        <v>0</v>
      </c>
      <c r="DZ124" s="161">
        <f t="shared" si="115"/>
        <v>0</v>
      </c>
      <c r="EA124" s="161">
        <f t="shared" si="116"/>
        <v>0</v>
      </c>
      <c r="EB124" s="161">
        <f t="shared" si="117"/>
        <v>0</v>
      </c>
      <c r="EC124" s="161">
        <f t="shared" si="118"/>
        <v>0</v>
      </c>
      <c r="ED124" s="161">
        <f t="shared" si="119"/>
        <v>0</v>
      </c>
      <c r="EE124" s="161">
        <f t="shared" si="120"/>
        <v>0</v>
      </c>
      <c r="EF124" s="161">
        <f t="shared" si="121"/>
        <v>0</v>
      </c>
      <c r="EG124" s="161">
        <f t="shared" si="122"/>
        <v>0</v>
      </c>
      <c r="EH124" s="161">
        <f t="shared" si="123"/>
        <v>0</v>
      </c>
      <c r="EI124" s="161">
        <f t="shared" si="124"/>
        <v>0</v>
      </c>
      <c r="EJ124" s="161">
        <f t="shared" si="125"/>
        <v>0</v>
      </c>
      <c r="EK124" s="147">
        <f t="shared" si="132"/>
        <v>297.61904761904765</v>
      </c>
      <c r="EL124" s="149"/>
      <c r="EN124" s="146"/>
      <c r="EO124" s="146"/>
      <c r="EP124" s="139">
        <f t="shared" si="133"/>
        <v>0</v>
      </c>
      <c r="EQ124" s="139">
        <f t="shared" si="134"/>
        <v>3.4319345238095238</v>
      </c>
      <c r="ER124" s="139">
        <f t="shared" si="135"/>
        <v>0</v>
      </c>
      <c r="ES124" s="139">
        <f t="shared" si="136"/>
        <v>0</v>
      </c>
      <c r="ET124" s="139">
        <f t="shared" si="137"/>
        <v>0</v>
      </c>
      <c r="EU124" s="139">
        <f t="shared" si="138"/>
        <v>0</v>
      </c>
      <c r="EV124" s="139">
        <f t="shared" si="139"/>
        <v>0</v>
      </c>
      <c r="EW124" s="139">
        <f t="shared" si="140"/>
        <v>0</v>
      </c>
      <c r="EX124" s="139">
        <f t="shared" si="141"/>
        <v>0</v>
      </c>
      <c r="EY124" s="139">
        <f t="shared" si="142"/>
        <v>0</v>
      </c>
      <c r="EZ124" s="139">
        <f t="shared" si="143"/>
        <v>0</v>
      </c>
      <c r="FA124" s="139">
        <f t="shared" si="144"/>
        <v>0</v>
      </c>
      <c r="FB124" s="139">
        <f t="shared" si="145"/>
        <v>0</v>
      </c>
      <c r="FC124" s="139">
        <f t="shared" si="146"/>
        <v>0</v>
      </c>
      <c r="FD124" s="139">
        <f t="shared" si="147"/>
        <v>0</v>
      </c>
      <c r="FE124" s="139">
        <f t="shared" si="148"/>
        <v>0</v>
      </c>
      <c r="FF124" s="139">
        <f t="shared" si="149"/>
        <v>0</v>
      </c>
      <c r="FG124" s="139">
        <f t="shared" si="150"/>
        <v>0</v>
      </c>
      <c r="FH124" s="139">
        <f t="shared" si="151"/>
        <v>0</v>
      </c>
      <c r="FI124" s="139">
        <f t="shared" si="152"/>
        <v>0</v>
      </c>
      <c r="FJ124" s="139">
        <f t="shared" si="153"/>
        <v>0</v>
      </c>
      <c r="FK124" s="139">
        <f t="shared" si="154"/>
        <v>0</v>
      </c>
      <c r="FL124" s="139">
        <f t="shared" si="155"/>
        <v>0</v>
      </c>
      <c r="FM124" s="139">
        <f t="shared" si="156"/>
        <v>0</v>
      </c>
      <c r="FN124" s="139">
        <f t="shared" si="157"/>
        <v>0</v>
      </c>
      <c r="FO124" s="139">
        <f t="shared" si="158"/>
        <v>0</v>
      </c>
      <c r="FP124" s="139">
        <f t="shared" si="159"/>
        <v>0</v>
      </c>
      <c r="FQ124" s="139">
        <f t="shared" si="160"/>
        <v>0</v>
      </c>
      <c r="FR124" s="139">
        <f t="shared" si="161"/>
        <v>0</v>
      </c>
      <c r="FS124" s="139">
        <f t="shared" si="162"/>
        <v>0</v>
      </c>
      <c r="FT124" s="139">
        <f t="shared" si="163"/>
        <v>0</v>
      </c>
      <c r="FU124" s="148">
        <f t="shared" si="164"/>
        <v>3.4319345238095238</v>
      </c>
      <c r="FV124" s="149"/>
      <c r="FY124" s="213">
        <v>119</v>
      </c>
      <c r="FZ124">
        <v>58.571924410452887</v>
      </c>
      <c r="GA124">
        <v>63.09041303864732</v>
      </c>
      <c r="GB124">
        <v>14.914532544132896</v>
      </c>
      <c r="GC124">
        <v>5.8237157641345076</v>
      </c>
      <c r="GD124">
        <v>5.6725141211879002</v>
      </c>
      <c r="GE124">
        <v>6.3433504574094171</v>
      </c>
      <c r="GF124">
        <v>11.279517279748665</v>
      </c>
      <c r="GG124">
        <v>11.216603875561399</v>
      </c>
      <c r="GH124">
        <v>13.21975349901426</v>
      </c>
      <c r="GI124">
        <v>20.323317492156882</v>
      </c>
      <c r="GJ124"/>
      <c r="GK124"/>
      <c r="GL124"/>
      <c r="GM124"/>
      <c r="GN124" s="208"/>
      <c r="GO124" s="208"/>
      <c r="GP124" s="208"/>
      <c r="GQ124" s="208"/>
      <c r="GR124" s="208"/>
      <c r="GS124" s="208"/>
      <c r="GT124" s="208"/>
      <c r="GU124" s="213">
        <v>119</v>
      </c>
    </row>
    <row r="125" spans="1:203" s="7" customFormat="1">
      <c r="A125" s="1"/>
      <c r="B125" s="76">
        <f ca="1">IF(C125="", "", RAND())</f>
        <v>0.29177873466832782</v>
      </c>
      <c r="C125">
        <v>2</v>
      </c>
      <c r="D125">
        <v>39747</v>
      </c>
      <c r="E125">
        <v>0</v>
      </c>
      <c r="F125">
        <v>455.72916666666663</v>
      </c>
      <c r="G125">
        <v>91.145833333333329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 s="2"/>
      <c r="AK125" s="80"/>
      <c r="AL125" s="74"/>
      <c r="AM125" s="43">
        <v>109</v>
      </c>
      <c r="AN125">
        <v>392.34050221029554</v>
      </c>
      <c r="AO125">
        <v>29.033984624876176</v>
      </c>
      <c r="AP125">
        <v>97.485609664752957</v>
      </c>
      <c r="AQ125">
        <v>201.8865144715416</v>
      </c>
      <c r="AR125">
        <v>32.059353069315094</v>
      </c>
      <c r="AS125">
        <v>294.48122268796595</v>
      </c>
      <c r="AT125">
        <v>14.814485710228354</v>
      </c>
      <c r="AU125">
        <v>28.63925009356376</v>
      </c>
      <c r="AV125"/>
      <c r="AW125"/>
      <c r="AX125" s="146"/>
      <c r="AY125" s="76">
        <f t="shared" ca="1" si="88"/>
        <v>0.25836864468352361</v>
      </c>
      <c r="AZ125">
        <v>8</v>
      </c>
      <c r="BA125" s="129">
        <f t="shared" si="131"/>
        <v>39747</v>
      </c>
      <c r="BB125" s="207">
        <v>0</v>
      </c>
      <c r="BC125" s="207">
        <v>0</v>
      </c>
      <c r="BD125" s="207">
        <v>0</v>
      </c>
      <c r="BE125" s="207">
        <v>0</v>
      </c>
      <c r="BF125" s="207">
        <v>1</v>
      </c>
      <c r="BG125" s="207">
        <v>0</v>
      </c>
      <c r="BH125" s="207">
        <v>0</v>
      </c>
      <c r="BI125" s="207">
        <v>0</v>
      </c>
      <c r="BJ125" s="207">
        <v>0</v>
      </c>
      <c r="BK125" s="207">
        <v>0</v>
      </c>
      <c r="BL125" s="207">
        <v>0</v>
      </c>
      <c r="BM125" s="207">
        <v>0</v>
      </c>
      <c r="BN125" s="207">
        <v>0</v>
      </c>
      <c r="BO125" s="207">
        <v>0</v>
      </c>
      <c r="BP125" s="207">
        <v>0</v>
      </c>
      <c r="BQ125" s="207">
        <v>0</v>
      </c>
      <c r="BR125" s="207">
        <v>0</v>
      </c>
      <c r="BS125" s="207">
        <v>0</v>
      </c>
      <c r="BT125" s="207">
        <v>0</v>
      </c>
      <c r="BU125" s="207">
        <v>0</v>
      </c>
      <c r="BV125" s="207">
        <v>0</v>
      </c>
      <c r="BW125" s="207">
        <v>0</v>
      </c>
      <c r="BX125" s="207">
        <v>0</v>
      </c>
      <c r="BY125" s="207">
        <v>0</v>
      </c>
      <c r="BZ125" s="207">
        <v>0</v>
      </c>
      <c r="CA125" s="207">
        <v>0</v>
      </c>
      <c r="CB125" s="207">
        <v>0</v>
      </c>
      <c r="CC125" s="207">
        <v>0</v>
      </c>
      <c r="CD125" s="207">
        <v>0</v>
      </c>
      <c r="CE125" s="207">
        <v>0</v>
      </c>
      <c r="CF125" s="207">
        <v>0</v>
      </c>
      <c r="CG125" s="147"/>
      <c r="CH125" s="176"/>
      <c r="CJ125" s="146"/>
      <c r="CK125" s="76">
        <f t="shared" ca="1" si="90"/>
        <v>0.32665643326667415</v>
      </c>
      <c r="CL125" s="179">
        <f t="shared" si="91"/>
        <v>8</v>
      </c>
      <c r="CM125" s="180">
        <f t="shared" si="92"/>
        <v>39747</v>
      </c>
      <c r="CN125" s="208">
        <v>1</v>
      </c>
      <c r="CO125" s="208">
        <v>10</v>
      </c>
      <c r="CP125" s="208">
        <v>1</v>
      </c>
      <c r="CQ125" s="208">
        <v>0</v>
      </c>
      <c r="CR125" s="208">
        <v>0</v>
      </c>
      <c r="CS125" s="208">
        <v>0</v>
      </c>
      <c r="CT125" s="208">
        <v>0</v>
      </c>
      <c r="CU125" s="208">
        <v>0</v>
      </c>
      <c r="CV125" s="160"/>
      <c r="CW125" s="178">
        <v>1</v>
      </c>
      <c r="CX125">
        <f>350/52</f>
        <v>6.7307692307692308</v>
      </c>
      <c r="CY125" s="164"/>
      <c r="CZ125" s="177">
        <f t="shared" si="93"/>
        <v>9.6000000000000002E-2</v>
      </c>
      <c r="DB125" s="146"/>
      <c r="DC125" s="76">
        <f t="shared" ca="1" si="51"/>
        <v>0.6993653154036239</v>
      </c>
      <c r="DD125">
        <f t="shared" si="94"/>
        <v>8</v>
      </c>
      <c r="DE125" s="129">
        <f t="shared" si="130"/>
        <v>39747</v>
      </c>
      <c r="DF125" s="161">
        <f t="shared" si="95"/>
        <v>70.112179487179489</v>
      </c>
      <c r="DG125" s="161">
        <f t="shared" si="96"/>
        <v>701.1217948717948</v>
      </c>
      <c r="DH125" s="161">
        <f t="shared" si="97"/>
        <v>70.112179487179489</v>
      </c>
      <c r="DI125" s="161">
        <f t="shared" si="98"/>
        <v>0</v>
      </c>
      <c r="DJ125" s="161">
        <f t="shared" si="99"/>
        <v>10.416666666666666</v>
      </c>
      <c r="DK125" s="161">
        <f t="shared" si="100"/>
        <v>0</v>
      </c>
      <c r="DL125" s="161">
        <f t="shared" si="101"/>
        <v>0</v>
      </c>
      <c r="DM125" s="161">
        <f t="shared" si="102"/>
        <v>0</v>
      </c>
      <c r="DN125" s="161">
        <f t="shared" si="103"/>
        <v>0</v>
      </c>
      <c r="DO125" s="161">
        <f t="shared" si="104"/>
        <v>0</v>
      </c>
      <c r="DP125" s="161">
        <f t="shared" si="105"/>
        <v>0</v>
      </c>
      <c r="DQ125" s="161">
        <f t="shared" si="106"/>
        <v>0</v>
      </c>
      <c r="DR125" s="161">
        <f t="shared" si="107"/>
        <v>0</v>
      </c>
      <c r="DS125" s="161">
        <f t="shared" si="108"/>
        <v>0</v>
      </c>
      <c r="DT125" s="161">
        <f t="shared" si="109"/>
        <v>0</v>
      </c>
      <c r="DU125" s="161">
        <f t="shared" si="110"/>
        <v>0</v>
      </c>
      <c r="DV125" s="161">
        <f t="shared" si="111"/>
        <v>0</v>
      </c>
      <c r="DW125" s="161">
        <f t="shared" si="112"/>
        <v>0</v>
      </c>
      <c r="DX125" s="161">
        <f t="shared" si="113"/>
        <v>0</v>
      </c>
      <c r="DY125" s="161">
        <f t="shared" si="114"/>
        <v>0</v>
      </c>
      <c r="DZ125" s="161">
        <f t="shared" si="115"/>
        <v>0</v>
      </c>
      <c r="EA125" s="161">
        <f t="shared" si="116"/>
        <v>0</v>
      </c>
      <c r="EB125" s="161">
        <f t="shared" si="117"/>
        <v>0</v>
      </c>
      <c r="EC125" s="161">
        <f t="shared" si="118"/>
        <v>0</v>
      </c>
      <c r="ED125" s="161">
        <f t="shared" si="119"/>
        <v>0</v>
      </c>
      <c r="EE125" s="161">
        <f t="shared" si="120"/>
        <v>0</v>
      </c>
      <c r="EF125" s="161">
        <f t="shared" si="121"/>
        <v>0</v>
      </c>
      <c r="EG125" s="161">
        <f t="shared" si="122"/>
        <v>0</v>
      </c>
      <c r="EH125" s="161">
        <f t="shared" si="123"/>
        <v>0</v>
      </c>
      <c r="EI125" s="161">
        <f t="shared" si="124"/>
        <v>0</v>
      </c>
      <c r="EJ125" s="161">
        <f t="shared" si="125"/>
        <v>0</v>
      </c>
      <c r="EK125" s="147">
        <f t="shared" si="132"/>
        <v>851.76282051282033</v>
      </c>
      <c r="EL125" s="149"/>
      <c r="EN125" s="146"/>
      <c r="EO125" s="146"/>
      <c r="EP125" s="139">
        <f t="shared" si="133"/>
        <v>0.12729892617484492</v>
      </c>
      <c r="EQ125" s="139">
        <f t="shared" si="134"/>
        <v>8.0848457532051263</v>
      </c>
      <c r="ER125" s="139">
        <f t="shared" si="135"/>
        <v>5.1347433020244502</v>
      </c>
      <c r="ES125" s="139">
        <f t="shared" si="136"/>
        <v>0</v>
      </c>
      <c r="ET125" s="139">
        <f t="shared" si="137"/>
        <v>4.8450809197869589</v>
      </c>
      <c r="EU125" s="139">
        <f t="shared" si="138"/>
        <v>0</v>
      </c>
      <c r="EV125" s="139">
        <f t="shared" si="139"/>
        <v>0</v>
      </c>
      <c r="EW125" s="139">
        <f t="shared" si="140"/>
        <v>0</v>
      </c>
      <c r="EX125" s="139">
        <f t="shared" si="141"/>
        <v>0</v>
      </c>
      <c r="EY125" s="139">
        <f t="shared" si="142"/>
        <v>0</v>
      </c>
      <c r="EZ125" s="139">
        <f t="shared" si="143"/>
        <v>0</v>
      </c>
      <c r="FA125" s="139">
        <f t="shared" si="144"/>
        <v>0</v>
      </c>
      <c r="FB125" s="139">
        <f t="shared" si="145"/>
        <v>0</v>
      </c>
      <c r="FC125" s="139">
        <f t="shared" si="146"/>
        <v>0</v>
      </c>
      <c r="FD125" s="139">
        <f t="shared" si="147"/>
        <v>0</v>
      </c>
      <c r="FE125" s="139">
        <f t="shared" si="148"/>
        <v>0</v>
      </c>
      <c r="FF125" s="139">
        <f t="shared" si="149"/>
        <v>0</v>
      </c>
      <c r="FG125" s="139">
        <f t="shared" si="150"/>
        <v>0</v>
      </c>
      <c r="FH125" s="139">
        <f t="shared" si="151"/>
        <v>0</v>
      </c>
      <c r="FI125" s="139">
        <f t="shared" si="152"/>
        <v>0</v>
      </c>
      <c r="FJ125" s="139">
        <f t="shared" si="153"/>
        <v>0</v>
      </c>
      <c r="FK125" s="139">
        <f t="shared" si="154"/>
        <v>0</v>
      </c>
      <c r="FL125" s="139">
        <f t="shared" si="155"/>
        <v>0</v>
      </c>
      <c r="FM125" s="139">
        <f t="shared" si="156"/>
        <v>0</v>
      </c>
      <c r="FN125" s="139">
        <f t="shared" si="157"/>
        <v>0</v>
      </c>
      <c r="FO125" s="139">
        <f t="shared" si="158"/>
        <v>0</v>
      </c>
      <c r="FP125" s="139">
        <f t="shared" si="159"/>
        <v>0</v>
      </c>
      <c r="FQ125" s="139">
        <f t="shared" si="160"/>
        <v>0</v>
      </c>
      <c r="FR125" s="139">
        <f t="shared" si="161"/>
        <v>0</v>
      </c>
      <c r="FS125" s="139">
        <f t="shared" si="162"/>
        <v>0</v>
      </c>
      <c r="FT125" s="139">
        <f t="shared" si="163"/>
        <v>0</v>
      </c>
      <c r="FU125" s="148">
        <f t="shared" si="164"/>
        <v>18.19196890119138</v>
      </c>
      <c r="FV125" s="149"/>
      <c r="FY125" s="213">
        <v>120</v>
      </c>
      <c r="FZ125">
        <v>67.240264587483992</v>
      </c>
      <c r="GA125">
        <v>43.288488115975646</v>
      </c>
      <c r="GB125">
        <v>4.5384973959507198</v>
      </c>
      <c r="GC125">
        <v>4.7135144399682973</v>
      </c>
      <c r="GD125">
        <v>5.0347890886192808</v>
      </c>
      <c r="GE125">
        <v>5.4082557222783469</v>
      </c>
      <c r="GF125">
        <v>15.179160549134387</v>
      </c>
      <c r="GG125">
        <v>16.781484356948496</v>
      </c>
      <c r="GH125">
        <v>19.451591961261027</v>
      </c>
      <c r="GI125">
        <v>19.693001570033108</v>
      </c>
      <c r="GJ125"/>
      <c r="GK125"/>
      <c r="GL125"/>
      <c r="GM125"/>
      <c r="GN125" s="208"/>
      <c r="GO125" s="208"/>
      <c r="GP125" s="208"/>
      <c r="GQ125" s="208"/>
      <c r="GR125" s="208"/>
      <c r="GS125" s="208"/>
      <c r="GT125" s="208"/>
      <c r="GU125" s="213">
        <v>120</v>
      </c>
    </row>
    <row r="126" spans="1:203" s="7" customFormat="1">
      <c r="A126" s="1"/>
      <c r="B126" s="76">
        <f ca="1">IF(C126="", "", RAND())</f>
        <v>0.58371168899739256</v>
      </c>
      <c r="C126">
        <v>5</v>
      </c>
      <c r="D126">
        <v>39747</v>
      </c>
      <c r="E126">
        <v>0</v>
      </c>
      <c r="F126">
        <v>773.3585858585858</v>
      </c>
      <c r="G126">
        <v>110.47979797979797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 s="2"/>
      <c r="AK126" s="80"/>
      <c r="AL126" s="74"/>
      <c r="AM126" s="43">
        <v>110</v>
      </c>
      <c r="AN126">
        <v>346.37727960845547</v>
      </c>
      <c r="AO126">
        <v>35.996111431175841</v>
      </c>
      <c r="AP126">
        <v>84.798109855769439</v>
      </c>
      <c r="AQ126">
        <v>273.72346978285259</v>
      </c>
      <c r="AR126">
        <v>39.022001799815726</v>
      </c>
      <c r="AS126">
        <v>334.5640391964609</v>
      </c>
      <c r="AT126">
        <v>17.009306755435869</v>
      </c>
      <c r="AU126">
        <v>-5.3624425172234851</v>
      </c>
      <c r="AV126"/>
      <c r="AW126"/>
      <c r="AX126" s="146"/>
      <c r="AY126" s="76">
        <f t="shared" ca="1" si="88"/>
        <v>2.2974814160863666E-2</v>
      </c>
      <c r="AZ126">
        <v>9</v>
      </c>
      <c r="BA126" s="129">
        <f t="shared" si="131"/>
        <v>39747</v>
      </c>
      <c r="BB126" s="207">
        <v>0</v>
      </c>
      <c r="BC126" s="207">
        <v>0</v>
      </c>
      <c r="BD126" s="207">
        <v>0</v>
      </c>
      <c r="BE126" s="207">
        <v>0</v>
      </c>
      <c r="BF126" s="207">
        <v>0</v>
      </c>
      <c r="BG126" s="207">
        <v>0</v>
      </c>
      <c r="BH126" s="207">
        <v>0</v>
      </c>
      <c r="BI126" s="207">
        <v>0</v>
      </c>
      <c r="BJ126" s="207">
        <v>0</v>
      </c>
      <c r="BK126" s="207">
        <v>0</v>
      </c>
      <c r="BL126" s="207">
        <v>0</v>
      </c>
      <c r="BM126" s="207">
        <v>0</v>
      </c>
      <c r="BN126" s="207">
        <v>0</v>
      </c>
      <c r="BO126" s="207">
        <v>0</v>
      </c>
      <c r="BP126" s="207">
        <v>0</v>
      </c>
      <c r="BQ126" s="207">
        <v>0</v>
      </c>
      <c r="BR126" s="207">
        <v>0</v>
      </c>
      <c r="BS126" s="207">
        <v>0</v>
      </c>
      <c r="BT126" s="207">
        <v>0</v>
      </c>
      <c r="BU126" s="207">
        <v>0</v>
      </c>
      <c r="BV126" s="207">
        <v>0</v>
      </c>
      <c r="BW126" s="207">
        <v>0</v>
      </c>
      <c r="BX126" s="207">
        <v>0</v>
      </c>
      <c r="BY126" s="207">
        <v>0</v>
      </c>
      <c r="BZ126" s="207">
        <v>0</v>
      </c>
      <c r="CA126" s="207">
        <v>0</v>
      </c>
      <c r="CB126" s="207">
        <v>0</v>
      </c>
      <c r="CC126" s="207">
        <v>0</v>
      </c>
      <c r="CD126" s="207">
        <v>0</v>
      </c>
      <c r="CE126" s="207">
        <v>0</v>
      </c>
      <c r="CF126" s="207">
        <v>0</v>
      </c>
      <c r="CG126" s="147"/>
      <c r="CH126" s="176"/>
      <c r="CJ126" s="146"/>
      <c r="CK126" s="76">
        <f t="shared" ca="1" si="90"/>
        <v>0.11670627092975838</v>
      </c>
      <c r="CL126" s="179">
        <f t="shared" si="91"/>
        <v>9</v>
      </c>
      <c r="CM126" s="180">
        <f t="shared" si="92"/>
        <v>39747</v>
      </c>
      <c r="CN126" s="208">
        <v>0</v>
      </c>
      <c r="CO126" s="208">
        <v>4</v>
      </c>
      <c r="CP126" s="208">
        <v>0</v>
      </c>
      <c r="CQ126" s="208">
        <v>0</v>
      </c>
      <c r="CR126" s="208">
        <v>0</v>
      </c>
      <c r="CS126" s="208">
        <v>0</v>
      </c>
      <c r="CT126" s="208">
        <v>0</v>
      </c>
      <c r="CU126" s="208">
        <v>0</v>
      </c>
      <c r="CV126" s="160"/>
      <c r="CW126" s="178">
        <v>1</v>
      </c>
      <c r="CX126">
        <f>350/41</f>
        <v>8.536585365853659</v>
      </c>
      <c r="CY126" s="164"/>
      <c r="CZ126" s="177">
        <f t="shared" si="93"/>
        <v>9.6000000000000002E-2</v>
      </c>
      <c r="DB126" s="146"/>
      <c r="DC126" s="76">
        <f t="shared" ca="1" si="51"/>
        <v>0.13069920594553786</v>
      </c>
      <c r="DD126">
        <f t="shared" si="94"/>
        <v>9</v>
      </c>
      <c r="DE126" s="129">
        <f t="shared" si="130"/>
        <v>39747</v>
      </c>
      <c r="DF126" s="161">
        <f t="shared" si="95"/>
        <v>0</v>
      </c>
      <c r="DG126" s="161">
        <f t="shared" si="96"/>
        <v>355.6910569105691</v>
      </c>
      <c r="DH126" s="161">
        <f t="shared" si="97"/>
        <v>0</v>
      </c>
      <c r="DI126" s="161">
        <f t="shared" si="98"/>
        <v>0</v>
      </c>
      <c r="DJ126" s="161">
        <f t="shared" si="99"/>
        <v>0</v>
      </c>
      <c r="DK126" s="161">
        <f t="shared" si="100"/>
        <v>0</v>
      </c>
      <c r="DL126" s="161">
        <f t="shared" si="101"/>
        <v>0</v>
      </c>
      <c r="DM126" s="161">
        <f t="shared" si="102"/>
        <v>0</v>
      </c>
      <c r="DN126" s="161">
        <f t="shared" si="103"/>
        <v>0</v>
      </c>
      <c r="DO126" s="161">
        <f t="shared" si="104"/>
        <v>0</v>
      </c>
      <c r="DP126" s="161">
        <f t="shared" si="105"/>
        <v>0</v>
      </c>
      <c r="DQ126" s="161">
        <f t="shared" si="106"/>
        <v>0</v>
      </c>
      <c r="DR126" s="161">
        <f t="shared" si="107"/>
        <v>0</v>
      </c>
      <c r="DS126" s="161">
        <f t="shared" si="108"/>
        <v>0</v>
      </c>
      <c r="DT126" s="161">
        <f t="shared" si="109"/>
        <v>0</v>
      </c>
      <c r="DU126" s="161">
        <f t="shared" si="110"/>
        <v>0</v>
      </c>
      <c r="DV126" s="161">
        <f t="shared" si="111"/>
        <v>0</v>
      </c>
      <c r="DW126" s="161">
        <f t="shared" si="112"/>
        <v>0</v>
      </c>
      <c r="DX126" s="161">
        <f t="shared" si="113"/>
        <v>0</v>
      </c>
      <c r="DY126" s="161">
        <f t="shared" si="114"/>
        <v>0</v>
      </c>
      <c r="DZ126" s="161">
        <f t="shared" si="115"/>
        <v>0</v>
      </c>
      <c r="EA126" s="161">
        <f t="shared" si="116"/>
        <v>0</v>
      </c>
      <c r="EB126" s="161">
        <f t="shared" si="117"/>
        <v>0</v>
      </c>
      <c r="EC126" s="161">
        <f t="shared" si="118"/>
        <v>0</v>
      </c>
      <c r="ED126" s="161">
        <f t="shared" si="119"/>
        <v>0</v>
      </c>
      <c r="EE126" s="161">
        <f t="shared" si="120"/>
        <v>0</v>
      </c>
      <c r="EF126" s="161">
        <f t="shared" si="121"/>
        <v>0</v>
      </c>
      <c r="EG126" s="161">
        <f t="shared" si="122"/>
        <v>0</v>
      </c>
      <c r="EH126" s="161">
        <f t="shared" si="123"/>
        <v>0</v>
      </c>
      <c r="EI126" s="161">
        <f t="shared" si="124"/>
        <v>0</v>
      </c>
      <c r="EJ126" s="161">
        <f t="shared" si="125"/>
        <v>0</v>
      </c>
      <c r="EK126" s="147">
        <f t="shared" si="132"/>
        <v>355.6910569105691</v>
      </c>
      <c r="EL126" s="149"/>
      <c r="EN126" s="146"/>
      <c r="EO126" s="146"/>
      <c r="EP126" s="139">
        <f t="shared" si="133"/>
        <v>0</v>
      </c>
      <c r="EQ126" s="139">
        <f t="shared" si="134"/>
        <v>4.1015802845528455</v>
      </c>
      <c r="ER126" s="139">
        <f t="shared" si="135"/>
        <v>0</v>
      </c>
      <c r="ES126" s="139">
        <f t="shared" si="136"/>
        <v>0</v>
      </c>
      <c r="ET126" s="139">
        <f t="shared" si="137"/>
        <v>0</v>
      </c>
      <c r="EU126" s="139">
        <f t="shared" si="138"/>
        <v>0</v>
      </c>
      <c r="EV126" s="139">
        <f t="shared" si="139"/>
        <v>0</v>
      </c>
      <c r="EW126" s="139">
        <f t="shared" si="140"/>
        <v>0</v>
      </c>
      <c r="EX126" s="139">
        <f t="shared" si="141"/>
        <v>0</v>
      </c>
      <c r="EY126" s="139">
        <f t="shared" si="142"/>
        <v>0</v>
      </c>
      <c r="EZ126" s="139">
        <f t="shared" si="143"/>
        <v>0</v>
      </c>
      <c r="FA126" s="139">
        <f t="shared" si="144"/>
        <v>0</v>
      </c>
      <c r="FB126" s="139">
        <f t="shared" si="145"/>
        <v>0</v>
      </c>
      <c r="FC126" s="139">
        <f t="shared" si="146"/>
        <v>0</v>
      </c>
      <c r="FD126" s="139">
        <f t="shared" si="147"/>
        <v>0</v>
      </c>
      <c r="FE126" s="139">
        <f t="shared" si="148"/>
        <v>0</v>
      </c>
      <c r="FF126" s="139">
        <f t="shared" si="149"/>
        <v>0</v>
      </c>
      <c r="FG126" s="139">
        <f t="shared" si="150"/>
        <v>0</v>
      </c>
      <c r="FH126" s="139">
        <f t="shared" si="151"/>
        <v>0</v>
      </c>
      <c r="FI126" s="139">
        <f t="shared" si="152"/>
        <v>0</v>
      </c>
      <c r="FJ126" s="139">
        <f t="shared" si="153"/>
        <v>0</v>
      </c>
      <c r="FK126" s="139">
        <f t="shared" si="154"/>
        <v>0</v>
      </c>
      <c r="FL126" s="139">
        <f t="shared" si="155"/>
        <v>0</v>
      </c>
      <c r="FM126" s="139">
        <f t="shared" si="156"/>
        <v>0</v>
      </c>
      <c r="FN126" s="139">
        <f t="shared" si="157"/>
        <v>0</v>
      </c>
      <c r="FO126" s="139">
        <f t="shared" si="158"/>
        <v>0</v>
      </c>
      <c r="FP126" s="139">
        <f t="shared" si="159"/>
        <v>0</v>
      </c>
      <c r="FQ126" s="139">
        <f t="shared" si="160"/>
        <v>0</v>
      </c>
      <c r="FR126" s="139">
        <f t="shared" si="161"/>
        <v>0</v>
      </c>
      <c r="FS126" s="139">
        <f t="shared" si="162"/>
        <v>0</v>
      </c>
      <c r="FT126" s="139">
        <f t="shared" si="163"/>
        <v>0</v>
      </c>
      <c r="FU126" s="148">
        <f t="shared" si="164"/>
        <v>4.1015802845528455</v>
      </c>
      <c r="FV126" s="149"/>
      <c r="FY126" s="213">
        <v>121</v>
      </c>
      <c r="FZ126">
        <v>41.115167828398789</v>
      </c>
      <c r="GA126">
        <v>40.020144244565309</v>
      </c>
      <c r="GB126">
        <v>11.555415665879595</v>
      </c>
      <c r="GC126">
        <v>7.3991812725309636</v>
      </c>
      <c r="GD126">
        <v>6.9239051775917888</v>
      </c>
      <c r="GE126">
        <v>6.2632512691874069</v>
      </c>
      <c r="GF126">
        <v>22.083153032921643</v>
      </c>
      <c r="GG126">
        <v>19.970095460129333</v>
      </c>
      <c r="GH126">
        <v>19.218782694399486</v>
      </c>
      <c r="GI126">
        <v>20.383342074922787</v>
      </c>
      <c r="GJ126"/>
      <c r="GK126"/>
      <c r="GL126"/>
      <c r="GM126"/>
      <c r="GN126" s="208"/>
      <c r="GO126" s="208"/>
      <c r="GP126" s="208"/>
      <c r="GQ126" s="208"/>
      <c r="GR126" s="208"/>
      <c r="GS126" s="208"/>
      <c r="GT126" s="208"/>
      <c r="GU126" s="213">
        <v>121</v>
      </c>
    </row>
    <row r="127" spans="1:203" s="7" customFormat="1">
      <c r="A127" s="1"/>
      <c r="B127" s="76">
        <f ca="1">IF(C127="", "", RAND())</f>
        <v>0.74084739164065039</v>
      </c>
      <c r="C127">
        <v>7</v>
      </c>
      <c r="D127">
        <v>39747</v>
      </c>
      <c r="E127">
        <v>0</v>
      </c>
      <c r="F127">
        <v>297.61904761904765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 s="2"/>
      <c r="AK127" s="80"/>
      <c r="AL127" s="74"/>
      <c r="AM127" s="43">
        <v>111</v>
      </c>
      <c r="AN127">
        <v>278.90713366926343</v>
      </c>
      <c r="AO127">
        <v>28.938325225815799</v>
      </c>
      <c r="AP127">
        <v>47.851298040200938</v>
      </c>
      <c r="AQ127">
        <v>210.52043605497286</v>
      </c>
      <c r="AR127">
        <v>29.836091109933541</v>
      </c>
      <c r="AS127">
        <v>254.5084982144769</v>
      </c>
      <c r="AT127">
        <v>13.177591997502107</v>
      </c>
      <c r="AU127">
        <v>15.490135139377049</v>
      </c>
      <c r="AV127"/>
      <c r="AW127"/>
      <c r="AX127" s="146"/>
      <c r="AY127" s="76">
        <f t="shared" ca="1" si="88"/>
        <v>0.70094477177074754</v>
      </c>
      <c r="AZ127">
        <v>10</v>
      </c>
      <c r="BA127" s="129">
        <f t="shared" si="131"/>
        <v>39747</v>
      </c>
      <c r="BB127" s="207">
        <v>0</v>
      </c>
      <c r="BC127" s="207">
        <v>0</v>
      </c>
      <c r="BD127" s="207">
        <v>0</v>
      </c>
      <c r="BE127" s="207">
        <v>0</v>
      </c>
      <c r="BF127" s="207">
        <v>0</v>
      </c>
      <c r="BG127" s="207">
        <v>0</v>
      </c>
      <c r="BH127" s="207">
        <v>0</v>
      </c>
      <c r="BI127" s="207">
        <v>0</v>
      </c>
      <c r="BJ127" s="207">
        <v>0</v>
      </c>
      <c r="BK127" s="207">
        <v>0</v>
      </c>
      <c r="BL127" s="207">
        <v>0</v>
      </c>
      <c r="BM127" s="207">
        <v>0</v>
      </c>
      <c r="BN127" s="207">
        <v>0</v>
      </c>
      <c r="BO127" s="207">
        <v>0</v>
      </c>
      <c r="BP127" s="207">
        <v>0</v>
      </c>
      <c r="BQ127" s="207">
        <v>0</v>
      </c>
      <c r="BR127" s="207">
        <v>0</v>
      </c>
      <c r="BS127" s="207">
        <v>0</v>
      </c>
      <c r="BT127" s="207">
        <v>0</v>
      </c>
      <c r="BU127" s="207">
        <v>0</v>
      </c>
      <c r="BV127" s="207">
        <v>0</v>
      </c>
      <c r="BW127" s="207">
        <v>0</v>
      </c>
      <c r="BX127" s="207">
        <v>0</v>
      </c>
      <c r="BY127" s="207">
        <v>0</v>
      </c>
      <c r="BZ127" s="207">
        <v>0</v>
      </c>
      <c r="CA127" s="207">
        <v>0</v>
      </c>
      <c r="CB127" s="207">
        <v>0</v>
      </c>
      <c r="CC127" s="207">
        <v>0</v>
      </c>
      <c r="CD127" s="207">
        <v>0</v>
      </c>
      <c r="CE127" s="207">
        <v>0</v>
      </c>
      <c r="CF127" s="207">
        <v>0</v>
      </c>
      <c r="CG127" s="147"/>
      <c r="CH127" s="176"/>
      <c r="CJ127" s="146"/>
      <c r="CK127" s="76">
        <f t="shared" ca="1" si="90"/>
        <v>0.26784448284784035</v>
      </c>
      <c r="CL127" s="179">
        <f t="shared" si="91"/>
        <v>10</v>
      </c>
      <c r="CM127" s="180">
        <f t="shared" si="92"/>
        <v>39747</v>
      </c>
      <c r="CN127" s="208">
        <v>1</v>
      </c>
      <c r="CO127" s="208">
        <v>6</v>
      </c>
      <c r="CP127" s="208">
        <v>0</v>
      </c>
      <c r="CQ127" s="208">
        <v>0</v>
      </c>
      <c r="CR127" s="208">
        <v>0</v>
      </c>
      <c r="CS127" s="208">
        <v>0</v>
      </c>
      <c r="CT127" s="208">
        <v>0</v>
      </c>
      <c r="CU127" s="208">
        <v>0</v>
      </c>
      <c r="CV127" s="160"/>
      <c r="CW127" s="178">
        <v>1</v>
      </c>
      <c r="CX127">
        <f>350/56</f>
        <v>6.25</v>
      </c>
      <c r="CY127" s="164"/>
      <c r="CZ127" s="177">
        <f t="shared" si="93"/>
        <v>9.6000000000000002E-2</v>
      </c>
      <c r="DB127" s="146"/>
      <c r="DC127" s="76">
        <f t="shared" ca="1" si="51"/>
        <v>0.43251116645240328</v>
      </c>
      <c r="DD127">
        <f t="shared" si="94"/>
        <v>10</v>
      </c>
      <c r="DE127" s="129">
        <f t="shared" si="130"/>
        <v>39747</v>
      </c>
      <c r="DF127" s="161">
        <f t="shared" si="95"/>
        <v>65.104166666666671</v>
      </c>
      <c r="DG127" s="161">
        <f t="shared" si="96"/>
        <v>390.625</v>
      </c>
      <c r="DH127" s="161">
        <f t="shared" si="97"/>
        <v>0</v>
      </c>
      <c r="DI127" s="161">
        <f t="shared" si="98"/>
        <v>0</v>
      </c>
      <c r="DJ127" s="161">
        <f t="shared" si="99"/>
        <v>0</v>
      </c>
      <c r="DK127" s="161">
        <f t="shared" si="100"/>
        <v>0</v>
      </c>
      <c r="DL127" s="161">
        <f t="shared" si="101"/>
        <v>0</v>
      </c>
      <c r="DM127" s="161">
        <f t="shared" si="102"/>
        <v>0</v>
      </c>
      <c r="DN127" s="161">
        <f t="shared" si="103"/>
        <v>0</v>
      </c>
      <c r="DO127" s="161">
        <f t="shared" si="104"/>
        <v>0</v>
      </c>
      <c r="DP127" s="161">
        <f t="shared" si="105"/>
        <v>0</v>
      </c>
      <c r="DQ127" s="161">
        <f t="shared" si="106"/>
        <v>0</v>
      </c>
      <c r="DR127" s="161">
        <f t="shared" si="107"/>
        <v>0</v>
      </c>
      <c r="DS127" s="161">
        <f t="shared" si="108"/>
        <v>0</v>
      </c>
      <c r="DT127" s="161">
        <f t="shared" si="109"/>
        <v>0</v>
      </c>
      <c r="DU127" s="161">
        <f t="shared" si="110"/>
        <v>0</v>
      </c>
      <c r="DV127" s="161">
        <f t="shared" si="111"/>
        <v>0</v>
      </c>
      <c r="DW127" s="161">
        <f t="shared" si="112"/>
        <v>0</v>
      </c>
      <c r="DX127" s="161">
        <f t="shared" si="113"/>
        <v>0</v>
      </c>
      <c r="DY127" s="161">
        <f t="shared" si="114"/>
        <v>0</v>
      </c>
      <c r="DZ127" s="161">
        <f t="shared" si="115"/>
        <v>0</v>
      </c>
      <c r="EA127" s="161">
        <f t="shared" si="116"/>
        <v>0</v>
      </c>
      <c r="EB127" s="161">
        <f t="shared" si="117"/>
        <v>0</v>
      </c>
      <c r="EC127" s="161">
        <f t="shared" si="118"/>
        <v>0</v>
      </c>
      <c r="ED127" s="161">
        <f t="shared" si="119"/>
        <v>0</v>
      </c>
      <c r="EE127" s="161">
        <f t="shared" si="120"/>
        <v>0</v>
      </c>
      <c r="EF127" s="161">
        <f t="shared" si="121"/>
        <v>0</v>
      </c>
      <c r="EG127" s="161">
        <f t="shared" si="122"/>
        <v>0</v>
      </c>
      <c r="EH127" s="161">
        <f t="shared" si="123"/>
        <v>0</v>
      </c>
      <c r="EI127" s="161">
        <f t="shared" si="124"/>
        <v>0</v>
      </c>
      <c r="EJ127" s="161">
        <f t="shared" si="125"/>
        <v>0</v>
      </c>
      <c r="EK127" s="147">
        <f t="shared" si="132"/>
        <v>455.72916666666669</v>
      </c>
      <c r="EL127" s="149"/>
      <c r="EN127" s="146"/>
      <c r="EO127" s="146"/>
      <c r="EP127" s="139">
        <f t="shared" si="133"/>
        <v>0.11820614573378457</v>
      </c>
      <c r="EQ127" s="139">
        <f t="shared" si="134"/>
        <v>4.5044140624999995</v>
      </c>
      <c r="ER127" s="139">
        <f t="shared" si="135"/>
        <v>0</v>
      </c>
      <c r="ES127" s="139">
        <f t="shared" si="136"/>
        <v>0</v>
      </c>
      <c r="ET127" s="139">
        <f t="shared" si="137"/>
        <v>0</v>
      </c>
      <c r="EU127" s="139">
        <f t="shared" si="138"/>
        <v>0</v>
      </c>
      <c r="EV127" s="139">
        <f t="shared" si="139"/>
        <v>0</v>
      </c>
      <c r="EW127" s="139">
        <f t="shared" si="140"/>
        <v>0</v>
      </c>
      <c r="EX127" s="139">
        <f t="shared" si="141"/>
        <v>0</v>
      </c>
      <c r="EY127" s="139">
        <f t="shared" si="142"/>
        <v>0</v>
      </c>
      <c r="EZ127" s="139">
        <f t="shared" si="143"/>
        <v>0</v>
      </c>
      <c r="FA127" s="139">
        <f t="shared" si="144"/>
        <v>0</v>
      </c>
      <c r="FB127" s="139">
        <f t="shared" si="145"/>
        <v>0</v>
      </c>
      <c r="FC127" s="139">
        <f t="shared" si="146"/>
        <v>0</v>
      </c>
      <c r="FD127" s="139">
        <f t="shared" si="147"/>
        <v>0</v>
      </c>
      <c r="FE127" s="139">
        <f t="shared" si="148"/>
        <v>0</v>
      </c>
      <c r="FF127" s="139">
        <f t="shared" si="149"/>
        <v>0</v>
      </c>
      <c r="FG127" s="139">
        <f t="shared" si="150"/>
        <v>0</v>
      </c>
      <c r="FH127" s="139">
        <f t="shared" si="151"/>
        <v>0</v>
      </c>
      <c r="FI127" s="139">
        <f t="shared" si="152"/>
        <v>0</v>
      </c>
      <c r="FJ127" s="139">
        <f t="shared" si="153"/>
        <v>0</v>
      </c>
      <c r="FK127" s="139">
        <f t="shared" si="154"/>
        <v>0</v>
      </c>
      <c r="FL127" s="139">
        <f t="shared" si="155"/>
        <v>0</v>
      </c>
      <c r="FM127" s="139">
        <f t="shared" si="156"/>
        <v>0</v>
      </c>
      <c r="FN127" s="139">
        <f t="shared" si="157"/>
        <v>0</v>
      </c>
      <c r="FO127" s="139">
        <f t="shared" si="158"/>
        <v>0</v>
      </c>
      <c r="FP127" s="139">
        <f t="shared" si="159"/>
        <v>0</v>
      </c>
      <c r="FQ127" s="139">
        <f t="shared" si="160"/>
        <v>0</v>
      </c>
      <c r="FR127" s="139">
        <f t="shared" si="161"/>
        <v>0</v>
      </c>
      <c r="FS127" s="139">
        <f t="shared" si="162"/>
        <v>0</v>
      </c>
      <c r="FT127" s="139">
        <f t="shared" si="163"/>
        <v>0</v>
      </c>
      <c r="FU127" s="148">
        <f t="shared" si="164"/>
        <v>4.6226202082337844</v>
      </c>
      <c r="FV127" s="149"/>
      <c r="FY127" s="213">
        <v>122</v>
      </c>
      <c r="FZ127">
        <v>55.767900981082661</v>
      </c>
      <c r="GA127">
        <v>65.958933772215687</v>
      </c>
      <c r="GB127">
        <v>16.040188657748427</v>
      </c>
      <c r="GC127">
        <v>8.4913660250271086</v>
      </c>
      <c r="GD127">
        <v>6.3693233476196074</v>
      </c>
      <c r="GE127">
        <v>4.5164260084584003</v>
      </c>
      <c r="GF127">
        <v>5.5975224137205348</v>
      </c>
      <c r="GG127">
        <v>5.6463104062807368</v>
      </c>
      <c r="GH127">
        <v>15.600242416383576</v>
      </c>
      <c r="GI127">
        <v>19.932857360244483</v>
      </c>
      <c r="GJ127"/>
      <c r="GK127"/>
      <c r="GL127"/>
      <c r="GM127"/>
      <c r="GN127" s="208"/>
      <c r="GO127" s="208"/>
      <c r="GP127" s="208"/>
      <c r="GQ127" s="208"/>
      <c r="GR127" s="208"/>
      <c r="GS127" s="208"/>
      <c r="GT127" s="208"/>
      <c r="GU127" s="213">
        <v>122</v>
      </c>
    </row>
    <row r="128" spans="1:203" s="7" customFormat="1">
      <c r="A128" s="128"/>
      <c r="B128" s="76">
        <f ca="1">IF(C128="", "", RAND())</f>
        <v>0.76753874570537306</v>
      </c>
      <c r="C128">
        <v>6</v>
      </c>
      <c r="D128">
        <v>39775</v>
      </c>
      <c r="E128">
        <v>20.833333333333332</v>
      </c>
      <c r="F128">
        <v>104.16666666666667</v>
      </c>
      <c r="G128">
        <v>83.333333333333329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 s="2"/>
      <c r="AK128" s="80"/>
      <c r="AL128" s="74"/>
      <c r="AM128" s="43">
        <v>112</v>
      </c>
      <c r="AN128">
        <v>291.74316897028302</v>
      </c>
      <c r="AO128">
        <v>28.935648805686668</v>
      </c>
      <c r="AP128">
        <v>123.28633523389759</v>
      </c>
      <c r="AQ128">
        <v>219.7168671423284</v>
      </c>
      <c r="AR128">
        <v>27.548763879611794</v>
      </c>
      <c r="AS128">
        <v>248.52654611544492</v>
      </c>
      <c r="AT128">
        <v>13.59695385862701</v>
      </c>
      <c r="AU128">
        <v>16.184763467073463</v>
      </c>
      <c r="AV128"/>
      <c r="AW128"/>
      <c r="AX128" s="128"/>
      <c r="AY128" s="76">
        <f t="shared" ca="1" si="88"/>
        <v>0.28119649198380903</v>
      </c>
      <c r="AZ128">
        <v>1</v>
      </c>
      <c r="BA128" s="129">
        <f>IF(AZ128="", "",$C$8)</f>
        <v>39775</v>
      </c>
      <c r="BB128" s="207">
        <v>0</v>
      </c>
      <c r="BC128" s="207">
        <v>0</v>
      </c>
      <c r="BD128" s="207">
        <v>0</v>
      </c>
      <c r="BE128" s="207">
        <v>0</v>
      </c>
      <c r="BF128" s="207">
        <v>0</v>
      </c>
      <c r="BG128" s="207">
        <v>0</v>
      </c>
      <c r="BH128" s="207">
        <v>0</v>
      </c>
      <c r="BI128" s="207">
        <v>0</v>
      </c>
      <c r="BJ128" s="207">
        <v>0</v>
      </c>
      <c r="BK128" s="207">
        <v>0</v>
      </c>
      <c r="BL128" s="207">
        <v>0</v>
      </c>
      <c r="BM128" s="207">
        <v>0</v>
      </c>
      <c r="BN128" s="207">
        <v>0</v>
      </c>
      <c r="BO128" s="207">
        <v>0</v>
      </c>
      <c r="BP128" s="207">
        <v>0</v>
      </c>
      <c r="BQ128" s="207">
        <v>0</v>
      </c>
      <c r="BR128" s="207">
        <v>0</v>
      </c>
      <c r="BS128" s="207">
        <v>0</v>
      </c>
      <c r="BT128" s="207">
        <v>0</v>
      </c>
      <c r="BU128" s="207">
        <v>0</v>
      </c>
      <c r="BV128" s="207">
        <v>0</v>
      </c>
      <c r="BW128" s="207">
        <v>0</v>
      </c>
      <c r="BX128" s="207">
        <v>0</v>
      </c>
      <c r="BY128" s="207">
        <v>0</v>
      </c>
      <c r="BZ128" s="207">
        <v>0</v>
      </c>
      <c r="CA128" s="207">
        <v>0</v>
      </c>
      <c r="CB128" s="207">
        <v>0</v>
      </c>
      <c r="CC128" s="207">
        <v>0</v>
      </c>
      <c r="CD128" s="207">
        <v>0</v>
      </c>
      <c r="CE128" s="207">
        <v>0</v>
      </c>
      <c r="CF128" s="207">
        <v>0</v>
      </c>
      <c r="CG128" s="147"/>
      <c r="CH128" s="176"/>
      <c r="CJ128" s="128"/>
      <c r="CK128" s="76">
        <f t="shared" ca="1" si="90"/>
        <v>0.13338165007726932</v>
      </c>
      <c r="CL128" s="179">
        <f t="shared" si="91"/>
        <v>1</v>
      </c>
      <c r="CM128" s="180">
        <f t="shared" si="92"/>
        <v>39775</v>
      </c>
      <c r="CN128" s="208">
        <v>0</v>
      </c>
      <c r="CO128" s="208">
        <v>13</v>
      </c>
      <c r="CP128" s="208">
        <v>11</v>
      </c>
      <c r="CQ128" s="208">
        <v>1</v>
      </c>
      <c r="CR128" s="208">
        <v>0</v>
      </c>
      <c r="CS128" s="208">
        <v>0</v>
      </c>
      <c r="CT128" s="208">
        <v>0</v>
      </c>
      <c r="CU128" s="208">
        <v>0</v>
      </c>
      <c r="CV128" s="160"/>
      <c r="CW128">
        <f>40/13</f>
        <v>3.0769230769230771</v>
      </c>
      <c r="CX128">
        <f>21/10</f>
        <v>2.1</v>
      </c>
      <c r="CY128" s="160"/>
      <c r="CZ128" s="177">
        <f t="shared" si="93"/>
        <v>9.6000000000000002E-2</v>
      </c>
      <c r="DB128" s="128"/>
      <c r="DC128" s="76">
        <f t="shared" ca="1" si="51"/>
        <v>0.75660046921830593</v>
      </c>
      <c r="DD128">
        <f t="shared" si="94"/>
        <v>1</v>
      </c>
      <c r="DE128" s="129">
        <f t="shared" ref="DE128:DE137" si="165">IF((DD128)="", "", $C$8)</f>
        <v>39775</v>
      </c>
      <c r="DF128" s="161">
        <f t="shared" si="95"/>
        <v>0</v>
      </c>
      <c r="DG128" s="161">
        <f t="shared" si="96"/>
        <v>284.375</v>
      </c>
      <c r="DH128" s="161">
        <f t="shared" si="97"/>
        <v>240.625</v>
      </c>
      <c r="DI128" s="161">
        <f t="shared" si="98"/>
        <v>21.875</v>
      </c>
      <c r="DJ128" s="161">
        <f t="shared" si="99"/>
        <v>0</v>
      </c>
      <c r="DK128" s="161">
        <f t="shared" si="100"/>
        <v>0</v>
      </c>
      <c r="DL128" s="161">
        <f t="shared" si="101"/>
        <v>0</v>
      </c>
      <c r="DM128" s="161">
        <f t="shared" si="102"/>
        <v>0</v>
      </c>
      <c r="DN128" s="161">
        <f t="shared" si="103"/>
        <v>0</v>
      </c>
      <c r="DO128" s="161">
        <f t="shared" si="104"/>
        <v>0</v>
      </c>
      <c r="DP128" s="161">
        <f t="shared" si="105"/>
        <v>0</v>
      </c>
      <c r="DQ128" s="161">
        <f t="shared" si="106"/>
        <v>0</v>
      </c>
      <c r="DR128" s="161">
        <f t="shared" si="107"/>
        <v>0</v>
      </c>
      <c r="DS128" s="161">
        <f t="shared" si="108"/>
        <v>0</v>
      </c>
      <c r="DT128" s="161">
        <f t="shared" si="109"/>
        <v>0</v>
      </c>
      <c r="DU128" s="161">
        <f t="shared" si="110"/>
        <v>0</v>
      </c>
      <c r="DV128" s="161">
        <f t="shared" si="111"/>
        <v>0</v>
      </c>
      <c r="DW128" s="161">
        <f t="shared" si="112"/>
        <v>0</v>
      </c>
      <c r="DX128" s="161">
        <f t="shared" si="113"/>
        <v>0</v>
      </c>
      <c r="DY128" s="161">
        <f t="shared" si="114"/>
        <v>0</v>
      </c>
      <c r="DZ128" s="161">
        <f t="shared" si="115"/>
        <v>0</v>
      </c>
      <c r="EA128" s="161">
        <f t="shared" si="116"/>
        <v>0</v>
      </c>
      <c r="EB128" s="161">
        <f t="shared" si="117"/>
        <v>0</v>
      </c>
      <c r="EC128" s="161">
        <f t="shared" si="118"/>
        <v>0</v>
      </c>
      <c r="ED128" s="161">
        <f t="shared" si="119"/>
        <v>0</v>
      </c>
      <c r="EE128" s="161">
        <f t="shared" si="120"/>
        <v>0</v>
      </c>
      <c r="EF128" s="161">
        <f t="shared" si="121"/>
        <v>0</v>
      </c>
      <c r="EG128" s="161">
        <f t="shared" si="122"/>
        <v>0</v>
      </c>
      <c r="EH128" s="161">
        <f t="shared" si="123"/>
        <v>0</v>
      </c>
      <c r="EI128" s="161">
        <f t="shared" si="124"/>
        <v>0</v>
      </c>
      <c r="EJ128" s="161">
        <f t="shared" si="125"/>
        <v>0</v>
      </c>
      <c r="EK128" s="147">
        <f t="shared" si="132"/>
        <v>546.875</v>
      </c>
      <c r="EL128" s="149"/>
      <c r="EN128" s="146"/>
      <c r="EO128" s="146"/>
      <c r="EP128" s="139">
        <f t="shared" si="133"/>
        <v>0</v>
      </c>
      <c r="EQ128" s="139">
        <f t="shared" si="134"/>
        <v>3.2792134374999997</v>
      </c>
      <c r="ER128" s="139">
        <f t="shared" si="135"/>
        <v>17.622439012547911</v>
      </c>
      <c r="ES128" s="139">
        <f t="shared" si="136"/>
        <v>4.7239872739344984</v>
      </c>
      <c r="ET128" s="139">
        <f t="shared" si="137"/>
        <v>0</v>
      </c>
      <c r="EU128" s="139">
        <f t="shared" si="138"/>
        <v>0</v>
      </c>
      <c r="EV128" s="139">
        <f t="shared" si="139"/>
        <v>0</v>
      </c>
      <c r="EW128" s="139">
        <f t="shared" si="140"/>
        <v>0</v>
      </c>
      <c r="EX128" s="139">
        <f t="shared" si="141"/>
        <v>0</v>
      </c>
      <c r="EY128" s="139">
        <f t="shared" si="142"/>
        <v>0</v>
      </c>
      <c r="EZ128" s="139">
        <f t="shared" si="143"/>
        <v>0</v>
      </c>
      <c r="FA128" s="139">
        <f t="shared" si="144"/>
        <v>0</v>
      </c>
      <c r="FB128" s="139">
        <f t="shared" si="145"/>
        <v>0</v>
      </c>
      <c r="FC128" s="139">
        <f t="shared" si="146"/>
        <v>0</v>
      </c>
      <c r="FD128" s="139">
        <f t="shared" si="147"/>
        <v>0</v>
      </c>
      <c r="FE128" s="139">
        <f t="shared" si="148"/>
        <v>0</v>
      </c>
      <c r="FF128" s="139">
        <f t="shared" si="149"/>
        <v>0</v>
      </c>
      <c r="FG128" s="139">
        <f t="shared" si="150"/>
        <v>0</v>
      </c>
      <c r="FH128" s="139">
        <f t="shared" si="151"/>
        <v>0</v>
      </c>
      <c r="FI128" s="139">
        <f t="shared" si="152"/>
        <v>0</v>
      </c>
      <c r="FJ128" s="139">
        <f t="shared" si="153"/>
        <v>0</v>
      </c>
      <c r="FK128" s="139">
        <f t="shared" si="154"/>
        <v>0</v>
      </c>
      <c r="FL128" s="139">
        <f t="shared" si="155"/>
        <v>0</v>
      </c>
      <c r="FM128" s="139">
        <f t="shared" si="156"/>
        <v>0</v>
      </c>
      <c r="FN128" s="139">
        <f t="shared" si="157"/>
        <v>0</v>
      </c>
      <c r="FO128" s="139">
        <f t="shared" si="158"/>
        <v>0</v>
      </c>
      <c r="FP128" s="139">
        <f t="shared" si="159"/>
        <v>0</v>
      </c>
      <c r="FQ128" s="139">
        <f t="shared" si="160"/>
        <v>0</v>
      </c>
      <c r="FR128" s="139">
        <f t="shared" si="161"/>
        <v>0</v>
      </c>
      <c r="FS128" s="139">
        <f t="shared" si="162"/>
        <v>0</v>
      </c>
      <c r="FT128" s="139">
        <f t="shared" si="163"/>
        <v>0</v>
      </c>
      <c r="FU128" s="148">
        <f t="shared" si="164"/>
        <v>25.62563972398241</v>
      </c>
      <c r="FV128" s="149"/>
      <c r="FY128" s="213">
        <v>123</v>
      </c>
      <c r="FZ128">
        <v>40.385003537469125</v>
      </c>
      <c r="GA128">
        <v>76.138841147741658</v>
      </c>
      <c r="GB128">
        <v>19.892279570543863</v>
      </c>
      <c r="GC128">
        <v>5.0909360548968881</v>
      </c>
      <c r="GD128">
        <v>3.1373946155337209</v>
      </c>
      <c r="GE128">
        <v>4.6084621542907085</v>
      </c>
      <c r="GF128">
        <v>17.954328290110549</v>
      </c>
      <c r="GG128">
        <v>13.603337043730058</v>
      </c>
      <c r="GH128">
        <v>8.6318979795961006</v>
      </c>
      <c r="GI128">
        <v>18.186802045105544</v>
      </c>
      <c r="GJ128"/>
      <c r="GK128"/>
      <c r="GL128"/>
      <c r="GM128"/>
      <c r="GN128" s="208"/>
      <c r="GO128" s="208"/>
      <c r="GP128" s="208"/>
      <c r="GQ128" s="208"/>
      <c r="GR128" s="208"/>
      <c r="GS128" s="208"/>
      <c r="GT128" s="208"/>
      <c r="GU128" s="213">
        <v>123</v>
      </c>
    </row>
    <row r="129" spans="1:203" s="7" customFormat="1">
      <c r="A129" s="1"/>
      <c r="B129" s="76">
        <f ca="1">IF(C129="", "", RAND())</f>
        <v>0.42861134075945917</v>
      </c>
      <c r="C129">
        <v>1</v>
      </c>
      <c r="D129">
        <v>39775</v>
      </c>
      <c r="E129">
        <v>0</v>
      </c>
      <c r="F129">
        <v>284.375</v>
      </c>
      <c r="G129">
        <v>240.625</v>
      </c>
      <c r="H129">
        <v>21.875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 s="2"/>
      <c r="AK129" s="80"/>
      <c r="AL129" s="74"/>
      <c r="AM129" s="43">
        <v>113</v>
      </c>
      <c r="AN129">
        <v>280.32355432325988</v>
      </c>
      <c r="AO129">
        <v>30.161635640050285</v>
      </c>
      <c r="AP129">
        <v>86.214160882326098</v>
      </c>
      <c r="AQ129">
        <v>217.85362734408682</v>
      </c>
      <c r="AR129">
        <v>31.633505423169677</v>
      </c>
      <c r="AS129">
        <v>248.64757418771069</v>
      </c>
      <c r="AT129">
        <v>13.742234033412323</v>
      </c>
      <c r="AU129">
        <v>-2.745926851954863</v>
      </c>
      <c r="AV129"/>
      <c r="AW129"/>
      <c r="AX129" s="146"/>
      <c r="AY129" s="76">
        <f t="shared" ca="1" si="88"/>
        <v>0.76508545418164431</v>
      </c>
      <c r="AZ129">
        <v>2</v>
      </c>
      <c r="BA129" s="129">
        <f t="shared" ref="BA129:BA137" si="166">IF(AZ129="", "",$C$8)</f>
        <v>39775</v>
      </c>
      <c r="BB129" s="207">
        <v>0</v>
      </c>
      <c r="BC129" s="207">
        <v>0</v>
      </c>
      <c r="BD129" s="207">
        <v>0</v>
      </c>
      <c r="BE129" s="207">
        <v>0</v>
      </c>
      <c r="BF129" s="207">
        <v>1</v>
      </c>
      <c r="BG129" s="207">
        <v>0</v>
      </c>
      <c r="BH129" s="207">
        <v>1</v>
      </c>
      <c r="BI129" s="207">
        <v>0</v>
      </c>
      <c r="BJ129" s="207">
        <v>0</v>
      </c>
      <c r="BK129" s="207">
        <v>0</v>
      </c>
      <c r="BL129" s="207">
        <v>0</v>
      </c>
      <c r="BM129" s="207">
        <v>0</v>
      </c>
      <c r="BN129" s="207">
        <v>0</v>
      </c>
      <c r="BO129" s="207">
        <v>0</v>
      </c>
      <c r="BP129" s="207">
        <v>0</v>
      </c>
      <c r="BQ129" s="207">
        <v>0</v>
      </c>
      <c r="BR129" s="207">
        <v>0</v>
      </c>
      <c r="BS129" s="207">
        <v>0</v>
      </c>
      <c r="BT129" s="207">
        <v>0</v>
      </c>
      <c r="BU129" s="207">
        <v>0</v>
      </c>
      <c r="BV129" s="207">
        <v>0</v>
      </c>
      <c r="BW129" s="207">
        <v>0</v>
      </c>
      <c r="BX129" s="207">
        <v>0</v>
      </c>
      <c r="BY129" s="207">
        <v>0</v>
      </c>
      <c r="BZ129" s="207">
        <v>0</v>
      </c>
      <c r="CA129" s="207">
        <v>0</v>
      </c>
      <c r="CB129" s="207">
        <v>0</v>
      </c>
      <c r="CC129" s="207">
        <v>0</v>
      </c>
      <c r="CD129" s="207">
        <v>0</v>
      </c>
      <c r="CE129" s="207">
        <v>0</v>
      </c>
      <c r="CF129" s="207">
        <v>0</v>
      </c>
      <c r="CG129" s="147"/>
      <c r="CH129" s="176"/>
      <c r="CJ129" s="146"/>
      <c r="CK129" s="76">
        <f t="shared" ca="1" si="90"/>
        <v>0.90584530926137141</v>
      </c>
      <c r="CL129" s="179">
        <f t="shared" si="91"/>
        <v>2</v>
      </c>
      <c r="CM129" s="180">
        <f t="shared" si="92"/>
        <v>39775</v>
      </c>
      <c r="CN129" s="208">
        <v>0</v>
      </c>
      <c r="CO129" s="208">
        <v>9</v>
      </c>
      <c r="CP129" s="208">
        <v>10</v>
      </c>
      <c r="CQ129" s="208">
        <v>0</v>
      </c>
      <c r="CR129" s="208">
        <v>0</v>
      </c>
      <c r="CS129" s="208">
        <v>0</v>
      </c>
      <c r="CT129" s="208">
        <v>0</v>
      </c>
      <c r="CU129" s="208">
        <v>0</v>
      </c>
      <c r="CV129" s="160"/>
      <c r="CW129">
        <v>1</v>
      </c>
      <c r="CX129">
        <f>20/11</f>
        <v>1.8181818181818181</v>
      </c>
      <c r="CY129" s="160"/>
      <c r="CZ129" s="177">
        <f t="shared" si="93"/>
        <v>9.6000000000000002E-2</v>
      </c>
      <c r="DB129" s="146"/>
      <c r="DC129" s="76">
        <f t="shared" ca="1" si="51"/>
        <v>0.59814258792958741</v>
      </c>
      <c r="DD129">
        <f t="shared" si="94"/>
        <v>2</v>
      </c>
      <c r="DE129" s="129">
        <f t="shared" si="165"/>
        <v>39775</v>
      </c>
      <c r="DF129" s="161">
        <f t="shared" si="95"/>
        <v>0</v>
      </c>
      <c r="DG129" s="161">
        <f t="shared" si="96"/>
        <v>170.45454545454544</v>
      </c>
      <c r="DH129" s="161">
        <f t="shared" si="97"/>
        <v>189.39393939393938</v>
      </c>
      <c r="DI129" s="161">
        <f t="shared" si="98"/>
        <v>0</v>
      </c>
      <c r="DJ129" s="161">
        <f t="shared" si="99"/>
        <v>10.416666666666666</v>
      </c>
      <c r="DK129" s="161">
        <f t="shared" si="100"/>
        <v>0</v>
      </c>
      <c r="DL129" s="161">
        <f t="shared" si="101"/>
        <v>10.416666666666666</v>
      </c>
      <c r="DM129" s="161">
        <f t="shared" si="102"/>
        <v>0</v>
      </c>
      <c r="DN129" s="161">
        <f t="shared" si="103"/>
        <v>0</v>
      </c>
      <c r="DO129" s="161">
        <f t="shared" si="104"/>
        <v>0</v>
      </c>
      <c r="DP129" s="161">
        <f t="shared" si="105"/>
        <v>0</v>
      </c>
      <c r="DQ129" s="161">
        <f t="shared" si="106"/>
        <v>0</v>
      </c>
      <c r="DR129" s="161">
        <f t="shared" si="107"/>
        <v>0</v>
      </c>
      <c r="DS129" s="161">
        <f t="shared" si="108"/>
        <v>0</v>
      </c>
      <c r="DT129" s="161">
        <f t="shared" si="109"/>
        <v>0</v>
      </c>
      <c r="DU129" s="161">
        <f t="shared" si="110"/>
        <v>0</v>
      </c>
      <c r="DV129" s="161">
        <f t="shared" si="111"/>
        <v>0</v>
      </c>
      <c r="DW129" s="161">
        <f t="shared" si="112"/>
        <v>0</v>
      </c>
      <c r="DX129" s="161">
        <f t="shared" si="113"/>
        <v>0</v>
      </c>
      <c r="DY129" s="161">
        <f t="shared" si="114"/>
        <v>0</v>
      </c>
      <c r="DZ129" s="161">
        <f t="shared" si="115"/>
        <v>0</v>
      </c>
      <c r="EA129" s="161">
        <f t="shared" si="116"/>
        <v>0</v>
      </c>
      <c r="EB129" s="161">
        <f t="shared" si="117"/>
        <v>0</v>
      </c>
      <c r="EC129" s="161">
        <f t="shared" si="118"/>
        <v>0</v>
      </c>
      <c r="ED129" s="161">
        <f t="shared" si="119"/>
        <v>0</v>
      </c>
      <c r="EE129" s="161">
        <f t="shared" si="120"/>
        <v>0</v>
      </c>
      <c r="EF129" s="161">
        <f t="shared" si="121"/>
        <v>0</v>
      </c>
      <c r="EG129" s="161">
        <f t="shared" si="122"/>
        <v>0</v>
      </c>
      <c r="EH129" s="161">
        <f t="shared" si="123"/>
        <v>0</v>
      </c>
      <c r="EI129" s="161">
        <f t="shared" si="124"/>
        <v>0</v>
      </c>
      <c r="EJ129" s="161">
        <f t="shared" si="125"/>
        <v>0</v>
      </c>
      <c r="EK129" s="147">
        <f t="shared" si="132"/>
        <v>380.68181818181819</v>
      </c>
      <c r="EL129" s="149"/>
      <c r="EN129" s="146"/>
      <c r="EO129" s="146"/>
      <c r="EP129" s="139">
        <f t="shared" si="133"/>
        <v>0</v>
      </c>
      <c r="EQ129" s="139">
        <f t="shared" si="134"/>
        <v>1.9655624999999997</v>
      </c>
      <c r="ER129" s="139">
        <f t="shared" si="135"/>
        <v>13.87047541326085</v>
      </c>
      <c r="ES129" s="139">
        <f t="shared" si="136"/>
        <v>0</v>
      </c>
      <c r="ET129" s="139">
        <f t="shared" si="137"/>
        <v>4.8450809197869589</v>
      </c>
      <c r="EU129" s="139">
        <f t="shared" si="138"/>
        <v>0</v>
      </c>
      <c r="EV129" s="139">
        <f t="shared" si="139"/>
        <v>14.286847949341793</v>
      </c>
      <c r="EW129" s="139">
        <f t="shared" si="140"/>
        <v>0</v>
      </c>
      <c r="EX129" s="139">
        <f t="shared" si="141"/>
        <v>0</v>
      </c>
      <c r="EY129" s="139">
        <f t="shared" si="142"/>
        <v>0</v>
      </c>
      <c r="EZ129" s="139">
        <f t="shared" si="143"/>
        <v>0</v>
      </c>
      <c r="FA129" s="139">
        <f t="shared" si="144"/>
        <v>0</v>
      </c>
      <c r="FB129" s="139">
        <f t="shared" si="145"/>
        <v>0</v>
      </c>
      <c r="FC129" s="139">
        <f t="shared" si="146"/>
        <v>0</v>
      </c>
      <c r="FD129" s="139">
        <f t="shared" si="147"/>
        <v>0</v>
      </c>
      <c r="FE129" s="139">
        <f t="shared" si="148"/>
        <v>0</v>
      </c>
      <c r="FF129" s="139">
        <f t="shared" si="149"/>
        <v>0</v>
      </c>
      <c r="FG129" s="139">
        <f t="shared" si="150"/>
        <v>0</v>
      </c>
      <c r="FH129" s="139">
        <f t="shared" si="151"/>
        <v>0</v>
      </c>
      <c r="FI129" s="139">
        <f t="shared" si="152"/>
        <v>0</v>
      </c>
      <c r="FJ129" s="139">
        <f t="shared" si="153"/>
        <v>0</v>
      </c>
      <c r="FK129" s="139">
        <f t="shared" si="154"/>
        <v>0</v>
      </c>
      <c r="FL129" s="139">
        <f t="shared" si="155"/>
        <v>0</v>
      </c>
      <c r="FM129" s="139">
        <f t="shared" si="156"/>
        <v>0</v>
      </c>
      <c r="FN129" s="139">
        <f t="shared" si="157"/>
        <v>0</v>
      </c>
      <c r="FO129" s="139">
        <f t="shared" si="158"/>
        <v>0</v>
      </c>
      <c r="FP129" s="139">
        <f t="shared" si="159"/>
        <v>0</v>
      </c>
      <c r="FQ129" s="139">
        <f t="shared" si="160"/>
        <v>0</v>
      </c>
      <c r="FR129" s="139">
        <f t="shared" si="161"/>
        <v>0</v>
      </c>
      <c r="FS129" s="139">
        <f t="shared" si="162"/>
        <v>0</v>
      </c>
      <c r="FT129" s="139">
        <f t="shared" si="163"/>
        <v>0</v>
      </c>
      <c r="FU129" s="148">
        <f t="shared" si="164"/>
        <v>34.967966782389603</v>
      </c>
      <c r="FV129" s="149"/>
      <c r="FY129" s="213">
        <v>124</v>
      </c>
      <c r="FZ129">
        <v>55.792948034100576</v>
      </c>
      <c r="GA129">
        <v>82.078533370973503</v>
      </c>
      <c r="GB129">
        <v>26.058056966314389</v>
      </c>
      <c r="GC129">
        <v>7.049828933474557</v>
      </c>
      <c r="GD129">
        <v>4.9197723349095588</v>
      </c>
      <c r="GE129">
        <v>4.6387590938489272</v>
      </c>
      <c r="GF129">
        <v>21.02396659052053</v>
      </c>
      <c r="GG129">
        <v>18.4438247292833</v>
      </c>
      <c r="GH129">
        <v>13.554059939085713</v>
      </c>
      <c r="GI129">
        <v>24.711470895374266</v>
      </c>
      <c r="GJ129"/>
      <c r="GK129"/>
      <c r="GL129"/>
      <c r="GM129"/>
      <c r="GN129" s="208"/>
      <c r="GO129" s="208"/>
      <c r="GP129" s="208"/>
      <c r="GQ129" s="208"/>
      <c r="GR129" s="208"/>
      <c r="GS129" s="208"/>
      <c r="GT129" s="208"/>
      <c r="GU129" s="213">
        <v>124</v>
      </c>
    </row>
    <row r="130" spans="1:203" s="7" customFormat="1">
      <c r="A130" s="1"/>
      <c r="B130" s="76">
        <f ca="1">IF(C130="", "", RAND())</f>
        <v>0.25665458986018019</v>
      </c>
      <c r="C130">
        <v>9</v>
      </c>
      <c r="D130">
        <v>39775</v>
      </c>
      <c r="E130">
        <v>10.416666666666666</v>
      </c>
      <c r="F130">
        <v>83.333333333333329</v>
      </c>
      <c r="G130">
        <v>20.833333333333332</v>
      </c>
      <c r="H130">
        <v>0</v>
      </c>
      <c r="I130">
        <v>10.416666666666666</v>
      </c>
      <c r="J130">
        <v>10.416666666666666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 s="2"/>
      <c r="AK130" s="80"/>
      <c r="AL130" s="74"/>
      <c r="AM130" s="43">
        <v>114</v>
      </c>
      <c r="AN130">
        <v>306.75891986044439</v>
      </c>
      <c r="AO130">
        <v>21.367312723746693</v>
      </c>
      <c r="AP130">
        <v>106.71197151434011</v>
      </c>
      <c r="AQ130">
        <v>154.29384070168734</v>
      </c>
      <c r="AR130">
        <v>22.397212323248478</v>
      </c>
      <c r="AS130">
        <v>220.6986403767236</v>
      </c>
      <c r="AT130">
        <v>11.448901718628806</v>
      </c>
      <c r="AU130">
        <v>53.306657033127088</v>
      </c>
      <c r="AV130"/>
      <c r="AW130"/>
      <c r="AX130" s="146"/>
      <c r="AY130" s="76">
        <f t="shared" ca="1" si="88"/>
        <v>0.20740183832056225</v>
      </c>
      <c r="AZ130">
        <v>3</v>
      </c>
      <c r="BA130" s="129">
        <f t="shared" si="166"/>
        <v>39775</v>
      </c>
      <c r="BB130" s="207">
        <v>0</v>
      </c>
      <c r="BC130" s="207">
        <v>0</v>
      </c>
      <c r="BD130" s="207">
        <v>0</v>
      </c>
      <c r="BE130" s="207">
        <v>0</v>
      </c>
      <c r="BF130" s="207">
        <v>0</v>
      </c>
      <c r="BG130" s="207">
        <v>0</v>
      </c>
      <c r="BH130" s="207">
        <v>0</v>
      </c>
      <c r="BI130" s="207">
        <v>0</v>
      </c>
      <c r="BJ130" s="207">
        <v>0</v>
      </c>
      <c r="BK130" s="207">
        <v>0</v>
      </c>
      <c r="BL130" s="207">
        <v>0</v>
      </c>
      <c r="BM130" s="207">
        <v>0</v>
      </c>
      <c r="BN130" s="207">
        <v>0</v>
      </c>
      <c r="BO130" s="207">
        <v>0</v>
      </c>
      <c r="BP130" s="207">
        <v>0</v>
      </c>
      <c r="BQ130" s="207">
        <v>0</v>
      </c>
      <c r="BR130" s="207">
        <v>0</v>
      </c>
      <c r="BS130" s="207">
        <v>0</v>
      </c>
      <c r="BT130" s="207">
        <v>0</v>
      </c>
      <c r="BU130" s="207">
        <v>0</v>
      </c>
      <c r="BV130" s="207">
        <v>0</v>
      </c>
      <c r="BW130" s="207">
        <v>0</v>
      </c>
      <c r="BX130" s="207">
        <v>0</v>
      </c>
      <c r="BY130" s="207">
        <v>0</v>
      </c>
      <c r="BZ130" s="207">
        <v>0</v>
      </c>
      <c r="CA130" s="207">
        <v>0</v>
      </c>
      <c r="CB130" s="207">
        <v>0</v>
      </c>
      <c r="CC130" s="207">
        <v>0</v>
      </c>
      <c r="CD130" s="207">
        <v>0</v>
      </c>
      <c r="CE130" s="207">
        <v>0</v>
      </c>
      <c r="CF130" s="207">
        <v>0</v>
      </c>
      <c r="CG130" s="147"/>
      <c r="CH130" s="176"/>
      <c r="CJ130" s="146"/>
      <c r="CK130" s="76">
        <f t="shared" ca="1" si="90"/>
        <v>0.78811037432215536</v>
      </c>
      <c r="CL130" s="179">
        <f t="shared" si="91"/>
        <v>3</v>
      </c>
      <c r="CM130" s="180">
        <f t="shared" si="92"/>
        <v>39775</v>
      </c>
      <c r="CN130" s="208">
        <v>1.43333</v>
      </c>
      <c r="CO130" s="208">
        <v>21.5</v>
      </c>
      <c r="CP130" s="208">
        <v>18.633330000000001</v>
      </c>
      <c r="CQ130" s="208">
        <v>1.433333</v>
      </c>
      <c r="CR130" s="208">
        <v>0</v>
      </c>
      <c r="CS130" s="208">
        <v>0</v>
      </c>
      <c r="CT130" s="208">
        <v>0</v>
      </c>
      <c r="CU130" s="208">
        <v>0</v>
      </c>
      <c r="CV130" s="160"/>
      <c r="CW130">
        <v>1</v>
      </c>
      <c r="CX130">
        <f>50/10</f>
        <v>5</v>
      </c>
      <c r="CY130" s="160"/>
      <c r="CZ130" s="177">
        <f t="shared" si="93"/>
        <v>9.6000000000000002E-2</v>
      </c>
      <c r="DB130" s="146"/>
      <c r="DC130" s="76">
        <f t="shared" ca="1" si="51"/>
        <v>0.86983298837036838</v>
      </c>
      <c r="DD130">
        <f t="shared" si="94"/>
        <v>3</v>
      </c>
      <c r="DE130" s="129">
        <f t="shared" si="165"/>
        <v>39775</v>
      </c>
      <c r="DF130" s="161">
        <f t="shared" si="95"/>
        <v>74.652604166666663</v>
      </c>
      <c r="DG130" s="161">
        <f t="shared" si="96"/>
        <v>1119.7916666666667</v>
      </c>
      <c r="DH130" s="161">
        <f t="shared" si="97"/>
        <v>970.48593749999998</v>
      </c>
      <c r="DI130" s="161">
        <f t="shared" si="98"/>
        <v>74.652760416666666</v>
      </c>
      <c r="DJ130" s="161">
        <f t="shared" si="99"/>
        <v>0</v>
      </c>
      <c r="DK130" s="161">
        <f t="shared" si="100"/>
        <v>0</v>
      </c>
      <c r="DL130" s="161">
        <f t="shared" si="101"/>
        <v>0</v>
      </c>
      <c r="DM130" s="161">
        <f t="shared" si="102"/>
        <v>0</v>
      </c>
      <c r="DN130" s="161">
        <f t="shared" si="103"/>
        <v>0</v>
      </c>
      <c r="DO130" s="161">
        <f t="shared" si="104"/>
        <v>0</v>
      </c>
      <c r="DP130" s="161">
        <f t="shared" si="105"/>
        <v>0</v>
      </c>
      <c r="DQ130" s="161">
        <f t="shared" si="106"/>
        <v>0</v>
      </c>
      <c r="DR130" s="161">
        <f t="shared" si="107"/>
        <v>0</v>
      </c>
      <c r="DS130" s="161">
        <f t="shared" si="108"/>
        <v>0</v>
      </c>
      <c r="DT130" s="161">
        <f t="shared" si="109"/>
        <v>0</v>
      </c>
      <c r="DU130" s="161">
        <f t="shared" si="110"/>
        <v>0</v>
      </c>
      <c r="DV130" s="161">
        <f t="shared" si="111"/>
        <v>0</v>
      </c>
      <c r="DW130" s="161">
        <f t="shared" si="112"/>
        <v>0</v>
      </c>
      <c r="DX130" s="161">
        <f t="shared" si="113"/>
        <v>0</v>
      </c>
      <c r="DY130" s="161">
        <f t="shared" si="114"/>
        <v>0</v>
      </c>
      <c r="DZ130" s="161">
        <f t="shared" si="115"/>
        <v>0</v>
      </c>
      <c r="EA130" s="161">
        <f t="shared" si="116"/>
        <v>0</v>
      </c>
      <c r="EB130" s="161">
        <f t="shared" si="117"/>
        <v>0</v>
      </c>
      <c r="EC130" s="161">
        <f t="shared" si="118"/>
        <v>0</v>
      </c>
      <c r="ED130" s="161">
        <f t="shared" si="119"/>
        <v>0</v>
      </c>
      <c r="EE130" s="161">
        <f t="shared" si="120"/>
        <v>0</v>
      </c>
      <c r="EF130" s="161">
        <f t="shared" si="121"/>
        <v>0</v>
      </c>
      <c r="EG130" s="161">
        <f t="shared" si="122"/>
        <v>0</v>
      </c>
      <c r="EH130" s="161">
        <f t="shared" si="123"/>
        <v>0</v>
      </c>
      <c r="EI130" s="161">
        <f t="shared" si="124"/>
        <v>0</v>
      </c>
      <c r="EJ130" s="161">
        <f t="shared" si="125"/>
        <v>0</v>
      </c>
      <c r="EK130" s="147">
        <f t="shared" si="132"/>
        <v>2239.58296875</v>
      </c>
      <c r="EL130" s="149"/>
      <c r="EN130" s="146"/>
      <c r="EO130" s="146"/>
      <c r="EP130" s="139">
        <f t="shared" si="133"/>
        <v>0.13554273189168434</v>
      </c>
      <c r="EQ130" s="139">
        <f t="shared" si="134"/>
        <v>12.912653645833334</v>
      </c>
      <c r="ER130" s="139">
        <f t="shared" si="135"/>
        <v>71.074615048848344</v>
      </c>
      <c r="ES130" s="139">
        <f t="shared" si="136"/>
        <v>16.121540122167513</v>
      </c>
      <c r="ET130" s="139">
        <f t="shared" si="137"/>
        <v>0</v>
      </c>
      <c r="EU130" s="139">
        <f t="shared" si="138"/>
        <v>0</v>
      </c>
      <c r="EV130" s="139">
        <f t="shared" si="139"/>
        <v>0</v>
      </c>
      <c r="EW130" s="139">
        <f t="shared" si="140"/>
        <v>0</v>
      </c>
      <c r="EX130" s="139">
        <f t="shared" si="141"/>
        <v>0</v>
      </c>
      <c r="EY130" s="139">
        <f t="shared" si="142"/>
        <v>0</v>
      </c>
      <c r="EZ130" s="139">
        <f t="shared" si="143"/>
        <v>0</v>
      </c>
      <c r="FA130" s="139">
        <f t="shared" si="144"/>
        <v>0</v>
      </c>
      <c r="FB130" s="139">
        <f t="shared" si="145"/>
        <v>0</v>
      </c>
      <c r="FC130" s="139">
        <f t="shared" si="146"/>
        <v>0</v>
      </c>
      <c r="FD130" s="139">
        <f t="shared" si="147"/>
        <v>0</v>
      </c>
      <c r="FE130" s="139">
        <f t="shared" si="148"/>
        <v>0</v>
      </c>
      <c r="FF130" s="139">
        <f t="shared" si="149"/>
        <v>0</v>
      </c>
      <c r="FG130" s="139">
        <f t="shared" si="150"/>
        <v>0</v>
      </c>
      <c r="FH130" s="139">
        <f t="shared" si="151"/>
        <v>0</v>
      </c>
      <c r="FI130" s="139">
        <f t="shared" si="152"/>
        <v>0</v>
      </c>
      <c r="FJ130" s="139">
        <f t="shared" si="153"/>
        <v>0</v>
      </c>
      <c r="FK130" s="139">
        <f t="shared" si="154"/>
        <v>0</v>
      </c>
      <c r="FL130" s="139">
        <f t="shared" si="155"/>
        <v>0</v>
      </c>
      <c r="FM130" s="139">
        <f t="shared" si="156"/>
        <v>0</v>
      </c>
      <c r="FN130" s="139">
        <f t="shared" si="157"/>
        <v>0</v>
      </c>
      <c r="FO130" s="139">
        <f t="shared" si="158"/>
        <v>0</v>
      </c>
      <c r="FP130" s="139">
        <f t="shared" si="159"/>
        <v>0</v>
      </c>
      <c r="FQ130" s="139">
        <f t="shared" si="160"/>
        <v>0</v>
      </c>
      <c r="FR130" s="139">
        <f t="shared" si="161"/>
        <v>0</v>
      </c>
      <c r="FS130" s="139">
        <f t="shared" si="162"/>
        <v>0</v>
      </c>
      <c r="FT130" s="139">
        <f t="shared" si="163"/>
        <v>0</v>
      </c>
      <c r="FU130" s="148">
        <f t="shared" si="164"/>
        <v>100.24435154874088</v>
      </c>
      <c r="FV130" s="149"/>
      <c r="FY130" s="213">
        <v>125</v>
      </c>
      <c r="FZ130">
        <v>35.352412253963955</v>
      </c>
      <c r="GA130">
        <v>23.015546249852974</v>
      </c>
      <c r="GB130">
        <v>10.026231473563943</v>
      </c>
      <c r="GC130">
        <v>8.2590208547580239</v>
      </c>
      <c r="GD130">
        <v>7.2941826165817236</v>
      </c>
      <c r="GE130">
        <v>6.9023565831010174</v>
      </c>
      <c r="GF130">
        <v>23.728564611338651</v>
      </c>
      <c r="GG130">
        <v>20.277424959891512</v>
      </c>
      <c r="GH130">
        <v>11.822047223949708</v>
      </c>
      <c r="GI130">
        <v>18.333915748393117</v>
      </c>
      <c r="GJ130"/>
      <c r="GK130"/>
      <c r="GL130"/>
      <c r="GM130"/>
      <c r="GN130" s="208"/>
      <c r="GO130" s="208"/>
      <c r="GP130" s="208"/>
      <c r="GQ130" s="208"/>
      <c r="GR130" s="208"/>
      <c r="GS130" s="208"/>
      <c r="GT130" s="208"/>
      <c r="GU130" s="213">
        <v>125</v>
      </c>
    </row>
    <row r="131" spans="1:203" s="7" customFormat="1">
      <c r="A131" s="1"/>
      <c r="B131" s="76">
        <f ca="1">IF(C131="", "", RAND())</f>
        <v>0.27317288097070413</v>
      </c>
      <c r="C131">
        <v>8</v>
      </c>
      <c r="D131">
        <v>39775</v>
      </c>
      <c r="E131">
        <v>34.722222222222221</v>
      </c>
      <c r="F131">
        <v>833.33333333333337</v>
      </c>
      <c r="G131">
        <v>312.5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 s="2"/>
      <c r="AK131" s="80"/>
      <c r="AL131" s="74"/>
      <c r="AM131" s="43">
        <v>115</v>
      </c>
      <c r="AN131">
        <v>244.95857281112157</v>
      </c>
      <c r="AO131">
        <v>18.510139231769838</v>
      </c>
      <c r="AP131">
        <v>68.849120549219393</v>
      </c>
      <c r="AQ131">
        <v>128.94748165757338</v>
      </c>
      <c r="AR131">
        <v>18.856699340168369</v>
      </c>
      <c r="AS131">
        <v>189.87120082314007</v>
      </c>
      <c r="AT131">
        <v>8.4391624155659226</v>
      </c>
      <c r="AU131">
        <v>18.617512823432435</v>
      </c>
      <c r="AV131"/>
      <c r="AW131"/>
      <c r="AX131" s="146"/>
      <c r="AY131" s="76">
        <f t="shared" ca="1" si="88"/>
        <v>0.21888926673049713</v>
      </c>
      <c r="AZ131">
        <v>4</v>
      </c>
      <c r="BA131" s="129">
        <f t="shared" si="166"/>
        <v>39775</v>
      </c>
      <c r="BB131" s="207">
        <v>0</v>
      </c>
      <c r="BC131" s="207">
        <v>0</v>
      </c>
      <c r="BD131" s="207">
        <v>0</v>
      </c>
      <c r="BE131" s="207">
        <v>0</v>
      </c>
      <c r="BF131" s="207">
        <v>0</v>
      </c>
      <c r="BG131" s="207">
        <v>0</v>
      </c>
      <c r="BH131" s="207">
        <v>0</v>
      </c>
      <c r="BI131" s="207">
        <v>0</v>
      </c>
      <c r="BJ131" s="207">
        <v>0</v>
      </c>
      <c r="BK131" s="207">
        <v>0</v>
      </c>
      <c r="BL131" s="207">
        <v>0</v>
      </c>
      <c r="BM131" s="207">
        <v>0</v>
      </c>
      <c r="BN131" s="207">
        <v>0</v>
      </c>
      <c r="BO131" s="207">
        <v>0</v>
      </c>
      <c r="BP131" s="207">
        <v>0</v>
      </c>
      <c r="BQ131" s="207">
        <v>0</v>
      </c>
      <c r="BR131" s="207">
        <v>0</v>
      </c>
      <c r="BS131" s="207">
        <v>0</v>
      </c>
      <c r="BT131" s="207">
        <v>0</v>
      </c>
      <c r="BU131" s="207">
        <v>0</v>
      </c>
      <c r="BV131" s="207">
        <v>0</v>
      </c>
      <c r="BW131" s="207">
        <v>0</v>
      </c>
      <c r="BX131" s="207">
        <v>0</v>
      </c>
      <c r="BY131" s="207">
        <v>0</v>
      </c>
      <c r="BZ131" s="207">
        <v>0</v>
      </c>
      <c r="CA131" s="207">
        <v>0</v>
      </c>
      <c r="CB131" s="207">
        <v>0</v>
      </c>
      <c r="CC131" s="207">
        <v>0</v>
      </c>
      <c r="CD131" s="207">
        <v>0</v>
      </c>
      <c r="CE131" s="207">
        <v>0</v>
      </c>
      <c r="CF131" s="207">
        <v>0</v>
      </c>
      <c r="CG131" s="147"/>
      <c r="CH131" s="176"/>
      <c r="CJ131" s="146"/>
      <c r="CK131" s="76">
        <f t="shared" ca="1" si="90"/>
        <v>0.19121270172959903</v>
      </c>
      <c r="CL131" s="179">
        <f t="shared" si="91"/>
        <v>4</v>
      </c>
      <c r="CM131" s="180">
        <f t="shared" si="92"/>
        <v>39775</v>
      </c>
      <c r="CN131" s="208">
        <v>0</v>
      </c>
      <c r="CO131" s="208">
        <v>8</v>
      </c>
      <c r="CP131" s="208">
        <v>7</v>
      </c>
      <c r="CQ131" s="208">
        <v>0</v>
      </c>
      <c r="CR131" s="208">
        <v>0</v>
      </c>
      <c r="CS131" s="208">
        <v>0</v>
      </c>
      <c r="CT131" s="208">
        <v>0</v>
      </c>
      <c r="CU131" s="208">
        <v>0</v>
      </c>
      <c r="CV131" s="160"/>
      <c r="CW131">
        <v>1</v>
      </c>
      <c r="CX131">
        <v>1</v>
      </c>
      <c r="CY131" s="160"/>
      <c r="CZ131" s="177">
        <f t="shared" si="93"/>
        <v>9.6000000000000002E-2</v>
      </c>
      <c r="DB131" s="146"/>
      <c r="DC131" s="76">
        <f t="shared" ca="1" si="51"/>
        <v>0.5277988257657118</v>
      </c>
      <c r="DD131">
        <f t="shared" si="94"/>
        <v>4</v>
      </c>
      <c r="DE131" s="129">
        <f t="shared" si="165"/>
        <v>39775</v>
      </c>
      <c r="DF131" s="161">
        <f t="shared" si="95"/>
        <v>0</v>
      </c>
      <c r="DG131" s="161">
        <f t="shared" si="96"/>
        <v>83.333333333333329</v>
      </c>
      <c r="DH131" s="161">
        <f t="shared" si="97"/>
        <v>72.916666666666671</v>
      </c>
      <c r="DI131" s="161">
        <f t="shared" si="98"/>
        <v>0</v>
      </c>
      <c r="DJ131" s="161">
        <f t="shared" si="99"/>
        <v>0</v>
      </c>
      <c r="DK131" s="161">
        <f t="shared" si="100"/>
        <v>0</v>
      </c>
      <c r="DL131" s="161">
        <f t="shared" si="101"/>
        <v>0</v>
      </c>
      <c r="DM131" s="161">
        <f t="shared" si="102"/>
        <v>0</v>
      </c>
      <c r="DN131" s="161">
        <f t="shared" si="103"/>
        <v>0</v>
      </c>
      <c r="DO131" s="161">
        <f t="shared" si="104"/>
        <v>0</v>
      </c>
      <c r="DP131" s="161">
        <f t="shared" si="105"/>
        <v>0</v>
      </c>
      <c r="DQ131" s="161">
        <f t="shared" si="106"/>
        <v>0</v>
      </c>
      <c r="DR131" s="161">
        <f t="shared" si="107"/>
        <v>0</v>
      </c>
      <c r="DS131" s="161">
        <f t="shared" si="108"/>
        <v>0</v>
      </c>
      <c r="DT131" s="161">
        <f t="shared" si="109"/>
        <v>0</v>
      </c>
      <c r="DU131" s="161">
        <f t="shared" si="110"/>
        <v>0</v>
      </c>
      <c r="DV131" s="161">
        <f t="shared" si="111"/>
        <v>0</v>
      </c>
      <c r="DW131" s="161">
        <f t="shared" si="112"/>
        <v>0</v>
      </c>
      <c r="DX131" s="161">
        <f t="shared" si="113"/>
        <v>0</v>
      </c>
      <c r="DY131" s="161">
        <f t="shared" si="114"/>
        <v>0</v>
      </c>
      <c r="DZ131" s="161">
        <f t="shared" si="115"/>
        <v>0</v>
      </c>
      <c r="EA131" s="161">
        <f t="shared" si="116"/>
        <v>0</v>
      </c>
      <c r="EB131" s="161">
        <f t="shared" si="117"/>
        <v>0</v>
      </c>
      <c r="EC131" s="161">
        <f t="shared" si="118"/>
        <v>0</v>
      </c>
      <c r="ED131" s="161">
        <f t="shared" si="119"/>
        <v>0</v>
      </c>
      <c r="EE131" s="161">
        <f t="shared" si="120"/>
        <v>0</v>
      </c>
      <c r="EF131" s="161">
        <f t="shared" si="121"/>
        <v>0</v>
      </c>
      <c r="EG131" s="161">
        <f t="shared" si="122"/>
        <v>0</v>
      </c>
      <c r="EH131" s="161">
        <f t="shared" si="123"/>
        <v>0</v>
      </c>
      <c r="EI131" s="161">
        <f t="shared" si="124"/>
        <v>0</v>
      </c>
      <c r="EJ131" s="161">
        <f t="shared" si="125"/>
        <v>0</v>
      </c>
      <c r="EK131" s="147">
        <f t="shared" si="132"/>
        <v>156.25</v>
      </c>
      <c r="EL131" s="149"/>
      <c r="EN131" s="146"/>
      <c r="EO131" s="146"/>
      <c r="EP131" s="139">
        <f t="shared" si="133"/>
        <v>0</v>
      </c>
      <c r="EQ131" s="139">
        <f t="shared" si="134"/>
        <v>0.96094166666666658</v>
      </c>
      <c r="ER131" s="139">
        <f t="shared" si="135"/>
        <v>5.3401330341054285</v>
      </c>
      <c r="ES131" s="139">
        <f t="shared" si="136"/>
        <v>0</v>
      </c>
      <c r="ET131" s="139">
        <f t="shared" si="137"/>
        <v>0</v>
      </c>
      <c r="EU131" s="139">
        <f t="shared" si="138"/>
        <v>0</v>
      </c>
      <c r="EV131" s="139">
        <f t="shared" si="139"/>
        <v>0</v>
      </c>
      <c r="EW131" s="139">
        <f t="shared" si="140"/>
        <v>0</v>
      </c>
      <c r="EX131" s="139">
        <f t="shared" si="141"/>
        <v>0</v>
      </c>
      <c r="EY131" s="139">
        <f t="shared" si="142"/>
        <v>0</v>
      </c>
      <c r="EZ131" s="139">
        <f t="shared" si="143"/>
        <v>0</v>
      </c>
      <c r="FA131" s="139">
        <f t="shared" si="144"/>
        <v>0</v>
      </c>
      <c r="FB131" s="139">
        <f t="shared" si="145"/>
        <v>0</v>
      </c>
      <c r="FC131" s="139">
        <f t="shared" si="146"/>
        <v>0</v>
      </c>
      <c r="FD131" s="139">
        <f t="shared" si="147"/>
        <v>0</v>
      </c>
      <c r="FE131" s="139">
        <f t="shared" si="148"/>
        <v>0</v>
      </c>
      <c r="FF131" s="139">
        <f t="shared" si="149"/>
        <v>0</v>
      </c>
      <c r="FG131" s="139">
        <f t="shared" si="150"/>
        <v>0</v>
      </c>
      <c r="FH131" s="139">
        <f t="shared" si="151"/>
        <v>0</v>
      </c>
      <c r="FI131" s="139">
        <f t="shared" si="152"/>
        <v>0</v>
      </c>
      <c r="FJ131" s="139">
        <f t="shared" si="153"/>
        <v>0</v>
      </c>
      <c r="FK131" s="139">
        <f t="shared" si="154"/>
        <v>0</v>
      </c>
      <c r="FL131" s="139">
        <f t="shared" si="155"/>
        <v>0</v>
      </c>
      <c r="FM131" s="139">
        <f t="shared" si="156"/>
        <v>0</v>
      </c>
      <c r="FN131" s="139">
        <f t="shared" si="157"/>
        <v>0</v>
      </c>
      <c r="FO131" s="139">
        <f t="shared" si="158"/>
        <v>0</v>
      </c>
      <c r="FP131" s="139">
        <f t="shared" si="159"/>
        <v>0</v>
      </c>
      <c r="FQ131" s="139">
        <f t="shared" si="160"/>
        <v>0</v>
      </c>
      <c r="FR131" s="139">
        <f t="shared" si="161"/>
        <v>0</v>
      </c>
      <c r="FS131" s="139">
        <f t="shared" si="162"/>
        <v>0</v>
      </c>
      <c r="FT131" s="139">
        <f t="shared" si="163"/>
        <v>0</v>
      </c>
      <c r="FU131" s="148">
        <f t="shared" si="164"/>
        <v>6.3010747007720953</v>
      </c>
      <c r="FV131" s="149"/>
      <c r="FY131" s="213">
        <v>126</v>
      </c>
      <c r="FZ131">
        <v>52.792078617581311</v>
      </c>
      <c r="GA131">
        <v>45.831275770996683</v>
      </c>
      <c r="GB131">
        <v>12.474307295050039</v>
      </c>
      <c r="GC131">
        <v>5.4371262968898142</v>
      </c>
      <c r="GD131">
        <v>4.3469142998770707</v>
      </c>
      <c r="GE131">
        <v>4.9736227661908039</v>
      </c>
      <c r="GF131">
        <v>28.13811026650437</v>
      </c>
      <c r="GG131">
        <v>25.295296650399159</v>
      </c>
      <c r="GH131">
        <v>12.584746295649369</v>
      </c>
      <c r="GI131">
        <v>20.80363746379782</v>
      </c>
      <c r="GJ131"/>
      <c r="GK131"/>
      <c r="GL131"/>
      <c r="GM131"/>
      <c r="GN131" s="208"/>
      <c r="GO131" s="208"/>
      <c r="GP131" s="208"/>
      <c r="GQ131" s="208"/>
      <c r="GR131" s="208"/>
      <c r="GS131" s="208"/>
      <c r="GT131" s="208"/>
      <c r="GU131" s="213">
        <v>126</v>
      </c>
    </row>
    <row r="132" spans="1:203" s="7" customFormat="1">
      <c r="A132" s="1"/>
      <c r="B132" s="76">
        <f ca="1">IF(C132="", "", RAND())</f>
        <v>0.98546761120647397</v>
      </c>
      <c r="C132">
        <v>4</v>
      </c>
      <c r="D132">
        <v>39775</v>
      </c>
      <c r="E132">
        <v>0</v>
      </c>
      <c r="F132">
        <v>83.333333333333329</v>
      </c>
      <c r="G132">
        <v>72.916666666666671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 s="2"/>
      <c r="AK132" s="80"/>
      <c r="AL132" s="74"/>
      <c r="AM132" s="43">
        <v>116</v>
      </c>
      <c r="AN132">
        <v>250.96747391302628</v>
      </c>
      <c r="AO132">
        <v>25.85782044468441</v>
      </c>
      <c r="AP132">
        <v>79.201894953913524</v>
      </c>
      <c r="AQ132">
        <v>198.15608503384539</v>
      </c>
      <c r="AR132">
        <v>27.49431536126632</v>
      </c>
      <c r="AS132">
        <v>238.40828987752718</v>
      </c>
      <c r="AT132">
        <v>13.473009697583814</v>
      </c>
      <c r="AU132">
        <v>23.538455197082982</v>
      </c>
      <c r="AV132"/>
      <c r="AW132"/>
      <c r="AX132" s="146"/>
      <c r="AY132" s="76">
        <f t="shared" ca="1" si="88"/>
        <v>0.60851348157481322</v>
      </c>
      <c r="AZ132">
        <v>5</v>
      </c>
      <c r="BA132" s="129">
        <f t="shared" si="166"/>
        <v>39775</v>
      </c>
      <c r="BB132" s="207">
        <v>0</v>
      </c>
      <c r="BC132" s="207">
        <v>0</v>
      </c>
      <c r="BD132" s="207">
        <v>0</v>
      </c>
      <c r="BE132" s="207">
        <v>0</v>
      </c>
      <c r="BF132" s="207">
        <v>0</v>
      </c>
      <c r="BG132" s="207">
        <v>0</v>
      </c>
      <c r="BH132" s="207">
        <v>0</v>
      </c>
      <c r="BI132" s="207">
        <v>0</v>
      </c>
      <c r="BJ132" s="207">
        <v>0</v>
      </c>
      <c r="BK132" s="207">
        <v>0</v>
      </c>
      <c r="BL132" s="207">
        <v>0</v>
      </c>
      <c r="BM132" s="207">
        <v>0</v>
      </c>
      <c r="BN132" s="207">
        <v>0</v>
      </c>
      <c r="BO132" s="207">
        <v>0</v>
      </c>
      <c r="BP132" s="207">
        <v>0</v>
      </c>
      <c r="BQ132" s="207">
        <v>0</v>
      </c>
      <c r="BR132" s="207">
        <v>0</v>
      </c>
      <c r="BS132" s="207">
        <v>0</v>
      </c>
      <c r="BT132" s="207">
        <v>0</v>
      </c>
      <c r="BU132" s="207">
        <v>0</v>
      </c>
      <c r="BV132" s="207">
        <v>0</v>
      </c>
      <c r="BW132" s="207">
        <v>0</v>
      </c>
      <c r="BX132" s="207">
        <v>0</v>
      </c>
      <c r="BY132" s="207">
        <v>0</v>
      </c>
      <c r="BZ132" s="207">
        <v>0</v>
      </c>
      <c r="CA132" s="207">
        <v>0</v>
      </c>
      <c r="CB132" s="207">
        <v>0</v>
      </c>
      <c r="CC132" s="207">
        <v>0</v>
      </c>
      <c r="CD132" s="207">
        <v>0</v>
      </c>
      <c r="CE132" s="207">
        <v>0</v>
      </c>
      <c r="CF132" s="207">
        <v>0</v>
      </c>
      <c r="CG132" s="147"/>
      <c r="CH132" s="176"/>
      <c r="CJ132" s="146"/>
      <c r="CK132" s="76">
        <f t="shared" ca="1" si="90"/>
        <v>0.50932767564577475</v>
      </c>
      <c r="CL132" s="179">
        <f t="shared" si="91"/>
        <v>5</v>
      </c>
      <c r="CM132" s="180">
        <f t="shared" si="92"/>
        <v>39775</v>
      </c>
      <c r="CN132" s="208">
        <v>0</v>
      </c>
      <c r="CO132" s="208">
        <v>9</v>
      </c>
      <c r="CP132" s="208">
        <v>7</v>
      </c>
      <c r="CQ132" s="208">
        <v>0</v>
      </c>
      <c r="CR132" s="208">
        <v>0</v>
      </c>
      <c r="CS132" s="208">
        <v>0</v>
      </c>
      <c r="CT132" s="208">
        <v>0</v>
      </c>
      <c r="CU132" s="208">
        <v>0</v>
      </c>
      <c r="CV132" s="160"/>
      <c r="CW132">
        <v>1</v>
      </c>
      <c r="CX132">
        <f>20/7</f>
        <v>2.8571428571428572</v>
      </c>
      <c r="CY132" s="160"/>
      <c r="CZ132" s="177">
        <f t="shared" si="93"/>
        <v>9.6000000000000002E-2</v>
      </c>
      <c r="DB132" s="146"/>
      <c r="DC132" s="76">
        <f t="shared" ca="1" si="51"/>
        <v>0.89686115934068988</v>
      </c>
      <c r="DD132">
        <f t="shared" si="94"/>
        <v>5</v>
      </c>
      <c r="DE132" s="129">
        <f t="shared" si="165"/>
        <v>39775</v>
      </c>
      <c r="DF132" s="161">
        <f t="shared" si="95"/>
        <v>0</v>
      </c>
      <c r="DG132" s="161">
        <f t="shared" si="96"/>
        <v>267.85714285714289</v>
      </c>
      <c r="DH132" s="161">
        <f t="shared" si="97"/>
        <v>208.33333333333334</v>
      </c>
      <c r="DI132" s="161">
        <f t="shared" si="98"/>
        <v>0</v>
      </c>
      <c r="DJ132" s="161">
        <f t="shared" si="99"/>
        <v>0</v>
      </c>
      <c r="DK132" s="161">
        <f t="shared" si="100"/>
        <v>0</v>
      </c>
      <c r="DL132" s="161">
        <f t="shared" si="101"/>
        <v>0</v>
      </c>
      <c r="DM132" s="161">
        <f t="shared" si="102"/>
        <v>0</v>
      </c>
      <c r="DN132" s="161">
        <f t="shared" si="103"/>
        <v>0</v>
      </c>
      <c r="DO132" s="161">
        <f t="shared" si="104"/>
        <v>0</v>
      </c>
      <c r="DP132" s="161">
        <f t="shared" si="105"/>
        <v>0</v>
      </c>
      <c r="DQ132" s="161">
        <f t="shared" si="106"/>
        <v>0</v>
      </c>
      <c r="DR132" s="161">
        <f t="shared" si="107"/>
        <v>0</v>
      </c>
      <c r="DS132" s="161">
        <f t="shared" si="108"/>
        <v>0</v>
      </c>
      <c r="DT132" s="161">
        <f t="shared" si="109"/>
        <v>0</v>
      </c>
      <c r="DU132" s="161">
        <f t="shared" si="110"/>
        <v>0</v>
      </c>
      <c r="DV132" s="161">
        <f t="shared" si="111"/>
        <v>0</v>
      </c>
      <c r="DW132" s="161">
        <f t="shared" si="112"/>
        <v>0</v>
      </c>
      <c r="DX132" s="161">
        <f t="shared" si="113"/>
        <v>0</v>
      </c>
      <c r="DY132" s="161">
        <f t="shared" si="114"/>
        <v>0</v>
      </c>
      <c r="DZ132" s="161">
        <f t="shared" si="115"/>
        <v>0</v>
      </c>
      <c r="EA132" s="161">
        <f t="shared" si="116"/>
        <v>0</v>
      </c>
      <c r="EB132" s="161">
        <f t="shared" si="117"/>
        <v>0</v>
      </c>
      <c r="EC132" s="161">
        <f t="shared" si="118"/>
        <v>0</v>
      </c>
      <c r="ED132" s="161">
        <f t="shared" si="119"/>
        <v>0</v>
      </c>
      <c r="EE132" s="161">
        <f t="shared" si="120"/>
        <v>0</v>
      </c>
      <c r="EF132" s="161">
        <f t="shared" si="121"/>
        <v>0</v>
      </c>
      <c r="EG132" s="161">
        <f t="shared" si="122"/>
        <v>0</v>
      </c>
      <c r="EH132" s="161">
        <f t="shared" si="123"/>
        <v>0</v>
      </c>
      <c r="EI132" s="161">
        <f t="shared" si="124"/>
        <v>0</v>
      </c>
      <c r="EJ132" s="161">
        <f t="shared" si="125"/>
        <v>0</v>
      </c>
      <c r="EK132" s="147">
        <f t="shared" si="132"/>
        <v>476.19047619047626</v>
      </c>
      <c r="EL132" s="149"/>
      <c r="EN132" s="146"/>
      <c r="EO132" s="146"/>
      <c r="EP132" s="139">
        <f t="shared" si="133"/>
        <v>0</v>
      </c>
      <c r="EQ132" s="139">
        <f t="shared" si="134"/>
        <v>3.0887410714285717</v>
      </c>
      <c r="ER132" s="139">
        <f t="shared" si="135"/>
        <v>15.257522954586937</v>
      </c>
      <c r="ES132" s="139">
        <f t="shared" si="136"/>
        <v>0</v>
      </c>
      <c r="ET132" s="139">
        <f t="shared" si="137"/>
        <v>0</v>
      </c>
      <c r="EU132" s="139">
        <f t="shared" si="138"/>
        <v>0</v>
      </c>
      <c r="EV132" s="139">
        <f t="shared" si="139"/>
        <v>0</v>
      </c>
      <c r="EW132" s="139">
        <f t="shared" si="140"/>
        <v>0</v>
      </c>
      <c r="EX132" s="139">
        <f t="shared" si="141"/>
        <v>0</v>
      </c>
      <c r="EY132" s="139">
        <f t="shared" si="142"/>
        <v>0</v>
      </c>
      <c r="EZ132" s="139">
        <f t="shared" si="143"/>
        <v>0</v>
      </c>
      <c r="FA132" s="139">
        <f t="shared" si="144"/>
        <v>0</v>
      </c>
      <c r="FB132" s="139">
        <f t="shared" si="145"/>
        <v>0</v>
      </c>
      <c r="FC132" s="139">
        <f t="shared" si="146"/>
        <v>0</v>
      </c>
      <c r="FD132" s="139">
        <f t="shared" si="147"/>
        <v>0</v>
      </c>
      <c r="FE132" s="139">
        <f t="shared" si="148"/>
        <v>0</v>
      </c>
      <c r="FF132" s="139">
        <f t="shared" si="149"/>
        <v>0</v>
      </c>
      <c r="FG132" s="139">
        <f t="shared" si="150"/>
        <v>0</v>
      </c>
      <c r="FH132" s="139">
        <f t="shared" si="151"/>
        <v>0</v>
      </c>
      <c r="FI132" s="139">
        <f t="shared" si="152"/>
        <v>0</v>
      </c>
      <c r="FJ132" s="139">
        <f t="shared" si="153"/>
        <v>0</v>
      </c>
      <c r="FK132" s="139">
        <f t="shared" si="154"/>
        <v>0</v>
      </c>
      <c r="FL132" s="139">
        <f t="shared" si="155"/>
        <v>0</v>
      </c>
      <c r="FM132" s="139">
        <f t="shared" si="156"/>
        <v>0</v>
      </c>
      <c r="FN132" s="139">
        <f t="shared" si="157"/>
        <v>0</v>
      </c>
      <c r="FO132" s="139">
        <f t="shared" si="158"/>
        <v>0</v>
      </c>
      <c r="FP132" s="139">
        <f t="shared" si="159"/>
        <v>0</v>
      </c>
      <c r="FQ132" s="139">
        <f t="shared" si="160"/>
        <v>0</v>
      </c>
      <c r="FR132" s="139">
        <f t="shared" si="161"/>
        <v>0</v>
      </c>
      <c r="FS132" s="139">
        <f t="shared" si="162"/>
        <v>0</v>
      </c>
      <c r="FT132" s="139">
        <f t="shared" si="163"/>
        <v>0</v>
      </c>
      <c r="FU132" s="148">
        <f t="shared" si="164"/>
        <v>18.346264026015508</v>
      </c>
      <c r="FV132" s="149"/>
      <c r="FY132" s="213">
        <v>127</v>
      </c>
      <c r="FZ132">
        <v>52.517562317597132</v>
      </c>
      <c r="GA132">
        <v>40.744493982199792</v>
      </c>
      <c r="GB132">
        <v>4.6669377841306252</v>
      </c>
      <c r="GC132">
        <v>5.4094503994848404</v>
      </c>
      <c r="GD132">
        <v>4.8281619110756173</v>
      </c>
      <c r="GE132">
        <v>5.7695023285647826</v>
      </c>
      <c r="GF132">
        <v>27.420020929129343</v>
      </c>
      <c r="GG132">
        <v>24.839436240682993</v>
      </c>
      <c r="GH132">
        <v>15.060968339555584</v>
      </c>
      <c r="GI132">
        <v>19.100204616402927</v>
      </c>
      <c r="GJ132"/>
      <c r="GK132"/>
      <c r="GL132"/>
      <c r="GM132"/>
      <c r="GN132" s="208"/>
      <c r="GO132" s="208"/>
      <c r="GP132" s="208"/>
      <c r="GQ132" s="208"/>
      <c r="GR132" s="208"/>
      <c r="GS132" s="208"/>
      <c r="GT132" s="208"/>
      <c r="GU132" s="213">
        <v>127</v>
      </c>
    </row>
    <row r="133" spans="1:203" s="7" customFormat="1">
      <c r="A133" s="1"/>
      <c r="B133" s="76">
        <f ca="1">IF(C133="", "", RAND())</f>
        <v>0.98808294124346485</v>
      </c>
      <c r="C133">
        <v>2</v>
      </c>
      <c r="D133">
        <v>39775</v>
      </c>
      <c r="E133">
        <v>0</v>
      </c>
      <c r="F133">
        <v>170.45454545454544</v>
      </c>
      <c r="G133">
        <v>189.39393939393938</v>
      </c>
      <c r="H133">
        <v>0</v>
      </c>
      <c r="I133">
        <v>10.416666666666666</v>
      </c>
      <c r="J133">
        <v>0</v>
      </c>
      <c r="K133">
        <v>10.416666666666666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 s="2"/>
      <c r="AK133" s="80"/>
      <c r="AL133" s="74"/>
      <c r="AM133" s="43">
        <v>117</v>
      </c>
      <c r="AN133">
        <v>332.3890401751745</v>
      </c>
      <c r="AO133">
        <v>26.502353376820082</v>
      </c>
      <c r="AP133">
        <v>82.813705143744016</v>
      </c>
      <c r="AQ133">
        <v>194.54436872792479</v>
      </c>
      <c r="AR133">
        <v>26.962661222806918</v>
      </c>
      <c r="AS133">
        <v>252.50283397246275</v>
      </c>
      <c r="AT133">
        <v>12.924574175005068</v>
      </c>
      <c r="AU133">
        <v>21.114171132381319</v>
      </c>
      <c r="AV133"/>
      <c r="AW133"/>
      <c r="AX133" s="146"/>
      <c r="AY133" s="76">
        <f t="shared" ca="1" si="88"/>
        <v>3.4342059212330467E-2</v>
      </c>
      <c r="AZ133">
        <v>6</v>
      </c>
      <c r="BA133" s="129">
        <f t="shared" si="166"/>
        <v>39775</v>
      </c>
      <c r="BB133" s="207">
        <v>0</v>
      </c>
      <c r="BC133" s="207">
        <v>0</v>
      </c>
      <c r="BD133" s="207">
        <v>0</v>
      </c>
      <c r="BE133" s="207">
        <v>0</v>
      </c>
      <c r="BF133" s="207">
        <v>0</v>
      </c>
      <c r="BG133" s="207">
        <v>0</v>
      </c>
      <c r="BH133" s="207">
        <v>0</v>
      </c>
      <c r="BI133" s="207">
        <v>0</v>
      </c>
      <c r="BJ133" s="207">
        <v>0</v>
      </c>
      <c r="BK133" s="207">
        <v>0</v>
      </c>
      <c r="BL133" s="207">
        <v>0</v>
      </c>
      <c r="BM133" s="207">
        <v>0</v>
      </c>
      <c r="BN133" s="207">
        <v>0</v>
      </c>
      <c r="BO133" s="207">
        <v>0</v>
      </c>
      <c r="BP133" s="207">
        <v>0</v>
      </c>
      <c r="BQ133" s="207">
        <v>0</v>
      </c>
      <c r="BR133" s="207">
        <v>0</v>
      </c>
      <c r="BS133" s="207">
        <v>0</v>
      </c>
      <c r="BT133" s="207">
        <v>0</v>
      </c>
      <c r="BU133" s="207">
        <v>0</v>
      </c>
      <c r="BV133" s="207">
        <v>0</v>
      </c>
      <c r="BW133" s="207">
        <v>0</v>
      </c>
      <c r="BX133" s="207">
        <v>0</v>
      </c>
      <c r="BY133" s="207">
        <v>0</v>
      </c>
      <c r="BZ133" s="207">
        <v>0</v>
      </c>
      <c r="CA133" s="207">
        <v>0</v>
      </c>
      <c r="CB133" s="207">
        <v>0</v>
      </c>
      <c r="CC133" s="207">
        <v>0</v>
      </c>
      <c r="CD133" s="207">
        <v>0</v>
      </c>
      <c r="CE133" s="207">
        <v>0</v>
      </c>
      <c r="CF133" s="207">
        <v>0</v>
      </c>
      <c r="CG133" s="147"/>
      <c r="CH133" s="176"/>
      <c r="CJ133" s="146"/>
      <c r="CK133" s="76">
        <f t="shared" ca="1" si="90"/>
        <v>0.68365693614716028</v>
      </c>
      <c r="CL133" s="179">
        <f t="shared" si="91"/>
        <v>6</v>
      </c>
      <c r="CM133" s="180">
        <f t="shared" si="92"/>
        <v>39775</v>
      </c>
      <c r="CN133" s="208">
        <v>2</v>
      </c>
      <c r="CO133" s="208">
        <v>10</v>
      </c>
      <c r="CP133" s="208">
        <v>8</v>
      </c>
      <c r="CQ133" s="208">
        <v>0</v>
      </c>
      <c r="CR133" s="208">
        <v>0</v>
      </c>
      <c r="CS133" s="208">
        <v>0</v>
      </c>
      <c r="CT133" s="208">
        <v>0</v>
      </c>
      <c r="CU133" s="208">
        <v>0</v>
      </c>
      <c r="CV133" s="160"/>
      <c r="CW133">
        <v>1</v>
      </c>
      <c r="CX133">
        <v>1</v>
      </c>
      <c r="CY133" s="164"/>
      <c r="CZ133" s="177">
        <f t="shared" si="93"/>
        <v>9.6000000000000002E-2</v>
      </c>
      <c r="DB133" s="146"/>
      <c r="DC133" s="76">
        <f t="shared" ca="1" si="51"/>
        <v>0.99237357800038417</v>
      </c>
      <c r="DD133">
        <f t="shared" si="94"/>
        <v>6</v>
      </c>
      <c r="DE133" s="129">
        <f t="shared" si="165"/>
        <v>39775</v>
      </c>
      <c r="DF133" s="161">
        <f t="shared" si="95"/>
        <v>20.833333333333332</v>
      </c>
      <c r="DG133" s="161">
        <f t="shared" si="96"/>
        <v>104.16666666666667</v>
      </c>
      <c r="DH133" s="161">
        <f t="shared" si="97"/>
        <v>83.333333333333329</v>
      </c>
      <c r="DI133" s="161">
        <f t="shared" si="98"/>
        <v>0</v>
      </c>
      <c r="DJ133" s="161">
        <f t="shared" si="99"/>
        <v>0</v>
      </c>
      <c r="DK133" s="161">
        <f t="shared" si="100"/>
        <v>0</v>
      </c>
      <c r="DL133" s="161">
        <f t="shared" si="101"/>
        <v>0</v>
      </c>
      <c r="DM133" s="161">
        <f t="shared" si="102"/>
        <v>0</v>
      </c>
      <c r="DN133" s="161">
        <f t="shared" si="103"/>
        <v>0</v>
      </c>
      <c r="DO133" s="161">
        <f t="shared" si="104"/>
        <v>0</v>
      </c>
      <c r="DP133" s="161">
        <f t="shared" si="105"/>
        <v>0</v>
      </c>
      <c r="DQ133" s="161">
        <f t="shared" si="106"/>
        <v>0</v>
      </c>
      <c r="DR133" s="161">
        <f t="shared" si="107"/>
        <v>0</v>
      </c>
      <c r="DS133" s="161">
        <f t="shared" si="108"/>
        <v>0</v>
      </c>
      <c r="DT133" s="161">
        <f t="shared" si="109"/>
        <v>0</v>
      </c>
      <c r="DU133" s="161">
        <f t="shared" si="110"/>
        <v>0</v>
      </c>
      <c r="DV133" s="161">
        <f t="shared" si="111"/>
        <v>0</v>
      </c>
      <c r="DW133" s="161">
        <f t="shared" si="112"/>
        <v>0</v>
      </c>
      <c r="DX133" s="161">
        <f t="shared" si="113"/>
        <v>0</v>
      </c>
      <c r="DY133" s="161">
        <f t="shared" si="114"/>
        <v>0</v>
      </c>
      <c r="DZ133" s="161">
        <f t="shared" si="115"/>
        <v>0</v>
      </c>
      <c r="EA133" s="161">
        <f t="shared" si="116"/>
        <v>0</v>
      </c>
      <c r="EB133" s="161">
        <f t="shared" si="117"/>
        <v>0</v>
      </c>
      <c r="EC133" s="161">
        <f t="shared" si="118"/>
        <v>0</v>
      </c>
      <c r="ED133" s="161">
        <f t="shared" si="119"/>
        <v>0</v>
      </c>
      <c r="EE133" s="161">
        <f t="shared" si="120"/>
        <v>0</v>
      </c>
      <c r="EF133" s="161">
        <f t="shared" si="121"/>
        <v>0</v>
      </c>
      <c r="EG133" s="161">
        <f t="shared" si="122"/>
        <v>0</v>
      </c>
      <c r="EH133" s="161">
        <f t="shared" si="123"/>
        <v>0</v>
      </c>
      <c r="EI133" s="161">
        <f t="shared" si="124"/>
        <v>0</v>
      </c>
      <c r="EJ133" s="161">
        <f t="shared" si="125"/>
        <v>0</v>
      </c>
      <c r="EK133" s="147">
        <f t="shared" si="132"/>
        <v>208.33333333333331</v>
      </c>
      <c r="EL133" s="149"/>
      <c r="EN133" s="146"/>
      <c r="EO133" s="146"/>
      <c r="EP133" s="139">
        <f t="shared" si="133"/>
        <v>3.782596663481106E-2</v>
      </c>
      <c r="EQ133" s="139">
        <f t="shared" si="134"/>
        <v>1.2011770833333333</v>
      </c>
      <c r="ER133" s="139">
        <f t="shared" si="135"/>
        <v>6.103009181834774</v>
      </c>
      <c r="ES133" s="139">
        <f t="shared" si="136"/>
        <v>0</v>
      </c>
      <c r="ET133" s="139">
        <f t="shared" si="137"/>
        <v>0</v>
      </c>
      <c r="EU133" s="139">
        <f t="shared" si="138"/>
        <v>0</v>
      </c>
      <c r="EV133" s="139">
        <f t="shared" si="139"/>
        <v>0</v>
      </c>
      <c r="EW133" s="139">
        <f t="shared" si="140"/>
        <v>0</v>
      </c>
      <c r="EX133" s="139">
        <f t="shared" si="141"/>
        <v>0</v>
      </c>
      <c r="EY133" s="139">
        <f t="shared" si="142"/>
        <v>0</v>
      </c>
      <c r="EZ133" s="139">
        <f t="shared" si="143"/>
        <v>0</v>
      </c>
      <c r="FA133" s="139">
        <f t="shared" si="144"/>
        <v>0</v>
      </c>
      <c r="FB133" s="139">
        <f t="shared" si="145"/>
        <v>0</v>
      </c>
      <c r="FC133" s="139">
        <f t="shared" si="146"/>
        <v>0</v>
      </c>
      <c r="FD133" s="139">
        <f t="shared" si="147"/>
        <v>0</v>
      </c>
      <c r="FE133" s="139">
        <f t="shared" si="148"/>
        <v>0</v>
      </c>
      <c r="FF133" s="139">
        <f t="shared" si="149"/>
        <v>0</v>
      </c>
      <c r="FG133" s="139">
        <f t="shared" si="150"/>
        <v>0</v>
      </c>
      <c r="FH133" s="139">
        <f t="shared" si="151"/>
        <v>0</v>
      </c>
      <c r="FI133" s="139">
        <f t="shared" si="152"/>
        <v>0</v>
      </c>
      <c r="FJ133" s="139">
        <f t="shared" si="153"/>
        <v>0</v>
      </c>
      <c r="FK133" s="139">
        <f t="shared" si="154"/>
        <v>0</v>
      </c>
      <c r="FL133" s="139">
        <f t="shared" si="155"/>
        <v>0</v>
      </c>
      <c r="FM133" s="139">
        <f t="shared" si="156"/>
        <v>0</v>
      </c>
      <c r="FN133" s="139">
        <f t="shared" si="157"/>
        <v>0</v>
      </c>
      <c r="FO133" s="139">
        <f t="shared" si="158"/>
        <v>0</v>
      </c>
      <c r="FP133" s="139">
        <f t="shared" si="159"/>
        <v>0</v>
      </c>
      <c r="FQ133" s="139">
        <f t="shared" si="160"/>
        <v>0</v>
      </c>
      <c r="FR133" s="139">
        <f t="shared" si="161"/>
        <v>0</v>
      </c>
      <c r="FS133" s="139">
        <f t="shared" si="162"/>
        <v>0</v>
      </c>
      <c r="FT133" s="139">
        <f t="shared" si="163"/>
        <v>0</v>
      </c>
      <c r="FU133" s="148">
        <f t="shared" si="164"/>
        <v>7.3420122318029186</v>
      </c>
      <c r="FV133" s="149"/>
      <c r="FY133" s="213">
        <v>128</v>
      </c>
      <c r="FZ133">
        <v>37.937097313707845</v>
      </c>
      <c r="GA133">
        <v>68.013673617925818</v>
      </c>
      <c r="GB133">
        <v>20.189207151649789</v>
      </c>
      <c r="GC133">
        <v>5.9513732545403082</v>
      </c>
      <c r="GD133">
        <v>6.4371322157598092</v>
      </c>
      <c r="GE133">
        <v>7.3466878616362612</v>
      </c>
      <c r="GF133">
        <v>16.611592929120889</v>
      </c>
      <c r="GG133">
        <v>16.534917586678961</v>
      </c>
      <c r="GH133">
        <v>9.1041823105024857</v>
      </c>
      <c r="GI133">
        <v>19.777361306217767</v>
      </c>
      <c r="GJ133"/>
      <c r="GK133"/>
      <c r="GL133"/>
      <c r="GM133"/>
      <c r="GN133" s="208"/>
      <c r="GO133" s="208"/>
      <c r="GP133" s="208"/>
      <c r="GQ133" s="208"/>
      <c r="GR133" s="208"/>
      <c r="GS133" s="208"/>
      <c r="GT133" s="208"/>
      <c r="GU133" s="213">
        <v>128</v>
      </c>
    </row>
    <row r="134" spans="1:203" s="7" customFormat="1">
      <c r="A134" s="1"/>
      <c r="B134" s="76">
        <f ca="1">IF(C134="", "", RAND())</f>
        <v>0.60777115055434794</v>
      </c>
      <c r="C134">
        <v>5</v>
      </c>
      <c r="D134">
        <v>39775</v>
      </c>
      <c r="E134">
        <v>0</v>
      </c>
      <c r="F134">
        <v>267.85714285714289</v>
      </c>
      <c r="G134">
        <v>208.33333333333334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 s="2"/>
      <c r="AK134" s="80"/>
      <c r="AL134" s="74"/>
      <c r="AM134" s="43">
        <v>118</v>
      </c>
      <c r="AN134">
        <v>362.40168519693913</v>
      </c>
      <c r="AO134">
        <v>28.852700744516227</v>
      </c>
      <c r="AP134">
        <v>104.73594867767193</v>
      </c>
      <c r="AQ134">
        <v>202.32840350189747</v>
      </c>
      <c r="AR134">
        <v>31.59144014699417</v>
      </c>
      <c r="AS134">
        <v>278.89387493349102</v>
      </c>
      <c r="AT134">
        <v>14.674517387195309</v>
      </c>
      <c r="AU134">
        <v>23.268387394223311</v>
      </c>
      <c r="AV134"/>
      <c r="AW134"/>
      <c r="AX134" s="146"/>
      <c r="AY134" s="76">
        <f t="shared" ca="1" si="88"/>
        <v>0.41907254563138907</v>
      </c>
      <c r="AZ134">
        <v>7</v>
      </c>
      <c r="BA134" s="129">
        <f t="shared" si="166"/>
        <v>39775</v>
      </c>
      <c r="BB134" s="207">
        <v>0</v>
      </c>
      <c r="BC134" s="207">
        <v>1</v>
      </c>
      <c r="BD134" s="207">
        <v>2</v>
      </c>
      <c r="BE134" s="207">
        <v>0</v>
      </c>
      <c r="BF134" s="207">
        <v>0</v>
      </c>
      <c r="BG134" s="207">
        <v>0</v>
      </c>
      <c r="BH134" s="207">
        <v>0</v>
      </c>
      <c r="BI134" s="207">
        <v>0</v>
      </c>
      <c r="BJ134" s="207">
        <v>0</v>
      </c>
      <c r="BK134" s="207">
        <v>0</v>
      </c>
      <c r="BL134" s="207">
        <v>0</v>
      </c>
      <c r="BM134" s="207">
        <v>0</v>
      </c>
      <c r="BN134" s="207">
        <v>0</v>
      </c>
      <c r="BO134" s="207">
        <v>0</v>
      </c>
      <c r="BP134" s="207">
        <v>0</v>
      </c>
      <c r="BQ134" s="207">
        <v>0</v>
      </c>
      <c r="BR134" s="207">
        <v>0</v>
      </c>
      <c r="BS134" s="207">
        <v>0</v>
      </c>
      <c r="BT134" s="207">
        <v>0</v>
      </c>
      <c r="BU134" s="207">
        <v>0</v>
      </c>
      <c r="BV134" s="207">
        <v>0</v>
      </c>
      <c r="BW134" s="207">
        <v>0</v>
      </c>
      <c r="BX134" s="207">
        <v>0</v>
      </c>
      <c r="BY134" s="207">
        <v>0</v>
      </c>
      <c r="BZ134" s="207">
        <v>0</v>
      </c>
      <c r="CA134" s="207">
        <v>0</v>
      </c>
      <c r="CB134" s="207">
        <v>0</v>
      </c>
      <c r="CC134" s="207">
        <v>0</v>
      </c>
      <c r="CD134" s="207">
        <v>0</v>
      </c>
      <c r="CE134" s="207">
        <v>0</v>
      </c>
      <c r="CF134" s="207">
        <v>0</v>
      </c>
      <c r="CG134" s="147"/>
      <c r="CH134" s="176"/>
      <c r="CJ134" s="146"/>
      <c r="CK134" s="76">
        <f t="shared" ca="1" si="90"/>
        <v>0.44968673156938044</v>
      </c>
      <c r="CL134" s="179">
        <f t="shared" si="91"/>
        <v>7</v>
      </c>
      <c r="CM134" s="180">
        <f t="shared" si="92"/>
        <v>39775</v>
      </c>
      <c r="CN134" s="208">
        <v>1</v>
      </c>
      <c r="CO134" s="208">
        <v>12</v>
      </c>
      <c r="CP134" s="208">
        <v>15</v>
      </c>
      <c r="CQ134" s="208">
        <v>0</v>
      </c>
      <c r="CR134" s="208">
        <v>0</v>
      </c>
      <c r="CS134" s="208">
        <v>0</v>
      </c>
      <c r="CT134" s="208">
        <v>0</v>
      </c>
      <c r="CU134" s="208">
        <v>0</v>
      </c>
      <c r="CV134" s="160"/>
      <c r="CW134">
        <f>30/22</f>
        <v>1.3636363636363635</v>
      </c>
      <c r="CX134">
        <f>20/9</f>
        <v>2.2222222222222223</v>
      </c>
      <c r="CY134" s="164"/>
      <c r="CZ134" s="177">
        <f t="shared" si="93"/>
        <v>9.6000000000000002E-2</v>
      </c>
      <c r="DB134" s="146"/>
      <c r="DC134" s="76">
        <f t="shared" ca="1" si="51"/>
        <v>0.19699598667628071</v>
      </c>
      <c r="DD134">
        <f t="shared" si="94"/>
        <v>7</v>
      </c>
      <c r="DE134" s="129">
        <f t="shared" si="165"/>
        <v>39775</v>
      </c>
      <c r="DF134" s="161">
        <f t="shared" si="95"/>
        <v>23.148148148148149</v>
      </c>
      <c r="DG134" s="161">
        <f t="shared" si="96"/>
        <v>291.98232323232321</v>
      </c>
      <c r="DH134" s="161">
        <f t="shared" si="97"/>
        <v>375.63131313131316</v>
      </c>
      <c r="DI134" s="161">
        <f t="shared" si="98"/>
        <v>0</v>
      </c>
      <c r="DJ134" s="161">
        <f t="shared" si="99"/>
        <v>0</v>
      </c>
      <c r="DK134" s="161">
        <f t="shared" si="100"/>
        <v>0</v>
      </c>
      <c r="DL134" s="161">
        <f t="shared" si="101"/>
        <v>0</v>
      </c>
      <c r="DM134" s="161">
        <f t="shared" si="102"/>
        <v>0</v>
      </c>
      <c r="DN134" s="161">
        <f t="shared" si="103"/>
        <v>0</v>
      </c>
      <c r="DO134" s="161">
        <f t="shared" si="104"/>
        <v>0</v>
      </c>
      <c r="DP134" s="161">
        <f t="shared" si="105"/>
        <v>0</v>
      </c>
      <c r="DQ134" s="161">
        <f t="shared" si="106"/>
        <v>0</v>
      </c>
      <c r="DR134" s="161">
        <f t="shared" si="107"/>
        <v>0</v>
      </c>
      <c r="DS134" s="161">
        <f t="shared" si="108"/>
        <v>0</v>
      </c>
      <c r="DT134" s="161">
        <f t="shared" si="109"/>
        <v>0</v>
      </c>
      <c r="DU134" s="161">
        <f t="shared" si="110"/>
        <v>0</v>
      </c>
      <c r="DV134" s="161">
        <f t="shared" si="111"/>
        <v>0</v>
      </c>
      <c r="DW134" s="161">
        <f t="shared" si="112"/>
        <v>0</v>
      </c>
      <c r="DX134" s="161">
        <f t="shared" si="113"/>
        <v>0</v>
      </c>
      <c r="DY134" s="161">
        <f t="shared" si="114"/>
        <v>0</v>
      </c>
      <c r="DZ134" s="161">
        <f t="shared" si="115"/>
        <v>0</v>
      </c>
      <c r="EA134" s="161">
        <f t="shared" si="116"/>
        <v>0</v>
      </c>
      <c r="EB134" s="161">
        <f t="shared" si="117"/>
        <v>0</v>
      </c>
      <c r="EC134" s="161">
        <f t="shared" si="118"/>
        <v>0</v>
      </c>
      <c r="ED134" s="161">
        <f t="shared" si="119"/>
        <v>0</v>
      </c>
      <c r="EE134" s="161">
        <f t="shared" si="120"/>
        <v>0</v>
      </c>
      <c r="EF134" s="161">
        <f t="shared" si="121"/>
        <v>0</v>
      </c>
      <c r="EG134" s="161">
        <f t="shared" si="122"/>
        <v>0</v>
      </c>
      <c r="EH134" s="161">
        <f t="shared" si="123"/>
        <v>0</v>
      </c>
      <c r="EI134" s="161">
        <f t="shared" si="124"/>
        <v>0</v>
      </c>
      <c r="EJ134" s="161">
        <f t="shared" si="125"/>
        <v>0</v>
      </c>
      <c r="EK134" s="147">
        <f t="shared" si="132"/>
        <v>690.76178451178453</v>
      </c>
      <c r="EL134" s="149"/>
      <c r="EN134" s="146"/>
      <c r="EO134" s="146"/>
      <c r="EP134" s="139">
        <f t="shared" si="133"/>
        <v>4.2028851816456735E-2</v>
      </c>
      <c r="EQ134" s="139">
        <f t="shared" si="134"/>
        <v>3.3669357638888884</v>
      </c>
      <c r="ER134" s="139">
        <f t="shared" si="135"/>
        <v>27.509776236300691</v>
      </c>
      <c r="ES134" s="139">
        <f t="shared" si="136"/>
        <v>0</v>
      </c>
      <c r="ET134" s="139">
        <f t="shared" si="137"/>
        <v>0</v>
      </c>
      <c r="EU134" s="139">
        <f t="shared" si="138"/>
        <v>0</v>
      </c>
      <c r="EV134" s="139">
        <f t="shared" si="139"/>
        <v>0</v>
      </c>
      <c r="EW134" s="139">
        <f t="shared" si="140"/>
        <v>0</v>
      </c>
      <c r="EX134" s="139">
        <f t="shared" si="141"/>
        <v>0</v>
      </c>
      <c r="EY134" s="139">
        <f t="shared" si="142"/>
        <v>0</v>
      </c>
      <c r="EZ134" s="139">
        <f t="shared" si="143"/>
        <v>0</v>
      </c>
      <c r="FA134" s="139">
        <f t="shared" si="144"/>
        <v>0</v>
      </c>
      <c r="FB134" s="139">
        <f t="shared" si="145"/>
        <v>0</v>
      </c>
      <c r="FC134" s="139">
        <f t="shared" si="146"/>
        <v>0</v>
      </c>
      <c r="FD134" s="139">
        <f t="shared" si="147"/>
        <v>0</v>
      </c>
      <c r="FE134" s="139">
        <f t="shared" si="148"/>
        <v>0</v>
      </c>
      <c r="FF134" s="139">
        <f t="shared" si="149"/>
        <v>0</v>
      </c>
      <c r="FG134" s="139">
        <f t="shared" si="150"/>
        <v>0</v>
      </c>
      <c r="FH134" s="139">
        <f t="shared" si="151"/>
        <v>0</v>
      </c>
      <c r="FI134" s="139">
        <f t="shared" si="152"/>
        <v>0</v>
      </c>
      <c r="FJ134" s="139">
        <f t="shared" si="153"/>
        <v>0</v>
      </c>
      <c r="FK134" s="139">
        <f t="shared" si="154"/>
        <v>0</v>
      </c>
      <c r="FL134" s="139">
        <f t="shared" si="155"/>
        <v>0</v>
      </c>
      <c r="FM134" s="139">
        <f t="shared" si="156"/>
        <v>0</v>
      </c>
      <c r="FN134" s="139">
        <f t="shared" si="157"/>
        <v>0</v>
      </c>
      <c r="FO134" s="139">
        <f t="shared" si="158"/>
        <v>0</v>
      </c>
      <c r="FP134" s="139">
        <f t="shared" si="159"/>
        <v>0</v>
      </c>
      <c r="FQ134" s="139">
        <f t="shared" si="160"/>
        <v>0</v>
      </c>
      <c r="FR134" s="139">
        <f t="shared" si="161"/>
        <v>0</v>
      </c>
      <c r="FS134" s="139">
        <f t="shared" si="162"/>
        <v>0</v>
      </c>
      <c r="FT134" s="139">
        <f t="shared" si="163"/>
        <v>0</v>
      </c>
      <c r="FU134" s="148">
        <f t="shared" si="164"/>
        <v>30.918740852006035</v>
      </c>
      <c r="FV134" s="149"/>
      <c r="FY134" s="213">
        <v>129</v>
      </c>
      <c r="FZ134">
        <v>62.638719400965805</v>
      </c>
      <c r="GA134">
        <v>65.513458798962034</v>
      </c>
      <c r="GB134">
        <v>16.715809654492684</v>
      </c>
      <c r="GC134">
        <v>7.3984261819993407</v>
      </c>
      <c r="GD134">
        <v>6.6873412950438462</v>
      </c>
      <c r="GE134">
        <v>4.727847111077379</v>
      </c>
      <c r="GF134">
        <v>11.635401891686964</v>
      </c>
      <c r="GG134">
        <v>12.09033543632901</v>
      </c>
      <c r="GH134">
        <v>10.247919177356721</v>
      </c>
      <c r="GI134">
        <v>21.582610456975576</v>
      </c>
      <c r="GJ134"/>
      <c r="GK134"/>
      <c r="GL134"/>
      <c r="GM134"/>
      <c r="GN134" s="208"/>
      <c r="GO134" s="208"/>
      <c r="GP134" s="208"/>
      <c r="GQ134" s="208"/>
      <c r="GR134" s="208"/>
      <c r="GS134" s="208"/>
      <c r="GT134" s="208"/>
      <c r="GU134" s="213">
        <v>129</v>
      </c>
    </row>
    <row r="135" spans="1:203" s="7" customFormat="1">
      <c r="A135" s="1"/>
      <c r="B135" s="76">
        <f ca="1">IF(C135="", "", RAND())</f>
        <v>0.2712507019372743</v>
      </c>
      <c r="C135">
        <v>10</v>
      </c>
      <c r="D135">
        <v>39775</v>
      </c>
      <c r="E135">
        <v>20.833333333333332</v>
      </c>
      <c r="F135">
        <v>218.75</v>
      </c>
      <c r="G135">
        <v>104.16666666666667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 s="2"/>
      <c r="AK135" s="80"/>
      <c r="AL135" s="74"/>
      <c r="AM135" s="43">
        <v>119</v>
      </c>
      <c r="AN135">
        <v>310.3164608734495</v>
      </c>
      <c r="AO135">
        <v>29.152605754548766</v>
      </c>
      <c r="AP135">
        <v>56.488012370178311</v>
      </c>
      <c r="AQ135">
        <v>210.45564248244614</v>
      </c>
      <c r="AR135">
        <v>30.451484348213633</v>
      </c>
      <c r="AS135">
        <v>256.86044783909836</v>
      </c>
      <c r="AT135">
        <v>13.363665671280392</v>
      </c>
      <c r="AU135">
        <v>5.2283020536164457</v>
      </c>
      <c r="AV135"/>
      <c r="AW135"/>
      <c r="AX135" s="146"/>
      <c r="AY135" s="76">
        <f t="shared" ca="1" si="88"/>
        <v>0.25478211413336371</v>
      </c>
      <c r="AZ135">
        <v>8</v>
      </c>
      <c r="BA135" s="129">
        <f t="shared" si="166"/>
        <v>39775</v>
      </c>
      <c r="BB135" s="207">
        <v>1</v>
      </c>
      <c r="BC135" s="207">
        <v>0</v>
      </c>
      <c r="BD135" s="207">
        <v>0</v>
      </c>
      <c r="BE135" s="207">
        <v>0</v>
      </c>
      <c r="BF135" s="207">
        <v>0</v>
      </c>
      <c r="BG135" s="207">
        <v>0</v>
      </c>
      <c r="BH135" s="207">
        <v>0</v>
      </c>
      <c r="BI135" s="207">
        <v>0</v>
      </c>
      <c r="BJ135" s="207">
        <v>0</v>
      </c>
      <c r="BK135" s="207">
        <v>0</v>
      </c>
      <c r="BL135" s="207">
        <v>0</v>
      </c>
      <c r="BM135" s="207">
        <v>0</v>
      </c>
      <c r="BN135" s="207">
        <v>0</v>
      </c>
      <c r="BO135" s="207">
        <v>0</v>
      </c>
      <c r="BP135" s="207">
        <v>0</v>
      </c>
      <c r="BQ135" s="207">
        <v>0</v>
      </c>
      <c r="BR135" s="207">
        <v>0</v>
      </c>
      <c r="BS135" s="207">
        <v>0</v>
      </c>
      <c r="BT135" s="207">
        <v>0</v>
      </c>
      <c r="BU135" s="207">
        <v>0</v>
      </c>
      <c r="BV135" s="207">
        <v>0</v>
      </c>
      <c r="BW135" s="207">
        <v>0</v>
      </c>
      <c r="BX135" s="207">
        <v>0</v>
      </c>
      <c r="BY135" s="207">
        <v>0</v>
      </c>
      <c r="BZ135" s="207">
        <v>0</v>
      </c>
      <c r="CA135" s="207">
        <v>0</v>
      </c>
      <c r="CB135" s="207">
        <v>0</v>
      </c>
      <c r="CC135" s="207">
        <v>0</v>
      </c>
      <c r="CD135" s="207">
        <v>0</v>
      </c>
      <c r="CE135" s="207">
        <v>0</v>
      </c>
      <c r="CF135" s="207">
        <v>0</v>
      </c>
      <c r="CG135" s="147"/>
      <c r="CH135" s="176"/>
      <c r="CJ135" s="146"/>
      <c r="CK135" s="76">
        <f t="shared" ca="1" si="90"/>
        <v>0.67541810871775976</v>
      </c>
      <c r="CL135" s="179">
        <f t="shared" si="91"/>
        <v>8</v>
      </c>
      <c r="CM135" s="180">
        <f t="shared" si="92"/>
        <v>39775</v>
      </c>
      <c r="CN135" s="208">
        <v>0</v>
      </c>
      <c r="CO135" s="208">
        <v>16</v>
      </c>
      <c r="CP135" s="208">
        <v>6</v>
      </c>
      <c r="CQ135" s="208">
        <v>0</v>
      </c>
      <c r="CR135" s="208">
        <v>0</v>
      </c>
      <c r="CS135" s="208">
        <v>0</v>
      </c>
      <c r="CT135" s="208">
        <v>0</v>
      </c>
      <c r="CU135" s="208">
        <v>0</v>
      </c>
      <c r="CV135" s="160"/>
      <c r="CW135">
        <f>30/9</f>
        <v>3.3333333333333335</v>
      </c>
      <c r="CX135">
        <f>40/8</f>
        <v>5</v>
      </c>
      <c r="CY135" s="164"/>
      <c r="CZ135" s="177">
        <f t="shared" si="93"/>
        <v>9.6000000000000002E-2</v>
      </c>
      <c r="DB135" s="146"/>
      <c r="DC135" s="76">
        <f t="shared" ca="1" si="51"/>
        <v>0.97863129576153018</v>
      </c>
      <c r="DD135">
        <f t="shared" si="94"/>
        <v>8</v>
      </c>
      <c r="DE135" s="129">
        <f t="shared" si="165"/>
        <v>39775</v>
      </c>
      <c r="DF135" s="161">
        <f t="shared" si="95"/>
        <v>34.722222222222221</v>
      </c>
      <c r="DG135" s="161">
        <f t="shared" si="96"/>
        <v>833.33333333333337</v>
      </c>
      <c r="DH135" s="161">
        <f t="shared" si="97"/>
        <v>312.5</v>
      </c>
      <c r="DI135" s="161">
        <f t="shared" si="98"/>
        <v>0</v>
      </c>
      <c r="DJ135" s="161">
        <f t="shared" si="99"/>
        <v>0</v>
      </c>
      <c r="DK135" s="161">
        <f t="shared" si="100"/>
        <v>0</v>
      </c>
      <c r="DL135" s="161">
        <f t="shared" si="101"/>
        <v>0</v>
      </c>
      <c r="DM135" s="161">
        <f t="shared" si="102"/>
        <v>0</v>
      </c>
      <c r="DN135" s="161">
        <f t="shared" si="103"/>
        <v>0</v>
      </c>
      <c r="DO135" s="161">
        <f t="shared" si="104"/>
        <v>0</v>
      </c>
      <c r="DP135" s="161">
        <f t="shared" si="105"/>
        <v>0</v>
      </c>
      <c r="DQ135" s="161">
        <f t="shared" si="106"/>
        <v>0</v>
      </c>
      <c r="DR135" s="161">
        <f t="shared" si="107"/>
        <v>0</v>
      </c>
      <c r="DS135" s="161">
        <f t="shared" si="108"/>
        <v>0</v>
      </c>
      <c r="DT135" s="161">
        <f t="shared" si="109"/>
        <v>0</v>
      </c>
      <c r="DU135" s="161">
        <f t="shared" si="110"/>
        <v>0</v>
      </c>
      <c r="DV135" s="161">
        <f t="shared" si="111"/>
        <v>0</v>
      </c>
      <c r="DW135" s="161">
        <f t="shared" si="112"/>
        <v>0</v>
      </c>
      <c r="DX135" s="161">
        <f t="shared" si="113"/>
        <v>0</v>
      </c>
      <c r="DY135" s="161">
        <f t="shared" si="114"/>
        <v>0</v>
      </c>
      <c r="DZ135" s="161">
        <f t="shared" si="115"/>
        <v>0</v>
      </c>
      <c r="EA135" s="161">
        <f t="shared" si="116"/>
        <v>0</v>
      </c>
      <c r="EB135" s="161">
        <f t="shared" si="117"/>
        <v>0</v>
      </c>
      <c r="EC135" s="161">
        <f t="shared" si="118"/>
        <v>0</v>
      </c>
      <c r="ED135" s="161">
        <f t="shared" si="119"/>
        <v>0</v>
      </c>
      <c r="EE135" s="161">
        <f t="shared" si="120"/>
        <v>0</v>
      </c>
      <c r="EF135" s="161">
        <f t="shared" si="121"/>
        <v>0</v>
      </c>
      <c r="EG135" s="161">
        <f t="shared" si="122"/>
        <v>0</v>
      </c>
      <c r="EH135" s="161">
        <f t="shared" si="123"/>
        <v>0</v>
      </c>
      <c r="EI135" s="161">
        <f t="shared" si="124"/>
        <v>0</v>
      </c>
      <c r="EJ135" s="161">
        <f t="shared" si="125"/>
        <v>0</v>
      </c>
      <c r="EK135" s="147">
        <f t="shared" si="132"/>
        <v>1180.5555555555557</v>
      </c>
      <c r="EL135" s="149"/>
      <c r="EN135" s="146"/>
      <c r="EO135" s="146"/>
      <c r="EP135" s="139">
        <f t="shared" si="133"/>
        <v>6.3043277724685098E-2</v>
      </c>
      <c r="EQ135" s="139">
        <f t="shared" si="134"/>
        <v>9.6094166666666663</v>
      </c>
      <c r="ER135" s="139">
        <f t="shared" si="135"/>
        <v>22.886284431880405</v>
      </c>
      <c r="ES135" s="139">
        <f t="shared" si="136"/>
        <v>0</v>
      </c>
      <c r="ET135" s="139">
        <f t="shared" si="137"/>
        <v>0</v>
      </c>
      <c r="EU135" s="139">
        <f t="shared" si="138"/>
        <v>0</v>
      </c>
      <c r="EV135" s="139">
        <f t="shared" si="139"/>
        <v>0</v>
      </c>
      <c r="EW135" s="139">
        <f t="shared" si="140"/>
        <v>0</v>
      </c>
      <c r="EX135" s="139">
        <f t="shared" si="141"/>
        <v>0</v>
      </c>
      <c r="EY135" s="139">
        <f t="shared" si="142"/>
        <v>0</v>
      </c>
      <c r="EZ135" s="139">
        <f t="shared" si="143"/>
        <v>0</v>
      </c>
      <c r="FA135" s="139">
        <f t="shared" si="144"/>
        <v>0</v>
      </c>
      <c r="FB135" s="139">
        <f t="shared" si="145"/>
        <v>0</v>
      </c>
      <c r="FC135" s="139">
        <f t="shared" si="146"/>
        <v>0</v>
      </c>
      <c r="FD135" s="139">
        <f t="shared" si="147"/>
        <v>0</v>
      </c>
      <c r="FE135" s="139">
        <f t="shared" si="148"/>
        <v>0</v>
      </c>
      <c r="FF135" s="139">
        <f t="shared" si="149"/>
        <v>0</v>
      </c>
      <c r="FG135" s="139">
        <f t="shared" si="150"/>
        <v>0</v>
      </c>
      <c r="FH135" s="139">
        <f t="shared" si="151"/>
        <v>0</v>
      </c>
      <c r="FI135" s="139">
        <f t="shared" si="152"/>
        <v>0</v>
      </c>
      <c r="FJ135" s="139">
        <f t="shared" si="153"/>
        <v>0</v>
      </c>
      <c r="FK135" s="139">
        <f t="shared" si="154"/>
        <v>0</v>
      </c>
      <c r="FL135" s="139">
        <f t="shared" si="155"/>
        <v>0</v>
      </c>
      <c r="FM135" s="139">
        <f t="shared" si="156"/>
        <v>0</v>
      </c>
      <c r="FN135" s="139">
        <f t="shared" si="157"/>
        <v>0</v>
      </c>
      <c r="FO135" s="139">
        <f t="shared" si="158"/>
        <v>0</v>
      </c>
      <c r="FP135" s="139">
        <f t="shared" si="159"/>
        <v>0</v>
      </c>
      <c r="FQ135" s="139">
        <f t="shared" si="160"/>
        <v>0</v>
      </c>
      <c r="FR135" s="139">
        <f t="shared" si="161"/>
        <v>0</v>
      </c>
      <c r="FS135" s="139">
        <f t="shared" si="162"/>
        <v>0</v>
      </c>
      <c r="FT135" s="139">
        <f t="shared" si="163"/>
        <v>0</v>
      </c>
      <c r="FU135" s="148">
        <f t="shared" si="164"/>
        <v>32.558744376271754</v>
      </c>
      <c r="FV135" s="149"/>
      <c r="FY135" s="213">
        <v>130</v>
      </c>
      <c r="FZ135">
        <v>43.040650618348337</v>
      </c>
      <c r="GA135">
        <v>36.464270423584566</v>
      </c>
      <c r="GB135">
        <v>7.9888054255442462</v>
      </c>
      <c r="GC135">
        <v>8.8233531929366098</v>
      </c>
      <c r="GD135">
        <v>8.3123036170085456</v>
      </c>
      <c r="GE135">
        <v>9.3376129045466829</v>
      </c>
      <c r="GF135">
        <v>28.004095436503718</v>
      </c>
      <c r="GG135">
        <v>21.192033095007808</v>
      </c>
      <c r="GH135">
        <v>14.96061522676362</v>
      </c>
      <c r="GI135">
        <v>20.709318032863685</v>
      </c>
      <c r="GJ135"/>
      <c r="GK135"/>
      <c r="GL135"/>
      <c r="GM135"/>
      <c r="GN135" s="208"/>
      <c r="GO135" s="208"/>
      <c r="GP135" s="208"/>
      <c r="GQ135" s="208"/>
      <c r="GR135" s="208"/>
      <c r="GS135" s="208"/>
      <c r="GT135" s="208"/>
      <c r="GU135" s="213">
        <v>130</v>
      </c>
    </row>
    <row r="136" spans="1:203" s="7" customFormat="1">
      <c r="A136" s="1"/>
      <c r="B136" s="76">
        <f ca="1">IF(C136="", "", RAND())</f>
        <v>0.86685416803360482</v>
      </c>
      <c r="C136">
        <v>7</v>
      </c>
      <c r="D136">
        <v>39775</v>
      </c>
      <c r="E136">
        <v>23.148148148148149</v>
      </c>
      <c r="F136">
        <v>291.98232323232321</v>
      </c>
      <c r="G136">
        <v>375.63131313131316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 s="2"/>
      <c r="AK136" s="80"/>
      <c r="AL136" s="74"/>
      <c r="AM136" s="43">
        <v>120</v>
      </c>
      <c r="AN136">
        <v>294.89409790393063</v>
      </c>
      <c r="AO136">
        <v>26.078427099777123</v>
      </c>
      <c r="AP136">
        <v>62.881768630317389</v>
      </c>
      <c r="AQ136">
        <v>201.32904778765331</v>
      </c>
      <c r="AR136">
        <v>28.797269880144011</v>
      </c>
      <c r="AS136">
        <v>262.16788651703854</v>
      </c>
      <c r="AT136">
        <v>14.330232260934915</v>
      </c>
      <c r="AU136">
        <v>25.353210052724144</v>
      </c>
      <c r="AV136"/>
      <c r="AW136"/>
      <c r="AX136" s="146"/>
      <c r="AY136" s="76">
        <f t="shared" ca="1" si="88"/>
        <v>0.36306277822883759</v>
      </c>
      <c r="AZ136">
        <v>9</v>
      </c>
      <c r="BA136" s="129">
        <f t="shared" si="166"/>
        <v>39775</v>
      </c>
      <c r="BB136" s="207">
        <v>0</v>
      </c>
      <c r="BC136" s="207">
        <v>0</v>
      </c>
      <c r="BD136" s="207">
        <v>0</v>
      </c>
      <c r="BE136" s="207">
        <v>0</v>
      </c>
      <c r="BF136" s="207">
        <v>1</v>
      </c>
      <c r="BG136" s="207">
        <v>1</v>
      </c>
      <c r="BH136" s="207">
        <v>0</v>
      </c>
      <c r="BI136" s="207">
        <v>0</v>
      </c>
      <c r="BJ136" s="207">
        <v>0</v>
      </c>
      <c r="BK136" s="207">
        <v>0</v>
      </c>
      <c r="BL136" s="207">
        <v>0</v>
      </c>
      <c r="BM136" s="207">
        <v>0</v>
      </c>
      <c r="BN136" s="207">
        <v>0</v>
      </c>
      <c r="BO136" s="207">
        <v>0</v>
      </c>
      <c r="BP136" s="207">
        <v>0</v>
      </c>
      <c r="BQ136" s="207">
        <v>0</v>
      </c>
      <c r="BR136" s="207">
        <v>0</v>
      </c>
      <c r="BS136" s="207">
        <v>0</v>
      </c>
      <c r="BT136" s="207">
        <v>0</v>
      </c>
      <c r="BU136" s="207">
        <v>0</v>
      </c>
      <c r="BV136" s="207">
        <v>0</v>
      </c>
      <c r="BW136" s="207">
        <v>0</v>
      </c>
      <c r="BX136" s="207">
        <v>0</v>
      </c>
      <c r="BY136" s="207">
        <v>0</v>
      </c>
      <c r="BZ136" s="207">
        <v>0</v>
      </c>
      <c r="CA136" s="207">
        <v>0</v>
      </c>
      <c r="CB136" s="207">
        <v>0</v>
      </c>
      <c r="CC136" s="207">
        <v>0</v>
      </c>
      <c r="CD136" s="207">
        <v>0</v>
      </c>
      <c r="CE136" s="207">
        <v>0</v>
      </c>
      <c r="CF136" s="207">
        <v>0</v>
      </c>
      <c r="CG136" s="147"/>
      <c r="CH136" s="176"/>
      <c r="CJ136" s="146"/>
      <c r="CK136" s="76">
        <f t="shared" ca="1" si="90"/>
        <v>0.1655603094625544</v>
      </c>
      <c r="CL136" s="179">
        <f t="shared" si="91"/>
        <v>9</v>
      </c>
      <c r="CM136" s="180">
        <f t="shared" si="92"/>
        <v>39775</v>
      </c>
      <c r="CN136" s="208">
        <v>1</v>
      </c>
      <c r="CO136" s="208">
        <v>8</v>
      </c>
      <c r="CP136" s="208">
        <v>2</v>
      </c>
      <c r="CQ136" s="208">
        <v>0</v>
      </c>
      <c r="CR136" s="208">
        <v>0</v>
      </c>
      <c r="CS136" s="208">
        <v>0</v>
      </c>
      <c r="CT136" s="208">
        <v>0</v>
      </c>
      <c r="CU136" s="208">
        <v>0</v>
      </c>
      <c r="CV136" s="160"/>
      <c r="CW136">
        <v>1</v>
      </c>
      <c r="CX136">
        <v>1</v>
      </c>
      <c r="CY136" s="164"/>
      <c r="CZ136" s="177">
        <f t="shared" si="93"/>
        <v>9.6000000000000002E-2</v>
      </c>
      <c r="DB136" s="146"/>
      <c r="DC136" s="76">
        <f t="shared" ca="1" si="51"/>
        <v>0.65442472454502898</v>
      </c>
      <c r="DD136">
        <f t="shared" si="94"/>
        <v>9</v>
      </c>
      <c r="DE136" s="129">
        <f t="shared" si="165"/>
        <v>39775</v>
      </c>
      <c r="DF136" s="161">
        <f t="shared" si="95"/>
        <v>10.416666666666666</v>
      </c>
      <c r="DG136" s="161">
        <f t="shared" si="96"/>
        <v>83.333333333333329</v>
      </c>
      <c r="DH136" s="161">
        <f t="shared" si="97"/>
        <v>20.833333333333332</v>
      </c>
      <c r="DI136" s="161">
        <f t="shared" si="98"/>
        <v>0</v>
      </c>
      <c r="DJ136" s="161">
        <f t="shared" si="99"/>
        <v>10.416666666666666</v>
      </c>
      <c r="DK136" s="161">
        <f t="shared" si="100"/>
        <v>10.416666666666666</v>
      </c>
      <c r="DL136" s="161">
        <f t="shared" si="101"/>
        <v>0</v>
      </c>
      <c r="DM136" s="161">
        <f t="shared" si="102"/>
        <v>0</v>
      </c>
      <c r="DN136" s="161">
        <f t="shared" si="103"/>
        <v>0</v>
      </c>
      <c r="DO136" s="161">
        <f t="shared" si="104"/>
        <v>0</v>
      </c>
      <c r="DP136" s="161">
        <f t="shared" si="105"/>
        <v>0</v>
      </c>
      <c r="DQ136" s="161">
        <f t="shared" si="106"/>
        <v>0</v>
      </c>
      <c r="DR136" s="161">
        <f t="shared" si="107"/>
        <v>0</v>
      </c>
      <c r="DS136" s="161">
        <f t="shared" si="108"/>
        <v>0</v>
      </c>
      <c r="DT136" s="161">
        <f t="shared" si="109"/>
        <v>0</v>
      </c>
      <c r="DU136" s="161">
        <f t="shared" si="110"/>
        <v>0</v>
      </c>
      <c r="DV136" s="161">
        <f t="shared" si="111"/>
        <v>0</v>
      </c>
      <c r="DW136" s="161">
        <f t="shared" si="112"/>
        <v>0</v>
      </c>
      <c r="DX136" s="161">
        <f t="shared" si="113"/>
        <v>0</v>
      </c>
      <c r="DY136" s="161">
        <f t="shared" si="114"/>
        <v>0</v>
      </c>
      <c r="DZ136" s="161">
        <f t="shared" si="115"/>
        <v>0</v>
      </c>
      <c r="EA136" s="161">
        <f t="shared" si="116"/>
        <v>0</v>
      </c>
      <c r="EB136" s="161">
        <f t="shared" si="117"/>
        <v>0</v>
      </c>
      <c r="EC136" s="161">
        <f t="shared" si="118"/>
        <v>0</v>
      </c>
      <c r="ED136" s="161">
        <f t="shared" si="119"/>
        <v>0</v>
      </c>
      <c r="EE136" s="161">
        <f t="shared" si="120"/>
        <v>0</v>
      </c>
      <c r="EF136" s="161">
        <f t="shared" si="121"/>
        <v>0</v>
      </c>
      <c r="EG136" s="161">
        <f t="shared" si="122"/>
        <v>0</v>
      </c>
      <c r="EH136" s="161">
        <f t="shared" si="123"/>
        <v>0</v>
      </c>
      <c r="EI136" s="161">
        <f t="shared" si="124"/>
        <v>0</v>
      </c>
      <c r="EJ136" s="161">
        <f t="shared" si="125"/>
        <v>0</v>
      </c>
      <c r="EK136" s="147">
        <f t="shared" si="132"/>
        <v>135.41666666666666</v>
      </c>
      <c r="EL136" s="149"/>
      <c r="EN136" s="146"/>
      <c r="EO136" s="146"/>
      <c r="EP136" s="139">
        <f t="shared" si="133"/>
        <v>1.891298331740553E-2</v>
      </c>
      <c r="EQ136" s="139">
        <f t="shared" si="134"/>
        <v>0.96094166666666658</v>
      </c>
      <c r="ER136" s="139">
        <f t="shared" si="135"/>
        <v>1.5257522954586935</v>
      </c>
      <c r="ES136" s="139">
        <f t="shared" si="136"/>
        <v>0</v>
      </c>
      <c r="ET136" s="139">
        <f t="shared" si="137"/>
        <v>4.8450809197869589</v>
      </c>
      <c r="EU136" s="139">
        <f t="shared" si="138"/>
        <v>8.7853696509678922</v>
      </c>
      <c r="EV136" s="139">
        <f t="shared" si="139"/>
        <v>0</v>
      </c>
      <c r="EW136" s="139">
        <f t="shared" si="140"/>
        <v>0</v>
      </c>
      <c r="EX136" s="139">
        <f t="shared" si="141"/>
        <v>0</v>
      </c>
      <c r="EY136" s="139">
        <f t="shared" si="142"/>
        <v>0</v>
      </c>
      <c r="EZ136" s="139">
        <f t="shared" si="143"/>
        <v>0</v>
      </c>
      <c r="FA136" s="139">
        <f t="shared" si="144"/>
        <v>0</v>
      </c>
      <c r="FB136" s="139">
        <f t="shared" si="145"/>
        <v>0</v>
      </c>
      <c r="FC136" s="139">
        <f t="shared" si="146"/>
        <v>0</v>
      </c>
      <c r="FD136" s="139">
        <f t="shared" si="147"/>
        <v>0</v>
      </c>
      <c r="FE136" s="139">
        <f t="shared" si="148"/>
        <v>0</v>
      </c>
      <c r="FF136" s="139">
        <f t="shared" si="149"/>
        <v>0</v>
      </c>
      <c r="FG136" s="139">
        <f t="shared" si="150"/>
        <v>0</v>
      </c>
      <c r="FH136" s="139">
        <f t="shared" si="151"/>
        <v>0</v>
      </c>
      <c r="FI136" s="139">
        <f t="shared" si="152"/>
        <v>0</v>
      </c>
      <c r="FJ136" s="139">
        <f t="shared" si="153"/>
        <v>0</v>
      </c>
      <c r="FK136" s="139">
        <f t="shared" si="154"/>
        <v>0</v>
      </c>
      <c r="FL136" s="139">
        <f t="shared" si="155"/>
        <v>0</v>
      </c>
      <c r="FM136" s="139">
        <f t="shared" si="156"/>
        <v>0</v>
      </c>
      <c r="FN136" s="139">
        <f t="shared" si="157"/>
        <v>0</v>
      </c>
      <c r="FO136" s="139">
        <f t="shared" si="158"/>
        <v>0</v>
      </c>
      <c r="FP136" s="139">
        <f t="shared" si="159"/>
        <v>0</v>
      </c>
      <c r="FQ136" s="139">
        <f t="shared" si="160"/>
        <v>0</v>
      </c>
      <c r="FR136" s="139">
        <f t="shared" si="161"/>
        <v>0</v>
      </c>
      <c r="FS136" s="139">
        <f t="shared" si="162"/>
        <v>0</v>
      </c>
      <c r="FT136" s="139">
        <f t="shared" si="163"/>
        <v>0</v>
      </c>
      <c r="FU136" s="148">
        <f t="shared" si="164"/>
        <v>16.136057516197617</v>
      </c>
      <c r="FV136" s="149"/>
      <c r="FY136" s="213">
        <v>131</v>
      </c>
      <c r="FZ136">
        <v>48.114990033134951</v>
      </c>
      <c r="GA136">
        <v>58.126268489551585</v>
      </c>
      <c r="GB136">
        <v>14.627191335652215</v>
      </c>
      <c r="GC136">
        <v>5.6250192791190514</v>
      </c>
      <c r="GD136">
        <v>5.1594043994664531</v>
      </c>
      <c r="GE136">
        <v>6.5127189302128459</v>
      </c>
      <c r="GF136">
        <v>14.252592315088339</v>
      </c>
      <c r="GG136">
        <v>13.584549231702807</v>
      </c>
      <c r="GH136">
        <v>18.695670106512516</v>
      </c>
      <c r="GI136">
        <v>19.775719554859524</v>
      </c>
      <c r="GJ136"/>
      <c r="GK136"/>
      <c r="GL136"/>
      <c r="GM136"/>
      <c r="GN136" s="208"/>
      <c r="GO136" s="208"/>
      <c r="GP136" s="208"/>
      <c r="GQ136" s="208"/>
      <c r="GR136" s="208"/>
      <c r="GS136" s="208"/>
      <c r="GT136" s="208"/>
      <c r="GU136" s="213">
        <v>131</v>
      </c>
    </row>
    <row r="137" spans="1:203" s="7" customFormat="1">
      <c r="A137" s="1"/>
      <c r="B137" s="76">
        <f ca="1">IF(C137="", "", RAND())</f>
        <v>2.2041569399119165E-2</v>
      </c>
      <c r="C137">
        <v>3</v>
      </c>
      <c r="D137">
        <v>39775</v>
      </c>
      <c r="E137">
        <v>74.652604166666663</v>
      </c>
      <c r="F137">
        <v>1119.7916666666667</v>
      </c>
      <c r="G137">
        <v>970.48593749999998</v>
      </c>
      <c r="H137">
        <v>74.652760416666666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 s="2"/>
      <c r="AK137" s="80"/>
      <c r="AL137" s="74"/>
      <c r="AM137" s="43">
        <v>121</v>
      </c>
      <c r="AN137">
        <v>336.97839209948449</v>
      </c>
      <c r="AO137">
        <v>28.362144892529148</v>
      </c>
      <c r="AP137">
        <v>126.22358973821582</v>
      </c>
      <c r="AQ137">
        <v>194.9324387205271</v>
      </c>
      <c r="AR137">
        <v>30.011448602704217</v>
      </c>
      <c r="AS137">
        <v>276.73621931587223</v>
      </c>
      <c r="AT137">
        <v>14.314940689866361</v>
      </c>
      <c r="AU137">
        <v>13.79763518605883</v>
      </c>
      <c r="AV137"/>
      <c r="AW137"/>
      <c r="AX137" s="146"/>
      <c r="AY137" s="76">
        <f t="shared" ca="1" si="88"/>
        <v>0.75621497376115965</v>
      </c>
      <c r="AZ137">
        <v>10</v>
      </c>
      <c r="BA137" s="129">
        <f t="shared" si="166"/>
        <v>39775</v>
      </c>
      <c r="BB137" s="207">
        <v>0</v>
      </c>
      <c r="BC137" s="207">
        <v>0</v>
      </c>
      <c r="BD137" s="207">
        <v>0</v>
      </c>
      <c r="BE137" s="207">
        <v>0</v>
      </c>
      <c r="BF137" s="207">
        <v>0</v>
      </c>
      <c r="BG137" s="207">
        <v>0</v>
      </c>
      <c r="BH137" s="207">
        <v>0</v>
      </c>
      <c r="BI137" s="207">
        <v>0</v>
      </c>
      <c r="BJ137" s="207">
        <v>0</v>
      </c>
      <c r="BK137" s="207">
        <v>0</v>
      </c>
      <c r="BL137" s="207">
        <v>0</v>
      </c>
      <c r="BM137" s="207">
        <v>0</v>
      </c>
      <c r="BN137" s="207">
        <v>0</v>
      </c>
      <c r="BO137" s="207">
        <v>0</v>
      </c>
      <c r="BP137" s="207">
        <v>0</v>
      </c>
      <c r="BQ137" s="207">
        <v>0</v>
      </c>
      <c r="BR137" s="207">
        <v>0</v>
      </c>
      <c r="BS137" s="207">
        <v>0</v>
      </c>
      <c r="BT137" s="207">
        <v>0</v>
      </c>
      <c r="BU137" s="207">
        <v>0</v>
      </c>
      <c r="BV137" s="207">
        <v>0</v>
      </c>
      <c r="BW137" s="207">
        <v>0</v>
      </c>
      <c r="BX137" s="207">
        <v>0</v>
      </c>
      <c r="BY137" s="207">
        <v>0</v>
      </c>
      <c r="BZ137" s="207">
        <v>0</v>
      </c>
      <c r="CA137" s="207">
        <v>0</v>
      </c>
      <c r="CB137" s="207">
        <v>0</v>
      </c>
      <c r="CC137" s="207">
        <v>0</v>
      </c>
      <c r="CD137" s="207">
        <v>0</v>
      </c>
      <c r="CE137" s="207">
        <v>0</v>
      </c>
      <c r="CF137" s="207">
        <v>0</v>
      </c>
      <c r="CG137" s="147"/>
      <c r="CH137" s="176"/>
      <c r="CJ137" s="146"/>
      <c r="CK137" s="76">
        <f t="shared" ca="1" si="90"/>
        <v>0.99808691033336694</v>
      </c>
      <c r="CL137" s="179">
        <f t="shared" si="91"/>
        <v>10</v>
      </c>
      <c r="CM137" s="180">
        <f t="shared" si="92"/>
        <v>39775</v>
      </c>
      <c r="CN137" s="208">
        <v>2</v>
      </c>
      <c r="CO137" s="208">
        <v>21</v>
      </c>
      <c r="CP137" s="208">
        <v>10</v>
      </c>
      <c r="CQ137" s="208">
        <v>0</v>
      </c>
      <c r="CR137" s="208">
        <v>0</v>
      </c>
      <c r="CS137" s="208">
        <v>0</v>
      </c>
      <c r="CT137" s="208">
        <v>0</v>
      </c>
      <c r="CU137" s="208">
        <v>0</v>
      </c>
      <c r="CV137" s="160"/>
      <c r="CW137">
        <v>1</v>
      </c>
      <c r="CX137">
        <v>1</v>
      </c>
      <c r="CY137" s="164"/>
      <c r="CZ137" s="177">
        <f t="shared" si="93"/>
        <v>9.6000000000000002E-2</v>
      </c>
      <c r="DB137" s="146"/>
      <c r="DC137" s="76">
        <f t="shared" ca="1" si="51"/>
        <v>0.38456342699390067</v>
      </c>
      <c r="DD137">
        <f t="shared" si="94"/>
        <v>10</v>
      </c>
      <c r="DE137" s="129">
        <f t="shared" si="165"/>
        <v>39775</v>
      </c>
      <c r="DF137" s="161">
        <f t="shared" si="95"/>
        <v>20.833333333333332</v>
      </c>
      <c r="DG137" s="161">
        <f t="shared" si="96"/>
        <v>218.75</v>
      </c>
      <c r="DH137" s="161">
        <f t="shared" si="97"/>
        <v>104.16666666666667</v>
      </c>
      <c r="DI137" s="161">
        <f t="shared" si="98"/>
        <v>0</v>
      </c>
      <c r="DJ137" s="161">
        <f t="shared" si="99"/>
        <v>0</v>
      </c>
      <c r="DK137" s="161">
        <f t="shared" si="100"/>
        <v>0</v>
      </c>
      <c r="DL137" s="161">
        <f t="shared" si="101"/>
        <v>0</v>
      </c>
      <c r="DM137" s="161">
        <f t="shared" si="102"/>
        <v>0</v>
      </c>
      <c r="DN137" s="161">
        <f t="shared" si="103"/>
        <v>0</v>
      </c>
      <c r="DO137" s="161">
        <f t="shared" si="104"/>
        <v>0</v>
      </c>
      <c r="DP137" s="161">
        <f t="shared" si="105"/>
        <v>0</v>
      </c>
      <c r="DQ137" s="161">
        <f t="shared" si="106"/>
        <v>0</v>
      </c>
      <c r="DR137" s="161">
        <f t="shared" si="107"/>
        <v>0</v>
      </c>
      <c r="DS137" s="161">
        <f t="shared" si="108"/>
        <v>0</v>
      </c>
      <c r="DT137" s="161">
        <f t="shared" si="109"/>
        <v>0</v>
      </c>
      <c r="DU137" s="161">
        <f t="shared" si="110"/>
        <v>0</v>
      </c>
      <c r="DV137" s="161">
        <f t="shared" si="111"/>
        <v>0</v>
      </c>
      <c r="DW137" s="161">
        <f t="shared" si="112"/>
        <v>0</v>
      </c>
      <c r="DX137" s="161">
        <f t="shared" si="113"/>
        <v>0</v>
      </c>
      <c r="DY137" s="161">
        <f t="shared" si="114"/>
        <v>0</v>
      </c>
      <c r="DZ137" s="161">
        <f t="shared" si="115"/>
        <v>0</v>
      </c>
      <c r="EA137" s="161">
        <f t="shared" si="116"/>
        <v>0</v>
      </c>
      <c r="EB137" s="161">
        <f t="shared" si="117"/>
        <v>0</v>
      </c>
      <c r="EC137" s="161">
        <f t="shared" si="118"/>
        <v>0</v>
      </c>
      <c r="ED137" s="161">
        <f t="shared" si="119"/>
        <v>0</v>
      </c>
      <c r="EE137" s="161">
        <f t="shared" si="120"/>
        <v>0</v>
      </c>
      <c r="EF137" s="161">
        <f t="shared" si="121"/>
        <v>0</v>
      </c>
      <c r="EG137" s="161">
        <f t="shared" si="122"/>
        <v>0</v>
      </c>
      <c r="EH137" s="161">
        <f t="shared" si="123"/>
        <v>0</v>
      </c>
      <c r="EI137" s="161">
        <f t="shared" si="124"/>
        <v>0</v>
      </c>
      <c r="EJ137" s="161">
        <f t="shared" si="125"/>
        <v>0</v>
      </c>
      <c r="EK137" s="147">
        <f t="shared" si="132"/>
        <v>343.75</v>
      </c>
      <c r="EL137" s="149"/>
      <c r="EN137" s="146"/>
      <c r="EO137" s="146"/>
      <c r="EP137" s="139">
        <f t="shared" si="133"/>
        <v>3.782596663481106E-2</v>
      </c>
      <c r="EQ137" s="139">
        <f t="shared" si="134"/>
        <v>2.5224718749999999</v>
      </c>
      <c r="ER137" s="139">
        <f t="shared" si="135"/>
        <v>7.6287614772934687</v>
      </c>
      <c r="ES137" s="139">
        <f t="shared" si="136"/>
        <v>0</v>
      </c>
      <c r="ET137" s="139">
        <f t="shared" si="137"/>
        <v>0</v>
      </c>
      <c r="EU137" s="139">
        <f t="shared" si="138"/>
        <v>0</v>
      </c>
      <c r="EV137" s="139">
        <f t="shared" si="139"/>
        <v>0</v>
      </c>
      <c r="EW137" s="139">
        <f t="shared" si="140"/>
        <v>0</v>
      </c>
      <c r="EX137" s="139">
        <f t="shared" si="141"/>
        <v>0</v>
      </c>
      <c r="EY137" s="139">
        <f t="shared" si="142"/>
        <v>0</v>
      </c>
      <c r="EZ137" s="139">
        <f t="shared" si="143"/>
        <v>0</v>
      </c>
      <c r="FA137" s="139">
        <f t="shared" si="144"/>
        <v>0</v>
      </c>
      <c r="FB137" s="139">
        <f t="shared" si="145"/>
        <v>0</v>
      </c>
      <c r="FC137" s="139">
        <f t="shared" si="146"/>
        <v>0</v>
      </c>
      <c r="FD137" s="139">
        <f t="shared" si="147"/>
        <v>0</v>
      </c>
      <c r="FE137" s="139">
        <f t="shared" si="148"/>
        <v>0</v>
      </c>
      <c r="FF137" s="139">
        <f t="shared" si="149"/>
        <v>0</v>
      </c>
      <c r="FG137" s="139">
        <f t="shared" si="150"/>
        <v>0</v>
      </c>
      <c r="FH137" s="139">
        <f t="shared" si="151"/>
        <v>0</v>
      </c>
      <c r="FI137" s="139">
        <f t="shared" si="152"/>
        <v>0</v>
      </c>
      <c r="FJ137" s="139">
        <f t="shared" si="153"/>
        <v>0</v>
      </c>
      <c r="FK137" s="139">
        <f t="shared" si="154"/>
        <v>0</v>
      </c>
      <c r="FL137" s="139">
        <f t="shared" si="155"/>
        <v>0</v>
      </c>
      <c r="FM137" s="139">
        <f t="shared" si="156"/>
        <v>0</v>
      </c>
      <c r="FN137" s="139">
        <f t="shared" si="157"/>
        <v>0</v>
      </c>
      <c r="FO137" s="139">
        <f t="shared" si="158"/>
        <v>0</v>
      </c>
      <c r="FP137" s="139">
        <f t="shared" si="159"/>
        <v>0</v>
      </c>
      <c r="FQ137" s="139">
        <f t="shared" si="160"/>
        <v>0</v>
      </c>
      <c r="FR137" s="139">
        <f t="shared" si="161"/>
        <v>0</v>
      </c>
      <c r="FS137" s="139">
        <f t="shared" si="162"/>
        <v>0</v>
      </c>
      <c r="FT137" s="139">
        <f t="shared" si="163"/>
        <v>0</v>
      </c>
      <c r="FU137" s="148">
        <f t="shared" si="164"/>
        <v>10.18905931892828</v>
      </c>
      <c r="FV137" s="149"/>
      <c r="FY137" s="213">
        <v>132</v>
      </c>
      <c r="FZ137">
        <v>36.900508070691252</v>
      </c>
      <c r="GA137">
        <v>46.541011081102091</v>
      </c>
      <c r="GB137">
        <v>7.981626459571169</v>
      </c>
      <c r="GC137">
        <v>5.1397877096331941</v>
      </c>
      <c r="GD137">
        <v>4.9727659963746396</v>
      </c>
      <c r="GE137">
        <v>5.577035473423952</v>
      </c>
      <c r="GF137">
        <v>18.477207625663262</v>
      </c>
      <c r="GG137">
        <v>17.362064690288303</v>
      </c>
      <c r="GH137">
        <v>8.8243937188031776</v>
      </c>
      <c r="GI137">
        <v>15.284986451471028</v>
      </c>
      <c r="GJ137"/>
      <c r="GK137"/>
      <c r="GL137"/>
      <c r="GM137"/>
      <c r="GN137" s="208"/>
      <c r="GO137" s="208"/>
      <c r="GP137" s="208"/>
      <c r="GQ137" s="208"/>
      <c r="GR137" s="208"/>
      <c r="GS137" s="208"/>
      <c r="GT137" s="208"/>
      <c r="GU137" s="213">
        <v>132</v>
      </c>
    </row>
    <row r="138" spans="1:203" s="7" customFormat="1">
      <c r="A138" s="128"/>
      <c r="B138" s="76">
        <f ca="1">IF(C138="", "", RAND())</f>
        <v>0.11923714725937939</v>
      </c>
      <c r="C138">
        <v>10</v>
      </c>
      <c r="D138">
        <v>39799</v>
      </c>
      <c r="E138">
        <v>20.833333333333332</v>
      </c>
      <c r="F138">
        <v>166.66666666666666</v>
      </c>
      <c r="G138">
        <v>135.41666666666666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 s="2"/>
      <c r="AK138" s="80"/>
      <c r="AL138" s="74"/>
      <c r="AM138" s="43">
        <v>122</v>
      </c>
      <c r="AN138">
        <v>293.91791195736323</v>
      </c>
      <c r="AO138">
        <v>29.071484595759522</v>
      </c>
      <c r="AP138">
        <v>75.036653499252509</v>
      </c>
      <c r="AQ138">
        <v>203.92107138878123</v>
      </c>
      <c r="AR138">
        <v>30.431837598344867</v>
      </c>
      <c r="AS138">
        <v>252.83492417943509</v>
      </c>
      <c r="AT138">
        <v>12.887056787599491</v>
      </c>
      <c r="AU138">
        <v>17.287199933763148</v>
      </c>
      <c r="AV138"/>
      <c r="AW138"/>
      <c r="AX138" s="128"/>
      <c r="AY138" s="76">
        <f t="shared" ca="1" si="88"/>
        <v>0.72961453404218335</v>
      </c>
      <c r="AZ138">
        <v>1</v>
      </c>
      <c r="BA138" s="129">
        <f>IF(AZ138="", "",$C$9)</f>
        <v>39799</v>
      </c>
      <c r="BB138" s="207">
        <v>0</v>
      </c>
      <c r="BC138" s="207">
        <v>0</v>
      </c>
      <c r="BD138" s="207">
        <v>0</v>
      </c>
      <c r="BE138" s="207">
        <v>0</v>
      </c>
      <c r="BF138" s="207">
        <v>0</v>
      </c>
      <c r="BG138" s="207">
        <v>0</v>
      </c>
      <c r="BH138" s="207">
        <v>0</v>
      </c>
      <c r="BI138" s="207">
        <v>0</v>
      </c>
      <c r="BJ138" s="207">
        <v>0</v>
      </c>
      <c r="BK138" s="207">
        <v>0</v>
      </c>
      <c r="BL138" s="207">
        <v>0</v>
      </c>
      <c r="BM138" s="207">
        <v>0</v>
      </c>
      <c r="BN138" s="207">
        <v>0</v>
      </c>
      <c r="BO138" s="207">
        <v>0</v>
      </c>
      <c r="BP138" s="207">
        <v>0</v>
      </c>
      <c r="BQ138" s="207">
        <v>0</v>
      </c>
      <c r="BR138" s="207">
        <v>0</v>
      </c>
      <c r="BS138" s="207">
        <v>0</v>
      </c>
      <c r="BT138" s="207">
        <v>0</v>
      </c>
      <c r="BU138" s="207">
        <v>0</v>
      </c>
      <c r="BV138" s="207">
        <v>0</v>
      </c>
      <c r="BW138" s="207">
        <v>0</v>
      </c>
      <c r="BX138" s="207">
        <v>0</v>
      </c>
      <c r="BY138" s="207">
        <v>0</v>
      </c>
      <c r="BZ138" s="207">
        <v>0</v>
      </c>
      <c r="CA138" s="207">
        <v>0</v>
      </c>
      <c r="CB138" s="207">
        <v>0</v>
      </c>
      <c r="CC138" s="207">
        <v>0</v>
      </c>
      <c r="CD138" s="207">
        <v>0</v>
      </c>
      <c r="CE138" s="207">
        <v>0</v>
      </c>
      <c r="CF138" s="207">
        <v>0</v>
      </c>
      <c r="CG138" s="147"/>
      <c r="CH138" s="176"/>
      <c r="CJ138" s="128"/>
      <c r="CK138" s="76">
        <f t="shared" ca="1" si="90"/>
        <v>0.42634189212600138</v>
      </c>
      <c r="CL138" s="179">
        <f t="shared" si="91"/>
        <v>1</v>
      </c>
      <c r="CM138" s="180">
        <f t="shared" si="92"/>
        <v>39799</v>
      </c>
      <c r="CN138" s="208">
        <v>0</v>
      </c>
      <c r="CO138" s="208">
        <v>0</v>
      </c>
      <c r="CP138" s="208">
        <v>0</v>
      </c>
      <c r="CQ138" s="208">
        <v>0</v>
      </c>
      <c r="CR138" s="208">
        <v>0</v>
      </c>
      <c r="CS138" s="208">
        <v>0</v>
      </c>
      <c r="CT138" s="208">
        <v>0</v>
      </c>
      <c r="CU138" s="208">
        <v>0</v>
      </c>
      <c r="CV138" s="160"/>
      <c r="CW138">
        <v>1</v>
      </c>
      <c r="CX138">
        <v>8</v>
      </c>
      <c r="CY138" s="160"/>
      <c r="CZ138" s="177">
        <f t="shared" si="93"/>
        <v>9.6000000000000002E-2</v>
      </c>
      <c r="DB138" s="128"/>
      <c r="DC138" s="76">
        <f t="shared" ca="1" si="51"/>
        <v>0.93057094157164633</v>
      </c>
      <c r="DD138">
        <f t="shared" si="94"/>
        <v>1</v>
      </c>
      <c r="DE138" s="129">
        <f t="shared" ref="DE138:DE147" si="167">IF((DD138)="","",$C$9)</f>
        <v>39799</v>
      </c>
      <c r="DF138" s="161">
        <f t="shared" si="95"/>
        <v>0</v>
      </c>
      <c r="DG138" s="161">
        <f t="shared" si="96"/>
        <v>0</v>
      </c>
      <c r="DH138" s="161">
        <f t="shared" si="97"/>
        <v>0</v>
      </c>
      <c r="DI138" s="161">
        <f t="shared" si="98"/>
        <v>0</v>
      </c>
      <c r="DJ138" s="161">
        <f t="shared" si="99"/>
        <v>0</v>
      </c>
      <c r="DK138" s="161">
        <f t="shared" si="100"/>
        <v>0</v>
      </c>
      <c r="DL138" s="161">
        <f t="shared" si="101"/>
        <v>0</v>
      </c>
      <c r="DM138" s="161">
        <f t="shared" si="102"/>
        <v>0</v>
      </c>
      <c r="DN138" s="161">
        <f t="shared" si="103"/>
        <v>0</v>
      </c>
      <c r="DO138" s="161">
        <f t="shared" si="104"/>
        <v>0</v>
      </c>
      <c r="DP138" s="161">
        <f t="shared" si="105"/>
        <v>0</v>
      </c>
      <c r="DQ138" s="161">
        <f t="shared" si="106"/>
        <v>0</v>
      </c>
      <c r="DR138" s="161">
        <f t="shared" si="107"/>
        <v>0</v>
      </c>
      <c r="DS138" s="161">
        <f t="shared" si="108"/>
        <v>0</v>
      </c>
      <c r="DT138" s="161">
        <f t="shared" si="109"/>
        <v>0</v>
      </c>
      <c r="DU138" s="161">
        <f t="shared" si="110"/>
        <v>0</v>
      </c>
      <c r="DV138" s="161">
        <f t="shared" si="111"/>
        <v>0</v>
      </c>
      <c r="DW138" s="161">
        <f t="shared" si="112"/>
        <v>0</v>
      </c>
      <c r="DX138" s="161">
        <f t="shared" si="113"/>
        <v>0</v>
      </c>
      <c r="DY138" s="161">
        <f t="shared" si="114"/>
        <v>0</v>
      </c>
      <c r="DZ138" s="161">
        <f t="shared" si="115"/>
        <v>0</v>
      </c>
      <c r="EA138" s="161">
        <f t="shared" si="116"/>
        <v>0</v>
      </c>
      <c r="EB138" s="161">
        <f t="shared" si="117"/>
        <v>0</v>
      </c>
      <c r="EC138" s="161">
        <f t="shared" si="118"/>
        <v>0</v>
      </c>
      <c r="ED138" s="161">
        <f t="shared" si="119"/>
        <v>0</v>
      </c>
      <c r="EE138" s="161">
        <f t="shared" si="120"/>
        <v>0</v>
      </c>
      <c r="EF138" s="161">
        <f t="shared" si="121"/>
        <v>0</v>
      </c>
      <c r="EG138" s="161">
        <f t="shared" si="122"/>
        <v>0</v>
      </c>
      <c r="EH138" s="161">
        <f t="shared" si="123"/>
        <v>0</v>
      </c>
      <c r="EI138" s="161">
        <f t="shared" si="124"/>
        <v>0</v>
      </c>
      <c r="EJ138" s="161">
        <f t="shared" si="125"/>
        <v>0</v>
      </c>
      <c r="EK138" s="147">
        <f t="shared" si="132"/>
        <v>0</v>
      </c>
      <c r="EL138" s="149"/>
      <c r="EN138" s="146"/>
      <c r="EO138" s="146"/>
      <c r="EP138" s="139">
        <f t="shared" si="133"/>
        <v>0</v>
      </c>
      <c r="EQ138" s="139">
        <f t="shared" si="134"/>
        <v>0</v>
      </c>
      <c r="ER138" s="139">
        <f t="shared" si="135"/>
        <v>0</v>
      </c>
      <c r="ES138" s="139">
        <f t="shared" si="136"/>
        <v>0</v>
      </c>
      <c r="ET138" s="139">
        <f t="shared" si="137"/>
        <v>0</v>
      </c>
      <c r="EU138" s="139">
        <f t="shared" si="138"/>
        <v>0</v>
      </c>
      <c r="EV138" s="139">
        <f t="shared" si="139"/>
        <v>0</v>
      </c>
      <c r="EW138" s="139">
        <f t="shared" si="140"/>
        <v>0</v>
      </c>
      <c r="EX138" s="139">
        <f t="shared" si="141"/>
        <v>0</v>
      </c>
      <c r="EY138" s="139">
        <f t="shared" si="142"/>
        <v>0</v>
      </c>
      <c r="EZ138" s="139">
        <f t="shared" si="143"/>
        <v>0</v>
      </c>
      <c r="FA138" s="139">
        <f t="shared" si="144"/>
        <v>0</v>
      </c>
      <c r="FB138" s="139">
        <f t="shared" si="145"/>
        <v>0</v>
      </c>
      <c r="FC138" s="139">
        <f t="shared" si="146"/>
        <v>0</v>
      </c>
      <c r="FD138" s="139">
        <f t="shared" si="147"/>
        <v>0</v>
      </c>
      <c r="FE138" s="139">
        <f t="shared" si="148"/>
        <v>0</v>
      </c>
      <c r="FF138" s="139">
        <f t="shared" si="149"/>
        <v>0</v>
      </c>
      <c r="FG138" s="139">
        <f t="shared" si="150"/>
        <v>0</v>
      </c>
      <c r="FH138" s="139">
        <f t="shared" si="151"/>
        <v>0</v>
      </c>
      <c r="FI138" s="139">
        <f t="shared" si="152"/>
        <v>0</v>
      </c>
      <c r="FJ138" s="139">
        <f t="shared" si="153"/>
        <v>0</v>
      </c>
      <c r="FK138" s="139">
        <f t="shared" si="154"/>
        <v>0</v>
      </c>
      <c r="FL138" s="139">
        <f t="shared" si="155"/>
        <v>0</v>
      </c>
      <c r="FM138" s="139">
        <f t="shared" si="156"/>
        <v>0</v>
      </c>
      <c r="FN138" s="139">
        <f t="shared" si="157"/>
        <v>0</v>
      </c>
      <c r="FO138" s="139">
        <f t="shared" si="158"/>
        <v>0</v>
      </c>
      <c r="FP138" s="139">
        <f t="shared" si="159"/>
        <v>0</v>
      </c>
      <c r="FQ138" s="139">
        <f t="shared" si="160"/>
        <v>0</v>
      </c>
      <c r="FR138" s="139">
        <f t="shared" si="161"/>
        <v>0</v>
      </c>
      <c r="FS138" s="139">
        <f t="shared" si="162"/>
        <v>0</v>
      </c>
      <c r="FT138" s="139">
        <f t="shared" si="163"/>
        <v>0</v>
      </c>
      <c r="FU138" s="148">
        <f t="shared" si="164"/>
        <v>0</v>
      </c>
      <c r="FV138" s="149"/>
      <c r="FY138" s="213">
        <v>133</v>
      </c>
      <c r="FZ138">
        <v>33.897603871293875</v>
      </c>
      <c r="GA138">
        <v>51.311888331373432</v>
      </c>
      <c r="GB138">
        <v>12.619563611473954</v>
      </c>
      <c r="GC138">
        <v>4.7670035770322379</v>
      </c>
      <c r="GD138">
        <v>3.1552060182710777</v>
      </c>
      <c r="GE138">
        <v>2.1629120497448335</v>
      </c>
      <c r="GF138">
        <v>18.441366389416277</v>
      </c>
      <c r="GG138">
        <v>16.456419241687023</v>
      </c>
      <c r="GH138">
        <v>15.236431001853203</v>
      </c>
      <c r="GI138">
        <v>16.323317935456092</v>
      </c>
      <c r="GJ138"/>
      <c r="GK138"/>
      <c r="GL138"/>
      <c r="GM138"/>
      <c r="GN138" s="208"/>
      <c r="GO138" s="208"/>
      <c r="GP138" s="208"/>
      <c r="GQ138" s="208"/>
      <c r="GR138" s="208"/>
      <c r="GS138" s="208"/>
      <c r="GT138" s="208"/>
      <c r="GU138" s="213">
        <v>133</v>
      </c>
    </row>
    <row r="139" spans="1:203" s="7" customFormat="1">
      <c r="A139" s="1"/>
      <c r="B139" s="76">
        <f ca="1">IF(C139="", "", RAND())</f>
        <v>0.79702142985798563</v>
      </c>
      <c r="C139">
        <v>5</v>
      </c>
      <c r="D139">
        <v>39799</v>
      </c>
      <c r="E139">
        <v>70.112179487179489</v>
      </c>
      <c r="F139">
        <v>140.22435897435898</v>
      </c>
      <c r="G139">
        <v>280.44871794871796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 s="2"/>
      <c r="AK139" s="80"/>
      <c r="AL139" s="74"/>
      <c r="AM139" s="43">
        <v>123</v>
      </c>
      <c r="AN139">
        <v>317.36149617074364</v>
      </c>
      <c r="AO139">
        <v>28.466135824674843</v>
      </c>
      <c r="AP139">
        <v>114.03464558109525</v>
      </c>
      <c r="AQ139">
        <v>207.6292824390182</v>
      </c>
      <c r="AR139">
        <v>27.266400755718244</v>
      </c>
      <c r="AS139">
        <v>247.50839756054646</v>
      </c>
      <c r="AT139">
        <v>11.730107409003045</v>
      </c>
      <c r="AU139">
        <v>-48.650220594872195</v>
      </c>
      <c r="AV139"/>
      <c r="AW139"/>
      <c r="AX139" s="146"/>
      <c r="AY139" s="76">
        <f t="shared" ca="1" si="88"/>
        <v>0.1476252815755732</v>
      </c>
      <c r="AZ139">
        <v>2</v>
      </c>
      <c r="BA139" s="129">
        <f t="shared" ref="BA139:BA147" si="168">IF(AZ139="", "",$C$9)</f>
        <v>39799</v>
      </c>
      <c r="BB139" s="207">
        <v>0</v>
      </c>
      <c r="BC139" s="207">
        <v>0</v>
      </c>
      <c r="BD139" s="207">
        <v>0</v>
      </c>
      <c r="BE139" s="207">
        <v>0</v>
      </c>
      <c r="BF139" s="207">
        <v>0</v>
      </c>
      <c r="BG139" s="207">
        <v>0</v>
      </c>
      <c r="BH139" s="207">
        <v>0</v>
      </c>
      <c r="BI139" s="207">
        <v>0</v>
      </c>
      <c r="BJ139" s="207">
        <v>0</v>
      </c>
      <c r="BK139" s="207">
        <v>0</v>
      </c>
      <c r="BL139" s="207">
        <v>0</v>
      </c>
      <c r="BM139" s="207">
        <v>0</v>
      </c>
      <c r="BN139" s="207">
        <v>0</v>
      </c>
      <c r="BO139" s="207">
        <v>0</v>
      </c>
      <c r="BP139" s="207">
        <v>0</v>
      </c>
      <c r="BQ139" s="207">
        <v>0</v>
      </c>
      <c r="BR139" s="207">
        <v>0</v>
      </c>
      <c r="BS139" s="207">
        <v>0</v>
      </c>
      <c r="BT139" s="207">
        <v>0</v>
      </c>
      <c r="BU139" s="207">
        <v>0</v>
      </c>
      <c r="BV139" s="207">
        <v>0</v>
      </c>
      <c r="BW139" s="207">
        <v>0</v>
      </c>
      <c r="BX139" s="207">
        <v>0</v>
      </c>
      <c r="BY139" s="207">
        <v>0</v>
      </c>
      <c r="BZ139" s="207">
        <v>0</v>
      </c>
      <c r="CA139" s="207">
        <v>0</v>
      </c>
      <c r="CB139" s="207">
        <v>0</v>
      </c>
      <c r="CC139" s="207">
        <v>0</v>
      </c>
      <c r="CD139" s="207">
        <v>0</v>
      </c>
      <c r="CE139" s="207">
        <v>0</v>
      </c>
      <c r="CF139" s="207">
        <v>0</v>
      </c>
      <c r="CG139" s="147"/>
      <c r="CH139" s="176"/>
      <c r="CJ139" s="146"/>
      <c r="CK139" s="76">
        <f t="shared" ca="1" si="90"/>
        <v>0.92415994686981373</v>
      </c>
      <c r="CL139" s="179">
        <f t="shared" si="91"/>
        <v>2</v>
      </c>
      <c r="CM139" s="180">
        <f t="shared" si="92"/>
        <v>39799</v>
      </c>
      <c r="CN139" s="208">
        <v>4</v>
      </c>
      <c r="CO139" s="208">
        <v>13</v>
      </c>
      <c r="CP139" s="208">
        <v>10</v>
      </c>
      <c r="CQ139" s="208">
        <v>1</v>
      </c>
      <c r="CR139" s="208">
        <v>0</v>
      </c>
      <c r="CS139" s="208">
        <v>0</v>
      </c>
      <c r="CT139" s="208">
        <v>0</v>
      </c>
      <c r="CU139" s="208">
        <v>0</v>
      </c>
      <c r="CV139" s="160"/>
      <c r="CW139">
        <v>1</v>
      </c>
      <c r="CX139">
        <v>1</v>
      </c>
      <c r="CY139" s="160"/>
      <c r="CZ139" s="177">
        <f t="shared" si="93"/>
        <v>9.6000000000000002E-2</v>
      </c>
      <c r="DB139" s="146"/>
      <c r="DC139" s="76">
        <f t="shared" ca="1" si="51"/>
        <v>8.2399154182848378E-2</v>
      </c>
      <c r="DD139">
        <f t="shared" si="94"/>
        <v>2</v>
      </c>
      <c r="DE139" s="129">
        <f t="shared" si="167"/>
        <v>39799</v>
      </c>
      <c r="DF139" s="161">
        <f t="shared" si="95"/>
        <v>41.666666666666664</v>
      </c>
      <c r="DG139" s="161">
        <f t="shared" si="96"/>
        <v>135.41666666666666</v>
      </c>
      <c r="DH139" s="161">
        <f t="shared" si="97"/>
        <v>104.16666666666667</v>
      </c>
      <c r="DI139" s="161">
        <f t="shared" si="98"/>
        <v>10.416666666666666</v>
      </c>
      <c r="DJ139" s="161">
        <f t="shared" si="99"/>
        <v>0</v>
      </c>
      <c r="DK139" s="161">
        <f t="shared" si="100"/>
        <v>0</v>
      </c>
      <c r="DL139" s="161">
        <f t="shared" si="101"/>
        <v>0</v>
      </c>
      <c r="DM139" s="161">
        <f t="shared" si="102"/>
        <v>0</v>
      </c>
      <c r="DN139" s="161">
        <f t="shared" si="103"/>
        <v>0</v>
      </c>
      <c r="DO139" s="161">
        <f t="shared" si="104"/>
        <v>0</v>
      </c>
      <c r="DP139" s="161">
        <f t="shared" si="105"/>
        <v>0</v>
      </c>
      <c r="DQ139" s="161">
        <f t="shared" si="106"/>
        <v>0</v>
      </c>
      <c r="DR139" s="161">
        <f t="shared" si="107"/>
        <v>0</v>
      </c>
      <c r="DS139" s="161">
        <f t="shared" si="108"/>
        <v>0</v>
      </c>
      <c r="DT139" s="161">
        <f t="shared" si="109"/>
        <v>0</v>
      </c>
      <c r="DU139" s="161">
        <f t="shared" si="110"/>
        <v>0</v>
      </c>
      <c r="DV139" s="161">
        <f t="shared" si="111"/>
        <v>0</v>
      </c>
      <c r="DW139" s="161">
        <f t="shared" si="112"/>
        <v>0</v>
      </c>
      <c r="DX139" s="161">
        <f t="shared" si="113"/>
        <v>0</v>
      </c>
      <c r="DY139" s="161">
        <f t="shared" si="114"/>
        <v>0</v>
      </c>
      <c r="DZ139" s="161">
        <f t="shared" si="115"/>
        <v>0</v>
      </c>
      <c r="EA139" s="161">
        <f t="shared" si="116"/>
        <v>0</v>
      </c>
      <c r="EB139" s="161">
        <f t="shared" si="117"/>
        <v>0</v>
      </c>
      <c r="EC139" s="161">
        <f t="shared" si="118"/>
        <v>0</v>
      </c>
      <c r="ED139" s="161">
        <f t="shared" si="119"/>
        <v>0</v>
      </c>
      <c r="EE139" s="161">
        <f t="shared" si="120"/>
        <v>0</v>
      </c>
      <c r="EF139" s="161">
        <f t="shared" si="121"/>
        <v>0</v>
      </c>
      <c r="EG139" s="161">
        <f t="shared" si="122"/>
        <v>0</v>
      </c>
      <c r="EH139" s="161">
        <f t="shared" si="123"/>
        <v>0</v>
      </c>
      <c r="EI139" s="161">
        <f t="shared" si="124"/>
        <v>0</v>
      </c>
      <c r="EJ139" s="161">
        <f t="shared" si="125"/>
        <v>0</v>
      </c>
      <c r="EK139" s="147">
        <f t="shared" si="132"/>
        <v>291.66666666666669</v>
      </c>
      <c r="EL139" s="149"/>
      <c r="EN139" s="146"/>
      <c r="EO139" s="146"/>
      <c r="EP139" s="139">
        <f t="shared" si="133"/>
        <v>7.5651933269622121E-2</v>
      </c>
      <c r="EQ139" s="139">
        <f t="shared" si="134"/>
        <v>1.5615302083333331</v>
      </c>
      <c r="ER139" s="139">
        <f t="shared" si="135"/>
        <v>7.6287614772934687</v>
      </c>
      <c r="ES139" s="139">
        <f t="shared" si="136"/>
        <v>2.2495177494926182</v>
      </c>
      <c r="ET139" s="139">
        <f t="shared" si="137"/>
        <v>0</v>
      </c>
      <c r="EU139" s="139">
        <f t="shared" si="138"/>
        <v>0</v>
      </c>
      <c r="EV139" s="139">
        <f t="shared" si="139"/>
        <v>0</v>
      </c>
      <c r="EW139" s="139">
        <f t="shared" si="140"/>
        <v>0</v>
      </c>
      <c r="EX139" s="139">
        <f t="shared" si="141"/>
        <v>0</v>
      </c>
      <c r="EY139" s="139">
        <f t="shared" si="142"/>
        <v>0</v>
      </c>
      <c r="EZ139" s="139">
        <f t="shared" si="143"/>
        <v>0</v>
      </c>
      <c r="FA139" s="139">
        <f t="shared" si="144"/>
        <v>0</v>
      </c>
      <c r="FB139" s="139">
        <f t="shared" si="145"/>
        <v>0</v>
      </c>
      <c r="FC139" s="139">
        <f t="shared" si="146"/>
        <v>0</v>
      </c>
      <c r="FD139" s="139">
        <f t="shared" si="147"/>
        <v>0</v>
      </c>
      <c r="FE139" s="139">
        <f t="shared" si="148"/>
        <v>0</v>
      </c>
      <c r="FF139" s="139">
        <f t="shared" si="149"/>
        <v>0</v>
      </c>
      <c r="FG139" s="139">
        <f t="shared" si="150"/>
        <v>0</v>
      </c>
      <c r="FH139" s="139">
        <f t="shared" si="151"/>
        <v>0</v>
      </c>
      <c r="FI139" s="139">
        <f t="shared" si="152"/>
        <v>0</v>
      </c>
      <c r="FJ139" s="139">
        <f t="shared" si="153"/>
        <v>0</v>
      </c>
      <c r="FK139" s="139">
        <f t="shared" si="154"/>
        <v>0</v>
      </c>
      <c r="FL139" s="139">
        <f t="shared" si="155"/>
        <v>0</v>
      </c>
      <c r="FM139" s="139">
        <f t="shared" si="156"/>
        <v>0</v>
      </c>
      <c r="FN139" s="139">
        <f t="shared" si="157"/>
        <v>0</v>
      </c>
      <c r="FO139" s="139">
        <f t="shared" si="158"/>
        <v>0</v>
      </c>
      <c r="FP139" s="139">
        <f t="shared" si="159"/>
        <v>0</v>
      </c>
      <c r="FQ139" s="139">
        <f t="shared" si="160"/>
        <v>0</v>
      </c>
      <c r="FR139" s="139">
        <f t="shared" si="161"/>
        <v>0</v>
      </c>
      <c r="FS139" s="139">
        <f t="shared" si="162"/>
        <v>0</v>
      </c>
      <c r="FT139" s="139">
        <f t="shared" si="163"/>
        <v>0</v>
      </c>
      <c r="FU139" s="148">
        <f t="shared" si="164"/>
        <v>11.515461368389042</v>
      </c>
      <c r="FV139" s="149"/>
      <c r="FY139" s="213">
        <v>134</v>
      </c>
      <c r="FZ139">
        <v>63.153308964455597</v>
      </c>
      <c r="GA139">
        <v>72.22488257065497</v>
      </c>
      <c r="GB139">
        <v>16.343305880136583</v>
      </c>
      <c r="GC139">
        <v>9.0104539554926184</v>
      </c>
      <c r="GD139">
        <v>6.866019477413289</v>
      </c>
      <c r="GE139">
        <v>4.771641792330291</v>
      </c>
      <c r="GF139">
        <v>17.731658846203494</v>
      </c>
      <c r="GG139">
        <v>15.008949272045271</v>
      </c>
      <c r="GH139">
        <v>9.1029782409652018</v>
      </c>
      <c r="GI139">
        <v>22.606091680918883</v>
      </c>
      <c r="GJ139"/>
      <c r="GK139"/>
      <c r="GL139"/>
      <c r="GM139"/>
      <c r="GN139" s="208"/>
      <c r="GO139" s="208"/>
      <c r="GP139" s="208"/>
      <c r="GQ139" s="208"/>
      <c r="GR139" s="208"/>
      <c r="GS139" s="208"/>
      <c r="GT139" s="208"/>
      <c r="GU139" s="213">
        <v>134</v>
      </c>
    </row>
    <row r="140" spans="1:203" s="7" customFormat="1">
      <c r="A140" s="1"/>
      <c r="B140" s="76">
        <f ca="1">IF(C140="", "", RAND())</f>
        <v>0.81123137682172475</v>
      </c>
      <c r="C140">
        <v>2</v>
      </c>
      <c r="D140">
        <v>39799</v>
      </c>
      <c r="E140">
        <v>41.666666666666664</v>
      </c>
      <c r="F140">
        <v>135.41666666666666</v>
      </c>
      <c r="G140">
        <v>104.16666666666667</v>
      </c>
      <c r="H140">
        <v>10.416666666666666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 s="2"/>
      <c r="AK140" s="80"/>
      <c r="AL140" s="74"/>
      <c r="AM140" s="43">
        <v>124</v>
      </c>
      <c r="AN140">
        <v>352.45907854226118</v>
      </c>
      <c r="AO140">
        <v>36.725465184614386</v>
      </c>
      <c r="AP140">
        <v>76.017933678802024</v>
      </c>
      <c r="AQ140">
        <v>258.27122088788531</v>
      </c>
      <c r="AR140">
        <v>37.564626260898621</v>
      </c>
      <c r="AS140">
        <v>299.47339427644914</v>
      </c>
      <c r="AT140">
        <v>14.934827281458439</v>
      </c>
      <c r="AU140">
        <v>-4.1622348289729842</v>
      </c>
      <c r="AV140"/>
      <c r="AW140"/>
      <c r="AX140" s="146"/>
      <c r="AY140" s="76">
        <f t="shared" ca="1" si="88"/>
        <v>0.53914133382674767</v>
      </c>
      <c r="AZ140">
        <v>3</v>
      </c>
      <c r="BA140" s="129">
        <f t="shared" si="168"/>
        <v>39799</v>
      </c>
      <c r="BB140" s="207">
        <v>0</v>
      </c>
      <c r="BC140" s="207">
        <v>0</v>
      </c>
      <c r="BD140" s="207">
        <v>0</v>
      </c>
      <c r="BE140" s="207">
        <v>0</v>
      </c>
      <c r="BF140" s="207">
        <v>0</v>
      </c>
      <c r="BG140" s="207">
        <v>0</v>
      </c>
      <c r="BH140" s="207">
        <v>0</v>
      </c>
      <c r="BI140" s="207">
        <v>0</v>
      </c>
      <c r="BJ140" s="207">
        <v>0</v>
      </c>
      <c r="BK140" s="207">
        <v>0</v>
      </c>
      <c r="BL140" s="207">
        <v>0</v>
      </c>
      <c r="BM140" s="207">
        <v>0</v>
      </c>
      <c r="BN140" s="207">
        <v>0</v>
      </c>
      <c r="BO140" s="207">
        <v>0</v>
      </c>
      <c r="BP140" s="207">
        <v>0</v>
      </c>
      <c r="BQ140" s="207">
        <v>0</v>
      </c>
      <c r="BR140" s="207">
        <v>0</v>
      </c>
      <c r="BS140" s="207">
        <v>0</v>
      </c>
      <c r="BT140" s="207">
        <v>0</v>
      </c>
      <c r="BU140" s="207">
        <v>0</v>
      </c>
      <c r="BV140" s="207">
        <v>0</v>
      </c>
      <c r="BW140" s="207">
        <v>0</v>
      </c>
      <c r="BX140" s="207">
        <v>0</v>
      </c>
      <c r="BY140" s="207">
        <v>0</v>
      </c>
      <c r="BZ140" s="207">
        <v>0</v>
      </c>
      <c r="CA140" s="207">
        <v>0</v>
      </c>
      <c r="CB140" s="207">
        <v>0</v>
      </c>
      <c r="CC140" s="207">
        <v>0</v>
      </c>
      <c r="CD140" s="207">
        <v>0</v>
      </c>
      <c r="CE140" s="207">
        <v>0</v>
      </c>
      <c r="CF140" s="207">
        <v>0</v>
      </c>
      <c r="CG140" s="147"/>
      <c r="CH140" s="176"/>
      <c r="CJ140" s="146"/>
      <c r="CK140" s="76">
        <f t="shared" ca="1" si="90"/>
        <v>0.61303768305256989</v>
      </c>
      <c r="CL140" s="179">
        <f t="shared" si="91"/>
        <v>3</v>
      </c>
      <c r="CM140" s="180">
        <f t="shared" si="92"/>
        <v>39799</v>
      </c>
      <c r="CN140" s="208">
        <v>0</v>
      </c>
      <c r="CO140" s="208">
        <v>3</v>
      </c>
      <c r="CP140" s="208">
        <v>1</v>
      </c>
      <c r="CQ140" s="208">
        <v>0</v>
      </c>
      <c r="CR140" s="208">
        <v>0</v>
      </c>
      <c r="CS140" s="208">
        <v>0</v>
      </c>
      <c r="CT140" s="208">
        <v>0</v>
      </c>
      <c r="CU140" s="208">
        <v>0</v>
      </c>
      <c r="CV140" s="160"/>
      <c r="CW140" s="178">
        <f>30/13</f>
        <v>2.3076923076923075</v>
      </c>
      <c r="CX140">
        <f>8</f>
        <v>8</v>
      </c>
      <c r="CY140" s="160"/>
      <c r="CZ140" s="177">
        <f t="shared" si="93"/>
        <v>9.6000000000000002E-2</v>
      </c>
      <c r="DB140" s="146"/>
      <c r="DC140" s="76">
        <f t="shared" ca="1" si="51"/>
        <v>0.15366634206830554</v>
      </c>
      <c r="DD140">
        <f t="shared" si="94"/>
        <v>3</v>
      </c>
      <c r="DE140" s="129">
        <f t="shared" si="167"/>
        <v>39799</v>
      </c>
      <c r="DF140" s="161">
        <f t="shared" si="95"/>
        <v>0</v>
      </c>
      <c r="DG140" s="161">
        <f t="shared" si="96"/>
        <v>250</v>
      </c>
      <c r="DH140" s="161">
        <f t="shared" si="97"/>
        <v>83.333333333333329</v>
      </c>
      <c r="DI140" s="161">
        <f t="shared" si="98"/>
        <v>0</v>
      </c>
      <c r="DJ140" s="161">
        <f t="shared" si="99"/>
        <v>0</v>
      </c>
      <c r="DK140" s="161">
        <f t="shared" si="100"/>
        <v>0</v>
      </c>
      <c r="DL140" s="161">
        <f t="shared" si="101"/>
        <v>0</v>
      </c>
      <c r="DM140" s="161">
        <f t="shared" si="102"/>
        <v>0</v>
      </c>
      <c r="DN140" s="161">
        <f t="shared" si="103"/>
        <v>0</v>
      </c>
      <c r="DO140" s="161">
        <f t="shared" si="104"/>
        <v>0</v>
      </c>
      <c r="DP140" s="161">
        <f t="shared" si="105"/>
        <v>0</v>
      </c>
      <c r="DQ140" s="161">
        <f t="shared" si="106"/>
        <v>0</v>
      </c>
      <c r="DR140" s="161">
        <f t="shared" si="107"/>
        <v>0</v>
      </c>
      <c r="DS140" s="161">
        <f t="shared" si="108"/>
        <v>0</v>
      </c>
      <c r="DT140" s="161">
        <f t="shared" si="109"/>
        <v>0</v>
      </c>
      <c r="DU140" s="161">
        <f t="shared" si="110"/>
        <v>0</v>
      </c>
      <c r="DV140" s="161">
        <f t="shared" si="111"/>
        <v>0</v>
      </c>
      <c r="DW140" s="161">
        <f t="shared" si="112"/>
        <v>0</v>
      </c>
      <c r="DX140" s="161">
        <f t="shared" si="113"/>
        <v>0</v>
      </c>
      <c r="DY140" s="161">
        <f t="shared" si="114"/>
        <v>0</v>
      </c>
      <c r="DZ140" s="161">
        <f t="shared" si="115"/>
        <v>0</v>
      </c>
      <c r="EA140" s="161">
        <f t="shared" si="116"/>
        <v>0</v>
      </c>
      <c r="EB140" s="161">
        <f t="shared" si="117"/>
        <v>0</v>
      </c>
      <c r="EC140" s="161">
        <f t="shared" si="118"/>
        <v>0</v>
      </c>
      <c r="ED140" s="161">
        <f t="shared" si="119"/>
        <v>0</v>
      </c>
      <c r="EE140" s="161">
        <f t="shared" si="120"/>
        <v>0</v>
      </c>
      <c r="EF140" s="161">
        <f t="shared" si="121"/>
        <v>0</v>
      </c>
      <c r="EG140" s="161">
        <f t="shared" si="122"/>
        <v>0</v>
      </c>
      <c r="EH140" s="161">
        <f t="shared" si="123"/>
        <v>0</v>
      </c>
      <c r="EI140" s="161">
        <f t="shared" si="124"/>
        <v>0</v>
      </c>
      <c r="EJ140" s="161">
        <f t="shared" si="125"/>
        <v>0</v>
      </c>
      <c r="EK140" s="147">
        <f t="shared" si="132"/>
        <v>333.33333333333331</v>
      </c>
      <c r="EL140" s="149"/>
      <c r="EN140" s="146"/>
      <c r="EO140" s="146"/>
      <c r="EP140" s="139">
        <f t="shared" si="133"/>
        <v>0</v>
      </c>
      <c r="EQ140" s="139">
        <f t="shared" si="134"/>
        <v>2.882825</v>
      </c>
      <c r="ER140" s="139">
        <f t="shared" si="135"/>
        <v>6.103009181834774</v>
      </c>
      <c r="ES140" s="139">
        <f t="shared" si="136"/>
        <v>0</v>
      </c>
      <c r="ET140" s="139">
        <f t="shared" si="137"/>
        <v>0</v>
      </c>
      <c r="EU140" s="139">
        <f t="shared" si="138"/>
        <v>0</v>
      </c>
      <c r="EV140" s="139">
        <f t="shared" si="139"/>
        <v>0</v>
      </c>
      <c r="EW140" s="139">
        <f t="shared" si="140"/>
        <v>0</v>
      </c>
      <c r="EX140" s="139">
        <f t="shared" si="141"/>
        <v>0</v>
      </c>
      <c r="EY140" s="139">
        <f t="shared" si="142"/>
        <v>0</v>
      </c>
      <c r="EZ140" s="139">
        <f t="shared" si="143"/>
        <v>0</v>
      </c>
      <c r="FA140" s="139">
        <f t="shared" si="144"/>
        <v>0</v>
      </c>
      <c r="FB140" s="139">
        <f t="shared" si="145"/>
        <v>0</v>
      </c>
      <c r="FC140" s="139">
        <f t="shared" si="146"/>
        <v>0</v>
      </c>
      <c r="FD140" s="139">
        <f t="shared" si="147"/>
        <v>0</v>
      </c>
      <c r="FE140" s="139">
        <f t="shared" si="148"/>
        <v>0</v>
      </c>
      <c r="FF140" s="139">
        <f t="shared" si="149"/>
        <v>0</v>
      </c>
      <c r="FG140" s="139">
        <f t="shared" si="150"/>
        <v>0</v>
      </c>
      <c r="FH140" s="139">
        <f t="shared" si="151"/>
        <v>0</v>
      </c>
      <c r="FI140" s="139">
        <f t="shared" si="152"/>
        <v>0</v>
      </c>
      <c r="FJ140" s="139">
        <f t="shared" si="153"/>
        <v>0</v>
      </c>
      <c r="FK140" s="139">
        <f t="shared" si="154"/>
        <v>0</v>
      </c>
      <c r="FL140" s="139">
        <f t="shared" si="155"/>
        <v>0</v>
      </c>
      <c r="FM140" s="139">
        <f t="shared" si="156"/>
        <v>0</v>
      </c>
      <c r="FN140" s="139">
        <f t="shared" si="157"/>
        <v>0</v>
      </c>
      <c r="FO140" s="139">
        <f t="shared" si="158"/>
        <v>0</v>
      </c>
      <c r="FP140" s="139">
        <f t="shared" si="159"/>
        <v>0</v>
      </c>
      <c r="FQ140" s="139">
        <f t="shared" si="160"/>
        <v>0</v>
      </c>
      <c r="FR140" s="139">
        <f t="shared" si="161"/>
        <v>0</v>
      </c>
      <c r="FS140" s="139">
        <f t="shared" si="162"/>
        <v>0</v>
      </c>
      <c r="FT140" s="139">
        <f t="shared" si="163"/>
        <v>0</v>
      </c>
      <c r="FU140" s="148">
        <f t="shared" si="164"/>
        <v>8.9858341818347736</v>
      </c>
      <c r="FV140" s="149"/>
      <c r="FY140" s="213">
        <v>135</v>
      </c>
      <c r="FZ140">
        <v>30.098095355952186</v>
      </c>
      <c r="GA140">
        <v>49.651177968832265</v>
      </c>
      <c r="GB140">
        <v>16.196922441080837</v>
      </c>
      <c r="GC140">
        <v>5.805216627581248</v>
      </c>
      <c r="GD140">
        <v>5.560245518990266</v>
      </c>
      <c r="GE140">
        <v>9.266596189814285</v>
      </c>
      <c r="GF140">
        <v>18.370012333280116</v>
      </c>
      <c r="GG140">
        <v>11.229232616733217</v>
      </c>
      <c r="GH140">
        <v>6.8408304919886911</v>
      </c>
      <c r="GI140">
        <v>16.780672099885937</v>
      </c>
      <c r="GJ140"/>
      <c r="GK140"/>
      <c r="GL140"/>
      <c r="GM140"/>
      <c r="GN140" s="208"/>
      <c r="GO140" s="208"/>
      <c r="GP140" s="208"/>
      <c r="GQ140" s="208"/>
      <c r="GR140" s="208"/>
      <c r="GS140" s="208"/>
      <c r="GT140" s="208"/>
      <c r="GU140" s="213">
        <v>135</v>
      </c>
    </row>
    <row r="141" spans="1:203" s="7" customFormat="1">
      <c r="A141" s="1"/>
      <c r="B141" s="76">
        <f ca="1">IF(C141="", "", RAND())</f>
        <v>0.46771467459283045</v>
      </c>
      <c r="C141">
        <v>3</v>
      </c>
      <c r="D141">
        <v>39799</v>
      </c>
      <c r="E141">
        <v>0</v>
      </c>
      <c r="F141">
        <v>250</v>
      </c>
      <c r="G141">
        <v>83.333333333333329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 s="2"/>
      <c r="AK141" s="80"/>
      <c r="AL141" s="74"/>
      <c r="AM141" s="43">
        <v>125</v>
      </c>
      <c r="AN141">
        <v>343.19823255040058</v>
      </c>
      <c r="AO141">
        <v>25.041118467909328</v>
      </c>
      <c r="AP141">
        <v>119.98419378295459</v>
      </c>
      <c r="AQ141">
        <v>165.01170257539462</v>
      </c>
      <c r="AR141">
        <v>26.714276610141869</v>
      </c>
      <c r="AS141">
        <v>262.49347601317783</v>
      </c>
      <c r="AT141">
        <v>13.607899565589994</v>
      </c>
      <c r="AU141">
        <v>102.80129172642131</v>
      </c>
      <c r="AV141"/>
      <c r="AW141"/>
      <c r="AX141" s="146"/>
      <c r="AY141" s="76">
        <f t="shared" ca="1" si="88"/>
        <v>0.61173809462001327</v>
      </c>
      <c r="AZ141">
        <v>4</v>
      </c>
      <c r="BA141" s="129">
        <f t="shared" si="168"/>
        <v>39799</v>
      </c>
      <c r="BB141" s="207">
        <v>0</v>
      </c>
      <c r="BC141" s="207">
        <v>0</v>
      </c>
      <c r="BD141" s="207">
        <v>0</v>
      </c>
      <c r="BE141" s="207">
        <v>0</v>
      </c>
      <c r="BF141" s="207">
        <v>0</v>
      </c>
      <c r="BG141" s="207">
        <v>0</v>
      </c>
      <c r="BH141" s="207">
        <v>0</v>
      </c>
      <c r="BI141" s="207">
        <v>0</v>
      </c>
      <c r="BJ141" s="207">
        <v>0</v>
      </c>
      <c r="BK141" s="207">
        <v>0</v>
      </c>
      <c r="BL141" s="207">
        <v>0</v>
      </c>
      <c r="BM141" s="207">
        <v>0</v>
      </c>
      <c r="BN141" s="207">
        <v>0</v>
      </c>
      <c r="BO141" s="207">
        <v>0</v>
      </c>
      <c r="BP141" s="207">
        <v>0</v>
      </c>
      <c r="BQ141" s="207">
        <v>0</v>
      </c>
      <c r="BR141" s="207">
        <v>0</v>
      </c>
      <c r="BS141" s="207">
        <v>0</v>
      </c>
      <c r="BT141" s="207">
        <v>0</v>
      </c>
      <c r="BU141" s="207">
        <v>0</v>
      </c>
      <c r="BV141" s="207">
        <v>0</v>
      </c>
      <c r="BW141" s="207">
        <v>0</v>
      </c>
      <c r="BX141" s="207">
        <v>0</v>
      </c>
      <c r="BY141" s="207">
        <v>0</v>
      </c>
      <c r="BZ141" s="207">
        <v>0</v>
      </c>
      <c r="CA141" s="207">
        <v>0</v>
      </c>
      <c r="CB141" s="207">
        <v>0</v>
      </c>
      <c r="CC141" s="207">
        <v>0</v>
      </c>
      <c r="CD141" s="207">
        <v>0</v>
      </c>
      <c r="CE141" s="207">
        <v>0</v>
      </c>
      <c r="CF141" s="207">
        <v>0</v>
      </c>
      <c r="CG141" s="147"/>
      <c r="CH141" s="176"/>
      <c r="CJ141" s="146"/>
      <c r="CK141" s="76">
        <f t="shared" ca="1" si="90"/>
        <v>0.71439529896475751</v>
      </c>
      <c r="CL141" s="179">
        <f t="shared" si="91"/>
        <v>4</v>
      </c>
      <c r="CM141" s="180">
        <f t="shared" si="92"/>
        <v>39799</v>
      </c>
      <c r="CN141" s="208">
        <v>0</v>
      </c>
      <c r="CO141" s="208">
        <v>3</v>
      </c>
      <c r="CP141" s="208">
        <v>2</v>
      </c>
      <c r="CQ141" s="208">
        <v>0</v>
      </c>
      <c r="CR141" s="208">
        <v>0</v>
      </c>
      <c r="CS141" s="208">
        <v>0</v>
      </c>
      <c r="CT141" s="208">
        <v>0</v>
      </c>
      <c r="CU141" s="208">
        <v>0</v>
      </c>
      <c r="CV141" s="160"/>
      <c r="CW141">
        <f>40/11</f>
        <v>3.6363636363636362</v>
      </c>
      <c r="CX141">
        <f>10500/374</f>
        <v>28.074866310160427</v>
      </c>
      <c r="CY141" s="160"/>
      <c r="CZ141" s="177">
        <f t="shared" si="93"/>
        <v>9.6000000000000002E-2</v>
      </c>
      <c r="DB141" s="146"/>
      <c r="DC141" s="76">
        <f t="shared" ca="1" si="51"/>
        <v>0.71124345166965597</v>
      </c>
      <c r="DD141">
        <f t="shared" si="94"/>
        <v>4</v>
      </c>
      <c r="DE141" s="129">
        <f t="shared" si="167"/>
        <v>39799</v>
      </c>
      <c r="DF141" s="161">
        <f t="shared" si="95"/>
        <v>0</v>
      </c>
      <c r="DG141" s="161">
        <f t="shared" si="96"/>
        <v>877.33957219251329</v>
      </c>
      <c r="DH141" s="161">
        <f t="shared" si="97"/>
        <v>584.89304812834223</v>
      </c>
      <c r="DI141" s="161">
        <f t="shared" si="98"/>
        <v>0</v>
      </c>
      <c r="DJ141" s="161">
        <f t="shared" si="99"/>
        <v>0</v>
      </c>
      <c r="DK141" s="161">
        <f t="shared" si="100"/>
        <v>0</v>
      </c>
      <c r="DL141" s="161">
        <f t="shared" si="101"/>
        <v>0</v>
      </c>
      <c r="DM141" s="161">
        <f t="shared" si="102"/>
        <v>0</v>
      </c>
      <c r="DN141" s="161">
        <f t="shared" si="103"/>
        <v>0</v>
      </c>
      <c r="DO141" s="161">
        <f t="shared" si="104"/>
        <v>0</v>
      </c>
      <c r="DP141" s="161">
        <f t="shared" si="105"/>
        <v>0</v>
      </c>
      <c r="DQ141" s="161">
        <f t="shared" si="106"/>
        <v>0</v>
      </c>
      <c r="DR141" s="161">
        <f t="shared" si="107"/>
        <v>0</v>
      </c>
      <c r="DS141" s="161">
        <f t="shared" si="108"/>
        <v>0</v>
      </c>
      <c r="DT141" s="161">
        <f t="shared" si="109"/>
        <v>0</v>
      </c>
      <c r="DU141" s="161">
        <f t="shared" si="110"/>
        <v>0</v>
      </c>
      <c r="DV141" s="161">
        <f t="shared" si="111"/>
        <v>0</v>
      </c>
      <c r="DW141" s="161">
        <f t="shared" si="112"/>
        <v>0</v>
      </c>
      <c r="DX141" s="161">
        <f t="shared" si="113"/>
        <v>0</v>
      </c>
      <c r="DY141" s="161">
        <f t="shared" si="114"/>
        <v>0</v>
      </c>
      <c r="DZ141" s="161">
        <f t="shared" si="115"/>
        <v>0</v>
      </c>
      <c r="EA141" s="161">
        <f t="shared" si="116"/>
        <v>0</v>
      </c>
      <c r="EB141" s="161">
        <f t="shared" si="117"/>
        <v>0</v>
      </c>
      <c r="EC141" s="161">
        <f t="shared" si="118"/>
        <v>0</v>
      </c>
      <c r="ED141" s="161">
        <f t="shared" si="119"/>
        <v>0</v>
      </c>
      <c r="EE141" s="161">
        <f t="shared" si="120"/>
        <v>0</v>
      </c>
      <c r="EF141" s="161">
        <f t="shared" si="121"/>
        <v>0</v>
      </c>
      <c r="EG141" s="161">
        <f t="shared" si="122"/>
        <v>0</v>
      </c>
      <c r="EH141" s="161">
        <f t="shared" si="123"/>
        <v>0</v>
      </c>
      <c r="EI141" s="161">
        <f t="shared" si="124"/>
        <v>0</v>
      </c>
      <c r="EJ141" s="161">
        <f t="shared" si="125"/>
        <v>0</v>
      </c>
      <c r="EK141" s="147">
        <f t="shared" si="132"/>
        <v>1462.2326203208554</v>
      </c>
      <c r="EL141" s="149"/>
      <c r="EN141" s="146"/>
      <c r="EO141" s="146"/>
      <c r="EP141" s="139">
        <f t="shared" si="133"/>
        <v>0</v>
      </c>
      <c r="EQ141" s="139">
        <f t="shared" si="134"/>
        <v>10.116865808823528</v>
      </c>
      <c r="ER141" s="139">
        <f t="shared" si="135"/>
        <v>42.835291717423218</v>
      </c>
      <c r="ES141" s="139">
        <f t="shared" si="136"/>
        <v>0</v>
      </c>
      <c r="ET141" s="139">
        <f t="shared" si="137"/>
        <v>0</v>
      </c>
      <c r="EU141" s="139">
        <f t="shared" si="138"/>
        <v>0</v>
      </c>
      <c r="EV141" s="139">
        <f t="shared" si="139"/>
        <v>0</v>
      </c>
      <c r="EW141" s="139">
        <f t="shared" si="140"/>
        <v>0</v>
      </c>
      <c r="EX141" s="139">
        <f t="shared" si="141"/>
        <v>0</v>
      </c>
      <c r="EY141" s="139">
        <f t="shared" si="142"/>
        <v>0</v>
      </c>
      <c r="EZ141" s="139">
        <f t="shared" si="143"/>
        <v>0</v>
      </c>
      <c r="FA141" s="139">
        <f t="shared" si="144"/>
        <v>0</v>
      </c>
      <c r="FB141" s="139">
        <f t="shared" si="145"/>
        <v>0</v>
      </c>
      <c r="FC141" s="139">
        <f t="shared" si="146"/>
        <v>0</v>
      </c>
      <c r="FD141" s="139">
        <f t="shared" si="147"/>
        <v>0</v>
      </c>
      <c r="FE141" s="139">
        <f t="shared" si="148"/>
        <v>0</v>
      </c>
      <c r="FF141" s="139">
        <f t="shared" si="149"/>
        <v>0</v>
      </c>
      <c r="FG141" s="139">
        <f t="shared" si="150"/>
        <v>0</v>
      </c>
      <c r="FH141" s="139">
        <f t="shared" si="151"/>
        <v>0</v>
      </c>
      <c r="FI141" s="139">
        <f t="shared" si="152"/>
        <v>0</v>
      </c>
      <c r="FJ141" s="139">
        <f t="shared" si="153"/>
        <v>0</v>
      </c>
      <c r="FK141" s="139">
        <f t="shared" si="154"/>
        <v>0</v>
      </c>
      <c r="FL141" s="139">
        <f t="shared" si="155"/>
        <v>0</v>
      </c>
      <c r="FM141" s="139">
        <f t="shared" si="156"/>
        <v>0</v>
      </c>
      <c r="FN141" s="139">
        <f t="shared" si="157"/>
        <v>0</v>
      </c>
      <c r="FO141" s="139">
        <f t="shared" si="158"/>
        <v>0</v>
      </c>
      <c r="FP141" s="139">
        <f t="shared" si="159"/>
        <v>0</v>
      </c>
      <c r="FQ141" s="139">
        <f t="shared" si="160"/>
        <v>0</v>
      </c>
      <c r="FR141" s="139">
        <f t="shared" si="161"/>
        <v>0</v>
      </c>
      <c r="FS141" s="139">
        <f t="shared" si="162"/>
        <v>0</v>
      </c>
      <c r="FT141" s="139">
        <f t="shared" si="163"/>
        <v>0</v>
      </c>
      <c r="FU141" s="148">
        <f t="shared" si="164"/>
        <v>52.952157526246744</v>
      </c>
      <c r="FV141" s="149"/>
      <c r="FY141" s="213">
        <v>136</v>
      </c>
      <c r="FZ141">
        <v>28.093741614306168</v>
      </c>
      <c r="GA141">
        <v>39.967916831468422</v>
      </c>
      <c r="GB141">
        <v>13.29957168890629</v>
      </c>
      <c r="GC141">
        <v>6.191899203940717</v>
      </c>
      <c r="GD141">
        <v>5.4649278321429913</v>
      </c>
      <c r="GE141">
        <v>5.6130305327502228</v>
      </c>
      <c r="GF141">
        <v>26.972256167539197</v>
      </c>
      <c r="GG141">
        <v>25.2145651132072</v>
      </c>
      <c r="GH141">
        <v>7.9799897944291773</v>
      </c>
      <c r="GI141">
        <v>17.25273773615649</v>
      </c>
      <c r="GJ141"/>
      <c r="GK141"/>
      <c r="GL141"/>
      <c r="GM141"/>
      <c r="GN141" s="208"/>
      <c r="GO141" s="208"/>
      <c r="GP141" s="208"/>
      <c r="GQ141" s="208"/>
      <c r="GR141" s="208"/>
      <c r="GS141" s="208"/>
      <c r="GT141" s="208"/>
      <c r="GU141" s="213">
        <v>136</v>
      </c>
    </row>
    <row r="142" spans="1:203" s="7" customFormat="1">
      <c r="A142" s="1"/>
      <c r="B142" s="76">
        <f ca="1">IF(C142="", "", RAND())</f>
        <v>0.13625670312140681</v>
      </c>
      <c r="C142">
        <v>8</v>
      </c>
      <c r="D142">
        <v>39799</v>
      </c>
      <c r="E142">
        <v>74.404761904761912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 s="2"/>
      <c r="AK142" s="80"/>
      <c r="AL142" s="74"/>
      <c r="AM142" s="43">
        <v>126</v>
      </c>
      <c r="AN142">
        <v>354.75141834242663</v>
      </c>
      <c r="AO142">
        <v>29.369110566235378</v>
      </c>
      <c r="AP142">
        <v>111.71675063948008</v>
      </c>
      <c r="AQ142">
        <v>212.67711572293646</v>
      </c>
      <c r="AR142">
        <v>30.96736626106577</v>
      </c>
      <c r="AS142">
        <v>283.08845839740621</v>
      </c>
      <c r="AT142">
        <v>14.154314502612985</v>
      </c>
      <c r="AU142">
        <v>26.368464365568073</v>
      </c>
      <c r="AV142"/>
      <c r="AW142"/>
      <c r="AX142" s="146"/>
      <c r="AY142" s="76">
        <f t="shared" ca="1" si="88"/>
        <v>0.90780332356490767</v>
      </c>
      <c r="AZ142">
        <v>5</v>
      </c>
      <c r="BA142" s="129">
        <f t="shared" si="168"/>
        <v>39799</v>
      </c>
      <c r="BB142" s="207">
        <v>0</v>
      </c>
      <c r="BC142" s="207">
        <v>0</v>
      </c>
      <c r="BD142" s="207">
        <v>0</v>
      </c>
      <c r="BE142" s="207">
        <v>0</v>
      </c>
      <c r="BF142" s="207">
        <v>0</v>
      </c>
      <c r="BG142" s="207">
        <v>0</v>
      </c>
      <c r="BH142" s="207">
        <v>0</v>
      </c>
      <c r="BI142" s="207">
        <v>0</v>
      </c>
      <c r="BJ142" s="207">
        <v>0</v>
      </c>
      <c r="BK142" s="207">
        <v>0</v>
      </c>
      <c r="BL142" s="207">
        <v>0</v>
      </c>
      <c r="BM142" s="207">
        <v>0</v>
      </c>
      <c r="BN142" s="207">
        <v>0</v>
      </c>
      <c r="BO142" s="207">
        <v>0</v>
      </c>
      <c r="BP142" s="207">
        <v>0</v>
      </c>
      <c r="BQ142" s="207">
        <v>0</v>
      </c>
      <c r="BR142" s="207">
        <v>0</v>
      </c>
      <c r="BS142" s="207">
        <v>0</v>
      </c>
      <c r="BT142" s="207">
        <v>0</v>
      </c>
      <c r="BU142" s="207">
        <v>0</v>
      </c>
      <c r="BV142" s="207">
        <v>0</v>
      </c>
      <c r="BW142" s="207">
        <v>0</v>
      </c>
      <c r="BX142" s="207">
        <v>0</v>
      </c>
      <c r="BY142" s="207">
        <v>0</v>
      </c>
      <c r="BZ142" s="207">
        <v>0</v>
      </c>
      <c r="CA142" s="207">
        <v>0</v>
      </c>
      <c r="CB142" s="207">
        <v>0</v>
      </c>
      <c r="CC142" s="207">
        <v>0</v>
      </c>
      <c r="CD142" s="207">
        <v>0</v>
      </c>
      <c r="CE142" s="207">
        <v>0</v>
      </c>
      <c r="CF142" s="207">
        <v>0</v>
      </c>
      <c r="CG142" s="147"/>
      <c r="CH142" s="176"/>
      <c r="CJ142" s="146"/>
      <c r="CK142" s="76">
        <f t="shared" ca="1" si="90"/>
        <v>0.41867858824738158</v>
      </c>
      <c r="CL142" s="179">
        <f t="shared" si="91"/>
        <v>5</v>
      </c>
      <c r="CM142" s="180">
        <f t="shared" si="92"/>
        <v>39799</v>
      </c>
      <c r="CN142" s="208">
        <v>1</v>
      </c>
      <c r="CO142" s="208">
        <v>2</v>
      </c>
      <c r="CP142" s="208">
        <v>4</v>
      </c>
      <c r="CQ142" s="208">
        <v>0</v>
      </c>
      <c r="CR142" s="208">
        <v>0</v>
      </c>
      <c r="CS142" s="208">
        <v>0</v>
      </c>
      <c r="CT142" s="208">
        <v>0</v>
      </c>
      <c r="CU142" s="208">
        <v>0</v>
      </c>
      <c r="CV142" s="160"/>
      <c r="CW142">
        <v>1</v>
      </c>
      <c r="CX142">
        <f>350/52</f>
        <v>6.7307692307692308</v>
      </c>
      <c r="CY142" s="160"/>
      <c r="CZ142" s="177">
        <f t="shared" si="93"/>
        <v>9.6000000000000002E-2</v>
      </c>
      <c r="DB142" s="146"/>
      <c r="DC142" s="76">
        <f t="shared" ca="1" si="51"/>
        <v>0.28096219131463207</v>
      </c>
      <c r="DD142">
        <f t="shared" si="94"/>
        <v>5</v>
      </c>
      <c r="DE142" s="129">
        <f t="shared" si="167"/>
        <v>39799</v>
      </c>
      <c r="DF142" s="161">
        <f t="shared" si="95"/>
        <v>70.112179487179489</v>
      </c>
      <c r="DG142" s="161">
        <f t="shared" si="96"/>
        <v>140.22435897435898</v>
      </c>
      <c r="DH142" s="161">
        <f t="shared" si="97"/>
        <v>280.44871794871796</v>
      </c>
      <c r="DI142" s="161">
        <f t="shared" si="98"/>
        <v>0</v>
      </c>
      <c r="DJ142" s="161">
        <f t="shared" si="99"/>
        <v>0</v>
      </c>
      <c r="DK142" s="161">
        <f t="shared" si="100"/>
        <v>0</v>
      </c>
      <c r="DL142" s="161">
        <f t="shared" si="101"/>
        <v>0</v>
      </c>
      <c r="DM142" s="161">
        <f t="shared" si="102"/>
        <v>0</v>
      </c>
      <c r="DN142" s="161">
        <f t="shared" si="103"/>
        <v>0</v>
      </c>
      <c r="DO142" s="161">
        <f t="shared" si="104"/>
        <v>0</v>
      </c>
      <c r="DP142" s="161">
        <f t="shared" si="105"/>
        <v>0</v>
      </c>
      <c r="DQ142" s="161">
        <f t="shared" si="106"/>
        <v>0</v>
      </c>
      <c r="DR142" s="161">
        <f t="shared" si="107"/>
        <v>0</v>
      </c>
      <c r="DS142" s="161">
        <f t="shared" si="108"/>
        <v>0</v>
      </c>
      <c r="DT142" s="161">
        <f t="shared" si="109"/>
        <v>0</v>
      </c>
      <c r="DU142" s="161">
        <f t="shared" si="110"/>
        <v>0</v>
      </c>
      <c r="DV142" s="161">
        <f t="shared" si="111"/>
        <v>0</v>
      </c>
      <c r="DW142" s="161">
        <f t="shared" si="112"/>
        <v>0</v>
      </c>
      <c r="DX142" s="161">
        <f t="shared" si="113"/>
        <v>0</v>
      </c>
      <c r="DY142" s="161">
        <f t="shared" si="114"/>
        <v>0</v>
      </c>
      <c r="DZ142" s="161">
        <f t="shared" si="115"/>
        <v>0</v>
      </c>
      <c r="EA142" s="161">
        <f t="shared" si="116"/>
        <v>0</v>
      </c>
      <c r="EB142" s="161">
        <f t="shared" si="117"/>
        <v>0</v>
      </c>
      <c r="EC142" s="161">
        <f t="shared" si="118"/>
        <v>0</v>
      </c>
      <c r="ED142" s="161">
        <f t="shared" si="119"/>
        <v>0</v>
      </c>
      <c r="EE142" s="161">
        <f t="shared" si="120"/>
        <v>0</v>
      </c>
      <c r="EF142" s="161">
        <f t="shared" si="121"/>
        <v>0</v>
      </c>
      <c r="EG142" s="161">
        <f t="shared" si="122"/>
        <v>0</v>
      </c>
      <c r="EH142" s="161">
        <f t="shared" si="123"/>
        <v>0</v>
      </c>
      <c r="EI142" s="161">
        <f t="shared" si="124"/>
        <v>0</v>
      </c>
      <c r="EJ142" s="161">
        <f t="shared" si="125"/>
        <v>0</v>
      </c>
      <c r="EK142" s="147">
        <f t="shared" si="132"/>
        <v>490.78525641025641</v>
      </c>
      <c r="EL142" s="149"/>
      <c r="EN142" s="146"/>
      <c r="EO142" s="146"/>
      <c r="EP142" s="139">
        <f t="shared" si="133"/>
        <v>0.12729892617484492</v>
      </c>
      <c r="EQ142" s="139">
        <f t="shared" si="134"/>
        <v>1.6169691506410255</v>
      </c>
      <c r="ER142" s="139">
        <f t="shared" si="135"/>
        <v>20.538973208097801</v>
      </c>
      <c r="ES142" s="139">
        <f t="shared" si="136"/>
        <v>0</v>
      </c>
      <c r="ET142" s="139">
        <f t="shared" si="137"/>
        <v>0</v>
      </c>
      <c r="EU142" s="139">
        <f t="shared" si="138"/>
        <v>0</v>
      </c>
      <c r="EV142" s="139">
        <f t="shared" si="139"/>
        <v>0</v>
      </c>
      <c r="EW142" s="139">
        <f t="shared" si="140"/>
        <v>0</v>
      </c>
      <c r="EX142" s="139">
        <f t="shared" si="141"/>
        <v>0</v>
      </c>
      <c r="EY142" s="139">
        <f t="shared" si="142"/>
        <v>0</v>
      </c>
      <c r="EZ142" s="139">
        <f t="shared" si="143"/>
        <v>0</v>
      </c>
      <c r="FA142" s="139">
        <f t="shared" si="144"/>
        <v>0</v>
      </c>
      <c r="FB142" s="139">
        <f t="shared" si="145"/>
        <v>0</v>
      </c>
      <c r="FC142" s="139">
        <f t="shared" si="146"/>
        <v>0</v>
      </c>
      <c r="FD142" s="139">
        <f t="shared" si="147"/>
        <v>0</v>
      </c>
      <c r="FE142" s="139">
        <f t="shared" si="148"/>
        <v>0</v>
      </c>
      <c r="FF142" s="139">
        <f t="shared" si="149"/>
        <v>0</v>
      </c>
      <c r="FG142" s="139">
        <f t="shared" si="150"/>
        <v>0</v>
      </c>
      <c r="FH142" s="139">
        <f t="shared" si="151"/>
        <v>0</v>
      </c>
      <c r="FI142" s="139">
        <f t="shared" si="152"/>
        <v>0</v>
      </c>
      <c r="FJ142" s="139">
        <f t="shared" si="153"/>
        <v>0</v>
      </c>
      <c r="FK142" s="139">
        <f t="shared" si="154"/>
        <v>0</v>
      </c>
      <c r="FL142" s="139">
        <f t="shared" si="155"/>
        <v>0</v>
      </c>
      <c r="FM142" s="139">
        <f t="shared" si="156"/>
        <v>0</v>
      </c>
      <c r="FN142" s="139">
        <f t="shared" si="157"/>
        <v>0</v>
      </c>
      <c r="FO142" s="139">
        <f t="shared" si="158"/>
        <v>0</v>
      </c>
      <c r="FP142" s="139">
        <f t="shared" si="159"/>
        <v>0</v>
      </c>
      <c r="FQ142" s="139">
        <f t="shared" si="160"/>
        <v>0</v>
      </c>
      <c r="FR142" s="139">
        <f t="shared" si="161"/>
        <v>0</v>
      </c>
      <c r="FS142" s="139">
        <f t="shared" si="162"/>
        <v>0</v>
      </c>
      <c r="FT142" s="139">
        <f t="shared" si="163"/>
        <v>0</v>
      </c>
      <c r="FU142" s="148">
        <f t="shared" si="164"/>
        <v>22.283241284913672</v>
      </c>
      <c r="FV142" s="149"/>
      <c r="FY142" s="213">
        <v>137</v>
      </c>
      <c r="FZ142">
        <v>60.545563330962523</v>
      </c>
      <c r="GA142">
        <v>60.755561954490979</v>
      </c>
      <c r="GB142">
        <v>12.929771568353392</v>
      </c>
      <c r="GC142">
        <v>7.6942637312266093</v>
      </c>
      <c r="GD142">
        <v>6.5188639258424521</v>
      </c>
      <c r="GE142">
        <v>6.8761338494400563</v>
      </c>
      <c r="GF142">
        <v>18.712447715529017</v>
      </c>
      <c r="GG142">
        <v>13.48793814517494</v>
      </c>
      <c r="GH142">
        <v>13.629489642538227</v>
      </c>
      <c r="GI142">
        <v>21.793057334923382</v>
      </c>
      <c r="GJ142"/>
      <c r="GK142"/>
      <c r="GL142"/>
      <c r="GM142"/>
      <c r="GN142" s="208"/>
      <c r="GO142" s="208"/>
      <c r="GP142" s="208"/>
      <c r="GQ142" s="208"/>
      <c r="GR142" s="208"/>
      <c r="GS142" s="208"/>
      <c r="GT142" s="208"/>
      <c r="GU142" s="213">
        <v>137</v>
      </c>
    </row>
    <row r="143" spans="1:203" s="7" customFormat="1">
      <c r="A143" s="1"/>
      <c r="B143" s="76">
        <f ca="1">IF(C143="", "", RAND())</f>
        <v>0.74045425883148686</v>
      </c>
      <c r="C143">
        <v>4</v>
      </c>
      <c r="D143">
        <v>39799</v>
      </c>
      <c r="E143">
        <v>0</v>
      </c>
      <c r="F143">
        <v>877.33957219251329</v>
      </c>
      <c r="G143">
        <v>584.89304812834223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 s="2"/>
      <c r="AK143" s="80"/>
      <c r="AL143" s="74"/>
      <c r="AM143" s="43">
        <v>127</v>
      </c>
      <c r="AN143">
        <v>333.5928949952492</v>
      </c>
      <c r="AO143">
        <v>26.14165757078009</v>
      </c>
      <c r="AP143">
        <v>109.36848468430802</v>
      </c>
      <c r="AQ143">
        <v>200.35673884882362</v>
      </c>
      <c r="AR143">
        <v>26.940415555037347</v>
      </c>
      <c r="AS143">
        <v>264.87322241105107</v>
      </c>
      <c r="AT143">
        <v>14.678137668799353</v>
      </c>
      <c r="AU143">
        <v>49.643831232987779</v>
      </c>
      <c r="AV143"/>
      <c r="AW143"/>
      <c r="AX143" s="146"/>
      <c r="AY143" s="76">
        <f t="shared" ca="1" si="88"/>
        <v>0.12594490659388402</v>
      </c>
      <c r="AZ143">
        <v>6</v>
      </c>
      <c r="BA143" s="129">
        <f t="shared" si="168"/>
        <v>39799</v>
      </c>
      <c r="BB143" s="207">
        <v>0</v>
      </c>
      <c r="BC143" s="207">
        <v>0</v>
      </c>
      <c r="BD143" s="207">
        <v>0</v>
      </c>
      <c r="BE143" s="207">
        <v>4</v>
      </c>
      <c r="BF143" s="207">
        <v>1</v>
      </c>
      <c r="BG143" s="207">
        <v>0</v>
      </c>
      <c r="BH143" s="207">
        <v>0</v>
      </c>
      <c r="BI143" s="207">
        <v>0</v>
      </c>
      <c r="BJ143" s="207">
        <v>0</v>
      </c>
      <c r="BK143" s="207">
        <v>0</v>
      </c>
      <c r="BL143" s="207">
        <v>0</v>
      </c>
      <c r="BM143" s="207">
        <v>0</v>
      </c>
      <c r="BN143" s="207">
        <v>0</v>
      </c>
      <c r="BO143" s="207">
        <v>0</v>
      </c>
      <c r="BP143" s="207">
        <v>0</v>
      </c>
      <c r="BQ143" s="207">
        <v>0</v>
      </c>
      <c r="BR143" s="207">
        <v>0</v>
      </c>
      <c r="BS143" s="207">
        <v>0</v>
      </c>
      <c r="BT143" s="207">
        <v>0</v>
      </c>
      <c r="BU143" s="207">
        <v>0</v>
      </c>
      <c r="BV143" s="207">
        <v>0</v>
      </c>
      <c r="BW143" s="207">
        <v>0</v>
      </c>
      <c r="BX143" s="207">
        <v>0</v>
      </c>
      <c r="BY143" s="207">
        <v>0</v>
      </c>
      <c r="BZ143" s="207">
        <v>0</v>
      </c>
      <c r="CA143" s="207">
        <v>0</v>
      </c>
      <c r="CB143" s="207">
        <v>0</v>
      </c>
      <c r="CC143" s="207">
        <v>0</v>
      </c>
      <c r="CD143" s="207">
        <v>0</v>
      </c>
      <c r="CE143" s="207">
        <v>0</v>
      </c>
      <c r="CF143" s="207">
        <v>0</v>
      </c>
      <c r="CG143" s="147"/>
      <c r="CH143" s="176"/>
      <c r="CJ143" s="146"/>
      <c r="CK143" s="76">
        <f t="shared" ca="1" si="90"/>
        <v>0.62341673048194512</v>
      </c>
      <c r="CL143" s="179">
        <f t="shared" si="91"/>
        <v>6</v>
      </c>
      <c r="CM143" s="180">
        <f t="shared" si="92"/>
        <v>39799</v>
      </c>
      <c r="CN143" s="208">
        <v>0</v>
      </c>
      <c r="CO143" s="208">
        <v>0</v>
      </c>
      <c r="CP143" s="208">
        <v>0</v>
      </c>
      <c r="CQ143" s="208">
        <v>0</v>
      </c>
      <c r="CR143" s="208">
        <v>0</v>
      </c>
      <c r="CS143" s="208">
        <v>0</v>
      </c>
      <c r="CT143" s="208">
        <v>0</v>
      </c>
      <c r="CU143" s="208">
        <v>0</v>
      </c>
      <c r="CV143" s="160"/>
      <c r="CW143">
        <v>1</v>
      </c>
      <c r="CX143">
        <v>1</v>
      </c>
      <c r="CY143" s="160"/>
      <c r="CZ143" s="177">
        <f t="shared" si="93"/>
        <v>9.6000000000000002E-2</v>
      </c>
      <c r="DB143" s="146"/>
      <c r="DC143" s="76">
        <f t="shared" ca="1" si="51"/>
        <v>0.24713509324659477</v>
      </c>
      <c r="DD143">
        <f t="shared" si="94"/>
        <v>6</v>
      </c>
      <c r="DE143" s="129">
        <f t="shared" si="167"/>
        <v>39799</v>
      </c>
      <c r="DF143" s="161">
        <f t="shared" si="95"/>
        <v>0</v>
      </c>
      <c r="DG143" s="161">
        <f t="shared" si="96"/>
        <v>0</v>
      </c>
      <c r="DH143" s="161">
        <f t="shared" si="97"/>
        <v>0</v>
      </c>
      <c r="DI143" s="161">
        <f t="shared" si="98"/>
        <v>41.666666666666664</v>
      </c>
      <c r="DJ143" s="161">
        <f t="shared" si="99"/>
        <v>10.416666666666666</v>
      </c>
      <c r="DK143" s="161">
        <f t="shared" si="100"/>
        <v>0</v>
      </c>
      <c r="DL143" s="161">
        <f t="shared" si="101"/>
        <v>0</v>
      </c>
      <c r="DM143" s="161">
        <f t="shared" si="102"/>
        <v>0</v>
      </c>
      <c r="DN143" s="161">
        <f t="shared" si="103"/>
        <v>0</v>
      </c>
      <c r="DO143" s="161">
        <f t="shared" si="104"/>
        <v>0</v>
      </c>
      <c r="DP143" s="161">
        <f t="shared" si="105"/>
        <v>0</v>
      </c>
      <c r="DQ143" s="161">
        <f t="shared" si="106"/>
        <v>0</v>
      </c>
      <c r="DR143" s="161">
        <f t="shared" si="107"/>
        <v>0</v>
      </c>
      <c r="DS143" s="161">
        <f t="shared" si="108"/>
        <v>0</v>
      </c>
      <c r="DT143" s="161">
        <f t="shared" si="109"/>
        <v>0</v>
      </c>
      <c r="DU143" s="161">
        <f t="shared" si="110"/>
        <v>0</v>
      </c>
      <c r="DV143" s="161">
        <f t="shared" si="111"/>
        <v>0</v>
      </c>
      <c r="DW143" s="161">
        <f t="shared" si="112"/>
        <v>0</v>
      </c>
      <c r="DX143" s="161">
        <f t="shared" si="113"/>
        <v>0</v>
      </c>
      <c r="DY143" s="161">
        <f t="shared" si="114"/>
        <v>0</v>
      </c>
      <c r="DZ143" s="161">
        <f t="shared" si="115"/>
        <v>0</v>
      </c>
      <c r="EA143" s="161">
        <f t="shared" si="116"/>
        <v>0</v>
      </c>
      <c r="EB143" s="161">
        <f t="shared" si="117"/>
        <v>0</v>
      </c>
      <c r="EC143" s="161">
        <f t="shared" si="118"/>
        <v>0</v>
      </c>
      <c r="ED143" s="161">
        <f t="shared" si="119"/>
        <v>0</v>
      </c>
      <c r="EE143" s="161">
        <f t="shared" si="120"/>
        <v>0</v>
      </c>
      <c r="EF143" s="161">
        <f t="shared" si="121"/>
        <v>0</v>
      </c>
      <c r="EG143" s="161">
        <f t="shared" si="122"/>
        <v>0</v>
      </c>
      <c r="EH143" s="161">
        <f t="shared" si="123"/>
        <v>0</v>
      </c>
      <c r="EI143" s="161">
        <f t="shared" si="124"/>
        <v>0</v>
      </c>
      <c r="EJ143" s="161">
        <f t="shared" si="125"/>
        <v>0</v>
      </c>
      <c r="EK143" s="147">
        <f t="shared" si="132"/>
        <v>52.083333333333329</v>
      </c>
      <c r="EL143" s="149"/>
      <c r="EN143" s="146"/>
      <c r="EO143" s="146"/>
      <c r="EP143" s="139">
        <f t="shared" si="133"/>
        <v>0</v>
      </c>
      <c r="EQ143" s="139">
        <f t="shared" si="134"/>
        <v>0</v>
      </c>
      <c r="ER143" s="139">
        <f t="shared" si="135"/>
        <v>0</v>
      </c>
      <c r="ES143" s="139">
        <f t="shared" si="136"/>
        <v>8.9980709979704727</v>
      </c>
      <c r="ET143" s="139">
        <f t="shared" si="137"/>
        <v>4.8450809197869589</v>
      </c>
      <c r="EU143" s="139">
        <f t="shared" si="138"/>
        <v>0</v>
      </c>
      <c r="EV143" s="139">
        <f t="shared" si="139"/>
        <v>0</v>
      </c>
      <c r="EW143" s="139">
        <f t="shared" si="140"/>
        <v>0</v>
      </c>
      <c r="EX143" s="139">
        <f t="shared" si="141"/>
        <v>0</v>
      </c>
      <c r="EY143" s="139">
        <f t="shared" si="142"/>
        <v>0</v>
      </c>
      <c r="EZ143" s="139">
        <f t="shared" si="143"/>
        <v>0</v>
      </c>
      <c r="FA143" s="139">
        <f t="shared" si="144"/>
        <v>0</v>
      </c>
      <c r="FB143" s="139">
        <f t="shared" si="145"/>
        <v>0</v>
      </c>
      <c r="FC143" s="139">
        <f t="shared" si="146"/>
        <v>0</v>
      </c>
      <c r="FD143" s="139">
        <f t="shared" si="147"/>
        <v>0</v>
      </c>
      <c r="FE143" s="139">
        <f t="shared" si="148"/>
        <v>0</v>
      </c>
      <c r="FF143" s="139">
        <f t="shared" si="149"/>
        <v>0</v>
      </c>
      <c r="FG143" s="139">
        <f t="shared" si="150"/>
        <v>0</v>
      </c>
      <c r="FH143" s="139">
        <f t="shared" si="151"/>
        <v>0</v>
      </c>
      <c r="FI143" s="139">
        <f t="shared" si="152"/>
        <v>0</v>
      </c>
      <c r="FJ143" s="139">
        <f t="shared" si="153"/>
        <v>0</v>
      </c>
      <c r="FK143" s="139">
        <f t="shared" si="154"/>
        <v>0</v>
      </c>
      <c r="FL143" s="139">
        <f t="shared" si="155"/>
        <v>0</v>
      </c>
      <c r="FM143" s="139">
        <f t="shared" si="156"/>
        <v>0</v>
      </c>
      <c r="FN143" s="139">
        <f t="shared" si="157"/>
        <v>0</v>
      </c>
      <c r="FO143" s="139">
        <f t="shared" si="158"/>
        <v>0</v>
      </c>
      <c r="FP143" s="139">
        <f t="shared" si="159"/>
        <v>0</v>
      </c>
      <c r="FQ143" s="139">
        <f t="shared" si="160"/>
        <v>0</v>
      </c>
      <c r="FR143" s="139">
        <f t="shared" si="161"/>
        <v>0</v>
      </c>
      <c r="FS143" s="139">
        <f t="shared" si="162"/>
        <v>0</v>
      </c>
      <c r="FT143" s="139">
        <f t="shared" si="163"/>
        <v>0</v>
      </c>
      <c r="FU143" s="148">
        <f t="shared" si="164"/>
        <v>13.843151917757432</v>
      </c>
      <c r="FV143" s="149"/>
      <c r="FY143" s="213">
        <v>138</v>
      </c>
      <c r="FZ143">
        <v>47.863636204565708</v>
      </c>
      <c r="GA143">
        <v>67.022264986937827</v>
      </c>
      <c r="GB143">
        <v>16.357213307941588</v>
      </c>
      <c r="GC143">
        <v>6.4484006942383534</v>
      </c>
      <c r="GD143">
        <v>4.5752301525578263</v>
      </c>
      <c r="GE143">
        <v>2.9639494301810791</v>
      </c>
      <c r="GF143">
        <v>22.88162272045264</v>
      </c>
      <c r="GG143">
        <v>22.98709730407835</v>
      </c>
      <c r="GH143">
        <v>18.532501143787659</v>
      </c>
      <c r="GI143">
        <v>21.602631348873782</v>
      </c>
      <c r="GJ143"/>
      <c r="GK143"/>
      <c r="GL143"/>
      <c r="GM143"/>
      <c r="GN143" s="208"/>
      <c r="GO143" s="208"/>
      <c r="GP143" s="208"/>
      <c r="GQ143" s="208"/>
      <c r="GR143" s="208"/>
      <c r="GS143" s="208"/>
      <c r="GT143" s="208"/>
      <c r="GU143" s="213">
        <v>138</v>
      </c>
    </row>
    <row r="144" spans="1:203" s="7" customFormat="1">
      <c r="A144" s="1"/>
      <c r="B144" s="76">
        <f ca="1">IF(C144="", "", RAND())</f>
        <v>0.2964715829062472</v>
      </c>
      <c r="C144">
        <v>1</v>
      </c>
      <c r="D144">
        <v>39799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 s="2"/>
      <c r="AK144" s="80"/>
      <c r="AL144" s="74"/>
      <c r="AM144" s="43">
        <v>128</v>
      </c>
      <c r="AN144">
        <v>339.5147083542189</v>
      </c>
      <c r="AO144">
        <v>30.349919578033546</v>
      </c>
      <c r="AP144">
        <v>64.771170936563436</v>
      </c>
      <c r="AQ144">
        <v>207.90322554773994</v>
      </c>
      <c r="AR144">
        <v>29.600768669376539</v>
      </c>
      <c r="AS144">
        <v>279.41579689078128</v>
      </c>
      <c r="AT144">
        <v>12.367497393932084</v>
      </c>
      <c r="AU144">
        <v>-11.6218006094388</v>
      </c>
      <c r="AV144"/>
      <c r="AW144"/>
      <c r="AX144" s="146"/>
      <c r="AY144" s="76">
        <f t="shared" ca="1" si="88"/>
        <v>1.3882764721924179E-2</v>
      </c>
      <c r="AZ144">
        <v>7</v>
      </c>
      <c r="BA144" s="129">
        <f t="shared" si="168"/>
        <v>39799</v>
      </c>
      <c r="BB144" s="207">
        <v>0</v>
      </c>
      <c r="BC144" s="207">
        <v>0</v>
      </c>
      <c r="BD144" s="207">
        <v>0</v>
      </c>
      <c r="BE144" s="207">
        <v>0</v>
      </c>
      <c r="BF144" s="207">
        <v>0</v>
      </c>
      <c r="BG144" s="207">
        <v>0</v>
      </c>
      <c r="BH144" s="207">
        <v>0</v>
      </c>
      <c r="BI144" s="207">
        <v>0</v>
      </c>
      <c r="BJ144" s="207">
        <v>0</v>
      </c>
      <c r="BK144" s="207">
        <v>0</v>
      </c>
      <c r="BL144" s="207">
        <v>0</v>
      </c>
      <c r="BM144" s="207">
        <v>0</v>
      </c>
      <c r="BN144" s="207">
        <v>0</v>
      </c>
      <c r="BO144" s="207">
        <v>0</v>
      </c>
      <c r="BP144" s="207">
        <v>0</v>
      </c>
      <c r="BQ144" s="207">
        <v>0</v>
      </c>
      <c r="BR144" s="207">
        <v>0</v>
      </c>
      <c r="BS144" s="207">
        <v>0</v>
      </c>
      <c r="BT144" s="207">
        <v>0</v>
      </c>
      <c r="BU144" s="207">
        <v>0</v>
      </c>
      <c r="BV144" s="207">
        <v>0</v>
      </c>
      <c r="BW144" s="207">
        <v>0</v>
      </c>
      <c r="BX144" s="207">
        <v>0</v>
      </c>
      <c r="BY144" s="207">
        <v>0</v>
      </c>
      <c r="BZ144" s="207">
        <v>0</v>
      </c>
      <c r="CA144" s="207">
        <v>0</v>
      </c>
      <c r="CB144" s="207">
        <v>0</v>
      </c>
      <c r="CC144" s="207">
        <v>0</v>
      </c>
      <c r="CD144" s="207">
        <v>0</v>
      </c>
      <c r="CE144" s="207">
        <v>0</v>
      </c>
      <c r="CF144" s="207">
        <v>0</v>
      </c>
      <c r="CG144" s="147"/>
      <c r="CH144" s="176"/>
      <c r="CJ144" s="146"/>
      <c r="CK144" s="76">
        <f t="shared" ca="1" si="90"/>
        <v>0.35104794962922625</v>
      </c>
      <c r="CL144" s="179">
        <f t="shared" si="91"/>
        <v>7</v>
      </c>
      <c r="CM144" s="180">
        <f t="shared" si="92"/>
        <v>39799</v>
      </c>
      <c r="CN144" s="208">
        <v>0</v>
      </c>
      <c r="CO144" s="208">
        <v>0</v>
      </c>
      <c r="CP144" s="208">
        <v>0</v>
      </c>
      <c r="CQ144" s="208">
        <v>0</v>
      </c>
      <c r="CR144" s="208">
        <v>0</v>
      </c>
      <c r="CS144" s="208">
        <v>0</v>
      </c>
      <c r="CT144" s="208">
        <v>0</v>
      </c>
      <c r="CU144" s="208">
        <v>0</v>
      </c>
      <c r="CV144" s="160"/>
      <c r="CW144">
        <v>1</v>
      </c>
      <c r="CX144">
        <f>350/60</f>
        <v>5.833333333333333</v>
      </c>
      <c r="CY144" s="165"/>
      <c r="CZ144" s="177">
        <f t="shared" si="93"/>
        <v>9.6000000000000002E-2</v>
      </c>
      <c r="DB144" s="146"/>
      <c r="DC144" s="76">
        <f t="shared" ca="1" si="51"/>
        <v>0.45925997894038795</v>
      </c>
      <c r="DD144">
        <f t="shared" si="94"/>
        <v>7</v>
      </c>
      <c r="DE144" s="129">
        <f t="shared" si="167"/>
        <v>39799</v>
      </c>
      <c r="DF144" s="161">
        <f t="shared" si="95"/>
        <v>0</v>
      </c>
      <c r="DG144" s="161">
        <f t="shared" si="96"/>
        <v>0</v>
      </c>
      <c r="DH144" s="161">
        <f t="shared" si="97"/>
        <v>0</v>
      </c>
      <c r="DI144" s="161">
        <f t="shared" si="98"/>
        <v>0</v>
      </c>
      <c r="DJ144" s="161">
        <f t="shared" si="99"/>
        <v>0</v>
      </c>
      <c r="DK144" s="161">
        <f t="shared" si="100"/>
        <v>0</v>
      </c>
      <c r="DL144" s="161">
        <f t="shared" si="101"/>
        <v>0</v>
      </c>
      <c r="DM144" s="161">
        <f t="shared" si="102"/>
        <v>0</v>
      </c>
      <c r="DN144" s="161">
        <f t="shared" si="103"/>
        <v>0</v>
      </c>
      <c r="DO144" s="161">
        <f t="shared" si="104"/>
        <v>0</v>
      </c>
      <c r="DP144" s="161">
        <f t="shared" si="105"/>
        <v>0</v>
      </c>
      <c r="DQ144" s="161">
        <f t="shared" si="106"/>
        <v>0</v>
      </c>
      <c r="DR144" s="161">
        <f t="shared" si="107"/>
        <v>0</v>
      </c>
      <c r="DS144" s="161">
        <f t="shared" si="108"/>
        <v>0</v>
      </c>
      <c r="DT144" s="161">
        <f t="shared" si="109"/>
        <v>0</v>
      </c>
      <c r="DU144" s="161">
        <f t="shared" si="110"/>
        <v>0</v>
      </c>
      <c r="DV144" s="161">
        <f t="shared" si="111"/>
        <v>0</v>
      </c>
      <c r="DW144" s="161">
        <f t="shared" si="112"/>
        <v>0</v>
      </c>
      <c r="DX144" s="161">
        <f t="shared" si="113"/>
        <v>0</v>
      </c>
      <c r="DY144" s="161">
        <f t="shared" si="114"/>
        <v>0</v>
      </c>
      <c r="DZ144" s="161">
        <f t="shared" si="115"/>
        <v>0</v>
      </c>
      <c r="EA144" s="161">
        <f t="shared" si="116"/>
        <v>0</v>
      </c>
      <c r="EB144" s="161">
        <f t="shared" si="117"/>
        <v>0</v>
      </c>
      <c r="EC144" s="161">
        <f t="shared" si="118"/>
        <v>0</v>
      </c>
      <c r="ED144" s="161">
        <f t="shared" si="119"/>
        <v>0</v>
      </c>
      <c r="EE144" s="161">
        <f t="shared" si="120"/>
        <v>0</v>
      </c>
      <c r="EF144" s="161">
        <f t="shared" si="121"/>
        <v>0</v>
      </c>
      <c r="EG144" s="161">
        <f t="shared" si="122"/>
        <v>0</v>
      </c>
      <c r="EH144" s="161">
        <f t="shared" si="123"/>
        <v>0</v>
      </c>
      <c r="EI144" s="161">
        <f t="shared" si="124"/>
        <v>0</v>
      </c>
      <c r="EJ144" s="161">
        <f t="shared" si="125"/>
        <v>0</v>
      </c>
      <c r="EK144" s="147">
        <f t="shared" si="132"/>
        <v>0</v>
      </c>
      <c r="EL144" s="149"/>
      <c r="EN144" s="146"/>
      <c r="EO144" s="146"/>
      <c r="EP144" s="139">
        <f t="shared" si="133"/>
        <v>0</v>
      </c>
      <c r="EQ144" s="139">
        <f t="shared" si="134"/>
        <v>0</v>
      </c>
      <c r="ER144" s="139">
        <f t="shared" si="135"/>
        <v>0</v>
      </c>
      <c r="ES144" s="139">
        <f t="shared" si="136"/>
        <v>0</v>
      </c>
      <c r="ET144" s="139">
        <f t="shared" si="137"/>
        <v>0</v>
      </c>
      <c r="EU144" s="139">
        <f t="shared" si="138"/>
        <v>0</v>
      </c>
      <c r="EV144" s="139">
        <f t="shared" si="139"/>
        <v>0</v>
      </c>
      <c r="EW144" s="139">
        <f t="shared" si="140"/>
        <v>0</v>
      </c>
      <c r="EX144" s="139">
        <f t="shared" si="141"/>
        <v>0</v>
      </c>
      <c r="EY144" s="139">
        <f t="shared" si="142"/>
        <v>0</v>
      </c>
      <c r="EZ144" s="139">
        <f t="shared" si="143"/>
        <v>0</v>
      </c>
      <c r="FA144" s="139">
        <f t="shared" si="144"/>
        <v>0</v>
      </c>
      <c r="FB144" s="139">
        <f t="shared" si="145"/>
        <v>0</v>
      </c>
      <c r="FC144" s="139">
        <f t="shared" si="146"/>
        <v>0</v>
      </c>
      <c r="FD144" s="139">
        <f t="shared" si="147"/>
        <v>0</v>
      </c>
      <c r="FE144" s="139">
        <f t="shared" si="148"/>
        <v>0</v>
      </c>
      <c r="FF144" s="139">
        <f t="shared" si="149"/>
        <v>0</v>
      </c>
      <c r="FG144" s="139">
        <f t="shared" si="150"/>
        <v>0</v>
      </c>
      <c r="FH144" s="139">
        <f t="shared" si="151"/>
        <v>0</v>
      </c>
      <c r="FI144" s="139">
        <f t="shared" si="152"/>
        <v>0</v>
      </c>
      <c r="FJ144" s="139">
        <f t="shared" si="153"/>
        <v>0</v>
      </c>
      <c r="FK144" s="139">
        <f t="shared" si="154"/>
        <v>0</v>
      </c>
      <c r="FL144" s="139">
        <f t="shared" si="155"/>
        <v>0</v>
      </c>
      <c r="FM144" s="139">
        <f t="shared" si="156"/>
        <v>0</v>
      </c>
      <c r="FN144" s="139">
        <f t="shared" si="157"/>
        <v>0</v>
      </c>
      <c r="FO144" s="139">
        <f t="shared" si="158"/>
        <v>0</v>
      </c>
      <c r="FP144" s="139">
        <f t="shared" si="159"/>
        <v>0</v>
      </c>
      <c r="FQ144" s="139">
        <f t="shared" si="160"/>
        <v>0</v>
      </c>
      <c r="FR144" s="139">
        <f t="shared" si="161"/>
        <v>0</v>
      </c>
      <c r="FS144" s="139">
        <f t="shared" si="162"/>
        <v>0</v>
      </c>
      <c r="FT144" s="139">
        <f t="shared" si="163"/>
        <v>0</v>
      </c>
      <c r="FU144" s="148">
        <f t="shared" si="164"/>
        <v>0</v>
      </c>
      <c r="FV144" s="149"/>
      <c r="FY144" s="213">
        <v>139</v>
      </c>
      <c r="FZ144">
        <v>56.862241652778891</v>
      </c>
      <c r="GA144">
        <v>66.825585323132799</v>
      </c>
      <c r="GB144">
        <v>12.105939724238297</v>
      </c>
      <c r="GC144">
        <v>6.1265867565016956</v>
      </c>
      <c r="GD144">
        <v>4.5200007005221554</v>
      </c>
      <c r="GE144">
        <v>2.3478666749645924</v>
      </c>
      <c r="GF144">
        <v>15.268301883623689</v>
      </c>
      <c r="GG144">
        <v>16.3635799380551</v>
      </c>
      <c r="GH144">
        <v>15.714097783571795</v>
      </c>
      <c r="GI144">
        <v>19.728993396785818</v>
      </c>
      <c r="GJ144"/>
      <c r="GK144"/>
      <c r="GL144"/>
      <c r="GM144"/>
      <c r="GN144" s="208"/>
      <c r="GO144" s="208"/>
      <c r="GP144" s="208"/>
      <c r="GQ144" s="208"/>
      <c r="GR144" s="208"/>
      <c r="GS144" s="208"/>
      <c r="GT144" s="208"/>
      <c r="GU144" s="213">
        <v>139</v>
      </c>
    </row>
    <row r="145" spans="1:203" s="7" customFormat="1">
      <c r="A145" s="1"/>
      <c r="B145" s="76">
        <f ca="1">IF(C145="", "", RAND())</f>
        <v>0.78517805112566474</v>
      </c>
      <c r="C145">
        <v>7</v>
      </c>
      <c r="D145">
        <v>39799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 s="2"/>
      <c r="AK145" s="80"/>
      <c r="AL145" s="74"/>
      <c r="AM145" s="43">
        <v>129</v>
      </c>
      <c r="AN145">
        <v>296.17751987890387</v>
      </c>
      <c r="AO145">
        <v>31.351191374372643</v>
      </c>
      <c r="AP145">
        <v>77.608123426401633</v>
      </c>
      <c r="AQ145">
        <v>219.23786940488935</v>
      </c>
      <c r="AR145">
        <v>33.089620800817329</v>
      </c>
      <c r="AS145">
        <v>257.9182223904802</v>
      </c>
      <c r="AT145">
        <v>14.682285668837919</v>
      </c>
      <c r="AU145">
        <v>39.069851755905354</v>
      </c>
      <c r="AV145"/>
      <c r="AW145"/>
      <c r="AX145" s="146"/>
      <c r="AY145" s="76">
        <f t="shared" ca="1" si="88"/>
        <v>0.63320819726068311</v>
      </c>
      <c r="AZ145">
        <v>8</v>
      </c>
      <c r="BA145" s="129">
        <f t="shared" si="168"/>
        <v>39799</v>
      </c>
      <c r="BB145" s="207">
        <v>0</v>
      </c>
      <c r="BC145" s="207">
        <v>0</v>
      </c>
      <c r="BD145" s="207">
        <v>0</v>
      </c>
      <c r="BE145" s="207">
        <v>0</v>
      </c>
      <c r="BF145" s="207">
        <v>0</v>
      </c>
      <c r="BG145" s="207">
        <v>0</v>
      </c>
      <c r="BH145" s="207">
        <v>0</v>
      </c>
      <c r="BI145" s="207">
        <v>0</v>
      </c>
      <c r="BJ145" s="207">
        <v>0</v>
      </c>
      <c r="BK145" s="207">
        <v>0</v>
      </c>
      <c r="BL145" s="207">
        <v>0</v>
      </c>
      <c r="BM145" s="207">
        <v>0</v>
      </c>
      <c r="BN145" s="207">
        <v>0</v>
      </c>
      <c r="BO145" s="207">
        <v>0</v>
      </c>
      <c r="BP145" s="207">
        <v>0</v>
      </c>
      <c r="BQ145" s="207">
        <v>0</v>
      </c>
      <c r="BR145" s="207">
        <v>0</v>
      </c>
      <c r="BS145" s="207">
        <v>0</v>
      </c>
      <c r="BT145" s="207">
        <v>0</v>
      </c>
      <c r="BU145" s="207">
        <v>0</v>
      </c>
      <c r="BV145" s="207">
        <v>0</v>
      </c>
      <c r="BW145" s="207">
        <v>0</v>
      </c>
      <c r="BX145" s="207">
        <v>0</v>
      </c>
      <c r="BY145" s="207">
        <v>0</v>
      </c>
      <c r="BZ145" s="207">
        <v>0</v>
      </c>
      <c r="CA145" s="207">
        <v>0</v>
      </c>
      <c r="CB145" s="207">
        <v>0</v>
      </c>
      <c r="CC145" s="207">
        <v>0</v>
      </c>
      <c r="CD145" s="207">
        <v>0</v>
      </c>
      <c r="CE145" s="207">
        <v>0</v>
      </c>
      <c r="CF145" s="207">
        <v>0</v>
      </c>
      <c r="CG145" s="147"/>
      <c r="CH145" s="176"/>
      <c r="CJ145" s="146"/>
      <c r="CK145" s="76">
        <f t="shared" ca="1" si="90"/>
        <v>0.93734949626778774</v>
      </c>
      <c r="CL145" s="179">
        <f t="shared" si="91"/>
        <v>8</v>
      </c>
      <c r="CM145" s="180">
        <f t="shared" si="92"/>
        <v>39799</v>
      </c>
      <c r="CN145" s="208">
        <v>1</v>
      </c>
      <c r="CO145" s="208">
        <v>0</v>
      </c>
      <c r="CP145" s="208">
        <v>0</v>
      </c>
      <c r="CQ145" s="208">
        <v>0</v>
      </c>
      <c r="CR145" s="208">
        <v>0</v>
      </c>
      <c r="CS145" s="208">
        <v>0</v>
      </c>
      <c r="CT145" s="208">
        <v>0</v>
      </c>
      <c r="CU145" s="208">
        <v>0</v>
      </c>
      <c r="CV145" s="160"/>
      <c r="CW145">
        <v>1</v>
      </c>
      <c r="CX145">
        <f>350/49</f>
        <v>7.1428571428571432</v>
      </c>
      <c r="CY145" s="165"/>
      <c r="CZ145" s="177">
        <f t="shared" si="93"/>
        <v>9.6000000000000002E-2</v>
      </c>
      <c r="DB145" s="146"/>
      <c r="DC145" s="76">
        <f t="shared" ca="1" si="51"/>
        <v>0.51892813820173478</v>
      </c>
      <c r="DD145">
        <f t="shared" si="94"/>
        <v>8</v>
      </c>
      <c r="DE145" s="129">
        <f t="shared" si="167"/>
        <v>39799</v>
      </c>
      <c r="DF145" s="161">
        <f t="shared" si="95"/>
        <v>74.404761904761912</v>
      </c>
      <c r="DG145" s="161">
        <f t="shared" si="96"/>
        <v>0</v>
      </c>
      <c r="DH145" s="161">
        <f t="shared" si="97"/>
        <v>0</v>
      </c>
      <c r="DI145" s="161">
        <f t="shared" si="98"/>
        <v>0</v>
      </c>
      <c r="DJ145" s="161">
        <f t="shared" si="99"/>
        <v>0</v>
      </c>
      <c r="DK145" s="161">
        <f t="shared" si="100"/>
        <v>0</v>
      </c>
      <c r="DL145" s="161">
        <f t="shared" si="101"/>
        <v>0</v>
      </c>
      <c r="DM145" s="161">
        <f t="shared" si="102"/>
        <v>0</v>
      </c>
      <c r="DN145" s="161">
        <f t="shared" si="103"/>
        <v>0</v>
      </c>
      <c r="DO145" s="161">
        <f t="shared" si="104"/>
        <v>0</v>
      </c>
      <c r="DP145" s="161">
        <f t="shared" si="105"/>
        <v>0</v>
      </c>
      <c r="DQ145" s="161">
        <f t="shared" si="106"/>
        <v>0</v>
      </c>
      <c r="DR145" s="161">
        <f t="shared" si="107"/>
        <v>0</v>
      </c>
      <c r="DS145" s="161">
        <f t="shared" si="108"/>
        <v>0</v>
      </c>
      <c r="DT145" s="161">
        <f t="shared" si="109"/>
        <v>0</v>
      </c>
      <c r="DU145" s="161">
        <f t="shared" si="110"/>
        <v>0</v>
      </c>
      <c r="DV145" s="161">
        <f t="shared" si="111"/>
        <v>0</v>
      </c>
      <c r="DW145" s="161">
        <f t="shared" si="112"/>
        <v>0</v>
      </c>
      <c r="DX145" s="161">
        <f t="shared" si="113"/>
        <v>0</v>
      </c>
      <c r="DY145" s="161">
        <f t="shared" si="114"/>
        <v>0</v>
      </c>
      <c r="DZ145" s="161">
        <f t="shared" si="115"/>
        <v>0</v>
      </c>
      <c r="EA145" s="161">
        <f t="shared" si="116"/>
        <v>0</v>
      </c>
      <c r="EB145" s="161">
        <f t="shared" si="117"/>
        <v>0</v>
      </c>
      <c r="EC145" s="161">
        <f t="shared" si="118"/>
        <v>0</v>
      </c>
      <c r="ED145" s="161">
        <f t="shared" si="119"/>
        <v>0</v>
      </c>
      <c r="EE145" s="161">
        <f t="shared" si="120"/>
        <v>0</v>
      </c>
      <c r="EF145" s="161">
        <f t="shared" si="121"/>
        <v>0</v>
      </c>
      <c r="EG145" s="161">
        <f t="shared" si="122"/>
        <v>0</v>
      </c>
      <c r="EH145" s="161">
        <f t="shared" si="123"/>
        <v>0</v>
      </c>
      <c r="EI145" s="161">
        <f t="shared" si="124"/>
        <v>0</v>
      </c>
      <c r="EJ145" s="161">
        <f t="shared" si="125"/>
        <v>0</v>
      </c>
      <c r="EK145" s="147">
        <f t="shared" si="132"/>
        <v>74.404761904761912</v>
      </c>
      <c r="EL145" s="149"/>
      <c r="EN145" s="146"/>
      <c r="EO145" s="146"/>
      <c r="EP145" s="139">
        <f t="shared" si="133"/>
        <v>0.13509273798146809</v>
      </c>
      <c r="EQ145" s="139">
        <f t="shared" si="134"/>
        <v>0</v>
      </c>
      <c r="ER145" s="139">
        <f t="shared" si="135"/>
        <v>0</v>
      </c>
      <c r="ES145" s="139">
        <f t="shared" si="136"/>
        <v>0</v>
      </c>
      <c r="ET145" s="139">
        <f t="shared" si="137"/>
        <v>0</v>
      </c>
      <c r="EU145" s="139">
        <f t="shared" si="138"/>
        <v>0</v>
      </c>
      <c r="EV145" s="139">
        <f t="shared" si="139"/>
        <v>0</v>
      </c>
      <c r="EW145" s="139">
        <f t="shared" si="140"/>
        <v>0</v>
      </c>
      <c r="EX145" s="139">
        <f t="shared" si="141"/>
        <v>0</v>
      </c>
      <c r="EY145" s="139">
        <f t="shared" si="142"/>
        <v>0</v>
      </c>
      <c r="EZ145" s="139">
        <f t="shared" si="143"/>
        <v>0</v>
      </c>
      <c r="FA145" s="139">
        <f t="shared" si="144"/>
        <v>0</v>
      </c>
      <c r="FB145" s="139">
        <f t="shared" si="145"/>
        <v>0</v>
      </c>
      <c r="FC145" s="139">
        <f t="shared" si="146"/>
        <v>0</v>
      </c>
      <c r="FD145" s="139">
        <f t="shared" si="147"/>
        <v>0</v>
      </c>
      <c r="FE145" s="139">
        <f t="shared" si="148"/>
        <v>0</v>
      </c>
      <c r="FF145" s="139">
        <f t="shared" si="149"/>
        <v>0</v>
      </c>
      <c r="FG145" s="139">
        <f t="shared" si="150"/>
        <v>0</v>
      </c>
      <c r="FH145" s="139">
        <f t="shared" si="151"/>
        <v>0</v>
      </c>
      <c r="FI145" s="139">
        <f t="shared" si="152"/>
        <v>0</v>
      </c>
      <c r="FJ145" s="139">
        <f t="shared" si="153"/>
        <v>0</v>
      </c>
      <c r="FK145" s="139">
        <f t="shared" si="154"/>
        <v>0</v>
      </c>
      <c r="FL145" s="139">
        <f t="shared" si="155"/>
        <v>0</v>
      </c>
      <c r="FM145" s="139">
        <f t="shared" si="156"/>
        <v>0</v>
      </c>
      <c r="FN145" s="139">
        <f t="shared" si="157"/>
        <v>0</v>
      </c>
      <c r="FO145" s="139">
        <f t="shared" si="158"/>
        <v>0</v>
      </c>
      <c r="FP145" s="139">
        <f t="shared" si="159"/>
        <v>0</v>
      </c>
      <c r="FQ145" s="139">
        <f t="shared" si="160"/>
        <v>0</v>
      </c>
      <c r="FR145" s="139">
        <f t="shared" si="161"/>
        <v>0</v>
      </c>
      <c r="FS145" s="139">
        <f t="shared" si="162"/>
        <v>0</v>
      </c>
      <c r="FT145" s="139">
        <f t="shared" si="163"/>
        <v>0</v>
      </c>
      <c r="FU145" s="148">
        <f t="shared" si="164"/>
        <v>0.13509273798146809</v>
      </c>
      <c r="FV145" s="149"/>
      <c r="FY145" s="213">
        <v>140</v>
      </c>
      <c r="FZ145">
        <v>28.04277203488547</v>
      </c>
      <c r="GA145">
        <v>21.442956635287466</v>
      </c>
      <c r="GB145">
        <v>4.7928416110655752</v>
      </c>
      <c r="GC145">
        <v>6.5267513545650386</v>
      </c>
      <c r="GD145">
        <v>6.014946086543743</v>
      </c>
      <c r="GE145">
        <v>5.4657447312814229</v>
      </c>
      <c r="GF145">
        <v>11.703912876632007</v>
      </c>
      <c r="GG145">
        <v>11.653884141093364</v>
      </c>
      <c r="GH145">
        <v>10.096418352748817</v>
      </c>
      <c r="GI145">
        <v>12.471382874882211</v>
      </c>
      <c r="GJ145"/>
      <c r="GK145"/>
      <c r="GL145"/>
      <c r="GM145"/>
      <c r="GN145" s="208"/>
      <c r="GO145" s="208"/>
      <c r="GP145" s="208"/>
      <c r="GQ145" s="208"/>
      <c r="GR145" s="208"/>
      <c r="GS145" s="208"/>
      <c r="GT145" s="208"/>
      <c r="GU145" s="213">
        <v>140</v>
      </c>
    </row>
    <row r="146" spans="1:203" s="7" customFormat="1">
      <c r="A146" s="1"/>
      <c r="B146" s="76">
        <f ca="1">IF(C146="", "", RAND())</f>
        <v>0.11398427925593957</v>
      </c>
      <c r="C146">
        <v>9</v>
      </c>
      <c r="D146">
        <v>39799</v>
      </c>
      <c r="E146">
        <v>57.53391472868217</v>
      </c>
      <c r="F146">
        <v>57.53391472868217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 s="2"/>
      <c r="AK146" s="80"/>
      <c r="AL146" s="74"/>
      <c r="AM146" s="43">
        <v>130</v>
      </c>
      <c r="AN146">
        <v>447.20733582324402</v>
      </c>
      <c r="AO146">
        <v>28.960914568065142</v>
      </c>
      <c r="AP146">
        <v>106.38990681804538</v>
      </c>
      <c r="AQ146">
        <v>198.83305797310783</v>
      </c>
      <c r="AR146">
        <v>30.091499062646932</v>
      </c>
      <c r="AS146">
        <v>294.9590155324953</v>
      </c>
      <c r="AT146">
        <v>14.437450593928512</v>
      </c>
      <c r="AU146">
        <v>55.387894130249613</v>
      </c>
      <c r="AV146"/>
      <c r="AW146"/>
      <c r="AX146" s="146"/>
      <c r="AY146" s="76">
        <f t="shared" ca="1" si="88"/>
        <v>0.53884443765412438</v>
      </c>
      <c r="AZ146">
        <v>9</v>
      </c>
      <c r="BA146" s="129">
        <f t="shared" si="168"/>
        <v>39799</v>
      </c>
      <c r="BB146" s="207">
        <v>0</v>
      </c>
      <c r="BC146" s="207">
        <v>0</v>
      </c>
      <c r="BD146" s="207">
        <v>0</v>
      </c>
      <c r="BE146" s="207">
        <v>0</v>
      </c>
      <c r="BF146" s="207">
        <v>0</v>
      </c>
      <c r="BG146" s="207">
        <v>0</v>
      </c>
      <c r="BH146" s="207">
        <v>0</v>
      </c>
      <c r="BI146" s="207">
        <v>0</v>
      </c>
      <c r="BJ146" s="207">
        <v>0</v>
      </c>
      <c r="BK146" s="207">
        <v>0</v>
      </c>
      <c r="BL146" s="207">
        <v>0</v>
      </c>
      <c r="BM146" s="207">
        <v>0</v>
      </c>
      <c r="BN146" s="207">
        <v>0</v>
      </c>
      <c r="BO146" s="207">
        <v>0</v>
      </c>
      <c r="BP146" s="207">
        <v>0</v>
      </c>
      <c r="BQ146" s="207">
        <v>0</v>
      </c>
      <c r="BR146" s="207">
        <v>0</v>
      </c>
      <c r="BS146" s="207">
        <v>0</v>
      </c>
      <c r="BT146" s="207">
        <v>0</v>
      </c>
      <c r="BU146" s="207">
        <v>0</v>
      </c>
      <c r="BV146" s="207">
        <v>0</v>
      </c>
      <c r="BW146" s="207">
        <v>0</v>
      </c>
      <c r="BX146" s="207">
        <v>0</v>
      </c>
      <c r="BY146" s="207">
        <v>0</v>
      </c>
      <c r="BZ146" s="207">
        <v>0</v>
      </c>
      <c r="CA146" s="207">
        <v>0</v>
      </c>
      <c r="CB146" s="207">
        <v>0</v>
      </c>
      <c r="CC146" s="207">
        <v>0</v>
      </c>
      <c r="CD146" s="207">
        <v>0</v>
      </c>
      <c r="CE146" s="207">
        <v>0</v>
      </c>
      <c r="CF146" s="207">
        <v>0</v>
      </c>
      <c r="CG146" s="147"/>
      <c r="CH146" s="176"/>
      <c r="CJ146" s="146"/>
      <c r="CK146" s="76">
        <f t="shared" ca="1" si="90"/>
        <v>0.65890639286911967</v>
      </c>
      <c r="CL146" s="179">
        <f t="shared" si="91"/>
        <v>9</v>
      </c>
      <c r="CM146" s="180">
        <f t="shared" si="92"/>
        <v>39799</v>
      </c>
      <c r="CN146" s="208">
        <v>1</v>
      </c>
      <c r="CO146" s="208">
        <v>1</v>
      </c>
      <c r="CP146" s="208">
        <v>0</v>
      </c>
      <c r="CQ146" s="208">
        <v>0</v>
      </c>
      <c r="CR146" s="208">
        <v>0</v>
      </c>
      <c r="CS146" s="208">
        <v>0</v>
      </c>
      <c r="CT146" s="208">
        <v>0</v>
      </c>
      <c r="CU146" s="208">
        <v>0</v>
      </c>
      <c r="CV146" s="160"/>
      <c r="CW146">
        <v>1</v>
      </c>
      <c r="CX146">
        <f>475/86</f>
        <v>5.5232558139534884</v>
      </c>
      <c r="CY146" s="165"/>
      <c r="CZ146" s="177">
        <f t="shared" si="93"/>
        <v>9.6000000000000002E-2</v>
      </c>
      <c r="DB146" s="146"/>
      <c r="DC146" s="76">
        <f t="shared" ca="1" si="51"/>
        <v>0.55846501952947336</v>
      </c>
      <c r="DD146">
        <f t="shared" si="94"/>
        <v>9</v>
      </c>
      <c r="DE146" s="129">
        <f t="shared" si="167"/>
        <v>39799</v>
      </c>
      <c r="DF146" s="161">
        <f t="shared" si="95"/>
        <v>57.53391472868217</v>
      </c>
      <c r="DG146" s="161">
        <f t="shared" si="96"/>
        <v>57.53391472868217</v>
      </c>
      <c r="DH146" s="161">
        <f t="shared" si="97"/>
        <v>0</v>
      </c>
      <c r="DI146" s="161">
        <f t="shared" si="98"/>
        <v>0</v>
      </c>
      <c r="DJ146" s="161">
        <f t="shared" si="99"/>
        <v>0</v>
      </c>
      <c r="DK146" s="161">
        <f t="shared" si="100"/>
        <v>0</v>
      </c>
      <c r="DL146" s="161">
        <f t="shared" si="101"/>
        <v>0</v>
      </c>
      <c r="DM146" s="161">
        <f t="shared" si="102"/>
        <v>0</v>
      </c>
      <c r="DN146" s="161">
        <f t="shared" si="103"/>
        <v>0</v>
      </c>
      <c r="DO146" s="161">
        <f t="shared" si="104"/>
        <v>0</v>
      </c>
      <c r="DP146" s="161">
        <f t="shared" si="105"/>
        <v>0</v>
      </c>
      <c r="DQ146" s="161">
        <f t="shared" si="106"/>
        <v>0</v>
      </c>
      <c r="DR146" s="161">
        <f t="shared" si="107"/>
        <v>0</v>
      </c>
      <c r="DS146" s="161">
        <f t="shared" si="108"/>
        <v>0</v>
      </c>
      <c r="DT146" s="161">
        <f t="shared" si="109"/>
        <v>0</v>
      </c>
      <c r="DU146" s="161">
        <f t="shared" si="110"/>
        <v>0</v>
      </c>
      <c r="DV146" s="161">
        <f t="shared" si="111"/>
        <v>0</v>
      </c>
      <c r="DW146" s="161">
        <f t="shared" si="112"/>
        <v>0</v>
      </c>
      <c r="DX146" s="161">
        <f t="shared" si="113"/>
        <v>0</v>
      </c>
      <c r="DY146" s="161">
        <f t="shared" si="114"/>
        <v>0</v>
      </c>
      <c r="DZ146" s="161">
        <f t="shared" si="115"/>
        <v>0</v>
      </c>
      <c r="EA146" s="161">
        <f t="shared" si="116"/>
        <v>0</v>
      </c>
      <c r="EB146" s="161">
        <f t="shared" si="117"/>
        <v>0</v>
      </c>
      <c r="EC146" s="161">
        <f t="shared" si="118"/>
        <v>0</v>
      </c>
      <c r="ED146" s="161">
        <f t="shared" si="119"/>
        <v>0</v>
      </c>
      <c r="EE146" s="161">
        <f t="shared" si="120"/>
        <v>0</v>
      </c>
      <c r="EF146" s="161">
        <f t="shared" si="121"/>
        <v>0</v>
      </c>
      <c r="EG146" s="161">
        <f t="shared" si="122"/>
        <v>0</v>
      </c>
      <c r="EH146" s="161">
        <f t="shared" si="123"/>
        <v>0</v>
      </c>
      <c r="EI146" s="161">
        <f t="shared" si="124"/>
        <v>0</v>
      </c>
      <c r="EJ146" s="161">
        <f t="shared" si="125"/>
        <v>0</v>
      </c>
      <c r="EK146" s="147">
        <f t="shared" si="132"/>
        <v>115.06782945736434</v>
      </c>
      <c r="EL146" s="149"/>
      <c r="EN146" s="146"/>
      <c r="EO146" s="146"/>
      <c r="EP146" s="139">
        <f t="shared" si="133"/>
        <v>0.10446124506706543</v>
      </c>
      <c r="EQ146" s="139">
        <f t="shared" si="134"/>
        <v>0.66344083091085271</v>
      </c>
      <c r="ER146" s="139">
        <f t="shared" si="135"/>
        <v>0</v>
      </c>
      <c r="ES146" s="139">
        <f t="shared" si="136"/>
        <v>0</v>
      </c>
      <c r="ET146" s="139">
        <f t="shared" si="137"/>
        <v>0</v>
      </c>
      <c r="EU146" s="139">
        <f t="shared" si="138"/>
        <v>0</v>
      </c>
      <c r="EV146" s="139">
        <f t="shared" si="139"/>
        <v>0</v>
      </c>
      <c r="EW146" s="139">
        <f t="shared" si="140"/>
        <v>0</v>
      </c>
      <c r="EX146" s="139">
        <f t="shared" si="141"/>
        <v>0</v>
      </c>
      <c r="EY146" s="139">
        <f t="shared" si="142"/>
        <v>0</v>
      </c>
      <c r="EZ146" s="139">
        <f t="shared" si="143"/>
        <v>0</v>
      </c>
      <c r="FA146" s="139">
        <f t="shared" si="144"/>
        <v>0</v>
      </c>
      <c r="FB146" s="139">
        <f t="shared" si="145"/>
        <v>0</v>
      </c>
      <c r="FC146" s="139">
        <f t="shared" si="146"/>
        <v>0</v>
      </c>
      <c r="FD146" s="139">
        <f t="shared" si="147"/>
        <v>0</v>
      </c>
      <c r="FE146" s="139">
        <f t="shared" si="148"/>
        <v>0</v>
      </c>
      <c r="FF146" s="139">
        <f t="shared" si="149"/>
        <v>0</v>
      </c>
      <c r="FG146" s="139">
        <f t="shared" si="150"/>
        <v>0</v>
      </c>
      <c r="FH146" s="139">
        <f t="shared" si="151"/>
        <v>0</v>
      </c>
      <c r="FI146" s="139">
        <f t="shared" si="152"/>
        <v>0</v>
      </c>
      <c r="FJ146" s="139">
        <f t="shared" si="153"/>
        <v>0</v>
      </c>
      <c r="FK146" s="139">
        <f t="shared" si="154"/>
        <v>0</v>
      </c>
      <c r="FL146" s="139">
        <f t="shared" si="155"/>
        <v>0</v>
      </c>
      <c r="FM146" s="139">
        <f t="shared" si="156"/>
        <v>0</v>
      </c>
      <c r="FN146" s="139">
        <f t="shared" si="157"/>
        <v>0</v>
      </c>
      <c r="FO146" s="139">
        <f t="shared" si="158"/>
        <v>0</v>
      </c>
      <c r="FP146" s="139">
        <f t="shared" si="159"/>
        <v>0</v>
      </c>
      <c r="FQ146" s="139">
        <f t="shared" si="160"/>
        <v>0</v>
      </c>
      <c r="FR146" s="139">
        <f t="shared" si="161"/>
        <v>0</v>
      </c>
      <c r="FS146" s="139">
        <f t="shared" si="162"/>
        <v>0</v>
      </c>
      <c r="FT146" s="139">
        <f t="shared" si="163"/>
        <v>0</v>
      </c>
      <c r="FU146" s="148">
        <f t="shared" si="164"/>
        <v>0.76790207597791815</v>
      </c>
      <c r="FV146" s="149"/>
      <c r="FY146" s="213">
        <v>141</v>
      </c>
      <c r="FZ146">
        <v>28.883880296824429</v>
      </c>
      <c r="GA146">
        <v>31.062089961247668</v>
      </c>
      <c r="GB146">
        <v>11.13473508204039</v>
      </c>
      <c r="GC146">
        <v>4.9689765795306267</v>
      </c>
      <c r="GD146">
        <v>5.5496505955208963</v>
      </c>
      <c r="GE146">
        <v>8.7392992497154509</v>
      </c>
      <c r="GF146">
        <v>16.231753540415674</v>
      </c>
      <c r="GG146">
        <v>12.483216959915298</v>
      </c>
      <c r="GH146">
        <v>18.091887019312136</v>
      </c>
      <c r="GI146">
        <v>16.539568873618876</v>
      </c>
      <c r="GJ146"/>
      <c r="GK146"/>
      <c r="GL146"/>
      <c r="GM146"/>
      <c r="GN146" s="208"/>
      <c r="GO146" s="208"/>
      <c r="GP146" s="208"/>
      <c r="GQ146" s="208"/>
      <c r="GR146" s="208"/>
      <c r="GS146" s="208"/>
      <c r="GT146" s="208"/>
      <c r="GU146" s="213">
        <v>141</v>
      </c>
    </row>
    <row r="147" spans="1:203" s="7" customFormat="1">
      <c r="A147" s="1"/>
      <c r="B147" s="76">
        <f ca="1">IF(C147="", "", RAND())</f>
        <v>0.24153143434116986</v>
      </c>
      <c r="C147">
        <v>6</v>
      </c>
      <c r="D147">
        <v>39799</v>
      </c>
      <c r="E147">
        <v>0</v>
      </c>
      <c r="F147">
        <v>0</v>
      </c>
      <c r="G147">
        <v>0</v>
      </c>
      <c r="H147">
        <v>41.666666666666664</v>
      </c>
      <c r="I147">
        <v>10.416666666666666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 s="2"/>
      <c r="AK147" s="80"/>
      <c r="AL147" s="74"/>
      <c r="AM147" s="43">
        <v>131</v>
      </c>
      <c r="AN147">
        <v>312.65044594492372</v>
      </c>
      <c r="AO147">
        <v>27.998900113904547</v>
      </c>
      <c r="AP147">
        <v>96.476226898930861</v>
      </c>
      <c r="AQ147">
        <v>204.47412367530029</v>
      </c>
      <c r="AR147">
        <v>28.976489421284345</v>
      </c>
      <c r="AS147">
        <v>248.02911240986927</v>
      </c>
      <c r="AT147">
        <v>13.212954285052334</v>
      </c>
      <c r="AU147">
        <v>17.942109294897776</v>
      </c>
      <c r="AV147"/>
      <c r="AW147"/>
      <c r="AX147" s="146"/>
      <c r="AY147" s="76">
        <f t="shared" ca="1" si="88"/>
        <v>0.47011893557138595</v>
      </c>
      <c r="AZ147">
        <v>10</v>
      </c>
      <c r="BA147" s="129">
        <f t="shared" si="168"/>
        <v>39799</v>
      </c>
      <c r="BB147" s="207">
        <v>0</v>
      </c>
      <c r="BC147" s="207">
        <v>0</v>
      </c>
      <c r="BD147" s="207">
        <v>0</v>
      </c>
      <c r="BE147" s="207">
        <v>0</v>
      </c>
      <c r="BF147" s="207">
        <v>0</v>
      </c>
      <c r="BG147" s="207">
        <v>0</v>
      </c>
      <c r="BH147" s="207">
        <v>0</v>
      </c>
      <c r="BI147" s="207">
        <v>0</v>
      </c>
      <c r="BJ147" s="207">
        <v>0</v>
      </c>
      <c r="BK147" s="207">
        <v>0</v>
      </c>
      <c r="BL147" s="207">
        <v>0</v>
      </c>
      <c r="BM147" s="207">
        <v>0</v>
      </c>
      <c r="BN147" s="207">
        <v>0</v>
      </c>
      <c r="BO147" s="207">
        <v>0</v>
      </c>
      <c r="BP147" s="207">
        <v>0</v>
      </c>
      <c r="BQ147" s="207">
        <v>0</v>
      </c>
      <c r="BR147" s="207">
        <v>0</v>
      </c>
      <c r="BS147" s="207">
        <v>0</v>
      </c>
      <c r="BT147" s="207">
        <v>0</v>
      </c>
      <c r="BU147" s="207">
        <v>0</v>
      </c>
      <c r="BV147" s="207">
        <v>0</v>
      </c>
      <c r="BW147" s="207">
        <v>0</v>
      </c>
      <c r="BX147" s="207">
        <v>0</v>
      </c>
      <c r="BY147" s="207">
        <v>0</v>
      </c>
      <c r="BZ147" s="207">
        <v>0</v>
      </c>
      <c r="CA147" s="207">
        <v>0</v>
      </c>
      <c r="CB147" s="207">
        <v>0</v>
      </c>
      <c r="CC147" s="207">
        <v>0</v>
      </c>
      <c r="CD147" s="207">
        <v>0</v>
      </c>
      <c r="CE147" s="207">
        <v>0</v>
      </c>
      <c r="CF147" s="207">
        <v>0</v>
      </c>
      <c r="CG147" s="147"/>
      <c r="CH147" s="176"/>
      <c r="CJ147" s="146"/>
      <c r="CK147" s="76">
        <f t="shared" ca="1" si="90"/>
        <v>0.74846814367713677</v>
      </c>
      <c r="CL147" s="179">
        <f t="shared" si="91"/>
        <v>10</v>
      </c>
      <c r="CM147" s="180">
        <f t="shared" si="92"/>
        <v>39799</v>
      </c>
      <c r="CN147" s="208">
        <v>2</v>
      </c>
      <c r="CO147" s="208">
        <v>16</v>
      </c>
      <c r="CP147" s="208">
        <v>13</v>
      </c>
      <c r="CQ147" s="208">
        <v>0</v>
      </c>
      <c r="CR147" s="208">
        <v>0</v>
      </c>
      <c r="CS147" s="208">
        <v>0</v>
      </c>
      <c r="CT147" s="208">
        <v>0</v>
      </c>
      <c r="CU147" s="208">
        <v>0</v>
      </c>
      <c r="CV147" s="160"/>
      <c r="CW147">
        <v>1</v>
      </c>
      <c r="CX147">
        <v>1</v>
      </c>
      <c r="CY147" s="165"/>
      <c r="CZ147" s="177">
        <f t="shared" si="93"/>
        <v>9.6000000000000002E-2</v>
      </c>
      <c r="DB147" s="146"/>
      <c r="DC147" s="76">
        <f t="shared" ca="1" si="51"/>
        <v>0.16046821606739403</v>
      </c>
      <c r="DD147">
        <f t="shared" si="94"/>
        <v>10</v>
      </c>
      <c r="DE147" s="129">
        <f t="shared" si="167"/>
        <v>39799</v>
      </c>
      <c r="DF147" s="161">
        <f t="shared" si="95"/>
        <v>20.833333333333332</v>
      </c>
      <c r="DG147" s="161">
        <f t="shared" si="96"/>
        <v>166.66666666666666</v>
      </c>
      <c r="DH147" s="161">
        <f t="shared" si="97"/>
        <v>135.41666666666666</v>
      </c>
      <c r="DI147" s="161">
        <f t="shared" si="98"/>
        <v>0</v>
      </c>
      <c r="DJ147" s="161">
        <f t="shared" si="99"/>
        <v>0</v>
      </c>
      <c r="DK147" s="161">
        <f t="shared" si="100"/>
        <v>0</v>
      </c>
      <c r="DL147" s="161">
        <f t="shared" si="101"/>
        <v>0</v>
      </c>
      <c r="DM147" s="161">
        <f t="shared" si="102"/>
        <v>0</v>
      </c>
      <c r="DN147" s="161">
        <f t="shared" si="103"/>
        <v>0</v>
      </c>
      <c r="DO147" s="161">
        <f t="shared" si="104"/>
        <v>0</v>
      </c>
      <c r="DP147" s="161">
        <f t="shared" si="105"/>
        <v>0</v>
      </c>
      <c r="DQ147" s="161">
        <f t="shared" si="106"/>
        <v>0</v>
      </c>
      <c r="DR147" s="161">
        <f t="shared" si="107"/>
        <v>0</v>
      </c>
      <c r="DS147" s="161">
        <f t="shared" si="108"/>
        <v>0</v>
      </c>
      <c r="DT147" s="161">
        <f t="shared" si="109"/>
        <v>0</v>
      </c>
      <c r="DU147" s="161">
        <f t="shared" si="110"/>
        <v>0</v>
      </c>
      <c r="DV147" s="161">
        <f t="shared" si="111"/>
        <v>0</v>
      </c>
      <c r="DW147" s="161">
        <f t="shared" si="112"/>
        <v>0</v>
      </c>
      <c r="DX147" s="161">
        <f t="shared" si="113"/>
        <v>0</v>
      </c>
      <c r="DY147" s="161">
        <f t="shared" si="114"/>
        <v>0</v>
      </c>
      <c r="DZ147" s="161">
        <f t="shared" si="115"/>
        <v>0</v>
      </c>
      <c r="EA147" s="161">
        <f t="shared" si="116"/>
        <v>0</v>
      </c>
      <c r="EB147" s="161">
        <f t="shared" si="117"/>
        <v>0</v>
      </c>
      <c r="EC147" s="161">
        <f t="shared" si="118"/>
        <v>0</v>
      </c>
      <c r="ED147" s="161">
        <f t="shared" si="119"/>
        <v>0</v>
      </c>
      <c r="EE147" s="161">
        <f t="shared" si="120"/>
        <v>0</v>
      </c>
      <c r="EF147" s="161">
        <f t="shared" si="121"/>
        <v>0</v>
      </c>
      <c r="EG147" s="161">
        <f t="shared" si="122"/>
        <v>0</v>
      </c>
      <c r="EH147" s="161">
        <f t="shared" si="123"/>
        <v>0</v>
      </c>
      <c r="EI147" s="161">
        <f t="shared" si="124"/>
        <v>0</v>
      </c>
      <c r="EJ147" s="161">
        <f t="shared" si="125"/>
        <v>0</v>
      </c>
      <c r="EK147" s="147">
        <f t="shared" si="132"/>
        <v>322.91666666666663</v>
      </c>
      <c r="EL147" s="149"/>
      <c r="EN147" s="146"/>
      <c r="EO147" s="146"/>
      <c r="EP147" s="139">
        <f t="shared" si="133"/>
        <v>3.782596663481106E-2</v>
      </c>
      <c r="EQ147" s="139">
        <f t="shared" si="134"/>
        <v>1.9218833333333332</v>
      </c>
      <c r="ER147" s="139">
        <f t="shared" si="135"/>
        <v>9.9173899204815079</v>
      </c>
      <c r="ES147" s="139">
        <f t="shared" si="136"/>
        <v>0</v>
      </c>
      <c r="ET147" s="139">
        <f t="shared" si="137"/>
        <v>0</v>
      </c>
      <c r="EU147" s="139">
        <f t="shared" si="138"/>
        <v>0</v>
      </c>
      <c r="EV147" s="139">
        <f t="shared" si="139"/>
        <v>0</v>
      </c>
      <c r="EW147" s="139">
        <f t="shared" si="140"/>
        <v>0</v>
      </c>
      <c r="EX147" s="139">
        <f t="shared" si="141"/>
        <v>0</v>
      </c>
      <c r="EY147" s="139">
        <f t="shared" si="142"/>
        <v>0</v>
      </c>
      <c r="EZ147" s="139">
        <f t="shared" si="143"/>
        <v>0</v>
      </c>
      <c r="FA147" s="139">
        <f t="shared" si="144"/>
        <v>0</v>
      </c>
      <c r="FB147" s="139">
        <f t="shared" si="145"/>
        <v>0</v>
      </c>
      <c r="FC147" s="139">
        <f t="shared" si="146"/>
        <v>0</v>
      </c>
      <c r="FD147" s="139">
        <f t="shared" si="147"/>
        <v>0</v>
      </c>
      <c r="FE147" s="139">
        <f t="shared" si="148"/>
        <v>0</v>
      </c>
      <c r="FF147" s="139">
        <f t="shared" si="149"/>
        <v>0</v>
      </c>
      <c r="FG147" s="139">
        <f t="shared" si="150"/>
        <v>0</v>
      </c>
      <c r="FH147" s="139">
        <f t="shared" si="151"/>
        <v>0</v>
      </c>
      <c r="FI147" s="139">
        <f t="shared" si="152"/>
        <v>0</v>
      </c>
      <c r="FJ147" s="139">
        <f t="shared" si="153"/>
        <v>0</v>
      </c>
      <c r="FK147" s="139">
        <f t="shared" si="154"/>
        <v>0</v>
      </c>
      <c r="FL147" s="139">
        <f t="shared" si="155"/>
        <v>0</v>
      </c>
      <c r="FM147" s="139">
        <f t="shared" si="156"/>
        <v>0</v>
      </c>
      <c r="FN147" s="139">
        <f t="shared" si="157"/>
        <v>0</v>
      </c>
      <c r="FO147" s="139">
        <f t="shared" si="158"/>
        <v>0</v>
      </c>
      <c r="FP147" s="139">
        <f t="shared" si="159"/>
        <v>0</v>
      </c>
      <c r="FQ147" s="139">
        <f t="shared" si="160"/>
        <v>0</v>
      </c>
      <c r="FR147" s="139">
        <f t="shared" si="161"/>
        <v>0</v>
      </c>
      <c r="FS147" s="139">
        <f t="shared" si="162"/>
        <v>0</v>
      </c>
      <c r="FT147" s="139">
        <f t="shared" si="163"/>
        <v>0</v>
      </c>
      <c r="FU147" s="148">
        <f t="shared" si="164"/>
        <v>11.877099220449653</v>
      </c>
      <c r="FV147" s="149"/>
      <c r="FY147" s="213">
        <v>142</v>
      </c>
      <c r="FZ147">
        <v>40.548763551557983</v>
      </c>
      <c r="GA147">
        <v>43.219931763359789</v>
      </c>
      <c r="GB147">
        <v>11.616500926816736</v>
      </c>
      <c r="GC147">
        <v>6.6312908139033686</v>
      </c>
      <c r="GD147">
        <v>5.6166188606198588</v>
      </c>
      <c r="GE147">
        <v>4.1012398010783642</v>
      </c>
      <c r="GF147">
        <v>12.646318861677695</v>
      </c>
      <c r="GG147">
        <v>12.566587766856859</v>
      </c>
      <c r="GH147">
        <v>15.719765668823698</v>
      </c>
      <c r="GI147">
        <v>17.331225214137351</v>
      </c>
      <c r="GJ147"/>
      <c r="GK147"/>
      <c r="GL147"/>
      <c r="GM147"/>
      <c r="GN147" s="208"/>
      <c r="GO147" s="208"/>
      <c r="GP147" s="208"/>
      <c r="GQ147" s="208"/>
      <c r="GR147" s="208"/>
      <c r="GS147" s="208"/>
      <c r="GT147" s="208"/>
      <c r="GU147" s="213">
        <v>142</v>
      </c>
    </row>
    <row r="148" spans="1:203" s="7" customFormat="1">
      <c r="A148" s="128"/>
      <c r="B148" s="76">
        <f ca="1">IF(C148="", "", RAND())</f>
        <v>0.66957308500981916</v>
      </c>
      <c r="C148">
        <v>2</v>
      </c>
      <c r="D148">
        <v>39847</v>
      </c>
      <c r="E148">
        <v>113.93229166666666</v>
      </c>
      <c r="F148">
        <v>1708.984375</v>
      </c>
      <c r="G148">
        <v>455.72916666666663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 s="2"/>
      <c r="AK148" s="80"/>
      <c r="AL148" s="74">
        <v>3.0028000000000028</v>
      </c>
      <c r="AM148" s="43">
        <v>132</v>
      </c>
      <c r="AN148">
        <v>269.79154762141832</v>
      </c>
      <c r="AO148">
        <v>22.79490975803208</v>
      </c>
      <c r="AP148">
        <v>98.34036549861375</v>
      </c>
      <c r="AQ148">
        <v>167.06138727702205</v>
      </c>
      <c r="AR148">
        <v>21.959015357006841</v>
      </c>
      <c r="AS148">
        <v>211.50578588932223</v>
      </c>
      <c r="AT148">
        <v>11.317306817330801</v>
      </c>
      <c r="AU148">
        <v>16.261685270217313</v>
      </c>
      <c r="AV148"/>
      <c r="AW148"/>
      <c r="AX148" s="128"/>
      <c r="AY148" s="76">
        <f t="shared" ca="1" si="88"/>
        <v>0.58433770907471505</v>
      </c>
      <c r="AZ148">
        <v>1</v>
      </c>
      <c r="BA148" s="129">
        <f>IF(AZ148="", "",$C$10)</f>
        <v>39847</v>
      </c>
      <c r="BB148" s="207">
        <v>0</v>
      </c>
      <c r="BC148" s="207">
        <v>0</v>
      </c>
      <c r="BD148" s="207">
        <v>1</v>
      </c>
      <c r="BE148" s="207">
        <v>0</v>
      </c>
      <c r="BF148" s="207">
        <v>0</v>
      </c>
      <c r="BG148" s="207">
        <v>1</v>
      </c>
      <c r="BH148" s="207">
        <v>0</v>
      </c>
      <c r="BI148" s="207">
        <v>0</v>
      </c>
      <c r="BJ148" s="207">
        <v>0</v>
      </c>
      <c r="BK148" s="207">
        <v>0</v>
      </c>
      <c r="BL148" s="207">
        <v>0</v>
      </c>
      <c r="BM148" s="207">
        <v>0</v>
      </c>
      <c r="BN148" s="207">
        <v>0</v>
      </c>
      <c r="BO148" s="207">
        <v>0</v>
      </c>
      <c r="BP148" s="207">
        <v>0</v>
      </c>
      <c r="BQ148" s="207">
        <v>0</v>
      </c>
      <c r="BR148" s="207">
        <v>0</v>
      </c>
      <c r="BS148" s="207">
        <v>0</v>
      </c>
      <c r="BT148" s="207">
        <v>0</v>
      </c>
      <c r="BU148" s="207">
        <v>0</v>
      </c>
      <c r="BV148" s="207">
        <v>0</v>
      </c>
      <c r="BW148" s="207">
        <v>0</v>
      </c>
      <c r="BX148" s="207">
        <v>0</v>
      </c>
      <c r="BY148" s="207">
        <v>0</v>
      </c>
      <c r="BZ148" s="207">
        <v>0</v>
      </c>
      <c r="CA148" s="207">
        <v>0</v>
      </c>
      <c r="CB148" s="207">
        <v>0</v>
      </c>
      <c r="CC148" s="207">
        <v>0</v>
      </c>
      <c r="CD148" s="207">
        <v>0</v>
      </c>
      <c r="CE148" s="207">
        <v>0</v>
      </c>
      <c r="CF148" s="207">
        <v>0</v>
      </c>
      <c r="CG148" s="147"/>
      <c r="CH148" s="176"/>
      <c r="CJ148" s="128"/>
      <c r="CK148" s="76">
        <f t="shared" ca="1" si="90"/>
        <v>0.78357536506506964</v>
      </c>
      <c r="CL148" s="179">
        <f t="shared" si="91"/>
        <v>1</v>
      </c>
      <c r="CM148" s="180">
        <f t="shared" si="92"/>
        <v>39847</v>
      </c>
      <c r="CN148" s="208">
        <v>0</v>
      </c>
      <c r="CO148" s="208">
        <v>7</v>
      </c>
      <c r="CP148" s="208">
        <v>2</v>
      </c>
      <c r="CQ148" s="208">
        <v>0</v>
      </c>
      <c r="CR148" s="208">
        <v>0</v>
      </c>
      <c r="CS148" s="208">
        <v>0</v>
      </c>
      <c r="CT148" s="208">
        <v>0</v>
      </c>
      <c r="CU148" s="208">
        <v>0</v>
      </c>
      <c r="CV148" s="160"/>
      <c r="CW148">
        <v>1</v>
      </c>
      <c r="CX148">
        <v>1</v>
      </c>
      <c r="CY148" s="160"/>
      <c r="CZ148" s="177">
        <f t="shared" si="93"/>
        <v>9.6000000000000002E-2</v>
      </c>
      <c r="DB148" s="128"/>
      <c r="DC148" s="76">
        <f t="shared" ca="1" si="51"/>
        <v>0.14139984191229216</v>
      </c>
      <c r="DD148">
        <f t="shared" si="94"/>
        <v>1</v>
      </c>
      <c r="DE148" s="129">
        <f t="shared" ref="DE148:DE157" si="169">IF((DD148)="", "", $C$10)</f>
        <v>39847</v>
      </c>
      <c r="DF148" s="161">
        <f t="shared" si="95"/>
        <v>0</v>
      </c>
      <c r="DG148" s="161">
        <f t="shared" si="96"/>
        <v>72.916666666666671</v>
      </c>
      <c r="DH148" s="161">
        <f t="shared" si="97"/>
        <v>31.25</v>
      </c>
      <c r="DI148" s="161">
        <f t="shared" si="98"/>
        <v>0</v>
      </c>
      <c r="DJ148" s="161">
        <f t="shared" si="99"/>
        <v>0</v>
      </c>
      <c r="DK148" s="161">
        <f t="shared" si="100"/>
        <v>10.416666666666666</v>
      </c>
      <c r="DL148" s="161">
        <f t="shared" si="101"/>
        <v>0</v>
      </c>
      <c r="DM148" s="161">
        <f t="shared" si="102"/>
        <v>0</v>
      </c>
      <c r="DN148" s="161">
        <f t="shared" si="103"/>
        <v>0</v>
      </c>
      <c r="DO148" s="161">
        <f t="shared" si="104"/>
        <v>0</v>
      </c>
      <c r="DP148" s="161">
        <f t="shared" si="105"/>
        <v>0</v>
      </c>
      <c r="DQ148" s="161">
        <f t="shared" si="106"/>
        <v>0</v>
      </c>
      <c r="DR148" s="161">
        <f t="shared" si="107"/>
        <v>0</v>
      </c>
      <c r="DS148" s="161">
        <f t="shared" si="108"/>
        <v>0</v>
      </c>
      <c r="DT148" s="161">
        <f t="shared" si="109"/>
        <v>0</v>
      </c>
      <c r="DU148" s="161">
        <f t="shared" si="110"/>
        <v>0</v>
      </c>
      <c r="DV148" s="161">
        <f t="shared" si="111"/>
        <v>0</v>
      </c>
      <c r="DW148" s="161">
        <f t="shared" si="112"/>
        <v>0</v>
      </c>
      <c r="DX148" s="161">
        <f t="shared" si="113"/>
        <v>0</v>
      </c>
      <c r="DY148" s="161">
        <f t="shared" si="114"/>
        <v>0</v>
      </c>
      <c r="DZ148" s="161">
        <f t="shared" si="115"/>
        <v>0</v>
      </c>
      <c r="EA148" s="161">
        <f t="shared" si="116"/>
        <v>0</v>
      </c>
      <c r="EB148" s="161">
        <f t="shared" si="117"/>
        <v>0</v>
      </c>
      <c r="EC148" s="161">
        <f t="shared" si="118"/>
        <v>0</v>
      </c>
      <c r="ED148" s="161">
        <f t="shared" si="119"/>
        <v>0</v>
      </c>
      <c r="EE148" s="161">
        <f t="shared" si="120"/>
        <v>0</v>
      </c>
      <c r="EF148" s="161">
        <f t="shared" si="121"/>
        <v>0</v>
      </c>
      <c r="EG148" s="161">
        <f t="shared" si="122"/>
        <v>0</v>
      </c>
      <c r="EH148" s="161">
        <f t="shared" si="123"/>
        <v>0</v>
      </c>
      <c r="EI148" s="161">
        <f t="shared" si="124"/>
        <v>0</v>
      </c>
      <c r="EJ148" s="161">
        <f t="shared" si="125"/>
        <v>0</v>
      </c>
      <c r="EK148" s="147">
        <f t="shared" si="132"/>
        <v>114.58333333333334</v>
      </c>
      <c r="EL148" s="149"/>
      <c r="EN148" s="146"/>
      <c r="EO148" s="146"/>
      <c r="EP148" s="139">
        <f t="shared" si="133"/>
        <v>0</v>
      </c>
      <c r="EQ148" s="139">
        <f t="shared" si="134"/>
        <v>0.84082395833333334</v>
      </c>
      <c r="ER148" s="139">
        <f t="shared" si="135"/>
        <v>2.2886284431880406</v>
      </c>
      <c r="ES148" s="139">
        <f t="shared" si="136"/>
        <v>0</v>
      </c>
      <c r="ET148" s="139">
        <f t="shared" si="137"/>
        <v>0</v>
      </c>
      <c r="EU148" s="139">
        <f t="shared" si="138"/>
        <v>8.7853696509678922</v>
      </c>
      <c r="EV148" s="139">
        <f t="shared" si="139"/>
        <v>0</v>
      </c>
      <c r="EW148" s="139">
        <f t="shared" si="140"/>
        <v>0</v>
      </c>
      <c r="EX148" s="139">
        <f t="shared" si="141"/>
        <v>0</v>
      </c>
      <c r="EY148" s="139">
        <f t="shared" si="142"/>
        <v>0</v>
      </c>
      <c r="EZ148" s="139">
        <f t="shared" si="143"/>
        <v>0</v>
      </c>
      <c r="FA148" s="139">
        <f t="shared" si="144"/>
        <v>0</v>
      </c>
      <c r="FB148" s="139">
        <f t="shared" si="145"/>
        <v>0</v>
      </c>
      <c r="FC148" s="139">
        <f t="shared" si="146"/>
        <v>0</v>
      </c>
      <c r="FD148" s="139">
        <f t="shared" si="147"/>
        <v>0</v>
      </c>
      <c r="FE148" s="139">
        <f t="shared" si="148"/>
        <v>0</v>
      </c>
      <c r="FF148" s="139">
        <f t="shared" si="149"/>
        <v>0</v>
      </c>
      <c r="FG148" s="139">
        <f t="shared" si="150"/>
        <v>0</v>
      </c>
      <c r="FH148" s="139">
        <f t="shared" si="151"/>
        <v>0</v>
      </c>
      <c r="FI148" s="139">
        <f t="shared" si="152"/>
        <v>0</v>
      </c>
      <c r="FJ148" s="139">
        <f t="shared" si="153"/>
        <v>0</v>
      </c>
      <c r="FK148" s="139">
        <f t="shared" si="154"/>
        <v>0</v>
      </c>
      <c r="FL148" s="139">
        <f t="shared" si="155"/>
        <v>0</v>
      </c>
      <c r="FM148" s="139">
        <f t="shared" si="156"/>
        <v>0</v>
      </c>
      <c r="FN148" s="139">
        <f t="shared" si="157"/>
        <v>0</v>
      </c>
      <c r="FO148" s="139">
        <f t="shared" si="158"/>
        <v>0</v>
      </c>
      <c r="FP148" s="139">
        <f t="shared" si="159"/>
        <v>0</v>
      </c>
      <c r="FQ148" s="139">
        <f t="shared" si="160"/>
        <v>0</v>
      </c>
      <c r="FR148" s="139">
        <f t="shared" si="161"/>
        <v>0</v>
      </c>
      <c r="FS148" s="139">
        <f t="shared" si="162"/>
        <v>0</v>
      </c>
      <c r="FT148" s="139">
        <f t="shared" si="163"/>
        <v>0</v>
      </c>
      <c r="FU148" s="148">
        <f t="shared" si="164"/>
        <v>11.914822052489267</v>
      </c>
      <c r="FV148" s="149"/>
      <c r="FY148" s="213">
        <v>143</v>
      </c>
      <c r="FZ148">
        <v>65.769584518810603</v>
      </c>
      <c r="GA148">
        <v>29.597556917191305</v>
      </c>
      <c r="GB148">
        <v>2.8956804969726235</v>
      </c>
      <c r="GC148">
        <v>5.2134027682164419</v>
      </c>
      <c r="GD148">
        <v>3.7467924217025854</v>
      </c>
      <c r="GE148">
        <v>3.5039093653223521</v>
      </c>
      <c r="GF148">
        <v>14.352642407419026</v>
      </c>
      <c r="GG148">
        <v>12.06237128263289</v>
      </c>
      <c r="GH148">
        <v>14.591616639818367</v>
      </c>
      <c r="GI148">
        <v>17.310544603599489</v>
      </c>
      <c r="GJ148"/>
      <c r="GK148"/>
      <c r="GL148"/>
      <c r="GM148"/>
      <c r="GN148" s="208"/>
      <c r="GO148" s="208"/>
      <c r="GP148" s="208"/>
      <c r="GQ148" s="208"/>
      <c r="GR148" s="208"/>
      <c r="GS148" s="208"/>
      <c r="GT148" s="208"/>
      <c r="GU148" s="213">
        <v>143</v>
      </c>
    </row>
    <row r="149" spans="1:203" s="7" customFormat="1">
      <c r="A149" s="77"/>
      <c r="B149" s="76">
        <f ca="1">IF(C149="", "", RAND())</f>
        <v>0.479862716468624</v>
      </c>
      <c r="C149">
        <v>5</v>
      </c>
      <c r="D149">
        <v>39847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 s="2"/>
      <c r="AK149" s="80"/>
      <c r="AL149" s="74">
        <v>3.0028000000000028</v>
      </c>
      <c r="AM149" s="43">
        <v>133</v>
      </c>
      <c r="AN149">
        <v>232.79321283283247</v>
      </c>
      <c r="AO149">
        <v>23.787036962542935</v>
      </c>
      <c r="AP149">
        <v>101.06028530947293</v>
      </c>
      <c r="AQ149">
        <v>174.37171202760197</v>
      </c>
      <c r="AR149">
        <v>23.998345892174399</v>
      </c>
      <c r="AS149">
        <v>194.69694131181851</v>
      </c>
      <c r="AT149">
        <v>10.922304185358774</v>
      </c>
      <c r="AU149">
        <v>10.395755903021337</v>
      </c>
      <c r="AV149"/>
      <c r="AW149"/>
      <c r="AX149" s="151"/>
      <c r="AY149" s="76">
        <f t="shared" ca="1" si="88"/>
        <v>0.98621870424724944</v>
      </c>
      <c r="AZ149">
        <v>2</v>
      </c>
      <c r="BA149" s="129">
        <f t="shared" ref="BA149:BA157" si="170">IF(AZ149="", "",$C$10)</f>
        <v>39847</v>
      </c>
      <c r="BB149" s="207">
        <v>0</v>
      </c>
      <c r="BC149" s="207">
        <v>0</v>
      </c>
      <c r="BD149" s="207">
        <v>0</v>
      </c>
      <c r="BE149" s="207">
        <v>0</v>
      </c>
      <c r="BF149" s="207">
        <v>0</v>
      </c>
      <c r="BG149" s="207">
        <v>0</v>
      </c>
      <c r="BH149" s="207">
        <v>0</v>
      </c>
      <c r="BI149" s="207">
        <v>0</v>
      </c>
      <c r="BJ149" s="207">
        <v>0</v>
      </c>
      <c r="BK149" s="207">
        <v>0</v>
      </c>
      <c r="BL149" s="207">
        <v>0</v>
      </c>
      <c r="BM149" s="207">
        <v>0</v>
      </c>
      <c r="BN149" s="207">
        <v>0</v>
      </c>
      <c r="BO149" s="207">
        <v>0</v>
      </c>
      <c r="BP149" s="207">
        <v>0</v>
      </c>
      <c r="BQ149" s="207">
        <v>0</v>
      </c>
      <c r="BR149" s="207">
        <v>0</v>
      </c>
      <c r="BS149" s="207">
        <v>0</v>
      </c>
      <c r="BT149" s="207">
        <v>0</v>
      </c>
      <c r="BU149" s="207">
        <v>0</v>
      </c>
      <c r="BV149" s="207">
        <v>0</v>
      </c>
      <c r="BW149" s="207">
        <v>0</v>
      </c>
      <c r="BX149" s="207">
        <v>0</v>
      </c>
      <c r="BY149" s="207">
        <v>0</v>
      </c>
      <c r="BZ149" s="207">
        <v>0</v>
      </c>
      <c r="CA149" s="207">
        <v>0</v>
      </c>
      <c r="CB149" s="207">
        <v>0</v>
      </c>
      <c r="CC149" s="207">
        <v>0</v>
      </c>
      <c r="CD149" s="207">
        <v>0</v>
      </c>
      <c r="CE149" s="207">
        <v>0</v>
      </c>
      <c r="CF149" s="207">
        <v>0</v>
      </c>
      <c r="CG149" s="147"/>
      <c r="CH149" s="176"/>
      <c r="CJ149" s="151"/>
      <c r="CK149" s="76">
        <f t="shared" ca="1" si="90"/>
        <v>0.93800441054906525</v>
      </c>
      <c r="CL149" s="179">
        <f t="shared" si="91"/>
        <v>2</v>
      </c>
      <c r="CM149" s="180">
        <f t="shared" si="92"/>
        <v>39847</v>
      </c>
      <c r="CN149" s="208">
        <v>1</v>
      </c>
      <c r="CO149" s="208">
        <v>15</v>
      </c>
      <c r="CP149" s="208">
        <v>4</v>
      </c>
      <c r="CQ149" s="208">
        <v>0</v>
      </c>
      <c r="CR149" s="208">
        <v>0</v>
      </c>
      <c r="CS149" s="208">
        <v>0</v>
      </c>
      <c r="CT149" s="208">
        <v>0</v>
      </c>
      <c r="CU149" s="208">
        <v>0</v>
      </c>
      <c r="CV149" s="160"/>
      <c r="CW149">
        <f>40/12</f>
        <v>3.3333333333333335</v>
      </c>
      <c r="CX149">
        <f>350/32</f>
        <v>10.9375</v>
      </c>
      <c r="CY149" s="160"/>
      <c r="CZ149" s="177">
        <f t="shared" si="93"/>
        <v>9.6000000000000002E-2</v>
      </c>
      <c r="DB149" s="151"/>
      <c r="DC149" s="76">
        <f t="shared" ca="1" si="51"/>
        <v>0.86222984065367791</v>
      </c>
      <c r="DD149">
        <f t="shared" si="94"/>
        <v>2</v>
      </c>
      <c r="DE149" s="129">
        <f t="shared" si="169"/>
        <v>39847</v>
      </c>
      <c r="DF149" s="161">
        <f t="shared" si="95"/>
        <v>113.93229166666666</v>
      </c>
      <c r="DG149" s="161">
        <f t="shared" si="96"/>
        <v>1708.984375</v>
      </c>
      <c r="DH149" s="161">
        <f t="shared" si="97"/>
        <v>455.72916666666663</v>
      </c>
      <c r="DI149" s="161">
        <f t="shared" si="98"/>
        <v>0</v>
      </c>
      <c r="DJ149" s="161">
        <f t="shared" si="99"/>
        <v>0</v>
      </c>
      <c r="DK149" s="161">
        <f t="shared" si="100"/>
        <v>0</v>
      </c>
      <c r="DL149" s="161">
        <f t="shared" si="101"/>
        <v>0</v>
      </c>
      <c r="DM149" s="161">
        <f t="shared" si="102"/>
        <v>0</v>
      </c>
      <c r="DN149" s="161">
        <f t="shared" si="103"/>
        <v>0</v>
      </c>
      <c r="DO149" s="161">
        <f t="shared" si="104"/>
        <v>0</v>
      </c>
      <c r="DP149" s="161">
        <f t="shared" si="105"/>
        <v>0</v>
      </c>
      <c r="DQ149" s="161">
        <f t="shared" si="106"/>
        <v>0</v>
      </c>
      <c r="DR149" s="161">
        <f t="shared" si="107"/>
        <v>0</v>
      </c>
      <c r="DS149" s="161">
        <f t="shared" si="108"/>
        <v>0</v>
      </c>
      <c r="DT149" s="161">
        <f t="shared" si="109"/>
        <v>0</v>
      </c>
      <c r="DU149" s="161">
        <f t="shared" si="110"/>
        <v>0</v>
      </c>
      <c r="DV149" s="161">
        <f t="shared" si="111"/>
        <v>0</v>
      </c>
      <c r="DW149" s="161">
        <f t="shared" si="112"/>
        <v>0</v>
      </c>
      <c r="DX149" s="161">
        <f t="shared" si="113"/>
        <v>0</v>
      </c>
      <c r="DY149" s="161">
        <f t="shared" si="114"/>
        <v>0</v>
      </c>
      <c r="DZ149" s="161">
        <f t="shared" si="115"/>
        <v>0</v>
      </c>
      <c r="EA149" s="161">
        <f t="shared" si="116"/>
        <v>0</v>
      </c>
      <c r="EB149" s="161">
        <f t="shared" si="117"/>
        <v>0</v>
      </c>
      <c r="EC149" s="161">
        <f t="shared" si="118"/>
        <v>0</v>
      </c>
      <c r="ED149" s="161">
        <f t="shared" si="119"/>
        <v>0</v>
      </c>
      <c r="EE149" s="161">
        <f t="shared" si="120"/>
        <v>0</v>
      </c>
      <c r="EF149" s="161">
        <f t="shared" si="121"/>
        <v>0</v>
      </c>
      <c r="EG149" s="161">
        <f t="shared" si="122"/>
        <v>0</v>
      </c>
      <c r="EH149" s="161">
        <f t="shared" si="123"/>
        <v>0</v>
      </c>
      <c r="EI149" s="161">
        <f t="shared" si="124"/>
        <v>0</v>
      </c>
      <c r="EJ149" s="161">
        <f t="shared" si="125"/>
        <v>0</v>
      </c>
      <c r="EK149" s="147">
        <f t="shared" si="132"/>
        <v>2278.6458333333335</v>
      </c>
      <c r="EL149" s="149"/>
      <c r="EN149" s="151"/>
      <c r="EO149" s="151"/>
      <c r="EP149" s="139">
        <f t="shared" si="133"/>
        <v>0.20686075503412296</v>
      </c>
      <c r="EQ149" s="139">
        <f t="shared" si="134"/>
        <v>19.706811523437498</v>
      </c>
      <c r="ER149" s="139">
        <f t="shared" si="135"/>
        <v>33.375831463158924</v>
      </c>
      <c r="ES149" s="139">
        <f t="shared" si="136"/>
        <v>0</v>
      </c>
      <c r="ET149" s="139">
        <f t="shared" si="137"/>
        <v>0</v>
      </c>
      <c r="EU149" s="139">
        <f t="shared" si="138"/>
        <v>0</v>
      </c>
      <c r="EV149" s="139">
        <f t="shared" si="139"/>
        <v>0</v>
      </c>
      <c r="EW149" s="139">
        <f t="shared" si="140"/>
        <v>0</v>
      </c>
      <c r="EX149" s="139">
        <f t="shared" si="141"/>
        <v>0</v>
      </c>
      <c r="EY149" s="139">
        <f t="shared" si="142"/>
        <v>0</v>
      </c>
      <c r="EZ149" s="139">
        <f t="shared" si="143"/>
        <v>0</v>
      </c>
      <c r="FA149" s="139">
        <f t="shared" si="144"/>
        <v>0</v>
      </c>
      <c r="FB149" s="139">
        <f t="shared" si="145"/>
        <v>0</v>
      </c>
      <c r="FC149" s="139">
        <f t="shared" si="146"/>
        <v>0</v>
      </c>
      <c r="FD149" s="139">
        <f t="shared" si="147"/>
        <v>0</v>
      </c>
      <c r="FE149" s="139">
        <f t="shared" si="148"/>
        <v>0</v>
      </c>
      <c r="FF149" s="139">
        <f t="shared" si="149"/>
        <v>0</v>
      </c>
      <c r="FG149" s="139">
        <f t="shared" si="150"/>
        <v>0</v>
      </c>
      <c r="FH149" s="139">
        <f t="shared" si="151"/>
        <v>0</v>
      </c>
      <c r="FI149" s="139">
        <f t="shared" si="152"/>
        <v>0</v>
      </c>
      <c r="FJ149" s="139">
        <f t="shared" si="153"/>
        <v>0</v>
      </c>
      <c r="FK149" s="139">
        <f t="shared" si="154"/>
        <v>0</v>
      </c>
      <c r="FL149" s="139">
        <f t="shared" si="155"/>
        <v>0</v>
      </c>
      <c r="FM149" s="139">
        <f t="shared" si="156"/>
        <v>0</v>
      </c>
      <c r="FN149" s="139">
        <f t="shared" si="157"/>
        <v>0</v>
      </c>
      <c r="FO149" s="139">
        <f t="shared" si="158"/>
        <v>0</v>
      </c>
      <c r="FP149" s="139">
        <f t="shared" si="159"/>
        <v>0</v>
      </c>
      <c r="FQ149" s="139">
        <f t="shared" si="160"/>
        <v>0</v>
      </c>
      <c r="FR149" s="139">
        <f t="shared" si="161"/>
        <v>0</v>
      </c>
      <c r="FS149" s="139">
        <f t="shared" si="162"/>
        <v>0</v>
      </c>
      <c r="FT149" s="139">
        <f t="shared" si="163"/>
        <v>0</v>
      </c>
      <c r="FU149" s="148">
        <f t="shared" si="164"/>
        <v>53.28950374163054</v>
      </c>
      <c r="FV149" s="149"/>
      <c r="FY149" s="213">
        <v>144</v>
      </c>
      <c r="FZ149">
        <v>53.44116034921381</v>
      </c>
      <c r="GA149">
        <v>52.710572037814217</v>
      </c>
      <c r="GB149">
        <v>9.1566179357037623</v>
      </c>
      <c r="GC149">
        <v>5.874312783134175</v>
      </c>
      <c r="GD149">
        <v>5.3450969503986654</v>
      </c>
      <c r="GE149">
        <v>5.9337703419410053</v>
      </c>
      <c r="GF149">
        <v>13.396223319605735</v>
      </c>
      <c r="GG149">
        <v>12.597409414901007</v>
      </c>
      <c r="GH149">
        <v>17.343165812242312</v>
      </c>
      <c r="GI149">
        <v>18.555697948912815</v>
      </c>
      <c r="GJ149"/>
      <c r="GK149"/>
      <c r="GL149"/>
      <c r="GM149"/>
      <c r="GN149" s="208"/>
      <c r="GO149" s="208"/>
      <c r="GP149" s="208"/>
      <c r="GQ149" s="208"/>
      <c r="GR149" s="208"/>
      <c r="GS149" s="208"/>
      <c r="GT149" s="208"/>
      <c r="GU149" s="213">
        <v>144</v>
      </c>
    </row>
    <row r="150" spans="1:203" s="7" customFormat="1">
      <c r="A150" s="77"/>
      <c r="B150" s="76">
        <f ca="1">IF(C150="", "", RAND())</f>
        <v>0.9343778384713366</v>
      </c>
      <c r="C150">
        <v>4</v>
      </c>
      <c r="D150">
        <v>39847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 s="2"/>
      <c r="AK150" s="80"/>
      <c r="AL150" s="74">
        <v>3.0028000000000028</v>
      </c>
      <c r="AM150" s="43">
        <v>134</v>
      </c>
      <c r="AN150">
        <v>340.02427842877944</v>
      </c>
      <c r="AO150">
        <v>33.321086781924599</v>
      </c>
      <c r="AP150">
        <v>91.14500469135308</v>
      </c>
      <c r="AQ150">
        <v>236.81929068061618</v>
      </c>
      <c r="AR150">
        <v>33.809167036375264</v>
      </c>
      <c r="AS150">
        <v>285.17014197943053</v>
      </c>
      <c r="AT150">
        <v>15.068187974233995</v>
      </c>
      <c r="AU150">
        <v>1.4025413843245147</v>
      </c>
      <c r="AV150"/>
      <c r="AW150"/>
      <c r="AX150" s="151"/>
      <c r="AY150" s="76">
        <f t="shared" ca="1" si="88"/>
        <v>0.41127834090218807</v>
      </c>
      <c r="AZ150">
        <v>3</v>
      </c>
      <c r="BA150" s="129">
        <f t="shared" si="170"/>
        <v>39847</v>
      </c>
      <c r="BB150" s="207">
        <v>0</v>
      </c>
      <c r="BC150" s="207">
        <v>0</v>
      </c>
      <c r="BD150" s="207">
        <v>0</v>
      </c>
      <c r="BE150" s="207">
        <v>0</v>
      </c>
      <c r="BF150" s="207">
        <v>0</v>
      </c>
      <c r="BG150" s="207">
        <v>0</v>
      </c>
      <c r="BH150" s="207">
        <v>0</v>
      </c>
      <c r="BI150" s="207">
        <v>0</v>
      </c>
      <c r="BJ150" s="207">
        <v>0</v>
      </c>
      <c r="BK150" s="207">
        <v>0</v>
      </c>
      <c r="BL150" s="207">
        <v>0</v>
      </c>
      <c r="BM150" s="207">
        <v>0</v>
      </c>
      <c r="BN150" s="207">
        <v>0</v>
      </c>
      <c r="BO150" s="207">
        <v>0</v>
      </c>
      <c r="BP150" s="207">
        <v>0</v>
      </c>
      <c r="BQ150" s="207">
        <v>0</v>
      </c>
      <c r="BR150" s="207">
        <v>0</v>
      </c>
      <c r="BS150" s="207">
        <v>0</v>
      </c>
      <c r="BT150" s="207">
        <v>0</v>
      </c>
      <c r="BU150" s="207">
        <v>0</v>
      </c>
      <c r="BV150" s="207">
        <v>0</v>
      </c>
      <c r="BW150" s="207">
        <v>0</v>
      </c>
      <c r="BX150" s="207">
        <v>0</v>
      </c>
      <c r="BY150" s="207">
        <v>0</v>
      </c>
      <c r="BZ150" s="207">
        <v>0</v>
      </c>
      <c r="CA150" s="207">
        <v>0</v>
      </c>
      <c r="CB150" s="207">
        <v>0</v>
      </c>
      <c r="CC150" s="207">
        <v>0</v>
      </c>
      <c r="CD150" s="207">
        <v>0</v>
      </c>
      <c r="CE150" s="207">
        <v>0</v>
      </c>
      <c r="CF150" s="207">
        <v>0</v>
      </c>
      <c r="CG150" s="147"/>
      <c r="CH150" s="176"/>
      <c r="CJ150" s="151"/>
      <c r="CK150" s="76">
        <f t="shared" ca="1" si="90"/>
        <v>9.116358097056132E-2</v>
      </c>
      <c r="CL150" s="179">
        <f t="shared" si="91"/>
        <v>3</v>
      </c>
      <c r="CM150" s="180">
        <f t="shared" si="92"/>
        <v>39847</v>
      </c>
      <c r="CN150" s="208">
        <v>0</v>
      </c>
      <c r="CO150" s="208">
        <v>0</v>
      </c>
      <c r="CP150" s="208">
        <v>0</v>
      </c>
      <c r="CQ150" s="208">
        <v>0</v>
      </c>
      <c r="CR150" s="208">
        <v>0</v>
      </c>
      <c r="CS150" s="208">
        <v>0</v>
      </c>
      <c r="CT150" s="208">
        <v>0</v>
      </c>
      <c r="CU150" s="208">
        <v>0</v>
      </c>
      <c r="CV150" s="160"/>
      <c r="CW150">
        <v>1</v>
      </c>
      <c r="CX150">
        <v>1</v>
      </c>
      <c r="CY150" s="160"/>
      <c r="CZ150" s="177">
        <f t="shared" si="93"/>
        <v>9.6000000000000002E-2</v>
      </c>
      <c r="DB150" s="151"/>
      <c r="DC150" s="76">
        <f t="shared" ca="1" si="51"/>
        <v>0.11510747241086783</v>
      </c>
      <c r="DD150">
        <f t="shared" si="94"/>
        <v>3</v>
      </c>
      <c r="DE150" s="129">
        <f t="shared" si="169"/>
        <v>39847</v>
      </c>
      <c r="DF150" s="161">
        <f t="shared" si="95"/>
        <v>0</v>
      </c>
      <c r="DG150" s="161">
        <f t="shared" si="96"/>
        <v>0</v>
      </c>
      <c r="DH150" s="161">
        <f t="shared" si="97"/>
        <v>0</v>
      </c>
      <c r="DI150" s="161">
        <f t="shared" si="98"/>
        <v>0</v>
      </c>
      <c r="DJ150" s="161">
        <f t="shared" si="99"/>
        <v>0</v>
      </c>
      <c r="DK150" s="161">
        <f t="shared" si="100"/>
        <v>0</v>
      </c>
      <c r="DL150" s="161">
        <f t="shared" si="101"/>
        <v>0</v>
      </c>
      <c r="DM150" s="161">
        <f t="shared" si="102"/>
        <v>0</v>
      </c>
      <c r="DN150" s="161">
        <f t="shared" si="103"/>
        <v>0</v>
      </c>
      <c r="DO150" s="161">
        <f t="shared" si="104"/>
        <v>0</v>
      </c>
      <c r="DP150" s="161">
        <f t="shared" si="105"/>
        <v>0</v>
      </c>
      <c r="DQ150" s="161">
        <f t="shared" si="106"/>
        <v>0</v>
      </c>
      <c r="DR150" s="161">
        <f t="shared" si="107"/>
        <v>0</v>
      </c>
      <c r="DS150" s="161">
        <f t="shared" si="108"/>
        <v>0</v>
      </c>
      <c r="DT150" s="161">
        <f t="shared" si="109"/>
        <v>0</v>
      </c>
      <c r="DU150" s="161">
        <f t="shared" si="110"/>
        <v>0</v>
      </c>
      <c r="DV150" s="161">
        <f t="shared" si="111"/>
        <v>0</v>
      </c>
      <c r="DW150" s="161">
        <f t="shared" si="112"/>
        <v>0</v>
      </c>
      <c r="DX150" s="161">
        <f t="shared" si="113"/>
        <v>0</v>
      </c>
      <c r="DY150" s="161">
        <f t="shared" si="114"/>
        <v>0</v>
      </c>
      <c r="DZ150" s="161">
        <f t="shared" si="115"/>
        <v>0</v>
      </c>
      <c r="EA150" s="161">
        <f t="shared" si="116"/>
        <v>0</v>
      </c>
      <c r="EB150" s="161">
        <f t="shared" si="117"/>
        <v>0</v>
      </c>
      <c r="EC150" s="161">
        <f t="shared" si="118"/>
        <v>0</v>
      </c>
      <c r="ED150" s="161">
        <f t="shared" si="119"/>
        <v>0</v>
      </c>
      <c r="EE150" s="161">
        <f t="shared" si="120"/>
        <v>0</v>
      </c>
      <c r="EF150" s="161">
        <f t="shared" si="121"/>
        <v>0</v>
      </c>
      <c r="EG150" s="161">
        <f t="shared" si="122"/>
        <v>0</v>
      </c>
      <c r="EH150" s="161">
        <f t="shared" si="123"/>
        <v>0</v>
      </c>
      <c r="EI150" s="161">
        <f t="shared" si="124"/>
        <v>0</v>
      </c>
      <c r="EJ150" s="161">
        <f t="shared" si="125"/>
        <v>0</v>
      </c>
      <c r="EK150" s="147">
        <f t="shared" si="132"/>
        <v>0</v>
      </c>
      <c r="EL150" s="149"/>
      <c r="EN150" s="151"/>
      <c r="EO150" s="151"/>
      <c r="EP150" s="139">
        <f t="shared" si="133"/>
        <v>0</v>
      </c>
      <c r="EQ150" s="139">
        <f t="shared" si="134"/>
        <v>0</v>
      </c>
      <c r="ER150" s="139">
        <f t="shared" si="135"/>
        <v>0</v>
      </c>
      <c r="ES150" s="139">
        <f t="shared" si="136"/>
        <v>0</v>
      </c>
      <c r="ET150" s="139">
        <f t="shared" si="137"/>
        <v>0</v>
      </c>
      <c r="EU150" s="139">
        <f t="shared" si="138"/>
        <v>0</v>
      </c>
      <c r="EV150" s="139">
        <f t="shared" si="139"/>
        <v>0</v>
      </c>
      <c r="EW150" s="139">
        <f t="shared" si="140"/>
        <v>0</v>
      </c>
      <c r="EX150" s="139">
        <f t="shared" si="141"/>
        <v>0</v>
      </c>
      <c r="EY150" s="139">
        <f t="shared" si="142"/>
        <v>0</v>
      </c>
      <c r="EZ150" s="139">
        <f t="shared" si="143"/>
        <v>0</v>
      </c>
      <c r="FA150" s="139">
        <f t="shared" si="144"/>
        <v>0</v>
      </c>
      <c r="FB150" s="139">
        <f t="shared" si="145"/>
        <v>0</v>
      </c>
      <c r="FC150" s="139">
        <f t="shared" si="146"/>
        <v>0</v>
      </c>
      <c r="FD150" s="139">
        <f t="shared" si="147"/>
        <v>0</v>
      </c>
      <c r="FE150" s="139">
        <f t="shared" si="148"/>
        <v>0</v>
      </c>
      <c r="FF150" s="139">
        <f t="shared" si="149"/>
        <v>0</v>
      </c>
      <c r="FG150" s="139">
        <f t="shared" si="150"/>
        <v>0</v>
      </c>
      <c r="FH150" s="139">
        <f t="shared" si="151"/>
        <v>0</v>
      </c>
      <c r="FI150" s="139">
        <f t="shared" si="152"/>
        <v>0</v>
      </c>
      <c r="FJ150" s="139">
        <f t="shared" si="153"/>
        <v>0</v>
      </c>
      <c r="FK150" s="139">
        <f t="shared" si="154"/>
        <v>0</v>
      </c>
      <c r="FL150" s="139">
        <f t="shared" si="155"/>
        <v>0</v>
      </c>
      <c r="FM150" s="139">
        <f t="shared" si="156"/>
        <v>0</v>
      </c>
      <c r="FN150" s="139">
        <f t="shared" si="157"/>
        <v>0</v>
      </c>
      <c r="FO150" s="139">
        <f t="shared" si="158"/>
        <v>0</v>
      </c>
      <c r="FP150" s="139">
        <f t="shared" si="159"/>
        <v>0</v>
      </c>
      <c r="FQ150" s="139">
        <f t="shared" si="160"/>
        <v>0</v>
      </c>
      <c r="FR150" s="139">
        <f t="shared" si="161"/>
        <v>0</v>
      </c>
      <c r="FS150" s="139">
        <f t="shared" si="162"/>
        <v>0</v>
      </c>
      <c r="FT150" s="139">
        <f t="shared" si="163"/>
        <v>0</v>
      </c>
      <c r="FU150" s="148">
        <f t="shared" si="164"/>
        <v>0</v>
      </c>
      <c r="FV150" s="149"/>
      <c r="FY150" s="213">
        <v>145</v>
      </c>
      <c r="FZ150">
        <v>36.877514824570504</v>
      </c>
      <c r="GA150">
        <v>39.193327552954344</v>
      </c>
      <c r="GB150">
        <v>12.967357107526478</v>
      </c>
      <c r="GC150">
        <v>7.0589495131162696</v>
      </c>
      <c r="GD150">
        <v>5.5435814335664322</v>
      </c>
      <c r="GE150">
        <v>7.1680073082016689</v>
      </c>
      <c r="GF150">
        <v>19.731725258057622</v>
      </c>
      <c r="GG150">
        <v>15.604298398786929</v>
      </c>
      <c r="GH150">
        <v>9.3107916201061656</v>
      </c>
      <c r="GI150">
        <v>17.268703839744383</v>
      </c>
      <c r="GJ150"/>
      <c r="GK150"/>
      <c r="GL150"/>
      <c r="GM150"/>
      <c r="GN150" s="208"/>
      <c r="GO150" s="208"/>
      <c r="GP150" s="208"/>
      <c r="GQ150" s="208"/>
      <c r="GR150" s="208"/>
      <c r="GS150" s="208"/>
      <c r="GT150" s="208"/>
      <c r="GU150" s="213">
        <v>145</v>
      </c>
    </row>
    <row r="151" spans="1:203" s="7" customFormat="1">
      <c r="A151" s="77"/>
      <c r="B151" s="76">
        <f ca="1">IF(C151="", "", RAND())</f>
        <v>0.76985577815182982</v>
      </c>
      <c r="C151">
        <v>7</v>
      </c>
      <c r="D151">
        <v>39847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 s="2"/>
      <c r="AK151" s="80"/>
      <c r="AL151" s="74">
        <v>3.0028000000000028</v>
      </c>
      <c r="AM151" s="43">
        <v>135</v>
      </c>
      <c r="AN151">
        <v>334.52470281744996</v>
      </c>
      <c r="AO151">
        <v>25.276913901364974</v>
      </c>
      <c r="AP151">
        <v>89.468407141174382</v>
      </c>
      <c r="AQ151">
        <v>169.79900164413905</v>
      </c>
      <c r="AR151">
        <v>24.992649619205373</v>
      </c>
      <c r="AS151">
        <v>250.36574044669666</v>
      </c>
      <c r="AT151">
        <v>11.011686975880165</v>
      </c>
      <c r="AU151">
        <v>-1.9106232695245957</v>
      </c>
      <c r="AV151"/>
      <c r="AW151"/>
      <c r="AX151" s="151"/>
      <c r="AY151" s="76">
        <f t="shared" ca="1" si="88"/>
        <v>0.92467571202330756</v>
      </c>
      <c r="AZ151">
        <v>4</v>
      </c>
      <c r="BA151" s="129">
        <f t="shared" si="170"/>
        <v>39847</v>
      </c>
      <c r="BB151" s="207">
        <v>0</v>
      </c>
      <c r="BC151" s="207">
        <v>0</v>
      </c>
      <c r="BD151" s="207">
        <v>0</v>
      </c>
      <c r="BE151" s="207">
        <v>0</v>
      </c>
      <c r="BF151" s="207">
        <v>0</v>
      </c>
      <c r="BG151" s="207">
        <v>0</v>
      </c>
      <c r="BH151" s="207">
        <v>0</v>
      </c>
      <c r="BI151" s="207">
        <v>0</v>
      </c>
      <c r="BJ151" s="207">
        <v>0</v>
      </c>
      <c r="BK151" s="207">
        <v>0</v>
      </c>
      <c r="BL151" s="207">
        <v>0</v>
      </c>
      <c r="BM151" s="207">
        <v>0</v>
      </c>
      <c r="BN151" s="207">
        <v>0</v>
      </c>
      <c r="BO151" s="207">
        <v>0</v>
      </c>
      <c r="BP151" s="207">
        <v>0</v>
      </c>
      <c r="BQ151" s="207">
        <v>0</v>
      </c>
      <c r="BR151" s="207">
        <v>0</v>
      </c>
      <c r="BS151" s="207">
        <v>0</v>
      </c>
      <c r="BT151" s="207">
        <v>0</v>
      </c>
      <c r="BU151" s="207">
        <v>0</v>
      </c>
      <c r="BV151" s="207">
        <v>0</v>
      </c>
      <c r="BW151" s="207">
        <v>0</v>
      </c>
      <c r="BX151" s="207">
        <v>0</v>
      </c>
      <c r="BY151" s="207">
        <v>0</v>
      </c>
      <c r="BZ151" s="207">
        <v>0</v>
      </c>
      <c r="CA151" s="207">
        <v>0</v>
      </c>
      <c r="CB151" s="207">
        <v>0</v>
      </c>
      <c r="CC151" s="207">
        <v>0</v>
      </c>
      <c r="CD151" s="207">
        <v>0</v>
      </c>
      <c r="CE151" s="207">
        <v>0</v>
      </c>
      <c r="CF151" s="207">
        <v>0</v>
      </c>
      <c r="CG151" s="147"/>
      <c r="CH151" s="176"/>
      <c r="CJ151" s="151"/>
      <c r="CK151" s="76">
        <f t="shared" ca="1" si="90"/>
        <v>0.99657875325176382</v>
      </c>
      <c r="CL151" s="179">
        <f t="shared" si="91"/>
        <v>4</v>
      </c>
      <c r="CM151" s="180">
        <f t="shared" si="92"/>
        <v>39847</v>
      </c>
      <c r="CN151" s="208">
        <v>0</v>
      </c>
      <c r="CO151" s="208">
        <v>0</v>
      </c>
      <c r="CP151" s="208">
        <v>0</v>
      </c>
      <c r="CQ151" s="208">
        <v>0</v>
      </c>
      <c r="CR151" s="208">
        <v>0</v>
      </c>
      <c r="CS151" s="208">
        <v>0</v>
      </c>
      <c r="CT151" s="208">
        <v>0</v>
      </c>
      <c r="CU151" s="208">
        <v>0</v>
      </c>
      <c r="CV151" s="160"/>
      <c r="CW151">
        <v>1</v>
      </c>
      <c r="CX151">
        <v>1</v>
      </c>
      <c r="CY151" s="160"/>
      <c r="CZ151" s="177">
        <f t="shared" si="93"/>
        <v>9.6000000000000002E-2</v>
      </c>
      <c r="DB151" s="151"/>
      <c r="DC151" s="76">
        <f t="shared" ca="1" si="51"/>
        <v>6.4337231106605941E-3</v>
      </c>
      <c r="DD151">
        <f t="shared" si="94"/>
        <v>4</v>
      </c>
      <c r="DE151" s="129">
        <f t="shared" si="169"/>
        <v>39847</v>
      </c>
      <c r="DF151" s="161">
        <f t="shared" si="95"/>
        <v>0</v>
      </c>
      <c r="DG151" s="161">
        <f t="shared" si="96"/>
        <v>0</v>
      </c>
      <c r="DH151" s="161">
        <f t="shared" si="97"/>
        <v>0</v>
      </c>
      <c r="DI151" s="161">
        <f t="shared" si="98"/>
        <v>0</v>
      </c>
      <c r="DJ151" s="161">
        <f t="shared" si="99"/>
        <v>0</v>
      </c>
      <c r="DK151" s="161">
        <f t="shared" si="100"/>
        <v>0</v>
      </c>
      <c r="DL151" s="161">
        <f t="shared" si="101"/>
        <v>0</v>
      </c>
      <c r="DM151" s="161">
        <f t="shared" si="102"/>
        <v>0</v>
      </c>
      <c r="DN151" s="161">
        <f t="shared" si="103"/>
        <v>0</v>
      </c>
      <c r="DO151" s="161">
        <f t="shared" si="104"/>
        <v>0</v>
      </c>
      <c r="DP151" s="161">
        <f t="shared" si="105"/>
        <v>0</v>
      </c>
      <c r="DQ151" s="161">
        <f t="shared" si="106"/>
        <v>0</v>
      </c>
      <c r="DR151" s="161">
        <f t="shared" si="107"/>
        <v>0</v>
      </c>
      <c r="DS151" s="161">
        <f t="shared" si="108"/>
        <v>0</v>
      </c>
      <c r="DT151" s="161">
        <f t="shared" si="109"/>
        <v>0</v>
      </c>
      <c r="DU151" s="161">
        <f t="shared" si="110"/>
        <v>0</v>
      </c>
      <c r="DV151" s="161">
        <f t="shared" si="111"/>
        <v>0</v>
      </c>
      <c r="DW151" s="161">
        <f t="shared" si="112"/>
        <v>0</v>
      </c>
      <c r="DX151" s="161">
        <f t="shared" si="113"/>
        <v>0</v>
      </c>
      <c r="DY151" s="161">
        <f t="shared" si="114"/>
        <v>0</v>
      </c>
      <c r="DZ151" s="161">
        <f t="shared" si="115"/>
        <v>0</v>
      </c>
      <c r="EA151" s="161">
        <f t="shared" si="116"/>
        <v>0</v>
      </c>
      <c r="EB151" s="161">
        <f t="shared" si="117"/>
        <v>0</v>
      </c>
      <c r="EC151" s="161">
        <f t="shared" si="118"/>
        <v>0</v>
      </c>
      <c r="ED151" s="161">
        <f t="shared" si="119"/>
        <v>0</v>
      </c>
      <c r="EE151" s="161">
        <f t="shared" si="120"/>
        <v>0</v>
      </c>
      <c r="EF151" s="161">
        <f t="shared" si="121"/>
        <v>0</v>
      </c>
      <c r="EG151" s="161">
        <f t="shared" si="122"/>
        <v>0</v>
      </c>
      <c r="EH151" s="161">
        <f t="shared" si="123"/>
        <v>0</v>
      </c>
      <c r="EI151" s="161">
        <f t="shared" si="124"/>
        <v>0</v>
      </c>
      <c r="EJ151" s="161">
        <f t="shared" si="125"/>
        <v>0</v>
      </c>
      <c r="EK151" s="147">
        <f t="shared" si="132"/>
        <v>0</v>
      </c>
      <c r="EL151" s="149"/>
      <c r="EN151" s="151"/>
      <c r="EO151" s="151"/>
      <c r="EP151" s="139">
        <f t="shared" si="133"/>
        <v>0</v>
      </c>
      <c r="EQ151" s="139">
        <f t="shared" si="134"/>
        <v>0</v>
      </c>
      <c r="ER151" s="139">
        <f t="shared" si="135"/>
        <v>0</v>
      </c>
      <c r="ES151" s="139">
        <f t="shared" si="136"/>
        <v>0</v>
      </c>
      <c r="ET151" s="139">
        <f t="shared" si="137"/>
        <v>0</v>
      </c>
      <c r="EU151" s="139">
        <f t="shared" si="138"/>
        <v>0</v>
      </c>
      <c r="EV151" s="139">
        <f t="shared" si="139"/>
        <v>0</v>
      </c>
      <c r="EW151" s="139">
        <f t="shared" si="140"/>
        <v>0</v>
      </c>
      <c r="EX151" s="139">
        <f t="shared" si="141"/>
        <v>0</v>
      </c>
      <c r="EY151" s="139">
        <f t="shared" si="142"/>
        <v>0</v>
      </c>
      <c r="EZ151" s="139">
        <f t="shared" si="143"/>
        <v>0</v>
      </c>
      <c r="FA151" s="139">
        <f t="shared" si="144"/>
        <v>0</v>
      </c>
      <c r="FB151" s="139">
        <f t="shared" si="145"/>
        <v>0</v>
      </c>
      <c r="FC151" s="139">
        <f t="shared" si="146"/>
        <v>0</v>
      </c>
      <c r="FD151" s="139">
        <f t="shared" si="147"/>
        <v>0</v>
      </c>
      <c r="FE151" s="139">
        <f t="shared" si="148"/>
        <v>0</v>
      </c>
      <c r="FF151" s="139">
        <f t="shared" si="149"/>
        <v>0</v>
      </c>
      <c r="FG151" s="139">
        <f t="shared" si="150"/>
        <v>0</v>
      </c>
      <c r="FH151" s="139">
        <f t="shared" si="151"/>
        <v>0</v>
      </c>
      <c r="FI151" s="139">
        <f t="shared" si="152"/>
        <v>0</v>
      </c>
      <c r="FJ151" s="139">
        <f t="shared" si="153"/>
        <v>0</v>
      </c>
      <c r="FK151" s="139">
        <f t="shared" si="154"/>
        <v>0</v>
      </c>
      <c r="FL151" s="139">
        <f t="shared" si="155"/>
        <v>0</v>
      </c>
      <c r="FM151" s="139">
        <f t="shared" si="156"/>
        <v>0</v>
      </c>
      <c r="FN151" s="139">
        <f t="shared" si="157"/>
        <v>0</v>
      </c>
      <c r="FO151" s="139">
        <f t="shared" si="158"/>
        <v>0</v>
      </c>
      <c r="FP151" s="139">
        <f t="shared" si="159"/>
        <v>0</v>
      </c>
      <c r="FQ151" s="139">
        <f t="shared" si="160"/>
        <v>0</v>
      </c>
      <c r="FR151" s="139">
        <f t="shared" si="161"/>
        <v>0</v>
      </c>
      <c r="FS151" s="139">
        <f t="shared" si="162"/>
        <v>0</v>
      </c>
      <c r="FT151" s="139">
        <f t="shared" si="163"/>
        <v>0</v>
      </c>
      <c r="FU151" s="148">
        <f t="shared" si="164"/>
        <v>0</v>
      </c>
      <c r="FV151" s="149"/>
      <c r="FY151" s="213">
        <v>146</v>
      </c>
      <c r="FZ151">
        <v>45.214193199359741</v>
      </c>
      <c r="GA151">
        <v>56.694078942544714</v>
      </c>
      <c r="GB151">
        <v>12.776413897792766</v>
      </c>
      <c r="GC151">
        <v>6.6427986874761462</v>
      </c>
      <c r="GD151">
        <v>5.6504109075253988</v>
      </c>
      <c r="GE151">
        <v>4.9306631083145591</v>
      </c>
      <c r="GF151">
        <v>5.4595485605669607</v>
      </c>
      <c r="GG151">
        <v>7.1520161752908979</v>
      </c>
      <c r="GH151">
        <v>7.8382661915258982</v>
      </c>
      <c r="GI151">
        <v>15.741331289220682</v>
      </c>
      <c r="GJ151"/>
      <c r="GK151"/>
      <c r="GL151"/>
      <c r="GM151"/>
      <c r="GN151" s="208"/>
      <c r="GO151" s="208"/>
      <c r="GP151" s="208"/>
      <c r="GQ151" s="208"/>
      <c r="GR151" s="208"/>
      <c r="GS151" s="208"/>
      <c r="GT151" s="208"/>
      <c r="GU151" s="213">
        <v>146</v>
      </c>
    </row>
    <row r="152" spans="1:203" s="7" customFormat="1">
      <c r="A152" s="77"/>
      <c r="B152" s="76">
        <f ca="1">IF(C152="", "", RAND())</f>
        <v>0.69848770356155865</v>
      </c>
      <c r="C152">
        <v>3</v>
      </c>
      <c r="D152">
        <v>39847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 s="2"/>
      <c r="AK152" s="80"/>
      <c r="AL152" s="74"/>
      <c r="AM152" s="43">
        <v>136</v>
      </c>
      <c r="AN152">
        <v>368.58206088605249</v>
      </c>
      <c r="AO152">
        <v>25.675651472171658</v>
      </c>
      <c r="AP152">
        <v>80.478090096770345</v>
      </c>
      <c r="AQ152">
        <v>176.0506365148469</v>
      </c>
      <c r="AR152">
        <v>25.107788298649041</v>
      </c>
      <c r="AS152">
        <v>264.07359704293322</v>
      </c>
      <c r="AT152">
        <v>11.35035462391493</v>
      </c>
      <c r="AU152">
        <v>3.466298783238539</v>
      </c>
      <c r="AV152"/>
      <c r="AW152"/>
      <c r="AX152" s="151"/>
      <c r="AY152" s="76">
        <f t="shared" ref="AY152:AY207" ca="1" si="171">IF(AZ152="", "", RAND())</f>
        <v>0.70551476404899116</v>
      </c>
      <c r="AZ152">
        <v>5</v>
      </c>
      <c r="BA152" s="129">
        <f t="shared" si="170"/>
        <v>39847</v>
      </c>
      <c r="BB152" s="207">
        <v>0</v>
      </c>
      <c r="BC152" s="207">
        <v>0</v>
      </c>
      <c r="BD152" s="207">
        <v>0</v>
      </c>
      <c r="BE152" s="207">
        <v>0</v>
      </c>
      <c r="BF152" s="207">
        <v>0</v>
      </c>
      <c r="BG152" s="207">
        <v>0</v>
      </c>
      <c r="BH152" s="207">
        <v>0</v>
      </c>
      <c r="BI152" s="207">
        <v>0</v>
      </c>
      <c r="BJ152" s="207">
        <v>0</v>
      </c>
      <c r="BK152" s="207">
        <v>0</v>
      </c>
      <c r="BL152" s="207">
        <v>0</v>
      </c>
      <c r="BM152" s="207">
        <v>0</v>
      </c>
      <c r="BN152" s="207">
        <v>0</v>
      </c>
      <c r="BO152" s="207">
        <v>0</v>
      </c>
      <c r="BP152" s="207">
        <v>0</v>
      </c>
      <c r="BQ152" s="207">
        <v>0</v>
      </c>
      <c r="BR152" s="207">
        <v>0</v>
      </c>
      <c r="BS152" s="207">
        <v>0</v>
      </c>
      <c r="BT152" s="207">
        <v>0</v>
      </c>
      <c r="BU152" s="207">
        <v>0</v>
      </c>
      <c r="BV152" s="207">
        <v>0</v>
      </c>
      <c r="BW152" s="207">
        <v>0</v>
      </c>
      <c r="BX152" s="207">
        <v>0</v>
      </c>
      <c r="BY152" s="207">
        <v>0</v>
      </c>
      <c r="BZ152" s="207">
        <v>0</v>
      </c>
      <c r="CA152" s="207">
        <v>0</v>
      </c>
      <c r="CB152" s="207">
        <v>0</v>
      </c>
      <c r="CC152" s="207">
        <v>0</v>
      </c>
      <c r="CD152" s="207">
        <v>0</v>
      </c>
      <c r="CE152" s="207">
        <v>0</v>
      </c>
      <c r="CF152" s="207">
        <v>0</v>
      </c>
      <c r="CG152" s="147"/>
      <c r="CH152" s="176"/>
      <c r="CJ152" s="151"/>
      <c r="CK152" s="76">
        <f t="shared" ca="1" si="90"/>
        <v>8.0749045183264423E-2</v>
      </c>
      <c r="CL152" s="179">
        <f t="shared" si="91"/>
        <v>5</v>
      </c>
      <c r="CM152" s="180">
        <f t="shared" si="92"/>
        <v>39847</v>
      </c>
      <c r="CN152" s="208">
        <v>0</v>
      </c>
      <c r="CO152" s="208">
        <v>0</v>
      </c>
      <c r="CP152" s="208">
        <v>0</v>
      </c>
      <c r="CQ152" s="208">
        <v>0</v>
      </c>
      <c r="CR152" s="208">
        <v>0</v>
      </c>
      <c r="CS152" s="208">
        <v>0</v>
      </c>
      <c r="CT152" s="208">
        <v>0</v>
      </c>
      <c r="CU152" s="208">
        <v>0</v>
      </c>
      <c r="CV152" s="160"/>
      <c r="CW152">
        <v>1</v>
      </c>
      <c r="CX152">
        <v>1</v>
      </c>
      <c r="CY152" s="160"/>
      <c r="CZ152" s="177">
        <f t="shared" si="93"/>
        <v>9.6000000000000002E-2</v>
      </c>
      <c r="DB152" s="151"/>
      <c r="DC152" s="76">
        <f t="shared" ref="DC152:DC207" ca="1" si="172">IF(DD152="", "", RAND())</f>
        <v>5.9061870151504436E-3</v>
      </c>
      <c r="DD152">
        <f t="shared" si="94"/>
        <v>5</v>
      </c>
      <c r="DE152" s="129">
        <f t="shared" si="169"/>
        <v>39847</v>
      </c>
      <c r="DF152" s="161">
        <f t="shared" si="95"/>
        <v>0</v>
      </c>
      <c r="DG152" s="161">
        <f t="shared" si="96"/>
        <v>0</v>
      </c>
      <c r="DH152" s="161">
        <f t="shared" si="97"/>
        <v>0</v>
      </c>
      <c r="DI152" s="161">
        <f t="shared" si="98"/>
        <v>0</v>
      </c>
      <c r="DJ152" s="161">
        <f t="shared" si="99"/>
        <v>0</v>
      </c>
      <c r="DK152" s="161">
        <f t="shared" si="100"/>
        <v>0</v>
      </c>
      <c r="DL152" s="161">
        <f t="shared" si="101"/>
        <v>0</v>
      </c>
      <c r="DM152" s="161">
        <f t="shared" si="102"/>
        <v>0</v>
      </c>
      <c r="DN152" s="161">
        <f t="shared" si="103"/>
        <v>0</v>
      </c>
      <c r="DO152" s="161">
        <f t="shared" si="104"/>
        <v>0</v>
      </c>
      <c r="DP152" s="161">
        <f t="shared" si="105"/>
        <v>0</v>
      </c>
      <c r="DQ152" s="161">
        <f t="shared" si="106"/>
        <v>0</v>
      </c>
      <c r="DR152" s="161">
        <f t="shared" si="107"/>
        <v>0</v>
      </c>
      <c r="DS152" s="161">
        <f t="shared" si="108"/>
        <v>0</v>
      </c>
      <c r="DT152" s="161">
        <f t="shared" si="109"/>
        <v>0</v>
      </c>
      <c r="DU152" s="161">
        <f t="shared" si="110"/>
        <v>0</v>
      </c>
      <c r="DV152" s="161">
        <f t="shared" si="111"/>
        <v>0</v>
      </c>
      <c r="DW152" s="161">
        <f t="shared" si="112"/>
        <v>0</v>
      </c>
      <c r="DX152" s="161">
        <f t="shared" si="113"/>
        <v>0</v>
      </c>
      <c r="DY152" s="161">
        <f t="shared" si="114"/>
        <v>0</v>
      </c>
      <c r="DZ152" s="161">
        <f t="shared" si="115"/>
        <v>0</v>
      </c>
      <c r="EA152" s="161">
        <f t="shared" si="116"/>
        <v>0</v>
      </c>
      <c r="EB152" s="161">
        <f t="shared" si="117"/>
        <v>0</v>
      </c>
      <c r="EC152" s="161">
        <f t="shared" si="118"/>
        <v>0</v>
      </c>
      <c r="ED152" s="161">
        <f t="shared" si="119"/>
        <v>0</v>
      </c>
      <c r="EE152" s="161">
        <f t="shared" si="120"/>
        <v>0</v>
      </c>
      <c r="EF152" s="161">
        <f t="shared" si="121"/>
        <v>0</v>
      </c>
      <c r="EG152" s="161">
        <f t="shared" si="122"/>
        <v>0</v>
      </c>
      <c r="EH152" s="161">
        <f t="shared" si="123"/>
        <v>0</v>
      </c>
      <c r="EI152" s="161">
        <f t="shared" si="124"/>
        <v>0</v>
      </c>
      <c r="EJ152" s="161">
        <f t="shared" si="125"/>
        <v>0</v>
      </c>
      <c r="EK152" s="147">
        <f t="shared" ref="EK152:EK183" si="173">IF(DF152="", "", SUM(DF152:EJ152))</f>
        <v>0</v>
      </c>
      <c r="EL152" s="149"/>
      <c r="EN152" s="151"/>
      <c r="EO152" s="151"/>
      <c r="EP152" s="139">
        <f t="shared" ref="EP152:EP183" si="174">IF(DF152="", "", DF152*G$36)</f>
        <v>0</v>
      </c>
      <c r="EQ152" s="139">
        <f t="shared" ref="EQ152:EQ183" si="175">IF(DG152="", "", DG152*H$36)</f>
        <v>0</v>
      </c>
      <c r="ER152" s="139">
        <f t="shared" ref="ER152:ER183" si="176">IF(DH152="", "", DH152*I$36)</f>
        <v>0</v>
      </c>
      <c r="ES152" s="139">
        <f t="shared" ref="ES152:ES183" si="177">IF(DI152="", "", DI152*J$36)</f>
        <v>0</v>
      </c>
      <c r="ET152" s="139">
        <f t="shared" ref="ET152:ET183" si="178">IF(DJ152="", "", DJ152*K$36)</f>
        <v>0</v>
      </c>
      <c r="EU152" s="139">
        <f t="shared" ref="EU152:EU183" si="179">IF(DK152="", "", DK152*L$36)</f>
        <v>0</v>
      </c>
      <c r="EV152" s="139">
        <f t="shared" ref="EV152:EV183" si="180">IF(DL152="", "", DL152*M$36)</f>
        <v>0</v>
      </c>
      <c r="EW152" s="139">
        <f t="shared" ref="EW152:EW183" si="181">IF(DM152="", "", DM152*N$36)</f>
        <v>0</v>
      </c>
      <c r="EX152" s="139">
        <f t="shared" ref="EX152:EX183" si="182">IF(DN152="", "", DN152*O$36)</f>
        <v>0</v>
      </c>
      <c r="EY152" s="139">
        <f t="shared" ref="EY152:EY183" si="183">IF(DO152="", "", DO152*P$36)</f>
        <v>0</v>
      </c>
      <c r="EZ152" s="139">
        <f t="shared" ref="EZ152:EZ183" si="184">IF(DP152="", "", DP152*Q$36)</f>
        <v>0</v>
      </c>
      <c r="FA152" s="139">
        <f t="shared" ref="FA152:FA183" si="185">IF(DQ152="", "", DQ152*R$36)</f>
        <v>0</v>
      </c>
      <c r="FB152" s="139">
        <f t="shared" ref="FB152:FB183" si="186">IF(DR152="", "", DR152*S$36)</f>
        <v>0</v>
      </c>
      <c r="FC152" s="139">
        <f t="shared" ref="FC152:FC183" si="187">IF(DS152="", "", DS152*T$36)</f>
        <v>0</v>
      </c>
      <c r="FD152" s="139">
        <f t="shared" ref="FD152:FD183" si="188">IF(DT152="", "", DT152*U$36)</f>
        <v>0</v>
      </c>
      <c r="FE152" s="139">
        <f t="shared" ref="FE152:FE183" si="189">IF(DU152="", "", DU152*V$36)</f>
        <v>0</v>
      </c>
      <c r="FF152" s="139">
        <f t="shared" ref="FF152:FF183" si="190">IF(DV152="", "", DV152*W$36)</f>
        <v>0</v>
      </c>
      <c r="FG152" s="139">
        <f t="shared" ref="FG152:FG183" si="191">IF(DW152="", "", DW152*X$36)</f>
        <v>0</v>
      </c>
      <c r="FH152" s="139">
        <f t="shared" ref="FH152:FH183" si="192">IF(DX152="", "", DX152*Y$36)</f>
        <v>0</v>
      </c>
      <c r="FI152" s="139">
        <f t="shared" ref="FI152:FI183" si="193">IF(DY152="", "", DY152*Z$36)</f>
        <v>0</v>
      </c>
      <c r="FJ152" s="139">
        <f t="shared" ref="FJ152:FJ183" si="194">IF(DZ152="", "", DZ152*AA$36)</f>
        <v>0</v>
      </c>
      <c r="FK152" s="139">
        <f t="shared" ref="FK152:FK183" si="195">IF(EA152="", "", EA152*AB$36)</f>
        <v>0</v>
      </c>
      <c r="FL152" s="139">
        <f t="shared" ref="FL152:FL183" si="196">IF(EB152="", "", EB152*AC$36)</f>
        <v>0</v>
      </c>
      <c r="FM152" s="139">
        <f t="shared" ref="FM152:FM183" si="197">IF(EC152="", "", EC152*AD$36)</f>
        <v>0</v>
      </c>
      <c r="FN152" s="139">
        <f t="shared" ref="FN152:FN183" si="198">IF(ED152="", "", ED152*AE$36)</f>
        <v>0</v>
      </c>
      <c r="FO152" s="139">
        <f t="shared" ref="FO152:FO183" si="199">IF(EE152="", "", EE152*AF$36)</f>
        <v>0</v>
      </c>
      <c r="FP152" s="139">
        <f t="shared" ref="FP152:FP183" si="200">IF(EF152="", "", EF152*AG$36)</f>
        <v>0</v>
      </c>
      <c r="FQ152" s="139">
        <f t="shared" ref="FQ152:FQ183" si="201">IF(EG152="", "", EG152*AH$36)</f>
        <v>0</v>
      </c>
      <c r="FR152" s="139">
        <f t="shared" ref="FR152:FR183" si="202">IF(EH152="", "", EH152*AI$36)</f>
        <v>0</v>
      </c>
      <c r="FS152" s="139">
        <f t="shared" ref="FS152:FS183" si="203">IF(EI152="", "", EI152*AJ$36)</f>
        <v>0</v>
      </c>
      <c r="FT152" s="139">
        <f t="shared" ref="FT152:FT183" si="204">IF(EJ152="", "", EJ152*AK$36)</f>
        <v>0</v>
      </c>
      <c r="FU152" s="148">
        <f t="shared" ref="FU152:FU183" si="205">IF(EP152="","",SUM(EP152:FT152))</f>
        <v>0</v>
      </c>
      <c r="FV152" s="149"/>
      <c r="FY152" s="213">
        <v>147</v>
      </c>
      <c r="FZ152">
        <v>54.348081362559476</v>
      </c>
      <c r="GA152">
        <v>61.136283885709709</v>
      </c>
      <c r="GB152">
        <v>15.798864062891365</v>
      </c>
      <c r="GC152">
        <v>6.8785725620548783</v>
      </c>
      <c r="GD152">
        <v>5.4308361116349291</v>
      </c>
      <c r="GE152">
        <v>5.7465715544899556</v>
      </c>
      <c r="GF152">
        <v>5.3573710949847451</v>
      </c>
      <c r="GG152">
        <v>2.6579434934425867</v>
      </c>
      <c r="GH152">
        <v>21.176078263284953</v>
      </c>
      <c r="GI152">
        <v>20.033953429649056</v>
      </c>
      <c r="GJ152"/>
      <c r="GK152"/>
      <c r="GL152"/>
      <c r="GM152"/>
      <c r="GN152" s="208"/>
      <c r="GO152" s="208"/>
      <c r="GP152" s="208"/>
      <c r="GQ152" s="208"/>
      <c r="GR152" s="208"/>
      <c r="GS152" s="208"/>
      <c r="GT152" s="208"/>
      <c r="GU152" s="213">
        <v>147</v>
      </c>
    </row>
    <row r="153" spans="1:203" s="7" customFormat="1">
      <c r="A153" s="77"/>
      <c r="B153" s="76">
        <f ca="1">IF(C153="", "", RAND())</f>
        <v>0.41837520008571261</v>
      </c>
      <c r="C153">
        <v>10</v>
      </c>
      <c r="D153">
        <v>39847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 s="2"/>
      <c r="AK153" s="80"/>
      <c r="AL153" s="74"/>
      <c r="AM153" s="43">
        <v>137</v>
      </c>
      <c r="AN153">
        <v>340.09625826026303</v>
      </c>
      <c r="AO153">
        <v>31.101447227692326</v>
      </c>
      <c r="AP153">
        <v>80.488188092127018</v>
      </c>
      <c r="AQ153">
        <v>222.94309119848162</v>
      </c>
      <c r="AR153">
        <v>32.649509341189876</v>
      </c>
      <c r="AS153">
        <v>282.74423557299804</v>
      </c>
      <c r="AT153">
        <v>14.775820461461882</v>
      </c>
      <c r="AU153">
        <v>12.493662944157172</v>
      </c>
      <c r="AV153"/>
      <c r="AW153"/>
      <c r="AX153" s="151"/>
      <c r="AY153" s="76">
        <f t="shared" ca="1" si="171"/>
        <v>0.57919879847196132</v>
      </c>
      <c r="AZ153">
        <v>6</v>
      </c>
      <c r="BA153" s="129">
        <f t="shared" si="170"/>
        <v>39847</v>
      </c>
      <c r="BB153" s="207">
        <v>0</v>
      </c>
      <c r="BC153" s="207">
        <v>0</v>
      </c>
      <c r="BD153" s="207">
        <v>0</v>
      </c>
      <c r="BE153" s="207">
        <v>0</v>
      </c>
      <c r="BF153" s="207">
        <v>0</v>
      </c>
      <c r="BG153" s="207">
        <v>0</v>
      </c>
      <c r="BH153" s="207">
        <v>0</v>
      </c>
      <c r="BI153" s="207">
        <v>0</v>
      </c>
      <c r="BJ153" s="207">
        <v>0</v>
      </c>
      <c r="BK153" s="207">
        <v>0</v>
      </c>
      <c r="BL153" s="207">
        <v>0</v>
      </c>
      <c r="BM153" s="207">
        <v>0</v>
      </c>
      <c r="BN153" s="207">
        <v>0</v>
      </c>
      <c r="BO153" s="207">
        <v>0</v>
      </c>
      <c r="BP153" s="207">
        <v>0</v>
      </c>
      <c r="BQ153" s="207">
        <v>0</v>
      </c>
      <c r="BR153" s="207">
        <v>0</v>
      </c>
      <c r="BS153" s="207">
        <v>0</v>
      </c>
      <c r="BT153" s="207">
        <v>0</v>
      </c>
      <c r="BU153" s="207">
        <v>0</v>
      </c>
      <c r="BV153" s="207">
        <v>0</v>
      </c>
      <c r="BW153" s="207">
        <v>0</v>
      </c>
      <c r="BX153" s="207">
        <v>0</v>
      </c>
      <c r="BY153" s="207">
        <v>0</v>
      </c>
      <c r="BZ153" s="207">
        <v>0</v>
      </c>
      <c r="CA153" s="207">
        <v>0</v>
      </c>
      <c r="CB153" s="207">
        <v>0</v>
      </c>
      <c r="CC153" s="207">
        <v>0</v>
      </c>
      <c r="CD153" s="207">
        <v>0</v>
      </c>
      <c r="CE153" s="207">
        <v>0</v>
      </c>
      <c r="CF153" s="207">
        <v>0</v>
      </c>
      <c r="CG153" s="147"/>
      <c r="CH153" s="176"/>
      <c r="CJ153" s="151"/>
      <c r="CK153" s="76">
        <f t="shared" ref="CK153:CK207" ca="1" si="206">IF(AZ153="", "", RAND())</f>
        <v>0.60422923950450347</v>
      </c>
      <c r="CL153" s="179">
        <f t="shared" ref="CL153:CL207" si="207">IF(AZ153="", "", AZ153)</f>
        <v>6</v>
      </c>
      <c r="CM153" s="180">
        <f t="shared" ref="CM153:CM207" si="208">IF(AZ153="", "", BA153)</f>
        <v>39847</v>
      </c>
      <c r="CN153" s="208">
        <v>0</v>
      </c>
      <c r="CO153" s="208">
        <v>0</v>
      </c>
      <c r="CP153" s="208">
        <v>0</v>
      </c>
      <c r="CQ153" s="208">
        <v>0</v>
      </c>
      <c r="CR153" s="208">
        <v>0</v>
      </c>
      <c r="CS153" s="208">
        <v>0</v>
      </c>
      <c r="CT153" s="208">
        <v>0</v>
      </c>
      <c r="CU153" s="208">
        <v>0</v>
      </c>
      <c r="CV153" s="160"/>
      <c r="CW153">
        <v>1</v>
      </c>
      <c r="CX153">
        <v>1</v>
      </c>
      <c r="CY153" s="160"/>
      <c r="CZ153" s="177">
        <f t="shared" ref="CZ153:CZ207" si="209">IF(AZ153="", "", $G$15)</f>
        <v>9.6000000000000002E-2</v>
      </c>
      <c r="DB153" s="151"/>
      <c r="DC153" s="76">
        <f t="shared" ca="1" si="172"/>
        <v>0.69365438771665033</v>
      </c>
      <c r="DD153">
        <f t="shared" ref="DD153:DD207" si="210">IF(AZ153="", "", AZ153)</f>
        <v>6</v>
      </c>
      <c r="DE153" s="129">
        <f t="shared" si="169"/>
        <v>39847</v>
      </c>
      <c r="DF153" s="161">
        <f t="shared" ref="DF153:DF187" si="211">IF($AZ153="", "", ((BB153*$CW153)+(CN153*$CX153))/$CZ153)</f>
        <v>0</v>
      </c>
      <c r="DG153" s="161">
        <f t="shared" ref="DG153:DG187" si="212">IF($AZ153="", "", ((BC153*$CW153)+(CO153*$CX153))/$CZ153)</f>
        <v>0</v>
      </c>
      <c r="DH153" s="161">
        <f t="shared" ref="DH153:DH187" si="213">IF($AZ153="", "", ((BD153*$CW153)+(CP153*$CX153))/$CZ153)</f>
        <v>0</v>
      </c>
      <c r="DI153" s="161">
        <f t="shared" ref="DI153:DI187" si="214">IF($AZ153="", "", ((BE153*$CW153)+(CQ153*$CX153))/$CZ153)</f>
        <v>0</v>
      </c>
      <c r="DJ153" s="161">
        <f t="shared" ref="DJ153:DJ187" si="215">IF($AZ153="", "", ((BF153*$CW153)+(CR153*$CX153))/$CZ153)</f>
        <v>0</v>
      </c>
      <c r="DK153" s="161">
        <f t="shared" ref="DK153:DK187" si="216">IF($AZ153="", "", ((BG153*$CW153)+(CS153*$CX153))/$CZ153)</f>
        <v>0</v>
      </c>
      <c r="DL153" s="161">
        <f t="shared" ref="DL153:DL187" si="217">IF($AZ153="", "", ((BH153*$CW153)+(CT153*$CX153))/$CZ153)</f>
        <v>0</v>
      </c>
      <c r="DM153" s="161">
        <f t="shared" ref="DM153:DM187" si="218">IF($AZ153="", "", ((BI153*$CW153)+(CU153*$CX153))/$CZ153)</f>
        <v>0</v>
      </c>
      <c r="DN153" s="161">
        <f t="shared" ref="DN153:DN187" si="219">IF($AZ153="", "", (BJ153*$CW153)/$CZ153)</f>
        <v>0</v>
      </c>
      <c r="DO153" s="161">
        <f t="shared" ref="DO153:DO187" si="220">IF($AZ153="", "", (BK153*$CW153)/$CZ153)</f>
        <v>0</v>
      </c>
      <c r="DP153" s="161">
        <f t="shared" ref="DP153:DP187" si="221">IF($AZ153="", "", (BL153*$CW153)/$CZ153)</f>
        <v>0</v>
      </c>
      <c r="DQ153" s="161">
        <f t="shared" ref="DQ153:DQ187" si="222">IF($AZ153="", "", (BM153*$CW153)/$CZ153)</f>
        <v>0</v>
      </c>
      <c r="DR153" s="161">
        <f t="shared" ref="DR153:DR187" si="223">IF($AZ153="", "", (BN153*$CW153)/$CZ153)</f>
        <v>0</v>
      </c>
      <c r="DS153" s="161">
        <f t="shared" ref="DS153:DS187" si="224">IF($AZ153="", "", (BO153*$CW153)/$CZ153)</f>
        <v>0</v>
      </c>
      <c r="DT153" s="161">
        <f t="shared" ref="DT153:DT187" si="225">IF($AZ153="", "", (BP153*$CW153)/$CZ153)</f>
        <v>0</v>
      </c>
      <c r="DU153" s="161">
        <f t="shared" ref="DU153:DU187" si="226">IF($AZ153="", "", (BQ153*$CW153)/$CZ153)</f>
        <v>0</v>
      </c>
      <c r="DV153" s="161">
        <f t="shared" ref="DV153:DV187" si="227">IF($AZ153="", "", (BR153*$CW153)/$CZ153)</f>
        <v>0</v>
      </c>
      <c r="DW153" s="161">
        <f t="shared" ref="DW153:DW187" si="228">IF($AZ153="", "", (BS153*$CW153)/$CZ153)</f>
        <v>0</v>
      </c>
      <c r="DX153" s="161">
        <f t="shared" ref="DX153:DX187" si="229">IF($AZ153="", "", (BT153*$CW153)/$CZ153)</f>
        <v>0</v>
      </c>
      <c r="DY153" s="161">
        <f t="shared" ref="DY153:DY187" si="230">IF($AZ153="", "", (BU153*$CW153)/$CZ153)</f>
        <v>0</v>
      </c>
      <c r="DZ153" s="161">
        <f t="shared" ref="DZ153:DZ187" si="231">IF($AZ153="", "", (BV153*$CW153)/$CZ153)</f>
        <v>0</v>
      </c>
      <c r="EA153" s="161">
        <f t="shared" ref="EA153:EA187" si="232">IF($AZ153="", "", (BW153*$CW153)/$CZ153)</f>
        <v>0</v>
      </c>
      <c r="EB153" s="161">
        <f t="shared" ref="EB153:EB187" si="233">IF($AZ153="", "", (BX153*$CW153)/$CZ153)</f>
        <v>0</v>
      </c>
      <c r="EC153" s="161">
        <f t="shared" ref="EC153:EC187" si="234">IF($AZ153="", "", (BY153*$CW153)/$CZ153)</f>
        <v>0</v>
      </c>
      <c r="ED153" s="161">
        <f t="shared" ref="ED153:ED187" si="235">IF($AZ153="", "", (BZ153*$CW153)/$CZ153)</f>
        <v>0</v>
      </c>
      <c r="EE153" s="161">
        <f t="shared" ref="EE153:EE187" si="236">IF($AZ153="", "", (CA153*$CW153)/$CZ153)</f>
        <v>0</v>
      </c>
      <c r="EF153" s="161">
        <f t="shared" ref="EF153:EF187" si="237">IF($AZ153="", "", (CB153*$CW153)/$CZ153)</f>
        <v>0</v>
      </c>
      <c r="EG153" s="161">
        <f t="shared" ref="EG153:EG187" si="238">IF($AZ153="", "", (CC153*$CW153)/$CZ153)</f>
        <v>0</v>
      </c>
      <c r="EH153" s="161">
        <f t="shared" ref="EH153:EH187" si="239">IF($AZ153="", "", (CD153*$CW153)/$CZ153)</f>
        <v>0</v>
      </c>
      <c r="EI153" s="161">
        <f t="shared" ref="EI153:EI187" si="240">IF($AZ153="", "", (CE153*$CW153)/$CZ153)</f>
        <v>0</v>
      </c>
      <c r="EJ153" s="161">
        <f t="shared" ref="EJ153:EJ187" si="241">IF($AZ153="", "", (CF153*$CW153)/$CZ153)</f>
        <v>0</v>
      </c>
      <c r="EK153" s="147">
        <f t="shared" si="173"/>
        <v>0</v>
      </c>
      <c r="EL153" s="149"/>
      <c r="EN153" s="151"/>
      <c r="EO153" s="151"/>
      <c r="EP153" s="139">
        <f t="shared" si="174"/>
        <v>0</v>
      </c>
      <c r="EQ153" s="139">
        <f t="shared" si="175"/>
        <v>0</v>
      </c>
      <c r="ER153" s="139">
        <f t="shared" si="176"/>
        <v>0</v>
      </c>
      <c r="ES153" s="139">
        <f t="shared" si="177"/>
        <v>0</v>
      </c>
      <c r="ET153" s="139">
        <f t="shared" si="178"/>
        <v>0</v>
      </c>
      <c r="EU153" s="139">
        <f t="shared" si="179"/>
        <v>0</v>
      </c>
      <c r="EV153" s="139">
        <f t="shared" si="180"/>
        <v>0</v>
      </c>
      <c r="EW153" s="139">
        <f t="shared" si="181"/>
        <v>0</v>
      </c>
      <c r="EX153" s="139">
        <f t="shared" si="182"/>
        <v>0</v>
      </c>
      <c r="EY153" s="139">
        <f t="shared" si="183"/>
        <v>0</v>
      </c>
      <c r="EZ153" s="139">
        <f t="shared" si="184"/>
        <v>0</v>
      </c>
      <c r="FA153" s="139">
        <f t="shared" si="185"/>
        <v>0</v>
      </c>
      <c r="FB153" s="139">
        <f t="shared" si="186"/>
        <v>0</v>
      </c>
      <c r="FC153" s="139">
        <f t="shared" si="187"/>
        <v>0</v>
      </c>
      <c r="FD153" s="139">
        <f t="shared" si="188"/>
        <v>0</v>
      </c>
      <c r="FE153" s="139">
        <f t="shared" si="189"/>
        <v>0</v>
      </c>
      <c r="FF153" s="139">
        <f t="shared" si="190"/>
        <v>0</v>
      </c>
      <c r="FG153" s="139">
        <f t="shared" si="191"/>
        <v>0</v>
      </c>
      <c r="FH153" s="139">
        <f t="shared" si="192"/>
        <v>0</v>
      </c>
      <c r="FI153" s="139">
        <f t="shared" si="193"/>
        <v>0</v>
      </c>
      <c r="FJ153" s="139">
        <f t="shared" si="194"/>
        <v>0</v>
      </c>
      <c r="FK153" s="139">
        <f t="shared" si="195"/>
        <v>0</v>
      </c>
      <c r="FL153" s="139">
        <f t="shared" si="196"/>
        <v>0</v>
      </c>
      <c r="FM153" s="139">
        <f t="shared" si="197"/>
        <v>0</v>
      </c>
      <c r="FN153" s="139">
        <f t="shared" si="198"/>
        <v>0</v>
      </c>
      <c r="FO153" s="139">
        <f t="shared" si="199"/>
        <v>0</v>
      </c>
      <c r="FP153" s="139">
        <f t="shared" si="200"/>
        <v>0</v>
      </c>
      <c r="FQ153" s="139">
        <f t="shared" si="201"/>
        <v>0</v>
      </c>
      <c r="FR153" s="139">
        <f t="shared" si="202"/>
        <v>0</v>
      </c>
      <c r="FS153" s="139">
        <f t="shared" si="203"/>
        <v>0</v>
      </c>
      <c r="FT153" s="139">
        <f t="shared" si="204"/>
        <v>0</v>
      </c>
      <c r="FU153" s="148">
        <f t="shared" si="205"/>
        <v>0</v>
      </c>
      <c r="FV153" s="149"/>
      <c r="FY153" s="213">
        <v>148</v>
      </c>
      <c r="FZ153">
        <v>52.689226756344198</v>
      </c>
      <c r="GA153">
        <v>31.540514669134755</v>
      </c>
      <c r="GB153">
        <v>4.9999643816641424</v>
      </c>
      <c r="GC153">
        <v>3.9416775965172928</v>
      </c>
      <c r="GD153">
        <v>2.5661509719029705</v>
      </c>
      <c r="GE153">
        <v>2.2519933271240276</v>
      </c>
      <c r="GF153">
        <v>21.465498131998206</v>
      </c>
      <c r="GG153">
        <v>20.153366565496245</v>
      </c>
      <c r="GH153">
        <v>16.196600032802291</v>
      </c>
      <c r="GI153">
        <v>16.869460367966667</v>
      </c>
      <c r="GJ153"/>
      <c r="GK153"/>
      <c r="GL153"/>
      <c r="GM153"/>
      <c r="GN153" s="208"/>
      <c r="GO153" s="208"/>
      <c r="GP153" s="208"/>
      <c r="GQ153" s="208"/>
      <c r="GR153" s="208"/>
      <c r="GS153" s="208"/>
      <c r="GT153" s="208"/>
      <c r="GU153" s="213">
        <v>148</v>
      </c>
    </row>
    <row r="154" spans="1:203" s="7" customFormat="1">
      <c r="A154" s="77"/>
      <c r="B154" s="76">
        <f ca="1">IF(C154="", "", RAND())</f>
        <v>0.82901136554659716</v>
      </c>
      <c r="C154">
        <v>1</v>
      </c>
      <c r="D154">
        <v>39847</v>
      </c>
      <c r="E154">
        <v>0</v>
      </c>
      <c r="F154">
        <v>72.916666666666671</v>
      </c>
      <c r="G154">
        <v>31.25</v>
      </c>
      <c r="H154">
        <v>0</v>
      </c>
      <c r="I154">
        <v>0</v>
      </c>
      <c r="J154">
        <v>10.416666666666666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 s="2"/>
      <c r="AK154" s="80"/>
      <c r="AL154" s="74"/>
      <c r="AM154" s="43">
        <v>138</v>
      </c>
      <c r="AN154">
        <v>317.24998816759421</v>
      </c>
      <c r="AO154">
        <v>31.633789662716179</v>
      </c>
      <c r="AP154">
        <v>90.299902816069959</v>
      </c>
      <c r="AQ154">
        <v>231.23454729361484</v>
      </c>
      <c r="AR154">
        <v>31.846225586524287</v>
      </c>
      <c r="AS154">
        <v>269.51637922390313</v>
      </c>
      <c r="AT154">
        <v>13.501676743043815</v>
      </c>
      <c r="AU154">
        <v>8.9022198072021546</v>
      </c>
      <c r="AV154"/>
      <c r="AW154"/>
      <c r="AX154" s="151"/>
      <c r="AY154" s="76">
        <f t="shared" ca="1" si="171"/>
        <v>0.53638375310257924</v>
      </c>
      <c r="AZ154">
        <v>7</v>
      </c>
      <c r="BA154" s="129">
        <f t="shared" si="170"/>
        <v>39847</v>
      </c>
      <c r="BB154" s="207">
        <v>0</v>
      </c>
      <c r="BC154" s="207">
        <v>0</v>
      </c>
      <c r="BD154" s="207">
        <v>0</v>
      </c>
      <c r="BE154" s="207">
        <v>0</v>
      </c>
      <c r="BF154" s="207">
        <v>0</v>
      </c>
      <c r="BG154" s="207">
        <v>0</v>
      </c>
      <c r="BH154" s="207">
        <v>0</v>
      </c>
      <c r="BI154" s="207">
        <v>0</v>
      </c>
      <c r="BJ154" s="207">
        <v>0</v>
      </c>
      <c r="BK154" s="207">
        <v>0</v>
      </c>
      <c r="BL154" s="207">
        <v>0</v>
      </c>
      <c r="BM154" s="207">
        <v>0</v>
      </c>
      <c r="BN154" s="207">
        <v>0</v>
      </c>
      <c r="BO154" s="207">
        <v>0</v>
      </c>
      <c r="BP154" s="207">
        <v>0</v>
      </c>
      <c r="BQ154" s="207">
        <v>0</v>
      </c>
      <c r="BR154" s="207">
        <v>0</v>
      </c>
      <c r="BS154" s="207">
        <v>0</v>
      </c>
      <c r="BT154" s="207">
        <v>0</v>
      </c>
      <c r="BU154" s="207">
        <v>0</v>
      </c>
      <c r="BV154" s="207">
        <v>0</v>
      </c>
      <c r="BW154" s="207">
        <v>0</v>
      </c>
      <c r="BX154" s="207">
        <v>0</v>
      </c>
      <c r="BY154" s="207">
        <v>0</v>
      </c>
      <c r="BZ154" s="207">
        <v>0</v>
      </c>
      <c r="CA154" s="207">
        <v>0</v>
      </c>
      <c r="CB154" s="207">
        <v>0</v>
      </c>
      <c r="CC154" s="207">
        <v>0</v>
      </c>
      <c r="CD154" s="207">
        <v>0</v>
      </c>
      <c r="CE154" s="207">
        <v>0</v>
      </c>
      <c r="CF154" s="207">
        <v>0</v>
      </c>
      <c r="CG154" s="147"/>
      <c r="CH154" s="176"/>
      <c r="CJ154" s="151"/>
      <c r="CK154" s="76">
        <f t="shared" ca="1" si="206"/>
        <v>1.1379491915923801E-2</v>
      </c>
      <c r="CL154" s="179">
        <f t="shared" si="207"/>
        <v>7</v>
      </c>
      <c r="CM154" s="180">
        <f t="shared" si="208"/>
        <v>39847</v>
      </c>
      <c r="CN154" s="208">
        <v>0</v>
      </c>
      <c r="CO154" s="208">
        <v>0</v>
      </c>
      <c r="CP154" s="208">
        <v>0</v>
      </c>
      <c r="CQ154" s="208">
        <v>0</v>
      </c>
      <c r="CR154" s="208">
        <v>0</v>
      </c>
      <c r="CS154" s="208">
        <v>0</v>
      </c>
      <c r="CT154" s="208">
        <v>0</v>
      </c>
      <c r="CU154" s="208">
        <v>0</v>
      </c>
      <c r="CV154" s="160"/>
      <c r="CW154">
        <v>1</v>
      </c>
      <c r="CX154">
        <v>1</v>
      </c>
      <c r="CY154" s="165"/>
      <c r="CZ154" s="177">
        <f t="shared" si="209"/>
        <v>9.6000000000000002E-2</v>
      </c>
      <c r="DB154" s="151"/>
      <c r="DC154" s="76">
        <f t="shared" ca="1" si="172"/>
        <v>0.93233039205255253</v>
      </c>
      <c r="DD154">
        <f t="shared" si="210"/>
        <v>7</v>
      </c>
      <c r="DE154" s="129">
        <f t="shared" si="169"/>
        <v>39847</v>
      </c>
      <c r="DF154" s="161">
        <f t="shared" si="211"/>
        <v>0</v>
      </c>
      <c r="DG154" s="161">
        <f t="shared" si="212"/>
        <v>0</v>
      </c>
      <c r="DH154" s="161">
        <f t="shared" si="213"/>
        <v>0</v>
      </c>
      <c r="DI154" s="161">
        <f t="shared" si="214"/>
        <v>0</v>
      </c>
      <c r="DJ154" s="161">
        <f t="shared" si="215"/>
        <v>0</v>
      </c>
      <c r="DK154" s="161">
        <f t="shared" si="216"/>
        <v>0</v>
      </c>
      <c r="DL154" s="161">
        <f t="shared" si="217"/>
        <v>0</v>
      </c>
      <c r="DM154" s="161">
        <f t="shared" si="218"/>
        <v>0</v>
      </c>
      <c r="DN154" s="161">
        <f t="shared" si="219"/>
        <v>0</v>
      </c>
      <c r="DO154" s="161">
        <f t="shared" si="220"/>
        <v>0</v>
      </c>
      <c r="DP154" s="161">
        <f t="shared" si="221"/>
        <v>0</v>
      </c>
      <c r="DQ154" s="161">
        <f t="shared" si="222"/>
        <v>0</v>
      </c>
      <c r="DR154" s="161">
        <f t="shared" si="223"/>
        <v>0</v>
      </c>
      <c r="DS154" s="161">
        <f t="shared" si="224"/>
        <v>0</v>
      </c>
      <c r="DT154" s="161">
        <f t="shared" si="225"/>
        <v>0</v>
      </c>
      <c r="DU154" s="161">
        <f t="shared" si="226"/>
        <v>0</v>
      </c>
      <c r="DV154" s="161">
        <f t="shared" si="227"/>
        <v>0</v>
      </c>
      <c r="DW154" s="161">
        <f t="shared" si="228"/>
        <v>0</v>
      </c>
      <c r="DX154" s="161">
        <f t="shared" si="229"/>
        <v>0</v>
      </c>
      <c r="DY154" s="161">
        <f t="shared" si="230"/>
        <v>0</v>
      </c>
      <c r="DZ154" s="161">
        <f t="shared" si="231"/>
        <v>0</v>
      </c>
      <c r="EA154" s="161">
        <f t="shared" si="232"/>
        <v>0</v>
      </c>
      <c r="EB154" s="161">
        <f t="shared" si="233"/>
        <v>0</v>
      </c>
      <c r="EC154" s="161">
        <f t="shared" si="234"/>
        <v>0</v>
      </c>
      <c r="ED154" s="161">
        <f t="shared" si="235"/>
        <v>0</v>
      </c>
      <c r="EE154" s="161">
        <f t="shared" si="236"/>
        <v>0</v>
      </c>
      <c r="EF154" s="161">
        <f t="shared" si="237"/>
        <v>0</v>
      </c>
      <c r="EG154" s="161">
        <f t="shared" si="238"/>
        <v>0</v>
      </c>
      <c r="EH154" s="161">
        <f t="shared" si="239"/>
        <v>0</v>
      </c>
      <c r="EI154" s="161">
        <f t="shared" si="240"/>
        <v>0</v>
      </c>
      <c r="EJ154" s="161">
        <f t="shared" si="241"/>
        <v>0</v>
      </c>
      <c r="EK154" s="147">
        <f t="shared" si="173"/>
        <v>0</v>
      </c>
      <c r="EL154" s="149"/>
      <c r="EN154" s="151"/>
      <c r="EO154" s="151"/>
      <c r="EP154" s="139">
        <f t="shared" si="174"/>
        <v>0</v>
      </c>
      <c r="EQ154" s="139">
        <f t="shared" si="175"/>
        <v>0</v>
      </c>
      <c r="ER154" s="139">
        <f t="shared" si="176"/>
        <v>0</v>
      </c>
      <c r="ES154" s="139">
        <f t="shared" si="177"/>
        <v>0</v>
      </c>
      <c r="ET154" s="139">
        <f t="shared" si="178"/>
        <v>0</v>
      </c>
      <c r="EU154" s="139">
        <f t="shared" si="179"/>
        <v>0</v>
      </c>
      <c r="EV154" s="139">
        <f t="shared" si="180"/>
        <v>0</v>
      </c>
      <c r="EW154" s="139">
        <f t="shared" si="181"/>
        <v>0</v>
      </c>
      <c r="EX154" s="139">
        <f t="shared" si="182"/>
        <v>0</v>
      </c>
      <c r="EY154" s="139">
        <f t="shared" si="183"/>
        <v>0</v>
      </c>
      <c r="EZ154" s="139">
        <f t="shared" si="184"/>
        <v>0</v>
      </c>
      <c r="FA154" s="139">
        <f t="shared" si="185"/>
        <v>0</v>
      </c>
      <c r="FB154" s="139">
        <f t="shared" si="186"/>
        <v>0</v>
      </c>
      <c r="FC154" s="139">
        <f t="shared" si="187"/>
        <v>0</v>
      </c>
      <c r="FD154" s="139">
        <f t="shared" si="188"/>
        <v>0</v>
      </c>
      <c r="FE154" s="139">
        <f t="shared" si="189"/>
        <v>0</v>
      </c>
      <c r="FF154" s="139">
        <f t="shared" si="190"/>
        <v>0</v>
      </c>
      <c r="FG154" s="139">
        <f t="shared" si="191"/>
        <v>0</v>
      </c>
      <c r="FH154" s="139">
        <f t="shared" si="192"/>
        <v>0</v>
      </c>
      <c r="FI154" s="139">
        <f t="shared" si="193"/>
        <v>0</v>
      </c>
      <c r="FJ154" s="139">
        <f t="shared" si="194"/>
        <v>0</v>
      </c>
      <c r="FK154" s="139">
        <f t="shared" si="195"/>
        <v>0</v>
      </c>
      <c r="FL154" s="139">
        <f t="shared" si="196"/>
        <v>0</v>
      </c>
      <c r="FM154" s="139">
        <f t="shared" si="197"/>
        <v>0</v>
      </c>
      <c r="FN154" s="139">
        <f t="shared" si="198"/>
        <v>0</v>
      </c>
      <c r="FO154" s="139">
        <f t="shared" si="199"/>
        <v>0</v>
      </c>
      <c r="FP154" s="139">
        <f t="shared" si="200"/>
        <v>0</v>
      </c>
      <c r="FQ154" s="139">
        <f t="shared" si="201"/>
        <v>0</v>
      </c>
      <c r="FR154" s="139">
        <f t="shared" si="202"/>
        <v>0</v>
      </c>
      <c r="FS154" s="139">
        <f t="shared" si="203"/>
        <v>0</v>
      </c>
      <c r="FT154" s="139">
        <f t="shared" si="204"/>
        <v>0</v>
      </c>
      <c r="FU154" s="148">
        <f t="shared" si="205"/>
        <v>0</v>
      </c>
      <c r="FV154" s="149"/>
      <c r="FY154" s="213">
        <v>149</v>
      </c>
      <c r="FZ154">
        <v>50.246257438019853</v>
      </c>
      <c r="GA154">
        <v>55.636849348653421</v>
      </c>
      <c r="GB154">
        <v>9.6989779463812624</v>
      </c>
      <c r="GC154">
        <v>5.7183843526920315</v>
      </c>
      <c r="GD154">
        <v>5.8173974944597067</v>
      </c>
      <c r="GE154">
        <v>4.0856915263958413</v>
      </c>
      <c r="GF154">
        <v>4.9691988881481448</v>
      </c>
      <c r="GG154">
        <v>6.7534151448057402</v>
      </c>
      <c r="GH154">
        <v>14.444006846976357</v>
      </c>
      <c r="GI154">
        <v>16.752542570560852</v>
      </c>
      <c r="GJ154"/>
      <c r="GK154"/>
      <c r="GL154"/>
      <c r="GM154"/>
      <c r="GN154" s="208"/>
      <c r="GO154" s="208"/>
      <c r="GP154" s="208"/>
      <c r="GQ154" s="208"/>
      <c r="GR154" s="208"/>
      <c r="GS154" s="208"/>
      <c r="GT154" s="208"/>
      <c r="GU154" s="213">
        <v>149</v>
      </c>
    </row>
    <row r="155" spans="1:203" s="7" customFormat="1">
      <c r="A155" s="77"/>
      <c r="B155" s="76">
        <f ca="1">IF(C155="", "", RAND())</f>
        <v>0.37180109045084575</v>
      </c>
      <c r="C155">
        <v>9</v>
      </c>
      <c r="D155">
        <v>39847</v>
      </c>
      <c r="E155">
        <v>0</v>
      </c>
      <c r="F155">
        <v>455.72916666666663</v>
      </c>
      <c r="G155">
        <v>75.520833333333329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 s="2"/>
      <c r="AK155" s="80"/>
      <c r="AL155" s="74"/>
      <c r="AM155" s="43">
        <v>139</v>
      </c>
      <c r="AN155">
        <v>294.44066711744836</v>
      </c>
      <c r="AO155">
        <v>28.340843050454559</v>
      </c>
      <c r="AP155">
        <v>102.67610488034373</v>
      </c>
      <c r="AQ155">
        <v>215.86319383417484</v>
      </c>
      <c r="AR155">
        <v>28.777812966498082</v>
      </c>
      <c r="AS155">
        <v>245.40623391699845</v>
      </c>
      <c r="AT155">
        <v>13.921995136586569</v>
      </c>
      <c r="AU155">
        <v>6.4700829349628641</v>
      </c>
      <c r="AV155"/>
      <c r="AW155"/>
      <c r="AX155" s="151"/>
      <c r="AY155" s="76">
        <f t="shared" ca="1" si="171"/>
        <v>0.58276846229846901</v>
      </c>
      <c r="AZ155">
        <v>8</v>
      </c>
      <c r="BA155" s="129">
        <f t="shared" si="170"/>
        <v>39847</v>
      </c>
      <c r="BB155" s="207">
        <v>0</v>
      </c>
      <c r="BC155" s="207">
        <v>0</v>
      </c>
      <c r="BD155" s="207">
        <v>0</v>
      </c>
      <c r="BE155" s="207">
        <v>0</v>
      </c>
      <c r="BF155" s="207">
        <v>0</v>
      </c>
      <c r="BG155" s="207">
        <v>0</v>
      </c>
      <c r="BH155" s="207">
        <v>0</v>
      </c>
      <c r="BI155" s="207">
        <v>0</v>
      </c>
      <c r="BJ155" s="207">
        <v>0</v>
      </c>
      <c r="BK155" s="207">
        <v>0</v>
      </c>
      <c r="BL155" s="207">
        <v>0</v>
      </c>
      <c r="BM155" s="207">
        <v>0</v>
      </c>
      <c r="BN155" s="207">
        <v>0</v>
      </c>
      <c r="BO155" s="207">
        <v>0</v>
      </c>
      <c r="BP155" s="207">
        <v>0</v>
      </c>
      <c r="BQ155" s="207">
        <v>0</v>
      </c>
      <c r="BR155" s="207">
        <v>0</v>
      </c>
      <c r="BS155" s="207">
        <v>0</v>
      </c>
      <c r="BT155" s="207">
        <v>0</v>
      </c>
      <c r="BU155" s="207">
        <v>0</v>
      </c>
      <c r="BV155" s="207">
        <v>0</v>
      </c>
      <c r="BW155" s="207">
        <v>0</v>
      </c>
      <c r="BX155" s="207">
        <v>0</v>
      </c>
      <c r="BY155" s="207">
        <v>0</v>
      </c>
      <c r="BZ155" s="207">
        <v>0</v>
      </c>
      <c r="CA155" s="207">
        <v>0</v>
      </c>
      <c r="CB155" s="207">
        <v>0</v>
      </c>
      <c r="CC155" s="207">
        <v>0</v>
      </c>
      <c r="CD155" s="207">
        <v>0</v>
      </c>
      <c r="CE155" s="207">
        <v>0</v>
      </c>
      <c r="CF155" s="207">
        <v>0</v>
      </c>
      <c r="CG155" s="147"/>
      <c r="CH155" s="176"/>
      <c r="CJ155" s="151"/>
      <c r="CK155" s="76">
        <f t="shared" ca="1" si="206"/>
        <v>0.77644300487607598</v>
      </c>
      <c r="CL155" s="179">
        <f t="shared" si="207"/>
        <v>8</v>
      </c>
      <c r="CM155" s="180">
        <f t="shared" si="208"/>
        <v>39847</v>
      </c>
      <c r="CN155" s="208">
        <v>0</v>
      </c>
      <c r="CO155" s="208">
        <v>0</v>
      </c>
      <c r="CP155" s="208">
        <v>1</v>
      </c>
      <c r="CQ155" s="208">
        <v>0</v>
      </c>
      <c r="CR155" s="208">
        <v>0</v>
      </c>
      <c r="CS155" s="208">
        <v>0</v>
      </c>
      <c r="CT155" s="208">
        <v>0</v>
      </c>
      <c r="CU155" s="208">
        <v>0</v>
      </c>
      <c r="CV155" s="160"/>
      <c r="CW155">
        <v>1</v>
      </c>
      <c r="CX155">
        <f>360/54</f>
        <v>6.666666666666667</v>
      </c>
      <c r="CY155" s="165"/>
      <c r="CZ155" s="177">
        <f t="shared" si="209"/>
        <v>9.6000000000000002E-2</v>
      </c>
      <c r="DB155" s="151"/>
      <c r="DC155" s="76">
        <f t="shared" ca="1" si="172"/>
        <v>0.90254612148302304</v>
      </c>
      <c r="DD155">
        <f t="shared" si="210"/>
        <v>8</v>
      </c>
      <c r="DE155" s="129">
        <f t="shared" si="169"/>
        <v>39847</v>
      </c>
      <c r="DF155" s="161">
        <f t="shared" si="211"/>
        <v>0</v>
      </c>
      <c r="DG155" s="161">
        <f t="shared" si="212"/>
        <v>0</v>
      </c>
      <c r="DH155" s="161">
        <f t="shared" si="213"/>
        <v>69.444444444444443</v>
      </c>
      <c r="DI155" s="161">
        <f t="shared" si="214"/>
        <v>0</v>
      </c>
      <c r="DJ155" s="161">
        <f t="shared" si="215"/>
        <v>0</v>
      </c>
      <c r="DK155" s="161">
        <f t="shared" si="216"/>
        <v>0</v>
      </c>
      <c r="DL155" s="161">
        <f t="shared" si="217"/>
        <v>0</v>
      </c>
      <c r="DM155" s="161">
        <f t="shared" si="218"/>
        <v>0</v>
      </c>
      <c r="DN155" s="161">
        <f t="shared" si="219"/>
        <v>0</v>
      </c>
      <c r="DO155" s="161">
        <f t="shared" si="220"/>
        <v>0</v>
      </c>
      <c r="DP155" s="161">
        <f t="shared" si="221"/>
        <v>0</v>
      </c>
      <c r="DQ155" s="161">
        <f t="shared" si="222"/>
        <v>0</v>
      </c>
      <c r="DR155" s="161">
        <f t="shared" si="223"/>
        <v>0</v>
      </c>
      <c r="DS155" s="161">
        <f t="shared" si="224"/>
        <v>0</v>
      </c>
      <c r="DT155" s="161">
        <f t="shared" si="225"/>
        <v>0</v>
      </c>
      <c r="DU155" s="161">
        <f t="shared" si="226"/>
        <v>0</v>
      </c>
      <c r="DV155" s="161">
        <f t="shared" si="227"/>
        <v>0</v>
      </c>
      <c r="DW155" s="161">
        <f t="shared" si="228"/>
        <v>0</v>
      </c>
      <c r="DX155" s="161">
        <f t="shared" si="229"/>
        <v>0</v>
      </c>
      <c r="DY155" s="161">
        <f t="shared" si="230"/>
        <v>0</v>
      </c>
      <c r="DZ155" s="161">
        <f t="shared" si="231"/>
        <v>0</v>
      </c>
      <c r="EA155" s="161">
        <f t="shared" si="232"/>
        <v>0</v>
      </c>
      <c r="EB155" s="161">
        <f t="shared" si="233"/>
        <v>0</v>
      </c>
      <c r="EC155" s="161">
        <f t="shared" si="234"/>
        <v>0</v>
      </c>
      <c r="ED155" s="161">
        <f t="shared" si="235"/>
        <v>0</v>
      </c>
      <c r="EE155" s="161">
        <f t="shared" si="236"/>
        <v>0</v>
      </c>
      <c r="EF155" s="161">
        <f t="shared" si="237"/>
        <v>0</v>
      </c>
      <c r="EG155" s="161">
        <f t="shared" si="238"/>
        <v>0</v>
      </c>
      <c r="EH155" s="161">
        <f t="shared" si="239"/>
        <v>0</v>
      </c>
      <c r="EI155" s="161">
        <f t="shared" si="240"/>
        <v>0</v>
      </c>
      <c r="EJ155" s="161">
        <f t="shared" si="241"/>
        <v>0</v>
      </c>
      <c r="EK155" s="147">
        <f t="shared" si="173"/>
        <v>69.444444444444443</v>
      </c>
      <c r="EL155" s="149"/>
      <c r="EN155" s="151"/>
      <c r="EO155" s="151"/>
      <c r="EP155" s="139">
        <f t="shared" si="174"/>
        <v>0</v>
      </c>
      <c r="EQ155" s="139">
        <f t="shared" si="175"/>
        <v>0</v>
      </c>
      <c r="ER155" s="139">
        <f t="shared" si="176"/>
        <v>5.0858409848623118</v>
      </c>
      <c r="ES155" s="139">
        <f t="shared" si="177"/>
        <v>0</v>
      </c>
      <c r="ET155" s="139">
        <f t="shared" si="178"/>
        <v>0</v>
      </c>
      <c r="EU155" s="139">
        <f t="shared" si="179"/>
        <v>0</v>
      </c>
      <c r="EV155" s="139">
        <f t="shared" si="180"/>
        <v>0</v>
      </c>
      <c r="EW155" s="139">
        <f t="shared" si="181"/>
        <v>0</v>
      </c>
      <c r="EX155" s="139">
        <f t="shared" si="182"/>
        <v>0</v>
      </c>
      <c r="EY155" s="139">
        <f t="shared" si="183"/>
        <v>0</v>
      </c>
      <c r="EZ155" s="139">
        <f t="shared" si="184"/>
        <v>0</v>
      </c>
      <c r="FA155" s="139">
        <f t="shared" si="185"/>
        <v>0</v>
      </c>
      <c r="FB155" s="139">
        <f t="shared" si="186"/>
        <v>0</v>
      </c>
      <c r="FC155" s="139">
        <f t="shared" si="187"/>
        <v>0</v>
      </c>
      <c r="FD155" s="139">
        <f t="shared" si="188"/>
        <v>0</v>
      </c>
      <c r="FE155" s="139">
        <f t="shared" si="189"/>
        <v>0</v>
      </c>
      <c r="FF155" s="139">
        <f t="shared" si="190"/>
        <v>0</v>
      </c>
      <c r="FG155" s="139">
        <f t="shared" si="191"/>
        <v>0</v>
      </c>
      <c r="FH155" s="139">
        <f t="shared" si="192"/>
        <v>0</v>
      </c>
      <c r="FI155" s="139">
        <f t="shared" si="193"/>
        <v>0</v>
      </c>
      <c r="FJ155" s="139">
        <f t="shared" si="194"/>
        <v>0</v>
      </c>
      <c r="FK155" s="139">
        <f t="shared" si="195"/>
        <v>0</v>
      </c>
      <c r="FL155" s="139">
        <f t="shared" si="196"/>
        <v>0</v>
      </c>
      <c r="FM155" s="139">
        <f t="shared" si="197"/>
        <v>0</v>
      </c>
      <c r="FN155" s="139">
        <f t="shared" si="198"/>
        <v>0</v>
      </c>
      <c r="FO155" s="139">
        <f t="shared" si="199"/>
        <v>0</v>
      </c>
      <c r="FP155" s="139">
        <f t="shared" si="200"/>
        <v>0</v>
      </c>
      <c r="FQ155" s="139">
        <f t="shared" si="201"/>
        <v>0</v>
      </c>
      <c r="FR155" s="139">
        <f t="shared" si="202"/>
        <v>0</v>
      </c>
      <c r="FS155" s="139">
        <f t="shared" si="203"/>
        <v>0</v>
      </c>
      <c r="FT155" s="139">
        <f t="shared" si="204"/>
        <v>0</v>
      </c>
      <c r="FU155" s="148">
        <f t="shared" si="205"/>
        <v>5.0858409848623118</v>
      </c>
      <c r="FV155" s="149"/>
      <c r="FY155" s="213">
        <v>150</v>
      </c>
      <c r="FZ155">
        <v>39.569842965368871</v>
      </c>
      <c r="GA155">
        <v>45.027859116998677</v>
      </c>
      <c r="GB155">
        <v>14.880349061940695</v>
      </c>
      <c r="GC155">
        <v>4.9043069156605101</v>
      </c>
      <c r="GD155">
        <v>3.9050825101427535</v>
      </c>
      <c r="GE155">
        <v>3.3860678890978666</v>
      </c>
      <c r="GF155">
        <v>10.307120464953279</v>
      </c>
      <c r="GG155">
        <v>10.22206699869321</v>
      </c>
      <c r="GH155">
        <v>8.7514582917869248</v>
      </c>
      <c r="GI155">
        <v>15.690354354692932</v>
      </c>
      <c r="GJ155"/>
      <c r="GK155"/>
      <c r="GL155"/>
      <c r="GM155"/>
      <c r="GN155" s="208"/>
      <c r="GO155" s="208"/>
      <c r="GP155" s="208"/>
      <c r="GQ155" s="208"/>
      <c r="GR155" s="208"/>
      <c r="GS155" s="208"/>
      <c r="GT155" s="208"/>
      <c r="GU155" s="213">
        <v>150</v>
      </c>
    </row>
    <row r="156" spans="1:203" s="7" customFormat="1">
      <c r="A156" s="77"/>
      <c r="B156" s="76">
        <f ca="1">IF(C156="", "", RAND())</f>
        <v>0.54548421242920853</v>
      </c>
      <c r="C156">
        <v>6</v>
      </c>
      <c r="D156">
        <v>39847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 s="2"/>
      <c r="AK156" s="80"/>
      <c r="AL156" s="74"/>
      <c r="AM156" s="43">
        <v>140</v>
      </c>
      <c r="AN156">
        <v>273.94306850971134</v>
      </c>
      <c r="AO156">
        <v>17.168601343859407</v>
      </c>
      <c r="AP156">
        <v>81.566720832730454</v>
      </c>
      <c r="AQ156">
        <v>118.2116106989851</v>
      </c>
      <c r="AR156">
        <v>17.641953944574926</v>
      </c>
      <c r="AS156">
        <v>189.58424293635301</v>
      </c>
      <c r="AT156">
        <v>9.6834846542549737</v>
      </c>
      <c r="AU156">
        <v>49.511247593645351</v>
      </c>
      <c r="AV156"/>
      <c r="AW156"/>
      <c r="AX156" s="151"/>
      <c r="AY156" s="76">
        <f t="shared" ca="1" si="171"/>
        <v>0.46879467530504337</v>
      </c>
      <c r="AZ156">
        <v>9</v>
      </c>
      <c r="BA156" s="129">
        <f t="shared" si="170"/>
        <v>39847</v>
      </c>
      <c r="BB156" s="207">
        <v>0</v>
      </c>
      <c r="BC156" s="207">
        <v>0</v>
      </c>
      <c r="BD156" s="207">
        <v>1</v>
      </c>
      <c r="BE156" s="207">
        <v>0</v>
      </c>
      <c r="BF156" s="207">
        <v>0</v>
      </c>
      <c r="BG156" s="207">
        <v>0</v>
      </c>
      <c r="BH156" s="207">
        <v>0</v>
      </c>
      <c r="BI156" s="207">
        <v>0</v>
      </c>
      <c r="BJ156" s="207">
        <v>0</v>
      </c>
      <c r="BK156" s="207">
        <v>0</v>
      </c>
      <c r="BL156" s="207">
        <v>0</v>
      </c>
      <c r="BM156" s="207">
        <v>0</v>
      </c>
      <c r="BN156" s="207">
        <v>0</v>
      </c>
      <c r="BO156" s="207">
        <v>0</v>
      </c>
      <c r="BP156" s="207">
        <v>0</v>
      </c>
      <c r="BQ156" s="207">
        <v>0</v>
      </c>
      <c r="BR156" s="207">
        <v>0</v>
      </c>
      <c r="BS156" s="207">
        <v>0</v>
      </c>
      <c r="BT156" s="207">
        <v>0</v>
      </c>
      <c r="BU156" s="207">
        <v>0</v>
      </c>
      <c r="BV156" s="207">
        <v>0</v>
      </c>
      <c r="BW156" s="207">
        <v>0</v>
      </c>
      <c r="BX156" s="207">
        <v>0</v>
      </c>
      <c r="BY156" s="207">
        <v>0</v>
      </c>
      <c r="BZ156" s="207">
        <v>0</v>
      </c>
      <c r="CA156" s="207">
        <v>0</v>
      </c>
      <c r="CB156" s="207">
        <v>0</v>
      </c>
      <c r="CC156" s="207">
        <v>0</v>
      </c>
      <c r="CD156" s="207">
        <v>0</v>
      </c>
      <c r="CE156" s="207">
        <v>0</v>
      </c>
      <c r="CF156" s="207">
        <v>0</v>
      </c>
      <c r="CG156" s="147"/>
      <c r="CH156" s="176"/>
      <c r="CJ156" s="151"/>
      <c r="CK156" s="76">
        <f t="shared" ca="1" si="206"/>
        <v>0.30527482341012124</v>
      </c>
      <c r="CL156" s="179">
        <f t="shared" si="207"/>
        <v>9</v>
      </c>
      <c r="CM156" s="180">
        <f t="shared" si="208"/>
        <v>39847</v>
      </c>
      <c r="CN156" s="208">
        <v>0</v>
      </c>
      <c r="CO156" s="208">
        <v>7</v>
      </c>
      <c r="CP156" s="208">
        <v>1</v>
      </c>
      <c r="CQ156" s="208">
        <v>0</v>
      </c>
      <c r="CR156" s="208">
        <v>0</v>
      </c>
      <c r="CS156" s="208">
        <v>0</v>
      </c>
      <c r="CT156" s="208">
        <v>0</v>
      </c>
      <c r="CU156" s="208">
        <v>0</v>
      </c>
      <c r="CV156" s="160"/>
      <c r="CW156">
        <v>1</v>
      </c>
      <c r="CX156">
        <f>350/56</f>
        <v>6.25</v>
      </c>
      <c r="CY156" s="165"/>
      <c r="CZ156" s="177">
        <f t="shared" si="209"/>
        <v>9.6000000000000002E-2</v>
      </c>
      <c r="DB156" s="151"/>
      <c r="DC156" s="76">
        <f t="shared" ca="1" si="172"/>
        <v>0.55814556506704527</v>
      </c>
      <c r="DD156">
        <f t="shared" si="210"/>
        <v>9</v>
      </c>
      <c r="DE156" s="129">
        <f t="shared" si="169"/>
        <v>39847</v>
      </c>
      <c r="DF156" s="161">
        <f t="shared" si="211"/>
        <v>0</v>
      </c>
      <c r="DG156" s="161">
        <f t="shared" si="212"/>
        <v>455.72916666666663</v>
      </c>
      <c r="DH156" s="161">
        <f t="shared" si="213"/>
        <v>75.520833333333329</v>
      </c>
      <c r="DI156" s="161">
        <f t="shared" si="214"/>
        <v>0</v>
      </c>
      <c r="DJ156" s="161">
        <f t="shared" si="215"/>
        <v>0</v>
      </c>
      <c r="DK156" s="161">
        <f t="shared" si="216"/>
        <v>0</v>
      </c>
      <c r="DL156" s="161">
        <f t="shared" si="217"/>
        <v>0</v>
      </c>
      <c r="DM156" s="161">
        <f t="shared" si="218"/>
        <v>0</v>
      </c>
      <c r="DN156" s="161">
        <f t="shared" si="219"/>
        <v>0</v>
      </c>
      <c r="DO156" s="161">
        <f t="shared" si="220"/>
        <v>0</v>
      </c>
      <c r="DP156" s="161">
        <f t="shared" si="221"/>
        <v>0</v>
      </c>
      <c r="DQ156" s="161">
        <f t="shared" si="222"/>
        <v>0</v>
      </c>
      <c r="DR156" s="161">
        <f t="shared" si="223"/>
        <v>0</v>
      </c>
      <c r="DS156" s="161">
        <f t="shared" si="224"/>
        <v>0</v>
      </c>
      <c r="DT156" s="161">
        <f t="shared" si="225"/>
        <v>0</v>
      </c>
      <c r="DU156" s="161">
        <f t="shared" si="226"/>
        <v>0</v>
      </c>
      <c r="DV156" s="161">
        <f t="shared" si="227"/>
        <v>0</v>
      </c>
      <c r="DW156" s="161">
        <f t="shared" si="228"/>
        <v>0</v>
      </c>
      <c r="DX156" s="161">
        <f t="shared" si="229"/>
        <v>0</v>
      </c>
      <c r="DY156" s="161">
        <f t="shared" si="230"/>
        <v>0</v>
      </c>
      <c r="DZ156" s="161">
        <f t="shared" si="231"/>
        <v>0</v>
      </c>
      <c r="EA156" s="161">
        <f t="shared" si="232"/>
        <v>0</v>
      </c>
      <c r="EB156" s="161">
        <f t="shared" si="233"/>
        <v>0</v>
      </c>
      <c r="EC156" s="161">
        <f t="shared" si="234"/>
        <v>0</v>
      </c>
      <c r="ED156" s="161">
        <f t="shared" si="235"/>
        <v>0</v>
      </c>
      <c r="EE156" s="161">
        <f t="shared" si="236"/>
        <v>0</v>
      </c>
      <c r="EF156" s="161">
        <f t="shared" si="237"/>
        <v>0</v>
      </c>
      <c r="EG156" s="161">
        <f t="shared" si="238"/>
        <v>0</v>
      </c>
      <c r="EH156" s="161">
        <f t="shared" si="239"/>
        <v>0</v>
      </c>
      <c r="EI156" s="161">
        <f t="shared" si="240"/>
        <v>0</v>
      </c>
      <c r="EJ156" s="161">
        <f t="shared" si="241"/>
        <v>0</v>
      </c>
      <c r="EK156" s="147">
        <f t="shared" si="173"/>
        <v>531.25</v>
      </c>
      <c r="EL156" s="149"/>
      <c r="EN156" s="151"/>
      <c r="EO156" s="151"/>
      <c r="EP156" s="139">
        <f t="shared" si="174"/>
        <v>0</v>
      </c>
      <c r="EQ156" s="139">
        <f t="shared" si="175"/>
        <v>5.2551497395833326</v>
      </c>
      <c r="ER156" s="139">
        <f t="shared" si="176"/>
        <v>5.5308520710377644</v>
      </c>
      <c r="ES156" s="139">
        <f t="shared" si="177"/>
        <v>0</v>
      </c>
      <c r="ET156" s="139">
        <f t="shared" si="178"/>
        <v>0</v>
      </c>
      <c r="EU156" s="139">
        <f t="shared" si="179"/>
        <v>0</v>
      </c>
      <c r="EV156" s="139">
        <f t="shared" si="180"/>
        <v>0</v>
      </c>
      <c r="EW156" s="139">
        <f t="shared" si="181"/>
        <v>0</v>
      </c>
      <c r="EX156" s="139">
        <f t="shared" si="182"/>
        <v>0</v>
      </c>
      <c r="EY156" s="139">
        <f t="shared" si="183"/>
        <v>0</v>
      </c>
      <c r="EZ156" s="139">
        <f t="shared" si="184"/>
        <v>0</v>
      </c>
      <c r="FA156" s="139">
        <f t="shared" si="185"/>
        <v>0</v>
      </c>
      <c r="FB156" s="139">
        <f t="shared" si="186"/>
        <v>0</v>
      </c>
      <c r="FC156" s="139">
        <f t="shared" si="187"/>
        <v>0</v>
      </c>
      <c r="FD156" s="139">
        <f t="shared" si="188"/>
        <v>0</v>
      </c>
      <c r="FE156" s="139">
        <f t="shared" si="189"/>
        <v>0</v>
      </c>
      <c r="FF156" s="139">
        <f t="shared" si="190"/>
        <v>0</v>
      </c>
      <c r="FG156" s="139">
        <f t="shared" si="191"/>
        <v>0</v>
      </c>
      <c r="FH156" s="139">
        <f t="shared" si="192"/>
        <v>0</v>
      </c>
      <c r="FI156" s="139">
        <f t="shared" si="193"/>
        <v>0</v>
      </c>
      <c r="FJ156" s="139">
        <f t="shared" si="194"/>
        <v>0</v>
      </c>
      <c r="FK156" s="139">
        <f t="shared" si="195"/>
        <v>0</v>
      </c>
      <c r="FL156" s="139">
        <f t="shared" si="196"/>
        <v>0</v>
      </c>
      <c r="FM156" s="139">
        <f t="shared" si="197"/>
        <v>0</v>
      </c>
      <c r="FN156" s="139">
        <f t="shared" si="198"/>
        <v>0</v>
      </c>
      <c r="FO156" s="139">
        <f t="shared" si="199"/>
        <v>0</v>
      </c>
      <c r="FP156" s="139">
        <f t="shared" si="200"/>
        <v>0</v>
      </c>
      <c r="FQ156" s="139">
        <f t="shared" si="201"/>
        <v>0</v>
      </c>
      <c r="FR156" s="139">
        <f t="shared" si="202"/>
        <v>0</v>
      </c>
      <c r="FS156" s="139">
        <f t="shared" si="203"/>
        <v>0</v>
      </c>
      <c r="FT156" s="139">
        <f t="shared" si="204"/>
        <v>0</v>
      </c>
      <c r="FU156" s="148">
        <f t="shared" si="205"/>
        <v>10.786001810621098</v>
      </c>
      <c r="FV156" s="149"/>
      <c r="FY156" s="213">
        <v>151</v>
      </c>
      <c r="FZ156">
        <v>44.147153506280993</v>
      </c>
      <c r="GA156">
        <v>36.398676338469443</v>
      </c>
      <c r="GB156">
        <v>6.8814213858771573</v>
      </c>
      <c r="GC156">
        <v>4.3835402011180964</v>
      </c>
      <c r="GD156">
        <v>3.4279194528689918</v>
      </c>
      <c r="GE156">
        <v>4.475212133235047</v>
      </c>
      <c r="GF156">
        <v>15.085966400033541</v>
      </c>
      <c r="GG156">
        <v>13.627821849168035</v>
      </c>
      <c r="GH156">
        <v>8.8682830067331704</v>
      </c>
      <c r="GI156">
        <v>14.415186085540528</v>
      </c>
      <c r="GJ156"/>
      <c r="GK156"/>
      <c r="GL156"/>
      <c r="GM156"/>
      <c r="GN156" s="208"/>
      <c r="GO156" s="208"/>
      <c r="GP156" s="208"/>
      <c r="GQ156" s="208"/>
      <c r="GR156" s="208"/>
      <c r="GS156" s="208"/>
      <c r="GT156" s="208"/>
      <c r="GU156" s="213">
        <v>151</v>
      </c>
    </row>
    <row r="157" spans="1:203" s="7" customFormat="1">
      <c r="A157" s="77"/>
      <c r="B157" s="76">
        <f ca="1">IF(C157="", "", RAND())</f>
        <v>0.19107892534576942</v>
      </c>
      <c r="C157">
        <v>8</v>
      </c>
      <c r="D157">
        <v>39847</v>
      </c>
      <c r="E157">
        <v>0</v>
      </c>
      <c r="F157">
        <v>0</v>
      </c>
      <c r="G157">
        <v>69.444444444444443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 s="2"/>
      <c r="AK157" s="80"/>
      <c r="AL157" s="74"/>
      <c r="AM157" s="43">
        <v>141</v>
      </c>
      <c r="AN157">
        <v>324.67149027322597</v>
      </c>
      <c r="AO157">
        <v>22.593547364523609</v>
      </c>
      <c r="AP157">
        <v>77.783130001272426</v>
      </c>
      <c r="AQ157">
        <v>153.68505815814143</v>
      </c>
      <c r="AR157">
        <v>24.115361171240618</v>
      </c>
      <c r="AS157">
        <v>238.14661880465752</v>
      </c>
      <c r="AT157">
        <v>10.50645094678101</v>
      </c>
      <c r="AU157">
        <v>16.28764142888263</v>
      </c>
      <c r="AV157"/>
      <c r="AW157"/>
      <c r="AX157" s="151"/>
      <c r="AY157" s="76">
        <f t="shared" ca="1" si="171"/>
        <v>0.57478357420282844</v>
      </c>
      <c r="AZ157">
        <v>10</v>
      </c>
      <c r="BA157" s="129">
        <f t="shared" si="170"/>
        <v>39847</v>
      </c>
      <c r="BB157" s="207">
        <v>0</v>
      </c>
      <c r="BC157" s="207">
        <v>0</v>
      </c>
      <c r="BD157" s="207">
        <v>0</v>
      </c>
      <c r="BE157" s="207">
        <v>0</v>
      </c>
      <c r="BF157" s="207">
        <v>0</v>
      </c>
      <c r="BG157" s="207">
        <v>0</v>
      </c>
      <c r="BH157" s="207">
        <v>0</v>
      </c>
      <c r="BI157" s="207">
        <v>0</v>
      </c>
      <c r="BJ157" s="207">
        <v>0</v>
      </c>
      <c r="BK157" s="207">
        <v>0</v>
      </c>
      <c r="BL157" s="207">
        <v>0</v>
      </c>
      <c r="BM157" s="207">
        <v>0</v>
      </c>
      <c r="BN157" s="207">
        <v>0</v>
      </c>
      <c r="BO157" s="207">
        <v>0</v>
      </c>
      <c r="BP157" s="207">
        <v>0</v>
      </c>
      <c r="BQ157" s="207">
        <v>0</v>
      </c>
      <c r="BR157" s="207">
        <v>0</v>
      </c>
      <c r="BS157" s="207">
        <v>0</v>
      </c>
      <c r="BT157" s="207">
        <v>0</v>
      </c>
      <c r="BU157" s="207">
        <v>0</v>
      </c>
      <c r="BV157" s="207">
        <v>0</v>
      </c>
      <c r="BW157" s="207">
        <v>0</v>
      </c>
      <c r="BX157" s="207">
        <v>0</v>
      </c>
      <c r="BY157" s="207">
        <v>0</v>
      </c>
      <c r="BZ157" s="207">
        <v>0</v>
      </c>
      <c r="CA157" s="207">
        <v>0</v>
      </c>
      <c r="CB157" s="207">
        <v>0</v>
      </c>
      <c r="CC157" s="207">
        <v>0</v>
      </c>
      <c r="CD157" s="207">
        <v>0</v>
      </c>
      <c r="CE157" s="207">
        <v>0</v>
      </c>
      <c r="CF157" s="207">
        <v>0</v>
      </c>
      <c r="CG157" s="147"/>
      <c r="CH157" s="176"/>
      <c r="CJ157" s="151"/>
      <c r="CK157" s="76">
        <f t="shared" ca="1" si="206"/>
        <v>7.9270794167165981E-2</v>
      </c>
      <c r="CL157" s="179">
        <f t="shared" si="207"/>
        <v>10</v>
      </c>
      <c r="CM157" s="180">
        <f t="shared" si="208"/>
        <v>39847</v>
      </c>
      <c r="CN157" s="208">
        <v>0</v>
      </c>
      <c r="CO157" s="208">
        <v>0</v>
      </c>
      <c r="CP157" s="208">
        <v>0</v>
      </c>
      <c r="CQ157" s="208">
        <v>0</v>
      </c>
      <c r="CR157" s="208">
        <v>0</v>
      </c>
      <c r="CS157" s="208">
        <v>0</v>
      </c>
      <c r="CT157" s="208">
        <v>0</v>
      </c>
      <c r="CU157" s="208">
        <v>0</v>
      </c>
      <c r="CV157" s="160"/>
      <c r="CW157">
        <v>1</v>
      </c>
      <c r="CX157">
        <v>1</v>
      </c>
      <c r="CY157" s="165"/>
      <c r="CZ157" s="177">
        <f t="shared" si="209"/>
        <v>9.6000000000000002E-2</v>
      </c>
      <c r="DB157" s="151"/>
      <c r="DC157" s="76">
        <f t="shared" ca="1" si="172"/>
        <v>0.41474270039168037</v>
      </c>
      <c r="DD157">
        <f t="shared" si="210"/>
        <v>10</v>
      </c>
      <c r="DE157" s="129">
        <f t="shared" si="169"/>
        <v>39847</v>
      </c>
      <c r="DF157" s="161">
        <f t="shared" si="211"/>
        <v>0</v>
      </c>
      <c r="DG157" s="161">
        <f t="shared" si="212"/>
        <v>0</v>
      </c>
      <c r="DH157" s="161">
        <f t="shared" si="213"/>
        <v>0</v>
      </c>
      <c r="DI157" s="161">
        <f t="shared" si="214"/>
        <v>0</v>
      </c>
      <c r="DJ157" s="161">
        <f t="shared" si="215"/>
        <v>0</v>
      </c>
      <c r="DK157" s="161">
        <f t="shared" si="216"/>
        <v>0</v>
      </c>
      <c r="DL157" s="161">
        <f t="shared" si="217"/>
        <v>0</v>
      </c>
      <c r="DM157" s="161">
        <f t="shared" si="218"/>
        <v>0</v>
      </c>
      <c r="DN157" s="161">
        <f t="shared" si="219"/>
        <v>0</v>
      </c>
      <c r="DO157" s="161">
        <f t="shared" si="220"/>
        <v>0</v>
      </c>
      <c r="DP157" s="161">
        <f t="shared" si="221"/>
        <v>0</v>
      </c>
      <c r="DQ157" s="161">
        <f t="shared" si="222"/>
        <v>0</v>
      </c>
      <c r="DR157" s="161">
        <f t="shared" si="223"/>
        <v>0</v>
      </c>
      <c r="DS157" s="161">
        <f t="shared" si="224"/>
        <v>0</v>
      </c>
      <c r="DT157" s="161">
        <f t="shared" si="225"/>
        <v>0</v>
      </c>
      <c r="DU157" s="161">
        <f t="shared" si="226"/>
        <v>0</v>
      </c>
      <c r="DV157" s="161">
        <f t="shared" si="227"/>
        <v>0</v>
      </c>
      <c r="DW157" s="161">
        <f t="shared" si="228"/>
        <v>0</v>
      </c>
      <c r="DX157" s="161">
        <f t="shared" si="229"/>
        <v>0</v>
      </c>
      <c r="DY157" s="161">
        <f t="shared" si="230"/>
        <v>0</v>
      </c>
      <c r="DZ157" s="161">
        <f t="shared" si="231"/>
        <v>0</v>
      </c>
      <c r="EA157" s="161">
        <f t="shared" si="232"/>
        <v>0</v>
      </c>
      <c r="EB157" s="161">
        <f t="shared" si="233"/>
        <v>0</v>
      </c>
      <c r="EC157" s="161">
        <f t="shared" si="234"/>
        <v>0</v>
      </c>
      <c r="ED157" s="161">
        <f t="shared" si="235"/>
        <v>0</v>
      </c>
      <c r="EE157" s="161">
        <f t="shared" si="236"/>
        <v>0</v>
      </c>
      <c r="EF157" s="161">
        <f t="shared" si="237"/>
        <v>0</v>
      </c>
      <c r="EG157" s="161">
        <f t="shared" si="238"/>
        <v>0</v>
      </c>
      <c r="EH157" s="161">
        <f t="shared" si="239"/>
        <v>0</v>
      </c>
      <c r="EI157" s="161">
        <f t="shared" si="240"/>
        <v>0</v>
      </c>
      <c r="EJ157" s="161">
        <f t="shared" si="241"/>
        <v>0</v>
      </c>
      <c r="EK157" s="147">
        <f t="shared" si="173"/>
        <v>0</v>
      </c>
      <c r="EL157" s="149"/>
      <c r="EN157" s="151"/>
      <c r="EO157" s="151"/>
      <c r="EP157" s="139">
        <f t="shared" si="174"/>
        <v>0</v>
      </c>
      <c r="EQ157" s="139">
        <f t="shared" si="175"/>
        <v>0</v>
      </c>
      <c r="ER157" s="139">
        <f t="shared" si="176"/>
        <v>0</v>
      </c>
      <c r="ES157" s="139">
        <f t="shared" si="177"/>
        <v>0</v>
      </c>
      <c r="ET157" s="139">
        <f t="shared" si="178"/>
        <v>0</v>
      </c>
      <c r="EU157" s="139">
        <f t="shared" si="179"/>
        <v>0</v>
      </c>
      <c r="EV157" s="139">
        <f t="shared" si="180"/>
        <v>0</v>
      </c>
      <c r="EW157" s="139">
        <f t="shared" si="181"/>
        <v>0</v>
      </c>
      <c r="EX157" s="139">
        <f t="shared" si="182"/>
        <v>0</v>
      </c>
      <c r="EY157" s="139">
        <f t="shared" si="183"/>
        <v>0</v>
      </c>
      <c r="EZ157" s="139">
        <f t="shared" si="184"/>
        <v>0</v>
      </c>
      <c r="FA157" s="139">
        <f t="shared" si="185"/>
        <v>0</v>
      </c>
      <c r="FB157" s="139">
        <f t="shared" si="186"/>
        <v>0</v>
      </c>
      <c r="FC157" s="139">
        <f t="shared" si="187"/>
        <v>0</v>
      </c>
      <c r="FD157" s="139">
        <f t="shared" si="188"/>
        <v>0</v>
      </c>
      <c r="FE157" s="139">
        <f t="shared" si="189"/>
        <v>0</v>
      </c>
      <c r="FF157" s="139">
        <f t="shared" si="190"/>
        <v>0</v>
      </c>
      <c r="FG157" s="139">
        <f t="shared" si="191"/>
        <v>0</v>
      </c>
      <c r="FH157" s="139">
        <f t="shared" si="192"/>
        <v>0</v>
      </c>
      <c r="FI157" s="139">
        <f t="shared" si="193"/>
        <v>0</v>
      </c>
      <c r="FJ157" s="139">
        <f t="shared" si="194"/>
        <v>0</v>
      </c>
      <c r="FK157" s="139">
        <f t="shared" si="195"/>
        <v>0</v>
      </c>
      <c r="FL157" s="139">
        <f t="shared" si="196"/>
        <v>0</v>
      </c>
      <c r="FM157" s="139">
        <f t="shared" si="197"/>
        <v>0</v>
      </c>
      <c r="FN157" s="139">
        <f t="shared" si="198"/>
        <v>0</v>
      </c>
      <c r="FO157" s="139">
        <f t="shared" si="199"/>
        <v>0</v>
      </c>
      <c r="FP157" s="139">
        <f t="shared" si="200"/>
        <v>0</v>
      </c>
      <c r="FQ157" s="139">
        <f t="shared" si="201"/>
        <v>0</v>
      </c>
      <c r="FR157" s="139">
        <f t="shared" si="202"/>
        <v>0</v>
      </c>
      <c r="FS157" s="139">
        <f t="shared" si="203"/>
        <v>0</v>
      </c>
      <c r="FT157" s="139">
        <f t="shared" si="204"/>
        <v>0</v>
      </c>
      <c r="FU157" s="148">
        <f t="shared" si="205"/>
        <v>0</v>
      </c>
      <c r="FV157" s="149"/>
      <c r="FY157" s="213">
        <v>152</v>
      </c>
      <c r="FZ157">
        <v>36.744798651174563</v>
      </c>
      <c r="GA157">
        <v>29.350650364355452</v>
      </c>
      <c r="GB157">
        <v>7.2733384975367077</v>
      </c>
      <c r="GC157">
        <v>6.1271638528753662</v>
      </c>
      <c r="GD157">
        <v>4.9902010414578575</v>
      </c>
      <c r="GE157">
        <v>2.2364377304552452</v>
      </c>
      <c r="GF157">
        <v>11.143985870047548</v>
      </c>
      <c r="GG157">
        <v>13.625521577072901</v>
      </c>
      <c r="GH157">
        <v>19.79789125345172</v>
      </c>
      <c r="GI157">
        <v>15.524792787110313</v>
      </c>
      <c r="GJ157"/>
      <c r="GK157"/>
      <c r="GL157"/>
      <c r="GM157"/>
      <c r="GN157" s="208"/>
      <c r="GO157" s="208"/>
      <c r="GP157" s="208"/>
      <c r="GQ157" s="208"/>
      <c r="GR157" s="208"/>
      <c r="GS157" s="208"/>
      <c r="GT157" s="208"/>
      <c r="GU157" s="213">
        <v>152</v>
      </c>
    </row>
    <row r="158" spans="1:203" s="7" customFormat="1">
      <c r="A158" s="128"/>
      <c r="B158" s="76">
        <f ca="1">IF(C158="", "", RAND())</f>
        <v>8.088120859353265E-2</v>
      </c>
      <c r="C158">
        <v>2</v>
      </c>
      <c r="D158">
        <v>39910</v>
      </c>
      <c r="E158">
        <v>0</v>
      </c>
      <c r="F158">
        <v>231.88405797101447</v>
      </c>
      <c r="G158">
        <v>31.25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 s="2"/>
      <c r="AK158" s="80"/>
      <c r="AL158" s="74">
        <v>3.0028000000000028</v>
      </c>
      <c r="AM158" s="43">
        <v>142</v>
      </c>
      <c r="AN158">
        <v>283.07353850106693</v>
      </c>
      <c r="AO158">
        <v>24.397749822051697</v>
      </c>
      <c r="AP158">
        <v>79.314511535129583</v>
      </c>
      <c r="AQ158">
        <v>169.99824322883171</v>
      </c>
      <c r="AR158">
        <v>25.800301419624862</v>
      </c>
      <c r="AS158">
        <v>226.06219234238927</v>
      </c>
      <c r="AT158">
        <v>11.177975205231002</v>
      </c>
      <c r="AU158">
        <v>14.229948964127793</v>
      </c>
      <c r="AV158"/>
      <c r="AW158"/>
      <c r="AX158" s="128"/>
      <c r="AY158" s="76">
        <f t="shared" ca="1" si="171"/>
        <v>0.53408459793884089</v>
      </c>
      <c r="AZ158">
        <v>1</v>
      </c>
      <c r="BA158" s="129">
        <f>IF(AZ158="", "",$C$11)</f>
        <v>39910</v>
      </c>
      <c r="BB158" s="207">
        <v>0</v>
      </c>
      <c r="BC158" s="207">
        <v>0</v>
      </c>
      <c r="BD158" s="207">
        <v>0</v>
      </c>
      <c r="BE158" s="207">
        <v>1</v>
      </c>
      <c r="BF158" s="207">
        <v>1</v>
      </c>
      <c r="BG158" s="207">
        <v>0</v>
      </c>
      <c r="BH158" s="207">
        <v>0</v>
      </c>
      <c r="BI158" s="207">
        <v>0</v>
      </c>
      <c r="BJ158" s="207">
        <v>0</v>
      </c>
      <c r="BK158" s="207">
        <v>0</v>
      </c>
      <c r="BL158" s="207">
        <v>0</v>
      </c>
      <c r="BM158" s="207">
        <v>0</v>
      </c>
      <c r="BN158" s="207">
        <v>0</v>
      </c>
      <c r="BO158" s="207">
        <v>0</v>
      </c>
      <c r="BP158" s="207">
        <v>0</v>
      </c>
      <c r="BQ158" s="207">
        <v>0</v>
      </c>
      <c r="BR158" s="207">
        <v>0</v>
      </c>
      <c r="BS158" s="207">
        <v>0</v>
      </c>
      <c r="BT158" s="207">
        <v>0</v>
      </c>
      <c r="BU158" s="207">
        <v>0</v>
      </c>
      <c r="BV158" s="207">
        <v>0</v>
      </c>
      <c r="BW158" s="207">
        <v>0</v>
      </c>
      <c r="BX158" s="207">
        <v>0</v>
      </c>
      <c r="BY158" s="207">
        <v>0</v>
      </c>
      <c r="BZ158" s="207">
        <v>0</v>
      </c>
      <c r="CA158" s="207">
        <v>0</v>
      </c>
      <c r="CB158" s="207">
        <v>0</v>
      </c>
      <c r="CC158" s="207">
        <v>0</v>
      </c>
      <c r="CD158" s="207">
        <v>0</v>
      </c>
      <c r="CE158" s="207">
        <v>0</v>
      </c>
      <c r="CF158" s="207">
        <v>0</v>
      </c>
      <c r="CG158" s="147"/>
      <c r="CH158" s="176"/>
      <c r="CJ158" s="128"/>
      <c r="CK158" s="76">
        <f t="shared" ca="1" si="206"/>
        <v>0.15457154592025546</v>
      </c>
      <c r="CL158" s="179">
        <f t="shared" si="207"/>
        <v>1</v>
      </c>
      <c r="CM158" s="180">
        <f t="shared" si="208"/>
        <v>39910</v>
      </c>
      <c r="CN158" s="208">
        <v>0</v>
      </c>
      <c r="CO158" s="208">
        <v>0</v>
      </c>
      <c r="CP158" s="208">
        <v>0</v>
      </c>
      <c r="CQ158" s="208">
        <v>0</v>
      </c>
      <c r="CR158" s="208">
        <v>0</v>
      </c>
      <c r="CS158" s="208">
        <v>0</v>
      </c>
      <c r="CT158" s="208">
        <v>0</v>
      </c>
      <c r="CU158" s="208">
        <v>0</v>
      </c>
      <c r="CV158" s="160"/>
      <c r="CW158">
        <v>1</v>
      </c>
      <c r="CX158">
        <v>1</v>
      </c>
      <c r="CY158" s="160"/>
      <c r="CZ158" s="177">
        <f t="shared" si="209"/>
        <v>9.6000000000000002E-2</v>
      </c>
      <c r="DB158" s="128"/>
      <c r="DC158" s="76">
        <f t="shared" ca="1" si="172"/>
        <v>0.56651552232517766</v>
      </c>
      <c r="DD158">
        <f t="shared" si="210"/>
        <v>1</v>
      </c>
      <c r="DE158" s="129">
        <f t="shared" ref="DE158:DE167" si="242">IF((DD158)="", "", $C$11)</f>
        <v>39910</v>
      </c>
      <c r="DF158" s="161">
        <f t="shared" si="211"/>
        <v>0</v>
      </c>
      <c r="DG158" s="161">
        <f t="shared" si="212"/>
        <v>0</v>
      </c>
      <c r="DH158" s="161">
        <f t="shared" si="213"/>
        <v>0</v>
      </c>
      <c r="DI158" s="161">
        <f t="shared" si="214"/>
        <v>10.416666666666666</v>
      </c>
      <c r="DJ158" s="161">
        <f t="shared" si="215"/>
        <v>10.416666666666666</v>
      </c>
      <c r="DK158" s="161">
        <f t="shared" si="216"/>
        <v>0</v>
      </c>
      <c r="DL158" s="161">
        <f t="shared" si="217"/>
        <v>0</v>
      </c>
      <c r="DM158" s="161">
        <f t="shared" si="218"/>
        <v>0</v>
      </c>
      <c r="DN158" s="161">
        <f t="shared" si="219"/>
        <v>0</v>
      </c>
      <c r="DO158" s="161">
        <f t="shared" si="220"/>
        <v>0</v>
      </c>
      <c r="DP158" s="161">
        <f t="shared" si="221"/>
        <v>0</v>
      </c>
      <c r="DQ158" s="161">
        <f t="shared" si="222"/>
        <v>0</v>
      </c>
      <c r="DR158" s="161">
        <f t="shared" si="223"/>
        <v>0</v>
      </c>
      <c r="DS158" s="161">
        <f t="shared" si="224"/>
        <v>0</v>
      </c>
      <c r="DT158" s="161">
        <f t="shared" si="225"/>
        <v>0</v>
      </c>
      <c r="DU158" s="161">
        <f t="shared" si="226"/>
        <v>0</v>
      </c>
      <c r="DV158" s="161">
        <f t="shared" si="227"/>
        <v>0</v>
      </c>
      <c r="DW158" s="161">
        <f t="shared" si="228"/>
        <v>0</v>
      </c>
      <c r="DX158" s="161">
        <f t="shared" si="229"/>
        <v>0</v>
      </c>
      <c r="DY158" s="161">
        <f t="shared" si="230"/>
        <v>0</v>
      </c>
      <c r="DZ158" s="161">
        <f t="shared" si="231"/>
        <v>0</v>
      </c>
      <c r="EA158" s="161">
        <f t="shared" si="232"/>
        <v>0</v>
      </c>
      <c r="EB158" s="161">
        <f t="shared" si="233"/>
        <v>0</v>
      </c>
      <c r="EC158" s="161">
        <f t="shared" si="234"/>
        <v>0</v>
      </c>
      <c r="ED158" s="161">
        <f t="shared" si="235"/>
        <v>0</v>
      </c>
      <c r="EE158" s="161">
        <f t="shared" si="236"/>
        <v>0</v>
      </c>
      <c r="EF158" s="161">
        <f t="shared" si="237"/>
        <v>0</v>
      </c>
      <c r="EG158" s="161">
        <f t="shared" si="238"/>
        <v>0</v>
      </c>
      <c r="EH158" s="161">
        <f t="shared" si="239"/>
        <v>0</v>
      </c>
      <c r="EI158" s="161">
        <f t="shared" si="240"/>
        <v>0</v>
      </c>
      <c r="EJ158" s="161">
        <f t="shared" si="241"/>
        <v>0</v>
      </c>
      <c r="EK158" s="147">
        <f t="shared" si="173"/>
        <v>20.833333333333332</v>
      </c>
      <c r="EL158" s="149"/>
      <c r="EN158" s="146"/>
      <c r="EO158" s="146"/>
      <c r="EP158" s="139">
        <f t="shared" si="174"/>
        <v>0</v>
      </c>
      <c r="EQ158" s="139">
        <f t="shared" si="175"/>
        <v>0</v>
      </c>
      <c r="ER158" s="139">
        <f t="shared" si="176"/>
        <v>0</v>
      </c>
      <c r="ES158" s="139">
        <f t="shared" si="177"/>
        <v>2.2495177494926182</v>
      </c>
      <c r="ET158" s="139">
        <f t="shared" si="178"/>
        <v>4.8450809197869589</v>
      </c>
      <c r="EU158" s="139">
        <f t="shared" si="179"/>
        <v>0</v>
      </c>
      <c r="EV158" s="139">
        <f t="shared" si="180"/>
        <v>0</v>
      </c>
      <c r="EW158" s="139">
        <f t="shared" si="181"/>
        <v>0</v>
      </c>
      <c r="EX158" s="139">
        <f t="shared" si="182"/>
        <v>0</v>
      </c>
      <c r="EY158" s="139">
        <f t="shared" si="183"/>
        <v>0</v>
      </c>
      <c r="EZ158" s="139">
        <f t="shared" si="184"/>
        <v>0</v>
      </c>
      <c r="FA158" s="139">
        <f t="shared" si="185"/>
        <v>0</v>
      </c>
      <c r="FB158" s="139">
        <f t="shared" si="186"/>
        <v>0</v>
      </c>
      <c r="FC158" s="139">
        <f t="shared" si="187"/>
        <v>0</v>
      </c>
      <c r="FD158" s="139">
        <f t="shared" si="188"/>
        <v>0</v>
      </c>
      <c r="FE158" s="139">
        <f t="shared" si="189"/>
        <v>0</v>
      </c>
      <c r="FF158" s="139">
        <f t="shared" si="190"/>
        <v>0</v>
      </c>
      <c r="FG158" s="139">
        <f t="shared" si="191"/>
        <v>0</v>
      </c>
      <c r="FH158" s="139">
        <f t="shared" si="192"/>
        <v>0</v>
      </c>
      <c r="FI158" s="139">
        <f t="shared" si="193"/>
        <v>0</v>
      </c>
      <c r="FJ158" s="139">
        <f t="shared" si="194"/>
        <v>0</v>
      </c>
      <c r="FK158" s="139">
        <f t="shared" si="195"/>
        <v>0</v>
      </c>
      <c r="FL158" s="139">
        <f t="shared" si="196"/>
        <v>0</v>
      </c>
      <c r="FM158" s="139">
        <f t="shared" si="197"/>
        <v>0</v>
      </c>
      <c r="FN158" s="139">
        <f t="shared" si="198"/>
        <v>0</v>
      </c>
      <c r="FO158" s="139">
        <f t="shared" si="199"/>
        <v>0</v>
      </c>
      <c r="FP158" s="139">
        <f t="shared" si="200"/>
        <v>0</v>
      </c>
      <c r="FQ158" s="139">
        <f t="shared" si="201"/>
        <v>0</v>
      </c>
      <c r="FR158" s="139">
        <f t="shared" si="202"/>
        <v>0</v>
      </c>
      <c r="FS158" s="139">
        <f t="shared" si="203"/>
        <v>0</v>
      </c>
      <c r="FT158" s="139">
        <f t="shared" si="204"/>
        <v>0</v>
      </c>
      <c r="FU158" s="148">
        <f t="shared" si="205"/>
        <v>7.0945986692795771</v>
      </c>
      <c r="FV158" s="149"/>
      <c r="FY158" s="213">
        <v>153</v>
      </c>
      <c r="FZ158">
        <v>43.476766276849197</v>
      </c>
      <c r="GA158">
        <v>27.514057405993398</v>
      </c>
      <c r="GB158">
        <v>4.4103706550822608</v>
      </c>
      <c r="GC158">
        <v>4.3482788527202851</v>
      </c>
      <c r="GD158">
        <v>3.0905924187528462</v>
      </c>
      <c r="GE158">
        <v>3.8843440592123901</v>
      </c>
      <c r="GF158">
        <v>23.344041282739276</v>
      </c>
      <c r="GG158">
        <v>20.210299569434149</v>
      </c>
      <c r="GH158">
        <v>6.7475756938602984</v>
      </c>
      <c r="GI158">
        <v>14.531014699813682</v>
      </c>
      <c r="GJ158"/>
      <c r="GK158"/>
      <c r="GL158"/>
      <c r="GM158"/>
      <c r="GN158" s="208"/>
      <c r="GO158" s="208"/>
      <c r="GP158" s="208"/>
      <c r="GQ158" s="208"/>
      <c r="GR158" s="208"/>
      <c r="GS158" s="208"/>
      <c r="GT158" s="208"/>
      <c r="GU158" s="213">
        <v>153</v>
      </c>
    </row>
    <row r="159" spans="1:203" s="7" customFormat="1">
      <c r="A159" s="1"/>
      <c r="B159" s="76">
        <f ca="1">IF(C159="", "", RAND())</f>
        <v>0.11487638904993869</v>
      </c>
      <c r="C159">
        <v>7</v>
      </c>
      <c r="D159">
        <v>39910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 s="2"/>
      <c r="AK159" s="80"/>
      <c r="AL159" s="74">
        <v>3.0028000000000028</v>
      </c>
      <c r="AM159" s="43">
        <v>143</v>
      </c>
      <c r="AN159">
        <v>260.04186976203857</v>
      </c>
      <c r="AO159">
        <v>21.998978449170671</v>
      </c>
      <c r="AP159">
        <v>65.31097145030391</v>
      </c>
      <c r="AQ159">
        <v>169.04410142168567</v>
      </c>
      <c r="AR159">
        <v>25.618160722883488</v>
      </c>
      <c r="AS159">
        <v>223.06053433609844</v>
      </c>
      <c r="AT159">
        <v>13.228042245558781</v>
      </c>
      <c r="AU159">
        <v>64.587011685719702</v>
      </c>
      <c r="AV159"/>
      <c r="AW159"/>
      <c r="AX159" s="146"/>
      <c r="AY159" s="76">
        <f t="shared" ca="1" si="171"/>
        <v>0.48688246903503352</v>
      </c>
      <c r="AZ159">
        <v>2</v>
      </c>
      <c r="BA159" s="129">
        <f t="shared" ref="BA159:BA167" si="243">IF(AZ159="", "",$C$11)</f>
        <v>39910</v>
      </c>
      <c r="BB159" s="207">
        <v>0</v>
      </c>
      <c r="BC159" s="207">
        <v>0</v>
      </c>
      <c r="BD159" s="207">
        <v>3</v>
      </c>
      <c r="BE159" s="207">
        <v>0</v>
      </c>
      <c r="BF159" s="207">
        <v>0</v>
      </c>
      <c r="BG159" s="207">
        <v>0</v>
      </c>
      <c r="BH159" s="207">
        <v>0</v>
      </c>
      <c r="BI159" s="207">
        <v>0</v>
      </c>
      <c r="BJ159" s="207">
        <v>0</v>
      </c>
      <c r="BK159" s="207">
        <v>0</v>
      </c>
      <c r="BL159" s="207">
        <v>0</v>
      </c>
      <c r="BM159" s="207">
        <v>0</v>
      </c>
      <c r="BN159" s="207">
        <v>0</v>
      </c>
      <c r="BO159" s="207">
        <v>0</v>
      </c>
      <c r="BP159" s="207">
        <v>0</v>
      </c>
      <c r="BQ159" s="207">
        <v>0</v>
      </c>
      <c r="BR159" s="207">
        <v>0</v>
      </c>
      <c r="BS159" s="207">
        <v>0</v>
      </c>
      <c r="BT159" s="207">
        <v>0</v>
      </c>
      <c r="BU159" s="207">
        <v>0</v>
      </c>
      <c r="BV159" s="207">
        <v>0</v>
      </c>
      <c r="BW159" s="207">
        <v>0</v>
      </c>
      <c r="BX159" s="207">
        <v>0</v>
      </c>
      <c r="BY159" s="207">
        <v>0</v>
      </c>
      <c r="BZ159" s="207">
        <v>0</v>
      </c>
      <c r="CA159" s="207">
        <v>0</v>
      </c>
      <c r="CB159" s="207">
        <v>0</v>
      </c>
      <c r="CC159" s="207">
        <v>0</v>
      </c>
      <c r="CD159" s="207">
        <v>0</v>
      </c>
      <c r="CE159" s="207">
        <v>0</v>
      </c>
      <c r="CF159" s="207">
        <v>0</v>
      </c>
      <c r="CG159" s="147"/>
      <c r="CH159" s="176"/>
      <c r="CJ159" s="146"/>
      <c r="CK159" s="76">
        <f t="shared" ca="1" si="206"/>
        <v>0.65564713119032891</v>
      </c>
      <c r="CL159" s="179">
        <f t="shared" si="207"/>
        <v>2</v>
      </c>
      <c r="CM159" s="180">
        <f t="shared" si="208"/>
        <v>39910</v>
      </c>
      <c r="CN159" s="208">
        <v>0</v>
      </c>
      <c r="CO159" s="208">
        <v>2</v>
      </c>
      <c r="CP159" s="208">
        <v>0</v>
      </c>
      <c r="CQ159" s="208">
        <v>0</v>
      </c>
      <c r="CR159" s="208">
        <v>0</v>
      </c>
      <c r="CS159" s="208">
        <v>0</v>
      </c>
      <c r="CT159" s="208">
        <v>0</v>
      </c>
      <c r="CU159" s="208">
        <v>0</v>
      </c>
      <c r="CV159" s="160"/>
      <c r="CW159">
        <v>1</v>
      </c>
      <c r="CX159">
        <f>256/23</f>
        <v>11.130434782608695</v>
      </c>
      <c r="CY159" s="160"/>
      <c r="CZ159" s="177">
        <f t="shared" si="209"/>
        <v>9.6000000000000002E-2</v>
      </c>
      <c r="DB159" s="146"/>
      <c r="DC159" s="76">
        <f t="shared" ca="1" si="172"/>
        <v>0.9411169732372433</v>
      </c>
      <c r="DD159">
        <f t="shared" si="210"/>
        <v>2</v>
      </c>
      <c r="DE159" s="129">
        <f t="shared" si="242"/>
        <v>39910</v>
      </c>
      <c r="DF159" s="161">
        <f t="shared" si="211"/>
        <v>0</v>
      </c>
      <c r="DG159" s="161">
        <f t="shared" si="212"/>
        <v>231.88405797101447</v>
      </c>
      <c r="DH159" s="161">
        <f t="shared" si="213"/>
        <v>31.25</v>
      </c>
      <c r="DI159" s="161">
        <f t="shared" si="214"/>
        <v>0</v>
      </c>
      <c r="DJ159" s="161">
        <f t="shared" si="215"/>
        <v>0</v>
      </c>
      <c r="DK159" s="161">
        <f t="shared" si="216"/>
        <v>0</v>
      </c>
      <c r="DL159" s="161">
        <f t="shared" si="217"/>
        <v>0</v>
      </c>
      <c r="DM159" s="161">
        <f t="shared" si="218"/>
        <v>0</v>
      </c>
      <c r="DN159" s="161">
        <f t="shared" si="219"/>
        <v>0</v>
      </c>
      <c r="DO159" s="161">
        <f t="shared" si="220"/>
        <v>0</v>
      </c>
      <c r="DP159" s="161">
        <f t="shared" si="221"/>
        <v>0</v>
      </c>
      <c r="DQ159" s="161">
        <f t="shared" si="222"/>
        <v>0</v>
      </c>
      <c r="DR159" s="161">
        <f t="shared" si="223"/>
        <v>0</v>
      </c>
      <c r="DS159" s="161">
        <f t="shared" si="224"/>
        <v>0</v>
      </c>
      <c r="DT159" s="161">
        <f t="shared" si="225"/>
        <v>0</v>
      </c>
      <c r="DU159" s="161">
        <f t="shared" si="226"/>
        <v>0</v>
      </c>
      <c r="DV159" s="161">
        <f t="shared" si="227"/>
        <v>0</v>
      </c>
      <c r="DW159" s="161">
        <f t="shared" si="228"/>
        <v>0</v>
      </c>
      <c r="DX159" s="161">
        <f t="shared" si="229"/>
        <v>0</v>
      </c>
      <c r="DY159" s="161">
        <f t="shared" si="230"/>
        <v>0</v>
      </c>
      <c r="DZ159" s="161">
        <f t="shared" si="231"/>
        <v>0</v>
      </c>
      <c r="EA159" s="161">
        <f t="shared" si="232"/>
        <v>0</v>
      </c>
      <c r="EB159" s="161">
        <f t="shared" si="233"/>
        <v>0</v>
      </c>
      <c r="EC159" s="161">
        <f t="shared" si="234"/>
        <v>0</v>
      </c>
      <c r="ED159" s="161">
        <f t="shared" si="235"/>
        <v>0</v>
      </c>
      <c r="EE159" s="161">
        <f t="shared" si="236"/>
        <v>0</v>
      </c>
      <c r="EF159" s="161">
        <f t="shared" si="237"/>
        <v>0</v>
      </c>
      <c r="EG159" s="161">
        <f t="shared" si="238"/>
        <v>0</v>
      </c>
      <c r="EH159" s="161">
        <f t="shared" si="239"/>
        <v>0</v>
      </c>
      <c r="EI159" s="161">
        <f t="shared" si="240"/>
        <v>0</v>
      </c>
      <c r="EJ159" s="161">
        <f t="shared" si="241"/>
        <v>0</v>
      </c>
      <c r="EK159" s="147">
        <f t="shared" si="173"/>
        <v>263.1340579710145</v>
      </c>
      <c r="EL159" s="149"/>
      <c r="EN159" s="146"/>
      <c r="EO159" s="146"/>
      <c r="EP159" s="139">
        <f t="shared" si="174"/>
        <v>0</v>
      </c>
      <c r="EQ159" s="139">
        <f t="shared" si="175"/>
        <v>2.673924637681159</v>
      </c>
      <c r="ER159" s="139">
        <f t="shared" si="176"/>
        <v>2.2886284431880406</v>
      </c>
      <c r="ES159" s="139">
        <f t="shared" si="177"/>
        <v>0</v>
      </c>
      <c r="ET159" s="139">
        <f t="shared" si="178"/>
        <v>0</v>
      </c>
      <c r="EU159" s="139">
        <f t="shared" si="179"/>
        <v>0</v>
      </c>
      <c r="EV159" s="139">
        <f t="shared" si="180"/>
        <v>0</v>
      </c>
      <c r="EW159" s="139">
        <f t="shared" si="181"/>
        <v>0</v>
      </c>
      <c r="EX159" s="139">
        <f t="shared" si="182"/>
        <v>0</v>
      </c>
      <c r="EY159" s="139">
        <f t="shared" si="183"/>
        <v>0</v>
      </c>
      <c r="EZ159" s="139">
        <f t="shared" si="184"/>
        <v>0</v>
      </c>
      <c r="FA159" s="139">
        <f t="shared" si="185"/>
        <v>0</v>
      </c>
      <c r="FB159" s="139">
        <f t="shared" si="186"/>
        <v>0</v>
      </c>
      <c r="FC159" s="139">
        <f t="shared" si="187"/>
        <v>0</v>
      </c>
      <c r="FD159" s="139">
        <f t="shared" si="188"/>
        <v>0</v>
      </c>
      <c r="FE159" s="139">
        <f t="shared" si="189"/>
        <v>0</v>
      </c>
      <c r="FF159" s="139">
        <f t="shared" si="190"/>
        <v>0</v>
      </c>
      <c r="FG159" s="139">
        <f t="shared" si="191"/>
        <v>0</v>
      </c>
      <c r="FH159" s="139">
        <f t="shared" si="192"/>
        <v>0</v>
      </c>
      <c r="FI159" s="139">
        <f t="shared" si="193"/>
        <v>0</v>
      </c>
      <c r="FJ159" s="139">
        <f t="shared" si="194"/>
        <v>0</v>
      </c>
      <c r="FK159" s="139">
        <f t="shared" si="195"/>
        <v>0</v>
      </c>
      <c r="FL159" s="139">
        <f t="shared" si="196"/>
        <v>0</v>
      </c>
      <c r="FM159" s="139">
        <f t="shared" si="197"/>
        <v>0</v>
      </c>
      <c r="FN159" s="139">
        <f t="shared" si="198"/>
        <v>0</v>
      </c>
      <c r="FO159" s="139">
        <f t="shared" si="199"/>
        <v>0</v>
      </c>
      <c r="FP159" s="139">
        <f t="shared" si="200"/>
        <v>0</v>
      </c>
      <c r="FQ159" s="139">
        <f t="shared" si="201"/>
        <v>0</v>
      </c>
      <c r="FR159" s="139">
        <f t="shared" si="202"/>
        <v>0</v>
      </c>
      <c r="FS159" s="139">
        <f t="shared" si="203"/>
        <v>0</v>
      </c>
      <c r="FT159" s="139">
        <f t="shared" si="204"/>
        <v>0</v>
      </c>
      <c r="FU159" s="148">
        <f t="shared" si="205"/>
        <v>4.9625530808691991</v>
      </c>
      <c r="FV159" s="149"/>
      <c r="FY159" s="213">
        <v>154</v>
      </c>
      <c r="FZ159">
        <v>54.122643398240591</v>
      </c>
      <c r="GA159">
        <v>52.351948344450612</v>
      </c>
      <c r="GB159">
        <v>3.2199522363169648</v>
      </c>
      <c r="GC159">
        <v>4.2067837196477189</v>
      </c>
      <c r="GD159">
        <v>4.6147664082769086</v>
      </c>
      <c r="GE159">
        <v>4.9617051590199113</v>
      </c>
      <c r="GF159">
        <v>21.915127076239475</v>
      </c>
      <c r="GG159">
        <v>21.684567650701048</v>
      </c>
      <c r="GH159">
        <v>22.71843948501521</v>
      </c>
      <c r="GI159">
        <v>19.065268479831975</v>
      </c>
      <c r="GJ159"/>
      <c r="GK159"/>
      <c r="GL159"/>
      <c r="GM159"/>
      <c r="GN159" s="208"/>
      <c r="GO159" s="208"/>
      <c r="GP159" s="208"/>
      <c r="GQ159" s="208"/>
      <c r="GR159" s="208"/>
      <c r="GS159" s="208"/>
      <c r="GT159" s="208"/>
      <c r="GU159" s="213">
        <v>154</v>
      </c>
    </row>
    <row r="160" spans="1:203" s="7" customFormat="1">
      <c r="A160" s="1"/>
      <c r="B160" s="76">
        <f ca="1">IF(C160="", "", RAND())</f>
        <v>0.68027283529990279</v>
      </c>
      <c r="C160">
        <v>8</v>
      </c>
      <c r="D160">
        <v>39910</v>
      </c>
      <c r="E160">
        <v>0</v>
      </c>
      <c r="F160">
        <v>0</v>
      </c>
      <c r="G160">
        <v>31.25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 s="2"/>
      <c r="AK160" s="80"/>
      <c r="AL160" s="74">
        <v>3.0028000000000028</v>
      </c>
      <c r="AM160" s="43">
        <v>144</v>
      </c>
      <c r="AN160">
        <v>302.57579037125595</v>
      </c>
      <c r="AO160">
        <v>26.304998471710501</v>
      </c>
      <c r="AP160">
        <v>76.276121853859806</v>
      </c>
      <c r="AQ160">
        <v>194.35402689386748</v>
      </c>
      <c r="AR160">
        <v>27.579897484851351</v>
      </c>
      <c r="AS160">
        <v>245.36484736304828</v>
      </c>
      <c r="AT160">
        <v>12.619325673442574</v>
      </c>
      <c r="AU160">
        <v>6.9350493273438225</v>
      </c>
      <c r="AV160"/>
      <c r="AW160"/>
      <c r="AX160" s="146"/>
      <c r="AY160" s="76">
        <f t="shared" ca="1" si="171"/>
        <v>0.42777397820681307</v>
      </c>
      <c r="AZ160">
        <v>3</v>
      </c>
      <c r="BA160" s="129">
        <f t="shared" si="243"/>
        <v>39910</v>
      </c>
      <c r="BB160" s="207">
        <v>0</v>
      </c>
      <c r="BC160" s="207">
        <v>0</v>
      </c>
      <c r="BD160" s="207">
        <v>0</v>
      </c>
      <c r="BE160" s="207">
        <v>0</v>
      </c>
      <c r="BF160" s="207">
        <v>0</v>
      </c>
      <c r="BG160" s="207">
        <v>0</v>
      </c>
      <c r="BH160" s="207">
        <v>0</v>
      </c>
      <c r="BI160" s="207">
        <v>0</v>
      </c>
      <c r="BJ160" s="207">
        <v>0</v>
      </c>
      <c r="BK160" s="207">
        <v>0</v>
      </c>
      <c r="BL160" s="207">
        <v>0</v>
      </c>
      <c r="BM160" s="207">
        <v>0</v>
      </c>
      <c r="BN160" s="207">
        <v>0</v>
      </c>
      <c r="BO160" s="207">
        <v>0</v>
      </c>
      <c r="BP160" s="207">
        <v>0</v>
      </c>
      <c r="BQ160" s="207">
        <v>0</v>
      </c>
      <c r="BR160" s="207">
        <v>0</v>
      </c>
      <c r="BS160" s="207">
        <v>0</v>
      </c>
      <c r="BT160" s="207">
        <v>0</v>
      </c>
      <c r="BU160" s="207">
        <v>0</v>
      </c>
      <c r="BV160" s="207">
        <v>0</v>
      </c>
      <c r="BW160" s="207">
        <v>0</v>
      </c>
      <c r="BX160" s="207">
        <v>0</v>
      </c>
      <c r="BY160" s="207">
        <v>0</v>
      </c>
      <c r="BZ160" s="207">
        <v>0</v>
      </c>
      <c r="CA160" s="207">
        <v>0</v>
      </c>
      <c r="CB160" s="207">
        <v>0</v>
      </c>
      <c r="CC160" s="207">
        <v>0</v>
      </c>
      <c r="CD160" s="207">
        <v>0</v>
      </c>
      <c r="CE160" s="207">
        <v>0</v>
      </c>
      <c r="CF160" s="207">
        <v>0</v>
      </c>
      <c r="CG160" s="147"/>
      <c r="CH160" s="176"/>
      <c r="CJ160" s="146"/>
      <c r="CK160" s="76">
        <f t="shared" ca="1" si="206"/>
        <v>0.62574670823024858</v>
      </c>
      <c r="CL160" s="179">
        <f t="shared" si="207"/>
        <v>3</v>
      </c>
      <c r="CM160" s="180">
        <f t="shared" si="208"/>
        <v>39910</v>
      </c>
      <c r="CN160" s="208">
        <v>9</v>
      </c>
      <c r="CO160" s="208">
        <v>5</v>
      </c>
      <c r="CP160" s="208">
        <v>4</v>
      </c>
      <c r="CQ160" s="208">
        <v>3</v>
      </c>
      <c r="CR160" s="208">
        <v>0</v>
      </c>
      <c r="CS160" s="208">
        <v>0</v>
      </c>
      <c r="CT160" s="208">
        <v>0</v>
      </c>
      <c r="CU160" s="208">
        <v>0</v>
      </c>
      <c r="CV160" s="160"/>
      <c r="CW160">
        <f>30/11</f>
        <v>2.7272727272727271</v>
      </c>
      <c r="CX160">
        <f>350/42</f>
        <v>8.3333333333333339</v>
      </c>
      <c r="CY160" s="160"/>
      <c r="CZ160" s="177">
        <f t="shared" si="209"/>
        <v>9.6000000000000002E-2</v>
      </c>
      <c r="DB160" s="146"/>
      <c r="DC160" s="76">
        <f t="shared" ca="1" si="172"/>
        <v>0.85846286052953991</v>
      </c>
      <c r="DD160">
        <f t="shared" si="210"/>
        <v>3</v>
      </c>
      <c r="DE160" s="129">
        <f t="shared" si="242"/>
        <v>39910</v>
      </c>
      <c r="DF160" s="161">
        <f t="shared" si="211"/>
        <v>781.25</v>
      </c>
      <c r="DG160" s="161">
        <f t="shared" si="212"/>
        <v>434.02777777777783</v>
      </c>
      <c r="DH160" s="161">
        <f t="shared" si="213"/>
        <v>347.22222222222223</v>
      </c>
      <c r="DI160" s="161">
        <f t="shared" si="214"/>
        <v>260.41666666666669</v>
      </c>
      <c r="DJ160" s="161">
        <f t="shared" si="215"/>
        <v>0</v>
      </c>
      <c r="DK160" s="161">
        <f t="shared" si="216"/>
        <v>0</v>
      </c>
      <c r="DL160" s="161">
        <f t="shared" si="217"/>
        <v>0</v>
      </c>
      <c r="DM160" s="161">
        <f t="shared" si="218"/>
        <v>0</v>
      </c>
      <c r="DN160" s="161">
        <f t="shared" si="219"/>
        <v>0</v>
      </c>
      <c r="DO160" s="161">
        <f t="shared" si="220"/>
        <v>0</v>
      </c>
      <c r="DP160" s="161">
        <f t="shared" si="221"/>
        <v>0</v>
      </c>
      <c r="DQ160" s="161">
        <f t="shared" si="222"/>
        <v>0</v>
      </c>
      <c r="DR160" s="161">
        <f t="shared" si="223"/>
        <v>0</v>
      </c>
      <c r="DS160" s="161">
        <f t="shared" si="224"/>
        <v>0</v>
      </c>
      <c r="DT160" s="161">
        <f t="shared" si="225"/>
        <v>0</v>
      </c>
      <c r="DU160" s="161">
        <f t="shared" si="226"/>
        <v>0</v>
      </c>
      <c r="DV160" s="161">
        <f t="shared" si="227"/>
        <v>0</v>
      </c>
      <c r="DW160" s="161">
        <f t="shared" si="228"/>
        <v>0</v>
      </c>
      <c r="DX160" s="161">
        <f t="shared" si="229"/>
        <v>0</v>
      </c>
      <c r="DY160" s="161">
        <f t="shared" si="230"/>
        <v>0</v>
      </c>
      <c r="DZ160" s="161">
        <f t="shared" si="231"/>
        <v>0</v>
      </c>
      <c r="EA160" s="161">
        <f t="shared" si="232"/>
        <v>0</v>
      </c>
      <c r="EB160" s="161">
        <f t="shared" si="233"/>
        <v>0</v>
      </c>
      <c r="EC160" s="161">
        <f t="shared" si="234"/>
        <v>0</v>
      </c>
      <c r="ED160" s="161">
        <f t="shared" si="235"/>
        <v>0</v>
      </c>
      <c r="EE160" s="161">
        <f t="shared" si="236"/>
        <v>0</v>
      </c>
      <c r="EF160" s="161">
        <f t="shared" si="237"/>
        <v>0</v>
      </c>
      <c r="EG160" s="161">
        <f t="shared" si="238"/>
        <v>0</v>
      </c>
      <c r="EH160" s="161">
        <f t="shared" si="239"/>
        <v>0</v>
      </c>
      <c r="EI160" s="161">
        <f t="shared" si="240"/>
        <v>0</v>
      </c>
      <c r="EJ160" s="161">
        <f t="shared" si="241"/>
        <v>0</v>
      </c>
      <c r="EK160" s="147">
        <f t="shared" si="173"/>
        <v>1822.9166666666667</v>
      </c>
      <c r="EL160" s="149"/>
      <c r="EN160" s="146"/>
      <c r="EO160" s="146"/>
      <c r="EP160" s="139">
        <f t="shared" si="174"/>
        <v>1.4184737488054149</v>
      </c>
      <c r="EQ160" s="139">
        <f t="shared" si="175"/>
        <v>5.0049045138888895</v>
      </c>
      <c r="ER160" s="139">
        <f t="shared" si="176"/>
        <v>25.429204924311563</v>
      </c>
      <c r="ES160" s="139">
        <f t="shared" si="177"/>
        <v>56.237943737315462</v>
      </c>
      <c r="ET160" s="139">
        <f t="shared" si="178"/>
        <v>0</v>
      </c>
      <c r="EU160" s="139">
        <f t="shared" si="179"/>
        <v>0</v>
      </c>
      <c r="EV160" s="139">
        <f t="shared" si="180"/>
        <v>0</v>
      </c>
      <c r="EW160" s="139">
        <f t="shared" si="181"/>
        <v>0</v>
      </c>
      <c r="EX160" s="139">
        <f t="shared" si="182"/>
        <v>0</v>
      </c>
      <c r="EY160" s="139">
        <f t="shared" si="183"/>
        <v>0</v>
      </c>
      <c r="EZ160" s="139">
        <f t="shared" si="184"/>
        <v>0</v>
      </c>
      <c r="FA160" s="139">
        <f t="shared" si="185"/>
        <v>0</v>
      </c>
      <c r="FB160" s="139">
        <f t="shared" si="186"/>
        <v>0</v>
      </c>
      <c r="FC160" s="139">
        <f t="shared" si="187"/>
        <v>0</v>
      </c>
      <c r="FD160" s="139">
        <f t="shared" si="188"/>
        <v>0</v>
      </c>
      <c r="FE160" s="139">
        <f t="shared" si="189"/>
        <v>0</v>
      </c>
      <c r="FF160" s="139">
        <f t="shared" si="190"/>
        <v>0</v>
      </c>
      <c r="FG160" s="139">
        <f t="shared" si="191"/>
        <v>0</v>
      </c>
      <c r="FH160" s="139">
        <f t="shared" si="192"/>
        <v>0</v>
      </c>
      <c r="FI160" s="139">
        <f t="shared" si="193"/>
        <v>0</v>
      </c>
      <c r="FJ160" s="139">
        <f t="shared" si="194"/>
        <v>0</v>
      </c>
      <c r="FK160" s="139">
        <f t="shared" si="195"/>
        <v>0</v>
      </c>
      <c r="FL160" s="139">
        <f t="shared" si="196"/>
        <v>0</v>
      </c>
      <c r="FM160" s="139">
        <f t="shared" si="197"/>
        <v>0</v>
      </c>
      <c r="FN160" s="139">
        <f t="shared" si="198"/>
        <v>0</v>
      </c>
      <c r="FO160" s="139">
        <f t="shared" si="199"/>
        <v>0</v>
      </c>
      <c r="FP160" s="139">
        <f t="shared" si="200"/>
        <v>0</v>
      </c>
      <c r="FQ160" s="139">
        <f t="shared" si="201"/>
        <v>0</v>
      </c>
      <c r="FR160" s="139">
        <f t="shared" si="202"/>
        <v>0</v>
      </c>
      <c r="FS160" s="139">
        <f t="shared" si="203"/>
        <v>0</v>
      </c>
      <c r="FT160" s="139">
        <f t="shared" si="204"/>
        <v>0</v>
      </c>
      <c r="FU160" s="148">
        <f t="shared" si="205"/>
        <v>88.090526924321324</v>
      </c>
      <c r="FV160" s="149"/>
      <c r="FY160" s="213">
        <v>155</v>
      </c>
      <c r="FZ160">
        <v>39.618688489270319</v>
      </c>
      <c r="GA160">
        <v>31.017855954262455</v>
      </c>
      <c r="GB160">
        <v>7.2614990316670074</v>
      </c>
      <c r="GC160">
        <v>4.4687203043188077</v>
      </c>
      <c r="GD160">
        <v>4.0693147496434827</v>
      </c>
      <c r="GE160">
        <v>5.8661670453406307</v>
      </c>
      <c r="GF160">
        <v>27.643423369897501</v>
      </c>
      <c r="GG160">
        <v>23.806059580360273</v>
      </c>
      <c r="GH160">
        <v>14.965101933598106</v>
      </c>
      <c r="GI160">
        <v>17.581703275232339</v>
      </c>
      <c r="GJ160"/>
      <c r="GK160"/>
      <c r="GL160"/>
      <c r="GM160"/>
      <c r="GN160" s="208"/>
      <c r="GO160" s="208"/>
      <c r="GP160" s="208"/>
      <c r="GQ160" s="208"/>
      <c r="GR160" s="208"/>
      <c r="GS160" s="208"/>
      <c r="GT160" s="208"/>
      <c r="GU160" s="213">
        <v>155</v>
      </c>
    </row>
    <row r="161" spans="1:203" s="7" customFormat="1">
      <c r="A161" s="1"/>
      <c r="B161" s="76">
        <f ca="1">IF(C161="", "", RAND())</f>
        <v>7.3559602419344117E-3</v>
      </c>
      <c r="C161">
        <v>4</v>
      </c>
      <c r="D161">
        <v>39910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 s="2"/>
      <c r="AK161" s="80"/>
      <c r="AL161" s="74">
        <v>3.0028000000000028</v>
      </c>
      <c r="AM161" s="43">
        <v>145</v>
      </c>
      <c r="AN161">
        <v>365.50113897699941</v>
      </c>
      <c r="AO161">
        <v>24.889386119597187</v>
      </c>
      <c r="AP161">
        <v>97.357860775091254</v>
      </c>
      <c r="AQ161">
        <v>170.7242568566308</v>
      </c>
      <c r="AR161">
        <v>25.354697954217936</v>
      </c>
      <c r="AS161">
        <v>246.15265551428283</v>
      </c>
      <c r="AT161">
        <v>11.772882355452699</v>
      </c>
      <c r="AU161">
        <v>5.5941425938415108</v>
      </c>
      <c r="AV161"/>
      <c r="AW161"/>
      <c r="AX161" s="146"/>
      <c r="AY161" s="76">
        <f t="shared" ca="1" si="171"/>
        <v>0.3720758041993259</v>
      </c>
      <c r="AZ161">
        <v>4</v>
      </c>
      <c r="BA161" s="129">
        <f t="shared" si="243"/>
        <v>39910</v>
      </c>
      <c r="BB161" s="207">
        <v>0</v>
      </c>
      <c r="BC161" s="207">
        <v>0</v>
      </c>
      <c r="BD161" s="207">
        <v>0</v>
      </c>
      <c r="BE161" s="207">
        <v>0</v>
      </c>
      <c r="BF161" s="207">
        <v>0</v>
      </c>
      <c r="BG161" s="207">
        <v>0</v>
      </c>
      <c r="BH161" s="207">
        <v>0</v>
      </c>
      <c r="BI161" s="207">
        <v>0</v>
      </c>
      <c r="BJ161" s="207">
        <v>0</v>
      </c>
      <c r="BK161" s="207">
        <v>0</v>
      </c>
      <c r="BL161" s="207">
        <v>0</v>
      </c>
      <c r="BM161" s="207">
        <v>0</v>
      </c>
      <c r="BN161" s="207">
        <v>0</v>
      </c>
      <c r="BO161" s="207">
        <v>0</v>
      </c>
      <c r="BP161" s="207">
        <v>0</v>
      </c>
      <c r="BQ161" s="207">
        <v>0</v>
      </c>
      <c r="BR161" s="207">
        <v>0</v>
      </c>
      <c r="BS161" s="207">
        <v>0</v>
      </c>
      <c r="BT161" s="207">
        <v>0</v>
      </c>
      <c r="BU161" s="207">
        <v>0</v>
      </c>
      <c r="BV161" s="207">
        <v>0</v>
      </c>
      <c r="BW161" s="207">
        <v>0</v>
      </c>
      <c r="BX161" s="207">
        <v>0</v>
      </c>
      <c r="BY161" s="207">
        <v>0</v>
      </c>
      <c r="BZ161" s="207">
        <v>0</v>
      </c>
      <c r="CA161" s="207">
        <v>0</v>
      </c>
      <c r="CB161" s="207">
        <v>0</v>
      </c>
      <c r="CC161" s="207">
        <v>0</v>
      </c>
      <c r="CD161" s="207">
        <v>0</v>
      </c>
      <c r="CE161" s="207">
        <v>0</v>
      </c>
      <c r="CF161" s="207">
        <v>0</v>
      </c>
      <c r="CG161" s="147"/>
      <c r="CH161" s="176"/>
      <c r="CJ161" s="146"/>
      <c r="CK161" s="76">
        <f t="shared" ca="1" si="206"/>
        <v>0.42481010121195983</v>
      </c>
      <c r="CL161" s="179">
        <f t="shared" si="207"/>
        <v>4</v>
      </c>
      <c r="CM161" s="180">
        <f t="shared" si="208"/>
        <v>39910</v>
      </c>
      <c r="CN161" s="208">
        <v>0</v>
      </c>
      <c r="CO161" s="208">
        <v>0</v>
      </c>
      <c r="CP161" s="208">
        <v>0</v>
      </c>
      <c r="CQ161" s="208">
        <v>0</v>
      </c>
      <c r="CR161" s="208">
        <v>0</v>
      </c>
      <c r="CS161" s="208">
        <v>0</v>
      </c>
      <c r="CT161" s="208">
        <v>0</v>
      </c>
      <c r="CU161" s="208">
        <v>0</v>
      </c>
      <c r="CV161" s="160"/>
      <c r="CW161">
        <v>1</v>
      </c>
      <c r="CX161">
        <f>310/93</f>
        <v>3.3333333333333335</v>
      </c>
      <c r="CY161" s="160"/>
      <c r="CZ161" s="177">
        <f t="shared" si="209"/>
        <v>9.6000000000000002E-2</v>
      </c>
      <c r="DB161" s="146"/>
      <c r="DC161" s="76">
        <f t="shared" ca="1" si="172"/>
        <v>0.83386431580884501</v>
      </c>
      <c r="DD161">
        <f t="shared" si="210"/>
        <v>4</v>
      </c>
      <c r="DE161" s="129">
        <f t="shared" si="242"/>
        <v>39910</v>
      </c>
      <c r="DF161" s="161">
        <f t="shared" si="211"/>
        <v>0</v>
      </c>
      <c r="DG161" s="161">
        <f t="shared" si="212"/>
        <v>0</v>
      </c>
      <c r="DH161" s="161">
        <f t="shared" si="213"/>
        <v>0</v>
      </c>
      <c r="DI161" s="161">
        <f t="shared" si="214"/>
        <v>0</v>
      </c>
      <c r="DJ161" s="161">
        <f t="shared" si="215"/>
        <v>0</v>
      </c>
      <c r="DK161" s="161">
        <f t="shared" si="216"/>
        <v>0</v>
      </c>
      <c r="DL161" s="161">
        <f t="shared" si="217"/>
        <v>0</v>
      </c>
      <c r="DM161" s="161">
        <f t="shared" si="218"/>
        <v>0</v>
      </c>
      <c r="DN161" s="161">
        <f t="shared" si="219"/>
        <v>0</v>
      </c>
      <c r="DO161" s="161">
        <f t="shared" si="220"/>
        <v>0</v>
      </c>
      <c r="DP161" s="161">
        <f t="shared" si="221"/>
        <v>0</v>
      </c>
      <c r="DQ161" s="161">
        <f t="shared" si="222"/>
        <v>0</v>
      </c>
      <c r="DR161" s="161">
        <f t="shared" si="223"/>
        <v>0</v>
      </c>
      <c r="DS161" s="161">
        <f t="shared" si="224"/>
        <v>0</v>
      </c>
      <c r="DT161" s="161">
        <f t="shared" si="225"/>
        <v>0</v>
      </c>
      <c r="DU161" s="161">
        <f t="shared" si="226"/>
        <v>0</v>
      </c>
      <c r="DV161" s="161">
        <f t="shared" si="227"/>
        <v>0</v>
      </c>
      <c r="DW161" s="161">
        <f t="shared" si="228"/>
        <v>0</v>
      </c>
      <c r="DX161" s="161">
        <f t="shared" si="229"/>
        <v>0</v>
      </c>
      <c r="DY161" s="161">
        <f t="shared" si="230"/>
        <v>0</v>
      </c>
      <c r="DZ161" s="161">
        <f t="shared" si="231"/>
        <v>0</v>
      </c>
      <c r="EA161" s="161">
        <f t="shared" si="232"/>
        <v>0</v>
      </c>
      <c r="EB161" s="161">
        <f t="shared" si="233"/>
        <v>0</v>
      </c>
      <c r="EC161" s="161">
        <f t="shared" si="234"/>
        <v>0</v>
      </c>
      <c r="ED161" s="161">
        <f t="shared" si="235"/>
        <v>0</v>
      </c>
      <c r="EE161" s="161">
        <f t="shared" si="236"/>
        <v>0</v>
      </c>
      <c r="EF161" s="161">
        <f t="shared" si="237"/>
        <v>0</v>
      </c>
      <c r="EG161" s="161">
        <f t="shared" si="238"/>
        <v>0</v>
      </c>
      <c r="EH161" s="161">
        <f t="shared" si="239"/>
        <v>0</v>
      </c>
      <c r="EI161" s="161">
        <f t="shared" si="240"/>
        <v>0</v>
      </c>
      <c r="EJ161" s="161">
        <f t="shared" si="241"/>
        <v>0</v>
      </c>
      <c r="EK161" s="147">
        <f t="shared" si="173"/>
        <v>0</v>
      </c>
      <c r="EL161" s="149"/>
      <c r="EN161" s="146"/>
      <c r="EO161" s="146"/>
      <c r="EP161" s="139">
        <f t="shared" si="174"/>
        <v>0</v>
      </c>
      <c r="EQ161" s="139">
        <f t="shared" si="175"/>
        <v>0</v>
      </c>
      <c r="ER161" s="139">
        <f t="shared" si="176"/>
        <v>0</v>
      </c>
      <c r="ES161" s="139">
        <f t="shared" si="177"/>
        <v>0</v>
      </c>
      <c r="ET161" s="139">
        <f t="shared" si="178"/>
        <v>0</v>
      </c>
      <c r="EU161" s="139">
        <f t="shared" si="179"/>
        <v>0</v>
      </c>
      <c r="EV161" s="139">
        <f t="shared" si="180"/>
        <v>0</v>
      </c>
      <c r="EW161" s="139">
        <f t="shared" si="181"/>
        <v>0</v>
      </c>
      <c r="EX161" s="139">
        <f t="shared" si="182"/>
        <v>0</v>
      </c>
      <c r="EY161" s="139">
        <f t="shared" si="183"/>
        <v>0</v>
      </c>
      <c r="EZ161" s="139">
        <f t="shared" si="184"/>
        <v>0</v>
      </c>
      <c r="FA161" s="139">
        <f t="shared" si="185"/>
        <v>0</v>
      </c>
      <c r="FB161" s="139">
        <f t="shared" si="186"/>
        <v>0</v>
      </c>
      <c r="FC161" s="139">
        <f t="shared" si="187"/>
        <v>0</v>
      </c>
      <c r="FD161" s="139">
        <f t="shared" si="188"/>
        <v>0</v>
      </c>
      <c r="FE161" s="139">
        <f t="shared" si="189"/>
        <v>0</v>
      </c>
      <c r="FF161" s="139">
        <f t="shared" si="190"/>
        <v>0</v>
      </c>
      <c r="FG161" s="139">
        <f t="shared" si="191"/>
        <v>0</v>
      </c>
      <c r="FH161" s="139">
        <f t="shared" si="192"/>
        <v>0</v>
      </c>
      <c r="FI161" s="139">
        <f t="shared" si="193"/>
        <v>0</v>
      </c>
      <c r="FJ161" s="139">
        <f t="shared" si="194"/>
        <v>0</v>
      </c>
      <c r="FK161" s="139">
        <f t="shared" si="195"/>
        <v>0</v>
      </c>
      <c r="FL161" s="139">
        <f t="shared" si="196"/>
        <v>0</v>
      </c>
      <c r="FM161" s="139">
        <f t="shared" si="197"/>
        <v>0</v>
      </c>
      <c r="FN161" s="139">
        <f t="shared" si="198"/>
        <v>0</v>
      </c>
      <c r="FO161" s="139">
        <f t="shared" si="199"/>
        <v>0</v>
      </c>
      <c r="FP161" s="139">
        <f t="shared" si="200"/>
        <v>0</v>
      </c>
      <c r="FQ161" s="139">
        <f t="shared" si="201"/>
        <v>0</v>
      </c>
      <c r="FR161" s="139">
        <f t="shared" si="202"/>
        <v>0</v>
      </c>
      <c r="FS161" s="139">
        <f t="shared" si="203"/>
        <v>0</v>
      </c>
      <c r="FT161" s="139">
        <f t="shared" si="204"/>
        <v>0</v>
      </c>
      <c r="FU161" s="148">
        <f t="shared" si="205"/>
        <v>0</v>
      </c>
      <c r="FV161" s="149"/>
      <c r="FY161" s="213">
        <v>156</v>
      </c>
      <c r="FZ161">
        <v>40.738393611504478</v>
      </c>
      <c r="GA161">
        <v>76.659238041892237</v>
      </c>
      <c r="GB161">
        <v>19.537178719215422</v>
      </c>
      <c r="GC161">
        <v>6.5287429924112539</v>
      </c>
      <c r="GD161">
        <v>4.7641460130671218</v>
      </c>
      <c r="GE161">
        <v>4.071117482396188</v>
      </c>
      <c r="GF161">
        <v>7.961817555314223</v>
      </c>
      <c r="GG161">
        <v>7.3035360477786337</v>
      </c>
      <c r="GH161">
        <v>12.906124231095076</v>
      </c>
      <c r="GI161">
        <v>18.063464146470483</v>
      </c>
      <c r="GJ161"/>
      <c r="GK161"/>
      <c r="GL161"/>
      <c r="GM161"/>
      <c r="GN161" s="208"/>
      <c r="GO161" s="208"/>
      <c r="GP161" s="208"/>
      <c r="GQ161" s="208"/>
      <c r="GR161" s="208"/>
      <c r="GS161" s="208"/>
      <c r="GT161" s="208"/>
      <c r="GU161" s="213">
        <v>156</v>
      </c>
    </row>
    <row r="162" spans="1:203" s="7" customFormat="1">
      <c r="A162" s="1"/>
      <c r="B162" s="76">
        <f ca="1">IF(C162="", "", RAND())</f>
        <v>0.33785997112154731</v>
      </c>
      <c r="C162">
        <v>6</v>
      </c>
      <c r="D162">
        <v>39910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 s="2"/>
      <c r="AK162" s="80"/>
      <c r="AL162" s="74"/>
      <c r="AM162" s="43">
        <v>146</v>
      </c>
      <c r="AN162">
        <v>255.93892130054752</v>
      </c>
      <c r="AO162">
        <v>23.490863915414192</v>
      </c>
      <c r="AP162">
        <v>73.036696985211279</v>
      </c>
      <c r="AQ162">
        <v>168.09972095961774</v>
      </c>
      <c r="AR162">
        <v>23.197219392901193</v>
      </c>
      <c r="AS162">
        <v>203.4921738678982</v>
      </c>
      <c r="AT162">
        <v>10.983403591499625</v>
      </c>
      <c r="AU162">
        <v>43.785999928110471</v>
      </c>
      <c r="AV162"/>
      <c r="AW162"/>
      <c r="AX162" s="146"/>
      <c r="AY162" s="76">
        <f t="shared" ca="1" si="171"/>
        <v>0.76220904530423139</v>
      </c>
      <c r="AZ162">
        <v>5</v>
      </c>
      <c r="BA162" s="129">
        <f t="shared" si="243"/>
        <v>39910</v>
      </c>
      <c r="BB162" s="207">
        <v>0</v>
      </c>
      <c r="BC162" s="207">
        <v>0</v>
      </c>
      <c r="BD162" s="207">
        <v>0</v>
      </c>
      <c r="BE162" s="207">
        <v>0</v>
      </c>
      <c r="BF162" s="207">
        <v>0</v>
      </c>
      <c r="BG162" s="207">
        <v>0</v>
      </c>
      <c r="BH162" s="207">
        <v>0</v>
      </c>
      <c r="BI162" s="207">
        <v>0</v>
      </c>
      <c r="BJ162" s="207">
        <v>0</v>
      </c>
      <c r="BK162" s="207">
        <v>0</v>
      </c>
      <c r="BL162" s="207">
        <v>0</v>
      </c>
      <c r="BM162" s="207">
        <v>0</v>
      </c>
      <c r="BN162" s="207">
        <v>0</v>
      </c>
      <c r="BO162" s="207">
        <v>0</v>
      </c>
      <c r="BP162" s="207">
        <v>0</v>
      </c>
      <c r="BQ162" s="207">
        <v>0</v>
      </c>
      <c r="BR162" s="207">
        <v>0</v>
      </c>
      <c r="BS162" s="207">
        <v>0</v>
      </c>
      <c r="BT162" s="207">
        <v>0</v>
      </c>
      <c r="BU162" s="207">
        <v>0</v>
      </c>
      <c r="BV162" s="207">
        <v>0</v>
      </c>
      <c r="BW162" s="207">
        <v>0</v>
      </c>
      <c r="BX162" s="207">
        <v>0</v>
      </c>
      <c r="BY162" s="207">
        <v>0</v>
      </c>
      <c r="BZ162" s="207">
        <v>0</v>
      </c>
      <c r="CA162" s="207">
        <v>0</v>
      </c>
      <c r="CB162" s="207">
        <v>0</v>
      </c>
      <c r="CC162" s="207">
        <v>0</v>
      </c>
      <c r="CD162" s="207">
        <v>0</v>
      </c>
      <c r="CE162" s="207">
        <v>0</v>
      </c>
      <c r="CF162" s="207">
        <v>0</v>
      </c>
      <c r="CG162" s="147"/>
      <c r="CH162" s="176"/>
      <c r="CJ162" s="146"/>
      <c r="CK162" s="76">
        <f t="shared" ca="1" si="206"/>
        <v>7.5916776466532498E-2</v>
      </c>
      <c r="CL162" s="179">
        <f t="shared" si="207"/>
        <v>5</v>
      </c>
      <c r="CM162" s="180">
        <f t="shared" si="208"/>
        <v>39910</v>
      </c>
      <c r="CN162" s="208">
        <v>0</v>
      </c>
      <c r="CO162" s="208">
        <v>0</v>
      </c>
      <c r="CP162" s="208">
        <v>0</v>
      </c>
      <c r="CQ162" s="208">
        <v>0</v>
      </c>
      <c r="CR162" s="208">
        <v>0</v>
      </c>
      <c r="CS162" s="208">
        <v>0</v>
      </c>
      <c r="CT162" s="208">
        <v>0</v>
      </c>
      <c r="CU162" s="208">
        <v>0</v>
      </c>
      <c r="CV162" s="160"/>
      <c r="CW162">
        <v>1</v>
      </c>
      <c r="CX162">
        <v>1</v>
      </c>
      <c r="CY162" s="160"/>
      <c r="CZ162" s="177">
        <f t="shared" si="209"/>
        <v>9.6000000000000002E-2</v>
      </c>
      <c r="DB162" s="146"/>
      <c r="DC162" s="76">
        <f t="shared" ca="1" si="172"/>
        <v>0.41226364366346147</v>
      </c>
      <c r="DD162">
        <f t="shared" si="210"/>
        <v>5</v>
      </c>
      <c r="DE162" s="129">
        <f t="shared" si="242"/>
        <v>39910</v>
      </c>
      <c r="DF162" s="161">
        <f t="shared" si="211"/>
        <v>0</v>
      </c>
      <c r="DG162" s="161">
        <f t="shared" si="212"/>
        <v>0</v>
      </c>
      <c r="DH162" s="161">
        <f t="shared" si="213"/>
        <v>0</v>
      </c>
      <c r="DI162" s="161">
        <f t="shared" si="214"/>
        <v>0</v>
      </c>
      <c r="DJ162" s="161">
        <f t="shared" si="215"/>
        <v>0</v>
      </c>
      <c r="DK162" s="161">
        <f t="shared" si="216"/>
        <v>0</v>
      </c>
      <c r="DL162" s="161">
        <f t="shared" si="217"/>
        <v>0</v>
      </c>
      <c r="DM162" s="161">
        <f t="shared" si="218"/>
        <v>0</v>
      </c>
      <c r="DN162" s="161">
        <f t="shared" si="219"/>
        <v>0</v>
      </c>
      <c r="DO162" s="161">
        <f t="shared" si="220"/>
        <v>0</v>
      </c>
      <c r="DP162" s="161">
        <f t="shared" si="221"/>
        <v>0</v>
      </c>
      <c r="DQ162" s="161">
        <f t="shared" si="222"/>
        <v>0</v>
      </c>
      <c r="DR162" s="161">
        <f t="shared" si="223"/>
        <v>0</v>
      </c>
      <c r="DS162" s="161">
        <f t="shared" si="224"/>
        <v>0</v>
      </c>
      <c r="DT162" s="161">
        <f t="shared" si="225"/>
        <v>0</v>
      </c>
      <c r="DU162" s="161">
        <f t="shared" si="226"/>
        <v>0</v>
      </c>
      <c r="DV162" s="161">
        <f t="shared" si="227"/>
        <v>0</v>
      </c>
      <c r="DW162" s="161">
        <f t="shared" si="228"/>
        <v>0</v>
      </c>
      <c r="DX162" s="161">
        <f t="shared" si="229"/>
        <v>0</v>
      </c>
      <c r="DY162" s="161">
        <f t="shared" si="230"/>
        <v>0</v>
      </c>
      <c r="DZ162" s="161">
        <f t="shared" si="231"/>
        <v>0</v>
      </c>
      <c r="EA162" s="161">
        <f t="shared" si="232"/>
        <v>0</v>
      </c>
      <c r="EB162" s="161">
        <f t="shared" si="233"/>
        <v>0</v>
      </c>
      <c r="EC162" s="161">
        <f t="shared" si="234"/>
        <v>0</v>
      </c>
      <c r="ED162" s="161">
        <f t="shared" si="235"/>
        <v>0</v>
      </c>
      <c r="EE162" s="161">
        <f t="shared" si="236"/>
        <v>0</v>
      </c>
      <c r="EF162" s="161">
        <f t="shared" si="237"/>
        <v>0</v>
      </c>
      <c r="EG162" s="161">
        <f t="shared" si="238"/>
        <v>0</v>
      </c>
      <c r="EH162" s="161">
        <f t="shared" si="239"/>
        <v>0</v>
      </c>
      <c r="EI162" s="161">
        <f t="shared" si="240"/>
        <v>0</v>
      </c>
      <c r="EJ162" s="161">
        <f t="shared" si="241"/>
        <v>0</v>
      </c>
      <c r="EK162" s="147">
        <f t="shared" si="173"/>
        <v>0</v>
      </c>
      <c r="EL162" s="149"/>
      <c r="EN162" s="146"/>
      <c r="EO162" s="146"/>
      <c r="EP162" s="139">
        <f t="shared" si="174"/>
        <v>0</v>
      </c>
      <c r="EQ162" s="139">
        <f t="shared" si="175"/>
        <v>0</v>
      </c>
      <c r="ER162" s="139">
        <f t="shared" si="176"/>
        <v>0</v>
      </c>
      <c r="ES162" s="139">
        <f t="shared" si="177"/>
        <v>0</v>
      </c>
      <c r="ET162" s="139">
        <f t="shared" si="178"/>
        <v>0</v>
      </c>
      <c r="EU162" s="139">
        <f t="shared" si="179"/>
        <v>0</v>
      </c>
      <c r="EV162" s="139">
        <f t="shared" si="180"/>
        <v>0</v>
      </c>
      <c r="EW162" s="139">
        <f t="shared" si="181"/>
        <v>0</v>
      </c>
      <c r="EX162" s="139">
        <f t="shared" si="182"/>
        <v>0</v>
      </c>
      <c r="EY162" s="139">
        <f t="shared" si="183"/>
        <v>0</v>
      </c>
      <c r="EZ162" s="139">
        <f t="shared" si="184"/>
        <v>0</v>
      </c>
      <c r="FA162" s="139">
        <f t="shared" si="185"/>
        <v>0</v>
      </c>
      <c r="FB162" s="139">
        <f t="shared" si="186"/>
        <v>0</v>
      </c>
      <c r="FC162" s="139">
        <f t="shared" si="187"/>
        <v>0</v>
      </c>
      <c r="FD162" s="139">
        <f t="shared" si="188"/>
        <v>0</v>
      </c>
      <c r="FE162" s="139">
        <f t="shared" si="189"/>
        <v>0</v>
      </c>
      <c r="FF162" s="139">
        <f t="shared" si="190"/>
        <v>0</v>
      </c>
      <c r="FG162" s="139">
        <f t="shared" si="191"/>
        <v>0</v>
      </c>
      <c r="FH162" s="139">
        <f t="shared" si="192"/>
        <v>0</v>
      </c>
      <c r="FI162" s="139">
        <f t="shared" si="193"/>
        <v>0</v>
      </c>
      <c r="FJ162" s="139">
        <f t="shared" si="194"/>
        <v>0</v>
      </c>
      <c r="FK162" s="139">
        <f t="shared" si="195"/>
        <v>0</v>
      </c>
      <c r="FL162" s="139">
        <f t="shared" si="196"/>
        <v>0</v>
      </c>
      <c r="FM162" s="139">
        <f t="shared" si="197"/>
        <v>0</v>
      </c>
      <c r="FN162" s="139">
        <f t="shared" si="198"/>
        <v>0</v>
      </c>
      <c r="FO162" s="139">
        <f t="shared" si="199"/>
        <v>0</v>
      </c>
      <c r="FP162" s="139">
        <f t="shared" si="200"/>
        <v>0</v>
      </c>
      <c r="FQ162" s="139">
        <f t="shared" si="201"/>
        <v>0</v>
      </c>
      <c r="FR162" s="139">
        <f t="shared" si="202"/>
        <v>0</v>
      </c>
      <c r="FS162" s="139">
        <f t="shared" si="203"/>
        <v>0</v>
      </c>
      <c r="FT162" s="139">
        <f t="shared" si="204"/>
        <v>0</v>
      </c>
      <c r="FU162" s="148">
        <f t="shared" si="205"/>
        <v>0</v>
      </c>
      <c r="FV162" s="149"/>
      <c r="FY162" s="213">
        <v>157</v>
      </c>
      <c r="FZ162">
        <v>55.301290696008174</v>
      </c>
      <c r="GA162">
        <v>101.97121380235279</v>
      </c>
      <c r="GB162">
        <v>27.947023186251503</v>
      </c>
      <c r="GC162">
        <v>4.0390729084063395</v>
      </c>
      <c r="GD162">
        <v>4.2700822405416705</v>
      </c>
      <c r="GE162">
        <v>4.9094247156453532</v>
      </c>
      <c r="GF162">
        <v>28.670930915979397</v>
      </c>
      <c r="GG162">
        <v>27.847109016859996</v>
      </c>
      <c r="GH162">
        <v>8.0445199191964036</v>
      </c>
      <c r="GI162">
        <v>25.48915265928073</v>
      </c>
      <c r="GJ162"/>
      <c r="GK162"/>
      <c r="GL162"/>
      <c r="GM162"/>
      <c r="GN162" s="208"/>
      <c r="GO162" s="208"/>
      <c r="GP162" s="208"/>
      <c r="GQ162" s="208"/>
      <c r="GR162" s="208"/>
      <c r="GS162" s="208"/>
      <c r="GT162" s="208"/>
      <c r="GU162" s="213">
        <v>157</v>
      </c>
    </row>
    <row r="163" spans="1:203" s="7" customFormat="1">
      <c r="A163" s="1"/>
      <c r="B163" s="76">
        <f ca="1">IF(C163="", "", RAND())</f>
        <v>0.47453633246169535</v>
      </c>
      <c r="C163">
        <v>5</v>
      </c>
      <c r="D163">
        <v>39910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 s="2"/>
      <c r="AK163" s="80"/>
      <c r="AL163" s="74"/>
      <c r="AM163" s="43">
        <v>147</v>
      </c>
      <c r="AN163">
        <v>280.58565186076123</v>
      </c>
      <c r="AO163">
        <v>28.166713058051982</v>
      </c>
      <c r="AP163">
        <v>82.048012070321676</v>
      </c>
      <c r="AQ163">
        <v>198.56455582070163</v>
      </c>
      <c r="AR163">
        <v>30.586821961194882</v>
      </c>
      <c r="AS163">
        <v>248.68827244929122</v>
      </c>
      <c r="AT163">
        <v>12.636555505364946</v>
      </c>
      <c r="AU163">
        <v>-2.6883053451066701</v>
      </c>
      <c r="AV163"/>
      <c r="AW163"/>
      <c r="AX163" s="146"/>
      <c r="AY163" s="76">
        <f t="shared" ca="1" si="171"/>
        <v>0.66864446710544545</v>
      </c>
      <c r="AZ163">
        <v>6</v>
      </c>
      <c r="BA163" s="129">
        <f t="shared" si="243"/>
        <v>39910</v>
      </c>
      <c r="BB163" s="207">
        <v>0</v>
      </c>
      <c r="BC163" s="207">
        <v>0</v>
      </c>
      <c r="BD163" s="207">
        <v>0</v>
      </c>
      <c r="BE163" s="207">
        <v>0</v>
      </c>
      <c r="BF163" s="207">
        <v>0</v>
      </c>
      <c r="BG163" s="207">
        <v>0</v>
      </c>
      <c r="BH163" s="207">
        <v>0</v>
      </c>
      <c r="BI163" s="207">
        <v>0</v>
      </c>
      <c r="BJ163" s="207">
        <v>0</v>
      </c>
      <c r="BK163" s="207">
        <v>0</v>
      </c>
      <c r="BL163" s="207">
        <v>0</v>
      </c>
      <c r="BM163" s="207">
        <v>0</v>
      </c>
      <c r="BN163" s="207">
        <v>0</v>
      </c>
      <c r="BO163" s="207">
        <v>0</v>
      </c>
      <c r="BP163" s="207">
        <v>0</v>
      </c>
      <c r="BQ163" s="207">
        <v>0</v>
      </c>
      <c r="BR163" s="207">
        <v>0</v>
      </c>
      <c r="BS163" s="207">
        <v>0</v>
      </c>
      <c r="BT163" s="207">
        <v>0</v>
      </c>
      <c r="BU163" s="207">
        <v>0</v>
      </c>
      <c r="BV163" s="207">
        <v>0</v>
      </c>
      <c r="BW163" s="207">
        <v>0</v>
      </c>
      <c r="BX163" s="207">
        <v>0</v>
      </c>
      <c r="BY163" s="207">
        <v>0</v>
      </c>
      <c r="BZ163" s="207">
        <v>0</v>
      </c>
      <c r="CA163" s="207">
        <v>0</v>
      </c>
      <c r="CB163" s="207">
        <v>0</v>
      </c>
      <c r="CC163" s="207">
        <v>0</v>
      </c>
      <c r="CD163" s="207">
        <v>0</v>
      </c>
      <c r="CE163" s="207">
        <v>0</v>
      </c>
      <c r="CF163" s="207">
        <v>0</v>
      </c>
      <c r="CG163" s="147"/>
      <c r="CH163" s="176"/>
      <c r="CJ163" s="146"/>
      <c r="CK163" s="76">
        <f t="shared" ca="1" si="206"/>
        <v>0.12811965019741667</v>
      </c>
      <c r="CL163" s="179">
        <f t="shared" si="207"/>
        <v>6</v>
      </c>
      <c r="CM163" s="180">
        <f t="shared" si="208"/>
        <v>39910</v>
      </c>
      <c r="CN163" s="208">
        <v>0</v>
      </c>
      <c r="CO163" s="208">
        <v>0</v>
      </c>
      <c r="CP163" s="208">
        <v>0</v>
      </c>
      <c r="CQ163" s="208">
        <v>0</v>
      </c>
      <c r="CR163" s="208">
        <v>0</v>
      </c>
      <c r="CS163" s="208">
        <v>0</v>
      </c>
      <c r="CT163" s="208">
        <v>0</v>
      </c>
      <c r="CU163" s="208">
        <v>0</v>
      </c>
      <c r="CV163" s="160"/>
      <c r="CW163">
        <v>1</v>
      </c>
      <c r="CX163">
        <v>1</v>
      </c>
      <c r="CY163" s="160"/>
      <c r="CZ163" s="177">
        <f t="shared" si="209"/>
        <v>9.6000000000000002E-2</v>
      </c>
      <c r="DB163" s="146"/>
      <c r="DC163" s="76">
        <f t="shared" ca="1" si="172"/>
        <v>3.1570656916152462E-2</v>
      </c>
      <c r="DD163">
        <f t="shared" si="210"/>
        <v>6</v>
      </c>
      <c r="DE163" s="129">
        <f t="shared" si="242"/>
        <v>39910</v>
      </c>
      <c r="DF163" s="161">
        <f t="shared" si="211"/>
        <v>0</v>
      </c>
      <c r="DG163" s="161">
        <f t="shared" si="212"/>
        <v>0</v>
      </c>
      <c r="DH163" s="161">
        <f t="shared" si="213"/>
        <v>0</v>
      </c>
      <c r="DI163" s="161">
        <f t="shared" si="214"/>
        <v>0</v>
      </c>
      <c r="DJ163" s="161">
        <f t="shared" si="215"/>
        <v>0</v>
      </c>
      <c r="DK163" s="161">
        <f t="shared" si="216"/>
        <v>0</v>
      </c>
      <c r="DL163" s="161">
        <f t="shared" si="217"/>
        <v>0</v>
      </c>
      <c r="DM163" s="161">
        <f t="shared" si="218"/>
        <v>0</v>
      </c>
      <c r="DN163" s="161">
        <f t="shared" si="219"/>
        <v>0</v>
      </c>
      <c r="DO163" s="161">
        <f t="shared" si="220"/>
        <v>0</v>
      </c>
      <c r="DP163" s="161">
        <f t="shared" si="221"/>
        <v>0</v>
      </c>
      <c r="DQ163" s="161">
        <f t="shared" si="222"/>
        <v>0</v>
      </c>
      <c r="DR163" s="161">
        <f t="shared" si="223"/>
        <v>0</v>
      </c>
      <c r="DS163" s="161">
        <f t="shared" si="224"/>
        <v>0</v>
      </c>
      <c r="DT163" s="161">
        <f t="shared" si="225"/>
        <v>0</v>
      </c>
      <c r="DU163" s="161">
        <f t="shared" si="226"/>
        <v>0</v>
      </c>
      <c r="DV163" s="161">
        <f t="shared" si="227"/>
        <v>0</v>
      </c>
      <c r="DW163" s="161">
        <f t="shared" si="228"/>
        <v>0</v>
      </c>
      <c r="DX163" s="161">
        <f t="shared" si="229"/>
        <v>0</v>
      </c>
      <c r="DY163" s="161">
        <f t="shared" si="230"/>
        <v>0</v>
      </c>
      <c r="DZ163" s="161">
        <f t="shared" si="231"/>
        <v>0</v>
      </c>
      <c r="EA163" s="161">
        <f t="shared" si="232"/>
        <v>0</v>
      </c>
      <c r="EB163" s="161">
        <f t="shared" si="233"/>
        <v>0</v>
      </c>
      <c r="EC163" s="161">
        <f t="shared" si="234"/>
        <v>0</v>
      </c>
      <c r="ED163" s="161">
        <f t="shared" si="235"/>
        <v>0</v>
      </c>
      <c r="EE163" s="161">
        <f t="shared" si="236"/>
        <v>0</v>
      </c>
      <c r="EF163" s="161">
        <f t="shared" si="237"/>
        <v>0</v>
      </c>
      <c r="EG163" s="161">
        <f t="shared" si="238"/>
        <v>0</v>
      </c>
      <c r="EH163" s="161">
        <f t="shared" si="239"/>
        <v>0</v>
      </c>
      <c r="EI163" s="161">
        <f t="shared" si="240"/>
        <v>0</v>
      </c>
      <c r="EJ163" s="161">
        <f t="shared" si="241"/>
        <v>0</v>
      </c>
      <c r="EK163" s="147">
        <f t="shared" si="173"/>
        <v>0</v>
      </c>
      <c r="EL163" s="149"/>
      <c r="EN163" s="146"/>
      <c r="EO163" s="146"/>
      <c r="EP163" s="139">
        <f t="shared" si="174"/>
        <v>0</v>
      </c>
      <c r="EQ163" s="139">
        <f t="shared" si="175"/>
        <v>0</v>
      </c>
      <c r="ER163" s="139">
        <f t="shared" si="176"/>
        <v>0</v>
      </c>
      <c r="ES163" s="139">
        <f t="shared" si="177"/>
        <v>0</v>
      </c>
      <c r="ET163" s="139">
        <f t="shared" si="178"/>
        <v>0</v>
      </c>
      <c r="EU163" s="139">
        <f t="shared" si="179"/>
        <v>0</v>
      </c>
      <c r="EV163" s="139">
        <f t="shared" si="180"/>
        <v>0</v>
      </c>
      <c r="EW163" s="139">
        <f t="shared" si="181"/>
        <v>0</v>
      </c>
      <c r="EX163" s="139">
        <f t="shared" si="182"/>
        <v>0</v>
      </c>
      <c r="EY163" s="139">
        <f t="shared" si="183"/>
        <v>0</v>
      </c>
      <c r="EZ163" s="139">
        <f t="shared" si="184"/>
        <v>0</v>
      </c>
      <c r="FA163" s="139">
        <f t="shared" si="185"/>
        <v>0</v>
      </c>
      <c r="FB163" s="139">
        <f t="shared" si="186"/>
        <v>0</v>
      </c>
      <c r="FC163" s="139">
        <f t="shared" si="187"/>
        <v>0</v>
      </c>
      <c r="FD163" s="139">
        <f t="shared" si="188"/>
        <v>0</v>
      </c>
      <c r="FE163" s="139">
        <f t="shared" si="189"/>
        <v>0</v>
      </c>
      <c r="FF163" s="139">
        <f t="shared" si="190"/>
        <v>0</v>
      </c>
      <c r="FG163" s="139">
        <f t="shared" si="191"/>
        <v>0</v>
      </c>
      <c r="FH163" s="139">
        <f t="shared" si="192"/>
        <v>0</v>
      </c>
      <c r="FI163" s="139">
        <f t="shared" si="193"/>
        <v>0</v>
      </c>
      <c r="FJ163" s="139">
        <f t="shared" si="194"/>
        <v>0</v>
      </c>
      <c r="FK163" s="139">
        <f t="shared" si="195"/>
        <v>0</v>
      </c>
      <c r="FL163" s="139">
        <f t="shared" si="196"/>
        <v>0</v>
      </c>
      <c r="FM163" s="139">
        <f t="shared" si="197"/>
        <v>0</v>
      </c>
      <c r="FN163" s="139">
        <f t="shared" si="198"/>
        <v>0</v>
      </c>
      <c r="FO163" s="139">
        <f t="shared" si="199"/>
        <v>0</v>
      </c>
      <c r="FP163" s="139">
        <f t="shared" si="200"/>
        <v>0</v>
      </c>
      <c r="FQ163" s="139">
        <f t="shared" si="201"/>
        <v>0</v>
      </c>
      <c r="FR163" s="139">
        <f t="shared" si="202"/>
        <v>0</v>
      </c>
      <c r="FS163" s="139">
        <f t="shared" si="203"/>
        <v>0</v>
      </c>
      <c r="FT163" s="139">
        <f t="shared" si="204"/>
        <v>0</v>
      </c>
      <c r="FU163" s="148">
        <f t="shared" si="205"/>
        <v>0</v>
      </c>
      <c r="FV163" s="149"/>
      <c r="FY163" s="213">
        <v>158</v>
      </c>
      <c r="FZ163">
        <v>54.535857920364528</v>
      </c>
      <c r="GA163">
        <v>83.522086147646505</v>
      </c>
      <c r="GB163">
        <v>18.323425289584296</v>
      </c>
      <c r="GC163">
        <v>7.1709399059656622</v>
      </c>
      <c r="GD163">
        <v>6.8161096343946186</v>
      </c>
      <c r="GE163">
        <v>5.2437217715065954</v>
      </c>
      <c r="GF163">
        <v>28.295069184294821</v>
      </c>
      <c r="GG163">
        <v>27.327558594101941</v>
      </c>
      <c r="GH163">
        <v>8.9635284064678515</v>
      </c>
      <c r="GI163">
        <v>23.887239086126893</v>
      </c>
      <c r="GJ163"/>
      <c r="GK163"/>
      <c r="GL163"/>
      <c r="GM163"/>
      <c r="GN163" s="208"/>
      <c r="GO163" s="208"/>
      <c r="GP163" s="208"/>
      <c r="GQ163" s="208"/>
      <c r="GR163" s="208"/>
      <c r="GS163" s="208"/>
      <c r="GT163" s="208"/>
      <c r="GU163" s="213">
        <v>158</v>
      </c>
    </row>
    <row r="164" spans="1:203" s="7" customFormat="1">
      <c r="A164" s="1"/>
      <c r="B164" s="76">
        <f ca="1">IF(C164="", "", RAND())</f>
        <v>0.79185710626740735</v>
      </c>
      <c r="C164">
        <v>1</v>
      </c>
      <c r="D164">
        <v>39910</v>
      </c>
      <c r="E164">
        <v>0</v>
      </c>
      <c r="F164">
        <v>0</v>
      </c>
      <c r="G164">
        <v>0</v>
      </c>
      <c r="H164">
        <v>10.416666666666666</v>
      </c>
      <c r="I164">
        <v>10.416666666666666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 s="2"/>
      <c r="AK164" s="80"/>
      <c r="AL164" s="74"/>
      <c r="AM164" s="43">
        <v>148</v>
      </c>
      <c r="AN164">
        <v>250.17916743284277</v>
      </c>
      <c r="AO164">
        <v>22.316417338502681</v>
      </c>
      <c r="AP164">
        <v>70.081320745368245</v>
      </c>
      <c r="AQ164">
        <v>172.67445280095077</v>
      </c>
      <c r="AR164">
        <v>24.917966596407496</v>
      </c>
      <c r="AS164">
        <v>230.65674723353163</v>
      </c>
      <c r="AT164">
        <v>12.520465506930798</v>
      </c>
      <c r="AU164">
        <v>44.832011748510141</v>
      </c>
      <c r="AV164"/>
      <c r="AW164"/>
      <c r="AX164" s="146"/>
      <c r="AY164" s="76">
        <f t="shared" ca="1" si="171"/>
        <v>0.6031823808920882</v>
      </c>
      <c r="AZ164">
        <v>7</v>
      </c>
      <c r="BA164" s="129">
        <f t="shared" si="243"/>
        <v>39910</v>
      </c>
      <c r="BB164" s="207">
        <v>0</v>
      </c>
      <c r="BC164" s="207">
        <v>0</v>
      </c>
      <c r="BD164" s="207">
        <v>0</v>
      </c>
      <c r="BE164" s="207">
        <v>0</v>
      </c>
      <c r="BF164" s="207">
        <v>0</v>
      </c>
      <c r="BG164" s="207">
        <v>0</v>
      </c>
      <c r="BH164" s="207">
        <v>0</v>
      </c>
      <c r="BI164" s="207">
        <v>0</v>
      </c>
      <c r="BJ164" s="207">
        <v>0</v>
      </c>
      <c r="BK164" s="207">
        <v>0</v>
      </c>
      <c r="BL164" s="207">
        <v>0</v>
      </c>
      <c r="BM164" s="207">
        <v>0</v>
      </c>
      <c r="BN164" s="207">
        <v>0</v>
      </c>
      <c r="BO164" s="207">
        <v>0</v>
      </c>
      <c r="BP164" s="207">
        <v>0</v>
      </c>
      <c r="BQ164" s="207">
        <v>0</v>
      </c>
      <c r="BR164" s="207">
        <v>0</v>
      </c>
      <c r="BS164" s="207">
        <v>0</v>
      </c>
      <c r="BT164" s="207">
        <v>0</v>
      </c>
      <c r="BU164" s="207">
        <v>0</v>
      </c>
      <c r="BV164" s="207">
        <v>0</v>
      </c>
      <c r="BW164" s="207">
        <v>0</v>
      </c>
      <c r="BX164" s="207">
        <v>0</v>
      </c>
      <c r="BY164" s="207">
        <v>0</v>
      </c>
      <c r="BZ164" s="207">
        <v>0</v>
      </c>
      <c r="CA164" s="207">
        <v>0</v>
      </c>
      <c r="CB164" s="207">
        <v>0</v>
      </c>
      <c r="CC164" s="207">
        <v>0</v>
      </c>
      <c r="CD164" s="207">
        <v>0</v>
      </c>
      <c r="CE164" s="207">
        <v>0</v>
      </c>
      <c r="CF164" s="207">
        <v>0</v>
      </c>
      <c r="CG164" s="147"/>
      <c r="CH164" s="176"/>
      <c r="CJ164" s="146"/>
      <c r="CK164" s="76">
        <f t="shared" ca="1" si="206"/>
        <v>0.61926987665213851</v>
      </c>
      <c r="CL164" s="179">
        <f t="shared" si="207"/>
        <v>7</v>
      </c>
      <c r="CM164" s="180">
        <f t="shared" si="208"/>
        <v>39910</v>
      </c>
      <c r="CN164" s="208">
        <v>0</v>
      </c>
      <c r="CO164" s="208">
        <v>0</v>
      </c>
      <c r="CP164" s="208">
        <v>0</v>
      </c>
      <c r="CQ164" s="208">
        <v>0</v>
      </c>
      <c r="CR164" s="208">
        <v>0</v>
      </c>
      <c r="CS164" s="208">
        <v>0</v>
      </c>
      <c r="CT164" s="208">
        <v>0</v>
      </c>
      <c r="CU164" s="208">
        <v>0</v>
      </c>
      <c r="CV164" s="160"/>
      <c r="CW164">
        <v>1</v>
      </c>
      <c r="CX164">
        <v>1</v>
      </c>
      <c r="CY164" s="165"/>
      <c r="CZ164" s="177">
        <f t="shared" si="209"/>
        <v>9.6000000000000002E-2</v>
      </c>
      <c r="DB164" s="146"/>
      <c r="DC164" s="76">
        <f t="shared" ca="1" si="172"/>
        <v>0.97773495430457213</v>
      </c>
      <c r="DD164">
        <f t="shared" si="210"/>
        <v>7</v>
      </c>
      <c r="DE164" s="129">
        <f t="shared" si="242"/>
        <v>39910</v>
      </c>
      <c r="DF164" s="161">
        <f t="shared" si="211"/>
        <v>0</v>
      </c>
      <c r="DG164" s="161">
        <f t="shared" si="212"/>
        <v>0</v>
      </c>
      <c r="DH164" s="161">
        <f t="shared" si="213"/>
        <v>0</v>
      </c>
      <c r="DI164" s="161">
        <f t="shared" si="214"/>
        <v>0</v>
      </c>
      <c r="DJ164" s="161">
        <f t="shared" si="215"/>
        <v>0</v>
      </c>
      <c r="DK164" s="161">
        <f t="shared" si="216"/>
        <v>0</v>
      </c>
      <c r="DL164" s="161">
        <f t="shared" si="217"/>
        <v>0</v>
      </c>
      <c r="DM164" s="161">
        <f t="shared" si="218"/>
        <v>0</v>
      </c>
      <c r="DN164" s="161">
        <f t="shared" si="219"/>
        <v>0</v>
      </c>
      <c r="DO164" s="161">
        <f t="shared" si="220"/>
        <v>0</v>
      </c>
      <c r="DP164" s="161">
        <f t="shared" si="221"/>
        <v>0</v>
      </c>
      <c r="DQ164" s="161">
        <f t="shared" si="222"/>
        <v>0</v>
      </c>
      <c r="DR164" s="161">
        <f t="shared" si="223"/>
        <v>0</v>
      </c>
      <c r="DS164" s="161">
        <f t="shared" si="224"/>
        <v>0</v>
      </c>
      <c r="DT164" s="161">
        <f t="shared" si="225"/>
        <v>0</v>
      </c>
      <c r="DU164" s="161">
        <f t="shared" si="226"/>
        <v>0</v>
      </c>
      <c r="DV164" s="161">
        <f t="shared" si="227"/>
        <v>0</v>
      </c>
      <c r="DW164" s="161">
        <f t="shared" si="228"/>
        <v>0</v>
      </c>
      <c r="DX164" s="161">
        <f t="shared" si="229"/>
        <v>0</v>
      </c>
      <c r="DY164" s="161">
        <f t="shared" si="230"/>
        <v>0</v>
      </c>
      <c r="DZ164" s="161">
        <f t="shared" si="231"/>
        <v>0</v>
      </c>
      <c r="EA164" s="161">
        <f t="shared" si="232"/>
        <v>0</v>
      </c>
      <c r="EB164" s="161">
        <f t="shared" si="233"/>
        <v>0</v>
      </c>
      <c r="EC164" s="161">
        <f t="shared" si="234"/>
        <v>0</v>
      </c>
      <c r="ED164" s="161">
        <f t="shared" si="235"/>
        <v>0</v>
      </c>
      <c r="EE164" s="161">
        <f t="shared" si="236"/>
        <v>0</v>
      </c>
      <c r="EF164" s="161">
        <f t="shared" si="237"/>
        <v>0</v>
      </c>
      <c r="EG164" s="161">
        <f t="shared" si="238"/>
        <v>0</v>
      </c>
      <c r="EH164" s="161">
        <f t="shared" si="239"/>
        <v>0</v>
      </c>
      <c r="EI164" s="161">
        <f t="shared" si="240"/>
        <v>0</v>
      </c>
      <c r="EJ164" s="161">
        <f t="shared" si="241"/>
        <v>0</v>
      </c>
      <c r="EK164" s="147">
        <f t="shared" si="173"/>
        <v>0</v>
      </c>
      <c r="EL164" s="149"/>
      <c r="EN164" s="146"/>
      <c r="EO164" s="146"/>
      <c r="EP164" s="139">
        <f t="shared" si="174"/>
        <v>0</v>
      </c>
      <c r="EQ164" s="139">
        <f t="shared" si="175"/>
        <v>0</v>
      </c>
      <c r="ER164" s="139">
        <f t="shared" si="176"/>
        <v>0</v>
      </c>
      <c r="ES164" s="139">
        <f t="shared" si="177"/>
        <v>0</v>
      </c>
      <c r="ET164" s="139">
        <f t="shared" si="178"/>
        <v>0</v>
      </c>
      <c r="EU164" s="139">
        <f t="shared" si="179"/>
        <v>0</v>
      </c>
      <c r="EV164" s="139">
        <f t="shared" si="180"/>
        <v>0</v>
      </c>
      <c r="EW164" s="139">
        <f t="shared" si="181"/>
        <v>0</v>
      </c>
      <c r="EX164" s="139">
        <f t="shared" si="182"/>
        <v>0</v>
      </c>
      <c r="EY164" s="139">
        <f t="shared" si="183"/>
        <v>0</v>
      </c>
      <c r="EZ164" s="139">
        <f t="shared" si="184"/>
        <v>0</v>
      </c>
      <c r="FA164" s="139">
        <f t="shared" si="185"/>
        <v>0</v>
      </c>
      <c r="FB164" s="139">
        <f t="shared" si="186"/>
        <v>0</v>
      </c>
      <c r="FC164" s="139">
        <f t="shared" si="187"/>
        <v>0</v>
      </c>
      <c r="FD164" s="139">
        <f t="shared" si="188"/>
        <v>0</v>
      </c>
      <c r="FE164" s="139">
        <f t="shared" si="189"/>
        <v>0</v>
      </c>
      <c r="FF164" s="139">
        <f t="shared" si="190"/>
        <v>0</v>
      </c>
      <c r="FG164" s="139">
        <f t="shared" si="191"/>
        <v>0</v>
      </c>
      <c r="FH164" s="139">
        <f t="shared" si="192"/>
        <v>0</v>
      </c>
      <c r="FI164" s="139">
        <f t="shared" si="193"/>
        <v>0</v>
      </c>
      <c r="FJ164" s="139">
        <f t="shared" si="194"/>
        <v>0</v>
      </c>
      <c r="FK164" s="139">
        <f t="shared" si="195"/>
        <v>0</v>
      </c>
      <c r="FL164" s="139">
        <f t="shared" si="196"/>
        <v>0</v>
      </c>
      <c r="FM164" s="139">
        <f t="shared" si="197"/>
        <v>0</v>
      </c>
      <c r="FN164" s="139">
        <f t="shared" si="198"/>
        <v>0</v>
      </c>
      <c r="FO164" s="139">
        <f t="shared" si="199"/>
        <v>0</v>
      </c>
      <c r="FP164" s="139">
        <f t="shared" si="200"/>
        <v>0</v>
      </c>
      <c r="FQ164" s="139">
        <f t="shared" si="201"/>
        <v>0</v>
      </c>
      <c r="FR164" s="139">
        <f t="shared" si="202"/>
        <v>0</v>
      </c>
      <c r="FS164" s="139">
        <f t="shared" si="203"/>
        <v>0</v>
      </c>
      <c r="FT164" s="139">
        <f t="shared" si="204"/>
        <v>0</v>
      </c>
      <c r="FU164" s="148">
        <f t="shared" si="205"/>
        <v>0</v>
      </c>
      <c r="FV164" s="149"/>
      <c r="FY164" s="213">
        <v>159</v>
      </c>
      <c r="FZ164">
        <v>63.429669126986227</v>
      </c>
      <c r="GA164">
        <v>74.291868233086817</v>
      </c>
      <c r="GB164">
        <v>15.689361519785674</v>
      </c>
      <c r="GC164">
        <v>10.70826988661166</v>
      </c>
      <c r="GD164">
        <v>8.5086262763298564</v>
      </c>
      <c r="GE164">
        <v>5.2724230718146474</v>
      </c>
      <c r="GF164">
        <v>14.001716924066571</v>
      </c>
      <c r="GG164">
        <v>13.00970790109333</v>
      </c>
      <c r="GH164">
        <v>11.263059143755784</v>
      </c>
      <c r="GI164">
        <v>23.01962923021858</v>
      </c>
      <c r="GJ164"/>
      <c r="GK164"/>
      <c r="GL164"/>
      <c r="GM164"/>
      <c r="GN164" s="208"/>
      <c r="GO164" s="208"/>
      <c r="GP164" s="208"/>
      <c r="GQ164" s="208"/>
      <c r="GR164" s="208"/>
      <c r="GS164" s="208"/>
      <c r="GT164" s="208"/>
      <c r="GU164" s="213">
        <v>159</v>
      </c>
    </row>
    <row r="165" spans="1:203" s="7" customFormat="1">
      <c r="A165" s="1"/>
      <c r="B165" s="76">
        <f ca="1">IF(C165="", "", RAND())</f>
        <v>0.41321509343769236</v>
      </c>
      <c r="C165">
        <v>3</v>
      </c>
      <c r="D165">
        <v>39910</v>
      </c>
      <c r="E165">
        <v>781.25</v>
      </c>
      <c r="F165">
        <v>434.02777777777783</v>
      </c>
      <c r="G165">
        <v>347.22222222222223</v>
      </c>
      <c r="H165">
        <v>260.41666666666669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 s="2"/>
      <c r="AK165" s="80"/>
      <c r="AL165" s="74"/>
      <c r="AM165" s="43">
        <v>149</v>
      </c>
      <c r="AN165">
        <v>223.73098399823152</v>
      </c>
      <c r="AO165">
        <v>24.062305764107116</v>
      </c>
      <c r="AP165">
        <v>97.215084258940976</v>
      </c>
      <c r="AQ165">
        <v>174.1227215570932</v>
      </c>
      <c r="AR165">
        <v>25.149632774946618</v>
      </c>
      <c r="AS165">
        <v>208.77803856154415</v>
      </c>
      <c r="AT165">
        <v>11.428710366037329</v>
      </c>
      <c r="AU165">
        <v>16.103923949068445</v>
      </c>
      <c r="AV165"/>
      <c r="AW165"/>
      <c r="AX165" s="146"/>
      <c r="AY165" s="76">
        <f t="shared" ca="1" si="171"/>
        <v>0.79822352135775887</v>
      </c>
      <c r="AZ165">
        <v>8</v>
      </c>
      <c r="BA165" s="129">
        <f t="shared" si="243"/>
        <v>39910</v>
      </c>
      <c r="BB165" s="207">
        <v>0</v>
      </c>
      <c r="BC165" s="207">
        <v>0</v>
      </c>
      <c r="BD165" s="207">
        <v>3</v>
      </c>
      <c r="BE165" s="207">
        <v>0</v>
      </c>
      <c r="BF165" s="207">
        <v>0</v>
      </c>
      <c r="BG165" s="207">
        <v>0</v>
      </c>
      <c r="BH165" s="207">
        <v>0</v>
      </c>
      <c r="BI165" s="207">
        <v>0</v>
      </c>
      <c r="BJ165" s="207">
        <v>0</v>
      </c>
      <c r="BK165" s="207">
        <v>0</v>
      </c>
      <c r="BL165" s="207">
        <v>0</v>
      </c>
      <c r="BM165" s="207">
        <v>0</v>
      </c>
      <c r="BN165" s="207">
        <v>0</v>
      </c>
      <c r="BO165" s="207">
        <v>0</v>
      </c>
      <c r="BP165" s="207">
        <v>0</v>
      </c>
      <c r="BQ165" s="207">
        <v>0</v>
      </c>
      <c r="BR165" s="207">
        <v>0</v>
      </c>
      <c r="BS165" s="207">
        <v>0</v>
      </c>
      <c r="BT165" s="207">
        <v>0</v>
      </c>
      <c r="BU165" s="207">
        <v>0</v>
      </c>
      <c r="BV165" s="207">
        <v>0</v>
      </c>
      <c r="BW165" s="207">
        <v>0</v>
      </c>
      <c r="BX165" s="207">
        <v>0</v>
      </c>
      <c r="BY165" s="207">
        <v>0</v>
      </c>
      <c r="BZ165" s="207">
        <v>0</v>
      </c>
      <c r="CA165" s="207">
        <v>0</v>
      </c>
      <c r="CB165" s="207">
        <v>0</v>
      </c>
      <c r="CC165" s="207">
        <v>0</v>
      </c>
      <c r="CD165" s="207">
        <v>0</v>
      </c>
      <c r="CE165" s="207">
        <v>0</v>
      </c>
      <c r="CF165" s="207">
        <v>0</v>
      </c>
      <c r="CG165" s="147"/>
      <c r="CH165" s="176"/>
      <c r="CJ165" s="146"/>
      <c r="CK165" s="76">
        <f t="shared" ca="1" si="206"/>
        <v>0.81110215263886087</v>
      </c>
      <c r="CL165" s="179">
        <f t="shared" si="207"/>
        <v>8</v>
      </c>
      <c r="CM165" s="180">
        <f t="shared" si="208"/>
        <v>39910</v>
      </c>
      <c r="CN165" s="208">
        <v>0</v>
      </c>
      <c r="CO165" s="208">
        <v>0</v>
      </c>
      <c r="CP165" s="208">
        <v>0</v>
      </c>
      <c r="CQ165" s="208">
        <v>0</v>
      </c>
      <c r="CR165" s="208">
        <v>0</v>
      </c>
      <c r="CS165" s="208">
        <v>0</v>
      </c>
      <c r="CT165" s="208">
        <v>0</v>
      </c>
      <c r="CU165" s="208">
        <v>0</v>
      </c>
      <c r="CV165" s="160"/>
      <c r="CW165">
        <v>1</v>
      </c>
      <c r="CX165">
        <v>1</v>
      </c>
      <c r="CY165" s="165"/>
      <c r="CZ165" s="177">
        <f t="shared" si="209"/>
        <v>9.6000000000000002E-2</v>
      </c>
      <c r="DB165" s="146"/>
      <c r="DC165" s="76">
        <f t="shared" ca="1" si="172"/>
        <v>0.79571660549756196</v>
      </c>
      <c r="DD165">
        <f t="shared" si="210"/>
        <v>8</v>
      </c>
      <c r="DE165" s="129">
        <f t="shared" si="242"/>
        <v>39910</v>
      </c>
      <c r="DF165" s="161">
        <f t="shared" si="211"/>
        <v>0</v>
      </c>
      <c r="DG165" s="161">
        <f t="shared" si="212"/>
        <v>0</v>
      </c>
      <c r="DH165" s="161">
        <f t="shared" si="213"/>
        <v>31.25</v>
      </c>
      <c r="DI165" s="161">
        <f t="shared" si="214"/>
        <v>0</v>
      </c>
      <c r="DJ165" s="161">
        <f t="shared" si="215"/>
        <v>0</v>
      </c>
      <c r="DK165" s="161">
        <f t="shared" si="216"/>
        <v>0</v>
      </c>
      <c r="DL165" s="161">
        <f t="shared" si="217"/>
        <v>0</v>
      </c>
      <c r="DM165" s="161">
        <f t="shared" si="218"/>
        <v>0</v>
      </c>
      <c r="DN165" s="161">
        <f t="shared" si="219"/>
        <v>0</v>
      </c>
      <c r="DO165" s="161">
        <f t="shared" si="220"/>
        <v>0</v>
      </c>
      <c r="DP165" s="161">
        <f t="shared" si="221"/>
        <v>0</v>
      </c>
      <c r="DQ165" s="161">
        <f t="shared" si="222"/>
        <v>0</v>
      </c>
      <c r="DR165" s="161">
        <f t="shared" si="223"/>
        <v>0</v>
      </c>
      <c r="DS165" s="161">
        <f t="shared" si="224"/>
        <v>0</v>
      </c>
      <c r="DT165" s="161">
        <f t="shared" si="225"/>
        <v>0</v>
      </c>
      <c r="DU165" s="161">
        <f t="shared" si="226"/>
        <v>0</v>
      </c>
      <c r="DV165" s="161">
        <f t="shared" si="227"/>
        <v>0</v>
      </c>
      <c r="DW165" s="161">
        <f t="shared" si="228"/>
        <v>0</v>
      </c>
      <c r="DX165" s="161">
        <f t="shared" si="229"/>
        <v>0</v>
      </c>
      <c r="DY165" s="161">
        <f t="shared" si="230"/>
        <v>0</v>
      </c>
      <c r="DZ165" s="161">
        <f t="shared" si="231"/>
        <v>0</v>
      </c>
      <c r="EA165" s="161">
        <f t="shared" si="232"/>
        <v>0</v>
      </c>
      <c r="EB165" s="161">
        <f t="shared" si="233"/>
        <v>0</v>
      </c>
      <c r="EC165" s="161">
        <f t="shared" si="234"/>
        <v>0</v>
      </c>
      <c r="ED165" s="161">
        <f t="shared" si="235"/>
        <v>0</v>
      </c>
      <c r="EE165" s="161">
        <f t="shared" si="236"/>
        <v>0</v>
      </c>
      <c r="EF165" s="161">
        <f t="shared" si="237"/>
        <v>0</v>
      </c>
      <c r="EG165" s="161">
        <f t="shared" si="238"/>
        <v>0</v>
      </c>
      <c r="EH165" s="161">
        <f t="shared" si="239"/>
        <v>0</v>
      </c>
      <c r="EI165" s="161">
        <f t="shared" si="240"/>
        <v>0</v>
      </c>
      <c r="EJ165" s="161">
        <f t="shared" si="241"/>
        <v>0</v>
      </c>
      <c r="EK165" s="147">
        <f t="shared" si="173"/>
        <v>31.25</v>
      </c>
      <c r="EL165" s="149"/>
      <c r="EN165" s="146"/>
      <c r="EO165" s="146"/>
      <c r="EP165" s="139">
        <f t="shared" si="174"/>
        <v>0</v>
      </c>
      <c r="EQ165" s="139">
        <f t="shared" si="175"/>
        <v>0</v>
      </c>
      <c r="ER165" s="139">
        <f t="shared" si="176"/>
        <v>2.2886284431880406</v>
      </c>
      <c r="ES165" s="139">
        <f t="shared" si="177"/>
        <v>0</v>
      </c>
      <c r="ET165" s="139">
        <f t="shared" si="178"/>
        <v>0</v>
      </c>
      <c r="EU165" s="139">
        <f t="shared" si="179"/>
        <v>0</v>
      </c>
      <c r="EV165" s="139">
        <f t="shared" si="180"/>
        <v>0</v>
      </c>
      <c r="EW165" s="139">
        <f t="shared" si="181"/>
        <v>0</v>
      </c>
      <c r="EX165" s="139">
        <f t="shared" si="182"/>
        <v>0</v>
      </c>
      <c r="EY165" s="139">
        <f t="shared" si="183"/>
        <v>0</v>
      </c>
      <c r="EZ165" s="139">
        <f t="shared" si="184"/>
        <v>0</v>
      </c>
      <c r="FA165" s="139">
        <f t="shared" si="185"/>
        <v>0</v>
      </c>
      <c r="FB165" s="139">
        <f t="shared" si="186"/>
        <v>0</v>
      </c>
      <c r="FC165" s="139">
        <f t="shared" si="187"/>
        <v>0</v>
      </c>
      <c r="FD165" s="139">
        <f t="shared" si="188"/>
        <v>0</v>
      </c>
      <c r="FE165" s="139">
        <f t="shared" si="189"/>
        <v>0</v>
      </c>
      <c r="FF165" s="139">
        <f t="shared" si="190"/>
        <v>0</v>
      </c>
      <c r="FG165" s="139">
        <f t="shared" si="191"/>
        <v>0</v>
      </c>
      <c r="FH165" s="139">
        <f t="shared" si="192"/>
        <v>0</v>
      </c>
      <c r="FI165" s="139">
        <f t="shared" si="193"/>
        <v>0</v>
      </c>
      <c r="FJ165" s="139">
        <f t="shared" si="194"/>
        <v>0</v>
      </c>
      <c r="FK165" s="139">
        <f t="shared" si="195"/>
        <v>0</v>
      </c>
      <c r="FL165" s="139">
        <f t="shared" si="196"/>
        <v>0</v>
      </c>
      <c r="FM165" s="139">
        <f t="shared" si="197"/>
        <v>0</v>
      </c>
      <c r="FN165" s="139">
        <f t="shared" si="198"/>
        <v>0</v>
      </c>
      <c r="FO165" s="139">
        <f t="shared" si="199"/>
        <v>0</v>
      </c>
      <c r="FP165" s="139">
        <f t="shared" si="200"/>
        <v>0</v>
      </c>
      <c r="FQ165" s="139">
        <f t="shared" si="201"/>
        <v>0</v>
      </c>
      <c r="FR165" s="139">
        <f t="shared" si="202"/>
        <v>0</v>
      </c>
      <c r="FS165" s="139">
        <f t="shared" si="203"/>
        <v>0</v>
      </c>
      <c r="FT165" s="139">
        <f t="shared" si="204"/>
        <v>0</v>
      </c>
      <c r="FU165" s="148">
        <f t="shared" si="205"/>
        <v>2.2886284431880406</v>
      </c>
      <c r="FV165" s="149"/>
      <c r="FY165" s="213">
        <v>160</v>
      </c>
      <c r="FZ165">
        <v>46.605761615641846</v>
      </c>
      <c r="GA165">
        <v>33.961005589887463</v>
      </c>
      <c r="GB165">
        <v>4.2255655447000979</v>
      </c>
      <c r="GC165">
        <v>4.7258118950829182</v>
      </c>
      <c r="GD165">
        <v>4.189262647567122</v>
      </c>
      <c r="GE165">
        <v>6.6507777626399882</v>
      </c>
      <c r="GF165">
        <v>18.585181352277612</v>
      </c>
      <c r="GG165">
        <v>16.53861759994955</v>
      </c>
      <c r="GH165">
        <v>17.38516410432441</v>
      </c>
      <c r="GI165">
        <v>16.449510182413601</v>
      </c>
      <c r="GJ165"/>
      <c r="GK165"/>
      <c r="GL165"/>
      <c r="GM165"/>
      <c r="GN165" s="208"/>
      <c r="GO165" s="208"/>
      <c r="GP165" s="208"/>
      <c r="GQ165" s="208"/>
      <c r="GR165" s="208"/>
      <c r="GS165" s="208"/>
      <c r="GT165" s="208"/>
      <c r="GU165" s="213">
        <v>160</v>
      </c>
    </row>
    <row r="166" spans="1:203" s="7" customFormat="1">
      <c r="A166" s="1"/>
      <c r="B166" s="76">
        <f ca="1">IF(C166="", "", RAND())</f>
        <v>6.8556360875756228E-2</v>
      </c>
      <c r="C166">
        <v>9</v>
      </c>
      <c r="D166">
        <v>39910</v>
      </c>
      <c r="E166">
        <v>0</v>
      </c>
      <c r="F166">
        <v>1012.7314814814814</v>
      </c>
      <c r="G166">
        <v>810.18518518518511</v>
      </c>
      <c r="H166">
        <v>405.09259259259255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 s="2"/>
      <c r="AK166" s="80"/>
      <c r="AL166" s="74"/>
      <c r="AM166" s="43">
        <v>150</v>
      </c>
      <c r="AN166">
        <v>241.53306096923984</v>
      </c>
      <c r="AO166">
        <v>22.478708690475109</v>
      </c>
      <c r="AP166">
        <v>45.458196392281891</v>
      </c>
      <c r="AQ166">
        <v>156.64450856933573</v>
      </c>
      <c r="AR166">
        <v>23.608285031583041</v>
      </c>
      <c r="AS166">
        <v>190.55242691562873</v>
      </c>
      <c r="AT166">
        <v>9.2445704647810043</v>
      </c>
      <c r="AU166">
        <v>5.6633335787891852</v>
      </c>
      <c r="AV166"/>
      <c r="AW166"/>
      <c r="AX166" s="146"/>
      <c r="AY166" s="76">
        <f t="shared" ca="1" si="171"/>
        <v>0.84861627371402459</v>
      </c>
      <c r="AZ166">
        <v>9</v>
      </c>
      <c r="BA166" s="129">
        <f t="shared" si="243"/>
        <v>39910</v>
      </c>
      <c r="BB166" s="207">
        <v>0</v>
      </c>
      <c r="BC166" s="207">
        <v>0</v>
      </c>
      <c r="BD166" s="207">
        <v>0</v>
      </c>
      <c r="BE166" s="207">
        <v>0</v>
      </c>
      <c r="BF166" s="207">
        <v>0</v>
      </c>
      <c r="BG166" s="207">
        <v>0</v>
      </c>
      <c r="BH166" s="207">
        <v>0</v>
      </c>
      <c r="BI166" s="207">
        <v>0</v>
      </c>
      <c r="BJ166" s="207">
        <v>0</v>
      </c>
      <c r="BK166" s="207">
        <v>0</v>
      </c>
      <c r="BL166" s="207">
        <v>0</v>
      </c>
      <c r="BM166" s="207">
        <v>0</v>
      </c>
      <c r="BN166" s="207">
        <v>0</v>
      </c>
      <c r="BO166" s="207">
        <v>0</v>
      </c>
      <c r="BP166" s="207">
        <v>0</v>
      </c>
      <c r="BQ166" s="207">
        <v>0</v>
      </c>
      <c r="BR166" s="207">
        <v>0</v>
      </c>
      <c r="BS166" s="207">
        <v>0</v>
      </c>
      <c r="BT166" s="207">
        <v>0</v>
      </c>
      <c r="BU166" s="207">
        <v>0</v>
      </c>
      <c r="BV166" s="207">
        <v>0</v>
      </c>
      <c r="BW166" s="207">
        <v>0</v>
      </c>
      <c r="BX166" s="207">
        <v>0</v>
      </c>
      <c r="BY166" s="207">
        <v>0</v>
      </c>
      <c r="BZ166" s="207">
        <v>0</v>
      </c>
      <c r="CA166" s="207">
        <v>0</v>
      </c>
      <c r="CB166" s="207">
        <v>0</v>
      </c>
      <c r="CC166" s="207">
        <v>0</v>
      </c>
      <c r="CD166" s="207">
        <v>0</v>
      </c>
      <c r="CE166" s="207">
        <v>0</v>
      </c>
      <c r="CF166" s="207">
        <v>0</v>
      </c>
      <c r="CG166" s="147"/>
      <c r="CH166" s="176"/>
      <c r="CJ166" s="146"/>
      <c r="CK166" s="76">
        <f t="shared" ca="1" si="206"/>
        <v>0.40352870194487345</v>
      </c>
      <c r="CL166" s="179">
        <f t="shared" si="207"/>
        <v>9</v>
      </c>
      <c r="CM166" s="180">
        <f t="shared" si="208"/>
        <v>39910</v>
      </c>
      <c r="CN166" s="208">
        <v>0</v>
      </c>
      <c r="CO166" s="208">
        <v>10</v>
      </c>
      <c r="CP166" s="208">
        <v>8</v>
      </c>
      <c r="CQ166" s="208">
        <v>4</v>
      </c>
      <c r="CR166" s="208">
        <v>0</v>
      </c>
      <c r="CS166" s="208">
        <v>0</v>
      </c>
      <c r="CT166" s="208">
        <v>0</v>
      </c>
      <c r="CU166" s="208">
        <v>0</v>
      </c>
      <c r="CV166" s="160"/>
      <c r="CW166">
        <f>33/10</f>
        <v>3.3</v>
      </c>
      <c r="CX166">
        <f>350/36</f>
        <v>9.7222222222222214</v>
      </c>
      <c r="CY166" s="165"/>
      <c r="CZ166" s="177">
        <f t="shared" si="209"/>
        <v>9.6000000000000002E-2</v>
      </c>
      <c r="DB166" s="146"/>
      <c r="DC166" s="76">
        <f t="shared" ca="1" si="172"/>
        <v>0.70548646185558361</v>
      </c>
      <c r="DD166">
        <f t="shared" si="210"/>
        <v>9</v>
      </c>
      <c r="DE166" s="129">
        <f t="shared" si="242"/>
        <v>39910</v>
      </c>
      <c r="DF166" s="161">
        <f t="shared" si="211"/>
        <v>0</v>
      </c>
      <c r="DG166" s="161">
        <f t="shared" si="212"/>
        <v>1012.7314814814814</v>
      </c>
      <c r="DH166" s="161">
        <f t="shared" si="213"/>
        <v>810.18518518518511</v>
      </c>
      <c r="DI166" s="161">
        <f t="shared" si="214"/>
        <v>405.09259259259255</v>
      </c>
      <c r="DJ166" s="161">
        <f t="shared" si="215"/>
        <v>0</v>
      </c>
      <c r="DK166" s="161">
        <f t="shared" si="216"/>
        <v>0</v>
      </c>
      <c r="DL166" s="161">
        <f t="shared" si="217"/>
        <v>0</v>
      </c>
      <c r="DM166" s="161">
        <f t="shared" si="218"/>
        <v>0</v>
      </c>
      <c r="DN166" s="161">
        <f t="shared" si="219"/>
        <v>0</v>
      </c>
      <c r="DO166" s="161">
        <f t="shared" si="220"/>
        <v>0</v>
      </c>
      <c r="DP166" s="161">
        <f t="shared" si="221"/>
        <v>0</v>
      </c>
      <c r="DQ166" s="161">
        <f t="shared" si="222"/>
        <v>0</v>
      </c>
      <c r="DR166" s="161">
        <f t="shared" si="223"/>
        <v>0</v>
      </c>
      <c r="DS166" s="161">
        <f t="shared" si="224"/>
        <v>0</v>
      </c>
      <c r="DT166" s="161">
        <f t="shared" si="225"/>
        <v>0</v>
      </c>
      <c r="DU166" s="161">
        <f t="shared" si="226"/>
        <v>0</v>
      </c>
      <c r="DV166" s="161">
        <f t="shared" si="227"/>
        <v>0</v>
      </c>
      <c r="DW166" s="161">
        <f t="shared" si="228"/>
        <v>0</v>
      </c>
      <c r="DX166" s="161">
        <f t="shared" si="229"/>
        <v>0</v>
      </c>
      <c r="DY166" s="161">
        <f t="shared" si="230"/>
        <v>0</v>
      </c>
      <c r="DZ166" s="161">
        <f t="shared" si="231"/>
        <v>0</v>
      </c>
      <c r="EA166" s="161">
        <f t="shared" si="232"/>
        <v>0</v>
      </c>
      <c r="EB166" s="161">
        <f t="shared" si="233"/>
        <v>0</v>
      </c>
      <c r="EC166" s="161">
        <f t="shared" si="234"/>
        <v>0</v>
      </c>
      <c r="ED166" s="161">
        <f t="shared" si="235"/>
        <v>0</v>
      </c>
      <c r="EE166" s="161">
        <f t="shared" si="236"/>
        <v>0</v>
      </c>
      <c r="EF166" s="161">
        <f t="shared" si="237"/>
        <v>0</v>
      </c>
      <c r="EG166" s="161">
        <f t="shared" si="238"/>
        <v>0</v>
      </c>
      <c r="EH166" s="161">
        <f t="shared" si="239"/>
        <v>0</v>
      </c>
      <c r="EI166" s="161">
        <f t="shared" si="240"/>
        <v>0</v>
      </c>
      <c r="EJ166" s="161">
        <f t="shared" si="241"/>
        <v>0</v>
      </c>
      <c r="EK166" s="147">
        <f t="shared" si="173"/>
        <v>2228.0092592592591</v>
      </c>
      <c r="EL166" s="149"/>
      <c r="EN166" s="146"/>
      <c r="EO166" s="146"/>
      <c r="EP166" s="139">
        <f t="shared" si="174"/>
        <v>0</v>
      </c>
      <c r="EQ166" s="139">
        <f t="shared" si="175"/>
        <v>11.678110532407405</v>
      </c>
      <c r="ER166" s="139">
        <f t="shared" si="176"/>
        <v>59.334811490060304</v>
      </c>
      <c r="ES166" s="139">
        <f t="shared" si="177"/>
        <v>87.481245813601817</v>
      </c>
      <c r="ET166" s="139">
        <f t="shared" si="178"/>
        <v>0</v>
      </c>
      <c r="EU166" s="139">
        <f t="shared" si="179"/>
        <v>0</v>
      </c>
      <c r="EV166" s="139">
        <f t="shared" si="180"/>
        <v>0</v>
      </c>
      <c r="EW166" s="139">
        <f t="shared" si="181"/>
        <v>0</v>
      </c>
      <c r="EX166" s="139">
        <f t="shared" si="182"/>
        <v>0</v>
      </c>
      <c r="EY166" s="139">
        <f t="shared" si="183"/>
        <v>0</v>
      </c>
      <c r="EZ166" s="139">
        <f t="shared" si="184"/>
        <v>0</v>
      </c>
      <c r="FA166" s="139">
        <f t="shared" si="185"/>
        <v>0</v>
      </c>
      <c r="FB166" s="139">
        <f t="shared" si="186"/>
        <v>0</v>
      </c>
      <c r="FC166" s="139">
        <f t="shared" si="187"/>
        <v>0</v>
      </c>
      <c r="FD166" s="139">
        <f t="shared" si="188"/>
        <v>0</v>
      </c>
      <c r="FE166" s="139">
        <f t="shared" si="189"/>
        <v>0</v>
      </c>
      <c r="FF166" s="139">
        <f t="shared" si="190"/>
        <v>0</v>
      </c>
      <c r="FG166" s="139">
        <f t="shared" si="191"/>
        <v>0</v>
      </c>
      <c r="FH166" s="139">
        <f t="shared" si="192"/>
        <v>0</v>
      </c>
      <c r="FI166" s="139">
        <f t="shared" si="193"/>
        <v>0</v>
      </c>
      <c r="FJ166" s="139">
        <f t="shared" si="194"/>
        <v>0</v>
      </c>
      <c r="FK166" s="139">
        <f t="shared" si="195"/>
        <v>0</v>
      </c>
      <c r="FL166" s="139">
        <f t="shared" si="196"/>
        <v>0</v>
      </c>
      <c r="FM166" s="139">
        <f t="shared" si="197"/>
        <v>0</v>
      </c>
      <c r="FN166" s="139">
        <f t="shared" si="198"/>
        <v>0</v>
      </c>
      <c r="FO166" s="139">
        <f t="shared" si="199"/>
        <v>0</v>
      </c>
      <c r="FP166" s="139">
        <f t="shared" si="200"/>
        <v>0</v>
      </c>
      <c r="FQ166" s="139">
        <f t="shared" si="201"/>
        <v>0</v>
      </c>
      <c r="FR166" s="139">
        <f t="shared" si="202"/>
        <v>0</v>
      </c>
      <c r="FS166" s="139">
        <f t="shared" si="203"/>
        <v>0</v>
      </c>
      <c r="FT166" s="139">
        <f t="shared" si="204"/>
        <v>0</v>
      </c>
      <c r="FU166" s="148">
        <f t="shared" si="205"/>
        <v>158.49416783606952</v>
      </c>
      <c r="FV166" s="149"/>
      <c r="FY166" s="213">
        <v>161</v>
      </c>
      <c r="FZ166">
        <v>55.161706833741036</v>
      </c>
      <c r="GA166">
        <v>55.080222247666768</v>
      </c>
      <c r="GB166">
        <v>11.500560319858776</v>
      </c>
      <c r="GC166">
        <v>5.4380350768021959</v>
      </c>
      <c r="GD166">
        <v>3.5849608876327053</v>
      </c>
      <c r="GE166">
        <v>4.574909127004938</v>
      </c>
      <c r="GF166">
        <v>26.774078154606173</v>
      </c>
      <c r="GG166">
        <v>22.356075660855215</v>
      </c>
      <c r="GH166">
        <v>24.122284340576535</v>
      </c>
      <c r="GI166">
        <v>22.184894903684917</v>
      </c>
      <c r="GJ166"/>
      <c r="GK166"/>
      <c r="GL166"/>
      <c r="GM166"/>
      <c r="GN166" s="208"/>
      <c r="GO166" s="208"/>
      <c r="GP166" s="208"/>
      <c r="GQ166" s="208"/>
      <c r="GR166" s="208"/>
      <c r="GS166" s="208"/>
      <c r="GT166" s="208"/>
      <c r="GU166" s="213">
        <v>161</v>
      </c>
    </row>
    <row r="167" spans="1:203" s="7" customFormat="1">
      <c r="A167" s="1"/>
      <c r="B167" s="76">
        <f ca="1">IF(C167="", "", RAND())</f>
        <v>0.4923819349538574</v>
      </c>
      <c r="C167">
        <v>10</v>
      </c>
      <c r="D167">
        <v>39910</v>
      </c>
      <c r="E167">
        <v>0</v>
      </c>
      <c r="F167">
        <v>833.33333333333337</v>
      </c>
      <c r="G167">
        <v>729.16666666666663</v>
      </c>
      <c r="H167">
        <v>104.16666666666667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 s="2"/>
      <c r="AK167" s="80"/>
      <c r="AL167" s="74"/>
      <c r="AM167" s="43">
        <v>151</v>
      </c>
      <c r="AN167">
        <v>249.89698365790355</v>
      </c>
      <c r="AO167">
        <v>20.66678501212219</v>
      </c>
      <c r="AP167">
        <v>85.51305292880042</v>
      </c>
      <c r="AQ167">
        <v>151.71118035932503</v>
      </c>
      <c r="AR167">
        <v>21.599274520586867</v>
      </c>
      <c r="AS167">
        <v>176.20811067144524</v>
      </c>
      <c r="AT167">
        <v>9.7833279645666149</v>
      </c>
      <c r="AU167">
        <v>32.230781328596713</v>
      </c>
      <c r="AV167"/>
      <c r="AW167"/>
      <c r="AX167" s="146"/>
      <c r="AY167" s="76">
        <f t="shared" ca="1" si="171"/>
        <v>8.2053951366648503E-2</v>
      </c>
      <c r="AZ167">
        <v>10</v>
      </c>
      <c r="BA167" s="129">
        <f t="shared" si="243"/>
        <v>39910</v>
      </c>
      <c r="BB167" s="207">
        <v>0</v>
      </c>
      <c r="BC167" s="207">
        <v>0</v>
      </c>
      <c r="BD167" s="207">
        <v>0</v>
      </c>
      <c r="BE167" s="207">
        <v>0</v>
      </c>
      <c r="BF167" s="207">
        <v>0</v>
      </c>
      <c r="BG167" s="207">
        <v>0</v>
      </c>
      <c r="BH167" s="207">
        <v>0</v>
      </c>
      <c r="BI167" s="207">
        <v>0</v>
      </c>
      <c r="BJ167" s="207">
        <v>0</v>
      </c>
      <c r="BK167" s="207">
        <v>0</v>
      </c>
      <c r="BL167" s="207">
        <v>0</v>
      </c>
      <c r="BM167" s="207">
        <v>0</v>
      </c>
      <c r="BN167" s="207">
        <v>0</v>
      </c>
      <c r="BO167" s="207">
        <v>0</v>
      </c>
      <c r="BP167" s="207">
        <v>0</v>
      </c>
      <c r="BQ167" s="207">
        <v>0</v>
      </c>
      <c r="BR167" s="207">
        <v>0</v>
      </c>
      <c r="BS167" s="207">
        <v>0</v>
      </c>
      <c r="BT167" s="207">
        <v>0</v>
      </c>
      <c r="BU167" s="207">
        <v>0</v>
      </c>
      <c r="BV167" s="207">
        <v>0</v>
      </c>
      <c r="BW167" s="207">
        <v>0</v>
      </c>
      <c r="BX167" s="207">
        <v>0</v>
      </c>
      <c r="BY167" s="207">
        <v>0</v>
      </c>
      <c r="BZ167" s="207">
        <v>0</v>
      </c>
      <c r="CA167" s="207">
        <v>0</v>
      </c>
      <c r="CB167" s="207">
        <v>0</v>
      </c>
      <c r="CC167" s="207">
        <v>0</v>
      </c>
      <c r="CD167" s="207">
        <v>0</v>
      </c>
      <c r="CE167" s="207">
        <v>0</v>
      </c>
      <c r="CF167" s="207">
        <v>0</v>
      </c>
      <c r="CG167" s="147"/>
      <c r="CH167" s="176"/>
      <c r="CJ167" s="146"/>
      <c r="CK167" s="76">
        <f t="shared" ca="1" si="206"/>
        <v>0.53052906368992447</v>
      </c>
      <c r="CL167" s="179">
        <f t="shared" si="207"/>
        <v>10</v>
      </c>
      <c r="CM167" s="180">
        <f t="shared" si="208"/>
        <v>39910</v>
      </c>
      <c r="CN167" s="208">
        <v>0</v>
      </c>
      <c r="CO167" s="208">
        <v>8</v>
      </c>
      <c r="CP167" s="208">
        <v>7</v>
      </c>
      <c r="CQ167" s="208">
        <v>1</v>
      </c>
      <c r="CR167" s="208">
        <v>0</v>
      </c>
      <c r="CS167" s="208">
        <v>0</v>
      </c>
      <c r="CT167" s="208">
        <v>0</v>
      </c>
      <c r="CU167" s="208">
        <v>0</v>
      </c>
      <c r="CV167" s="160"/>
      <c r="CW167">
        <v>1</v>
      </c>
      <c r="CX167">
        <f>350/35</f>
        <v>10</v>
      </c>
      <c r="CY167" s="165"/>
      <c r="CZ167" s="177">
        <f t="shared" si="209"/>
        <v>9.6000000000000002E-2</v>
      </c>
      <c r="DB167" s="146"/>
      <c r="DC167" s="76">
        <f t="shared" ca="1" si="172"/>
        <v>0.47860954327874006</v>
      </c>
      <c r="DD167">
        <f t="shared" si="210"/>
        <v>10</v>
      </c>
      <c r="DE167" s="129">
        <f t="shared" si="242"/>
        <v>39910</v>
      </c>
      <c r="DF167" s="161">
        <f t="shared" si="211"/>
        <v>0</v>
      </c>
      <c r="DG167" s="161">
        <f t="shared" si="212"/>
        <v>833.33333333333337</v>
      </c>
      <c r="DH167" s="161">
        <f t="shared" si="213"/>
        <v>729.16666666666663</v>
      </c>
      <c r="DI167" s="161">
        <f t="shared" si="214"/>
        <v>104.16666666666667</v>
      </c>
      <c r="DJ167" s="161">
        <f t="shared" si="215"/>
        <v>0</v>
      </c>
      <c r="DK167" s="161">
        <f t="shared" si="216"/>
        <v>0</v>
      </c>
      <c r="DL167" s="161">
        <f t="shared" si="217"/>
        <v>0</v>
      </c>
      <c r="DM167" s="161">
        <f t="shared" si="218"/>
        <v>0</v>
      </c>
      <c r="DN167" s="161">
        <f t="shared" si="219"/>
        <v>0</v>
      </c>
      <c r="DO167" s="161">
        <f t="shared" si="220"/>
        <v>0</v>
      </c>
      <c r="DP167" s="161">
        <f t="shared" si="221"/>
        <v>0</v>
      </c>
      <c r="DQ167" s="161">
        <f t="shared" si="222"/>
        <v>0</v>
      </c>
      <c r="DR167" s="161">
        <f t="shared" si="223"/>
        <v>0</v>
      </c>
      <c r="DS167" s="161">
        <f t="shared" si="224"/>
        <v>0</v>
      </c>
      <c r="DT167" s="161">
        <f t="shared" si="225"/>
        <v>0</v>
      </c>
      <c r="DU167" s="161">
        <f t="shared" si="226"/>
        <v>0</v>
      </c>
      <c r="DV167" s="161">
        <f t="shared" si="227"/>
        <v>0</v>
      </c>
      <c r="DW167" s="161">
        <f t="shared" si="228"/>
        <v>0</v>
      </c>
      <c r="DX167" s="161">
        <f t="shared" si="229"/>
        <v>0</v>
      </c>
      <c r="DY167" s="161">
        <f t="shared" si="230"/>
        <v>0</v>
      </c>
      <c r="DZ167" s="161">
        <f t="shared" si="231"/>
        <v>0</v>
      </c>
      <c r="EA167" s="161">
        <f t="shared" si="232"/>
        <v>0</v>
      </c>
      <c r="EB167" s="161">
        <f t="shared" si="233"/>
        <v>0</v>
      </c>
      <c r="EC167" s="161">
        <f t="shared" si="234"/>
        <v>0</v>
      </c>
      <c r="ED167" s="161">
        <f t="shared" si="235"/>
        <v>0</v>
      </c>
      <c r="EE167" s="161">
        <f t="shared" si="236"/>
        <v>0</v>
      </c>
      <c r="EF167" s="161">
        <f t="shared" si="237"/>
        <v>0</v>
      </c>
      <c r="EG167" s="161">
        <f t="shared" si="238"/>
        <v>0</v>
      </c>
      <c r="EH167" s="161">
        <f t="shared" si="239"/>
        <v>0</v>
      </c>
      <c r="EI167" s="161">
        <f t="shared" si="240"/>
        <v>0</v>
      </c>
      <c r="EJ167" s="161">
        <f t="shared" si="241"/>
        <v>0</v>
      </c>
      <c r="EK167" s="147">
        <f t="shared" si="173"/>
        <v>1666.6666666666667</v>
      </c>
      <c r="EL167" s="149"/>
      <c r="EN167" s="146"/>
      <c r="EO167" s="146"/>
      <c r="EP167" s="139">
        <f t="shared" si="174"/>
        <v>0</v>
      </c>
      <c r="EQ167" s="139">
        <f t="shared" si="175"/>
        <v>9.6094166666666663</v>
      </c>
      <c r="ER167" s="139">
        <f t="shared" si="176"/>
        <v>53.401330341054276</v>
      </c>
      <c r="ES167" s="139">
        <f t="shared" si="177"/>
        <v>22.495177494926182</v>
      </c>
      <c r="ET167" s="139">
        <f t="shared" si="178"/>
        <v>0</v>
      </c>
      <c r="EU167" s="139">
        <f t="shared" si="179"/>
        <v>0</v>
      </c>
      <c r="EV167" s="139">
        <f t="shared" si="180"/>
        <v>0</v>
      </c>
      <c r="EW167" s="139">
        <f t="shared" si="181"/>
        <v>0</v>
      </c>
      <c r="EX167" s="139">
        <f t="shared" si="182"/>
        <v>0</v>
      </c>
      <c r="EY167" s="139">
        <f t="shared" si="183"/>
        <v>0</v>
      </c>
      <c r="EZ167" s="139">
        <f t="shared" si="184"/>
        <v>0</v>
      </c>
      <c r="FA167" s="139">
        <f t="shared" si="185"/>
        <v>0</v>
      </c>
      <c r="FB167" s="139">
        <f t="shared" si="186"/>
        <v>0</v>
      </c>
      <c r="FC167" s="139">
        <f t="shared" si="187"/>
        <v>0</v>
      </c>
      <c r="FD167" s="139">
        <f t="shared" si="188"/>
        <v>0</v>
      </c>
      <c r="FE167" s="139">
        <f t="shared" si="189"/>
        <v>0</v>
      </c>
      <c r="FF167" s="139">
        <f t="shared" si="190"/>
        <v>0</v>
      </c>
      <c r="FG167" s="139">
        <f t="shared" si="191"/>
        <v>0</v>
      </c>
      <c r="FH167" s="139">
        <f t="shared" si="192"/>
        <v>0</v>
      </c>
      <c r="FI167" s="139">
        <f t="shared" si="193"/>
        <v>0</v>
      </c>
      <c r="FJ167" s="139">
        <f t="shared" si="194"/>
        <v>0</v>
      </c>
      <c r="FK167" s="139">
        <f t="shared" si="195"/>
        <v>0</v>
      </c>
      <c r="FL167" s="139">
        <f t="shared" si="196"/>
        <v>0</v>
      </c>
      <c r="FM167" s="139">
        <f t="shared" si="197"/>
        <v>0</v>
      </c>
      <c r="FN167" s="139">
        <f t="shared" si="198"/>
        <v>0</v>
      </c>
      <c r="FO167" s="139">
        <f t="shared" si="199"/>
        <v>0</v>
      </c>
      <c r="FP167" s="139">
        <f t="shared" si="200"/>
        <v>0</v>
      </c>
      <c r="FQ167" s="139">
        <f t="shared" si="201"/>
        <v>0</v>
      </c>
      <c r="FR167" s="139">
        <f t="shared" si="202"/>
        <v>0</v>
      </c>
      <c r="FS167" s="139">
        <f t="shared" si="203"/>
        <v>0</v>
      </c>
      <c r="FT167" s="139">
        <f t="shared" si="204"/>
        <v>0</v>
      </c>
      <c r="FU167" s="148">
        <f t="shared" si="205"/>
        <v>85.505924502647133</v>
      </c>
      <c r="FV167" s="149"/>
      <c r="FY167" s="213">
        <v>162</v>
      </c>
      <c r="FZ167">
        <v>47.843390010336975</v>
      </c>
      <c r="GA167">
        <v>47.517986898151797</v>
      </c>
      <c r="GB167">
        <v>7.7646207909544422</v>
      </c>
      <c r="GC167">
        <v>6.1350625805292793</v>
      </c>
      <c r="GD167">
        <v>5.6923783823955763</v>
      </c>
      <c r="GE167">
        <v>4.9581694887620023</v>
      </c>
      <c r="GF167">
        <v>9.0493594934064738</v>
      </c>
      <c r="GG167">
        <v>9.7671159423789078</v>
      </c>
      <c r="GH167">
        <v>15.29726713706809</v>
      </c>
      <c r="GI167">
        <v>16.549950011996575</v>
      </c>
      <c r="GJ167"/>
      <c r="GK167"/>
      <c r="GL167"/>
      <c r="GM167"/>
      <c r="GN167" s="208"/>
      <c r="GO167" s="208"/>
      <c r="GP167" s="208"/>
      <c r="GQ167" s="208"/>
      <c r="GR167" s="208"/>
      <c r="GS167" s="208"/>
      <c r="GT167" s="208"/>
      <c r="GU167" s="213">
        <v>162</v>
      </c>
    </row>
    <row r="168" spans="1:203" s="7" customFormat="1">
      <c r="A168" s="128"/>
      <c r="B168" s="76">
        <f ca="1">IF(C168="", "", RAND())</f>
        <v>0.88281895170580871</v>
      </c>
      <c r="C168">
        <v>8</v>
      </c>
      <c r="D168">
        <v>39949</v>
      </c>
      <c r="E168">
        <v>0</v>
      </c>
      <c r="F168">
        <v>0</v>
      </c>
      <c r="G168">
        <v>135.41666666666666</v>
      </c>
      <c r="H168">
        <v>41.666666666666664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 s="2"/>
      <c r="AK168" s="80"/>
      <c r="AL168" s="74">
        <v>3.0028000000000028</v>
      </c>
      <c r="AM168" s="43">
        <v>152</v>
      </c>
      <c r="AN168">
        <v>238.7490672296239</v>
      </c>
      <c r="AO168">
        <v>20.858559485568506</v>
      </c>
      <c r="AP168">
        <v>84.065909134924624</v>
      </c>
      <c r="AQ168">
        <v>146.81478162553768</v>
      </c>
      <c r="AR168">
        <v>22.847348765756244</v>
      </c>
      <c r="AS168">
        <v>198.44222164952163</v>
      </c>
      <c r="AT168">
        <v>10.006323751139453</v>
      </c>
      <c r="AU168">
        <v>19.589267592875387</v>
      </c>
      <c r="AV168"/>
      <c r="AW168"/>
      <c r="AX168" s="128"/>
      <c r="AY168" s="76">
        <f t="shared" ca="1" si="171"/>
        <v>0.68864565437200143</v>
      </c>
      <c r="AZ168">
        <v>1</v>
      </c>
      <c r="BA168" s="129">
        <f>IF(AZ168="", "",$C$12)</f>
        <v>39949</v>
      </c>
      <c r="BB168" s="207">
        <v>0</v>
      </c>
      <c r="BC168" s="207">
        <v>0</v>
      </c>
      <c r="BD168" s="207">
        <v>0</v>
      </c>
      <c r="BE168" s="207">
        <v>1</v>
      </c>
      <c r="BF168" s="207">
        <v>0</v>
      </c>
      <c r="BG168" s="207">
        <v>0</v>
      </c>
      <c r="BH168" s="207">
        <v>0</v>
      </c>
      <c r="BI168" s="207">
        <v>0</v>
      </c>
      <c r="BJ168" s="207">
        <v>0</v>
      </c>
      <c r="BK168" s="207">
        <v>0</v>
      </c>
      <c r="BL168" s="207">
        <v>0</v>
      </c>
      <c r="BM168" s="207">
        <v>0</v>
      </c>
      <c r="BN168" s="207">
        <v>0</v>
      </c>
      <c r="BO168" s="207">
        <v>0</v>
      </c>
      <c r="BP168" s="207">
        <v>0</v>
      </c>
      <c r="BQ168" s="207">
        <v>0</v>
      </c>
      <c r="BR168" s="207">
        <v>0</v>
      </c>
      <c r="BS168" s="207">
        <v>0</v>
      </c>
      <c r="BT168" s="207">
        <v>0</v>
      </c>
      <c r="BU168" s="207">
        <v>0</v>
      </c>
      <c r="BV168" s="207">
        <v>0</v>
      </c>
      <c r="BW168" s="207">
        <v>0</v>
      </c>
      <c r="BX168" s="207">
        <v>0</v>
      </c>
      <c r="BY168" s="207">
        <v>0</v>
      </c>
      <c r="BZ168" s="207">
        <v>0</v>
      </c>
      <c r="CA168" s="207">
        <v>0</v>
      </c>
      <c r="CB168" s="207">
        <v>0</v>
      </c>
      <c r="CC168" s="207">
        <v>0</v>
      </c>
      <c r="CD168" s="207">
        <v>0</v>
      </c>
      <c r="CE168" s="207">
        <v>0</v>
      </c>
      <c r="CF168" s="207">
        <v>0</v>
      </c>
      <c r="CG168" s="147"/>
      <c r="CH168" s="176"/>
      <c r="CJ168" s="128"/>
      <c r="CK168" s="76">
        <f t="shared" ca="1" si="206"/>
        <v>0.9425211257819841</v>
      </c>
      <c r="CL168" s="179">
        <f t="shared" si="207"/>
        <v>1</v>
      </c>
      <c r="CM168" s="180">
        <f t="shared" si="208"/>
        <v>39949</v>
      </c>
      <c r="CN168" s="208">
        <v>0</v>
      </c>
      <c r="CO168" s="208">
        <v>0</v>
      </c>
      <c r="CP168" s="208">
        <v>0</v>
      </c>
      <c r="CQ168" s="208">
        <v>1</v>
      </c>
      <c r="CR168" s="208">
        <v>0</v>
      </c>
      <c r="CS168" s="208">
        <v>0</v>
      </c>
      <c r="CT168" s="208">
        <v>0</v>
      </c>
      <c r="CU168" s="208">
        <v>0</v>
      </c>
      <c r="CV168" s="160"/>
      <c r="CW168">
        <v>1</v>
      </c>
      <c r="CX168">
        <f>325/83</f>
        <v>3.9156626506024095</v>
      </c>
      <c r="CY168" s="160"/>
      <c r="CZ168" s="177">
        <f t="shared" si="209"/>
        <v>9.6000000000000002E-2</v>
      </c>
      <c r="DB168" s="128"/>
      <c r="DC168" s="76">
        <f t="shared" ca="1" si="172"/>
        <v>0.40523613647201184</v>
      </c>
      <c r="DD168">
        <f t="shared" si="210"/>
        <v>1</v>
      </c>
      <c r="DE168" s="129">
        <f t="shared" ref="DE168:DE177" si="244">IF((DD168)="", "", $C$12)</f>
        <v>39949</v>
      </c>
      <c r="DF168" s="161">
        <f t="shared" si="211"/>
        <v>0</v>
      </c>
      <c r="DG168" s="161">
        <f t="shared" si="212"/>
        <v>0</v>
      </c>
      <c r="DH168" s="161">
        <f t="shared" si="213"/>
        <v>0</v>
      </c>
      <c r="DI168" s="161">
        <f t="shared" si="214"/>
        <v>51.204819277108435</v>
      </c>
      <c r="DJ168" s="161">
        <f t="shared" si="215"/>
        <v>0</v>
      </c>
      <c r="DK168" s="161">
        <f t="shared" si="216"/>
        <v>0</v>
      </c>
      <c r="DL168" s="161">
        <f t="shared" si="217"/>
        <v>0</v>
      </c>
      <c r="DM168" s="161">
        <f t="shared" si="218"/>
        <v>0</v>
      </c>
      <c r="DN168" s="161">
        <f t="shared" si="219"/>
        <v>0</v>
      </c>
      <c r="DO168" s="161">
        <f t="shared" si="220"/>
        <v>0</v>
      </c>
      <c r="DP168" s="161">
        <f t="shared" si="221"/>
        <v>0</v>
      </c>
      <c r="DQ168" s="161">
        <f t="shared" si="222"/>
        <v>0</v>
      </c>
      <c r="DR168" s="161">
        <f t="shared" si="223"/>
        <v>0</v>
      </c>
      <c r="DS168" s="161">
        <f t="shared" si="224"/>
        <v>0</v>
      </c>
      <c r="DT168" s="161">
        <f t="shared" si="225"/>
        <v>0</v>
      </c>
      <c r="DU168" s="161">
        <f t="shared" si="226"/>
        <v>0</v>
      </c>
      <c r="DV168" s="161">
        <f t="shared" si="227"/>
        <v>0</v>
      </c>
      <c r="DW168" s="161">
        <f t="shared" si="228"/>
        <v>0</v>
      </c>
      <c r="DX168" s="161">
        <f t="shared" si="229"/>
        <v>0</v>
      </c>
      <c r="DY168" s="161">
        <f t="shared" si="230"/>
        <v>0</v>
      </c>
      <c r="DZ168" s="161">
        <f t="shared" si="231"/>
        <v>0</v>
      </c>
      <c r="EA168" s="161">
        <f t="shared" si="232"/>
        <v>0</v>
      </c>
      <c r="EB168" s="161">
        <f t="shared" si="233"/>
        <v>0</v>
      </c>
      <c r="EC168" s="161">
        <f t="shared" si="234"/>
        <v>0</v>
      </c>
      <c r="ED168" s="161">
        <f t="shared" si="235"/>
        <v>0</v>
      </c>
      <c r="EE168" s="161">
        <f t="shared" si="236"/>
        <v>0</v>
      </c>
      <c r="EF168" s="161">
        <f t="shared" si="237"/>
        <v>0</v>
      </c>
      <c r="EG168" s="161">
        <f t="shared" si="238"/>
        <v>0</v>
      </c>
      <c r="EH168" s="161">
        <f t="shared" si="239"/>
        <v>0</v>
      </c>
      <c r="EI168" s="161">
        <f t="shared" si="240"/>
        <v>0</v>
      </c>
      <c r="EJ168" s="161">
        <f t="shared" si="241"/>
        <v>0</v>
      </c>
      <c r="EK168" s="147">
        <f t="shared" si="173"/>
        <v>51.204819277108435</v>
      </c>
      <c r="EL168" s="149"/>
      <c r="EN168" s="146"/>
      <c r="EO168" s="146"/>
      <c r="EP168" s="139">
        <f t="shared" si="174"/>
        <v>0</v>
      </c>
      <c r="EQ168" s="139">
        <f t="shared" si="175"/>
        <v>0</v>
      </c>
      <c r="ER168" s="139">
        <f t="shared" si="176"/>
        <v>0</v>
      </c>
      <c r="ES168" s="139">
        <f t="shared" si="177"/>
        <v>11.057870383048051</v>
      </c>
      <c r="ET168" s="139">
        <f t="shared" si="178"/>
        <v>0</v>
      </c>
      <c r="EU168" s="139">
        <f t="shared" si="179"/>
        <v>0</v>
      </c>
      <c r="EV168" s="139">
        <f t="shared" si="180"/>
        <v>0</v>
      </c>
      <c r="EW168" s="139">
        <f t="shared" si="181"/>
        <v>0</v>
      </c>
      <c r="EX168" s="139">
        <f t="shared" si="182"/>
        <v>0</v>
      </c>
      <c r="EY168" s="139">
        <f t="shared" si="183"/>
        <v>0</v>
      </c>
      <c r="EZ168" s="139">
        <f t="shared" si="184"/>
        <v>0</v>
      </c>
      <c r="FA168" s="139">
        <f t="shared" si="185"/>
        <v>0</v>
      </c>
      <c r="FB168" s="139">
        <f t="shared" si="186"/>
        <v>0</v>
      </c>
      <c r="FC168" s="139">
        <f t="shared" si="187"/>
        <v>0</v>
      </c>
      <c r="FD168" s="139">
        <f t="shared" si="188"/>
        <v>0</v>
      </c>
      <c r="FE168" s="139">
        <f t="shared" si="189"/>
        <v>0</v>
      </c>
      <c r="FF168" s="139">
        <f t="shared" si="190"/>
        <v>0</v>
      </c>
      <c r="FG168" s="139">
        <f t="shared" si="191"/>
        <v>0</v>
      </c>
      <c r="FH168" s="139">
        <f t="shared" si="192"/>
        <v>0</v>
      </c>
      <c r="FI168" s="139">
        <f t="shared" si="193"/>
        <v>0</v>
      </c>
      <c r="FJ168" s="139">
        <f t="shared" si="194"/>
        <v>0</v>
      </c>
      <c r="FK168" s="139">
        <f t="shared" si="195"/>
        <v>0</v>
      </c>
      <c r="FL168" s="139">
        <f t="shared" si="196"/>
        <v>0</v>
      </c>
      <c r="FM168" s="139">
        <f t="shared" si="197"/>
        <v>0</v>
      </c>
      <c r="FN168" s="139">
        <f t="shared" si="198"/>
        <v>0</v>
      </c>
      <c r="FO168" s="139">
        <f t="shared" si="199"/>
        <v>0</v>
      </c>
      <c r="FP168" s="139">
        <f t="shared" si="200"/>
        <v>0</v>
      </c>
      <c r="FQ168" s="139">
        <f t="shared" si="201"/>
        <v>0</v>
      </c>
      <c r="FR168" s="139">
        <f t="shared" si="202"/>
        <v>0</v>
      </c>
      <c r="FS168" s="139">
        <f t="shared" si="203"/>
        <v>0</v>
      </c>
      <c r="FT168" s="139">
        <f t="shared" si="204"/>
        <v>0</v>
      </c>
      <c r="FU168" s="148">
        <f t="shared" si="205"/>
        <v>11.057870383048051</v>
      </c>
      <c r="FV168" s="149"/>
      <c r="FY168" s="213">
        <v>163</v>
      </c>
      <c r="FZ168">
        <v>36.960415738792278</v>
      </c>
      <c r="GA168">
        <v>56.995475706712938</v>
      </c>
      <c r="GB168">
        <v>16.549826971170738</v>
      </c>
      <c r="GC168">
        <v>7.5970007115189029</v>
      </c>
      <c r="GD168">
        <v>6.4906313653613008</v>
      </c>
      <c r="GE168">
        <v>3.5562896752499169</v>
      </c>
      <c r="GF168">
        <v>17.851160670209683</v>
      </c>
      <c r="GG168">
        <v>19.972096913161135</v>
      </c>
      <c r="GH168">
        <v>11.846739966582437</v>
      </c>
      <c r="GI168">
        <v>19.150576936982549</v>
      </c>
      <c r="GJ168"/>
      <c r="GK168"/>
      <c r="GL168"/>
      <c r="GM168"/>
      <c r="GN168" s="208"/>
      <c r="GO168" s="208"/>
      <c r="GP168" s="208"/>
      <c r="GQ168" s="208"/>
      <c r="GR168" s="208"/>
      <c r="GS168" s="208"/>
      <c r="GT168" s="208"/>
      <c r="GU168" s="213">
        <v>163</v>
      </c>
    </row>
    <row r="169" spans="1:203" s="7" customFormat="1">
      <c r="A169" s="1"/>
      <c r="B169" s="76">
        <f ca="1">IF(C169="", "", RAND())</f>
        <v>0.18375998347195499</v>
      </c>
      <c r="C169">
        <v>4</v>
      </c>
      <c r="D169">
        <v>39949</v>
      </c>
      <c r="E169">
        <v>0</v>
      </c>
      <c r="F169">
        <v>45.662100456620998</v>
      </c>
      <c r="G169">
        <v>45.662100456620998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 s="2"/>
      <c r="AK169" s="80"/>
      <c r="AL169" s="74">
        <v>3.0028000000000028</v>
      </c>
      <c r="AM169" s="43">
        <v>153</v>
      </c>
      <c r="AN169">
        <v>260.93990808521551</v>
      </c>
      <c r="AO169">
        <v>20.05179840872858</v>
      </c>
      <c r="AP169">
        <v>89.944358821566368</v>
      </c>
      <c r="AQ169">
        <v>151.55734091445777</v>
      </c>
      <c r="AR169">
        <v>20.880088792108314</v>
      </c>
      <c r="AS169">
        <v>202.40283924432941</v>
      </c>
      <c r="AT169">
        <v>10.927827097966244</v>
      </c>
      <c r="AU169">
        <v>58.86147697753924</v>
      </c>
      <c r="AV169"/>
      <c r="AW169"/>
      <c r="AX169" s="146"/>
      <c r="AY169" s="76">
        <f t="shared" ca="1" si="171"/>
        <v>6.9769171894592752E-2</v>
      </c>
      <c r="AZ169">
        <v>2</v>
      </c>
      <c r="BA169" s="129">
        <f t="shared" ref="BA169:BA177" si="245">IF(AZ169="", "",$C$12)</f>
        <v>39949</v>
      </c>
      <c r="BB169" s="207">
        <v>0</v>
      </c>
      <c r="BC169" s="207">
        <v>0</v>
      </c>
      <c r="BD169" s="207">
        <v>0</v>
      </c>
      <c r="BE169" s="207">
        <v>2</v>
      </c>
      <c r="BF169" s="207">
        <v>0</v>
      </c>
      <c r="BG169" s="207">
        <v>0</v>
      </c>
      <c r="BH169" s="207">
        <v>0</v>
      </c>
      <c r="BI169" s="207">
        <v>0</v>
      </c>
      <c r="BJ169" s="207">
        <v>0</v>
      </c>
      <c r="BK169" s="207">
        <v>0</v>
      </c>
      <c r="BL169" s="207">
        <v>0</v>
      </c>
      <c r="BM169" s="207">
        <v>0</v>
      </c>
      <c r="BN169" s="207">
        <v>0</v>
      </c>
      <c r="BO169" s="207">
        <v>0</v>
      </c>
      <c r="BP169" s="207">
        <v>0</v>
      </c>
      <c r="BQ169" s="207">
        <v>0</v>
      </c>
      <c r="BR169" s="207">
        <v>0</v>
      </c>
      <c r="BS169" s="207">
        <v>0</v>
      </c>
      <c r="BT169" s="207">
        <v>0</v>
      </c>
      <c r="BU169" s="207">
        <v>0</v>
      </c>
      <c r="BV169" s="207">
        <v>0</v>
      </c>
      <c r="BW169" s="207">
        <v>0</v>
      </c>
      <c r="BX169" s="207">
        <v>0</v>
      </c>
      <c r="BY169" s="207">
        <v>0</v>
      </c>
      <c r="BZ169" s="207">
        <v>0</v>
      </c>
      <c r="CA169" s="207">
        <v>0</v>
      </c>
      <c r="CB169" s="207">
        <v>0</v>
      </c>
      <c r="CC169" s="207">
        <v>0</v>
      </c>
      <c r="CD169" s="207">
        <v>0</v>
      </c>
      <c r="CE169" s="207">
        <v>0</v>
      </c>
      <c r="CF169" s="207">
        <v>0</v>
      </c>
      <c r="CG169" s="147"/>
      <c r="CH169" s="176"/>
      <c r="CJ169" s="146"/>
      <c r="CK169" s="76">
        <f t="shared" ca="1" si="206"/>
        <v>5.6232525196914906E-2</v>
      </c>
      <c r="CL169" s="179">
        <f t="shared" si="207"/>
        <v>2</v>
      </c>
      <c r="CM169" s="180">
        <f t="shared" si="208"/>
        <v>39949</v>
      </c>
      <c r="CN169" s="208">
        <v>0</v>
      </c>
      <c r="CO169" s="208">
        <v>0</v>
      </c>
      <c r="CP169" s="208">
        <v>0</v>
      </c>
      <c r="CQ169" s="208">
        <v>0</v>
      </c>
      <c r="CR169" s="208">
        <v>0</v>
      </c>
      <c r="CS169" s="208">
        <v>0</v>
      </c>
      <c r="CT169" s="208">
        <v>0</v>
      </c>
      <c r="CU169" s="208">
        <v>0</v>
      </c>
      <c r="CV169" s="160"/>
      <c r="CW169">
        <v>1</v>
      </c>
      <c r="CX169">
        <v>1</v>
      </c>
      <c r="CY169" s="160"/>
      <c r="CZ169" s="177">
        <f t="shared" si="209"/>
        <v>9.6000000000000002E-2</v>
      </c>
      <c r="DB169" s="146"/>
      <c r="DC169" s="76">
        <f t="shared" ca="1" si="172"/>
        <v>0.98501903435086979</v>
      </c>
      <c r="DD169">
        <f t="shared" si="210"/>
        <v>2</v>
      </c>
      <c r="DE169" s="129">
        <f t="shared" si="244"/>
        <v>39949</v>
      </c>
      <c r="DF169" s="161">
        <f t="shared" si="211"/>
        <v>0</v>
      </c>
      <c r="DG169" s="161">
        <f t="shared" si="212"/>
        <v>0</v>
      </c>
      <c r="DH169" s="161">
        <f t="shared" si="213"/>
        <v>0</v>
      </c>
      <c r="DI169" s="161">
        <f t="shared" si="214"/>
        <v>20.833333333333332</v>
      </c>
      <c r="DJ169" s="161">
        <f t="shared" si="215"/>
        <v>0</v>
      </c>
      <c r="DK169" s="161">
        <f t="shared" si="216"/>
        <v>0</v>
      </c>
      <c r="DL169" s="161">
        <f t="shared" si="217"/>
        <v>0</v>
      </c>
      <c r="DM169" s="161">
        <f t="shared" si="218"/>
        <v>0</v>
      </c>
      <c r="DN169" s="161">
        <f t="shared" si="219"/>
        <v>0</v>
      </c>
      <c r="DO169" s="161">
        <f t="shared" si="220"/>
        <v>0</v>
      </c>
      <c r="DP169" s="161">
        <f t="shared" si="221"/>
        <v>0</v>
      </c>
      <c r="DQ169" s="161">
        <f t="shared" si="222"/>
        <v>0</v>
      </c>
      <c r="DR169" s="161">
        <f t="shared" si="223"/>
        <v>0</v>
      </c>
      <c r="DS169" s="161">
        <f t="shared" si="224"/>
        <v>0</v>
      </c>
      <c r="DT169" s="161">
        <f t="shared" si="225"/>
        <v>0</v>
      </c>
      <c r="DU169" s="161">
        <f t="shared" si="226"/>
        <v>0</v>
      </c>
      <c r="DV169" s="161">
        <f t="shared" si="227"/>
        <v>0</v>
      </c>
      <c r="DW169" s="161">
        <f t="shared" si="228"/>
        <v>0</v>
      </c>
      <c r="DX169" s="161">
        <f t="shared" si="229"/>
        <v>0</v>
      </c>
      <c r="DY169" s="161">
        <f t="shared" si="230"/>
        <v>0</v>
      </c>
      <c r="DZ169" s="161">
        <f t="shared" si="231"/>
        <v>0</v>
      </c>
      <c r="EA169" s="161">
        <f t="shared" si="232"/>
        <v>0</v>
      </c>
      <c r="EB169" s="161">
        <f t="shared" si="233"/>
        <v>0</v>
      </c>
      <c r="EC169" s="161">
        <f t="shared" si="234"/>
        <v>0</v>
      </c>
      <c r="ED169" s="161">
        <f t="shared" si="235"/>
        <v>0</v>
      </c>
      <c r="EE169" s="161">
        <f t="shared" si="236"/>
        <v>0</v>
      </c>
      <c r="EF169" s="161">
        <f t="shared" si="237"/>
        <v>0</v>
      </c>
      <c r="EG169" s="161">
        <f t="shared" si="238"/>
        <v>0</v>
      </c>
      <c r="EH169" s="161">
        <f t="shared" si="239"/>
        <v>0</v>
      </c>
      <c r="EI169" s="161">
        <f t="shared" si="240"/>
        <v>0</v>
      </c>
      <c r="EJ169" s="161">
        <f t="shared" si="241"/>
        <v>0</v>
      </c>
      <c r="EK169" s="147">
        <f t="shared" si="173"/>
        <v>20.833333333333332</v>
      </c>
      <c r="EL169" s="149"/>
      <c r="EN169" s="146"/>
      <c r="EO169" s="146"/>
      <c r="EP169" s="139">
        <f t="shared" si="174"/>
        <v>0</v>
      </c>
      <c r="EQ169" s="139">
        <f t="shared" si="175"/>
        <v>0</v>
      </c>
      <c r="ER169" s="139">
        <f t="shared" si="176"/>
        <v>0</v>
      </c>
      <c r="ES169" s="139">
        <f t="shared" si="177"/>
        <v>4.4990354989852364</v>
      </c>
      <c r="ET169" s="139">
        <f t="shared" si="178"/>
        <v>0</v>
      </c>
      <c r="EU169" s="139">
        <f t="shared" si="179"/>
        <v>0</v>
      </c>
      <c r="EV169" s="139">
        <f t="shared" si="180"/>
        <v>0</v>
      </c>
      <c r="EW169" s="139">
        <f t="shared" si="181"/>
        <v>0</v>
      </c>
      <c r="EX169" s="139">
        <f t="shared" si="182"/>
        <v>0</v>
      </c>
      <c r="EY169" s="139">
        <f t="shared" si="183"/>
        <v>0</v>
      </c>
      <c r="EZ169" s="139">
        <f t="shared" si="184"/>
        <v>0</v>
      </c>
      <c r="FA169" s="139">
        <f t="shared" si="185"/>
        <v>0</v>
      </c>
      <c r="FB169" s="139">
        <f t="shared" si="186"/>
        <v>0</v>
      </c>
      <c r="FC169" s="139">
        <f t="shared" si="187"/>
        <v>0</v>
      </c>
      <c r="FD169" s="139">
        <f t="shared" si="188"/>
        <v>0</v>
      </c>
      <c r="FE169" s="139">
        <f t="shared" si="189"/>
        <v>0</v>
      </c>
      <c r="FF169" s="139">
        <f t="shared" si="190"/>
        <v>0</v>
      </c>
      <c r="FG169" s="139">
        <f t="shared" si="191"/>
        <v>0</v>
      </c>
      <c r="FH169" s="139">
        <f t="shared" si="192"/>
        <v>0</v>
      </c>
      <c r="FI169" s="139">
        <f t="shared" si="193"/>
        <v>0</v>
      </c>
      <c r="FJ169" s="139">
        <f t="shared" si="194"/>
        <v>0</v>
      </c>
      <c r="FK169" s="139">
        <f t="shared" si="195"/>
        <v>0</v>
      </c>
      <c r="FL169" s="139">
        <f t="shared" si="196"/>
        <v>0</v>
      </c>
      <c r="FM169" s="139">
        <f t="shared" si="197"/>
        <v>0</v>
      </c>
      <c r="FN169" s="139">
        <f t="shared" si="198"/>
        <v>0</v>
      </c>
      <c r="FO169" s="139">
        <f t="shared" si="199"/>
        <v>0</v>
      </c>
      <c r="FP169" s="139">
        <f t="shared" si="200"/>
        <v>0</v>
      </c>
      <c r="FQ169" s="139">
        <f t="shared" si="201"/>
        <v>0</v>
      </c>
      <c r="FR169" s="139">
        <f t="shared" si="202"/>
        <v>0</v>
      </c>
      <c r="FS169" s="139">
        <f t="shared" si="203"/>
        <v>0</v>
      </c>
      <c r="FT169" s="139">
        <f t="shared" si="204"/>
        <v>0</v>
      </c>
      <c r="FU169" s="148">
        <f t="shared" si="205"/>
        <v>4.4990354989852364</v>
      </c>
      <c r="FV169" s="149"/>
      <c r="FY169" s="213">
        <v>164</v>
      </c>
      <c r="FZ169">
        <v>40.292717134152802</v>
      </c>
      <c r="GA169">
        <v>35.519080870862268</v>
      </c>
      <c r="GB169">
        <v>10.244846491295336</v>
      </c>
      <c r="GC169">
        <v>6.6112942006479605</v>
      </c>
      <c r="GD169">
        <v>5.5299973851118462</v>
      </c>
      <c r="GE169">
        <v>5.033738226418186</v>
      </c>
      <c r="GF169">
        <v>25.062719873855528</v>
      </c>
      <c r="GG169">
        <v>25.010723465649257</v>
      </c>
      <c r="GH169">
        <v>13.531786084704422</v>
      </c>
      <c r="GI169">
        <v>18.537258882972889</v>
      </c>
      <c r="GJ169"/>
      <c r="GK169"/>
      <c r="GL169"/>
      <c r="GM169"/>
      <c r="GN169" s="208"/>
      <c r="GO169" s="208"/>
      <c r="GP169" s="208"/>
      <c r="GQ169" s="208"/>
      <c r="GR169" s="208"/>
      <c r="GS169" s="208"/>
      <c r="GT169" s="208"/>
      <c r="GU169" s="213">
        <v>164</v>
      </c>
    </row>
    <row r="170" spans="1:203" s="7" customFormat="1">
      <c r="A170" s="1"/>
      <c r="B170" s="76">
        <f ca="1">IF(C170="", "", RAND())</f>
        <v>0.88065282156590752</v>
      </c>
      <c r="C170">
        <v>2</v>
      </c>
      <c r="D170">
        <v>39949</v>
      </c>
      <c r="E170">
        <v>0</v>
      </c>
      <c r="F170">
        <v>0</v>
      </c>
      <c r="G170">
        <v>0</v>
      </c>
      <c r="H170">
        <v>20.833333333333332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 s="2"/>
      <c r="AK170" s="80"/>
      <c r="AL170" s="74">
        <v>3.0028000000000028</v>
      </c>
      <c r="AM170" s="43">
        <v>154</v>
      </c>
      <c r="AN170">
        <v>278.3370042826291</v>
      </c>
      <c r="AO170">
        <v>26.587391825019502</v>
      </c>
      <c r="AP170">
        <v>107.05507115067576</v>
      </c>
      <c r="AQ170">
        <v>208.86120195774043</v>
      </c>
      <c r="AR170">
        <v>27.400132586150733</v>
      </c>
      <c r="AS170">
        <v>243.52586722190509</v>
      </c>
      <c r="AT170">
        <v>14.022176769049132</v>
      </c>
      <c r="AU170">
        <v>5.5078698490910689</v>
      </c>
      <c r="AV170"/>
      <c r="AW170"/>
      <c r="AX170" s="146"/>
      <c r="AY170" s="76">
        <f t="shared" ca="1" si="171"/>
        <v>8.342693236664056E-2</v>
      </c>
      <c r="AZ170">
        <v>3</v>
      </c>
      <c r="BA170" s="129">
        <f t="shared" si="245"/>
        <v>39949</v>
      </c>
      <c r="BB170" s="207">
        <v>0</v>
      </c>
      <c r="BC170" s="207">
        <v>0</v>
      </c>
      <c r="BD170" s="207">
        <v>0</v>
      </c>
      <c r="BE170" s="207">
        <v>1</v>
      </c>
      <c r="BF170" s="207">
        <v>2</v>
      </c>
      <c r="BG170" s="207">
        <v>0</v>
      </c>
      <c r="BH170" s="207">
        <v>0</v>
      </c>
      <c r="BI170" s="207">
        <v>0</v>
      </c>
      <c r="BJ170" s="207">
        <v>0</v>
      </c>
      <c r="BK170" s="207">
        <v>0</v>
      </c>
      <c r="BL170" s="207">
        <v>0</v>
      </c>
      <c r="BM170" s="207">
        <v>0</v>
      </c>
      <c r="BN170" s="207">
        <v>0</v>
      </c>
      <c r="BO170" s="207">
        <v>0</v>
      </c>
      <c r="BP170" s="207">
        <v>0</v>
      </c>
      <c r="BQ170" s="207">
        <v>0</v>
      </c>
      <c r="BR170" s="207">
        <v>0</v>
      </c>
      <c r="BS170" s="207">
        <v>0</v>
      </c>
      <c r="BT170" s="207">
        <v>0</v>
      </c>
      <c r="BU170" s="207">
        <v>0</v>
      </c>
      <c r="BV170" s="207">
        <v>0</v>
      </c>
      <c r="BW170" s="207">
        <v>0</v>
      </c>
      <c r="BX170" s="207">
        <v>0</v>
      </c>
      <c r="BY170" s="207">
        <v>0</v>
      </c>
      <c r="BZ170" s="207">
        <v>0</v>
      </c>
      <c r="CA170" s="207">
        <v>0</v>
      </c>
      <c r="CB170" s="207">
        <v>0</v>
      </c>
      <c r="CC170" s="207">
        <v>0</v>
      </c>
      <c r="CD170" s="207">
        <v>0</v>
      </c>
      <c r="CE170" s="207">
        <v>0</v>
      </c>
      <c r="CF170" s="207">
        <v>0</v>
      </c>
      <c r="CG170" s="147"/>
      <c r="CH170" s="176"/>
      <c r="CJ170" s="146"/>
      <c r="CK170" s="76">
        <f t="shared" ca="1" si="206"/>
        <v>0.30720077011957336</v>
      </c>
      <c r="CL170" s="179">
        <f t="shared" si="207"/>
        <v>3</v>
      </c>
      <c r="CM170" s="180">
        <f t="shared" si="208"/>
        <v>39949</v>
      </c>
      <c r="CN170" s="208">
        <v>0</v>
      </c>
      <c r="CO170" s="208">
        <v>6</v>
      </c>
      <c r="CP170" s="208">
        <v>1</v>
      </c>
      <c r="CQ170" s="208">
        <v>0</v>
      </c>
      <c r="CR170" s="208">
        <v>0</v>
      </c>
      <c r="CS170" s="208">
        <v>0</v>
      </c>
      <c r="CT170" s="208">
        <v>0</v>
      </c>
      <c r="CU170" s="208">
        <v>0</v>
      </c>
      <c r="CV170" s="160"/>
      <c r="CW170">
        <v>1</v>
      </c>
      <c r="CX170">
        <f>350/45</f>
        <v>7.7777777777777777</v>
      </c>
      <c r="CY170" s="160"/>
      <c r="CZ170" s="177">
        <f t="shared" si="209"/>
        <v>9.6000000000000002E-2</v>
      </c>
      <c r="DB170" s="146"/>
      <c r="DC170" s="76">
        <f t="shared" ca="1" si="172"/>
        <v>0.21803685862702515</v>
      </c>
      <c r="DD170">
        <f t="shared" si="210"/>
        <v>3</v>
      </c>
      <c r="DE170" s="129">
        <f t="shared" si="244"/>
        <v>39949</v>
      </c>
      <c r="DF170" s="161">
        <f t="shared" si="211"/>
        <v>0</v>
      </c>
      <c r="DG170" s="161">
        <f t="shared" si="212"/>
        <v>486.11111111111109</v>
      </c>
      <c r="DH170" s="161">
        <f t="shared" si="213"/>
        <v>81.018518518518519</v>
      </c>
      <c r="DI170" s="161">
        <f t="shared" si="214"/>
        <v>10.416666666666666</v>
      </c>
      <c r="DJ170" s="161">
        <f t="shared" si="215"/>
        <v>20.833333333333332</v>
      </c>
      <c r="DK170" s="161">
        <f t="shared" si="216"/>
        <v>0</v>
      </c>
      <c r="DL170" s="161">
        <f t="shared" si="217"/>
        <v>0</v>
      </c>
      <c r="DM170" s="161">
        <f t="shared" si="218"/>
        <v>0</v>
      </c>
      <c r="DN170" s="161">
        <f t="shared" si="219"/>
        <v>0</v>
      </c>
      <c r="DO170" s="161">
        <f t="shared" si="220"/>
        <v>0</v>
      </c>
      <c r="DP170" s="161">
        <f t="shared" si="221"/>
        <v>0</v>
      </c>
      <c r="DQ170" s="161">
        <f t="shared" si="222"/>
        <v>0</v>
      </c>
      <c r="DR170" s="161">
        <f t="shared" si="223"/>
        <v>0</v>
      </c>
      <c r="DS170" s="161">
        <f t="shared" si="224"/>
        <v>0</v>
      </c>
      <c r="DT170" s="161">
        <f t="shared" si="225"/>
        <v>0</v>
      </c>
      <c r="DU170" s="161">
        <f t="shared" si="226"/>
        <v>0</v>
      </c>
      <c r="DV170" s="161">
        <f t="shared" si="227"/>
        <v>0</v>
      </c>
      <c r="DW170" s="161">
        <f t="shared" si="228"/>
        <v>0</v>
      </c>
      <c r="DX170" s="161">
        <f t="shared" si="229"/>
        <v>0</v>
      </c>
      <c r="DY170" s="161">
        <f t="shared" si="230"/>
        <v>0</v>
      </c>
      <c r="DZ170" s="161">
        <f t="shared" si="231"/>
        <v>0</v>
      </c>
      <c r="EA170" s="161">
        <f t="shared" si="232"/>
        <v>0</v>
      </c>
      <c r="EB170" s="161">
        <f t="shared" si="233"/>
        <v>0</v>
      </c>
      <c r="EC170" s="161">
        <f t="shared" si="234"/>
        <v>0</v>
      </c>
      <c r="ED170" s="161">
        <f t="shared" si="235"/>
        <v>0</v>
      </c>
      <c r="EE170" s="161">
        <f t="shared" si="236"/>
        <v>0</v>
      </c>
      <c r="EF170" s="161">
        <f t="shared" si="237"/>
        <v>0</v>
      </c>
      <c r="EG170" s="161">
        <f t="shared" si="238"/>
        <v>0</v>
      </c>
      <c r="EH170" s="161">
        <f t="shared" si="239"/>
        <v>0</v>
      </c>
      <c r="EI170" s="161">
        <f t="shared" si="240"/>
        <v>0</v>
      </c>
      <c r="EJ170" s="161">
        <f t="shared" si="241"/>
        <v>0</v>
      </c>
      <c r="EK170" s="147">
        <f t="shared" si="173"/>
        <v>598.37962962962956</v>
      </c>
      <c r="EL170" s="149"/>
      <c r="EN170" s="146"/>
      <c r="EO170" s="146"/>
      <c r="EP170" s="139">
        <f t="shared" si="174"/>
        <v>0</v>
      </c>
      <c r="EQ170" s="139">
        <f t="shared" si="175"/>
        <v>5.6054930555555549</v>
      </c>
      <c r="ER170" s="139">
        <f t="shared" si="176"/>
        <v>5.9334811490060311</v>
      </c>
      <c r="ES170" s="139">
        <f t="shared" si="177"/>
        <v>2.2495177494926182</v>
      </c>
      <c r="ET170" s="139">
        <f t="shared" si="178"/>
        <v>9.6901618395739177</v>
      </c>
      <c r="EU170" s="139">
        <f t="shared" si="179"/>
        <v>0</v>
      </c>
      <c r="EV170" s="139">
        <f t="shared" si="180"/>
        <v>0</v>
      </c>
      <c r="EW170" s="139">
        <f t="shared" si="181"/>
        <v>0</v>
      </c>
      <c r="EX170" s="139">
        <f t="shared" si="182"/>
        <v>0</v>
      </c>
      <c r="EY170" s="139">
        <f t="shared" si="183"/>
        <v>0</v>
      </c>
      <c r="EZ170" s="139">
        <f t="shared" si="184"/>
        <v>0</v>
      </c>
      <c r="FA170" s="139">
        <f t="shared" si="185"/>
        <v>0</v>
      </c>
      <c r="FB170" s="139">
        <f t="shared" si="186"/>
        <v>0</v>
      </c>
      <c r="FC170" s="139">
        <f t="shared" si="187"/>
        <v>0</v>
      </c>
      <c r="FD170" s="139">
        <f t="shared" si="188"/>
        <v>0</v>
      </c>
      <c r="FE170" s="139">
        <f t="shared" si="189"/>
        <v>0</v>
      </c>
      <c r="FF170" s="139">
        <f t="shared" si="190"/>
        <v>0</v>
      </c>
      <c r="FG170" s="139">
        <f t="shared" si="191"/>
        <v>0</v>
      </c>
      <c r="FH170" s="139">
        <f t="shared" si="192"/>
        <v>0</v>
      </c>
      <c r="FI170" s="139">
        <f t="shared" si="193"/>
        <v>0</v>
      </c>
      <c r="FJ170" s="139">
        <f t="shared" si="194"/>
        <v>0</v>
      </c>
      <c r="FK170" s="139">
        <f t="shared" si="195"/>
        <v>0</v>
      </c>
      <c r="FL170" s="139">
        <f t="shared" si="196"/>
        <v>0</v>
      </c>
      <c r="FM170" s="139">
        <f t="shared" si="197"/>
        <v>0</v>
      </c>
      <c r="FN170" s="139">
        <f t="shared" si="198"/>
        <v>0</v>
      </c>
      <c r="FO170" s="139">
        <f t="shared" si="199"/>
        <v>0</v>
      </c>
      <c r="FP170" s="139">
        <f t="shared" si="200"/>
        <v>0</v>
      </c>
      <c r="FQ170" s="139">
        <f t="shared" si="201"/>
        <v>0</v>
      </c>
      <c r="FR170" s="139">
        <f t="shared" si="202"/>
        <v>0</v>
      </c>
      <c r="FS170" s="139">
        <f t="shared" si="203"/>
        <v>0</v>
      </c>
      <c r="FT170" s="139">
        <f t="shared" si="204"/>
        <v>0</v>
      </c>
      <c r="FU170" s="148">
        <f t="shared" si="205"/>
        <v>23.478653793628123</v>
      </c>
      <c r="FV170" s="149"/>
      <c r="FY170" s="213">
        <v>165</v>
      </c>
      <c r="FZ170">
        <v>47.314434998757271</v>
      </c>
      <c r="GA170">
        <v>64.794617262672503</v>
      </c>
      <c r="GB170">
        <v>16.71659944852405</v>
      </c>
      <c r="GC170">
        <v>6.4595894128607174</v>
      </c>
      <c r="GD170">
        <v>5.3555963177132462</v>
      </c>
      <c r="GE170">
        <v>3.511767224197492</v>
      </c>
      <c r="GF170">
        <v>15.036089314723229</v>
      </c>
      <c r="GG170">
        <v>16.844585367326829</v>
      </c>
      <c r="GH170">
        <v>11.783350834273577</v>
      </c>
      <c r="GI170">
        <v>19.542592453928911</v>
      </c>
      <c r="GJ170"/>
      <c r="GK170"/>
      <c r="GL170"/>
      <c r="GM170"/>
      <c r="GN170" s="208"/>
      <c r="GO170" s="208"/>
      <c r="GP170" s="208"/>
      <c r="GQ170" s="208"/>
      <c r="GR170" s="208"/>
      <c r="GS170" s="208"/>
      <c r="GT170" s="208"/>
      <c r="GU170" s="213">
        <v>165</v>
      </c>
    </row>
    <row r="171" spans="1:203" s="7" customFormat="1">
      <c r="A171" s="1"/>
      <c r="B171" s="76">
        <f ca="1">IF(C171="", "", RAND())</f>
        <v>0.10938262552369071</v>
      </c>
      <c r="C171">
        <v>9</v>
      </c>
      <c r="D171">
        <v>39949</v>
      </c>
      <c r="E171">
        <v>0</v>
      </c>
      <c r="F171">
        <v>0</v>
      </c>
      <c r="G171">
        <v>20.833333333333332</v>
      </c>
      <c r="H171">
        <v>31.25</v>
      </c>
      <c r="I171">
        <v>10.416666666666666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 s="2"/>
      <c r="AK171" s="80"/>
      <c r="AL171" s="74">
        <v>3.0028000000000028</v>
      </c>
      <c r="AM171" s="43">
        <v>155</v>
      </c>
      <c r="AN171">
        <v>331.60604529821575</v>
      </c>
      <c r="AO171">
        <v>23.973261872972472</v>
      </c>
      <c r="AP171">
        <v>124.96231908172317</v>
      </c>
      <c r="AQ171">
        <v>176.29853373359094</v>
      </c>
      <c r="AR171">
        <v>25.181948748379227</v>
      </c>
      <c r="AS171">
        <v>246.26126246116934</v>
      </c>
      <c r="AT171">
        <v>12.706935681777518</v>
      </c>
      <c r="AU171">
        <v>51.188520818591201</v>
      </c>
      <c r="AV171"/>
      <c r="AW171"/>
      <c r="AX171" s="146"/>
      <c r="AY171" s="76">
        <f t="shared" ca="1" si="171"/>
        <v>0.56164848174923643</v>
      </c>
      <c r="AZ171">
        <v>4</v>
      </c>
      <c r="BA171" s="129">
        <f t="shared" si="245"/>
        <v>39949</v>
      </c>
      <c r="BB171" s="207">
        <v>0</v>
      </c>
      <c r="BC171" s="207">
        <v>0</v>
      </c>
      <c r="BD171" s="207">
        <v>0</v>
      </c>
      <c r="BE171" s="207">
        <v>0</v>
      </c>
      <c r="BF171" s="207">
        <v>0</v>
      </c>
      <c r="BG171" s="207">
        <v>0</v>
      </c>
      <c r="BH171" s="207">
        <v>0</v>
      </c>
      <c r="BI171" s="207">
        <v>0</v>
      </c>
      <c r="BJ171" s="207">
        <v>0</v>
      </c>
      <c r="BK171" s="207">
        <v>0</v>
      </c>
      <c r="BL171" s="207">
        <v>0</v>
      </c>
      <c r="BM171" s="207">
        <v>0</v>
      </c>
      <c r="BN171" s="207">
        <v>0</v>
      </c>
      <c r="BO171" s="207">
        <v>0</v>
      </c>
      <c r="BP171" s="207">
        <v>0</v>
      </c>
      <c r="BQ171" s="207">
        <v>0</v>
      </c>
      <c r="BR171" s="207">
        <v>0</v>
      </c>
      <c r="BS171" s="207">
        <v>0</v>
      </c>
      <c r="BT171" s="207">
        <v>0</v>
      </c>
      <c r="BU171" s="207">
        <v>0</v>
      </c>
      <c r="BV171" s="207">
        <v>0</v>
      </c>
      <c r="BW171" s="207">
        <v>0</v>
      </c>
      <c r="BX171" s="207">
        <v>0</v>
      </c>
      <c r="BY171" s="207">
        <v>0</v>
      </c>
      <c r="BZ171" s="207">
        <v>0</v>
      </c>
      <c r="CA171" s="207">
        <v>0</v>
      </c>
      <c r="CB171" s="207">
        <v>0</v>
      </c>
      <c r="CC171" s="207">
        <v>0</v>
      </c>
      <c r="CD171" s="207">
        <v>0</v>
      </c>
      <c r="CE171" s="207">
        <v>0</v>
      </c>
      <c r="CF171" s="207">
        <v>0</v>
      </c>
      <c r="CG171" s="147"/>
      <c r="CH171" s="176"/>
      <c r="CJ171" s="146"/>
      <c r="CK171" s="76">
        <f t="shared" ca="1" si="206"/>
        <v>7.387863119109106E-3</v>
      </c>
      <c r="CL171" s="179">
        <f t="shared" si="207"/>
        <v>4</v>
      </c>
      <c r="CM171" s="180">
        <f t="shared" si="208"/>
        <v>39949</v>
      </c>
      <c r="CN171" s="208">
        <v>0</v>
      </c>
      <c r="CO171" s="208">
        <v>1</v>
      </c>
      <c r="CP171" s="208">
        <v>1</v>
      </c>
      <c r="CQ171" s="208">
        <v>0</v>
      </c>
      <c r="CR171" s="208">
        <v>0</v>
      </c>
      <c r="CS171" s="208">
        <v>0</v>
      </c>
      <c r="CT171" s="208">
        <v>0</v>
      </c>
      <c r="CU171" s="208">
        <v>0</v>
      </c>
      <c r="CV171" s="160"/>
      <c r="CW171">
        <v>1</v>
      </c>
      <c r="CX171">
        <f>320/73</f>
        <v>4.3835616438356162</v>
      </c>
      <c r="CY171" s="160"/>
      <c r="CZ171" s="177">
        <f t="shared" si="209"/>
        <v>9.6000000000000002E-2</v>
      </c>
      <c r="DB171" s="146"/>
      <c r="DC171" s="76">
        <f t="shared" ca="1" si="172"/>
        <v>0.48513553265092102</v>
      </c>
      <c r="DD171">
        <f t="shared" si="210"/>
        <v>4</v>
      </c>
      <c r="DE171" s="129">
        <f t="shared" si="244"/>
        <v>39949</v>
      </c>
      <c r="DF171" s="161">
        <f t="shared" si="211"/>
        <v>0</v>
      </c>
      <c r="DG171" s="161">
        <f t="shared" si="212"/>
        <v>45.662100456620998</v>
      </c>
      <c r="DH171" s="161">
        <f t="shared" si="213"/>
        <v>45.662100456620998</v>
      </c>
      <c r="DI171" s="161">
        <f t="shared" si="214"/>
        <v>0</v>
      </c>
      <c r="DJ171" s="161">
        <f t="shared" si="215"/>
        <v>0</v>
      </c>
      <c r="DK171" s="161">
        <f t="shared" si="216"/>
        <v>0</v>
      </c>
      <c r="DL171" s="161">
        <f t="shared" si="217"/>
        <v>0</v>
      </c>
      <c r="DM171" s="161">
        <f t="shared" si="218"/>
        <v>0</v>
      </c>
      <c r="DN171" s="161">
        <f t="shared" si="219"/>
        <v>0</v>
      </c>
      <c r="DO171" s="161">
        <f t="shared" si="220"/>
        <v>0</v>
      </c>
      <c r="DP171" s="161">
        <f t="shared" si="221"/>
        <v>0</v>
      </c>
      <c r="DQ171" s="161">
        <f t="shared" si="222"/>
        <v>0</v>
      </c>
      <c r="DR171" s="161">
        <f t="shared" si="223"/>
        <v>0</v>
      </c>
      <c r="DS171" s="161">
        <f t="shared" si="224"/>
        <v>0</v>
      </c>
      <c r="DT171" s="161">
        <f t="shared" si="225"/>
        <v>0</v>
      </c>
      <c r="DU171" s="161">
        <f t="shared" si="226"/>
        <v>0</v>
      </c>
      <c r="DV171" s="161">
        <f t="shared" si="227"/>
        <v>0</v>
      </c>
      <c r="DW171" s="161">
        <f t="shared" si="228"/>
        <v>0</v>
      </c>
      <c r="DX171" s="161">
        <f t="shared" si="229"/>
        <v>0</v>
      </c>
      <c r="DY171" s="161">
        <f t="shared" si="230"/>
        <v>0</v>
      </c>
      <c r="DZ171" s="161">
        <f t="shared" si="231"/>
        <v>0</v>
      </c>
      <c r="EA171" s="161">
        <f t="shared" si="232"/>
        <v>0</v>
      </c>
      <c r="EB171" s="161">
        <f t="shared" si="233"/>
        <v>0</v>
      </c>
      <c r="EC171" s="161">
        <f t="shared" si="234"/>
        <v>0</v>
      </c>
      <c r="ED171" s="161">
        <f t="shared" si="235"/>
        <v>0</v>
      </c>
      <c r="EE171" s="161">
        <f t="shared" si="236"/>
        <v>0</v>
      </c>
      <c r="EF171" s="161">
        <f t="shared" si="237"/>
        <v>0</v>
      </c>
      <c r="EG171" s="161">
        <f t="shared" si="238"/>
        <v>0</v>
      </c>
      <c r="EH171" s="161">
        <f t="shared" si="239"/>
        <v>0</v>
      </c>
      <c r="EI171" s="161">
        <f t="shared" si="240"/>
        <v>0</v>
      </c>
      <c r="EJ171" s="161">
        <f t="shared" si="241"/>
        <v>0</v>
      </c>
      <c r="EK171" s="147">
        <f t="shared" si="173"/>
        <v>91.324200913241995</v>
      </c>
      <c r="EL171" s="149"/>
      <c r="EN171" s="146"/>
      <c r="EO171" s="146"/>
      <c r="EP171" s="139">
        <f t="shared" si="174"/>
        <v>0</v>
      </c>
      <c r="EQ171" s="139">
        <f t="shared" si="175"/>
        <v>0.52654337899543369</v>
      </c>
      <c r="ER171" s="139">
        <f t="shared" si="176"/>
        <v>3.3441146201834377</v>
      </c>
      <c r="ES171" s="139">
        <f t="shared" si="177"/>
        <v>0</v>
      </c>
      <c r="ET171" s="139">
        <f t="shared" si="178"/>
        <v>0</v>
      </c>
      <c r="EU171" s="139">
        <f t="shared" si="179"/>
        <v>0</v>
      </c>
      <c r="EV171" s="139">
        <f t="shared" si="180"/>
        <v>0</v>
      </c>
      <c r="EW171" s="139">
        <f t="shared" si="181"/>
        <v>0</v>
      </c>
      <c r="EX171" s="139">
        <f t="shared" si="182"/>
        <v>0</v>
      </c>
      <c r="EY171" s="139">
        <f t="shared" si="183"/>
        <v>0</v>
      </c>
      <c r="EZ171" s="139">
        <f t="shared" si="184"/>
        <v>0</v>
      </c>
      <c r="FA171" s="139">
        <f t="shared" si="185"/>
        <v>0</v>
      </c>
      <c r="FB171" s="139">
        <f t="shared" si="186"/>
        <v>0</v>
      </c>
      <c r="FC171" s="139">
        <f t="shared" si="187"/>
        <v>0</v>
      </c>
      <c r="FD171" s="139">
        <f t="shared" si="188"/>
        <v>0</v>
      </c>
      <c r="FE171" s="139">
        <f t="shared" si="189"/>
        <v>0</v>
      </c>
      <c r="FF171" s="139">
        <f t="shared" si="190"/>
        <v>0</v>
      </c>
      <c r="FG171" s="139">
        <f t="shared" si="191"/>
        <v>0</v>
      </c>
      <c r="FH171" s="139">
        <f t="shared" si="192"/>
        <v>0</v>
      </c>
      <c r="FI171" s="139">
        <f t="shared" si="193"/>
        <v>0</v>
      </c>
      <c r="FJ171" s="139">
        <f t="shared" si="194"/>
        <v>0</v>
      </c>
      <c r="FK171" s="139">
        <f t="shared" si="195"/>
        <v>0</v>
      </c>
      <c r="FL171" s="139">
        <f t="shared" si="196"/>
        <v>0</v>
      </c>
      <c r="FM171" s="139">
        <f t="shared" si="197"/>
        <v>0</v>
      </c>
      <c r="FN171" s="139">
        <f t="shared" si="198"/>
        <v>0</v>
      </c>
      <c r="FO171" s="139">
        <f t="shared" si="199"/>
        <v>0</v>
      </c>
      <c r="FP171" s="139">
        <f t="shared" si="200"/>
        <v>0</v>
      </c>
      <c r="FQ171" s="139">
        <f t="shared" si="201"/>
        <v>0</v>
      </c>
      <c r="FR171" s="139">
        <f t="shared" si="202"/>
        <v>0</v>
      </c>
      <c r="FS171" s="139">
        <f t="shared" si="203"/>
        <v>0</v>
      </c>
      <c r="FT171" s="139">
        <f t="shared" si="204"/>
        <v>0</v>
      </c>
      <c r="FU171" s="148">
        <f t="shared" si="205"/>
        <v>3.8706579991788717</v>
      </c>
      <c r="FV171" s="149"/>
      <c r="FY171" s="213">
        <v>166</v>
      </c>
      <c r="FZ171">
        <v>47.649199336876741</v>
      </c>
      <c r="GA171">
        <v>37.417436920724278</v>
      </c>
      <c r="GB171">
        <v>11.163561080018297</v>
      </c>
      <c r="GC171">
        <v>4.4098167711793197</v>
      </c>
      <c r="GD171">
        <v>4.3496517348413528</v>
      </c>
      <c r="GE171">
        <v>6.18863329753668</v>
      </c>
      <c r="GF171">
        <v>11.41331888431572</v>
      </c>
      <c r="GG171">
        <v>11.291340196488699</v>
      </c>
      <c r="GH171">
        <v>17.052250633874404</v>
      </c>
      <c r="GI171">
        <v>17.497373471914134</v>
      </c>
      <c r="GJ171"/>
      <c r="GK171"/>
      <c r="GL171"/>
      <c r="GM171"/>
      <c r="GN171" s="208"/>
      <c r="GO171" s="208"/>
      <c r="GP171" s="208"/>
      <c r="GQ171" s="208"/>
      <c r="GR171" s="208"/>
      <c r="GS171" s="208"/>
      <c r="GT171" s="208"/>
      <c r="GU171" s="213">
        <v>166</v>
      </c>
    </row>
    <row r="172" spans="1:203" s="7" customFormat="1">
      <c r="A172" s="1"/>
      <c r="B172" s="76">
        <f ca="1">IF(C172="", "", RAND())</f>
        <v>0.71881122510526341</v>
      </c>
      <c r="C172">
        <v>3</v>
      </c>
      <c r="D172">
        <v>39949</v>
      </c>
      <c r="E172">
        <v>0</v>
      </c>
      <c r="F172">
        <v>486.11111111111109</v>
      </c>
      <c r="G172">
        <v>81.018518518518519</v>
      </c>
      <c r="H172">
        <v>10.416666666666666</v>
      </c>
      <c r="I172">
        <v>20.833333333333332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 s="2"/>
      <c r="AK172" s="80"/>
      <c r="AL172" s="74"/>
      <c r="AM172" s="43">
        <v>156</v>
      </c>
      <c r="AN172">
        <v>275.3693548013166</v>
      </c>
      <c r="AO172">
        <v>27.849208212529287</v>
      </c>
      <c r="AP172">
        <v>95.556651013859479</v>
      </c>
      <c r="AQ172">
        <v>198.5337588411451</v>
      </c>
      <c r="AR172">
        <v>27.107042715302118</v>
      </c>
      <c r="AS172">
        <v>247.0609405571283</v>
      </c>
      <c r="AT172">
        <v>10.912341322650859</v>
      </c>
      <c r="AU172">
        <v>-27.08957212166063</v>
      </c>
      <c r="AV172"/>
      <c r="AW172"/>
      <c r="AX172" s="146"/>
      <c r="AY172" s="76">
        <f t="shared" ca="1" si="171"/>
        <v>4.8797540096117586E-2</v>
      </c>
      <c r="AZ172">
        <v>5</v>
      </c>
      <c r="BA172" s="129">
        <f t="shared" si="245"/>
        <v>39949</v>
      </c>
      <c r="BB172" s="207">
        <v>0</v>
      </c>
      <c r="BC172" s="207">
        <v>0</v>
      </c>
      <c r="BD172" s="207">
        <v>0</v>
      </c>
      <c r="BE172" s="207">
        <v>2</v>
      </c>
      <c r="BF172" s="207">
        <v>0</v>
      </c>
      <c r="BG172" s="207">
        <v>0</v>
      </c>
      <c r="BH172" s="207">
        <v>0</v>
      </c>
      <c r="BI172" s="207">
        <v>0</v>
      </c>
      <c r="BJ172" s="207">
        <v>0</v>
      </c>
      <c r="BK172" s="207">
        <v>0</v>
      </c>
      <c r="BL172" s="207">
        <v>0</v>
      </c>
      <c r="BM172" s="207">
        <v>0</v>
      </c>
      <c r="BN172" s="207">
        <v>0</v>
      </c>
      <c r="BO172" s="207">
        <v>0</v>
      </c>
      <c r="BP172" s="207">
        <v>0</v>
      </c>
      <c r="BQ172" s="207">
        <v>0</v>
      </c>
      <c r="BR172" s="207">
        <v>0</v>
      </c>
      <c r="BS172" s="207">
        <v>0</v>
      </c>
      <c r="BT172" s="207">
        <v>0</v>
      </c>
      <c r="BU172" s="207">
        <v>0</v>
      </c>
      <c r="BV172" s="207">
        <v>0</v>
      </c>
      <c r="BW172" s="207">
        <v>0</v>
      </c>
      <c r="BX172" s="207">
        <v>0</v>
      </c>
      <c r="BY172" s="207">
        <v>0</v>
      </c>
      <c r="BZ172" s="207">
        <v>0</v>
      </c>
      <c r="CA172" s="207">
        <v>0</v>
      </c>
      <c r="CB172" s="207">
        <v>0</v>
      </c>
      <c r="CC172" s="207">
        <v>0</v>
      </c>
      <c r="CD172" s="207">
        <v>0</v>
      </c>
      <c r="CE172" s="207">
        <v>0</v>
      </c>
      <c r="CF172" s="207">
        <v>0</v>
      </c>
      <c r="CG172" s="147"/>
      <c r="CH172" s="176"/>
      <c r="CJ172" s="146"/>
      <c r="CK172" s="76">
        <f t="shared" ca="1" si="206"/>
        <v>6.6197255691321732E-2</v>
      </c>
      <c r="CL172" s="179">
        <f t="shared" si="207"/>
        <v>5</v>
      </c>
      <c r="CM172" s="180">
        <f t="shared" si="208"/>
        <v>39949</v>
      </c>
      <c r="CN172" s="208">
        <v>0</v>
      </c>
      <c r="CO172" s="208">
        <v>0</v>
      </c>
      <c r="CP172" s="208">
        <v>0</v>
      </c>
      <c r="CQ172" s="208">
        <v>0</v>
      </c>
      <c r="CR172" s="208">
        <v>0</v>
      </c>
      <c r="CS172" s="208">
        <v>0</v>
      </c>
      <c r="CT172" s="208">
        <v>0</v>
      </c>
      <c r="CU172" s="208">
        <v>0</v>
      </c>
      <c r="CV172" s="160"/>
      <c r="CW172">
        <v>1</v>
      </c>
      <c r="CX172">
        <v>1</v>
      </c>
      <c r="CY172" s="160"/>
      <c r="CZ172" s="177">
        <f t="shared" si="209"/>
        <v>9.6000000000000002E-2</v>
      </c>
      <c r="DB172" s="146"/>
      <c r="DC172" s="76">
        <f t="shared" ca="1" si="172"/>
        <v>4.3897651065607057E-2</v>
      </c>
      <c r="DD172">
        <f t="shared" si="210"/>
        <v>5</v>
      </c>
      <c r="DE172" s="129">
        <f t="shared" si="244"/>
        <v>39949</v>
      </c>
      <c r="DF172" s="161">
        <f t="shared" si="211"/>
        <v>0</v>
      </c>
      <c r="DG172" s="161">
        <f t="shared" si="212"/>
        <v>0</v>
      </c>
      <c r="DH172" s="161">
        <f t="shared" si="213"/>
        <v>0</v>
      </c>
      <c r="DI172" s="161">
        <f t="shared" si="214"/>
        <v>20.833333333333332</v>
      </c>
      <c r="DJ172" s="161">
        <f t="shared" si="215"/>
        <v>0</v>
      </c>
      <c r="DK172" s="161">
        <f t="shared" si="216"/>
        <v>0</v>
      </c>
      <c r="DL172" s="161">
        <f t="shared" si="217"/>
        <v>0</v>
      </c>
      <c r="DM172" s="161">
        <f t="shared" si="218"/>
        <v>0</v>
      </c>
      <c r="DN172" s="161">
        <f t="shared" si="219"/>
        <v>0</v>
      </c>
      <c r="DO172" s="161">
        <f t="shared" si="220"/>
        <v>0</v>
      </c>
      <c r="DP172" s="161">
        <f t="shared" si="221"/>
        <v>0</v>
      </c>
      <c r="DQ172" s="161">
        <f t="shared" si="222"/>
        <v>0</v>
      </c>
      <c r="DR172" s="161">
        <f t="shared" si="223"/>
        <v>0</v>
      </c>
      <c r="DS172" s="161">
        <f t="shared" si="224"/>
        <v>0</v>
      </c>
      <c r="DT172" s="161">
        <f t="shared" si="225"/>
        <v>0</v>
      </c>
      <c r="DU172" s="161">
        <f t="shared" si="226"/>
        <v>0</v>
      </c>
      <c r="DV172" s="161">
        <f t="shared" si="227"/>
        <v>0</v>
      </c>
      <c r="DW172" s="161">
        <f t="shared" si="228"/>
        <v>0</v>
      </c>
      <c r="DX172" s="161">
        <f t="shared" si="229"/>
        <v>0</v>
      </c>
      <c r="DY172" s="161">
        <f t="shared" si="230"/>
        <v>0</v>
      </c>
      <c r="DZ172" s="161">
        <f t="shared" si="231"/>
        <v>0</v>
      </c>
      <c r="EA172" s="161">
        <f t="shared" si="232"/>
        <v>0</v>
      </c>
      <c r="EB172" s="161">
        <f t="shared" si="233"/>
        <v>0</v>
      </c>
      <c r="EC172" s="161">
        <f t="shared" si="234"/>
        <v>0</v>
      </c>
      <c r="ED172" s="161">
        <f t="shared" si="235"/>
        <v>0</v>
      </c>
      <c r="EE172" s="161">
        <f t="shared" si="236"/>
        <v>0</v>
      </c>
      <c r="EF172" s="161">
        <f t="shared" si="237"/>
        <v>0</v>
      </c>
      <c r="EG172" s="161">
        <f t="shared" si="238"/>
        <v>0</v>
      </c>
      <c r="EH172" s="161">
        <f t="shared" si="239"/>
        <v>0</v>
      </c>
      <c r="EI172" s="161">
        <f t="shared" si="240"/>
        <v>0</v>
      </c>
      <c r="EJ172" s="161">
        <f t="shared" si="241"/>
        <v>0</v>
      </c>
      <c r="EK172" s="147">
        <f t="shared" si="173"/>
        <v>20.833333333333332</v>
      </c>
      <c r="EL172" s="149"/>
      <c r="EN172" s="146"/>
      <c r="EO172" s="146"/>
      <c r="EP172" s="139">
        <f t="shared" si="174"/>
        <v>0</v>
      </c>
      <c r="EQ172" s="139">
        <f t="shared" si="175"/>
        <v>0</v>
      </c>
      <c r="ER172" s="139">
        <f t="shared" si="176"/>
        <v>0</v>
      </c>
      <c r="ES172" s="139">
        <f t="shared" si="177"/>
        <v>4.4990354989852364</v>
      </c>
      <c r="ET172" s="139">
        <f t="shared" si="178"/>
        <v>0</v>
      </c>
      <c r="EU172" s="139">
        <f t="shared" si="179"/>
        <v>0</v>
      </c>
      <c r="EV172" s="139">
        <f t="shared" si="180"/>
        <v>0</v>
      </c>
      <c r="EW172" s="139">
        <f t="shared" si="181"/>
        <v>0</v>
      </c>
      <c r="EX172" s="139">
        <f t="shared" si="182"/>
        <v>0</v>
      </c>
      <c r="EY172" s="139">
        <f t="shared" si="183"/>
        <v>0</v>
      </c>
      <c r="EZ172" s="139">
        <f t="shared" si="184"/>
        <v>0</v>
      </c>
      <c r="FA172" s="139">
        <f t="shared" si="185"/>
        <v>0</v>
      </c>
      <c r="FB172" s="139">
        <f t="shared" si="186"/>
        <v>0</v>
      </c>
      <c r="FC172" s="139">
        <f t="shared" si="187"/>
        <v>0</v>
      </c>
      <c r="FD172" s="139">
        <f t="shared" si="188"/>
        <v>0</v>
      </c>
      <c r="FE172" s="139">
        <f t="shared" si="189"/>
        <v>0</v>
      </c>
      <c r="FF172" s="139">
        <f t="shared" si="190"/>
        <v>0</v>
      </c>
      <c r="FG172" s="139">
        <f t="shared" si="191"/>
        <v>0</v>
      </c>
      <c r="FH172" s="139">
        <f t="shared" si="192"/>
        <v>0</v>
      </c>
      <c r="FI172" s="139">
        <f t="shared" si="193"/>
        <v>0</v>
      </c>
      <c r="FJ172" s="139">
        <f t="shared" si="194"/>
        <v>0</v>
      </c>
      <c r="FK172" s="139">
        <f t="shared" si="195"/>
        <v>0</v>
      </c>
      <c r="FL172" s="139">
        <f t="shared" si="196"/>
        <v>0</v>
      </c>
      <c r="FM172" s="139">
        <f t="shared" si="197"/>
        <v>0</v>
      </c>
      <c r="FN172" s="139">
        <f t="shared" si="198"/>
        <v>0</v>
      </c>
      <c r="FO172" s="139">
        <f t="shared" si="199"/>
        <v>0</v>
      </c>
      <c r="FP172" s="139">
        <f t="shared" si="200"/>
        <v>0</v>
      </c>
      <c r="FQ172" s="139">
        <f t="shared" si="201"/>
        <v>0</v>
      </c>
      <c r="FR172" s="139">
        <f t="shared" si="202"/>
        <v>0</v>
      </c>
      <c r="FS172" s="139">
        <f t="shared" si="203"/>
        <v>0</v>
      </c>
      <c r="FT172" s="139">
        <f t="shared" si="204"/>
        <v>0</v>
      </c>
      <c r="FU172" s="148">
        <f t="shared" si="205"/>
        <v>4.4990354989852364</v>
      </c>
      <c r="FV172" s="149"/>
      <c r="FY172" s="213">
        <v>167</v>
      </c>
      <c r="FZ172">
        <v>57.798792862499774</v>
      </c>
      <c r="GA172">
        <v>64.710564657317747</v>
      </c>
      <c r="GB172">
        <v>8.9582825065915781</v>
      </c>
      <c r="GC172">
        <v>7.6592599683210434</v>
      </c>
      <c r="GD172">
        <v>6.5303711850307273</v>
      </c>
      <c r="GE172">
        <v>4.6756633473144813</v>
      </c>
      <c r="GF172">
        <v>12.5126580726388</v>
      </c>
      <c r="GG172">
        <v>14.494088781110062</v>
      </c>
      <c r="GH172">
        <v>16.700337515962925</v>
      </c>
      <c r="GI172">
        <v>19.636876136899705</v>
      </c>
      <c r="GJ172"/>
      <c r="GK172"/>
      <c r="GL172"/>
      <c r="GM172"/>
      <c r="GN172" s="208"/>
      <c r="GO172" s="208"/>
      <c r="GP172" s="208"/>
      <c r="GQ172" s="208"/>
      <c r="GR172" s="208"/>
      <c r="GS172" s="208"/>
      <c r="GT172" s="208"/>
      <c r="GU172" s="213">
        <v>167</v>
      </c>
    </row>
    <row r="173" spans="1:203" s="7" customFormat="1">
      <c r="A173" s="1"/>
      <c r="B173" s="76">
        <f ca="1">IF(C173="", "", RAND())</f>
        <v>5.5803493386000547E-2</v>
      </c>
      <c r="C173">
        <v>5</v>
      </c>
      <c r="D173">
        <v>39949</v>
      </c>
      <c r="E173">
        <v>0</v>
      </c>
      <c r="F173">
        <v>0</v>
      </c>
      <c r="G173">
        <v>0</v>
      </c>
      <c r="H173">
        <v>20.833333333333332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 s="2"/>
      <c r="AK173" s="80"/>
      <c r="AL173" s="74"/>
      <c r="AM173" s="43">
        <v>157</v>
      </c>
      <c r="AN173">
        <v>349.41821653253453</v>
      </c>
      <c r="AO173">
        <v>40.113510797869637</v>
      </c>
      <c r="AP173">
        <v>71.673483601879354</v>
      </c>
      <c r="AQ173">
        <v>288.48982006052233</v>
      </c>
      <c r="AR173">
        <v>38.970649171991809</v>
      </c>
      <c r="AS173">
        <v>330.51164252133157</v>
      </c>
      <c r="AT173">
        <v>15.046259842116685</v>
      </c>
      <c r="AU173">
        <v>-18.41796562925332</v>
      </c>
      <c r="AV173"/>
      <c r="AW173"/>
      <c r="AX173" s="146"/>
      <c r="AY173" s="76">
        <f t="shared" ca="1" si="171"/>
        <v>0.27605992460724416</v>
      </c>
      <c r="AZ173">
        <v>6</v>
      </c>
      <c r="BA173" s="129">
        <f t="shared" si="245"/>
        <v>39949</v>
      </c>
      <c r="BB173" s="207">
        <v>0</v>
      </c>
      <c r="BC173" s="207">
        <v>0</v>
      </c>
      <c r="BD173" s="207">
        <v>0</v>
      </c>
      <c r="BE173" s="207">
        <v>0</v>
      </c>
      <c r="BF173" s="207">
        <v>0</v>
      </c>
      <c r="BG173" s="207">
        <v>0</v>
      </c>
      <c r="BH173" s="207">
        <v>0</v>
      </c>
      <c r="BI173" s="207">
        <v>0</v>
      </c>
      <c r="BJ173" s="207">
        <v>0</v>
      </c>
      <c r="BK173" s="207">
        <v>0</v>
      </c>
      <c r="BL173" s="207">
        <v>0</v>
      </c>
      <c r="BM173" s="207">
        <v>0</v>
      </c>
      <c r="BN173" s="207">
        <v>0</v>
      </c>
      <c r="BO173" s="207">
        <v>0</v>
      </c>
      <c r="BP173" s="207">
        <v>0</v>
      </c>
      <c r="BQ173" s="207">
        <v>0</v>
      </c>
      <c r="BR173" s="207">
        <v>0</v>
      </c>
      <c r="BS173" s="207">
        <v>0</v>
      </c>
      <c r="BT173" s="207">
        <v>0</v>
      </c>
      <c r="BU173" s="207">
        <v>0</v>
      </c>
      <c r="BV173" s="207">
        <v>0</v>
      </c>
      <c r="BW173" s="207">
        <v>0</v>
      </c>
      <c r="BX173" s="207">
        <v>0</v>
      </c>
      <c r="BY173" s="207">
        <v>0</v>
      </c>
      <c r="BZ173" s="207">
        <v>0</v>
      </c>
      <c r="CA173" s="207">
        <v>0</v>
      </c>
      <c r="CB173" s="207">
        <v>0</v>
      </c>
      <c r="CC173" s="207">
        <v>0</v>
      </c>
      <c r="CD173" s="207">
        <v>0</v>
      </c>
      <c r="CE173" s="207">
        <v>0</v>
      </c>
      <c r="CF173" s="207">
        <v>0</v>
      </c>
      <c r="CG173" s="147"/>
      <c r="CH173" s="176"/>
      <c r="CJ173" s="146"/>
      <c r="CK173" s="76">
        <f t="shared" ca="1" si="206"/>
        <v>0.88264018958078694</v>
      </c>
      <c r="CL173" s="179">
        <f t="shared" si="207"/>
        <v>6</v>
      </c>
      <c r="CM173" s="180">
        <f t="shared" si="208"/>
        <v>39949</v>
      </c>
      <c r="CN173" s="208">
        <v>0</v>
      </c>
      <c r="CO173" s="208">
        <v>0</v>
      </c>
      <c r="CP173" s="208">
        <v>0</v>
      </c>
      <c r="CQ173" s="208">
        <v>0</v>
      </c>
      <c r="CR173" s="208">
        <v>0</v>
      </c>
      <c r="CS173" s="208">
        <v>0</v>
      </c>
      <c r="CT173" s="208">
        <v>0</v>
      </c>
      <c r="CU173" s="208">
        <v>0</v>
      </c>
      <c r="CV173" s="160"/>
      <c r="CW173">
        <v>1</v>
      </c>
      <c r="CX173">
        <v>1</v>
      </c>
      <c r="CY173" s="160"/>
      <c r="CZ173" s="177">
        <f t="shared" si="209"/>
        <v>9.6000000000000002E-2</v>
      </c>
      <c r="DB173" s="146"/>
      <c r="DC173" s="76">
        <f t="shared" ca="1" si="172"/>
        <v>0.29108942519674375</v>
      </c>
      <c r="DD173">
        <f t="shared" si="210"/>
        <v>6</v>
      </c>
      <c r="DE173" s="129">
        <f t="shared" si="244"/>
        <v>39949</v>
      </c>
      <c r="DF173" s="161">
        <f t="shared" si="211"/>
        <v>0</v>
      </c>
      <c r="DG173" s="161">
        <f t="shared" si="212"/>
        <v>0</v>
      </c>
      <c r="DH173" s="161">
        <f t="shared" si="213"/>
        <v>0</v>
      </c>
      <c r="DI173" s="161">
        <f t="shared" si="214"/>
        <v>0</v>
      </c>
      <c r="DJ173" s="161">
        <f t="shared" si="215"/>
        <v>0</v>
      </c>
      <c r="DK173" s="161">
        <f t="shared" si="216"/>
        <v>0</v>
      </c>
      <c r="DL173" s="161">
        <f t="shared" si="217"/>
        <v>0</v>
      </c>
      <c r="DM173" s="161">
        <f t="shared" si="218"/>
        <v>0</v>
      </c>
      <c r="DN173" s="161">
        <f t="shared" si="219"/>
        <v>0</v>
      </c>
      <c r="DO173" s="161">
        <f t="shared" si="220"/>
        <v>0</v>
      </c>
      <c r="DP173" s="161">
        <f t="shared" si="221"/>
        <v>0</v>
      </c>
      <c r="DQ173" s="161">
        <f t="shared" si="222"/>
        <v>0</v>
      </c>
      <c r="DR173" s="161">
        <f t="shared" si="223"/>
        <v>0</v>
      </c>
      <c r="DS173" s="161">
        <f t="shared" si="224"/>
        <v>0</v>
      </c>
      <c r="DT173" s="161">
        <f t="shared" si="225"/>
        <v>0</v>
      </c>
      <c r="DU173" s="161">
        <f t="shared" si="226"/>
        <v>0</v>
      </c>
      <c r="DV173" s="161">
        <f t="shared" si="227"/>
        <v>0</v>
      </c>
      <c r="DW173" s="161">
        <f t="shared" si="228"/>
        <v>0</v>
      </c>
      <c r="DX173" s="161">
        <f t="shared" si="229"/>
        <v>0</v>
      </c>
      <c r="DY173" s="161">
        <f t="shared" si="230"/>
        <v>0</v>
      </c>
      <c r="DZ173" s="161">
        <f t="shared" si="231"/>
        <v>0</v>
      </c>
      <c r="EA173" s="161">
        <f t="shared" si="232"/>
        <v>0</v>
      </c>
      <c r="EB173" s="161">
        <f t="shared" si="233"/>
        <v>0</v>
      </c>
      <c r="EC173" s="161">
        <f t="shared" si="234"/>
        <v>0</v>
      </c>
      <c r="ED173" s="161">
        <f t="shared" si="235"/>
        <v>0</v>
      </c>
      <c r="EE173" s="161">
        <f t="shared" si="236"/>
        <v>0</v>
      </c>
      <c r="EF173" s="161">
        <f t="shared" si="237"/>
        <v>0</v>
      </c>
      <c r="EG173" s="161">
        <f t="shared" si="238"/>
        <v>0</v>
      </c>
      <c r="EH173" s="161">
        <f t="shared" si="239"/>
        <v>0</v>
      </c>
      <c r="EI173" s="161">
        <f t="shared" si="240"/>
        <v>0</v>
      </c>
      <c r="EJ173" s="161">
        <f t="shared" si="241"/>
        <v>0</v>
      </c>
      <c r="EK173" s="147">
        <f t="shared" si="173"/>
        <v>0</v>
      </c>
      <c r="EL173" s="149"/>
      <c r="EN173" s="146"/>
      <c r="EO173" s="146"/>
      <c r="EP173" s="139">
        <f t="shared" si="174"/>
        <v>0</v>
      </c>
      <c r="EQ173" s="139">
        <f t="shared" si="175"/>
        <v>0</v>
      </c>
      <c r="ER173" s="139">
        <f t="shared" si="176"/>
        <v>0</v>
      </c>
      <c r="ES173" s="139">
        <f t="shared" si="177"/>
        <v>0</v>
      </c>
      <c r="ET173" s="139">
        <f t="shared" si="178"/>
        <v>0</v>
      </c>
      <c r="EU173" s="139">
        <f t="shared" si="179"/>
        <v>0</v>
      </c>
      <c r="EV173" s="139">
        <f t="shared" si="180"/>
        <v>0</v>
      </c>
      <c r="EW173" s="139">
        <f t="shared" si="181"/>
        <v>0</v>
      </c>
      <c r="EX173" s="139">
        <f t="shared" si="182"/>
        <v>0</v>
      </c>
      <c r="EY173" s="139">
        <f t="shared" si="183"/>
        <v>0</v>
      </c>
      <c r="EZ173" s="139">
        <f t="shared" si="184"/>
        <v>0</v>
      </c>
      <c r="FA173" s="139">
        <f t="shared" si="185"/>
        <v>0</v>
      </c>
      <c r="FB173" s="139">
        <f t="shared" si="186"/>
        <v>0</v>
      </c>
      <c r="FC173" s="139">
        <f t="shared" si="187"/>
        <v>0</v>
      </c>
      <c r="FD173" s="139">
        <f t="shared" si="188"/>
        <v>0</v>
      </c>
      <c r="FE173" s="139">
        <f t="shared" si="189"/>
        <v>0</v>
      </c>
      <c r="FF173" s="139">
        <f t="shared" si="190"/>
        <v>0</v>
      </c>
      <c r="FG173" s="139">
        <f t="shared" si="191"/>
        <v>0</v>
      </c>
      <c r="FH173" s="139">
        <f t="shared" si="192"/>
        <v>0</v>
      </c>
      <c r="FI173" s="139">
        <f t="shared" si="193"/>
        <v>0</v>
      </c>
      <c r="FJ173" s="139">
        <f t="shared" si="194"/>
        <v>0</v>
      </c>
      <c r="FK173" s="139">
        <f t="shared" si="195"/>
        <v>0</v>
      </c>
      <c r="FL173" s="139">
        <f t="shared" si="196"/>
        <v>0</v>
      </c>
      <c r="FM173" s="139">
        <f t="shared" si="197"/>
        <v>0</v>
      </c>
      <c r="FN173" s="139">
        <f t="shared" si="198"/>
        <v>0</v>
      </c>
      <c r="FO173" s="139">
        <f t="shared" si="199"/>
        <v>0</v>
      </c>
      <c r="FP173" s="139">
        <f t="shared" si="200"/>
        <v>0</v>
      </c>
      <c r="FQ173" s="139">
        <f t="shared" si="201"/>
        <v>0</v>
      </c>
      <c r="FR173" s="139">
        <f t="shared" si="202"/>
        <v>0</v>
      </c>
      <c r="FS173" s="139">
        <f t="shared" si="203"/>
        <v>0</v>
      </c>
      <c r="FT173" s="139">
        <f t="shared" si="204"/>
        <v>0</v>
      </c>
      <c r="FU173" s="148">
        <f t="shared" si="205"/>
        <v>0</v>
      </c>
      <c r="FV173" s="149"/>
      <c r="FY173" s="213">
        <v>168</v>
      </c>
      <c r="FZ173">
        <v>62.879666888255343</v>
      </c>
      <c r="GA173">
        <v>59.881281058933851</v>
      </c>
      <c r="GB173">
        <v>13.0571695714379</v>
      </c>
      <c r="GC173">
        <v>4.2535571867643887</v>
      </c>
      <c r="GD173">
        <v>4.3696528095928802</v>
      </c>
      <c r="GE173">
        <v>4.5199578935187557</v>
      </c>
      <c r="GF173">
        <v>19.859001353831808</v>
      </c>
      <c r="GG173">
        <v>21.0257359582153</v>
      </c>
      <c r="GH173">
        <v>9.6136556425766564</v>
      </c>
      <c r="GI173">
        <v>20.573105903380021</v>
      </c>
      <c r="GJ173"/>
      <c r="GK173"/>
      <c r="GL173"/>
      <c r="GM173"/>
      <c r="GN173" s="208"/>
      <c r="GO173" s="208"/>
      <c r="GP173" s="208"/>
      <c r="GQ173" s="208"/>
      <c r="GR173" s="208"/>
      <c r="GS173" s="208"/>
      <c r="GT173" s="208"/>
      <c r="GU173" s="213">
        <v>168</v>
      </c>
    </row>
    <row r="174" spans="1:203" s="7" customFormat="1">
      <c r="A174" s="1"/>
      <c r="B174" s="76">
        <f ca="1">IF(C174="", "", RAND())</f>
        <v>0.56012742079964362</v>
      </c>
      <c r="C174">
        <v>7</v>
      </c>
      <c r="D174">
        <v>39949</v>
      </c>
      <c r="E174">
        <v>0</v>
      </c>
      <c r="F174">
        <v>0</v>
      </c>
      <c r="G174">
        <v>10.416666666666666</v>
      </c>
      <c r="H174">
        <v>10.416666666666666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 s="2"/>
      <c r="AK174" s="80"/>
      <c r="AL174" s="74"/>
      <c r="AM174" s="43">
        <v>158</v>
      </c>
      <c r="AN174">
        <v>402.98385039753538</v>
      </c>
      <c r="AO174">
        <v>36.516561718084425</v>
      </c>
      <c r="AP174">
        <v>97.467500450202834</v>
      </c>
      <c r="AQ174">
        <v>264.08553594045367</v>
      </c>
      <c r="AR174">
        <v>35.193620500538572</v>
      </c>
      <c r="AS174">
        <v>336.90977043576049</v>
      </c>
      <c r="AT174">
        <v>15.677628503538665</v>
      </c>
      <c r="AU174">
        <v>9.0536229915886821</v>
      </c>
      <c r="AV174"/>
      <c r="AW174"/>
      <c r="AX174" s="146"/>
      <c r="AY174" s="76">
        <f t="shared" ca="1" si="171"/>
        <v>0.27396806679878871</v>
      </c>
      <c r="AZ174">
        <v>7</v>
      </c>
      <c r="BA174" s="129">
        <f t="shared" si="245"/>
        <v>39949</v>
      </c>
      <c r="BB174" s="207">
        <v>0</v>
      </c>
      <c r="BC174" s="207">
        <v>0</v>
      </c>
      <c r="BD174" s="207">
        <v>1</v>
      </c>
      <c r="BE174" s="207">
        <v>1</v>
      </c>
      <c r="BF174" s="207">
        <v>0</v>
      </c>
      <c r="BG174" s="207">
        <v>0</v>
      </c>
      <c r="BH174" s="207">
        <v>0</v>
      </c>
      <c r="BI174" s="207">
        <v>0</v>
      </c>
      <c r="BJ174" s="207">
        <v>0</v>
      </c>
      <c r="BK174" s="207">
        <v>0</v>
      </c>
      <c r="BL174" s="207">
        <v>0</v>
      </c>
      <c r="BM174" s="207">
        <v>0</v>
      </c>
      <c r="BN174" s="207">
        <v>0</v>
      </c>
      <c r="BO174" s="207">
        <v>0</v>
      </c>
      <c r="BP174" s="207">
        <v>0</v>
      </c>
      <c r="BQ174" s="207">
        <v>0</v>
      </c>
      <c r="BR174" s="207">
        <v>0</v>
      </c>
      <c r="BS174" s="207">
        <v>0</v>
      </c>
      <c r="BT174" s="207">
        <v>0</v>
      </c>
      <c r="BU174" s="207">
        <v>0</v>
      </c>
      <c r="BV174" s="207">
        <v>0</v>
      </c>
      <c r="BW174" s="207">
        <v>0</v>
      </c>
      <c r="BX174" s="207">
        <v>0</v>
      </c>
      <c r="BY174" s="207">
        <v>0</v>
      </c>
      <c r="BZ174" s="207">
        <v>0</v>
      </c>
      <c r="CA174" s="207">
        <v>0</v>
      </c>
      <c r="CB174" s="207">
        <v>0</v>
      </c>
      <c r="CC174" s="207">
        <v>0</v>
      </c>
      <c r="CD174" s="207">
        <v>0</v>
      </c>
      <c r="CE174" s="207">
        <v>0</v>
      </c>
      <c r="CF174" s="207">
        <v>0</v>
      </c>
      <c r="CG174" s="147"/>
      <c r="CH174" s="176"/>
      <c r="CJ174" s="146"/>
      <c r="CK174" s="76">
        <f t="shared" ca="1" si="206"/>
        <v>0.13196280622163314</v>
      </c>
      <c r="CL174" s="179">
        <f t="shared" si="207"/>
        <v>7</v>
      </c>
      <c r="CM174" s="180">
        <f t="shared" si="208"/>
        <v>39949</v>
      </c>
      <c r="CN174" s="208">
        <v>0</v>
      </c>
      <c r="CO174" s="208">
        <v>0</v>
      </c>
      <c r="CP174" s="208">
        <v>0</v>
      </c>
      <c r="CQ174" s="208">
        <v>0</v>
      </c>
      <c r="CR174" s="208">
        <v>0</v>
      </c>
      <c r="CS174" s="208">
        <v>0</v>
      </c>
      <c r="CT174" s="208">
        <v>0</v>
      </c>
      <c r="CU174" s="208">
        <v>0</v>
      </c>
      <c r="CV174" s="160"/>
      <c r="CW174">
        <v>1</v>
      </c>
      <c r="CX174">
        <v>1</v>
      </c>
      <c r="CY174" s="165"/>
      <c r="CZ174" s="177">
        <f t="shared" si="209"/>
        <v>9.6000000000000002E-2</v>
      </c>
      <c r="DB174" s="146"/>
      <c r="DC174" s="76">
        <f t="shared" ca="1" si="172"/>
        <v>0.53008555396554158</v>
      </c>
      <c r="DD174">
        <f t="shared" si="210"/>
        <v>7</v>
      </c>
      <c r="DE174" s="129">
        <f t="shared" si="244"/>
        <v>39949</v>
      </c>
      <c r="DF174" s="161">
        <f t="shared" si="211"/>
        <v>0</v>
      </c>
      <c r="DG174" s="161">
        <f t="shared" si="212"/>
        <v>0</v>
      </c>
      <c r="DH174" s="161">
        <f t="shared" si="213"/>
        <v>10.416666666666666</v>
      </c>
      <c r="DI174" s="161">
        <f t="shared" si="214"/>
        <v>10.416666666666666</v>
      </c>
      <c r="DJ174" s="161">
        <f t="shared" si="215"/>
        <v>0</v>
      </c>
      <c r="DK174" s="161">
        <f t="shared" si="216"/>
        <v>0</v>
      </c>
      <c r="DL174" s="161">
        <f t="shared" si="217"/>
        <v>0</v>
      </c>
      <c r="DM174" s="161">
        <f t="shared" si="218"/>
        <v>0</v>
      </c>
      <c r="DN174" s="161">
        <f t="shared" si="219"/>
        <v>0</v>
      </c>
      <c r="DO174" s="161">
        <f t="shared" si="220"/>
        <v>0</v>
      </c>
      <c r="DP174" s="161">
        <f t="shared" si="221"/>
        <v>0</v>
      </c>
      <c r="DQ174" s="161">
        <f t="shared" si="222"/>
        <v>0</v>
      </c>
      <c r="DR174" s="161">
        <f t="shared" si="223"/>
        <v>0</v>
      </c>
      <c r="DS174" s="161">
        <f t="shared" si="224"/>
        <v>0</v>
      </c>
      <c r="DT174" s="161">
        <f t="shared" si="225"/>
        <v>0</v>
      </c>
      <c r="DU174" s="161">
        <f t="shared" si="226"/>
        <v>0</v>
      </c>
      <c r="DV174" s="161">
        <f t="shared" si="227"/>
        <v>0</v>
      </c>
      <c r="DW174" s="161">
        <f t="shared" si="228"/>
        <v>0</v>
      </c>
      <c r="DX174" s="161">
        <f t="shared" si="229"/>
        <v>0</v>
      </c>
      <c r="DY174" s="161">
        <f t="shared" si="230"/>
        <v>0</v>
      </c>
      <c r="DZ174" s="161">
        <f t="shared" si="231"/>
        <v>0</v>
      </c>
      <c r="EA174" s="161">
        <f t="shared" si="232"/>
        <v>0</v>
      </c>
      <c r="EB174" s="161">
        <f t="shared" si="233"/>
        <v>0</v>
      </c>
      <c r="EC174" s="161">
        <f t="shared" si="234"/>
        <v>0</v>
      </c>
      <c r="ED174" s="161">
        <f t="shared" si="235"/>
        <v>0</v>
      </c>
      <c r="EE174" s="161">
        <f t="shared" si="236"/>
        <v>0</v>
      </c>
      <c r="EF174" s="161">
        <f t="shared" si="237"/>
        <v>0</v>
      </c>
      <c r="EG174" s="161">
        <f t="shared" si="238"/>
        <v>0</v>
      </c>
      <c r="EH174" s="161">
        <f t="shared" si="239"/>
        <v>0</v>
      </c>
      <c r="EI174" s="161">
        <f t="shared" si="240"/>
        <v>0</v>
      </c>
      <c r="EJ174" s="161">
        <f t="shared" si="241"/>
        <v>0</v>
      </c>
      <c r="EK174" s="147">
        <f t="shared" si="173"/>
        <v>20.833333333333332</v>
      </c>
      <c r="EL174" s="149"/>
      <c r="EN174" s="146"/>
      <c r="EO174" s="146"/>
      <c r="EP174" s="139">
        <f t="shared" si="174"/>
        <v>0</v>
      </c>
      <c r="EQ174" s="139">
        <f t="shared" si="175"/>
        <v>0</v>
      </c>
      <c r="ER174" s="139">
        <f t="shared" si="176"/>
        <v>0.76287614772934675</v>
      </c>
      <c r="ES174" s="139">
        <f t="shared" si="177"/>
        <v>2.2495177494926182</v>
      </c>
      <c r="ET174" s="139">
        <f t="shared" si="178"/>
        <v>0</v>
      </c>
      <c r="EU174" s="139">
        <f t="shared" si="179"/>
        <v>0</v>
      </c>
      <c r="EV174" s="139">
        <f t="shared" si="180"/>
        <v>0</v>
      </c>
      <c r="EW174" s="139">
        <f t="shared" si="181"/>
        <v>0</v>
      </c>
      <c r="EX174" s="139">
        <f t="shared" si="182"/>
        <v>0</v>
      </c>
      <c r="EY174" s="139">
        <f t="shared" si="183"/>
        <v>0</v>
      </c>
      <c r="EZ174" s="139">
        <f t="shared" si="184"/>
        <v>0</v>
      </c>
      <c r="FA174" s="139">
        <f t="shared" si="185"/>
        <v>0</v>
      </c>
      <c r="FB174" s="139">
        <f t="shared" si="186"/>
        <v>0</v>
      </c>
      <c r="FC174" s="139">
        <f t="shared" si="187"/>
        <v>0</v>
      </c>
      <c r="FD174" s="139">
        <f t="shared" si="188"/>
        <v>0</v>
      </c>
      <c r="FE174" s="139">
        <f t="shared" si="189"/>
        <v>0</v>
      </c>
      <c r="FF174" s="139">
        <f t="shared" si="190"/>
        <v>0</v>
      </c>
      <c r="FG174" s="139">
        <f t="shared" si="191"/>
        <v>0</v>
      </c>
      <c r="FH174" s="139">
        <f t="shared" si="192"/>
        <v>0</v>
      </c>
      <c r="FI174" s="139">
        <f t="shared" si="193"/>
        <v>0</v>
      </c>
      <c r="FJ174" s="139">
        <f t="shared" si="194"/>
        <v>0</v>
      </c>
      <c r="FK174" s="139">
        <f t="shared" si="195"/>
        <v>0</v>
      </c>
      <c r="FL174" s="139">
        <f t="shared" si="196"/>
        <v>0</v>
      </c>
      <c r="FM174" s="139">
        <f t="shared" si="197"/>
        <v>0</v>
      </c>
      <c r="FN174" s="139">
        <f t="shared" si="198"/>
        <v>0</v>
      </c>
      <c r="FO174" s="139">
        <f t="shared" si="199"/>
        <v>0</v>
      </c>
      <c r="FP174" s="139">
        <f t="shared" si="200"/>
        <v>0</v>
      </c>
      <c r="FQ174" s="139">
        <f t="shared" si="201"/>
        <v>0</v>
      </c>
      <c r="FR174" s="139">
        <f t="shared" si="202"/>
        <v>0</v>
      </c>
      <c r="FS174" s="139">
        <f t="shared" si="203"/>
        <v>0</v>
      </c>
      <c r="FT174" s="139">
        <f t="shared" si="204"/>
        <v>0</v>
      </c>
      <c r="FU174" s="148">
        <f t="shared" si="205"/>
        <v>3.012393897221965</v>
      </c>
      <c r="FV174" s="149"/>
      <c r="FY174" s="213">
        <v>169</v>
      </c>
      <c r="FZ174">
        <v>61.343762080513535</v>
      </c>
      <c r="GA174">
        <v>53.023065006251748</v>
      </c>
      <c r="GB174">
        <v>9.5622205849000199</v>
      </c>
      <c r="GC174">
        <v>4.9141946342483553</v>
      </c>
      <c r="GD174">
        <v>5.9082090161732541</v>
      </c>
      <c r="GE174">
        <v>7.4086185796673112</v>
      </c>
      <c r="GF174">
        <v>5.0898117122852131</v>
      </c>
      <c r="GG174">
        <v>6.8926634220658478</v>
      </c>
      <c r="GH174">
        <v>8.8391818778998825</v>
      </c>
      <c r="GI174">
        <v>17.358294882907142</v>
      </c>
      <c r="GJ174"/>
      <c r="GK174"/>
      <c r="GL174"/>
      <c r="GM174"/>
      <c r="GN174" s="208"/>
      <c r="GO174" s="208"/>
      <c r="GP174" s="208"/>
      <c r="GQ174" s="208"/>
      <c r="GR174" s="208"/>
      <c r="GS174" s="208"/>
      <c r="GT174" s="208"/>
      <c r="GU174" s="213">
        <v>169</v>
      </c>
    </row>
    <row r="175" spans="1:203" s="7" customFormat="1">
      <c r="A175" s="1"/>
      <c r="B175" s="76">
        <f ca="1">IF(C175="", "", RAND())</f>
        <v>0.75073914471486347</v>
      </c>
      <c r="C175">
        <v>6</v>
      </c>
      <c r="D175">
        <v>39949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 s="2"/>
      <c r="AK175" s="80"/>
      <c r="AL175" s="74"/>
      <c r="AM175" s="43">
        <v>159</v>
      </c>
      <c r="AN175">
        <v>384.61184336321588</v>
      </c>
      <c r="AO175">
        <v>34.042747417409416</v>
      </c>
      <c r="AP175">
        <v>86.177560911614549</v>
      </c>
      <c r="AQ175">
        <v>239.19433131374916</v>
      </c>
      <c r="AR175">
        <v>34.32832112663462</v>
      </c>
      <c r="AS175">
        <v>300.28825898466386</v>
      </c>
      <c r="AT175">
        <v>15.881204652493407</v>
      </c>
      <c r="AU175">
        <v>1.2883388913199454</v>
      </c>
      <c r="AV175"/>
      <c r="AW175"/>
      <c r="AX175" s="146"/>
      <c r="AY175" s="76">
        <f t="shared" ca="1" si="171"/>
        <v>0.87385448481627481</v>
      </c>
      <c r="AZ175">
        <v>8</v>
      </c>
      <c r="BA175" s="129">
        <f t="shared" si="245"/>
        <v>39949</v>
      </c>
      <c r="BB175" s="207">
        <v>0</v>
      </c>
      <c r="BC175" s="207">
        <v>0</v>
      </c>
      <c r="BD175" s="207">
        <v>13</v>
      </c>
      <c r="BE175" s="207">
        <v>4</v>
      </c>
      <c r="BF175" s="207">
        <v>0</v>
      </c>
      <c r="BG175" s="207">
        <v>0</v>
      </c>
      <c r="BH175" s="207">
        <v>0</v>
      </c>
      <c r="BI175" s="207">
        <v>0</v>
      </c>
      <c r="BJ175" s="207">
        <v>0</v>
      </c>
      <c r="BK175" s="207">
        <v>0</v>
      </c>
      <c r="BL175" s="207">
        <v>0</v>
      </c>
      <c r="BM175" s="207">
        <v>0</v>
      </c>
      <c r="BN175" s="207">
        <v>0</v>
      </c>
      <c r="BO175" s="207">
        <v>0</v>
      </c>
      <c r="BP175" s="207">
        <v>0</v>
      </c>
      <c r="BQ175" s="207">
        <v>0</v>
      </c>
      <c r="BR175" s="207">
        <v>0</v>
      </c>
      <c r="BS175" s="207">
        <v>0</v>
      </c>
      <c r="BT175" s="207">
        <v>0</v>
      </c>
      <c r="BU175" s="207">
        <v>0</v>
      </c>
      <c r="BV175" s="207">
        <v>0</v>
      </c>
      <c r="BW175" s="207">
        <v>0</v>
      </c>
      <c r="BX175" s="207">
        <v>0</v>
      </c>
      <c r="BY175" s="207">
        <v>0</v>
      </c>
      <c r="BZ175" s="207">
        <v>0</v>
      </c>
      <c r="CA175" s="207">
        <v>0</v>
      </c>
      <c r="CB175" s="207">
        <v>0</v>
      </c>
      <c r="CC175" s="207">
        <v>0</v>
      </c>
      <c r="CD175" s="207">
        <v>0</v>
      </c>
      <c r="CE175" s="207">
        <v>0</v>
      </c>
      <c r="CF175" s="207">
        <v>0</v>
      </c>
      <c r="CG175" s="147"/>
      <c r="CH175" s="176"/>
      <c r="CJ175" s="146"/>
      <c r="CK175" s="76">
        <f t="shared" ca="1" si="206"/>
        <v>0.90649150513975929</v>
      </c>
      <c r="CL175" s="179">
        <f t="shared" si="207"/>
        <v>8</v>
      </c>
      <c r="CM175" s="180">
        <f t="shared" si="208"/>
        <v>39949</v>
      </c>
      <c r="CN175" s="208">
        <v>0</v>
      </c>
      <c r="CO175" s="208">
        <v>0</v>
      </c>
      <c r="CP175" s="208">
        <v>0</v>
      </c>
      <c r="CQ175" s="208">
        <v>0</v>
      </c>
      <c r="CR175" s="208">
        <v>0</v>
      </c>
      <c r="CS175" s="208">
        <v>0</v>
      </c>
      <c r="CT175" s="208">
        <v>0</v>
      </c>
      <c r="CU175" s="208">
        <v>0</v>
      </c>
      <c r="CV175" s="160"/>
      <c r="CW175">
        <v>1</v>
      </c>
      <c r="CX175">
        <v>1</v>
      </c>
      <c r="CY175" s="165"/>
      <c r="CZ175" s="177">
        <f t="shared" si="209"/>
        <v>9.6000000000000002E-2</v>
      </c>
      <c r="DB175" s="146"/>
      <c r="DC175" s="76">
        <f t="shared" ca="1" si="172"/>
        <v>1.4328186009785693E-2</v>
      </c>
      <c r="DD175">
        <f t="shared" si="210"/>
        <v>8</v>
      </c>
      <c r="DE175" s="129">
        <f t="shared" si="244"/>
        <v>39949</v>
      </c>
      <c r="DF175" s="161">
        <f t="shared" si="211"/>
        <v>0</v>
      </c>
      <c r="DG175" s="161">
        <f t="shared" si="212"/>
        <v>0</v>
      </c>
      <c r="DH175" s="161">
        <f t="shared" si="213"/>
        <v>135.41666666666666</v>
      </c>
      <c r="DI175" s="161">
        <f t="shared" si="214"/>
        <v>41.666666666666664</v>
      </c>
      <c r="DJ175" s="161">
        <f t="shared" si="215"/>
        <v>0</v>
      </c>
      <c r="DK175" s="161">
        <f t="shared" si="216"/>
        <v>0</v>
      </c>
      <c r="DL175" s="161">
        <f t="shared" si="217"/>
        <v>0</v>
      </c>
      <c r="DM175" s="161">
        <f t="shared" si="218"/>
        <v>0</v>
      </c>
      <c r="DN175" s="161">
        <f t="shared" si="219"/>
        <v>0</v>
      </c>
      <c r="DO175" s="161">
        <f t="shared" si="220"/>
        <v>0</v>
      </c>
      <c r="DP175" s="161">
        <f t="shared" si="221"/>
        <v>0</v>
      </c>
      <c r="DQ175" s="161">
        <f t="shared" si="222"/>
        <v>0</v>
      </c>
      <c r="DR175" s="161">
        <f t="shared" si="223"/>
        <v>0</v>
      </c>
      <c r="DS175" s="161">
        <f t="shared" si="224"/>
        <v>0</v>
      </c>
      <c r="DT175" s="161">
        <f t="shared" si="225"/>
        <v>0</v>
      </c>
      <c r="DU175" s="161">
        <f t="shared" si="226"/>
        <v>0</v>
      </c>
      <c r="DV175" s="161">
        <f t="shared" si="227"/>
        <v>0</v>
      </c>
      <c r="DW175" s="161">
        <f t="shared" si="228"/>
        <v>0</v>
      </c>
      <c r="DX175" s="161">
        <f t="shared" si="229"/>
        <v>0</v>
      </c>
      <c r="DY175" s="161">
        <f t="shared" si="230"/>
        <v>0</v>
      </c>
      <c r="DZ175" s="161">
        <f t="shared" si="231"/>
        <v>0</v>
      </c>
      <c r="EA175" s="161">
        <f t="shared" si="232"/>
        <v>0</v>
      </c>
      <c r="EB175" s="161">
        <f t="shared" si="233"/>
        <v>0</v>
      </c>
      <c r="EC175" s="161">
        <f t="shared" si="234"/>
        <v>0</v>
      </c>
      <c r="ED175" s="161">
        <f t="shared" si="235"/>
        <v>0</v>
      </c>
      <c r="EE175" s="161">
        <f t="shared" si="236"/>
        <v>0</v>
      </c>
      <c r="EF175" s="161">
        <f t="shared" si="237"/>
        <v>0</v>
      </c>
      <c r="EG175" s="161">
        <f t="shared" si="238"/>
        <v>0</v>
      </c>
      <c r="EH175" s="161">
        <f t="shared" si="239"/>
        <v>0</v>
      </c>
      <c r="EI175" s="161">
        <f t="shared" si="240"/>
        <v>0</v>
      </c>
      <c r="EJ175" s="161">
        <f t="shared" si="241"/>
        <v>0</v>
      </c>
      <c r="EK175" s="147">
        <f t="shared" si="173"/>
        <v>177.08333333333331</v>
      </c>
      <c r="EL175" s="149"/>
      <c r="EN175" s="146"/>
      <c r="EO175" s="146"/>
      <c r="EP175" s="139">
        <f t="shared" si="174"/>
        <v>0</v>
      </c>
      <c r="EQ175" s="139">
        <f t="shared" si="175"/>
        <v>0</v>
      </c>
      <c r="ER175" s="139">
        <f t="shared" si="176"/>
        <v>9.9173899204815079</v>
      </c>
      <c r="ES175" s="139">
        <f t="shared" si="177"/>
        <v>8.9980709979704727</v>
      </c>
      <c r="ET175" s="139">
        <f t="shared" si="178"/>
        <v>0</v>
      </c>
      <c r="EU175" s="139">
        <f t="shared" si="179"/>
        <v>0</v>
      </c>
      <c r="EV175" s="139">
        <f t="shared" si="180"/>
        <v>0</v>
      </c>
      <c r="EW175" s="139">
        <f t="shared" si="181"/>
        <v>0</v>
      </c>
      <c r="EX175" s="139">
        <f t="shared" si="182"/>
        <v>0</v>
      </c>
      <c r="EY175" s="139">
        <f t="shared" si="183"/>
        <v>0</v>
      </c>
      <c r="EZ175" s="139">
        <f t="shared" si="184"/>
        <v>0</v>
      </c>
      <c r="FA175" s="139">
        <f t="shared" si="185"/>
        <v>0</v>
      </c>
      <c r="FB175" s="139">
        <f t="shared" si="186"/>
        <v>0</v>
      </c>
      <c r="FC175" s="139">
        <f t="shared" si="187"/>
        <v>0</v>
      </c>
      <c r="FD175" s="139">
        <f t="shared" si="188"/>
        <v>0</v>
      </c>
      <c r="FE175" s="139">
        <f t="shared" si="189"/>
        <v>0</v>
      </c>
      <c r="FF175" s="139">
        <f t="shared" si="190"/>
        <v>0</v>
      </c>
      <c r="FG175" s="139">
        <f t="shared" si="191"/>
        <v>0</v>
      </c>
      <c r="FH175" s="139">
        <f t="shared" si="192"/>
        <v>0</v>
      </c>
      <c r="FI175" s="139">
        <f t="shared" si="193"/>
        <v>0</v>
      </c>
      <c r="FJ175" s="139">
        <f t="shared" si="194"/>
        <v>0</v>
      </c>
      <c r="FK175" s="139">
        <f t="shared" si="195"/>
        <v>0</v>
      </c>
      <c r="FL175" s="139">
        <f t="shared" si="196"/>
        <v>0</v>
      </c>
      <c r="FM175" s="139">
        <f t="shared" si="197"/>
        <v>0</v>
      </c>
      <c r="FN175" s="139">
        <f t="shared" si="198"/>
        <v>0</v>
      </c>
      <c r="FO175" s="139">
        <f t="shared" si="199"/>
        <v>0</v>
      </c>
      <c r="FP175" s="139">
        <f t="shared" si="200"/>
        <v>0</v>
      </c>
      <c r="FQ175" s="139">
        <f t="shared" si="201"/>
        <v>0</v>
      </c>
      <c r="FR175" s="139">
        <f t="shared" si="202"/>
        <v>0</v>
      </c>
      <c r="FS175" s="139">
        <f t="shared" si="203"/>
        <v>0</v>
      </c>
      <c r="FT175" s="139">
        <f t="shared" si="204"/>
        <v>0</v>
      </c>
      <c r="FU175" s="148">
        <f t="shared" si="205"/>
        <v>18.915460918451981</v>
      </c>
      <c r="FV175" s="149"/>
      <c r="FY175" s="213">
        <v>170</v>
      </c>
      <c r="FZ175">
        <v>38.068776095311527</v>
      </c>
      <c r="GA175">
        <v>37.477354256246805</v>
      </c>
      <c r="GB175">
        <v>8.8349178220065774</v>
      </c>
      <c r="GC175">
        <v>6.4487586260669447</v>
      </c>
      <c r="GD175">
        <v>5.7835259813995625</v>
      </c>
      <c r="GE175">
        <v>5.538859980861953</v>
      </c>
      <c r="GF175">
        <v>13.175298716895599</v>
      </c>
      <c r="GG175">
        <v>12.529520163820276</v>
      </c>
      <c r="GH175">
        <v>17.254131185806461</v>
      </c>
      <c r="GI175">
        <v>16.530432045914146</v>
      </c>
      <c r="GJ175"/>
      <c r="GK175"/>
      <c r="GL175"/>
      <c r="GM175"/>
      <c r="GN175" s="208"/>
      <c r="GO175" s="208"/>
      <c r="GP175" s="208"/>
      <c r="GQ175" s="208"/>
      <c r="GR175" s="208"/>
      <c r="GS175" s="208"/>
      <c r="GT175" s="208"/>
      <c r="GU175" s="213">
        <v>170</v>
      </c>
    </row>
    <row r="176" spans="1:203" s="7" customFormat="1">
      <c r="A176" s="1"/>
      <c r="B176" s="76">
        <f ca="1">IF(C176="", "", RAND())</f>
        <v>0.50660981766756241</v>
      </c>
      <c r="C176">
        <v>1</v>
      </c>
      <c r="D176">
        <v>39949</v>
      </c>
      <c r="E176">
        <v>0</v>
      </c>
      <c r="F176">
        <v>0</v>
      </c>
      <c r="G176">
        <v>0</v>
      </c>
      <c r="H176">
        <v>51.204819277108435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 s="2"/>
      <c r="AK176" s="80"/>
      <c r="AL176" s="74"/>
      <c r="AM176" s="43">
        <v>160</v>
      </c>
      <c r="AN176">
        <v>324.13896095755683</v>
      </c>
      <c r="AO176">
        <v>22.130703022963328</v>
      </c>
      <c r="AP176">
        <v>93.641880712660409</v>
      </c>
      <c r="AQ176">
        <v>169.31665829448463</v>
      </c>
      <c r="AR176">
        <v>23.312865642852312</v>
      </c>
      <c r="AS176">
        <v>234.9928367692944</v>
      </c>
      <c r="AT176">
        <v>12.434080632991758</v>
      </c>
      <c r="AU176">
        <v>38.658844781256462</v>
      </c>
      <c r="AV176"/>
      <c r="AW176"/>
      <c r="AX176" s="146"/>
      <c r="AY176" s="76">
        <f t="shared" ca="1" si="171"/>
        <v>0.81321071643617837</v>
      </c>
      <c r="AZ176">
        <v>9</v>
      </c>
      <c r="BA176" s="129">
        <f t="shared" si="245"/>
        <v>39949</v>
      </c>
      <c r="BB176" s="207">
        <v>0</v>
      </c>
      <c r="BC176" s="207">
        <v>0</v>
      </c>
      <c r="BD176" s="207">
        <v>2</v>
      </c>
      <c r="BE176" s="207">
        <v>3</v>
      </c>
      <c r="BF176" s="207">
        <v>1</v>
      </c>
      <c r="BG176" s="207">
        <v>0</v>
      </c>
      <c r="BH176" s="207">
        <v>0</v>
      </c>
      <c r="BI176" s="207">
        <v>0</v>
      </c>
      <c r="BJ176" s="207">
        <v>0</v>
      </c>
      <c r="BK176" s="207">
        <v>0</v>
      </c>
      <c r="BL176" s="207">
        <v>0</v>
      </c>
      <c r="BM176" s="207">
        <v>0</v>
      </c>
      <c r="BN176" s="207">
        <v>0</v>
      </c>
      <c r="BO176" s="207">
        <v>0</v>
      </c>
      <c r="BP176" s="207">
        <v>0</v>
      </c>
      <c r="BQ176" s="207">
        <v>0</v>
      </c>
      <c r="BR176" s="207">
        <v>0</v>
      </c>
      <c r="BS176" s="207">
        <v>0</v>
      </c>
      <c r="BT176" s="207">
        <v>0</v>
      </c>
      <c r="BU176" s="207">
        <v>0</v>
      </c>
      <c r="BV176" s="207">
        <v>0</v>
      </c>
      <c r="BW176" s="207">
        <v>0</v>
      </c>
      <c r="BX176" s="207">
        <v>0</v>
      </c>
      <c r="BY176" s="207">
        <v>0</v>
      </c>
      <c r="BZ176" s="207">
        <v>0</v>
      </c>
      <c r="CA176" s="207">
        <v>0</v>
      </c>
      <c r="CB176" s="207">
        <v>0</v>
      </c>
      <c r="CC176" s="207">
        <v>0</v>
      </c>
      <c r="CD176" s="207">
        <v>0</v>
      </c>
      <c r="CE176" s="207">
        <v>0</v>
      </c>
      <c r="CF176" s="207">
        <v>0</v>
      </c>
      <c r="CG176" s="147"/>
      <c r="CH176" s="176"/>
      <c r="CJ176" s="146"/>
      <c r="CK176" s="76">
        <f t="shared" ca="1" si="206"/>
        <v>0.61121004957241643</v>
      </c>
      <c r="CL176" s="179">
        <f t="shared" si="207"/>
        <v>9</v>
      </c>
      <c r="CM176" s="180">
        <f t="shared" si="208"/>
        <v>39949</v>
      </c>
      <c r="CN176" s="208">
        <v>0</v>
      </c>
      <c r="CO176" s="208">
        <v>0</v>
      </c>
      <c r="CP176" s="208">
        <v>0</v>
      </c>
      <c r="CQ176" s="208">
        <v>0</v>
      </c>
      <c r="CR176" s="208">
        <v>0</v>
      </c>
      <c r="CS176" s="208">
        <v>0</v>
      </c>
      <c r="CT176" s="208">
        <v>0</v>
      </c>
      <c r="CU176" s="208">
        <v>0</v>
      </c>
      <c r="CV176" s="160"/>
      <c r="CW176">
        <v>1</v>
      </c>
      <c r="CX176">
        <v>1</v>
      </c>
      <c r="CY176" s="165"/>
      <c r="CZ176" s="177">
        <f t="shared" si="209"/>
        <v>9.6000000000000002E-2</v>
      </c>
      <c r="DB176" s="146"/>
      <c r="DC176" s="76">
        <f t="shared" ca="1" si="172"/>
        <v>0.65070682042508521</v>
      </c>
      <c r="DD176">
        <f t="shared" si="210"/>
        <v>9</v>
      </c>
      <c r="DE176" s="129">
        <f t="shared" si="244"/>
        <v>39949</v>
      </c>
      <c r="DF176" s="161">
        <f t="shared" si="211"/>
        <v>0</v>
      </c>
      <c r="DG176" s="161">
        <f t="shared" si="212"/>
        <v>0</v>
      </c>
      <c r="DH176" s="161">
        <f t="shared" si="213"/>
        <v>20.833333333333332</v>
      </c>
      <c r="DI176" s="161">
        <f t="shared" si="214"/>
        <v>31.25</v>
      </c>
      <c r="DJ176" s="161">
        <f t="shared" si="215"/>
        <v>10.416666666666666</v>
      </c>
      <c r="DK176" s="161">
        <f t="shared" si="216"/>
        <v>0</v>
      </c>
      <c r="DL176" s="161">
        <f t="shared" si="217"/>
        <v>0</v>
      </c>
      <c r="DM176" s="161">
        <f t="shared" si="218"/>
        <v>0</v>
      </c>
      <c r="DN176" s="161">
        <f t="shared" si="219"/>
        <v>0</v>
      </c>
      <c r="DO176" s="161">
        <f t="shared" si="220"/>
        <v>0</v>
      </c>
      <c r="DP176" s="161">
        <f t="shared" si="221"/>
        <v>0</v>
      </c>
      <c r="DQ176" s="161">
        <f t="shared" si="222"/>
        <v>0</v>
      </c>
      <c r="DR176" s="161">
        <f t="shared" si="223"/>
        <v>0</v>
      </c>
      <c r="DS176" s="161">
        <f t="shared" si="224"/>
        <v>0</v>
      </c>
      <c r="DT176" s="161">
        <f t="shared" si="225"/>
        <v>0</v>
      </c>
      <c r="DU176" s="161">
        <f t="shared" si="226"/>
        <v>0</v>
      </c>
      <c r="DV176" s="161">
        <f t="shared" si="227"/>
        <v>0</v>
      </c>
      <c r="DW176" s="161">
        <f t="shared" si="228"/>
        <v>0</v>
      </c>
      <c r="DX176" s="161">
        <f t="shared" si="229"/>
        <v>0</v>
      </c>
      <c r="DY176" s="161">
        <f t="shared" si="230"/>
        <v>0</v>
      </c>
      <c r="DZ176" s="161">
        <f t="shared" si="231"/>
        <v>0</v>
      </c>
      <c r="EA176" s="161">
        <f t="shared" si="232"/>
        <v>0</v>
      </c>
      <c r="EB176" s="161">
        <f t="shared" si="233"/>
        <v>0</v>
      </c>
      <c r="EC176" s="161">
        <f t="shared" si="234"/>
        <v>0</v>
      </c>
      <c r="ED176" s="161">
        <f t="shared" si="235"/>
        <v>0</v>
      </c>
      <c r="EE176" s="161">
        <f t="shared" si="236"/>
        <v>0</v>
      </c>
      <c r="EF176" s="161">
        <f t="shared" si="237"/>
        <v>0</v>
      </c>
      <c r="EG176" s="161">
        <f t="shared" si="238"/>
        <v>0</v>
      </c>
      <c r="EH176" s="161">
        <f t="shared" si="239"/>
        <v>0</v>
      </c>
      <c r="EI176" s="161">
        <f t="shared" si="240"/>
        <v>0</v>
      </c>
      <c r="EJ176" s="161">
        <f t="shared" si="241"/>
        <v>0</v>
      </c>
      <c r="EK176" s="147">
        <f t="shared" si="173"/>
        <v>62.499999999999993</v>
      </c>
      <c r="EL176" s="149"/>
      <c r="EN176" s="146"/>
      <c r="EO176" s="146"/>
      <c r="EP176" s="139">
        <f t="shared" si="174"/>
        <v>0</v>
      </c>
      <c r="EQ176" s="139">
        <f t="shared" si="175"/>
        <v>0</v>
      </c>
      <c r="ER176" s="139">
        <f t="shared" si="176"/>
        <v>1.5257522954586935</v>
      </c>
      <c r="ES176" s="139">
        <f t="shared" si="177"/>
        <v>6.7485532484778545</v>
      </c>
      <c r="ET176" s="139">
        <f t="shared" si="178"/>
        <v>4.8450809197869589</v>
      </c>
      <c r="EU176" s="139">
        <f t="shared" si="179"/>
        <v>0</v>
      </c>
      <c r="EV176" s="139">
        <f t="shared" si="180"/>
        <v>0</v>
      </c>
      <c r="EW176" s="139">
        <f t="shared" si="181"/>
        <v>0</v>
      </c>
      <c r="EX176" s="139">
        <f t="shared" si="182"/>
        <v>0</v>
      </c>
      <c r="EY176" s="139">
        <f t="shared" si="183"/>
        <v>0</v>
      </c>
      <c r="EZ176" s="139">
        <f t="shared" si="184"/>
        <v>0</v>
      </c>
      <c r="FA176" s="139">
        <f t="shared" si="185"/>
        <v>0</v>
      </c>
      <c r="FB176" s="139">
        <f t="shared" si="186"/>
        <v>0</v>
      </c>
      <c r="FC176" s="139">
        <f t="shared" si="187"/>
        <v>0</v>
      </c>
      <c r="FD176" s="139">
        <f t="shared" si="188"/>
        <v>0</v>
      </c>
      <c r="FE176" s="139">
        <f t="shared" si="189"/>
        <v>0</v>
      </c>
      <c r="FF176" s="139">
        <f t="shared" si="190"/>
        <v>0</v>
      </c>
      <c r="FG176" s="139">
        <f t="shared" si="191"/>
        <v>0</v>
      </c>
      <c r="FH176" s="139">
        <f t="shared" si="192"/>
        <v>0</v>
      </c>
      <c r="FI176" s="139">
        <f t="shared" si="193"/>
        <v>0</v>
      </c>
      <c r="FJ176" s="139">
        <f t="shared" si="194"/>
        <v>0</v>
      </c>
      <c r="FK176" s="139">
        <f t="shared" si="195"/>
        <v>0</v>
      </c>
      <c r="FL176" s="139">
        <f t="shared" si="196"/>
        <v>0</v>
      </c>
      <c r="FM176" s="139">
        <f t="shared" si="197"/>
        <v>0</v>
      </c>
      <c r="FN176" s="139">
        <f t="shared" si="198"/>
        <v>0</v>
      </c>
      <c r="FO176" s="139">
        <f t="shared" si="199"/>
        <v>0</v>
      </c>
      <c r="FP176" s="139">
        <f t="shared" si="200"/>
        <v>0</v>
      </c>
      <c r="FQ176" s="139">
        <f t="shared" si="201"/>
        <v>0</v>
      </c>
      <c r="FR176" s="139">
        <f t="shared" si="202"/>
        <v>0</v>
      </c>
      <c r="FS176" s="139">
        <f t="shared" si="203"/>
        <v>0</v>
      </c>
      <c r="FT176" s="139">
        <f t="shared" si="204"/>
        <v>0</v>
      </c>
      <c r="FU176" s="148">
        <f t="shared" si="205"/>
        <v>13.119386463723506</v>
      </c>
      <c r="FV176" s="149"/>
      <c r="FY176" s="213">
        <v>171</v>
      </c>
      <c r="FZ176">
        <v>24.790418696777895</v>
      </c>
      <c r="GA176">
        <v>41.29032856669388</v>
      </c>
      <c r="GB176">
        <v>15.964747315355737</v>
      </c>
      <c r="GC176">
        <v>8.8087194683480927</v>
      </c>
      <c r="GD176">
        <v>7.1670607731322971</v>
      </c>
      <c r="GE176">
        <v>5.496768062190867</v>
      </c>
      <c r="GF176">
        <v>27.721029439677224</v>
      </c>
      <c r="GG176">
        <v>22.999212978624318</v>
      </c>
      <c r="GH176">
        <v>20.616057908669379</v>
      </c>
      <c r="GI176">
        <v>20.772043672599594</v>
      </c>
      <c r="GJ176"/>
      <c r="GK176"/>
      <c r="GL176"/>
      <c r="GM176"/>
      <c r="GN176" s="208"/>
      <c r="GO176" s="208"/>
      <c r="GP176" s="208"/>
      <c r="GQ176" s="208"/>
      <c r="GR176" s="208"/>
      <c r="GS176" s="208"/>
      <c r="GT176" s="208"/>
      <c r="GU176" s="213">
        <v>171</v>
      </c>
    </row>
    <row r="177" spans="1:203" s="7" customFormat="1">
      <c r="A177" s="1"/>
      <c r="B177" s="76">
        <f ca="1">IF(C177="", "", RAND())</f>
        <v>0.37515797864818401</v>
      </c>
      <c r="C177">
        <v>10</v>
      </c>
      <c r="D177">
        <v>39949</v>
      </c>
      <c r="E177">
        <v>0</v>
      </c>
      <c r="F177">
        <v>59.865900383141756</v>
      </c>
      <c r="G177">
        <v>0</v>
      </c>
      <c r="H177">
        <v>59.865900383141756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 s="2"/>
      <c r="AK177" s="80"/>
      <c r="AL177" s="74"/>
      <c r="AM177" s="43">
        <v>161</v>
      </c>
      <c r="AN177">
        <v>355.09315049004653</v>
      </c>
      <c r="AO177">
        <v>30.554998442826225</v>
      </c>
      <c r="AP177">
        <v>112.14680130937441</v>
      </c>
      <c r="AQ177">
        <v>230.77772755242927</v>
      </c>
      <c r="AR177">
        <v>32.452152192428919</v>
      </c>
      <c r="AS177">
        <v>292.67735824628801</v>
      </c>
      <c r="AT177">
        <v>14.554388722150138</v>
      </c>
      <c r="AU177">
        <v>4.5593012339985108</v>
      </c>
      <c r="AV177"/>
      <c r="AW177"/>
      <c r="AX177" s="146"/>
      <c r="AY177" s="76">
        <f t="shared" ca="1" si="171"/>
        <v>0.46640025195414947</v>
      </c>
      <c r="AZ177">
        <v>10</v>
      </c>
      <c r="BA177" s="129">
        <f t="shared" si="245"/>
        <v>39949</v>
      </c>
      <c r="BB177" s="207">
        <v>0</v>
      </c>
      <c r="BC177" s="207">
        <v>0</v>
      </c>
      <c r="BD177" s="207">
        <v>0</v>
      </c>
      <c r="BE177" s="207">
        <v>0</v>
      </c>
      <c r="BF177" s="207">
        <v>0</v>
      </c>
      <c r="BG177" s="207">
        <v>0</v>
      </c>
      <c r="BH177" s="207">
        <v>0</v>
      </c>
      <c r="BI177" s="207">
        <v>0</v>
      </c>
      <c r="BJ177" s="207">
        <v>0</v>
      </c>
      <c r="BK177" s="207">
        <v>0</v>
      </c>
      <c r="BL177" s="207">
        <v>0</v>
      </c>
      <c r="BM177" s="207">
        <v>0</v>
      </c>
      <c r="BN177" s="207">
        <v>0</v>
      </c>
      <c r="BO177" s="207">
        <v>0</v>
      </c>
      <c r="BP177" s="207">
        <v>0</v>
      </c>
      <c r="BQ177" s="207">
        <v>0</v>
      </c>
      <c r="BR177" s="207">
        <v>0</v>
      </c>
      <c r="BS177" s="207">
        <v>0</v>
      </c>
      <c r="BT177" s="207">
        <v>0</v>
      </c>
      <c r="BU177" s="207">
        <v>0</v>
      </c>
      <c r="BV177" s="207">
        <v>0</v>
      </c>
      <c r="BW177" s="207">
        <v>0</v>
      </c>
      <c r="BX177" s="207">
        <v>0</v>
      </c>
      <c r="BY177" s="207">
        <v>0</v>
      </c>
      <c r="BZ177" s="207">
        <v>0</v>
      </c>
      <c r="CA177" s="207">
        <v>0</v>
      </c>
      <c r="CB177" s="207">
        <v>0</v>
      </c>
      <c r="CC177" s="207">
        <v>0</v>
      </c>
      <c r="CD177" s="207">
        <v>0</v>
      </c>
      <c r="CE177" s="207">
        <v>0</v>
      </c>
      <c r="CF177" s="207">
        <v>0</v>
      </c>
      <c r="CG177" s="147"/>
      <c r="CH177" s="176"/>
      <c r="CJ177" s="146"/>
      <c r="CK177" s="76">
        <f t="shared" ca="1" si="206"/>
        <v>0.86979651891908105</v>
      </c>
      <c r="CL177" s="179">
        <f t="shared" si="207"/>
        <v>10</v>
      </c>
      <c r="CM177" s="180">
        <f t="shared" si="208"/>
        <v>39949</v>
      </c>
      <c r="CN177" s="208">
        <v>0</v>
      </c>
      <c r="CO177" s="208">
        <v>1</v>
      </c>
      <c r="CP177" s="208">
        <v>0</v>
      </c>
      <c r="CQ177" s="208">
        <v>1</v>
      </c>
      <c r="CR177" s="208">
        <v>0</v>
      </c>
      <c r="CS177" s="208">
        <v>0</v>
      </c>
      <c r="CT177" s="208">
        <v>0</v>
      </c>
      <c r="CU177" s="208">
        <v>0</v>
      </c>
      <c r="CV177" s="160"/>
      <c r="CW177">
        <v>1</v>
      </c>
      <c r="CX177">
        <f>500/87</f>
        <v>5.7471264367816088</v>
      </c>
      <c r="CY177" s="165"/>
      <c r="CZ177" s="177">
        <f t="shared" si="209"/>
        <v>9.6000000000000002E-2</v>
      </c>
      <c r="DB177" s="146"/>
      <c r="DC177" s="76">
        <f t="shared" ca="1" si="172"/>
        <v>0.27334923751163442</v>
      </c>
      <c r="DD177">
        <f t="shared" si="210"/>
        <v>10</v>
      </c>
      <c r="DE177" s="129">
        <f t="shared" si="244"/>
        <v>39949</v>
      </c>
      <c r="DF177" s="161">
        <f t="shared" si="211"/>
        <v>0</v>
      </c>
      <c r="DG177" s="161">
        <f t="shared" si="212"/>
        <v>59.865900383141756</v>
      </c>
      <c r="DH177" s="161">
        <f t="shared" si="213"/>
        <v>0</v>
      </c>
      <c r="DI177" s="161">
        <f t="shared" si="214"/>
        <v>59.865900383141756</v>
      </c>
      <c r="DJ177" s="161">
        <f t="shared" si="215"/>
        <v>0</v>
      </c>
      <c r="DK177" s="161">
        <f t="shared" si="216"/>
        <v>0</v>
      </c>
      <c r="DL177" s="161">
        <f t="shared" si="217"/>
        <v>0</v>
      </c>
      <c r="DM177" s="161">
        <f t="shared" si="218"/>
        <v>0</v>
      </c>
      <c r="DN177" s="161">
        <f t="shared" si="219"/>
        <v>0</v>
      </c>
      <c r="DO177" s="161">
        <f t="shared" si="220"/>
        <v>0</v>
      </c>
      <c r="DP177" s="161">
        <f t="shared" si="221"/>
        <v>0</v>
      </c>
      <c r="DQ177" s="161">
        <f t="shared" si="222"/>
        <v>0</v>
      </c>
      <c r="DR177" s="161">
        <f t="shared" si="223"/>
        <v>0</v>
      </c>
      <c r="DS177" s="161">
        <f t="shared" si="224"/>
        <v>0</v>
      </c>
      <c r="DT177" s="161">
        <f t="shared" si="225"/>
        <v>0</v>
      </c>
      <c r="DU177" s="161">
        <f t="shared" si="226"/>
        <v>0</v>
      </c>
      <c r="DV177" s="161">
        <f t="shared" si="227"/>
        <v>0</v>
      </c>
      <c r="DW177" s="161">
        <f t="shared" si="228"/>
        <v>0</v>
      </c>
      <c r="DX177" s="161">
        <f t="shared" si="229"/>
        <v>0</v>
      </c>
      <c r="DY177" s="161">
        <f t="shared" si="230"/>
        <v>0</v>
      </c>
      <c r="DZ177" s="161">
        <f t="shared" si="231"/>
        <v>0</v>
      </c>
      <c r="EA177" s="161">
        <f t="shared" si="232"/>
        <v>0</v>
      </c>
      <c r="EB177" s="161">
        <f t="shared" si="233"/>
        <v>0</v>
      </c>
      <c r="EC177" s="161">
        <f t="shared" si="234"/>
        <v>0</v>
      </c>
      <c r="ED177" s="161">
        <f t="shared" si="235"/>
        <v>0</v>
      </c>
      <c r="EE177" s="161">
        <f t="shared" si="236"/>
        <v>0</v>
      </c>
      <c r="EF177" s="161">
        <f t="shared" si="237"/>
        <v>0</v>
      </c>
      <c r="EG177" s="161">
        <f t="shared" si="238"/>
        <v>0</v>
      </c>
      <c r="EH177" s="161">
        <f t="shared" si="239"/>
        <v>0</v>
      </c>
      <c r="EI177" s="161">
        <f t="shared" si="240"/>
        <v>0</v>
      </c>
      <c r="EJ177" s="161">
        <f t="shared" si="241"/>
        <v>0</v>
      </c>
      <c r="EK177" s="147">
        <f t="shared" si="173"/>
        <v>119.73180076628351</v>
      </c>
      <c r="EL177" s="149"/>
      <c r="EN177" s="146"/>
      <c r="EO177" s="146"/>
      <c r="EP177" s="139">
        <f t="shared" si="174"/>
        <v>0</v>
      </c>
      <c r="EQ177" s="139">
        <f t="shared" si="175"/>
        <v>0.6903316570881225</v>
      </c>
      <c r="ER177" s="139">
        <f t="shared" si="176"/>
        <v>0</v>
      </c>
      <c r="ES177" s="139">
        <f t="shared" si="177"/>
        <v>12.928262928118494</v>
      </c>
      <c r="ET177" s="139">
        <f t="shared" si="178"/>
        <v>0</v>
      </c>
      <c r="EU177" s="139">
        <f t="shared" si="179"/>
        <v>0</v>
      </c>
      <c r="EV177" s="139">
        <f t="shared" si="180"/>
        <v>0</v>
      </c>
      <c r="EW177" s="139">
        <f t="shared" si="181"/>
        <v>0</v>
      </c>
      <c r="EX177" s="139">
        <f t="shared" si="182"/>
        <v>0</v>
      </c>
      <c r="EY177" s="139">
        <f t="shared" si="183"/>
        <v>0</v>
      </c>
      <c r="EZ177" s="139">
        <f t="shared" si="184"/>
        <v>0</v>
      </c>
      <c r="FA177" s="139">
        <f t="shared" si="185"/>
        <v>0</v>
      </c>
      <c r="FB177" s="139">
        <f t="shared" si="186"/>
        <v>0</v>
      </c>
      <c r="FC177" s="139">
        <f t="shared" si="187"/>
        <v>0</v>
      </c>
      <c r="FD177" s="139">
        <f t="shared" si="188"/>
        <v>0</v>
      </c>
      <c r="FE177" s="139">
        <f t="shared" si="189"/>
        <v>0</v>
      </c>
      <c r="FF177" s="139">
        <f t="shared" si="190"/>
        <v>0</v>
      </c>
      <c r="FG177" s="139">
        <f t="shared" si="191"/>
        <v>0</v>
      </c>
      <c r="FH177" s="139">
        <f t="shared" si="192"/>
        <v>0</v>
      </c>
      <c r="FI177" s="139">
        <f t="shared" si="193"/>
        <v>0</v>
      </c>
      <c r="FJ177" s="139">
        <f t="shared" si="194"/>
        <v>0</v>
      </c>
      <c r="FK177" s="139">
        <f t="shared" si="195"/>
        <v>0</v>
      </c>
      <c r="FL177" s="139">
        <f t="shared" si="196"/>
        <v>0</v>
      </c>
      <c r="FM177" s="139">
        <f t="shared" si="197"/>
        <v>0</v>
      </c>
      <c r="FN177" s="139">
        <f t="shared" si="198"/>
        <v>0</v>
      </c>
      <c r="FO177" s="139">
        <f t="shared" si="199"/>
        <v>0</v>
      </c>
      <c r="FP177" s="139">
        <f t="shared" si="200"/>
        <v>0</v>
      </c>
      <c r="FQ177" s="139">
        <f t="shared" si="201"/>
        <v>0</v>
      </c>
      <c r="FR177" s="139">
        <f t="shared" si="202"/>
        <v>0</v>
      </c>
      <c r="FS177" s="139">
        <f t="shared" si="203"/>
        <v>0</v>
      </c>
      <c r="FT177" s="139">
        <f t="shared" si="204"/>
        <v>0</v>
      </c>
      <c r="FU177" s="148">
        <f t="shared" si="205"/>
        <v>13.618594585206617</v>
      </c>
      <c r="FV177" s="149"/>
      <c r="FY177" s="213">
        <v>172</v>
      </c>
      <c r="FZ177">
        <v>46.293790849235656</v>
      </c>
      <c r="GA177">
        <v>65.164918572713901</v>
      </c>
      <c r="GB177">
        <v>19.191371421978648</v>
      </c>
      <c r="GC177">
        <v>6.3405245123882104</v>
      </c>
      <c r="GD177">
        <v>5.1038334806176016</v>
      </c>
      <c r="GE177">
        <v>5.1362086222924637</v>
      </c>
      <c r="GF177">
        <v>11.756176766800882</v>
      </c>
      <c r="GG177">
        <v>10.022990542669518</v>
      </c>
      <c r="GH177">
        <v>12.894449812226696</v>
      </c>
      <c r="GI177">
        <v>19.632165807347523</v>
      </c>
      <c r="GJ177"/>
      <c r="GK177"/>
      <c r="GL177"/>
      <c r="GM177"/>
      <c r="GN177" s="208"/>
      <c r="GO177" s="208"/>
      <c r="GP177" s="208"/>
      <c r="GQ177" s="208"/>
      <c r="GR177" s="208"/>
      <c r="GS177" s="208"/>
      <c r="GT177" s="208"/>
      <c r="GU177" s="213">
        <v>172</v>
      </c>
    </row>
    <row r="178" spans="1:203" s="7" customFormat="1">
      <c r="A178" s="128"/>
      <c r="B178" s="76">
        <f ca="1">IF(C178="", "", RAND())</f>
        <v>0.41216145630606249</v>
      </c>
      <c r="C178">
        <v>3</v>
      </c>
      <c r="D178">
        <v>39987</v>
      </c>
      <c r="E178">
        <v>0</v>
      </c>
      <c r="F178">
        <v>67.51543209876543</v>
      </c>
      <c r="G178">
        <v>67.51543209876543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 s="2"/>
      <c r="AK178" s="80"/>
      <c r="AL178" s="74">
        <v>3.0028000000000028</v>
      </c>
      <c r="AM178" s="43">
        <v>162</v>
      </c>
      <c r="AN178">
        <v>252.17373428612404</v>
      </c>
      <c r="AO178">
        <v>23.068467812777371</v>
      </c>
      <c r="AP178">
        <v>102.87991646048407</v>
      </c>
      <c r="AQ178">
        <v>170.57530073598011</v>
      </c>
      <c r="AR178">
        <v>23.955566999088365</v>
      </c>
      <c r="AS178">
        <v>212.99162317994674</v>
      </c>
      <c r="AT178">
        <v>12.824643202472432</v>
      </c>
      <c r="AU178">
        <v>52.051229471045922</v>
      </c>
      <c r="AV178"/>
      <c r="AW178"/>
      <c r="AX178" s="128"/>
      <c r="AY178" s="76">
        <f t="shared" ca="1" si="171"/>
        <v>0.55434548607028167</v>
      </c>
      <c r="AZ178">
        <v>1</v>
      </c>
      <c r="BA178" s="129">
        <f>IF(AZ178="", "",$C$13)</f>
        <v>39987</v>
      </c>
      <c r="BB178" s="207">
        <v>0</v>
      </c>
      <c r="BC178" s="207">
        <v>0</v>
      </c>
      <c r="BD178" s="207">
        <v>0</v>
      </c>
      <c r="BE178" s="207">
        <v>0</v>
      </c>
      <c r="BF178" s="207">
        <v>0</v>
      </c>
      <c r="BG178" s="207">
        <v>0</v>
      </c>
      <c r="BH178" s="207">
        <v>1</v>
      </c>
      <c r="BI178" s="207">
        <v>0</v>
      </c>
      <c r="BJ178" s="207">
        <v>0</v>
      </c>
      <c r="BK178" s="207">
        <v>0</v>
      </c>
      <c r="BL178" s="207">
        <v>0</v>
      </c>
      <c r="BM178" s="207">
        <v>0</v>
      </c>
      <c r="BN178" s="207">
        <v>0</v>
      </c>
      <c r="BO178" s="207">
        <v>0</v>
      </c>
      <c r="BP178" s="207">
        <v>0</v>
      </c>
      <c r="BQ178" s="207">
        <v>0</v>
      </c>
      <c r="BR178" s="207">
        <v>0</v>
      </c>
      <c r="BS178" s="207">
        <v>0</v>
      </c>
      <c r="BT178" s="207">
        <v>0</v>
      </c>
      <c r="BU178" s="207">
        <v>0</v>
      </c>
      <c r="BV178" s="207">
        <v>0</v>
      </c>
      <c r="BW178" s="207">
        <v>0</v>
      </c>
      <c r="BX178" s="207">
        <v>0</v>
      </c>
      <c r="BY178" s="207">
        <v>0</v>
      </c>
      <c r="BZ178" s="207">
        <v>0</v>
      </c>
      <c r="CA178" s="207">
        <v>0</v>
      </c>
      <c r="CB178" s="207">
        <v>0</v>
      </c>
      <c r="CC178" s="207">
        <v>0</v>
      </c>
      <c r="CD178" s="207">
        <v>0</v>
      </c>
      <c r="CE178" s="207">
        <v>0</v>
      </c>
      <c r="CF178" s="207">
        <v>0</v>
      </c>
      <c r="CG178" s="147"/>
      <c r="CH178" s="176"/>
      <c r="CJ178" s="128"/>
      <c r="CK178" s="76">
        <f t="shared" ca="1" si="206"/>
        <v>0.48052955453926516</v>
      </c>
      <c r="CL178" s="179">
        <f t="shared" si="207"/>
        <v>1</v>
      </c>
      <c r="CM178" s="180">
        <f t="shared" si="208"/>
        <v>39987</v>
      </c>
      <c r="CN178" s="208">
        <v>0</v>
      </c>
      <c r="CO178" s="208">
        <v>0</v>
      </c>
      <c r="CP178" s="208">
        <v>0</v>
      </c>
      <c r="CQ178" s="208">
        <v>0</v>
      </c>
      <c r="CR178" s="208">
        <v>0</v>
      </c>
      <c r="CS178" s="208">
        <v>0</v>
      </c>
      <c r="CT178" s="208">
        <v>0</v>
      </c>
      <c r="CU178" s="208">
        <v>0</v>
      </c>
      <c r="CV178" s="160"/>
      <c r="CW178">
        <v>1</v>
      </c>
      <c r="CX178">
        <f>350/47</f>
        <v>7.4468085106382977</v>
      </c>
      <c r="CY178" s="160"/>
      <c r="CZ178" s="177">
        <f t="shared" si="209"/>
        <v>9.6000000000000002E-2</v>
      </c>
      <c r="DB178" s="128"/>
      <c r="DC178" s="76">
        <f t="shared" ca="1" si="172"/>
        <v>0.79074463324460798</v>
      </c>
      <c r="DD178">
        <f t="shared" si="210"/>
        <v>1</v>
      </c>
      <c r="DE178" s="129">
        <f t="shared" ref="DE178:DE187" si="246">IF((DD178)="", "", $C$13)</f>
        <v>39987</v>
      </c>
      <c r="DF178" s="161">
        <f t="shared" si="211"/>
        <v>0</v>
      </c>
      <c r="DG178" s="161">
        <f t="shared" si="212"/>
        <v>0</v>
      </c>
      <c r="DH178" s="161">
        <f t="shared" si="213"/>
        <v>0</v>
      </c>
      <c r="DI178" s="161">
        <f t="shared" si="214"/>
        <v>0</v>
      </c>
      <c r="DJ178" s="161">
        <f t="shared" si="215"/>
        <v>0</v>
      </c>
      <c r="DK178" s="161">
        <f t="shared" si="216"/>
        <v>0</v>
      </c>
      <c r="DL178" s="161">
        <f t="shared" si="217"/>
        <v>10.416666666666666</v>
      </c>
      <c r="DM178" s="161">
        <f t="shared" si="218"/>
        <v>0</v>
      </c>
      <c r="DN178" s="161">
        <f t="shared" si="219"/>
        <v>0</v>
      </c>
      <c r="DO178" s="161">
        <f t="shared" si="220"/>
        <v>0</v>
      </c>
      <c r="DP178" s="161">
        <f t="shared" si="221"/>
        <v>0</v>
      </c>
      <c r="DQ178" s="161">
        <f t="shared" si="222"/>
        <v>0</v>
      </c>
      <c r="DR178" s="161">
        <f t="shared" si="223"/>
        <v>0</v>
      </c>
      <c r="DS178" s="161">
        <f t="shared" si="224"/>
        <v>0</v>
      </c>
      <c r="DT178" s="161">
        <f t="shared" si="225"/>
        <v>0</v>
      </c>
      <c r="DU178" s="161">
        <f t="shared" si="226"/>
        <v>0</v>
      </c>
      <c r="DV178" s="161">
        <f t="shared" si="227"/>
        <v>0</v>
      </c>
      <c r="DW178" s="161">
        <f t="shared" si="228"/>
        <v>0</v>
      </c>
      <c r="DX178" s="161">
        <f t="shared" si="229"/>
        <v>0</v>
      </c>
      <c r="DY178" s="161">
        <f t="shared" si="230"/>
        <v>0</v>
      </c>
      <c r="DZ178" s="161">
        <f t="shared" si="231"/>
        <v>0</v>
      </c>
      <c r="EA178" s="161">
        <f t="shared" si="232"/>
        <v>0</v>
      </c>
      <c r="EB178" s="161">
        <f t="shared" si="233"/>
        <v>0</v>
      </c>
      <c r="EC178" s="161">
        <f t="shared" si="234"/>
        <v>0</v>
      </c>
      <c r="ED178" s="161">
        <f t="shared" si="235"/>
        <v>0</v>
      </c>
      <c r="EE178" s="161">
        <f t="shared" si="236"/>
        <v>0</v>
      </c>
      <c r="EF178" s="161">
        <f t="shared" si="237"/>
        <v>0</v>
      </c>
      <c r="EG178" s="161">
        <f t="shared" si="238"/>
        <v>0</v>
      </c>
      <c r="EH178" s="161">
        <f t="shared" si="239"/>
        <v>0</v>
      </c>
      <c r="EI178" s="161">
        <f t="shared" si="240"/>
        <v>0</v>
      </c>
      <c r="EJ178" s="161">
        <f t="shared" si="241"/>
        <v>0</v>
      </c>
      <c r="EK178" s="147">
        <f t="shared" si="173"/>
        <v>10.416666666666666</v>
      </c>
      <c r="EL178" s="149"/>
      <c r="EN178" s="146"/>
      <c r="EO178" s="146"/>
      <c r="EP178" s="139">
        <f t="shared" si="174"/>
        <v>0</v>
      </c>
      <c r="EQ178" s="139">
        <f t="shared" si="175"/>
        <v>0</v>
      </c>
      <c r="ER178" s="139">
        <f t="shared" si="176"/>
        <v>0</v>
      </c>
      <c r="ES178" s="139">
        <f t="shared" si="177"/>
        <v>0</v>
      </c>
      <c r="ET178" s="139">
        <f t="shared" si="178"/>
        <v>0</v>
      </c>
      <c r="EU178" s="139">
        <f t="shared" si="179"/>
        <v>0</v>
      </c>
      <c r="EV178" s="139">
        <f t="shared" si="180"/>
        <v>14.286847949341793</v>
      </c>
      <c r="EW178" s="139">
        <f t="shared" si="181"/>
        <v>0</v>
      </c>
      <c r="EX178" s="139">
        <f t="shared" si="182"/>
        <v>0</v>
      </c>
      <c r="EY178" s="139">
        <f t="shared" si="183"/>
        <v>0</v>
      </c>
      <c r="EZ178" s="139">
        <f t="shared" si="184"/>
        <v>0</v>
      </c>
      <c r="FA178" s="139">
        <f t="shared" si="185"/>
        <v>0</v>
      </c>
      <c r="FB178" s="139">
        <f t="shared" si="186"/>
        <v>0</v>
      </c>
      <c r="FC178" s="139">
        <f t="shared" si="187"/>
        <v>0</v>
      </c>
      <c r="FD178" s="139">
        <f t="shared" si="188"/>
        <v>0</v>
      </c>
      <c r="FE178" s="139">
        <f t="shared" si="189"/>
        <v>0</v>
      </c>
      <c r="FF178" s="139">
        <f t="shared" si="190"/>
        <v>0</v>
      </c>
      <c r="FG178" s="139">
        <f t="shared" si="191"/>
        <v>0</v>
      </c>
      <c r="FH178" s="139">
        <f t="shared" si="192"/>
        <v>0</v>
      </c>
      <c r="FI178" s="139">
        <f t="shared" si="193"/>
        <v>0</v>
      </c>
      <c r="FJ178" s="139">
        <f t="shared" si="194"/>
        <v>0</v>
      </c>
      <c r="FK178" s="139">
        <f t="shared" si="195"/>
        <v>0</v>
      </c>
      <c r="FL178" s="139">
        <f t="shared" si="196"/>
        <v>0</v>
      </c>
      <c r="FM178" s="139">
        <f t="shared" si="197"/>
        <v>0</v>
      </c>
      <c r="FN178" s="139">
        <f t="shared" si="198"/>
        <v>0</v>
      </c>
      <c r="FO178" s="139">
        <f t="shared" si="199"/>
        <v>0</v>
      </c>
      <c r="FP178" s="139">
        <f t="shared" si="200"/>
        <v>0</v>
      </c>
      <c r="FQ178" s="139">
        <f t="shared" si="201"/>
        <v>0</v>
      </c>
      <c r="FR178" s="139">
        <f t="shared" si="202"/>
        <v>0</v>
      </c>
      <c r="FS178" s="139">
        <f t="shared" si="203"/>
        <v>0</v>
      </c>
      <c r="FT178" s="139">
        <f t="shared" si="204"/>
        <v>0</v>
      </c>
      <c r="FU178" s="148">
        <f t="shared" si="205"/>
        <v>14.286847949341793</v>
      </c>
      <c r="FV178" s="149"/>
      <c r="FY178" s="213">
        <v>173</v>
      </c>
      <c r="FZ178">
        <v>55.540741646746078</v>
      </c>
      <c r="GA178">
        <v>55.680891215896786</v>
      </c>
      <c r="GB178">
        <v>7.7406924126872418</v>
      </c>
      <c r="GC178">
        <v>7.5264737776484676</v>
      </c>
      <c r="GD178">
        <v>5.8792899210668947</v>
      </c>
      <c r="GE178">
        <v>4.4422675607294773</v>
      </c>
      <c r="GF178">
        <v>17.777982487930469</v>
      </c>
      <c r="GG178">
        <v>16.196519716973039</v>
      </c>
      <c r="GH178">
        <v>22.164834236983523</v>
      </c>
      <c r="GI178">
        <v>20.455002180977132</v>
      </c>
      <c r="GJ178"/>
      <c r="GK178"/>
      <c r="GL178"/>
      <c r="GM178"/>
      <c r="GN178" s="208"/>
      <c r="GO178" s="208"/>
      <c r="GP178" s="208"/>
      <c r="GQ178" s="208"/>
      <c r="GR178" s="208"/>
      <c r="GS178" s="208"/>
      <c r="GT178" s="208"/>
      <c r="GU178" s="213">
        <v>173</v>
      </c>
    </row>
    <row r="179" spans="1:203" s="7" customFormat="1">
      <c r="A179" s="1"/>
      <c r="B179" s="76">
        <f ca="1">IF(C179="", "", RAND())</f>
        <v>0.96881574435385964</v>
      </c>
      <c r="C179">
        <v>8</v>
      </c>
      <c r="D179">
        <v>39987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 s="2"/>
      <c r="AK179" s="80"/>
      <c r="AL179" s="74">
        <v>3.0028000000000028</v>
      </c>
      <c r="AM179" s="43">
        <v>163</v>
      </c>
      <c r="AN179">
        <v>322.74063551851287</v>
      </c>
      <c r="AO179">
        <v>28.755255466184554</v>
      </c>
      <c r="AP179">
        <v>115.34569363830677</v>
      </c>
      <c r="AQ179">
        <v>196.9702146557419</v>
      </c>
      <c r="AR179">
        <v>28.409466560971499</v>
      </c>
      <c r="AS179">
        <v>256.3171071978698</v>
      </c>
      <c r="AT179">
        <v>12.705103425086351</v>
      </c>
      <c r="AU179">
        <v>88.671854292812469</v>
      </c>
      <c r="AV179"/>
      <c r="AW179"/>
      <c r="AX179" s="146"/>
      <c r="AY179" s="76">
        <f t="shared" ca="1" si="171"/>
        <v>0.15254577641674327</v>
      </c>
      <c r="AZ179">
        <v>2</v>
      </c>
      <c r="BA179" s="129">
        <f t="shared" ref="BA179:BA187" si="247">IF(AZ179="", "",$C$13)</f>
        <v>39987</v>
      </c>
      <c r="BB179" s="207">
        <v>0</v>
      </c>
      <c r="BC179" s="207">
        <v>0</v>
      </c>
      <c r="BD179" s="207">
        <v>0</v>
      </c>
      <c r="BE179" s="207">
        <v>0</v>
      </c>
      <c r="BF179" s="207">
        <v>0</v>
      </c>
      <c r="BG179" s="207">
        <v>0</v>
      </c>
      <c r="BH179" s="207">
        <v>1</v>
      </c>
      <c r="BI179" s="207">
        <v>0</v>
      </c>
      <c r="BJ179" s="207">
        <v>0</v>
      </c>
      <c r="BK179" s="207">
        <v>0</v>
      </c>
      <c r="BL179" s="207">
        <v>0</v>
      </c>
      <c r="BM179" s="207">
        <v>0</v>
      </c>
      <c r="BN179" s="207">
        <v>0</v>
      </c>
      <c r="BO179" s="207">
        <v>0</v>
      </c>
      <c r="BP179" s="207">
        <v>0</v>
      </c>
      <c r="BQ179" s="207">
        <v>0</v>
      </c>
      <c r="BR179" s="207">
        <v>0</v>
      </c>
      <c r="BS179" s="207">
        <v>0</v>
      </c>
      <c r="BT179" s="207">
        <v>0</v>
      </c>
      <c r="BU179" s="207">
        <v>0</v>
      </c>
      <c r="BV179" s="207">
        <v>0</v>
      </c>
      <c r="BW179" s="207">
        <v>0</v>
      </c>
      <c r="BX179" s="207">
        <v>0</v>
      </c>
      <c r="BY179" s="207">
        <v>0</v>
      </c>
      <c r="BZ179" s="207">
        <v>0</v>
      </c>
      <c r="CA179" s="207">
        <v>0</v>
      </c>
      <c r="CB179" s="207">
        <v>0</v>
      </c>
      <c r="CC179" s="207">
        <v>0</v>
      </c>
      <c r="CD179" s="207">
        <v>0</v>
      </c>
      <c r="CE179" s="207">
        <v>0</v>
      </c>
      <c r="CF179" s="207">
        <v>0</v>
      </c>
      <c r="CG179" s="147"/>
      <c r="CH179" s="176"/>
      <c r="CJ179" s="146"/>
      <c r="CK179" s="76">
        <f t="shared" ca="1" si="206"/>
        <v>0.30897496801488789</v>
      </c>
      <c r="CL179" s="179">
        <f t="shared" si="207"/>
        <v>2</v>
      </c>
      <c r="CM179" s="180">
        <f t="shared" si="208"/>
        <v>39987</v>
      </c>
      <c r="CN179" s="208">
        <v>0</v>
      </c>
      <c r="CO179" s="208">
        <v>0</v>
      </c>
      <c r="CP179" s="208">
        <v>0</v>
      </c>
      <c r="CQ179" s="208">
        <v>0</v>
      </c>
      <c r="CR179" s="208">
        <v>0</v>
      </c>
      <c r="CS179" s="208">
        <v>0</v>
      </c>
      <c r="CT179" s="208">
        <v>0</v>
      </c>
      <c r="CU179" s="208">
        <v>0</v>
      </c>
      <c r="CV179" s="160"/>
      <c r="CW179">
        <v>1</v>
      </c>
      <c r="CX179">
        <f>355/64</f>
        <v>5.546875</v>
      </c>
      <c r="CY179" s="160"/>
      <c r="CZ179" s="177">
        <f t="shared" si="209"/>
        <v>9.6000000000000002E-2</v>
      </c>
      <c r="DB179" s="146"/>
      <c r="DC179" s="76">
        <f t="shared" ca="1" si="172"/>
        <v>0.11206871296348986</v>
      </c>
      <c r="DD179">
        <f t="shared" si="210"/>
        <v>2</v>
      </c>
      <c r="DE179" s="129">
        <f t="shared" si="246"/>
        <v>39987</v>
      </c>
      <c r="DF179" s="161">
        <f t="shared" si="211"/>
        <v>0</v>
      </c>
      <c r="DG179" s="161">
        <f t="shared" si="212"/>
        <v>0</v>
      </c>
      <c r="DH179" s="161">
        <f t="shared" si="213"/>
        <v>0</v>
      </c>
      <c r="DI179" s="161">
        <f t="shared" si="214"/>
        <v>0</v>
      </c>
      <c r="DJ179" s="161">
        <f t="shared" si="215"/>
        <v>0</v>
      </c>
      <c r="DK179" s="161">
        <f t="shared" si="216"/>
        <v>0</v>
      </c>
      <c r="DL179" s="161">
        <f t="shared" si="217"/>
        <v>10.416666666666666</v>
      </c>
      <c r="DM179" s="161">
        <f t="shared" si="218"/>
        <v>0</v>
      </c>
      <c r="DN179" s="161">
        <f t="shared" si="219"/>
        <v>0</v>
      </c>
      <c r="DO179" s="161">
        <f t="shared" si="220"/>
        <v>0</v>
      </c>
      <c r="DP179" s="161">
        <f t="shared" si="221"/>
        <v>0</v>
      </c>
      <c r="DQ179" s="161">
        <f t="shared" si="222"/>
        <v>0</v>
      </c>
      <c r="DR179" s="161">
        <f t="shared" si="223"/>
        <v>0</v>
      </c>
      <c r="DS179" s="161">
        <f t="shared" si="224"/>
        <v>0</v>
      </c>
      <c r="DT179" s="161">
        <f t="shared" si="225"/>
        <v>0</v>
      </c>
      <c r="DU179" s="161">
        <f t="shared" si="226"/>
        <v>0</v>
      </c>
      <c r="DV179" s="161">
        <f t="shared" si="227"/>
        <v>0</v>
      </c>
      <c r="DW179" s="161">
        <f t="shared" si="228"/>
        <v>0</v>
      </c>
      <c r="DX179" s="161">
        <f t="shared" si="229"/>
        <v>0</v>
      </c>
      <c r="DY179" s="161">
        <f t="shared" si="230"/>
        <v>0</v>
      </c>
      <c r="DZ179" s="161">
        <f t="shared" si="231"/>
        <v>0</v>
      </c>
      <c r="EA179" s="161">
        <f t="shared" si="232"/>
        <v>0</v>
      </c>
      <c r="EB179" s="161">
        <f t="shared" si="233"/>
        <v>0</v>
      </c>
      <c r="EC179" s="161">
        <f t="shared" si="234"/>
        <v>0</v>
      </c>
      <c r="ED179" s="161">
        <f t="shared" si="235"/>
        <v>0</v>
      </c>
      <c r="EE179" s="161">
        <f t="shared" si="236"/>
        <v>0</v>
      </c>
      <c r="EF179" s="161">
        <f t="shared" si="237"/>
        <v>0</v>
      </c>
      <c r="EG179" s="161">
        <f t="shared" si="238"/>
        <v>0</v>
      </c>
      <c r="EH179" s="161">
        <f t="shared" si="239"/>
        <v>0</v>
      </c>
      <c r="EI179" s="161">
        <f t="shared" si="240"/>
        <v>0</v>
      </c>
      <c r="EJ179" s="161">
        <f t="shared" si="241"/>
        <v>0</v>
      </c>
      <c r="EK179" s="147">
        <f t="shared" si="173"/>
        <v>10.416666666666666</v>
      </c>
      <c r="EL179" s="149"/>
      <c r="EN179" s="146"/>
      <c r="EO179" s="146"/>
      <c r="EP179" s="139">
        <f t="shared" si="174"/>
        <v>0</v>
      </c>
      <c r="EQ179" s="139">
        <f t="shared" si="175"/>
        <v>0</v>
      </c>
      <c r="ER179" s="139">
        <f t="shared" si="176"/>
        <v>0</v>
      </c>
      <c r="ES179" s="139">
        <f t="shared" si="177"/>
        <v>0</v>
      </c>
      <c r="ET179" s="139">
        <f t="shared" si="178"/>
        <v>0</v>
      </c>
      <c r="EU179" s="139">
        <f t="shared" si="179"/>
        <v>0</v>
      </c>
      <c r="EV179" s="139">
        <f t="shared" si="180"/>
        <v>14.286847949341793</v>
      </c>
      <c r="EW179" s="139">
        <f t="shared" si="181"/>
        <v>0</v>
      </c>
      <c r="EX179" s="139">
        <f t="shared" si="182"/>
        <v>0</v>
      </c>
      <c r="EY179" s="139">
        <f t="shared" si="183"/>
        <v>0</v>
      </c>
      <c r="EZ179" s="139">
        <f t="shared" si="184"/>
        <v>0</v>
      </c>
      <c r="FA179" s="139">
        <f t="shared" si="185"/>
        <v>0</v>
      </c>
      <c r="FB179" s="139">
        <f t="shared" si="186"/>
        <v>0</v>
      </c>
      <c r="FC179" s="139">
        <f t="shared" si="187"/>
        <v>0</v>
      </c>
      <c r="FD179" s="139">
        <f t="shared" si="188"/>
        <v>0</v>
      </c>
      <c r="FE179" s="139">
        <f t="shared" si="189"/>
        <v>0</v>
      </c>
      <c r="FF179" s="139">
        <f t="shared" si="190"/>
        <v>0</v>
      </c>
      <c r="FG179" s="139">
        <f t="shared" si="191"/>
        <v>0</v>
      </c>
      <c r="FH179" s="139">
        <f t="shared" si="192"/>
        <v>0</v>
      </c>
      <c r="FI179" s="139">
        <f t="shared" si="193"/>
        <v>0</v>
      </c>
      <c r="FJ179" s="139">
        <f t="shared" si="194"/>
        <v>0</v>
      </c>
      <c r="FK179" s="139">
        <f t="shared" si="195"/>
        <v>0</v>
      </c>
      <c r="FL179" s="139">
        <f t="shared" si="196"/>
        <v>0</v>
      </c>
      <c r="FM179" s="139">
        <f t="shared" si="197"/>
        <v>0</v>
      </c>
      <c r="FN179" s="139">
        <f t="shared" si="198"/>
        <v>0</v>
      </c>
      <c r="FO179" s="139">
        <f t="shared" si="199"/>
        <v>0</v>
      </c>
      <c r="FP179" s="139">
        <f t="shared" si="200"/>
        <v>0</v>
      </c>
      <c r="FQ179" s="139">
        <f t="shared" si="201"/>
        <v>0</v>
      </c>
      <c r="FR179" s="139">
        <f t="shared" si="202"/>
        <v>0</v>
      </c>
      <c r="FS179" s="139">
        <f t="shared" si="203"/>
        <v>0</v>
      </c>
      <c r="FT179" s="139">
        <f t="shared" si="204"/>
        <v>0</v>
      </c>
      <c r="FU179" s="148">
        <f t="shared" si="205"/>
        <v>14.286847949341793</v>
      </c>
      <c r="FV179" s="149"/>
      <c r="FY179" s="213">
        <v>174</v>
      </c>
      <c r="FZ179">
        <v>57.877794390460124</v>
      </c>
      <c r="GA179">
        <v>83.444268178854827</v>
      </c>
      <c r="GB179">
        <v>23.270261324150344</v>
      </c>
      <c r="GC179">
        <v>6.6189002290177683</v>
      </c>
      <c r="GD179">
        <v>5.0995093402876837</v>
      </c>
      <c r="GE179">
        <v>4.8799445044032881</v>
      </c>
      <c r="GF179">
        <v>15.142527809591543</v>
      </c>
      <c r="GG179">
        <v>12.521653638068145</v>
      </c>
      <c r="GH179">
        <v>11.445577840733964</v>
      </c>
      <c r="GI179">
        <v>22.872663720617673</v>
      </c>
      <c r="GJ179"/>
      <c r="GK179"/>
      <c r="GL179"/>
      <c r="GM179"/>
      <c r="GN179" s="208"/>
      <c r="GO179" s="208"/>
      <c r="GP179" s="208"/>
      <c r="GQ179" s="208"/>
      <c r="GR179" s="208"/>
      <c r="GS179" s="208"/>
      <c r="GT179" s="208"/>
      <c r="GU179" s="213">
        <v>174</v>
      </c>
    </row>
    <row r="180" spans="1:203" s="7" customFormat="1">
      <c r="A180" s="1"/>
      <c r="B180" s="76">
        <f ca="1">IF(C180="", "", RAND())</f>
        <v>0.7887746413983916</v>
      </c>
      <c r="C180">
        <v>4</v>
      </c>
      <c r="D180">
        <v>39987</v>
      </c>
      <c r="E180">
        <v>0</v>
      </c>
      <c r="F180">
        <v>0</v>
      </c>
      <c r="G180">
        <v>0</v>
      </c>
      <c r="H180">
        <v>0</v>
      </c>
      <c r="I180">
        <v>20.833333333333332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 s="2"/>
      <c r="AK180" s="80"/>
      <c r="AL180" s="74">
        <v>3.0028000000000028</v>
      </c>
      <c r="AM180" s="43">
        <v>164</v>
      </c>
      <c r="AN180">
        <v>347.08727876180791</v>
      </c>
      <c r="AO180">
        <v>26.109579666840695</v>
      </c>
      <c r="AP180">
        <v>59.060800160136608</v>
      </c>
      <c r="AQ180">
        <v>185.37416261567046</v>
      </c>
      <c r="AR180">
        <v>27.01432250340671</v>
      </c>
      <c r="AS180">
        <v>256.78946624274124</v>
      </c>
      <c r="AT180">
        <v>12.872472198081248</v>
      </c>
      <c r="AU180">
        <v>17.316483116587207</v>
      </c>
      <c r="AV180"/>
      <c r="AW180"/>
      <c r="AX180" s="146"/>
      <c r="AY180" s="76">
        <f t="shared" ca="1" si="171"/>
        <v>0.73970013095081222</v>
      </c>
      <c r="AZ180">
        <v>3</v>
      </c>
      <c r="BA180" s="129">
        <f t="shared" si="247"/>
        <v>39987</v>
      </c>
      <c r="BB180" s="207">
        <v>0</v>
      </c>
      <c r="BC180" s="207">
        <v>0</v>
      </c>
      <c r="BD180" s="207">
        <v>0</v>
      </c>
      <c r="BE180" s="207">
        <v>0</v>
      </c>
      <c r="BF180" s="207">
        <v>0</v>
      </c>
      <c r="BG180" s="207">
        <v>0</v>
      </c>
      <c r="BH180" s="207">
        <v>0</v>
      </c>
      <c r="BI180" s="207">
        <v>0</v>
      </c>
      <c r="BJ180" s="207">
        <v>0</v>
      </c>
      <c r="BK180" s="207">
        <v>0</v>
      </c>
      <c r="BL180" s="207">
        <v>0</v>
      </c>
      <c r="BM180" s="207">
        <v>0</v>
      </c>
      <c r="BN180" s="207">
        <v>0</v>
      </c>
      <c r="BO180" s="207">
        <v>0</v>
      </c>
      <c r="BP180" s="207">
        <v>0</v>
      </c>
      <c r="BQ180" s="207">
        <v>0</v>
      </c>
      <c r="BR180" s="207">
        <v>0</v>
      </c>
      <c r="BS180" s="207">
        <v>0</v>
      </c>
      <c r="BT180" s="207">
        <v>0</v>
      </c>
      <c r="BU180" s="207">
        <v>0</v>
      </c>
      <c r="BV180" s="207">
        <v>0</v>
      </c>
      <c r="BW180" s="207">
        <v>0</v>
      </c>
      <c r="BX180" s="207">
        <v>0</v>
      </c>
      <c r="BY180" s="207">
        <v>0</v>
      </c>
      <c r="BZ180" s="207">
        <v>0</v>
      </c>
      <c r="CA180" s="207">
        <v>0</v>
      </c>
      <c r="CB180" s="207">
        <v>0</v>
      </c>
      <c r="CC180" s="207">
        <v>0</v>
      </c>
      <c r="CD180" s="207">
        <v>0</v>
      </c>
      <c r="CE180" s="207">
        <v>0</v>
      </c>
      <c r="CF180" s="207">
        <v>0</v>
      </c>
      <c r="CG180" s="147"/>
      <c r="CH180" s="176"/>
      <c r="CJ180" s="146"/>
      <c r="CK180" s="76">
        <f t="shared" ca="1" si="206"/>
        <v>6.2746570221754006E-2</v>
      </c>
      <c r="CL180" s="179">
        <f t="shared" si="207"/>
        <v>3</v>
      </c>
      <c r="CM180" s="180">
        <f t="shared" si="208"/>
        <v>39987</v>
      </c>
      <c r="CN180" s="208">
        <v>0</v>
      </c>
      <c r="CO180" s="208">
        <v>1</v>
      </c>
      <c r="CP180" s="208">
        <v>1</v>
      </c>
      <c r="CQ180" s="208">
        <v>0</v>
      </c>
      <c r="CR180" s="208">
        <v>0</v>
      </c>
      <c r="CS180" s="208">
        <v>0</v>
      </c>
      <c r="CT180" s="208">
        <v>0</v>
      </c>
      <c r="CU180" s="208">
        <v>0</v>
      </c>
      <c r="CV180" s="160"/>
      <c r="CW180">
        <v>1</v>
      </c>
      <c r="CX180">
        <f>350/54</f>
        <v>6.4814814814814818</v>
      </c>
      <c r="CY180" s="160"/>
      <c r="CZ180" s="177">
        <f t="shared" si="209"/>
        <v>9.6000000000000002E-2</v>
      </c>
      <c r="DB180" s="146"/>
      <c r="DC180" s="76">
        <f t="shared" ca="1" si="172"/>
        <v>6.4576171246135239E-2</v>
      </c>
      <c r="DD180">
        <f t="shared" si="210"/>
        <v>3</v>
      </c>
      <c r="DE180" s="129">
        <f t="shared" si="246"/>
        <v>39987</v>
      </c>
      <c r="DF180" s="161">
        <f t="shared" si="211"/>
        <v>0</v>
      </c>
      <c r="DG180" s="161">
        <f t="shared" si="212"/>
        <v>67.51543209876543</v>
      </c>
      <c r="DH180" s="161">
        <f t="shared" si="213"/>
        <v>67.51543209876543</v>
      </c>
      <c r="DI180" s="161">
        <f t="shared" si="214"/>
        <v>0</v>
      </c>
      <c r="DJ180" s="161">
        <f t="shared" si="215"/>
        <v>0</v>
      </c>
      <c r="DK180" s="161">
        <f t="shared" si="216"/>
        <v>0</v>
      </c>
      <c r="DL180" s="161">
        <f t="shared" si="217"/>
        <v>0</v>
      </c>
      <c r="DM180" s="161">
        <f t="shared" si="218"/>
        <v>0</v>
      </c>
      <c r="DN180" s="161">
        <f t="shared" si="219"/>
        <v>0</v>
      </c>
      <c r="DO180" s="161">
        <f t="shared" si="220"/>
        <v>0</v>
      </c>
      <c r="DP180" s="161">
        <f t="shared" si="221"/>
        <v>0</v>
      </c>
      <c r="DQ180" s="161">
        <f t="shared" si="222"/>
        <v>0</v>
      </c>
      <c r="DR180" s="161">
        <f t="shared" si="223"/>
        <v>0</v>
      </c>
      <c r="DS180" s="161">
        <f t="shared" si="224"/>
        <v>0</v>
      </c>
      <c r="DT180" s="161">
        <f t="shared" si="225"/>
        <v>0</v>
      </c>
      <c r="DU180" s="161">
        <f t="shared" si="226"/>
        <v>0</v>
      </c>
      <c r="DV180" s="161">
        <f t="shared" si="227"/>
        <v>0</v>
      </c>
      <c r="DW180" s="161">
        <f t="shared" si="228"/>
        <v>0</v>
      </c>
      <c r="DX180" s="161">
        <f t="shared" si="229"/>
        <v>0</v>
      </c>
      <c r="DY180" s="161">
        <f t="shared" si="230"/>
        <v>0</v>
      </c>
      <c r="DZ180" s="161">
        <f t="shared" si="231"/>
        <v>0</v>
      </c>
      <c r="EA180" s="161">
        <f t="shared" si="232"/>
        <v>0</v>
      </c>
      <c r="EB180" s="161">
        <f t="shared" si="233"/>
        <v>0</v>
      </c>
      <c r="EC180" s="161">
        <f t="shared" si="234"/>
        <v>0</v>
      </c>
      <c r="ED180" s="161">
        <f t="shared" si="235"/>
        <v>0</v>
      </c>
      <c r="EE180" s="161">
        <f t="shared" si="236"/>
        <v>0</v>
      </c>
      <c r="EF180" s="161">
        <f t="shared" si="237"/>
        <v>0</v>
      </c>
      <c r="EG180" s="161">
        <f t="shared" si="238"/>
        <v>0</v>
      </c>
      <c r="EH180" s="161">
        <f t="shared" si="239"/>
        <v>0</v>
      </c>
      <c r="EI180" s="161">
        <f t="shared" si="240"/>
        <v>0</v>
      </c>
      <c r="EJ180" s="161">
        <f t="shared" si="241"/>
        <v>0</v>
      </c>
      <c r="EK180" s="147">
        <f t="shared" si="173"/>
        <v>135.03086419753086</v>
      </c>
      <c r="EL180" s="149"/>
      <c r="EN180" s="146"/>
      <c r="EO180" s="146"/>
      <c r="EP180" s="139">
        <f t="shared" si="174"/>
        <v>0</v>
      </c>
      <c r="EQ180" s="139">
        <f t="shared" si="175"/>
        <v>0.77854070216049376</v>
      </c>
      <c r="ER180" s="139">
        <f t="shared" si="176"/>
        <v>4.9445676241716923</v>
      </c>
      <c r="ES180" s="139">
        <f t="shared" si="177"/>
        <v>0</v>
      </c>
      <c r="ET180" s="139">
        <f t="shared" si="178"/>
        <v>0</v>
      </c>
      <c r="EU180" s="139">
        <f t="shared" si="179"/>
        <v>0</v>
      </c>
      <c r="EV180" s="139">
        <f t="shared" si="180"/>
        <v>0</v>
      </c>
      <c r="EW180" s="139">
        <f t="shared" si="181"/>
        <v>0</v>
      </c>
      <c r="EX180" s="139">
        <f t="shared" si="182"/>
        <v>0</v>
      </c>
      <c r="EY180" s="139">
        <f t="shared" si="183"/>
        <v>0</v>
      </c>
      <c r="EZ180" s="139">
        <f t="shared" si="184"/>
        <v>0</v>
      </c>
      <c r="FA180" s="139">
        <f t="shared" si="185"/>
        <v>0</v>
      </c>
      <c r="FB180" s="139">
        <f t="shared" si="186"/>
        <v>0</v>
      </c>
      <c r="FC180" s="139">
        <f t="shared" si="187"/>
        <v>0</v>
      </c>
      <c r="FD180" s="139">
        <f t="shared" si="188"/>
        <v>0</v>
      </c>
      <c r="FE180" s="139">
        <f t="shared" si="189"/>
        <v>0</v>
      </c>
      <c r="FF180" s="139">
        <f t="shared" si="190"/>
        <v>0</v>
      </c>
      <c r="FG180" s="139">
        <f t="shared" si="191"/>
        <v>0</v>
      </c>
      <c r="FH180" s="139">
        <f t="shared" si="192"/>
        <v>0</v>
      </c>
      <c r="FI180" s="139">
        <f t="shared" si="193"/>
        <v>0</v>
      </c>
      <c r="FJ180" s="139">
        <f t="shared" si="194"/>
        <v>0</v>
      </c>
      <c r="FK180" s="139">
        <f t="shared" si="195"/>
        <v>0</v>
      </c>
      <c r="FL180" s="139">
        <f t="shared" si="196"/>
        <v>0</v>
      </c>
      <c r="FM180" s="139">
        <f t="shared" si="197"/>
        <v>0</v>
      </c>
      <c r="FN180" s="139">
        <f t="shared" si="198"/>
        <v>0</v>
      </c>
      <c r="FO180" s="139">
        <f t="shared" si="199"/>
        <v>0</v>
      </c>
      <c r="FP180" s="139">
        <f t="shared" si="200"/>
        <v>0</v>
      </c>
      <c r="FQ180" s="139">
        <f t="shared" si="201"/>
        <v>0</v>
      </c>
      <c r="FR180" s="139">
        <f t="shared" si="202"/>
        <v>0</v>
      </c>
      <c r="FS180" s="139">
        <f t="shared" si="203"/>
        <v>0</v>
      </c>
      <c r="FT180" s="139">
        <f t="shared" si="204"/>
        <v>0</v>
      </c>
      <c r="FU180" s="148">
        <f t="shared" si="205"/>
        <v>5.723108326332186</v>
      </c>
      <c r="FV180" s="149"/>
      <c r="FY180" s="213">
        <v>175</v>
      </c>
      <c r="FZ180">
        <v>52.814779471752615</v>
      </c>
      <c r="GA180">
        <v>38.564832322521823</v>
      </c>
      <c r="GB180">
        <v>3.8405165351266453</v>
      </c>
      <c r="GC180">
        <v>5.0898720017255163</v>
      </c>
      <c r="GD180">
        <v>5.0087262640738945</v>
      </c>
      <c r="GE180">
        <v>4.8135975925284322</v>
      </c>
      <c r="GF180">
        <v>18.671223316846376</v>
      </c>
      <c r="GG180">
        <v>17.265804770715313</v>
      </c>
      <c r="GH180">
        <v>5.9936091886043616</v>
      </c>
      <c r="GI180">
        <v>15.86389207011927</v>
      </c>
      <c r="GJ180"/>
      <c r="GK180"/>
      <c r="GL180"/>
      <c r="GM180"/>
      <c r="GN180" s="208"/>
      <c r="GO180" s="208"/>
      <c r="GP180" s="208"/>
      <c r="GQ180" s="208"/>
      <c r="GR180" s="208"/>
      <c r="GS180" s="208"/>
      <c r="GT180" s="208"/>
      <c r="GU180" s="213">
        <v>175</v>
      </c>
    </row>
    <row r="181" spans="1:203" s="7" customFormat="1">
      <c r="A181" s="1"/>
      <c r="B181" s="76">
        <f ca="1">IF(C181="", "", RAND())</f>
        <v>0.19475364961229324</v>
      </c>
      <c r="C181">
        <v>10</v>
      </c>
      <c r="D181">
        <v>39987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 s="2"/>
      <c r="AK181" s="80"/>
      <c r="AL181" s="74">
        <v>3.0028000000000028</v>
      </c>
      <c r="AM181" s="43">
        <v>165</v>
      </c>
      <c r="AN181">
        <v>305.326863286547</v>
      </c>
      <c r="AO181">
        <v>28.97112067814178</v>
      </c>
      <c r="AP181">
        <v>95.922767778906234</v>
      </c>
      <c r="AQ181">
        <v>207.35922263497778</v>
      </c>
      <c r="AR181">
        <v>28.972024271314559</v>
      </c>
      <c r="AS181">
        <v>257.22320727145836</v>
      </c>
      <c r="AT181">
        <v>13.178367190052954</v>
      </c>
      <c r="AU181">
        <v>58.299411577963625</v>
      </c>
      <c r="AV181"/>
      <c r="AW181"/>
      <c r="AX181" s="146"/>
      <c r="AY181" s="76">
        <f t="shared" ca="1" si="171"/>
        <v>0.18960489686548088</v>
      </c>
      <c r="AZ181">
        <v>4</v>
      </c>
      <c r="BA181" s="129">
        <f t="shared" si="247"/>
        <v>39987</v>
      </c>
      <c r="BB181" s="207">
        <v>0</v>
      </c>
      <c r="BC181" s="207">
        <v>0</v>
      </c>
      <c r="BD181" s="207">
        <v>0</v>
      </c>
      <c r="BE181" s="207">
        <v>0</v>
      </c>
      <c r="BF181" s="207">
        <v>2</v>
      </c>
      <c r="BG181" s="207">
        <v>0</v>
      </c>
      <c r="BH181" s="207">
        <v>0</v>
      </c>
      <c r="BI181" s="207">
        <v>0</v>
      </c>
      <c r="BJ181" s="207">
        <v>0</v>
      </c>
      <c r="BK181" s="207">
        <v>0</v>
      </c>
      <c r="BL181" s="207">
        <v>0</v>
      </c>
      <c r="BM181" s="207">
        <v>0</v>
      </c>
      <c r="BN181" s="207">
        <v>0</v>
      </c>
      <c r="BO181" s="207">
        <v>0</v>
      </c>
      <c r="BP181" s="207">
        <v>0</v>
      </c>
      <c r="BQ181" s="207">
        <v>0</v>
      </c>
      <c r="BR181" s="207">
        <v>0</v>
      </c>
      <c r="BS181" s="207">
        <v>0</v>
      </c>
      <c r="BT181" s="207">
        <v>0</v>
      </c>
      <c r="BU181" s="207">
        <v>0</v>
      </c>
      <c r="BV181" s="207">
        <v>0</v>
      </c>
      <c r="BW181" s="207">
        <v>0</v>
      </c>
      <c r="BX181" s="207">
        <v>0</v>
      </c>
      <c r="BY181" s="207">
        <v>0</v>
      </c>
      <c r="BZ181" s="207">
        <v>0</v>
      </c>
      <c r="CA181" s="207">
        <v>0</v>
      </c>
      <c r="CB181" s="207">
        <v>0</v>
      </c>
      <c r="CC181" s="207">
        <v>0</v>
      </c>
      <c r="CD181" s="207">
        <v>0</v>
      </c>
      <c r="CE181" s="207">
        <v>0</v>
      </c>
      <c r="CF181" s="207">
        <v>0</v>
      </c>
      <c r="CG181" s="147"/>
      <c r="CH181" s="176"/>
      <c r="CJ181" s="146"/>
      <c r="CK181" s="76">
        <f t="shared" ca="1" si="206"/>
        <v>0.61688062487068596</v>
      </c>
      <c r="CL181" s="179">
        <f t="shared" si="207"/>
        <v>4</v>
      </c>
      <c r="CM181" s="180">
        <f t="shared" si="208"/>
        <v>39987</v>
      </c>
      <c r="CN181" s="208">
        <v>0</v>
      </c>
      <c r="CO181" s="208">
        <v>0</v>
      </c>
      <c r="CP181" s="208">
        <v>0</v>
      </c>
      <c r="CQ181" s="208">
        <v>0</v>
      </c>
      <c r="CR181" s="208">
        <v>0</v>
      </c>
      <c r="CS181" s="208">
        <v>0</v>
      </c>
      <c r="CT181" s="208">
        <v>0</v>
      </c>
      <c r="CU181" s="208">
        <v>0</v>
      </c>
      <c r="CV181" s="160"/>
      <c r="CW181">
        <v>1</v>
      </c>
      <c r="CX181">
        <f>350/41</f>
        <v>8.536585365853659</v>
      </c>
      <c r="CY181" s="160"/>
      <c r="CZ181" s="177">
        <f t="shared" si="209"/>
        <v>9.6000000000000002E-2</v>
      </c>
      <c r="DB181" s="146"/>
      <c r="DC181" s="76">
        <f t="shared" ca="1" si="172"/>
        <v>0.19868994199367673</v>
      </c>
      <c r="DD181">
        <f t="shared" si="210"/>
        <v>4</v>
      </c>
      <c r="DE181" s="129">
        <f t="shared" si="246"/>
        <v>39987</v>
      </c>
      <c r="DF181" s="161">
        <f t="shared" si="211"/>
        <v>0</v>
      </c>
      <c r="DG181" s="161">
        <f t="shared" si="212"/>
        <v>0</v>
      </c>
      <c r="DH181" s="161">
        <f t="shared" si="213"/>
        <v>0</v>
      </c>
      <c r="DI181" s="161">
        <f t="shared" si="214"/>
        <v>0</v>
      </c>
      <c r="DJ181" s="161">
        <f t="shared" si="215"/>
        <v>20.833333333333332</v>
      </c>
      <c r="DK181" s="161">
        <f t="shared" si="216"/>
        <v>0</v>
      </c>
      <c r="DL181" s="161">
        <f t="shared" si="217"/>
        <v>0</v>
      </c>
      <c r="DM181" s="161">
        <f t="shared" si="218"/>
        <v>0</v>
      </c>
      <c r="DN181" s="161">
        <f t="shared" si="219"/>
        <v>0</v>
      </c>
      <c r="DO181" s="161">
        <f t="shared" si="220"/>
        <v>0</v>
      </c>
      <c r="DP181" s="161">
        <f t="shared" si="221"/>
        <v>0</v>
      </c>
      <c r="DQ181" s="161">
        <f t="shared" si="222"/>
        <v>0</v>
      </c>
      <c r="DR181" s="161">
        <f t="shared" si="223"/>
        <v>0</v>
      </c>
      <c r="DS181" s="161">
        <f t="shared" si="224"/>
        <v>0</v>
      </c>
      <c r="DT181" s="161">
        <f t="shared" si="225"/>
        <v>0</v>
      </c>
      <c r="DU181" s="161">
        <f t="shared" si="226"/>
        <v>0</v>
      </c>
      <c r="DV181" s="161">
        <f t="shared" si="227"/>
        <v>0</v>
      </c>
      <c r="DW181" s="161">
        <f t="shared" si="228"/>
        <v>0</v>
      </c>
      <c r="DX181" s="161">
        <f t="shared" si="229"/>
        <v>0</v>
      </c>
      <c r="DY181" s="161">
        <f t="shared" si="230"/>
        <v>0</v>
      </c>
      <c r="DZ181" s="161">
        <f t="shared" si="231"/>
        <v>0</v>
      </c>
      <c r="EA181" s="161">
        <f t="shared" si="232"/>
        <v>0</v>
      </c>
      <c r="EB181" s="161">
        <f t="shared" si="233"/>
        <v>0</v>
      </c>
      <c r="EC181" s="161">
        <f t="shared" si="234"/>
        <v>0</v>
      </c>
      <c r="ED181" s="161">
        <f t="shared" si="235"/>
        <v>0</v>
      </c>
      <c r="EE181" s="161">
        <f t="shared" si="236"/>
        <v>0</v>
      </c>
      <c r="EF181" s="161">
        <f t="shared" si="237"/>
        <v>0</v>
      </c>
      <c r="EG181" s="161">
        <f t="shared" si="238"/>
        <v>0</v>
      </c>
      <c r="EH181" s="161">
        <f t="shared" si="239"/>
        <v>0</v>
      </c>
      <c r="EI181" s="161">
        <f t="shared" si="240"/>
        <v>0</v>
      </c>
      <c r="EJ181" s="161">
        <f t="shared" si="241"/>
        <v>0</v>
      </c>
      <c r="EK181" s="147">
        <f t="shared" si="173"/>
        <v>20.833333333333332</v>
      </c>
      <c r="EL181" s="149"/>
      <c r="EN181" s="146"/>
      <c r="EO181" s="146"/>
      <c r="EP181" s="139">
        <f t="shared" si="174"/>
        <v>0</v>
      </c>
      <c r="EQ181" s="139">
        <f t="shared" si="175"/>
        <v>0</v>
      </c>
      <c r="ER181" s="139">
        <f t="shared" si="176"/>
        <v>0</v>
      </c>
      <c r="ES181" s="139">
        <f t="shared" si="177"/>
        <v>0</v>
      </c>
      <c r="ET181" s="139">
        <f t="shared" si="178"/>
        <v>9.6901618395739177</v>
      </c>
      <c r="EU181" s="139">
        <f t="shared" si="179"/>
        <v>0</v>
      </c>
      <c r="EV181" s="139">
        <f t="shared" si="180"/>
        <v>0</v>
      </c>
      <c r="EW181" s="139">
        <f t="shared" si="181"/>
        <v>0</v>
      </c>
      <c r="EX181" s="139">
        <f t="shared" si="182"/>
        <v>0</v>
      </c>
      <c r="EY181" s="139">
        <f t="shared" si="183"/>
        <v>0</v>
      </c>
      <c r="EZ181" s="139">
        <f t="shared" si="184"/>
        <v>0</v>
      </c>
      <c r="FA181" s="139">
        <f t="shared" si="185"/>
        <v>0</v>
      </c>
      <c r="FB181" s="139">
        <f t="shared" si="186"/>
        <v>0</v>
      </c>
      <c r="FC181" s="139">
        <f t="shared" si="187"/>
        <v>0</v>
      </c>
      <c r="FD181" s="139">
        <f t="shared" si="188"/>
        <v>0</v>
      </c>
      <c r="FE181" s="139">
        <f t="shared" si="189"/>
        <v>0</v>
      </c>
      <c r="FF181" s="139">
        <f t="shared" si="190"/>
        <v>0</v>
      </c>
      <c r="FG181" s="139">
        <f t="shared" si="191"/>
        <v>0</v>
      </c>
      <c r="FH181" s="139">
        <f t="shared" si="192"/>
        <v>0</v>
      </c>
      <c r="FI181" s="139">
        <f t="shared" si="193"/>
        <v>0</v>
      </c>
      <c r="FJ181" s="139">
        <f t="shared" si="194"/>
        <v>0</v>
      </c>
      <c r="FK181" s="139">
        <f t="shared" si="195"/>
        <v>0</v>
      </c>
      <c r="FL181" s="139">
        <f t="shared" si="196"/>
        <v>0</v>
      </c>
      <c r="FM181" s="139">
        <f t="shared" si="197"/>
        <v>0</v>
      </c>
      <c r="FN181" s="139">
        <f t="shared" si="198"/>
        <v>0</v>
      </c>
      <c r="FO181" s="139">
        <f t="shared" si="199"/>
        <v>0</v>
      </c>
      <c r="FP181" s="139">
        <f t="shared" si="200"/>
        <v>0</v>
      </c>
      <c r="FQ181" s="139">
        <f t="shared" si="201"/>
        <v>0</v>
      </c>
      <c r="FR181" s="139">
        <f t="shared" si="202"/>
        <v>0</v>
      </c>
      <c r="FS181" s="139">
        <f t="shared" si="203"/>
        <v>0</v>
      </c>
      <c r="FT181" s="139">
        <f t="shared" si="204"/>
        <v>0</v>
      </c>
      <c r="FU181" s="148">
        <f t="shared" si="205"/>
        <v>9.6901618395739177</v>
      </c>
      <c r="FV181" s="149"/>
      <c r="FY181" s="213">
        <v>176</v>
      </c>
      <c r="FZ181">
        <v>78.56709610814292</v>
      </c>
      <c r="GA181">
        <v>62.739628787811917</v>
      </c>
      <c r="GB181">
        <v>4.4809904968383591</v>
      </c>
      <c r="GC181">
        <v>5.1950125453989155</v>
      </c>
      <c r="GD181">
        <v>4.0985743828448973</v>
      </c>
      <c r="GE181">
        <v>6.0221099172999759</v>
      </c>
      <c r="GF181">
        <v>23.376873626891776</v>
      </c>
      <c r="GG181">
        <v>20.435616488348671</v>
      </c>
      <c r="GH181">
        <v>16.383942275533563</v>
      </c>
      <c r="GI181">
        <v>21.828799840764074</v>
      </c>
      <c r="GJ181"/>
      <c r="GK181"/>
      <c r="GL181"/>
      <c r="GM181"/>
      <c r="GN181" s="208"/>
      <c r="GO181" s="208"/>
      <c r="GP181" s="208"/>
      <c r="GQ181" s="208"/>
      <c r="GR181" s="208"/>
      <c r="GS181" s="208"/>
      <c r="GT181" s="208"/>
      <c r="GU181" s="213">
        <v>176</v>
      </c>
    </row>
    <row r="182" spans="1:203" s="7" customFormat="1">
      <c r="A182" s="1"/>
      <c r="B182" s="76">
        <f ca="1">IF(C182="", "", RAND())</f>
        <v>0.83554731046754416</v>
      </c>
      <c r="C182">
        <v>2</v>
      </c>
      <c r="D182">
        <v>39987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10.416666666666666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 s="2"/>
      <c r="AK182" s="80"/>
      <c r="AL182" s="74"/>
      <c r="AM182" s="43">
        <v>166</v>
      </c>
      <c r="AN182">
        <v>255.35156386982763</v>
      </c>
      <c r="AO182">
        <v>23.980293296575475</v>
      </c>
      <c r="AP182">
        <v>90.673036392015007</v>
      </c>
      <c r="AQ182">
        <v>168.43258232776961</v>
      </c>
      <c r="AR182">
        <v>26.571635833318588</v>
      </c>
      <c r="AS182">
        <v>225.79213994086763</v>
      </c>
      <c r="AT182">
        <v>11.361983342945067</v>
      </c>
      <c r="AU182">
        <v>25.610108195264594</v>
      </c>
      <c r="AV182"/>
      <c r="AW182"/>
      <c r="AX182" s="146"/>
      <c r="AY182" s="76">
        <f t="shared" ca="1" si="171"/>
        <v>8.4821918188682233E-2</v>
      </c>
      <c r="AZ182">
        <v>5</v>
      </c>
      <c r="BA182" s="129">
        <f t="shared" si="247"/>
        <v>39987</v>
      </c>
      <c r="BB182" s="207">
        <v>0</v>
      </c>
      <c r="BC182" s="207">
        <v>0</v>
      </c>
      <c r="BD182" s="207">
        <v>0</v>
      </c>
      <c r="BE182" s="207">
        <v>1</v>
      </c>
      <c r="BF182" s="207">
        <v>0</v>
      </c>
      <c r="BG182" s="207">
        <v>0</v>
      </c>
      <c r="BH182" s="207">
        <v>1</v>
      </c>
      <c r="BI182" s="207">
        <v>0</v>
      </c>
      <c r="BJ182" s="207">
        <v>0</v>
      </c>
      <c r="BK182" s="207">
        <v>0</v>
      </c>
      <c r="BL182" s="207">
        <v>0</v>
      </c>
      <c r="BM182" s="207">
        <v>0</v>
      </c>
      <c r="BN182" s="207">
        <v>0</v>
      </c>
      <c r="BO182" s="207">
        <v>0</v>
      </c>
      <c r="BP182" s="207">
        <v>0</v>
      </c>
      <c r="BQ182" s="207">
        <v>0</v>
      </c>
      <c r="BR182" s="207">
        <v>0</v>
      </c>
      <c r="BS182" s="207">
        <v>0</v>
      </c>
      <c r="BT182" s="207">
        <v>0</v>
      </c>
      <c r="BU182" s="207">
        <v>0</v>
      </c>
      <c r="BV182" s="207">
        <v>0</v>
      </c>
      <c r="BW182" s="207">
        <v>0</v>
      </c>
      <c r="BX182" s="207">
        <v>0</v>
      </c>
      <c r="BY182" s="207">
        <v>0</v>
      </c>
      <c r="BZ182" s="207">
        <v>0</v>
      </c>
      <c r="CA182" s="207">
        <v>0</v>
      </c>
      <c r="CB182" s="207">
        <v>0</v>
      </c>
      <c r="CC182" s="207">
        <v>0</v>
      </c>
      <c r="CD182" s="207">
        <v>0</v>
      </c>
      <c r="CE182" s="207">
        <v>0</v>
      </c>
      <c r="CF182" s="207">
        <v>0</v>
      </c>
      <c r="CG182" s="147"/>
      <c r="CH182" s="176"/>
      <c r="CJ182" s="146"/>
      <c r="CK182" s="76">
        <f t="shared" ca="1" si="206"/>
        <v>0.85325626664430554</v>
      </c>
      <c r="CL182" s="179">
        <f t="shared" si="207"/>
        <v>5</v>
      </c>
      <c r="CM182" s="180">
        <f t="shared" si="208"/>
        <v>39987</v>
      </c>
      <c r="CN182" s="208">
        <v>0</v>
      </c>
      <c r="CO182" s="208">
        <v>0</v>
      </c>
      <c r="CP182" s="208">
        <v>0</v>
      </c>
      <c r="CQ182" s="208">
        <v>0</v>
      </c>
      <c r="CR182" s="208">
        <v>0</v>
      </c>
      <c r="CS182" s="208">
        <v>0</v>
      </c>
      <c r="CT182" s="208">
        <v>0</v>
      </c>
      <c r="CU182" s="208">
        <v>0</v>
      </c>
      <c r="CV182" s="160"/>
      <c r="CW182">
        <v>1</v>
      </c>
      <c r="CX182">
        <f>350/60</f>
        <v>5.833333333333333</v>
      </c>
      <c r="CY182" s="160"/>
      <c r="CZ182" s="177">
        <f t="shared" si="209"/>
        <v>9.6000000000000002E-2</v>
      </c>
      <c r="DB182" s="146"/>
      <c r="DC182" s="76">
        <f t="shared" ca="1" si="172"/>
        <v>0.51542982705410045</v>
      </c>
      <c r="DD182">
        <f t="shared" si="210"/>
        <v>5</v>
      </c>
      <c r="DE182" s="129">
        <f t="shared" si="246"/>
        <v>39987</v>
      </c>
      <c r="DF182" s="161">
        <f t="shared" si="211"/>
        <v>0</v>
      </c>
      <c r="DG182" s="161">
        <f t="shared" si="212"/>
        <v>0</v>
      </c>
      <c r="DH182" s="161">
        <f t="shared" si="213"/>
        <v>0</v>
      </c>
      <c r="DI182" s="161">
        <f t="shared" si="214"/>
        <v>10.416666666666666</v>
      </c>
      <c r="DJ182" s="161">
        <f t="shared" si="215"/>
        <v>0</v>
      </c>
      <c r="DK182" s="161">
        <f t="shared" si="216"/>
        <v>0</v>
      </c>
      <c r="DL182" s="161">
        <f t="shared" si="217"/>
        <v>10.416666666666666</v>
      </c>
      <c r="DM182" s="161">
        <f t="shared" si="218"/>
        <v>0</v>
      </c>
      <c r="DN182" s="161">
        <f t="shared" si="219"/>
        <v>0</v>
      </c>
      <c r="DO182" s="161">
        <f t="shared" si="220"/>
        <v>0</v>
      </c>
      <c r="DP182" s="161">
        <f t="shared" si="221"/>
        <v>0</v>
      </c>
      <c r="DQ182" s="161">
        <f t="shared" si="222"/>
        <v>0</v>
      </c>
      <c r="DR182" s="161">
        <f t="shared" si="223"/>
        <v>0</v>
      </c>
      <c r="DS182" s="161">
        <f t="shared" si="224"/>
        <v>0</v>
      </c>
      <c r="DT182" s="161">
        <f t="shared" si="225"/>
        <v>0</v>
      </c>
      <c r="DU182" s="161">
        <f t="shared" si="226"/>
        <v>0</v>
      </c>
      <c r="DV182" s="161">
        <f t="shared" si="227"/>
        <v>0</v>
      </c>
      <c r="DW182" s="161">
        <f t="shared" si="228"/>
        <v>0</v>
      </c>
      <c r="DX182" s="161">
        <f t="shared" si="229"/>
        <v>0</v>
      </c>
      <c r="DY182" s="161">
        <f t="shared" si="230"/>
        <v>0</v>
      </c>
      <c r="DZ182" s="161">
        <f t="shared" si="231"/>
        <v>0</v>
      </c>
      <c r="EA182" s="161">
        <f t="shared" si="232"/>
        <v>0</v>
      </c>
      <c r="EB182" s="161">
        <f t="shared" si="233"/>
        <v>0</v>
      </c>
      <c r="EC182" s="161">
        <f t="shared" si="234"/>
        <v>0</v>
      </c>
      <c r="ED182" s="161">
        <f t="shared" si="235"/>
        <v>0</v>
      </c>
      <c r="EE182" s="161">
        <f t="shared" si="236"/>
        <v>0</v>
      </c>
      <c r="EF182" s="161">
        <f t="shared" si="237"/>
        <v>0</v>
      </c>
      <c r="EG182" s="161">
        <f t="shared" si="238"/>
        <v>0</v>
      </c>
      <c r="EH182" s="161">
        <f t="shared" si="239"/>
        <v>0</v>
      </c>
      <c r="EI182" s="161">
        <f t="shared" si="240"/>
        <v>0</v>
      </c>
      <c r="EJ182" s="161">
        <f t="shared" si="241"/>
        <v>0</v>
      </c>
      <c r="EK182" s="147">
        <f t="shared" si="173"/>
        <v>20.833333333333332</v>
      </c>
      <c r="EL182" s="149"/>
      <c r="EN182" s="146"/>
      <c r="EO182" s="146"/>
      <c r="EP182" s="139">
        <f t="shared" si="174"/>
        <v>0</v>
      </c>
      <c r="EQ182" s="139">
        <f t="shared" si="175"/>
        <v>0</v>
      </c>
      <c r="ER182" s="139">
        <f t="shared" si="176"/>
        <v>0</v>
      </c>
      <c r="ES182" s="139">
        <f t="shared" si="177"/>
        <v>2.2495177494926182</v>
      </c>
      <c r="ET182" s="139">
        <f t="shared" si="178"/>
        <v>0</v>
      </c>
      <c r="EU182" s="139">
        <f t="shared" si="179"/>
        <v>0</v>
      </c>
      <c r="EV182" s="139">
        <f t="shared" si="180"/>
        <v>14.286847949341793</v>
      </c>
      <c r="EW182" s="139">
        <f t="shared" si="181"/>
        <v>0</v>
      </c>
      <c r="EX182" s="139">
        <f t="shared" si="182"/>
        <v>0</v>
      </c>
      <c r="EY182" s="139">
        <f t="shared" si="183"/>
        <v>0</v>
      </c>
      <c r="EZ182" s="139">
        <f t="shared" si="184"/>
        <v>0</v>
      </c>
      <c r="FA182" s="139">
        <f t="shared" si="185"/>
        <v>0</v>
      </c>
      <c r="FB182" s="139">
        <f t="shared" si="186"/>
        <v>0</v>
      </c>
      <c r="FC182" s="139">
        <f t="shared" si="187"/>
        <v>0</v>
      </c>
      <c r="FD182" s="139">
        <f t="shared" si="188"/>
        <v>0</v>
      </c>
      <c r="FE182" s="139">
        <f t="shared" si="189"/>
        <v>0</v>
      </c>
      <c r="FF182" s="139">
        <f t="shared" si="190"/>
        <v>0</v>
      </c>
      <c r="FG182" s="139">
        <f t="shared" si="191"/>
        <v>0</v>
      </c>
      <c r="FH182" s="139">
        <f t="shared" si="192"/>
        <v>0</v>
      </c>
      <c r="FI182" s="139">
        <f t="shared" si="193"/>
        <v>0</v>
      </c>
      <c r="FJ182" s="139">
        <f t="shared" si="194"/>
        <v>0</v>
      </c>
      <c r="FK182" s="139">
        <f t="shared" si="195"/>
        <v>0</v>
      </c>
      <c r="FL182" s="139">
        <f t="shared" si="196"/>
        <v>0</v>
      </c>
      <c r="FM182" s="139">
        <f t="shared" si="197"/>
        <v>0</v>
      </c>
      <c r="FN182" s="139">
        <f t="shared" si="198"/>
        <v>0</v>
      </c>
      <c r="FO182" s="139">
        <f t="shared" si="199"/>
        <v>0</v>
      </c>
      <c r="FP182" s="139">
        <f t="shared" si="200"/>
        <v>0</v>
      </c>
      <c r="FQ182" s="139">
        <f t="shared" si="201"/>
        <v>0</v>
      </c>
      <c r="FR182" s="139">
        <f t="shared" si="202"/>
        <v>0</v>
      </c>
      <c r="FS182" s="139">
        <f t="shared" si="203"/>
        <v>0</v>
      </c>
      <c r="FT182" s="139">
        <f t="shared" si="204"/>
        <v>0</v>
      </c>
      <c r="FU182" s="148">
        <f t="shared" si="205"/>
        <v>16.536365698834409</v>
      </c>
      <c r="FV182" s="149"/>
      <c r="FY182" s="213">
        <v>177</v>
      </c>
      <c r="FZ182">
        <v>32.860392467633091</v>
      </c>
      <c r="GA182">
        <v>52.351829516016728</v>
      </c>
      <c r="GB182">
        <v>15.607845986296768</v>
      </c>
      <c r="GC182">
        <v>10.426522170339037</v>
      </c>
      <c r="GD182">
        <v>8.0085732946758448</v>
      </c>
      <c r="GE182">
        <v>3.8476213113963751</v>
      </c>
      <c r="GF182">
        <v>20.631719142368855</v>
      </c>
      <c r="GG182">
        <v>18.842313838098367</v>
      </c>
      <c r="GH182">
        <v>16.599149765471974</v>
      </c>
      <c r="GI182">
        <v>20.360961603249486</v>
      </c>
      <c r="GJ182"/>
      <c r="GK182"/>
      <c r="GL182"/>
      <c r="GM182"/>
      <c r="GN182" s="208"/>
      <c r="GO182" s="208"/>
      <c r="GP182" s="208"/>
      <c r="GQ182" s="208"/>
      <c r="GR182" s="208"/>
      <c r="GS182" s="208"/>
      <c r="GT182" s="208"/>
      <c r="GU182" s="213">
        <v>177</v>
      </c>
    </row>
    <row r="183" spans="1:203" s="7" customFormat="1">
      <c r="A183" s="1"/>
      <c r="B183" s="76">
        <f ca="1">IF(C183="", "", RAND())</f>
        <v>0.24636857532262546</v>
      </c>
      <c r="C183">
        <v>6</v>
      </c>
      <c r="D183">
        <v>39987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 s="2"/>
      <c r="AK183" s="80"/>
      <c r="AL183" s="74"/>
      <c r="AM183" s="43">
        <v>167</v>
      </c>
      <c r="AN183">
        <v>319.99703148576037</v>
      </c>
      <c r="AO183">
        <v>28.478151496157903</v>
      </c>
      <c r="AP183">
        <v>102.78308220536366</v>
      </c>
      <c r="AQ183">
        <v>213.67689503368683</v>
      </c>
      <c r="AR183">
        <v>28.470879787221136</v>
      </c>
      <c r="AS183">
        <v>258.40435253143187</v>
      </c>
      <c r="AT183">
        <v>14.687095715898954</v>
      </c>
      <c r="AU183">
        <v>15.188901263569237</v>
      </c>
      <c r="AV183"/>
      <c r="AW183"/>
      <c r="AX183" s="146"/>
      <c r="AY183" s="76">
        <f t="shared" ca="1" si="171"/>
        <v>0.16883189658599473</v>
      </c>
      <c r="AZ183">
        <v>6</v>
      </c>
      <c r="BA183" s="129">
        <f t="shared" si="247"/>
        <v>39987</v>
      </c>
      <c r="BB183" s="207">
        <v>0</v>
      </c>
      <c r="BC183" s="207">
        <v>0</v>
      </c>
      <c r="BD183" s="207">
        <v>0</v>
      </c>
      <c r="BE183" s="207">
        <v>0</v>
      </c>
      <c r="BF183" s="207">
        <v>0</v>
      </c>
      <c r="BG183" s="207">
        <v>0</v>
      </c>
      <c r="BH183" s="207">
        <v>0</v>
      </c>
      <c r="BI183" s="207">
        <v>0</v>
      </c>
      <c r="BJ183" s="207">
        <v>0</v>
      </c>
      <c r="BK183" s="207">
        <v>0</v>
      </c>
      <c r="BL183" s="207">
        <v>0</v>
      </c>
      <c r="BM183" s="207">
        <v>0</v>
      </c>
      <c r="BN183" s="207">
        <v>0</v>
      </c>
      <c r="BO183" s="207">
        <v>0</v>
      </c>
      <c r="BP183" s="207">
        <v>0</v>
      </c>
      <c r="BQ183" s="207">
        <v>0</v>
      </c>
      <c r="BR183" s="207">
        <v>0</v>
      </c>
      <c r="BS183" s="207">
        <v>0</v>
      </c>
      <c r="BT183" s="207">
        <v>0</v>
      </c>
      <c r="BU183" s="207">
        <v>0</v>
      </c>
      <c r="BV183" s="207">
        <v>0</v>
      </c>
      <c r="BW183" s="207">
        <v>0</v>
      </c>
      <c r="BX183" s="207">
        <v>0</v>
      </c>
      <c r="BY183" s="207">
        <v>0</v>
      </c>
      <c r="BZ183" s="207">
        <v>0</v>
      </c>
      <c r="CA183" s="207">
        <v>0</v>
      </c>
      <c r="CB183" s="207">
        <v>0</v>
      </c>
      <c r="CC183" s="207">
        <v>0</v>
      </c>
      <c r="CD183" s="207">
        <v>0</v>
      </c>
      <c r="CE183" s="207">
        <v>0</v>
      </c>
      <c r="CF183" s="207">
        <v>0</v>
      </c>
      <c r="CG183" s="147"/>
      <c r="CH183" s="176"/>
      <c r="CJ183" s="146"/>
      <c r="CK183" s="76">
        <f t="shared" ca="1" si="206"/>
        <v>0.37645557936664131</v>
      </c>
      <c r="CL183" s="179">
        <f t="shared" si="207"/>
        <v>6</v>
      </c>
      <c r="CM183" s="180">
        <f t="shared" si="208"/>
        <v>39987</v>
      </c>
      <c r="CN183" s="208">
        <v>0</v>
      </c>
      <c r="CO183" s="208">
        <v>0</v>
      </c>
      <c r="CP183" s="208">
        <v>0</v>
      </c>
      <c r="CQ183" s="208">
        <v>0</v>
      </c>
      <c r="CR183" s="208">
        <v>0</v>
      </c>
      <c r="CS183" s="208">
        <v>0</v>
      </c>
      <c r="CT183" s="208">
        <v>0</v>
      </c>
      <c r="CU183" s="208">
        <v>0</v>
      </c>
      <c r="CV183" s="160"/>
      <c r="CW183">
        <v>1</v>
      </c>
      <c r="CX183">
        <f>350/50</f>
        <v>7</v>
      </c>
      <c r="CY183" s="160"/>
      <c r="CZ183" s="177">
        <f t="shared" si="209"/>
        <v>9.6000000000000002E-2</v>
      </c>
      <c r="DB183" s="146"/>
      <c r="DC183" s="76">
        <f t="shared" ca="1" si="172"/>
        <v>0.90462793976128464</v>
      </c>
      <c r="DD183">
        <f t="shared" si="210"/>
        <v>6</v>
      </c>
      <c r="DE183" s="129">
        <f t="shared" si="246"/>
        <v>39987</v>
      </c>
      <c r="DF183" s="161">
        <f t="shared" si="211"/>
        <v>0</v>
      </c>
      <c r="DG183" s="161">
        <f t="shared" si="212"/>
        <v>0</v>
      </c>
      <c r="DH183" s="161">
        <f t="shared" si="213"/>
        <v>0</v>
      </c>
      <c r="DI183" s="161">
        <f t="shared" si="214"/>
        <v>0</v>
      </c>
      <c r="DJ183" s="161">
        <f t="shared" si="215"/>
        <v>0</v>
      </c>
      <c r="DK183" s="161">
        <f t="shared" si="216"/>
        <v>0</v>
      </c>
      <c r="DL183" s="161">
        <f t="shared" si="217"/>
        <v>0</v>
      </c>
      <c r="DM183" s="161">
        <f t="shared" si="218"/>
        <v>0</v>
      </c>
      <c r="DN183" s="161">
        <f t="shared" si="219"/>
        <v>0</v>
      </c>
      <c r="DO183" s="161">
        <f t="shared" si="220"/>
        <v>0</v>
      </c>
      <c r="DP183" s="161">
        <f t="shared" si="221"/>
        <v>0</v>
      </c>
      <c r="DQ183" s="161">
        <f t="shared" si="222"/>
        <v>0</v>
      </c>
      <c r="DR183" s="161">
        <f t="shared" si="223"/>
        <v>0</v>
      </c>
      <c r="DS183" s="161">
        <f t="shared" si="224"/>
        <v>0</v>
      </c>
      <c r="DT183" s="161">
        <f t="shared" si="225"/>
        <v>0</v>
      </c>
      <c r="DU183" s="161">
        <f t="shared" si="226"/>
        <v>0</v>
      </c>
      <c r="DV183" s="161">
        <f t="shared" si="227"/>
        <v>0</v>
      </c>
      <c r="DW183" s="161">
        <f t="shared" si="228"/>
        <v>0</v>
      </c>
      <c r="DX183" s="161">
        <f t="shared" si="229"/>
        <v>0</v>
      </c>
      <c r="DY183" s="161">
        <f t="shared" si="230"/>
        <v>0</v>
      </c>
      <c r="DZ183" s="161">
        <f t="shared" si="231"/>
        <v>0</v>
      </c>
      <c r="EA183" s="161">
        <f t="shared" si="232"/>
        <v>0</v>
      </c>
      <c r="EB183" s="161">
        <f t="shared" si="233"/>
        <v>0</v>
      </c>
      <c r="EC183" s="161">
        <f t="shared" si="234"/>
        <v>0</v>
      </c>
      <c r="ED183" s="161">
        <f t="shared" si="235"/>
        <v>0</v>
      </c>
      <c r="EE183" s="161">
        <f t="shared" si="236"/>
        <v>0</v>
      </c>
      <c r="EF183" s="161">
        <f t="shared" si="237"/>
        <v>0</v>
      </c>
      <c r="EG183" s="161">
        <f t="shared" si="238"/>
        <v>0</v>
      </c>
      <c r="EH183" s="161">
        <f t="shared" si="239"/>
        <v>0</v>
      </c>
      <c r="EI183" s="161">
        <f t="shared" si="240"/>
        <v>0</v>
      </c>
      <c r="EJ183" s="161">
        <f t="shared" si="241"/>
        <v>0</v>
      </c>
      <c r="EK183" s="147">
        <f t="shared" si="173"/>
        <v>0</v>
      </c>
      <c r="EL183" s="149"/>
      <c r="EN183" s="146"/>
      <c r="EO183" s="146"/>
      <c r="EP183" s="139">
        <f t="shared" si="174"/>
        <v>0</v>
      </c>
      <c r="EQ183" s="139">
        <f t="shared" si="175"/>
        <v>0</v>
      </c>
      <c r="ER183" s="139">
        <f t="shared" si="176"/>
        <v>0</v>
      </c>
      <c r="ES183" s="139">
        <f t="shared" si="177"/>
        <v>0</v>
      </c>
      <c r="ET183" s="139">
        <f t="shared" si="178"/>
        <v>0</v>
      </c>
      <c r="EU183" s="139">
        <f t="shared" si="179"/>
        <v>0</v>
      </c>
      <c r="EV183" s="139">
        <f t="shared" si="180"/>
        <v>0</v>
      </c>
      <c r="EW183" s="139">
        <f t="shared" si="181"/>
        <v>0</v>
      </c>
      <c r="EX183" s="139">
        <f t="shared" si="182"/>
        <v>0</v>
      </c>
      <c r="EY183" s="139">
        <f t="shared" si="183"/>
        <v>0</v>
      </c>
      <c r="EZ183" s="139">
        <f t="shared" si="184"/>
        <v>0</v>
      </c>
      <c r="FA183" s="139">
        <f t="shared" si="185"/>
        <v>0</v>
      </c>
      <c r="FB183" s="139">
        <f t="shared" si="186"/>
        <v>0</v>
      </c>
      <c r="FC183" s="139">
        <f t="shared" si="187"/>
        <v>0</v>
      </c>
      <c r="FD183" s="139">
        <f t="shared" si="188"/>
        <v>0</v>
      </c>
      <c r="FE183" s="139">
        <f t="shared" si="189"/>
        <v>0</v>
      </c>
      <c r="FF183" s="139">
        <f t="shared" si="190"/>
        <v>0</v>
      </c>
      <c r="FG183" s="139">
        <f t="shared" si="191"/>
        <v>0</v>
      </c>
      <c r="FH183" s="139">
        <f t="shared" si="192"/>
        <v>0</v>
      </c>
      <c r="FI183" s="139">
        <f t="shared" si="193"/>
        <v>0</v>
      </c>
      <c r="FJ183" s="139">
        <f t="shared" si="194"/>
        <v>0</v>
      </c>
      <c r="FK183" s="139">
        <f t="shared" si="195"/>
        <v>0</v>
      </c>
      <c r="FL183" s="139">
        <f t="shared" si="196"/>
        <v>0</v>
      </c>
      <c r="FM183" s="139">
        <f t="shared" si="197"/>
        <v>0</v>
      </c>
      <c r="FN183" s="139">
        <f t="shared" si="198"/>
        <v>0</v>
      </c>
      <c r="FO183" s="139">
        <f t="shared" si="199"/>
        <v>0</v>
      </c>
      <c r="FP183" s="139">
        <f t="shared" si="200"/>
        <v>0</v>
      </c>
      <c r="FQ183" s="139">
        <f t="shared" si="201"/>
        <v>0</v>
      </c>
      <c r="FR183" s="139">
        <f t="shared" si="202"/>
        <v>0</v>
      </c>
      <c r="FS183" s="139">
        <f t="shared" si="203"/>
        <v>0</v>
      </c>
      <c r="FT183" s="139">
        <f t="shared" si="204"/>
        <v>0</v>
      </c>
      <c r="FU183" s="148">
        <f t="shared" si="205"/>
        <v>0</v>
      </c>
      <c r="FV183" s="149"/>
      <c r="FY183" s="213">
        <v>178</v>
      </c>
      <c r="FZ183">
        <v>64.35143774786826</v>
      </c>
      <c r="GA183">
        <v>62.270005313120265</v>
      </c>
      <c r="GB183">
        <v>7.4904808791141413</v>
      </c>
      <c r="GC183">
        <v>4.7506291443744066</v>
      </c>
      <c r="GD183">
        <v>4.2023184629599051</v>
      </c>
      <c r="GE183">
        <v>6.7200114175238284</v>
      </c>
      <c r="GF183">
        <v>9.3865961629939019</v>
      </c>
      <c r="GG183">
        <v>7.1807757295154433</v>
      </c>
      <c r="GH183">
        <v>16.002834397988483</v>
      </c>
      <c r="GI183">
        <v>18.120371046310876</v>
      </c>
      <c r="GJ183"/>
      <c r="GK183"/>
      <c r="GL183"/>
      <c r="GM183"/>
      <c r="GN183" s="208"/>
      <c r="GO183" s="208"/>
      <c r="GP183" s="208"/>
      <c r="GQ183" s="208"/>
      <c r="GR183" s="208"/>
      <c r="GS183" s="208"/>
      <c r="GT183" s="208"/>
      <c r="GU183" s="213">
        <v>178</v>
      </c>
    </row>
    <row r="184" spans="1:203" s="7" customFormat="1">
      <c r="A184" s="1"/>
      <c r="B184" s="76">
        <f ca="1">IF(C184="", "", RAND())</f>
        <v>0.44200735951121928</v>
      </c>
      <c r="C184">
        <v>7</v>
      </c>
      <c r="D184">
        <v>39987</v>
      </c>
      <c r="E184">
        <v>0</v>
      </c>
      <c r="F184">
        <v>214.46078431372547</v>
      </c>
      <c r="G184">
        <v>71.486928104575156</v>
      </c>
      <c r="H184">
        <v>71.486928104575156</v>
      </c>
      <c r="I184">
        <v>10.416666666666666</v>
      </c>
      <c r="J184">
        <v>0</v>
      </c>
      <c r="K184">
        <v>10.416666666666666</v>
      </c>
      <c r="L184">
        <v>20.833333333333332</v>
      </c>
      <c r="M184">
        <v>10.416666666666666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 s="2"/>
      <c r="AK184" s="80"/>
      <c r="AL184" s="74"/>
      <c r="AM184" s="43">
        <v>168</v>
      </c>
      <c r="AN184">
        <v>274.9250344575309</v>
      </c>
      <c r="AO184">
        <v>29.586082750376658</v>
      </c>
      <c r="AP184">
        <v>38.487284126131442</v>
      </c>
      <c r="AQ184">
        <v>220.03278426650692</v>
      </c>
      <c r="AR184">
        <v>30.839962896040969</v>
      </c>
      <c r="AS184">
        <v>251.13621206830751</v>
      </c>
      <c r="AT184">
        <v>14.109540923751455</v>
      </c>
      <c r="AU184">
        <v>16.077963862852492</v>
      </c>
      <c r="AV184"/>
      <c r="AW184"/>
      <c r="AX184" s="146"/>
      <c r="AY184" s="76">
        <f t="shared" ca="1" si="171"/>
        <v>0.72643249582148961</v>
      </c>
      <c r="AZ184">
        <v>7</v>
      </c>
      <c r="BA184" s="129">
        <f t="shared" si="247"/>
        <v>39987</v>
      </c>
      <c r="BB184" s="207">
        <v>0</v>
      </c>
      <c r="BC184" s="207">
        <v>0</v>
      </c>
      <c r="BD184" s="207">
        <v>0</v>
      </c>
      <c r="BE184" s="207">
        <v>0</v>
      </c>
      <c r="BF184" s="207">
        <v>1</v>
      </c>
      <c r="BG184" s="207">
        <v>0</v>
      </c>
      <c r="BH184" s="207">
        <v>1</v>
      </c>
      <c r="BI184" s="207">
        <v>2</v>
      </c>
      <c r="BJ184" s="207">
        <v>1</v>
      </c>
      <c r="BK184" s="207">
        <v>0</v>
      </c>
      <c r="BL184" s="207">
        <v>0</v>
      </c>
      <c r="BM184" s="207">
        <v>0</v>
      </c>
      <c r="BN184" s="207">
        <v>0</v>
      </c>
      <c r="BO184" s="207">
        <v>0</v>
      </c>
      <c r="BP184" s="207">
        <v>0</v>
      </c>
      <c r="BQ184" s="207">
        <v>0</v>
      </c>
      <c r="BR184" s="207">
        <v>0</v>
      </c>
      <c r="BS184" s="207">
        <v>0</v>
      </c>
      <c r="BT184" s="207">
        <v>0</v>
      </c>
      <c r="BU184" s="207">
        <v>0</v>
      </c>
      <c r="BV184" s="207">
        <v>0</v>
      </c>
      <c r="BW184" s="207">
        <v>0</v>
      </c>
      <c r="BX184" s="207">
        <v>0</v>
      </c>
      <c r="BY184" s="207">
        <v>0</v>
      </c>
      <c r="BZ184" s="207">
        <v>0</v>
      </c>
      <c r="CA184" s="207">
        <v>0</v>
      </c>
      <c r="CB184" s="207">
        <v>0</v>
      </c>
      <c r="CC184" s="207">
        <v>0</v>
      </c>
      <c r="CD184" s="207">
        <v>0</v>
      </c>
      <c r="CE184" s="207">
        <v>0</v>
      </c>
      <c r="CF184" s="207">
        <v>0</v>
      </c>
      <c r="CG184" s="147"/>
      <c r="CH184" s="176"/>
      <c r="CJ184" s="146"/>
      <c r="CK184" s="76">
        <f t="shared" ca="1" si="206"/>
        <v>0.40345997413159473</v>
      </c>
      <c r="CL184" s="179">
        <f t="shared" si="207"/>
        <v>7</v>
      </c>
      <c r="CM184" s="180">
        <f t="shared" si="208"/>
        <v>39987</v>
      </c>
      <c r="CN184" s="208">
        <v>0</v>
      </c>
      <c r="CO184" s="208">
        <v>3</v>
      </c>
      <c r="CP184" s="208">
        <v>1</v>
      </c>
      <c r="CQ184" s="208">
        <v>1</v>
      </c>
      <c r="CR184" s="208">
        <v>0</v>
      </c>
      <c r="CS184" s="208">
        <v>0</v>
      </c>
      <c r="CT184" s="208">
        <v>0</v>
      </c>
      <c r="CU184" s="208">
        <v>0</v>
      </c>
      <c r="CV184" s="160"/>
      <c r="CW184">
        <v>1</v>
      </c>
      <c r="CX184">
        <f>350/51</f>
        <v>6.8627450980392153</v>
      </c>
      <c r="CY184" s="165"/>
      <c r="CZ184" s="177">
        <f t="shared" si="209"/>
        <v>9.6000000000000002E-2</v>
      </c>
      <c r="DB184" s="146"/>
      <c r="DC184" s="76">
        <f t="shared" ca="1" si="172"/>
        <v>0.66500332516420735</v>
      </c>
      <c r="DD184">
        <f t="shared" si="210"/>
        <v>7</v>
      </c>
      <c r="DE184" s="129">
        <f t="shared" si="246"/>
        <v>39987</v>
      </c>
      <c r="DF184" s="161">
        <f t="shared" si="211"/>
        <v>0</v>
      </c>
      <c r="DG184" s="161">
        <f t="shared" si="212"/>
        <v>214.46078431372547</v>
      </c>
      <c r="DH184" s="161">
        <f t="shared" si="213"/>
        <v>71.486928104575156</v>
      </c>
      <c r="DI184" s="161">
        <f t="shared" si="214"/>
        <v>71.486928104575156</v>
      </c>
      <c r="DJ184" s="161">
        <f t="shared" si="215"/>
        <v>10.416666666666666</v>
      </c>
      <c r="DK184" s="161">
        <f t="shared" si="216"/>
        <v>0</v>
      </c>
      <c r="DL184" s="161">
        <f t="shared" si="217"/>
        <v>10.416666666666666</v>
      </c>
      <c r="DM184" s="161">
        <f t="shared" si="218"/>
        <v>20.833333333333332</v>
      </c>
      <c r="DN184" s="161">
        <f t="shared" si="219"/>
        <v>10.416666666666666</v>
      </c>
      <c r="DO184" s="161">
        <f t="shared" si="220"/>
        <v>0</v>
      </c>
      <c r="DP184" s="161">
        <f t="shared" si="221"/>
        <v>0</v>
      </c>
      <c r="DQ184" s="161">
        <f t="shared" si="222"/>
        <v>0</v>
      </c>
      <c r="DR184" s="161">
        <f t="shared" si="223"/>
        <v>0</v>
      </c>
      <c r="DS184" s="161">
        <f t="shared" si="224"/>
        <v>0</v>
      </c>
      <c r="DT184" s="161">
        <f t="shared" si="225"/>
        <v>0</v>
      </c>
      <c r="DU184" s="161">
        <f t="shared" si="226"/>
        <v>0</v>
      </c>
      <c r="DV184" s="161">
        <f t="shared" si="227"/>
        <v>0</v>
      </c>
      <c r="DW184" s="161">
        <f t="shared" si="228"/>
        <v>0</v>
      </c>
      <c r="DX184" s="161">
        <f t="shared" si="229"/>
        <v>0</v>
      </c>
      <c r="DY184" s="161">
        <f t="shared" si="230"/>
        <v>0</v>
      </c>
      <c r="DZ184" s="161">
        <f t="shared" si="231"/>
        <v>0</v>
      </c>
      <c r="EA184" s="161">
        <f t="shared" si="232"/>
        <v>0</v>
      </c>
      <c r="EB184" s="161">
        <f t="shared" si="233"/>
        <v>0</v>
      </c>
      <c r="EC184" s="161">
        <f t="shared" si="234"/>
        <v>0</v>
      </c>
      <c r="ED184" s="161">
        <f t="shared" si="235"/>
        <v>0</v>
      </c>
      <c r="EE184" s="161">
        <f t="shared" si="236"/>
        <v>0</v>
      </c>
      <c r="EF184" s="161">
        <f t="shared" si="237"/>
        <v>0</v>
      </c>
      <c r="EG184" s="161">
        <f t="shared" si="238"/>
        <v>0</v>
      </c>
      <c r="EH184" s="161">
        <f t="shared" si="239"/>
        <v>0</v>
      </c>
      <c r="EI184" s="161">
        <f t="shared" si="240"/>
        <v>0</v>
      </c>
      <c r="EJ184" s="161">
        <f t="shared" si="241"/>
        <v>0</v>
      </c>
      <c r="EK184" s="147">
        <f t="shared" ref="EK184:EK207" si="248">IF(DF184="", "", SUM(DF184:EJ184))</f>
        <v>409.51797385620915</v>
      </c>
      <c r="EL184" s="149"/>
      <c r="EN184" s="146"/>
      <c r="EO184" s="146"/>
      <c r="EP184" s="139">
        <f t="shared" ref="EP184:EP207" si="249">IF(DF184="", "", DF184*G$36)</f>
        <v>0</v>
      </c>
      <c r="EQ184" s="139">
        <f t="shared" ref="EQ184:EQ207" si="250">IF(DG184="", "", DG184*H$36)</f>
        <v>2.4730116421568624</v>
      </c>
      <c r="ER184" s="139">
        <f t="shared" ref="ER184:ER207" si="251">IF(DH184="", "", DH184*I$36)</f>
        <v>5.2354245432406152</v>
      </c>
      <c r="ES184" s="139">
        <f t="shared" ref="ES184:ES207" si="252">IF(DI184="", "", DI184*J$36)</f>
        <v>15.437866908282672</v>
      </c>
      <c r="ET184" s="139">
        <f t="shared" ref="ET184:ET207" si="253">IF(DJ184="", "", DJ184*K$36)</f>
        <v>4.8450809197869589</v>
      </c>
      <c r="EU184" s="139">
        <f t="shared" ref="EU184:EU207" si="254">IF(DK184="", "", DK184*L$36)</f>
        <v>0</v>
      </c>
      <c r="EV184" s="139">
        <f t="shared" ref="EV184:EV207" si="255">IF(DL184="", "", DL184*M$36)</f>
        <v>14.286847949341793</v>
      </c>
      <c r="EW184" s="139">
        <f t="shared" ref="EW184:EW207" si="256">IF(DM184="", "", DM184*N$36)</f>
        <v>43.103596275578063</v>
      </c>
      <c r="EX184" s="139">
        <f t="shared" ref="EX184:EX207" si="257">IF(DN184="", "", DN184*O$36)</f>
        <v>30.77145509025932</v>
      </c>
      <c r="EY184" s="139">
        <f t="shared" ref="EY184:EY207" si="258">IF(DO184="", "", DO184*P$36)</f>
        <v>0</v>
      </c>
      <c r="EZ184" s="139">
        <f t="shared" ref="EZ184:EZ207" si="259">IF(DP184="", "", DP184*Q$36)</f>
        <v>0</v>
      </c>
      <c r="FA184" s="139">
        <f t="shared" ref="FA184:FA207" si="260">IF(DQ184="", "", DQ184*R$36)</f>
        <v>0</v>
      </c>
      <c r="FB184" s="139">
        <f t="shared" ref="FB184:FB207" si="261">IF(DR184="", "", DR184*S$36)</f>
        <v>0</v>
      </c>
      <c r="FC184" s="139">
        <f t="shared" ref="FC184:FC207" si="262">IF(DS184="", "", DS184*T$36)</f>
        <v>0</v>
      </c>
      <c r="FD184" s="139">
        <f t="shared" ref="FD184:FD207" si="263">IF(DT184="", "", DT184*U$36)</f>
        <v>0</v>
      </c>
      <c r="FE184" s="139">
        <f t="shared" ref="FE184:FE207" si="264">IF(DU184="", "", DU184*V$36)</f>
        <v>0</v>
      </c>
      <c r="FF184" s="139">
        <f t="shared" ref="FF184:FF207" si="265">IF(DV184="", "", DV184*W$36)</f>
        <v>0</v>
      </c>
      <c r="FG184" s="139">
        <f t="shared" ref="FG184:FG207" si="266">IF(DW184="", "", DW184*X$36)</f>
        <v>0</v>
      </c>
      <c r="FH184" s="139">
        <f t="shared" ref="FH184:FH207" si="267">IF(DX184="", "", DX184*Y$36)</f>
        <v>0</v>
      </c>
      <c r="FI184" s="139">
        <f t="shared" ref="FI184:FI207" si="268">IF(DY184="", "", DY184*Z$36)</f>
        <v>0</v>
      </c>
      <c r="FJ184" s="139">
        <f t="shared" ref="FJ184:FJ207" si="269">IF(DZ184="", "", DZ184*AA$36)</f>
        <v>0</v>
      </c>
      <c r="FK184" s="139">
        <f t="shared" ref="FK184:FK207" si="270">IF(EA184="", "", EA184*AB$36)</f>
        <v>0</v>
      </c>
      <c r="FL184" s="139">
        <f t="shared" ref="FL184:FL207" si="271">IF(EB184="", "", EB184*AC$36)</f>
        <v>0</v>
      </c>
      <c r="FM184" s="139">
        <f t="shared" ref="FM184:FM207" si="272">IF(EC184="", "", EC184*AD$36)</f>
        <v>0</v>
      </c>
      <c r="FN184" s="139">
        <f t="shared" ref="FN184:FN207" si="273">IF(ED184="", "", ED184*AE$36)</f>
        <v>0</v>
      </c>
      <c r="FO184" s="139">
        <f t="shared" ref="FO184:FO207" si="274">IF(EE184="", "", EE184*AF$36)</f>
        <v>0</v>
      </c>
      <c r="FP184" s="139">
        <f t="shared" ref="FP184:FP207" si="275">IF(EF184="", "", EF184*AG$36)</f>
        <v>0</v>
      </c>
      <c r="FQ184" s="139">
        <f t="shared" ref="FQ184:FQ207" si="276">IF(EG184="", "", EG184*AH$36)</f>
        <v>0</v>
      </c>
      <c r="FR184" s="139">
        <f t="shared" ref="FR184:FR207" si="277">IF(EH184="", "", EH184*AI$36)</f>
        <v>0</v>
      </c>
      <c r="FS184" s="139">
        <f t="shared" ref="FS184:FS207" si="278">IF(EI184="", "", EI184*AJ$36)</f>
        <v>0</v>
      </c>
      <c r="FT184" s="139">
        <f t="shared" ref="FT184:FT207" si="279">IF(EJ184="", "", EJ184*AK$36)</f>
        <v>0</v>
      </c>
      <c r="FU184" s="148">
        <f t="shared" ref="FU184:FU207" si="280">IF(EP184="","",SUM(EP184:FT184))</f>
        <v>116.15328332864628</v>
      </c>
      <c r="FV184" s="149"/>
      <c r="FY184" s="213">
        <v>179</v>
      </c>
      <c r="FZ184">
        <v>67.663435756576945</v>
      </c>
      <c r="GA184">
        <v>57.150995145883016</v>
      </c>
      <c r="GB184">
        <v>3.6678269272235031</v>
      </c>
      <c r="GC184">
        <v>5.0668692276649256</v>
      </c>
      <c r="GD184">
        <v>4.9499338725411066</v>
      </c>
      <c r="GE184">
        <v>4.3058807693163335</v>
      </c>
      <c r="GF184">
        <v>11.62370009693616</v>
      </c>
      <c r="GG184">
        <v>14.391862802563976</v>
      </c>
      <c r="GH184">
        <v>17.273592313991372</v>
      </c>
      <c r="GI184">
        <v>18.496219847294192</v>
      </c>
      <c r="GJ184"/>
      <c r="GK184"/>
      <c r="GL184"/>
      <c r="GM184"/>
      <c r="GN184" s="208"/>
      <c r="GO184" s="208"/>
      <c r="GP184" s="208"/>
      <c r="GQ184" s="208"/>
      <c r="GR184" s="208"/>
      <c r="GS184" s="208"/>
      <c r="GT184" s="208"/>
      <c r="GU184" s="213">
        <v>179</v>
      </c>
    </row>
    <row r="185" spans="1:203" s="7" customFormat="1">
      <c r="A185" s="1"/>
      <c r="B185" s="76">
        <f ca="1">IF(C185="", "", RAND())</f>
        <v>0.9227905600335895</v>
      </c>
      <c r="C185">
        <v>5</v>
      </c>
      <c r="D185">
        <v>39987</v>
      </c>
      <c r="E185">
        <v>0</v>
      </c>
      <c r="F185">
        <v>0</v>
      </c>
      <c r="G185">
        <v>0</v>
      </c>
      <c r="H185">
        <v>10.416666666666666</v>
      </c>
      <c r="I185">
        <v>0</v>
      </c>
      <c r="J185">
        <v>0</v>
      </c>
      <c r="K185">
        <v>10.416666666666666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 s="2"/>
      <c r="AK185" s="80"/>
      <c r="AL185" s="74"/>
      <c r="AM185" s="43">
        <v>169</v>
      </c>
      <c r="AN185">
        <v>251.12226649331723</v>
      </c>
      <c r="AO185">
        <v>24.501393657097257</v>
      </c>
      <c r="AP185">
        <v>61.375605043931394</v>
      </c>
      <c r="AQ185">
        <v>180.34002179691231</v>
      </c>
      <c r="AR185">
        <v>25.74239663898549</v>
      </c>
      <c r="AS185">
        <v>206.98225890350457</v>
      </c>
      <c r="AT185">
        <v>11.931489963426444</v>
      </c>
      <c r="AU185">
        <v>24.13910178028064</v>
      </c>
      <c r="AV185"/>
      <c r="AW185"/>
      <c r="AX185" s="146"/>
      <c r="AY185" s="76">
        <f t="shared" ca="1" si="171"/>
        <v>0.48522237258820655</v>
      </c>
      <c r="AZ185">
        <v>8</v>
      </c>
      <c r="BA185" s="129">
        <f t="shared" si="247"/>
        <v>39987</v>
      </c>
      <c r="BB185" s="207">
        <v>0</v>
      </c>
      <c r="BC185" s="207">
        <v>0</v>
      </c>
      <c r="BD185" s="207">
        <v>0</v>
      </c>
      <c r="BE185" s="207">
        <v>0</v>
      </c>
      <c r="BF185" s="207">
        <v>0</v>
      </c>
      <c r="BG185" s="207">
        <v>0</v>
      </c>
      <c r="BH185" s="207">
        <v>0</v>
      </c>
      <c r="BI185" s="207">
        <v>0</v>
      </c>
      <c r="BJ185" s="207">
        <v>0</v>
      </c>
      <c r="BK185" s="207">
        <v>0</v>
      </c>
      <c r="BL185" s="207">
        <v>0</v>
      </c>
      <c r="BM185" s="207">
        <v>0</v>
      </c>
      <c r="BN185" s="207">
        <v>0</v>
      </c>
      <c r="BO185" s="207">
        <v>0</v>
      </c>
      <c r="BP185" s="207">
        <v>0</v>
      </c>
      <c r="BQ185" s="207">
        <v>0</v>
      </c>
      <c r="BR185" s="207">
        <v>0</v>
      </c>
      <c r="BS185" s="207">
        <v>0</v>
      </c>
      <c r="BT185" s="207">
        <v>0</v>
      </c>
      <c r="BU185" s="207">
        <v>0</v>
      </c>
      <c r="BV185" s="207">
        <v>0</v>
      </c>
      <c r="BW185" s="207">
        <v>0</v>
      </c>
      <c r="BX185" s="207">
        <v>0</v>
      </c>
      <c r="BY185" s="207">
        <v>0</v>
      </c>
      <c r="BZ185" s="207">
        <v>0</v>
      </c>
      <c r="CA185" s="207">
        <v>0</v>
      </c>
      <c r="CB185" s="207">
        <v>0</v>
      </c>
      <c r="CC185" s="207">
        <v>0</v>
      </c>
      <c r="CD185" s="207">
        <v>0</v>
      </c>
      <c r="CE185" s="207">
        <v>0</v>
      </c>
      <c r="CF185" s="207">
        <v>0</v>
      </c>
      <c r="CG185" s="147"/>
      <c r="CH185" s="176"/>
      <c r="CJ185" s="146"/>
      <c r="CK185" s="76">
        <f t="shared" ca="1" si="206"/>
        <v>0.24588357230052704</v>
      </c>
      <c r="CL185" s="179">
        <f t="shared" si="207"/>
        <v>8</v>
      </c>
      <c r="CM185" s="180">
        <f t="shared" si="208"/>
        <v>39987</v>
      </c>
      <c r="CN185" s="208">
        <v>0</v>
      </c>
      <c r="CO185" s="208">
        <v>0</v>
      </c>
      <c r="CP185" s="208">
        <v>0</v>
      </c>
      <c r="CQ185" s="208">
        <v>0</v>
      </c>
      <c r="CR185" s="208">
        <v>0</v>
      </c>
      <c r="CS185" s="208">
        <v>0</v>
      </c>
      <c r="CT185" s="208">
        <v>0</v>
      </c>
      <c r="CU185" s="208">
        <v>0</v>
      </c>
      <c r="CV185" s="160"/>
      <c r="CW185">
        <v>1</v>
      </c>
      <c r="CX185">
        <f>350/65</f>
        <v>5.384615384615385</v>
      </c>
      <c r="CY185" s="165"/>
      <c r="CZ185" s="177">
        <f t="shared" si="209"/>
        <v>9.6000000000000002E-2</v>
      </c>
      <c r="DB185" s="146"/>
      <c r="DC185" s="76">
        <f t="shared" ca="1" si="172"/>
        <v>0.95404918672443051</v>
      </c>
      <c r="DD185">
        <f t="shared" si="210"/>
        <v>8</v>
      </c>
      <c r="DE185" s="129">
        <f t="shared" si="246"/>
        <v>39987</v>
      </c>
      <c r="DF185" s="161">
        <f t="shared" si="211"/>
        <v>0</v>
      </c>
      <c r="DG185" s="161">
        <f t="shared" si="212"/>
        <v>0</v>
      </c>
      <c r="DH185" s="161">
        <f t="shared" si="213"/>
        <v>0</v>
      </c>
      <c r="DI185" s="161">
        <f t="shared" si="214"/>
        <v>0</v>
      </c>
      <c r="DJ185" s="161">
        <f t="shared" si="215"/>
        <v>0</v>
      </c>
      <c r="DK185" s="161">
        <f t="shared" si="216"/>
        <v>0</v>
      </c>
      <c r="DL185" s="161">
        <f t="shared" si="217"/>
        <v>0</v>
      </c>
      <c r="DM185" s="161">
        <f t="shared" si="218"/>
        <v>0</v>
      </c>
      <c r="DN185" s="161">
        <f t="shared" si="219"/>
        <v>0</v>
      </c>
      <c r="DO185" s="161">
        <f t="shared" si="220"/>
        <v>0</v>
      </c>
      <c r="DP185" s="161">
        <f t="shared" si="221"/>
        <v>0</v>
      </c>
      <c r="DQ185" s="161">
        <f t="shared" si="222"/>
        <v>0</v>
      </c>
      <c r="DR185" s="161">
        <f t="shared" si="223"/>
        <v>0</v>
      </c>
      <c r="DS185" s="161">
        <f t="shared" si="224"/>
        <v>0</v>
      </c>
      <c r="DT185" s="161">
        <f t="shared" si="225"/>
        <v>0</v>
      </c>
      <c r="DU185" s="161">
        <f t="shared" si="226"/>
        <v>0</v>
      </c>
      <c r="DV185" s="161">
        <f t="shared" si="227"/>
        <v>0</v>
      </c>
      <c r="DW185" s="161">
        <f t="shared" si="228"/>
        <v>0</v>
      </c>
      <c r="DX185" s="161">
        <f t="shared" si="229"/>
        <v>0</v>
      </c>
      <c r="DY185" s="161">
        <f t="shared" si="230"/>
        <v>0</v>
      </c>
      <c r="DZ185" s="161">
        <f t="shared" si="231"/>
        <v>0</v>
      </c>
      <c r="EA185" s="161">
        <f t="shared" si="232"/>
        <v>0</v>
      </c>
      <c r="EB185" s="161">
        <f t="shared" si="233"/>
        <v>0</v>
      </c>
      <c r="EC185" s="161">
        <f t="shared" si="234"/>
        <v>0</v>
      </c>
      <c r="ED185" s="161">
        <f t="shared" si="235"/>
        <v>0</v>
      </c>
      <c r="EE185" s="161">
        <f t="shared" si="236"/>
        <v>0</v>
      </c>
      <c r="EF185" s="161">
        <f t="shared" si="237"/>
        <v>0</v>
      </c>
      <c r="EG185" s="161">
        <f t="shared" si="238"/>
        <v>0</v>
      </c>
      <c r="EH185" s="161">
        <f t="shared" si="239"/>
        <v>0</v>
      </c>
      <c r="EI185" s="161">
        <f t="shared" si="240"/>
        <v>0</v>
      </c>
      <c r="EJ185" s="161">
        <f t="shared" si="241"/>
        <v>0</v>
      </c>
      <c r="EK185" s="147">
        <f t="shared" si="248"/>
        <v>0</v>
      </c>
      <c r="EL185" s="149"/>
      <c r="EN185" s="146"/>
      <c r="EO185" s="146"/>
      <c r="EP185" s="139">
        <f t="shared" si="249"/>
        <v>0</v>
      </c>
      <c r="EQ185" s="139">
        <f t="shared" si="250"/>
        <v>0</v>
      </c>
      <c r="ER185" s="139">
        <f t="shared" si="251"/>
        <v>0</v>
      </c>
      <c r="ES185" s="139">
        <f t="shared" si="252"/>
        <v>0</v>
      </c>
      <c r="ET185" s="139">
        <f t="shared" si="253"/>
        <v>0</v>
      </c>
      <c r="EU185" s="139">
        <f t="shared" si="254"/>
        <v>0</v>
      </c>
      <c r="EV185" s="139">
        <f t="shared" si="255"/>
        <v>0</v>
      </c>
      <c r="EW185" s="139">
        <f t="shared" si="256"/>
        <v>0</v>
      </c>
      <c r="EX185" s="139">
        <f t="shared" si="257"/>
        <v>0</v>
      </c>
      <c r="EY185" s="139">
        <f t="shared" si="258"/>
        <v>0</v>
      </c>
      <c r="EZ185" s="139">
        <f t="shared" si="259"/>
        <v>0</v>
      </c>
      <c r="FA185" s="139">
        <f t="shared" si="260"/>
        <v>0</v>
      </c>
      <c r="FB185" s="139">
        <f t="shared" si="261"/>
        <v>0</v>
      </c>
      <c r="FC185" s="139">
        <f t="shared" si="262"/>
        <v>0</v>
      </c>
      <c r="FD185" s="139">
        <f t="shared" si="263"/>
        <v>0</v>
      </c>
      <c r="FE185" s="139">
        <f t="shared" si="264"/>
        <v>0</v>
      </c>
      <c r="FF185" s="139">
        <f t="shared" si="265"/>
        <v>0</v>
      </c>
      <c r="FG185" s="139">
        <f t="shared" si="266"/>
        <v>0</v>
      </c>
      <c r="FH185" s="139">
        <f t="shared" si="267"/>
        <v>0</v>
      </c>
      <c r="FI185" s="139">
        <f t="shared" si="268"/>
        <v>0</v>
      </c>
      <c r="FJ185" s="139">
        <f t="shared" si="269"/>
        <v>0</v>
      </c>
      <c r="FK185" s="139">
        <f t="shared" si="270"/>
        <v>0</v>
      </c>
      <c r="FL185" s="139">
        <f t="shared" si="271"/>
        <v>0</v>
      </c>
      <c r="FM185" s="139">
        <f t="shared" si="272"/>
        <v>0</v>
      </c>
      <c r="FN185" s="139">
        <f t="shared" si="273"/>
        <v>0</v>
      </c>
      <c r="FO185" s="139">
        <f t="shared" si="274"/>
        <v>0</v>
      </c>
      <c r="FP185" s="139">
        <f t="shared" si="275"/>
        <v>0</v>
      </c>
      <c r="FQ185" s="139">
        <f t="shared" si="276"/>
        <v>0</v>
      </c>
      <c r="FR185" s="139">
        <f t="shared" si="277"/>
        <v>0</v>
      </c>
      <c r="FS185" s="139">
        <f t="shared" si="278"/>
        <v>0</v>
      </c>
      <c r="FT185" s="139">
        <f t="shared" si="279"/>
        <v>0</v>
      </c>
      <c r="FU185" s="148">
        <f t="shared" si="280"/>
        <v>0</v>
      </c>
      <c r="FV185" s="149"/>
      <c r="FY185" s="213">
        <v>180</v>
      </c>
      <c r="FZ185">
        <v>57.737234181072139</v>
      </c>
      <c r="GA185">
        <v>41.802299365050082</v>
      </c>
      <c r="GB185">
        <v>3.6115568102246658</v>
      </c>
      <c r="GC185">
        <v>6.0374194836789794</v>
      </c>
      <c r="GD185">
        <v>4.721790031573458</v>
      </c>
      <c r="GE185">
        <v>4.0711388093944443</v>
      </c>
      <c r="GF185">
        <v>27.421386744815443</v>
      </c>
      <c r="GG185">
        <v>24.133460993333888</v>
      </c>
      <c r="GH185">
        <v>16.583543223976697</v>
      </c>
      <c r="GI185">
        <v>19.664495302894444</v>
      </c>
      <c r="GJ185"/>
      <c r="GK185"/>
      <c r="GL185"/>
      <c r="GM185"/>
      <c r="GN185" s="208"/>
      <c r="GO185" s="208"/>
      <c r="GP185" s="208"/>
      <c r="GQ185" s="208"/>
      <c r="GR185" s="208"/>
      <c r="GS185" s="208"/>
      <c r="GT185" s="208"/>
      <c r="GU185" s="213">
        <v>180</v>
      </c>
    </row>
    <row r="186" spans="1:203" s="7" customFormat="1">
      <c r="A186" s="1"/>
      <c r="B186" s="76">
        <f ca="1">IF(C186="", "", RAND())</f>
        <v>0.15545542110238397</v>
      </c>
      <c r="C186">
        <v>1</v>
      </c>
      <c r="D186">
        <v>39987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10.416666666666666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 s="2"/>
      <c r="AK186" s="80"/>
      <c r="AL186" s="74"/>
      <c r="AM186" s="43">
        <v>170</v>
      </c>
      <c r="AN186">
        <v>299.39507391319103</v>
      </c>
      <c r="AO186">
        <v>22.719226833770232</v>
      </c>
      <c r="AP186">
        <v>97.17269024041417</v>
      </c>
      <c r="AQ186">
        <v>161.64157487432988</v>
      </c>
      <c r="AR186">
        <v>23.876079735164449</v>
      </c>
      <c r="AS186">
        <v>227.06059592493065</v>
      </c>
      <c r="AT186">
        <v>11.645836214977408</v>
      </c>
      <c r="AU186">
        <v>28.687341565826987</v>
      </c>
      <c r="AV186"/>
      <c r="AW186"/>
      <c r="AX186" s="146"/>
      <c r="AY186" s="76">
        <f t="shared" ca="1" si="171"/>
        <v>0.98323161525171909</v>
      </c>
      <c r="AZ186">
        <v>9</v>
      </c>
      <c r="BA186" s="129">
        <f t="shared" si="247"/>
        <v>39987</v>
      </c>
      <c r="BB186" s="207">
        <v>0</v>
      </c>
      <c r="BC186" s="207">
        <v>0</v>
      </c>
      <c r="BD186" s="207">
        <v>0</v>
      </c>
      <c r="BE186" s="207">
        <v>0</v>
      </c>
      <c r="BF186" s="207">
        <v>0</v>
      </c>
      <c r="BG186" s="207">
        <v>2</v>
      </c>
      <c r="BH186" s="207">
        <v>0</v>
      </c>
      <c r="BI186" s="207">
        <v>0</v>
      </c>
      <c r="BJ186" s="207">
        <v>1</v>
      </c>
      <c r="BK186" s="207">
        <v>0</v>
      </c>
      <c r="BL186" s="207">
        <v>0</v>
      </c>
      <c r="BM186" s="207">
        <v>0</v>
      </c>
      <c r="BN186" s="207">
        <v>0</v>
      </c>
      <c r="BO186" s="207">
        <v>0</v>
      </c>
      <c r="BP186" s="207">
        <v>0</v>
      </c>
      <c r="BQ186" s="207">
        <v>0</v>
      </c>
      <c r="BR186" s="207">
        <v>0</v>
      </c>
      <c r="BS186" s="207">
        <v>0</v>
      </c>
      <c r="BT186" s="207">
        <v>0</v>
      </c>
      <c r="BU186" s="207">
        <v>0</v>
      </c>
      <c r="BV186" s="207">
        <v>0</v>
      </c>
      <c r="BW186" s="207">
        <v>0</v>
      </c>
      <c r="BX186" s="207">
        <v>0</v>
      </c>
      <c r="BY186" s="207">
        <v>0</v>
      </c>
      <c r="BZ186" s="207">
        <v>0</v>
      </c>
      <c r="CA186" s="207">
        <v>0</v>
      </c>
      <c r="CB186" s="207">
        <v>0</v>
      </c>
      <c r="CC186" s="207">
        <v>0</v>
      </c>
      <c r="CD186" s="207">
        <v>0</v>
      </c>
      <c r="CE186" s="207">
        <v>0</v>
      </c>
      <c r="CF186" s="207">
        <v>0</v>
      </c>
      <c r="CG186" s="147"/>
      <c r="CH186" s="176"/>
      <c r="CJ186" s="146"/>
      <c r="CK186" s="76">
        <f t="shared" ca="1" si="206"/>
        <v>0.54565242650728774</v>
      </c>
      <c r="CL186" s="179">
        <f t="shared" si="207"/>
        <v>9</v>
      </c>
      <c r="CM186" s="180">
        <f t="shared" si="208"/>
        <v>39987</v>
      </c>
      <c r="CN186" s="208">
        <v>0</v>
      </c>
      <c r="CO186" s="208">
        <v>0</v>
      </c>
      <c r="CP186" s="208">
        <v>0</v>
      </c>
      <c r="CQ186" s="208">
        <v>0</v>
      </c>
      <c r="CR186" s="208">
        <v>0</v>
      </c>
      <c r="CS186" s="208">
        <v>0</v>
      </c>
      <c r="CT186" s="208">
        <v>0</v>
      </c>
      <c r="CU186" s="208">
        <v>0</v>
      </c>
      <c r="CV186" s="160"/>
      <c r="CW186">
        <v>1</v>
      </c>
      <c r="CX186">
        <f>350/52</f>
        <v>6.7307692307692308</v>
      </c>
      <c r="CY186" s="165"/>
      <c r="CZ186" s="177">
        <f t="shared" si="209"/>
        <v>9.6000000000000002E-2</v>
      </c>
      <c r="DB186" s="146"/>
      <c r="DC186" s="76">
        <f t="shared" ca="1" si="172"/>
        <v>0.63132957522380284</v>
      </c>
      <c r="DD186">
        <f t="shared" si="210"/>
        <v>9</v>
      </c>
      <c r="DE186" s="129">
        <f t="shared" si="246"/>
        <v>39987</v>
      </c>
      <c r="DF186" s="161">
        <f t="shared" si="211"/>
        <v>0</v>
      </c>
      <c r="DG186" s="161">
        <f t="shared" si="212"/>
        <v>0</v>
      </c>
      <c r="DH186" s="161">
        <f t="shared" si="213"/>
        <v>0</v>
      </c>
      <c r="DI186" s="161">
        <f t="shared" si="214"/>
        <v>0</v>
      </c>
      <c r="DJ186" s="161">
        <f t="shared" si="215"/>
        <v>0</v>
      </c>
      <c r="DK186" s="161">
        <f t="shared" si="216"/>
        <v>20.833333333333332</v>
      </c>
      <c r="DL186" s="161">
        <f t="shared" si="217"/>
        <v>0</v>
      </c>
      <c r="DM186" s="161">
        <f t="shared" si="218"/>
        <v>0</v>
      </c>
      <c r="DN186" s="161">
        <f t="shared" si="219"/>
        <v>10.416666666666666</v>
      </c>
      <c r="DO186" s="161">
        <f t="shared" si="220"/>
        <v>0</v>
      </c>
      <c r="DP186" s="161">
        <f t="shared" si="221"/>
        <v>0</v>
      </c>
      <c r="DQ186" s="161">
        <f t="shared" si="222"/>
        <v>0</v>
      </c>
      <c r="DR186" s="161">
        <f t="shared" si="223"/>
        <v>0</v>
      </c>
      <c r="DS186" s="161">
        <f t="shared" si="224"/>
        <v>0</v>
      </c>
      <c r="DT186" s="161">
        <f t="shared" si="225"/>
        <v>0</v>
      </c>
      <c r="DU186" s="161">
        <f t="shared" si="226"/>
        <v>0</v>
      </c>
      <c r="DV186" s="161">
        <f t="shared" si="227"/>
        <v>0</v>
      </c>
      <c r="DW186" s="161">
        <f t="shared" si="228"/>
        <v>0</v>
      </c>
      <c r="DX186" s="161">
        <f t="shared" si="229"/>
        <v>0</v>
      </c>
      <c r="DY186" s="161">
        <f t="shared" si="230"/>
        <v>0</v>
      </c>
      <c r="DZ186" s="161">
        <f t="shared" si="231"/>
        <v>0</v>
      </c>
      <c r="EA186" s="161">
        <f t="shared" si="232"/>
        <v>0</v>
      </c>
      <c r="EB186" s="161">
        <f t="shared" si="233"/>
        <v>0</v>
      </c>
      <c r="EC186" s="161">
        <f t="shared" si="234"/>
        <v>0</v>
      </c>
      <c r="ED186" s="161">
        <f t="shared" si="235"/>
        <v>0</v>
      </c>
      <c r="EE186" s="161">
        <f t="shared" si="236"/>
        <v>0</v>
      </c>
      <c r="EF186" s="161">
        <f t="shared" si="237"/>
        <v>0</v>
      </c>
      <c r="EG186" s="161">
        <f t="shared" si="238"/>
        <v>0</v>
      </c>
      <c r="EH186" s="161">
        <f t="shared" si="239"/>
        <v>0</v>
      </c>
      <c r="EI186" s="161">
        <f t="shared" si="240"/>
        <v>0</v>
      </c>
      <c r="EJ186" s="161">
        <f t="shared" si="241"/>
        <v>0</v>
      </c>
      <c r="EK186" s="147">
        <f t="shared" si="248"/>
        <v>31.25</v>
      </c>
      <c r="EL186" s="149"/>
      <c r="EN186" s="146"/>
      <c r="EO186" s="146"/>
      <c r="EP186" s="139">
        <f t="shared" si="249"/>
        <v>0</v>
      </c>
      <c r="EQ186" s="139">
        <f t="shared" si="250"/>
        <v>0</v>
      </c>
      <c r="ER186" s="139">
        <f t="shared" si="251"/>
        <v>0</v>
      </c>
      <c r="ES186" s="139">
        <f t="shared" si="252"/>
        <v>0</v>
      </c>
      <c r="ET186" s="139">
        <f t="shared" si="253"/>
        <v>0</v>
      </c>
      <c r="EU186" s="139">
        <f t="shared" si="254"/>
        <v>17.570739301935784</v>
      </c>
      <c r="EV186" s="139">
        <f t="shared" si="255"/>
        <v>0</v>
      </c>
      <c r="EW186" s="139">
        <f t="shared" si="256"/>
        <v>0</v>
      </c>
      <c r="EX186" s="139">
        <f t="shared" si="257"/>
        <v>30.77145509025932</v>
      </c>
      <c r="EY186" s="139">
        <f t="shared" si="258"/>
        <v>0</v>
      </c>
      <c r="EZ186" s="139">
        <f t="shared" si="259"/>
        <v>0</v>
      </c>
      <c r="FA186" s="139">
        <f t="shared" si="260"/>
        <v>0</v>
      </c>
      <c r="FB186" s="139">
        <f t="shared" si="261"/>
        <v>0</v>
      </c>
      <c r="FC186" s="139">
        <f t="shared" si="262"/>
        <v>0</v>
      </c>
      <c r="FD186" s="139">
        <f t="shared" si="263"/>
        <v>0</v>
      </c>
      <c r="FE186" s="139">
        <f t="shared" si="264"/>
        <v>0</v>
      </c>
      <c r="FF186" s="139">
        <f t="shared" si="265"/>
        <v>0</v>
      </c>
      <c r="FG186" s="139">
        <f t="shared" si="266"/>
        <v>0</v>
      </c>
      <c r="FH186" s="139">
        <f t="shared" si="267"/>
        <v>0</v>
      </c>
      <c r="FI186" s="139">
        <f t="shared" si="268"/>
        <v>0</v>
      </c>
      <c r="FJ186" s="139">
        <f t="shared" si="269"/>
        <v>0</v>
      </c>
      <c r="FK186" s="139">
        <f t="shared" si="270"/>
        <v>0</v>
      </c>
      <c r="FL186" s="139">
        <f t="shared" si="271"/>
        <v>0</v>
      </c>
      <c r="FM186" s="139">
        <f t="shared" si="272"/>
        <v>0</v>
      </c>
      <c r="FN186" s="139">
        <f t="shared" si="273"/>
        <v>0</v>
      </c>
      <c r="FO186" s="139">
        <f t="shared" si="274"/>
        <v>0</v>
      </c>
      <c r="FP186" s="139">
        <f t="shared" si="275"/>
        <v>0</v>
      </c>
      <c r="FQ186" s="139">
        <f t="shared" si="276"/>
        <v>0</v>
      </c>
      <c r="FR186" s="139">
        <f t="shared" si="277"/>
        <v>0</v>
      </c>
      <c r="FS186" s="139">
        <f t="shared" si="278"/>
        <v>0</v>
      </c>
      <c r="FT186" s="139">
        <f t="shared" si="279"/>
        <v>0</v>
      </c>
      <c r="FU186" s="148">
        <f t="shared" si="280"/>
        <v>48.342194392195104</v>
      </c>
      <c r="FV186" s="149"/>
      <c r="FY186" s="213">
        <v>181</v>
      </c>
      <c r="FZ186">
        <v>45.045948443201361</v>
      </c>
      <c r="GA186">
        <v>23.570713268630875</v>
      </c>
      <c r="GB186">
        <v>4.4720293645428493</v>
      </c>
      <c r="GC186">
        <v>4.7076762171104631</v>
      </c>
      <c r="GD186">
        <v>3.1349093657144849</v>
      </c>
      <c r="GE186">
        <v>6.7441183192327934</v>
      </c>
      <c r="GF186">
        <v>22.713055959033369</v>
      </c>
      <c r="GG186">
        <v>15.617086564276784</v>
      </c>
      <c r="GH186">
        <v>18.320468367763436</v>
      </c>
      <c r="GI186">
        <v>16.560480403262659</v>
      </c>
      <c r="GJ186"/>
      <c r="GK186"/>
      <c r="GL186"/>
      <c r="GM186"/>
      <c r="GN186" s="208"/>
      <c r="GO186" s="208"/>
      <c r="GP186" s="208"/>
      <c r="GQ186" s="208"/>
      <c r="GR186" s="208"/>
      <c r="GS186" s="208"/>
      <c r="GT186" s="208"/>
      <c r="GU186" s="213">
        <v>181</v>
      </c>
    </row>
    <row r="187" spans="1:203" s="7" customFormat="1">
      <c r="A187" s="1"/>
      <c r="B187" s="76">
        <f ca="1">IF(C187="", "", RAND())</f>
        <v>0.50659717901806589</v>
      </c>
      <c r="C187">
        <v>9</v>
      </c>
      <c r="D187">
        <v>39987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20.833333333333332</v>
      </c>
      <c r="K187">
        <v>0</v>
      </c>
      <c r="L187">
        <v>0</v>
      </c>
      <c r="M187">
        <v>10.416666666666666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 s="2"/>
      <c r="AK187" s="80"/>
      <c r="AL187" s="74"/>
      <c r="AM187" s="43">
        <v>171</v>
      </c>
      <c r="AN187">
        <v>404.92991232205065</v>
      </c>
      <c r="AO187">
        <v>29.443778696498821</v>
      </c>
      <c r="AP187">
        <v>102.52705120178803</v>
      </c>
      <c r="AQ187">
        <v>195.62638688206926</v>
      </c>
      <c r="AR187">
        <v>30.346351833602441</v>
      </c>
      <c r="AS187">
        <v>287.7788485135676</v>
      </c>
      <c r="AT187">
        <v>12.823808083013375</v>
      </c>
      <c r="AU187">
        <v>13.261176882239607</v>
      </c>
      <c r="AV187"/>
      <c r="AW187"/>
      <c r="AX187" s="146"/>
      <c r="AY187" s="76">
        <f t="shared" ca="1" si="171"/>
        <v>0.88280672151686557</v>
      </c>
      <c r="AZ187">
        <v>10</v>
      </c>
      <c r="BA187" s="129">
        <f t="shared" si="247"/>
        <v>39987</v>
      </c>
      <c r="BB187" s="207">
        <v>0</v>
      </c>
      <c r="BC187" s="207">
        <v>0</v>
      </c>
      <c r="BD187" s="207">
        <v>0</v>
      </c>
      <c r="BE187" s="207">
        <v>0</v>
      </c>
      <c r="BF187" s="207">
        <v>0</v>
      </c>
      <c r="BG187" s="207">
        <v>0</v>
      </c>
      <c r="BH187" s="207">
        <v>0</v>
      </c>
      <c r="BI187" s="207">
        <v>0</v>
      </c>
      <c r="BJ187" s="207">
        <v>0</v>
      </c>
      <c r="BK187" s="207">
        <v>0</v>
      </c>
      <c r="BL187" s="207">
        <v>0</v>
      </c>
      <c r="BM187" s="207">
        <v>0</v>
      </c>
      <c r="BN187" s="207">
        <v>0</v>
      </c>
      <c r="BO187" s="207">
        <v>0</v>
      </c>
      <c r="BP187" s="207">
        <v>0</v>
      </c>
      <c r="BQ187" s="207">
        <v>0</v>
      </c>
      <c r="BR187" s="207">
        <v>0</v>
      </c>
      <c r="BS187" s="207">
        <v>0</v>
      </c>
      <c r="BT187" s="207">
        <v>0</v>
      </c>
      <c r="BU187" s="207">
        <v>0</v>
      </c>
      <c r="BV187" s="207">
        <v>0</v>
      </c>
      <c r="BW187" s="207">
        <v>0</v>
      </c>
      <c r="BX187" s="207">
        <v>0</v>
      </c>
      <c r="BY187" s="207">
        <v>0</v>
      </c>
      <c r="BZ187" s="207">
        <v>0</v>
      </c>
      <c r="CA187" s="207">
        <v>0</v>
      </c>
      <c r="CB187" s="207">
        <v>0</v>
      </c>
      <c r="CC187" s="207">
        <v>0</v>
      </c>
      <c r="CD187" s="207">
        <v>0</v>
      </c>
      <c r="CE187" s="207">
        <v>0</v>
      </c>
      <c r="CF187" s="207">
        <v>0</v>
      </c>
      <c r="CG187" s="147"/>
      <c r="CH187" s="176"/>
      <c r="CJ187" s="146"/>
      <c r="CK187" s="76">
        <f t="shared" ca="1" si="206"/>
        <v>0.21322152346098022</v>
      </c>
      <c r="CL187" s="179">
        <f t="shared" si="207"/>
        <v>10</v>
      </c>
      <c r="CM187" s="180">
        <f t="shared" si="208"/>
        <v>39987</v>
      </c>
      <c r="CN187" s="208">
        <v>0</v>
      </c>
      <c r="CO187" s="208">
        <v>0</v>
      </c>
      <c r="CP187" s="208">
        <v>0</v>
      </c>
      <c r="CQ187" s="208">
        <v>0</v>
      </c>
      <c r="CR187" s="208">
        <v>0</v>
      </c>
      <c r="CS187" s="208">
        <v>0</v>
      </c>
      <c r="CT187" s="208">
        <v>0</v>
      </c>
      <c r="CU187" s="208">
        <v>0</v>
      </c>
      <c r="CV187" s="160"/>
      <c r="CW187">
        <v>1</v>
      </c>
      <c r="CX187">
        <f>350/73</f>
        <v>4.7945205479452051</v>
      </c>
      <c r="CY187" s="165"/>
      <c r="CZ187" s="177">
        <f t="shared" si="209"/>
        <v>9.6000000000000002E-2</v>
      </c>
      <c r="DB187" s="146"/>
      <c r="DC187" s="76">
        <f t="shared" ca="1" si="172"/>
        <v>0.36233736498892566</v>
      </c>
      <c r="DD187">
        <f t="shared" si="210"/>
        <v>10</v>
      </c>
      <c r="DE187" s="129">
        <f t="shared" si="246"/>
        <v>39987</v>
      </c>
      <c r="DF187" s="161">
        <f t="shared" si="211"/>
        <v>0</v>
      </c>
      <c r="DG187" s="161">
        <f t="shared" si="212"/>
        <v>0</v>
      </c>
      <c r="DH187" s="161">
        <f t="shared" si="213"/>
        <v>0</v>
      </c>
      <c r="DI187" s="161">
        <f t="shared" si="214"/>
        <v>0</v>
      </c>
      <c r="DJ187" s="161">
        <f t="shared" si="215"/>
        <v>0</v>
      </c>
      <c r="DK187" s="161">
        <f t="shared" si="216"/>
        <v>0</v>
      </c>
      <c r="DL187" s="161">
        <f t="shared" si="217"/>
        <v>0</v>
      </c>
      <c r="DM187" s="161">
        <f t="shared" si="218"/>
        <v>0</v>
      </c>
      <c r="DN187" s="161">
        <f t="shared" si="219"/>
        <v>0</v>
      </c>
      <c r="DO187" s="161">
        <f t="shared" si="220"/>
        <v>0</v>
      </c>
      <c r="DP187" s="161">
        <f t="shared" si="221"/>
        <v>0</v>
      </c>
      <c r="DQ187" s="161">
        <f t="shared" si="222"/>
        <v>0</v>
      </c>
      <c r="DR187" s="161">
        <f t="shared" si="223"/>
        <v>0</v>
      </c>
      <c r="DS187" s="161">
        <f t="shared" si="224"/>
        <v>0</v>
      </c>
      <c r="DT187" s="161">
        <f t="shared" si="225"/>
        <v>0</v>
      </c>
      <c r="DU187" s="161">
        <f t="shared" si="226"/>
        <v>0</v>
      </c>
      <c r="DV187" s="161">
        <f t="shared" si="227"/>
        <v>0</v>
      </c>
      <c r="DW187" s="161">
        <f t="shared" si="228"/>
        <v>0</v>
      </c>
      <c r="DX187" s="161">
        <f t="shared" si="229"/>
        <v>0</v>
      </c>
      <c r="DY187" s="161">
        <f t="shared" si="230"/>
        <v>0</v>
      </c>
      <c r="DZ187" s="161">
        <f t="shared" si="231"/>
        <v>0</v>
      </c>
      <c r="EA187" s="161">
        <f t="shared" si="232"/>
        <v>0</v>
      </c>
      <c r="EB187" s="161">
        <f t="shared" si="233"/>
        <v>0</v>
      </c>
      <c r="EC187" s="161">
        <f t="shared" si="234"/>
        <v>0</v>
      </c>
      <c r="ED187" s="161">
        <f t="shared" si="235"/>
        <v>0</v>
      </c>
      <c r="EE187" s="161">
        <f t="shared" si="236"/>
        <v>0</v>
      </c>
      <c r="EF187" s="161">
        <f t="shared" si="237"/>
        <v>0</v>
      </c>
      <c r="EG187" s="161">
        <f t="shared" si="238"/>
        <v>0</v>
      </c>
      <c r="EH187" s="161">
        <f t="shared" si="239"/>
        <v>0</v>
      </c>
      <c r="EI187" s="161">
        <f t="shared" si="240"/>
        <v>0</v>
      </c>
      <c r="EJ187" s="161">
        <f t="shared" si="241"/>
        <v>0</v>
      </c>
      <c r="EK187" s="147">
        <f t="shared" si="248"/>
        <v>0</v>
      </c>
      <c r="EL187" s="149"/>
      <c r="EN187" s="146"/>
      <c r="EO187" s="146"/>
      <c r="EP187" s="139">
        <f t="shared" si="249"/>
        <v>0</v>
      </c>
      <c r="EQ187" s="139">
        <f t="shared" si="250"/>
        <v>0</v>
      </c>
      <c r="ER187" s="139">
        <f t="shared" si="251"/>
        <v>0</v>
      </c>
      <c r="ES187" s="139">
        <f t="shared" si="252"/>
        <v>0</v>
      </c>
      <c r="ET187" s="139">
        <f t="shared" si="253"/>
        <v>0</v>
      </c>
      <c r="EU187" s="139">
        <f t="shared" si="254"/>
        <v>0</v>
      </c>
      <c r="EV187" s="139">
        <f t="shared" si="255"/>
        <v>0</v>
      </c>
      <c r="EW187" s="139">
        <f t="shared" si="256"/>
        <v>0</v>
      </c>
      <c r="EX187" s="139">
        <f t="shared" si="257"/>
        <v>0</v>
      </c>
      <c r="EY187" s="139">
        <f t="shared" si="258"/>
        <v>0</v>
      </c>
      <c r="EZ187" s="139">
        <f t="shared" si="259"/>
        <v>0</v>
      </c>
      <c r="FA187" s="139">
        <f t="shared" si="260"/>
        <v>0</v>
      </c>
      <c r="FB187" s="139">
        <f t="shared" si="261"/>
        <v>0</v>
      </c>
      <c r="FC187" s="139">
        <f t="shared" si="262"/>
        <v>0</v>
      </c>
      <c r="FD187" s="139">
        <f t="shared" si="263"/>
        <v>0</v>
      </c>
      <c r="FE187" s="139">
        <f t="shared" si="264"/>
        <v>0</v>
      </c>
      <c r="FF187" s="139">
        <f t="shared" si="265"/>
        <v>0</v>
      </c>
      <c r="FG187" s="139">
        <f t="shared" si="266"/>
        <v>0</v>
      </c>
      <c r="FH187" s="139">
        <f t="shared" si="267"/>
        <v>0</v>
      </c>
      <c r="FI187" s="139">
        <f t="shared" si="268"/>
        <v>0</v>
      </c>
      <c r="FJ187" s="139">
        <f t="shared" si="269"/>
        <v>0</v>
      </c>
      <c r="FK187" s="139">
        <f t="shared" si="270"/>
        <v>0</v>
      </c>
      <c r="FL187" s="139">
        <f t="shared" si="271"/>
        <v>0</v>
      </c>
      <c r="FM187" s="139">
        <f t="shared" si="272"/>
        <v>0</v>
      </c>
      <c r="FN187" s="139">
        <f t="shared" si="273"/>
        <v>0</v>
      </c>
      <c r="FO187" s="139">
        <f t="shared" si="274"/>
        <v>0</v>
      </c>
      <c r="FP187" s="139">
        <f t="shared" si="275"/>
        <v>0</v>
      </c>
      <c r="FQ187" s="139">
        <f t="shared" si="276"/>
        <v>0</v>
      </c>
      <c r="FR187" s="139">
        <f t="shared" si="277"/>
        <v>0</v>
      </c>
      <c r="FS187" s="139">
        <f t="shared" si="278"/>
        <v>0</v>
      </c>
      <c r="FT187" s="139">
        <f t="shared" si="279"/>
        <v>0</v>
      </c>
      <c r="FU187" s="148">
        <f t="shared" si="280"/>
        <v>0</v>
      </c>
      <c r="FV187" s="149"/>
      <c r="FY187" s="213">
        <v>182</v>
      </c>
      <c r="FZ187">
        <v>39.311526051377243</v>
      </c>
      <c r="GA187">
        <v>59.255411652832493</v>
      </c>
      <c r="GB187">
        <v>16.782621045837786</v>
      </c>
      <c r="GC187">
        <v>4.808622077802621</v>
      </c>
      <c r="GD187">
        <v>3.7746637041726729</v>
      </c>
      <c r="GE187">
        <v>4.3420232088004695</v>
      </c>
      <c r="GF187">
        <v>19.744873618794696</v>
      </c>
      <c r="GG187">
        <v>20.255324729183503</v>
      </c>
      <c r="GH187">
        <v>21.116263655409689</v>
      </c>
      <c r="GI187">
        <v>19.894376650748121</v>
      </c>
      <c r="GJ187"/>
      <c r="GK187"/>
      <c r="GL187"/>
      <c r="GM187"/>
      <c r="GN187" s="208"/>
      <c r="GO187" s="208"/>
      <c r="GP187" s="208"/>
      <c r="GQ187" s="208"/>
      <c r="GR187" s="208"/>
      <c r="GS187" s="208"/>
      <c r="GT187" s="208"/>
      <c r="GU187" s="213">
        <v>182</v>
      </c>
    </row>
    <row r="188" spans="1:203" s="7" customFormat="1">
      <c r="A188" s="128"/>
      <c r="B188" s="76" t="str">
        <f ca="1">IF(C188="", "", RAND())</f>
        <v/>
      </c>
      <c r="C188" t="s">
        <v>104</v>
      </c>
      <c r="D188" t="s">
        <v>104</v>
      </c>
      <c r="E188" t="s">
        <v>104</v>
      </c>
      <c r="F188" t="s">
        <v>104</v>
      </c>
      <c r="G188" t="s">
        <v>104</v>
      </c>
      <c r="H188" t="s">
        <v>104</v>
      </c>
      <c r="I188" t="s">
        <v>104</v>
      </c>
      <c r="J188" t="s">
        <v>104</v>
      </c>
      <c r="K188" t="s">
        <v>104</v>
      </c>
      <c r="L188" t="s">
        <v>104</v>
      </c>
      <c r="M188" t="s">
        <v>104</v>
      </c>
      <c r="N188" t="s">
        <v>104</v>
      </c>
      <c r="O188" t="s">
        <v>104</v>
      </c>
      <c r="P188" t="s">
        <v>104</v>
      </c>
      <c r="Q188" t="s">
        <v>104</v>
      </c>
      <c r="R188" t="s">
        <v>104</v>
      </c>
      <c r="S188" t="s">
        <v>104</v>
      </c>
      <c r="T188" t="s">
        <v>104</v>
      </c>
      <c r="U188" t="s">
        <v>104</v>
      </c>
      <c r="V188" t="s">
        <v>104</v>
      </c>
      <c r="W188" t="s">
        <v>104</v>
      </c>
      <c r="X188" t="s">
        <v>104</v>
      </c>
      <c r="Y188" t="s">
        <v>104</v>
      </c>
      <c r="Z188" t="s">
        <v>104</v>
      </c>
      <c r="AA188" t="s">
        <v>104</v>
      </c>
      <c r="AB188" t="s">
        <v>104</v>
      </c>
      <c r="AC188" t="s">
        <v>104</v>
      </c>
      <c r="AD188" t="s">
        <v>104</v>
      </c>
      <c r="AE188" t="s">
        <v>104</v>
      </c>
      <c r="AF188" t="s">
        <v>104</v>
      </c>
      <c r="AG188" t="s">
        <v>104</v>
      </c>
      <c r="AH188" t="s">
        <v>104</v>
      </c>
      <c r="AI188" t="s">
        <v>104</v>
      </c>
      <c r="AJ188" s="2"/>
      <c r="AK188" s="80"/>
      <c r="AL188" s="74">
        <v>3.0028000000000028</v>
      </c>
      <c r="AM188" s="43">
        <v>172</v>
      </c>
      <c r="AN188">
        <v>315.86537728886833</v>
      </c>
      <c r="AO188">
        <v>29.11659845601708</v>
      </c>
      <c r="AP188">
        <v>87.854848906248691</v>
      </c>
      <c r="AQ188">
        <v>201.53643038827107</v>
      </c>
      <c r="AR188">
        <v>29.926859311519941</v>
      </c>
      <c r="AS188">
        <v>245.15740414787928</v>
      </c>
      <c r="AT188">
        <v>11.703844056497445</v>
      </c>
      <c r="AU188">
        <v>-10.689608780133476</v>
      </c>
      <c r="AV188"/>
      <c r="AW188"/>
      <c r="AX188" s="128"/>
      <c r="AY188" s="76" t="str">
        <f t="shared" ca="1" si="171"/>
        <v/>
      </c>
      <c r="AZ188"/>
      <c r="BA188" s="129" t="s">
        <v>104</v>
      </c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 s="147"/>
      <c r="CH188" s="176"/>
      <c r="CJ188" s="128"/>
      <c r="CK188" s="76" t="str">
        <f t="shared" ca="1" si="206"/>
        <v/>
      </c>
      <c r="CL188" s="179" t="str">
        <f t="shared" si="207"/>
        <v/>
      </c>
      <c r="CM188" s="180" t="str">
        <f t="shared" si="208"/>
        <v/>
      </c>
      <c r="CN188"/>
      <c r="CO188"/>
      <c r="CP188"/>
      <c r="CQ188"/>
      <c r="CR188"/>
      <c r="CS188"/>
      <c r="CT188"/>
      <c r="CU188"/>
      <c r="CV188" s="160"/>
      <c r="CW188"/>
      <c r="CX188"/>
      <c r="CY188" s="160"/>
      <c r="CZ188" s="177" t="str">
        <f t="shared" si="209"/>
        <v/>
      </c>
      <c r="DB188" s="128"/>
      <c r="DC188" s="76" t="str">
        <f t="shared" ca="1" si="172"/>
        <v/>
      </c>
      <c r="DD188" t="str">
        <f t="shared" si="210"/>
        <v/>
      </c>
      <c r="DE188" s="129" t="str">
        <f t="shared" ref="DE188:DE197" si="281">IF((DD188)="", "", $C$14)</f>
        <v/>
      </c>
      <c r="DF188" s="161" t="str">
        <f t="shared" ref="DF188:DF207" si="282">IF($AZ188="", "", ((BB188*$CW188)+(CN188*$CX188))/$CZ188)</f>
        <v/>
      </c>
      <c r="DG188" s="161" t="str">
        <f t="shared" ref="DG188:DG207" si="283">IF($AZ188="", "", ((BC188*$CW188)+(CO188*$CX188))/$CZ188)</f>
        <v/>
      </c>
      <c r="DH188" s="161" t="str">
        <f t="shared" ref="DH188:DH207" si="284">IF($AZ188="", "", ((BD188*$CW188)+(CP188*$CX188))/$CZ188)</f>
        <v/>
      </c>
      <c r="DI188" s="161" t="str">
        <f t="shared" ref="DI188:DI207" si="285">IF($AZ188="", "", ((BE188*$CW188)+(CQ188*$CX188))/$CZ188)</f>
        <v/>
      </c>
      <c r="DJ188" s="161" t="str">
        <f t="shared" ref="DJ188:DJ207" si="286">IF($AZ188="", "", ((BF188*$CW188)+(CR188*$CX188))/$CZ188)</f>
        <v/>
      </c>
      <c r="DK188" s="161" t="str">
        <f t="shared" ref="DK188:DK207" si="287">IF($AZ188="", "", ((BG188*$CW188)+(CS188*$CX188))/$CZ188)</f>
        <v/>
      </c>
      <c r="DL188" s="161" t="str">
        <f t="shared" ref="DL188:DL207" si="288">IF($AZ188="", "", ((BH188*$CW188)+(CT188*$CX188))/$CZ188)</f>
        <v/>
      </c>
      <c r="DM188" s="161" t="str">
        <f t="shared" ref="DM188:DM207" si="289">IF($AZ188="", "", ((BI188*$CW188)+(CU188*$CX188))/$CZ188)</f>
        <v/>
      </c>
      <c r="DN188" s="161" t="str">
        <f>IF($AZ188="", "", (BJ188*$CW188)/$CZ188)</f>
        <v/>
      </c>
      <c r="DO188" s="161" t="str">
        <f t="shared" ref="DO188:DO193" si="290">IF($AZ188="", "", (BK187*$CW188)/$CZ188)</f>
        <v/>
      </c>
      <c r="DP188" s="161" t="str">
        <f t="shared" ref="DP188:DP193" si="291">IF($AZ188="", "", (BL187*$CW188)/$CZ188)</f>
        <v/>
      </c>
      <c r="DQ188" s="161" t="str">
        <f t="shared" ref="DQ188:DQ193" si="292">IF($AZ188="", "", (BM187*$CW188)/$CZ188)</f>
        <v/>
      </c>
      <c r="DR188" s="161" t="str">
        <f t="shared" ref="DR188:DR193" si="293">IF($AZ188="", "", (BN187*$CW188)/$CZ188)</f>
        <v/>
      </c>
      <c r="DS188" s="161" t="str">
        <f t="shared" ref="DS188:DS193" si="294">IF($AZ188="", "", (BO187*$CW188)/$CZ188)</f>
        <v/>
      </c>
      <c r="DT188" s="161" t="str">
        <f t="shared" ref="DT188:DT193" si="295">IF($AZ188="", "", (BP187*$CW188)/$CZ188)</f>
        <v/>
      </c>
      <c r="DU188" s="161" t="str">
        <f t="shared" ref="DU188:DU193" si="296">IF($AZ188="", "", (BQ187*$CW188)/$CZ188)</f>
        <v/>
      </c>
      <c r="DV188" s="161" t="str">
        <f t="shared" ref="DV188:DV193" si="297">IF($AZ188="", "", (BR187*$CW188)/$CZ188)</f>
        <v/>
      </c>
      <c r="DW188" s="161" t="str">
        <f t="shared" ref="DW188:DW193" si="298">IF($AZ188="", "", (BS187*$CW188)/$CZ188)</f>
        <v/>
      </c>
      <c r="DX188" s="161" t="str">
        <f t="shared" ref="DX188:DX193" si="299">IF($AZ188="", "", (BT187*$CW188)/$CZ188)</f>
        <v/>
      </c>
      <c r="DY188" s="161" t="str">
        <f t="shared" ref="DY188:DY193" si="300">IF($AZ188="", "", (BU187*$CW188)/$CZ188)</f>
        <v/>
      </c>
      <c r="DZ188" s="161" t="str">
        <f t="shared" ref="DZ188:DZ193" si="301">IF($AZ188="", "", (BV187*$CW188)/$CZ188)</f>
        <v/>
      </c>
      <c r="EA188" s="161" t="str">
        <f t="shared" ref="EA188:EA193" si="302">IF($AZ188="", "", (BW187*$CW188)/$CZ188)</f>
        <v/>
      </c>
      <c r="EB188" s="161" t="str">
        <f t="shared" ref="EB188:EB193" si="303">IF($AZ188="", "", (BX187*$CW188)/$CZ188)</f>
        <v/>
      </c>
      <c r="EC188" s="161" t="str">
        <f t="shared" ref="EC188:EC193" si="304">IF($AZ188="", "", (BY187*$CW188)/$CZ188)</f>
        <v/>
      </c>
      <c r="ED188" s="161" t="str">
        <f t="shared" ref="ED188:ED193" si="305">IF($AZ188="", "", (BZ187*$CW188)/$CZ188)</f>
        <v/>
      </c>
      <c r="EE188" s="161" t="str">
        <f t="shared" ref="EE188:EE193" si="306">IF($AZ188="", "", (CA187*$CW188)/$CZ188)</f>
        <v/>
      </c>
      <c r="EF188" s="161" t="str">
        <f t="shared" ref="EF188:EF193" si="307">IF($AZ188="", "", (CB187*$CW188)/$CZ188)</f>
        <v/>
      </c>
      <c r="EG188" s="161" t="str">
        <f t="shared" ref="EG188:EG193" si="308">IF($AZ188="", "", (CC187*$CW188)/$CZ188)</f>
        <v/>
      </c>
      <c r="EH188" s="161" t="str">
        <f t="shared" ref="EH188:EH193" si="309">IF($AZ188="", "", (CD187*$CW188)/$CZ188)</f>
        <v/>
      </c>
      <c r="EI188" s="161" t="str">
        <f t="shared" ref="EI188:EI193" si="310">IF($AZ188="", "", (CE187*$CW188)/$CZ188)</f>
        <v/>
      </c>
      <c r="EJ188" s="161" t="str">
        <f t="shared" ref="EJ188:EJ193" si="311">IF($AZ188="", "", (CF187*$CW188)/$CZ188)</f>
        <v/>
      </c>
      <c r="EK188" s="147" t="str">
        <f t="shared" si="248"/>
        <v/>
      </c>
      <c r="EL188" s="149"/>
      <c r="EN188" s="146"/>
      <c r="EO188" s="146"/>
      <c r="EP188" s="139" t="str">
        <f t="shared" si="249"/>
        <v/>
      </c>
      <c r="EQ188" s="139" t="str">
        <f t="shared" si="250"/>
        <v/>
      </c>
      <c r="ER188" s="139" t="str">
        <f t="shared" si="251"/>
        <v/>
      </c>
      <c r="ES188" s="139" t="str">
        <f t="shared" si="252"/>
        <v/>
      </c>
      <c r="ET188" s="139" t="str">
        <f t="shared" si="253"/>
        <v/>
      </c>
      <c r="EU188" s="139" t="str">
        <f t="shared" si="254"/>
        <v/>
      </c>
      <c r="EV188" s="139" t="str">
        <f t="shared" si="255"/>
        <v/>
      </c>
      <c r="EW188" s="139" t="str">
        <f t="shared" si="256"/>
        <v/>
      </c>
      <c r="EX188" s="139" t="str">
        <f t="shared" si="257"/>
        <v/>
      </c>
      <c r="EY188" s="139" t="str">
        <f t="shared" si="258"/>
        <v/>
      </c>
      <c r="EZ188" s="139" t="str">
        <f t="shared" si="259"/>
        <v/>
      </c>
      <c r="FA188" s="139" t="str">
        <f t="shared" si="260"/>
        <v/>
      </c>
      <c r="FB188" s="139" t="str">
        <f t="shared" si="261"/>
        <v/>
      </c>
      <c r="FC188" s="139" t="str">
        <f t="shared" si="262"/>
        <v/>
      </c>
      <c r="FD188" s="139" t="str">
        <f t="shared" si="263"/>
        <v/>
      </c>
      <c r="FE188" s="139" t="str">
        <f t="shared" si="264"/>
        <v/>
      </c>
      <c r="FF188" s="139" t="str">
        <f t="shared" si="265"/>
        <v/>
      </c>
      <c r="FG188" s="139" t="str">
        <f t="shared" si="266"/>
        <v/>
      </c>
      <c r="FH188" s="139" t="str">
        <f t="shared" si="267"/>
        <v/>
      </c>
      <c r="FI188" s="139" t="str">
        <f t="shared" si="268"/>
        <v/>
      </c>
      <c r="FJ188" s="139" t="str">
        <f t="shared" si="269"/>
        <v/>
      </c>
      <c r="FK188" s="139" t="str">
        <f t="shared" si="270"/>
        <v/>
      </c>
      <c r="FL188" s="139" t="str">
        <f t="shared" si="271"/>
        <v/>
      </c>
      <c r="FM188" s="139" t="str">
        <f t="shared" si="272"/>
        <v/>
      </c>
      <c r="FN188" s="139" t="str">
        <f t="shared" si="273"/>
        <v/>
      </c>
      <c r="FO188" s="139" t="str">
        <f t="shared" si="274"/>
        <v/>
      </c>
      <c r="FP188" s="139" t="str">
        <f t="shared" si="275"/>
        <v/>
      </c>
      <c r="FQ188" s="139" t="str">
        <f t="shared" si="276"/>
        <v/>
      </c>
      <c r="FR188" s="139" t="str">
        <f t="shared" si="277"/>
        <v/>
      </c>
      <c r="FS188" s="139" t="str">
        <f t="shared" si="278"/>
        <v/>
      </c>
      <c r="FT188" s="139" t="str">
        <f t="shared" si="279"/>
        <v/>
      </c>
      <c r="FU188" s="148" t="str">
        <f t="shared" si="280"/>
        <v/>
      </c>
      <c r="FV188" s="149"/>
      <c r="FY188" s="213">
        <v>183</v>
      </c>
      <c r="FZ188">
        <v>74.235588736376741</v>
      </c>
      <c r="GA188">
        <v>62.127608991026825</v>
      </c>
      <c r="GB188">
        <v>9.0790911197424347</v>
      </c>
      <c r="GC188">
        <v>4.8761412966172095</v>
      </c>
      <c r="GD188">
        <v>4.2284473255844777</v>
      </c>
      <c r="GE188">
        <v>5.3978878988831518</v>
      </c>
      <c r="GF188">
        <v>29.930121513187128</v>
      </c>
      <c r="GG188">
        <v>26.333452651567903</v>
      </c>
      <c r="GH188">
        <v>24.806900812419951</v>
      </c>
      <c r="GI188">
        <v>25.252093545452993</v>
      </c>
      <c r="GJ188"/>
      <c r="GK188"/>
      <c r="GL188"/>
      <c r="GM188"/>
      <c r="GN188" s="208"/>
      <c r="GO188" s="208"/>
      <c r="GP188" s="208"/>
      <c r="GQ188" s="208"/>
      <c r="GR188" s="208"/>
      <c r="GS188" s="208"/>
      <c r="GT188" s="208"/>
      <c r="GU188" s="213">
        <v>183</v>
      </c>
    </row>
    <row r="189" spans="1:203" s="7" customFormat="1">
      <c r="A189" s="1"/>
      <c r="B189" s="76" t="str">
        <f ca="1">IF(C189="", "", RAND())</f>
        <v/>
      </c>
      <c r="C189" t="s">
        <v>104</v>
      </c>
      <c r="D189" t="s">
        <v>104</v>
      </c>
      <c r="E189" t="s">
        <v>104</v>
      </c>
      <c r="F189" t="s">
        <v>104</v>
      </c>
      <c r="G189" t="s">
        <v>104</v>
      </c>
      <c r="H189" t="s">
        <v>104</v>
      </c>
      <c r="I189" t="s">
        <v>104</v>
      </c>
      <c r="J189" t="s">
        <v>104</v>
      </c>
      <c r="K189" t="s">
        <v>104</v>
      </c>
      <c r="L189" t="s">
        <v>104</v>
      </c>
      <c r="M189" t="s">
        <v>104</v>
      </c>
      <c r="N189" t="s">
        <v>104</v>
      </c>
      <c r="O189" t="s">
        <v>104</v>
      </c>
      <c r="P189" t="s">
        <v>104</v>
      </c>
      <c r="Q189" t="s">
        <v>104</v>
      </c>
      <c r="R189" t="s">
        <v>104</v>
      </c>
      <c r="S189" t="s">
        <v>104</v>
      </c>
      <c r="T189" t="s">
        <v>104</v>
      </c>
      <c r="U189" t="s">
        <v>104</v>
      </c>
      <c r="V189" t="s">
        <v>104</v>
      </c>
      <c r="W189" t="s">
        <v>104</v>
      </c>
      <c r="X189" t="s">
        <v>104</v>
      </c>
      <c r="Y189" t="s">
        <v>104</v>
      </c>
      <c r="Z189" t="s">
        <v>104</v>
      </c>
      <c r="AA189" t="s">
        <v>104</v>
      </c>
      <c r="AB189" t="s">
        <v>104</v>
      </c>
      <c r="AC189" t="s">
        <v>104</v>
      </c>
      <c r="AD189" t="s">
        <v>104</v>
      </c>
      <c r="AE189" t="s">
        <v>104</v>
      </c>
      <c r="AF189" t="s">
        <v>104</v>
      </c>
      <c r="AG189" t="s">
        <v>104</v>
      </c>
      <c r="AH189" t="s">
        <v>104</v>
      </c>
      <c r="AI189" t="s">
        <v>104</v>
      </c>
      <c r="AJ189" s="2"/>
      <c r="AK189" s="80"/>
      <c r="AL189" s="74">
        <v>3.0028000000000028</v>
      </c>
      <c r="AM189" s="43">
        <v>173</v>
      </c>
      <c r="AN189">
        <v>331.40672555699234</v>
      </c>
      <c r="AO189">
        <v>28.517462713860276</v>
      </c>
      <c r="AP189">
        <v>128.84795397003029</v>
      </c>
      <c r="AQ189">
        <v>213.40469515763908</v>
      </c>
      <c r="AR189">
        <v>29.605125442010795</v>
      </c>
      <c r="AS189">
        <v>260.23590546392904</v>
      </c>
      <c r="AT189">
        <v>14.353928748364245</v>
      </c>
      <c r="AU189">
        <v>1.9583642234429597</v>
      </c>
      <c r="AV189"/>
      <c r="AW189"/>
      <c r="AX189" s="146"/>
      <c r="AY189" s="76" t="str">
        <f t="shared" ca="1" si="171"/>
        <v/>
      </c>
      <c r="AZ189"/>
      <c r="BA189" s="129" t="s">
        <v>104</v>
      </c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 s="147"/>
      <c r="CH189" s="176"/>
      <c r="CJ189" s="146"/>
      <c r="CK189" s="76" t="str">
        <f t="shared" ca="1" si="206"/>
        <v/>
      </c>
      <c r="CL189" s="179" t="str">
        <f t="shared" si="207"/>
        <v/>
      </c>
      <c r="CM189" s="180" t="str">
        <f t="shared" si="208"/>
        <v/>
      </c>
      <c r="CN189"/>
      <c r="CO189"/>
      <c r="CP189"/>
      <c r="CQ189"/>
      <c r="CR189"/>
      <c r="CS189"/>
      <c r="CT189"/>
      <c r="CU189"/>
      <c r="CV189" s="160"/>
      <c r="CW189"/>
      <c r="CX189"/>
      <c r="CY189" s="160"/>
      <c r="CZ189" s="177" t="str">
        <f t="shared" si="209"/>
        <v/>
      </c>
      <c r="DB189" s="146"/>
      <c r="DC189" s="76" t="str">
        <f t="shared" ca="1" si="172"/>
        <v/>
      </c>
      <c r="DD189" t="str">
        <f t="shared" si="210"/>
        <v/>
      </c>
      <c r="DE189" s="129" t="str">
        <f t="shared" si="281"/>
        <v/>
      </c>
      <c r="DF189" s="161" t="str">
        <f t="shared" si="282"/>
        <v/>
      </c>
      <c r="DG189" s="161" t="str">
        <f t="shared" si="283"/>
        <v/>
      </c>
      <c r="DH189" s="161" t="str">
        <f t="shared" si="284"/>
        <v/>
      </c>
      <c r="DI189" s="161" t="str">
        <f t="shared" si="285"/>
        <v/>
      </c>
      <c r="DJ189" s="161" t="str">
        <f t="shared" si="286"/>
        <v/>
      </c>
      <c r="DK189" s="161" t="str">
        <f t="shared" si="287"/>
        <v/>
      </c>
      <c r="DL189" s="161" t="str">
        <f t="shared" si="288"/>
        <v/>
      </c>
      <c r="DM189" s="161" t="str">
        <f t="shared" si="289"/>
        <v/>
      </c>
      <c r="DN189" s="161" t="str">
        <f>IF($AZ189="", "", (BJ189*$CW189)/$CZ189)</f>
        <v/>
      </c>
      <c r="DO189" s="161" t="str">
        <f t="shared" si="290"/>
        <v/>
      </c>
      <c r="DP189" s="161" t="str">
        <f t="shared" si="291"/>
        <v/>
      </c>
      <c r="DQ189" s="161" t="str">
        <f t="shared" si="292"/>
        <v/>
      </c>
      <c r="DR189" s="161" t="str">
        <f t="shared" si="293"/>
        <v/>
      </c>
      <c r="DS189" s="161" t="str">
        <f t="shared" si="294"/>
        <v/>
      </c>
      <c r="DT189" s="161" t="str">
        <f t="shared" si="295"/>
        <v/>
      </c>
      <c r="DU189" s="161" t="str">
        <f t="shared" si="296"/>
        <v/>
      </c>
      <c r="DV189" s="161" t="str">
        <f t="shared" si="297"/>
        <v/>
      </c>
      <c r="DW189" s="161" t="str">
        <f t="shared" si="298"/>
        <v/>
      </c>
      <c r="DX189" s="161" t="str">
        <f t="shared" si="299"/>
        <v/>
      </c>
      <c r="DY189" s="161" t="str">
        <f t="shared" si="300"/>
        <v/>
      </c>
      <c r="DZ189" s="161" t="str">
        <f t="shared" si="301"/>
        <v/>
      </c>
      <c r="EA189" s="161" t="str">
        <f t="shared" si="302"/>
        <v/>
      </c>
      <c r="EB189" s="161" t="str">
        <f t="shared" si="303"/>
        <v/>
      </c>
      <c r="EC189" s="161" t="str">
        <f t="shared" si="304"/>
        <v/>
      </c>
      <c r="ED189" s="161" t="str">
        <f t="shared" si="305"/>
        <v/>
      </c>
      <c r="EE189" s="161" t="str">
        <f t="shared" si="306"/>
        <v/>
      </c>
      <c r="EF189" s="161" t="str">
        <f t="shared" si="307"/>
        <v/>
      </c>
      <c r="EG189" s="161" t="str">
        <f t="shared" si="308"/>
        <v/>
      </c>
      <c r="EH189" s="161" t="str">
        <f t="shared" si="309"/>
        <v/>
      </c>
      <c r="EI189" s="161" t="str">
        <f t="shared" si="310"/>
        <v/>
      </c>
      <c r="EJ189" s="161" t="str">
        <f t="shared" si="311"/>
        <v/>
      </c>
      <c r="EK189" s="147" t="str">
        <f t="shared" si="248"/>
        <v/>
      </c>
      <c r="EL189" s="149"/>
      <c r="EN189" s="146"/>
      <c r="EO189" s="146"/>
      <c r="EP189" s="139" t="str">
        <f t="shared" si="249"/>
        <v/>
      </c>
      <c r="EQ189" s="139" t="str">
        <f t="shared" si="250"/>
        <v/>
      </c>
      <c r="ER189" s="139" t="str">
        <f t="shared" si="251"/>
        <v/>
      </c>
      <c r="ES189" s="139" t="str">
        <f t="shared" si="252"/>
        <v/>
      </c>
      <c r="ET189" s="139" t="str">
        <f t="shared" si="253"/>
        <v/>
      </c>
      <c r="EU189" s="139" t="str">
        <f t="shared" si="254"/>
        <v/>
      </c>
      <c r="EV189" s="139" t="str">
        <f t="shared" si="255"/>
        <v/>
      </c>
      <c r="EW189" s="139" t="str">
        <f t="shared" si="256"/>
        <v/>
      </c>
      <c r="EX189" s="139" t="str">
        <f t="shared" si="257"/>
        <v/>
      </c>
      <c r="EY189" s="139" t="str">
        <f t="shared" si="258"/>
        <v/>
      </c>
      <c r="EZ189" s="139" t="str">
        <f t="shared" si="259"/>
        <v/>
      </c>
      <c r="FA189" s="139" t="str">
        <f t="shared" si="260"/>
        <v/>
      </c>
      <c r="FB189" s="139" t="str">
        <f t="shared" si="261"/>
        <v/>
      </c>
      <c r="FC189" s="139" t="str">
        <f t="shared" si="262"/>
        <v/>
      </c>
      <c r="FD189" s="139" t="str">
        <f t="shared" si="263"/>
        <v/>
      </c>
      <c r="FE189" s="139" t="str">
        <f t="shared" si="264"/>
        <v/>
      </c>
      <c r="FF189" s="139" t="str">
        <f t="shared" si="265"/>
        <v/>
      </c>
      <c r="FG189" s="139" t="str">
        <f t="shared" si="266"/>
        <v/>
      </c>
      <c r="FH189" s="139" t="str">
        <f t="shared" si="267"/>
        <v/>
      </c>
      <c r="FI189" s="139" t="str">
        <f t="shared" si="268"/>
        <v/>
      </c>
      <c r="FJ189" s="139" t="str">
        <f t="shared" si="269"/>
        <v/>
      </c>
      <c r="FK189" s="139" t="str">
        <f t="shared" si="270"/>
        <v/>
      </c>
      <c r="FL189" s="139" t="str">
        <f t="shared" si="271"/>
        <v/>
      </c>
      <c r="FM189" s="139" t="str">
        <f t="shared" si="272"/>
        <v/>
      </c>
      <c r="FN189" s="139" t="str">
        <f t="shared" si="273"/>
        <v/>
      </c>
      <c r="FO189" s="139" t="str">
        <f t="shared" si="274"/>
        <v/>
      </c>
      <c r="FP189" s="139" t="str">
        <f t="shared" si="275"/>
        <v/>
      </c>
      <c r="FQ189" s="139" t="str">
        <f t="shared" si="276"/>
        <v/>
      </c>
      <c r="FR189" s="139" t="str">
        <f t="shared" si="277"/>
        <v/>
      </c>
      <c r="FS189" s="139" t="str">
        <f t="shared" si="278"/>
        <v/>
      </c>
      <c r="FT189" s="139" t="str">
        <f t="shared" si="279"/>
        <v/>
      </c>
      <c r="FU189" s="148" t="str">
        <f t="shared" si="280"/>
        <v/>
      </c>
      <c r="FV189" s="149"/>
      <c r="FY189" s="213">
        <v>184</v>
      </c>
      <c r="FZ189">
        <v>43.403184990177913</v>
      </c>
      <c r="GA189">
        <v>42.015592878743242</v>
      </c>
      <c r="GB189">
        <v>8.1209484098189257</v>
      </c>
      <c r="GC189">
        <v>6.8111249885138214</v>
      </c>
      <c r="GD189">
        <v>5.6935020757288735</v>
      </c>
      <c r="GE189">
        <v>4.3900406165691681</v>
      </c>
      <c r="GF189">
        <v>6.7600686886729946</v>
      </c>
      <c r="GG189">
        <v>8.5671674602248817</v>
      </c>
      <c r="GH189">
        <v>11.216831102271021</v>
      </c>
      <c r="GI189">
        <v>14.903360826417835</v>
      </c>
      <c r="GJ189"/>
      <c r="GK189"/>
      <c r="GL189"/>
      <c r="GM189"/>
      <c r="GN189" s="208"/>
      <c r="GO189" s="208"/>
      <c r="GP189" s="208"/>
      <c r="GQ189" s="208"/>
      <c r="GR189" s="208"/>
      <c r="GS189" s="208"/>
      <c r="GT189" s="208"/>
      <c r="GU189" s="213">
        <v>184</v>
      </c>
    </row>
    <row r="190" spans="1:203" s="7" customFormat="1">
      <c r="A190" s="1"/>
      <c r="B190" s="76" t="str">
        <f ca="1">IF(C190="", "", RAND())</f>
        <v/>
      </c>
      <c r="C190" t="s">
        <v>104</v>
      </c>
      <c r="D190" t="s">
        <v>104</v>
      </c>
      <c r="E190" t="s">
        <v>104</v>
      </c>
      <c r="F190" t="s">
        <v>104</v>
      </c>
      <c r="G190" t="s">
        <v>104</v>
      </c>
      <c r="H190" t="s">
        <v>104</v>
      </c>
      <c r="I190" t="s">
        <v>104</v>
      </c>
      <c r="J190" t="s">
        <v>104</v>
      </c>
      <c r="K190" t="s">
        <v>104</v>
      </c>
      <c r="L190" t="s">
        <v>104</v>
      </c>
      <c r="M190" t="s">
        <v>104</v>
      </c>
      <c r="N190" t="s">
        <v>104</v>
      </c>
      <c r="O190" t="s">
        <v>104</v>
      </c>
      <c r="P190" t="s">
        <v>104</v>
      </c>
      <c r="Q190" t="s">
        <v>104</v>
      </c>
      <c r="R190" t="s">
        <v>104</v>
      </c>
      <c r="S190" t="s">
        <v>104</v>
      </c>
      <c r="T190" t="s">
        <v>104</v>
      </c>
      <c r="U190" t="s">
        <v>104</v>
      </c>
      <c r="V190" t="s">
        <v>104</v>
      </c>
      <c r="W190" t="s">
        <v>104</v>
      </c>
      <c r="X190" t="s">
        <v>104</v>
      </c>
      <c r="Y190" t="s">
        <v>104</v>
      </c>
      <c r="Z190" t="s">
        <v>104</v>
      </c>
      <c r="AA190" t="s">
        <v>104</v>
      </c>
      <c r="AB190" t="s">
        <v>104</v>
      </c>
      <c r="AC190" t="s">
        <v>104</v>
      </c>
      <c r="AD190" t="s">
        <v>104</v>
      </c>
      <c r="AE190" t="s">
        <v>104</v>
      </c>
      <c r="AF190" t="s">
        <v>104</v>
      </c>
      <c r="AG190" t="s">
        <v>104</v>
      </c>
      <c r="AH190" t="s">
        <v>104</v>
      </c>
      <c r="AI190" t="s">
        <v>104</v>
      </c>
      <c r="AJ190" s="2"/>
      <c r="AK190" s="80"/>
      <c r="AL190" s="74">
        <v>3.0028000000000028</v>
      </c>
      <c r="AM190" s="43">
        <v>174</v>
      </c>
      <c r="AN190">
        <v>325.08865009295181</v>
      </c>
      <c r="AO190">
        <v>34.134079520184358</v>
      </c>
      <c r="AP190">
        <v>56.183753533430973</v>
      </c>
      <c r="AQ190">
        <v>243.17310097618534</v>
      </c>
      <c r="AR190">
        <v>34.804348771999408</v>
      </c>
      <c r="AS190">
        <v>280.66374227914991</v>
      </c>
      <c r="AT190">
        <v>13.632858302092414</v>
      </c>
      <c r="AU190">
        <v>-10.313452700157043</v>
      </c>
      <c r="AV190"/>
      <c r="AW190"/>
      <c r="AX190" s="146"/>
      <c r="AY190" s="76" t="str">
        <f t="shared" ca="1" si="171"/>
        <v/>
      </c>
      <c r="AZ190"/>
      <c r="BA190" s="129" t="s">
        <v>104</v>
      </c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 s="147"/>
      <c r="CH190" s="176"/>
      <c r="CJ190" s="146"/>
      <c r="CK190" s="76" t="str">
        <f t="shared" ca="1" si="206"/>
        <v/>
      </c>
      <c r="CL190" s="179" t="str">
        <f t="shared" si="207"/>
        <v/>
      </c>
      <c r="CM190" s="180" t="str">
        <f t="shared" si="208"/>
        <v/>
      </c>
      <c r="CN190"/>
      <c r="CO190"/>
      <c r="CP190"/>
      <c r="CQ190"/>
      <c r="CR190"/>
      <c r="CS190"/>
      <c r="CT190"/>
      <c r="CU190"/>
      <c r="CV190" s="160"/>
      <c r="CW190"/>
      <c r="CX190"/>
      <c r="CY190" s="160"/>
      <c r="CZ190" s="177" t="str">
        <f t="shared" si="209"/>
        <v/>
      </c>
      <c r="DB190" s="146"/>
      <c r="DC190" s="76" t="str">
        <f t="shared" ca="1" si="172"/>
        <v/>
      </c>
      <c r="DD190" t="str">
        <f t="shared" si="210"/>
        <v/>
      </c>
      <c r="DE190" s="129" t="str">
        <f t="shared" si="281"/>
        <v/>
      </c>
      <c r="DF190" s="161" t="str">
        <f t="shared" si="282"/>
        <v/>
      </c>
      <c r="DG190" s="161" t="str">
        <f t="shared" si="283"/>
        <v/>
      </c>
      <c r="DH190" s="161" t="str">
        <f t="shared" si="284"/>
        <v/>
      </c>
      <c r="DI190" s="161" t="str">
        <f t="shared" si="285"/>
        <v/>
      </c>
      <c r="DJ190" s="161" t="str">
        <f t="shared" si="286"/>
        <v/>
      </c>
      <c r="DK190" s="161" t="str">
        <f t="shared" si="287"/>
        <v/>
      </c>
      <c r="DL190" s="161" t="str">
        <f t="shared" si="288"/>
        <v/>
      </c>
      <c r="DM190" s="161" t="str">
        <f t="shared" si="289"/>
        <v/>
      </c>
      <c r="DN190" s="161" t="str">
        <f>IF($AZ190="", "", (BJ190*$CW190)/$CZ190)</f>
        <v/>
      </c>
      <c r="DO190" s="161" t="str">
        <f t="shared" si="290"/>
        <v/>
      </c>
      <c r="DP190" s="161" t="str">
        <f t="shared" si="291"/>
        <v/>
      </c>
      <c r="DQ190" s="161" t="str">
        <f t="shared" si="292"/>
        <v/>
      </c>
      <c r="DR190" s="161" t="str">
        <f t="shared" si="293"/>
        <v/>
      </c>
      <c r="DS190" s="161" t="str">
        <f t="shared" si="294"/>
        <v/>
      </c>
      <c r="DT190" s="161" t="str">
        <f t="shared" si="295"/>
        <v/>
      </c>
      <c r="DU190" s="161" t="str">
        <f t="shared" si="296"/>
        <v/>
      </c>
      <c r="DV190" s="161" t="str">
        <f t="shared" si="297"/>
        <v/>
      </c>
      <c r="DW190" s="161" t="str">
        <f t="shared" si="298"/>
        <v/>
      </c>
      <c r="DX190" s="161" t="str">
        <f t="shared" si="299"/>
        <v/>
      </c>
      <c r="DY190" s="161" t="str">
        <f t="shared" si="300"/>
        <v/>
      </c>
      <c r="DZ190" s="161" t="str">
        <f t="shared" si="301"/>
        <v/>
      </c>
      <c r="EA190" s="161" t="str">
        <f t="shared" si="302"/>
        <v/>
      </c>
      <c r="EB190" s="161" t="str">
        <f t="shared" si="303"/>
        <v/>
      </c>
      <c r="EC190" s="161" t="str">
        <f t="shared" si="304"/>
        <v/>
      </c>
      <c r="ED190" s="161" t="str">
        <f t="shared" si="305"/>
        <v/>
      </c>
      <c r="EE190" s="161" t="str">
        <f t="shared" si="306"/>
        <v/>
      </c>
      <c r="EF190" s="161" t="str">
        <f t="shared" si="307"/>
        <v/>
      </c>
      <c r="EG190" s="161" t="str">
        <f t="shared" si="308"/>
        <v/>
      </c>
      <c r="EH190" s="161" t="str">
        <f t="shared" si="309"/>
        <v/>
      </c>
      <c r="EI190" s="161" t="str">
        <f t="shared" si="310"/>
        <v/>
      </c>
      <c r="EJ190" s="161" t="str">
        <f t="shared" si="311"/>
        <v/>
      </c>
      <c r="EK190" s="147" t="str">
        <f t="shared" si="248"/>
        <v/>
      </c>
      <c r="EL190" s="149"/>
      <c r="EN190" s="146"/>
      <c r="EO190" s="146"/>
      <c r="EP190" s="139" t="str">
        <f t="shared" si="249"/>
        <v/>
      </c>
      <c r="EQ190" s="139" t="str">
        <f t="shared" si="250"/>
        <v/>
      </c>
      <c r="ER190" s="139" t="str">
        <f t="shared" si="251"/>
        <v/>
      </c>
      <c r="ES190" s="139" t="str">
        <f t="shared" si="252"/>
        <v/>
      </c>
      <c r="ET190" s="139" t="str">
        <f t="shared" si="253"/>
        <v/>
      </c>
      <c r="EU190" s="139" t="str">
        <f t="shared" si="254"/>
        <v/>
      </c>
      <c r="EV190" s="139" t="str">
        <f t="shared" si="255"/>
        <v/>
      </c>
      <c r="EW190" s="139" t="str">
        <f t="shared" si="256"/>
        <v/>
      </c>
      <c r="EX190" s="139" t="str">
        <f t="shared" si="257"/>
        <v/>
      </c>
      <c r="EY190" s="139" t="str">
        <f t="shared" si="258"/>
        <v/>
      </c>
      <c r="EZ190" s="139" t="str">
        <f t="shared" si="259"/>
        <v/>
      </c>
      <c r="FA190" s="139" t="str">
        <f t="shared" si="260"/>
        <v/>
      </c>
      <c r="FB190" s="139" t="str">
        <f t="shared" si="261"/>
        <v/>
      </c>
      <c r="FC190" s="139" t="str">
        <f t="shared" si="262"/>
        <v/>
      </c>
      <c r="FD190" s="139" t="str">
        <f t="shared" si="263"/>
        <v/>
      </c>
      <c r="FE190" s="139" t="str">
        <f t="shared" si="264"/>
        <v/>
      </c>
      <c r="FF190" s="139" t="str">
        <f t="shared" si="265"/>
        <v/>
      </c>
      <c r="FG190" s="139" t="str">
        <f t="shared" si="266"/>
        <v/>
      </c>
      <c r="FH190" s="139" t="str">
        <f t="shared" si="267"/>
        <v/>
      </c>
      <c r="FI190" s="139" t="str">
        <f t="shared" si="268"/>
        <v/>
      </c>
      <c r="FJ190" s="139" t="str">
        <f t="shared" si="269"/>
        <v/>
      </c>
      <c r="FK190" s="139" t="str">
        <f t="shared" si="270"/>
        <v/>
      </c>
      <c r="FL190" s="139" t="str">
        <f t="shared" si="271"/>
        <v/>
      </c>
      <c r="FM190" s="139" t="str">
        <f t="shared" si="272"/>
        <v/>
      </c>
      <c r="FN190" s="139" t="str">
        <f t="shared" si="273"/>
        <v/>
      </c>
      <c r="FO190" s="139" t="str">
        <f t="shared" si="274"/>
        <v/>
      </c>
      <c r="FP190" s="139" t="str">
        <f t="shared" si="275"/>
        <v/>
      </c>
      <c r="FQ190" s="139" t="str">
        <f t="shared" si="276"/>
        <v/>
      </c>
      <c r="FR190" s="139" t="str">
        <f t="shared" si="277"/>
        <v/>
      </c>
      <c r="FS190" s="139" t="str">
        <f t="shared" si="278"/>
        <v/>
      </c>
      <c r="FT190" s="139" t="str">
        <f t="shared" si="279"/>
        <v/>
      </c>
      <c r="FU190" s="148" t="str">
        <f t="shared" si="280"/>
        <v/>
      </c>
      <c r="FV190" s="149"/>
      <c r="FY190" s="213">
        <v>185</v>
      </c>
      <c r="FZ190">
        <v>33.659572183911948</v>
      </c>
      <c r="GA190">
        <v>39.753093995121731</v>
      </c>
      <c r="GB190">
        <v>10.34536938291058</v>
      </c>
      <c r="GC190">
        <v>7.5716640691181851</v>
      </c>
      <c r="GD190">
        <v>6.124837647534763</v>
      </c>
      <c r="GE190">
        <v>5.0585680001601272</v>
      </c>
      <c r="GF190">
        <v>18.044388628023452</v>
      </c>
      <c r="GG190">
        <v>14.353306507328329</v>
      </c>
      <c r="GH190">
        <v>12.024593774135511</v>
      </c>
      <c r="GI190">
        <v>16.697648793010973</v>
      </c>
      <c r="GJ190"/>
      <c r="GK190"/>
      <c r="GL190"/>
      <c r="GM190"/>
      <c r="GN190" s="208"/>
      <c r="GO190" s="208"/>
      <c r="GP190" s="208"/>
      <c r="GQ190" s="208"/>
      <c r="GR190" s="208"/>
      <c r="GS190" s="208"/>
      <c r="GT190" s="208"/>
      <c r="GU190" s="213">
        <v>185</v>
      </c>
    </row>
    <row r="191" spans="1:203" s="7" customFormat="1">
      <c r="A191" s="1"/>
      <c r="B191" s="76" t="str">
        <f ca="1">IF(C191="", "", RAND())</f>
        <v/>
      </c>
      <c r="C191" t="s">
        <v>104</v>
      </c>
      <c r="D191" t="s">
        <v>104</v>
      </c>
      <c r="E191" t="s">
        <v>104</v>
      </c>
      <c r="F191" t="s">
        <v>104</v>
      </c>
      <c r="G191" t="s">
        <v>104</v>
      </c>
      <c r="H191" t="s">
        <v>104</v>
      </c>
      <c r="I191" t="s">
        <v>104</v>
      </c>
      <c r="J191" t="s">
        <v>104</v>
      </c>
      <c r="K191" t="s">
        <v>104</v>
      </c>
      <c r="L191" t="s">
        <v>104</v>
      </c>
      <c r="M191" t="s">
        <v>104</v>
      </c>
      <c r="N191" t="s">
        <v>104</v>
      </c>
      <c r="O191" t="s">
        <v>104</v>
      </c>
      <c r="P191" t="s">
        <v>104</v>
      </c>
      <c r="Q191" t="s">
        <v>104</v>
      </c>
      <c r="R191" t="s">
        <v>104</v>
      </c>
      <c r="S191" t="s">
        <v>104</v>
      </c>
      <c r="T191" t="s">
        <v>104</v>
      </c>
      <c r="U191" t="s">
        <v>104</v>
      </c>
      <c r="V191" t="s">
        <v>104</v>
      </c>
      <c r="W191" t="s">
        <v>104</v>
      </c>
      <c r="X191" t="s">
        <v>104</v>
      </c>
      <c r="Y191" t="s">
        <v>104</v>
      </c>
      <c r="Z191" t="s">
        <v>104</v>
      </c>
      <c r="AA191" t="s">
        <v>104</v>
      </c>
      <c r="AB191" t="s">
        <v>104</v>
      </c>
      <c r="AC191" t="s">
        <v>104</v>
      </c>
      <c r="AD191" t="s">
        <v>104</v>
      </c>
      <c r="AE191" t="s">
        <v>104</v>
      </c>
      <c r="AF191" t="s">
        <v>104</v>
      </c>
      <c r="AG191" t="s">
        <v>104</v>
      </c>
      <c r="AH191" t="s">
        <v>104</v>
      </c>
      <c r="AI191" t="s">
        <v>104</v>
      </c>
      <c r="AJ191" s="2"/>
      <c r="AK191" s="80"/>
      <c r="AL191" s="74">
        <v>3.0028000000000028</v>
      </c>
      <c r="AM191" s="43">
        <v>175</v>
      </c>
      <c r="AN191">
        <v>262.78879131721629</v>
      </c>
      <c r="AO191">
        <v>22.261386329891664</v>
      </c>
      <c r="AP191">
        <v>71.786386395088101</v>
      </c>
      <c r="AQ191">
        <v>167.92685353401424</v>
      </c>
      <c r="AR191">
        <v>23.044395645441291</v>
      </c>
      <c r="AS191">
        <v>220.79641446665698</v>
      </c>
      <c r="AT191">
        <v>12.364554716945698</v>
      </c>
      <c r="AU191">
        <v>44.553868114328218</v>
      </c>
      <c r="AV191"/>
      <c r="AW191"/>
      <c r="AX191" s="146"/>
      <c r="AY191" s="76" t="str">
        <f t="shared" ca="1" si="171"/>
        <v/>
      </c>
      <c r="AZ191"/>
      <c r="BA191" s="129" t="s">
        <v>104</v>
      </c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 s="147"/>
      <c r="CH191" s="176"/>
      <c r="CJ191" s="146"/>
      <c r="CK191" s="76" t="str">
        <f t="shared" ca="1" si="206"/>
        <v/>
      </c>
      <c r="CL191" s="179" t="str">
        <f t="shared" si="207"/>
        <v/>
      </c>
      <c r="CM191" s="180" t="str">
        <f t="shared" si="208"/>
        <v/>
      </c>
      <c r="CN191"/>
      <c r="CO191"/>
      <c r="CP191"/>
      <c r="CQ191"/>
      <c r="CR191"/>
      <c r="CS191"/>
      <c r="CT191"/>
      <c r="CU191"/>
      <c r="CV191" s="160"/>
      <c r="CW191"/>
      <c r="CX191"/>
      <c r="CY191" s="160"/>
      <c r="CZ191" s="177" t="str">
        <f t="shared" si="209"/>
        <v/>
      </c>
      <c r="DB191" s="146"/>
      <c r="DC191" s="76" t="str">
        <f t="shared" ca="1" si="172"/>
        <v/>
      </c>
      <c r="DD191" t="str">
        <f t="shared" si="210"/>
        <v/>
      </c>
      <c r="DE191" s="129" t="str">
        <f t="shared" si="281"/>
        <v/>
      </c>
      <c r="DF191" s="161" t="str">
        <f t="shared" si="282"/>
        <v/>
      </c>
      <c r="DG191" s="161" t="str">
        <f t="shared" si="283"/>
        <v/>
      </c>
      <c r="DH191" s="161" t="str">
        <f t="shared" si="284"/>
        <v/>
      </c>
      <c r="DI191" s="161" t="str">
        <f t="shared" si="285"/>
        <v/>
      </c>
      <c r="DJ191" s="161" t="str">
        <f t="shared" si="286"/>
        <v/>
      </c>
      <c r="DK191" s="161" t="str">
        <f t="shared" si="287"/>
        <v/>
      </c>
      <c r="DL191" s="161" t="str">
        <f t="shared" si="288"/>
        <v/>
      </c>
      <c r="DM191" s="161" t="str">
        <f t="shared" si="289"/>
        <v/>
      </c>
      <c r="DN191" s="161" t="str">
        <f>IF($AZ191="", "", (BJ191*$CW191)/$CZ191)</f>
        <v/>
      </c>
      <c r="DO191" s="161" t="str">
        <f t="shared" si="290"/>
        <v/>
      </c>
      <c r="DP191" s="161" t="str">
        <f t="shared" si="291"/>
        <v/>
      </c>
      <c r="DQ191" s="161" t="str">
        <f t="shared" si="292"/>
        <v/>
      </c>
      <c r="DR191" s="161" t="str">
        <f t="shared" si="293"/>
        <v/>
      </c>
      <c r="DS191" s="161" t="str">
        <f t="shared" si="294"/>
        <v/>
      </c>
      <c r="DT191" s="161" t="str">
        <f t="shared" si="295"/>
        <v/>
      </c>
      <c r="DU191" s="161" t="str">
        <f t="shared" si="296"/>
        <v/>
      </c>
      <c r="DV191" s="161" t="str">
        <f t="shared" si="297"/>
        <v/>
      </c>
      <c r="DW191" s="161" t="str">
        <f t="shared" si="298"/>
        <v/>
      </c>
      <c r="DX191" s="161" t="str">
        <f t="shared" si="299"/>
        <v/>
      </c>
      <c r="DY191" s="161" t="str">
        <f t="shared" si="300"/>
        <v/>
      </c>
      <c r="DZ191" s="161" t="str">
        <f t="shared" si="301"/>
        <v/>
      </c>
      <c r="EA191" s="161" t="str">
        <f t="shared" si="302"/>
        <v/>
      </c>
      <c r="EB191" s="161" t="str">
        <f t="shared" si="303"/>
        <v/>
      </c>
      <c r="EC191" s="161" t="str">
        <f t="shared" si="304"/>
        <v/>
      </c>
      <c r="ED191" s="161" t="str">
        <f t="shared" si="305"/>
        <v/>
      </c>
      <c r="EE191" s="161" t="str">
        <f t="shared" si="306"/>
        <v/>
      </c>
      <c r="EF191" s="161" t="str">
        <f t="shared" si="307"/>
        <v/>
      </c>
      <c r="EG191" s="161" t="str">
        <f t="shared" si="308"/>
        <v/>
      </c>
      <c r="EH191" s="161" t="str">
        <f t="shared" si="309"/>
        <v/>
      </c>
      <c r="EI191" s="161" t="str">
        <f t="shared" si="310"/>
        <v/>
      </c>
      <c r="EJ191" s="161" t="str">
        <f t="shared" si="311"/>
        <v/>
      </c>
      <c r="EK191" s="147" t="str">
        <f t="shared" si="248"/>
        <v/>
      </c>
      <c r="EL191" s="149"/>
      <c r="EN191" s="146"/>
      <c r="EO191" s="146"/>
      <c r="EP191" s="139" t="str">
        <f t="shared" si="249"/>
        <v/>
      </c>
      <c r="EQ191" s="139" t="str">
        <f t="shared" si="250"/>
        <v/>
      </c>
      <c r="ER191" s="139" t="str">
        <f t="shared" si="251"/>
        <v/>
      </c>
      <c r="ES191" s="139" t="str">
        <f t="shared" si="252"/>
        <v/>
      </c>
      <c r="ET191" s="139" t="str">
        <f t="shared" si="253"/>
        <v/>
      </c>
      <c r="EU191" s="139" t="str">
        <f t="shared" si="254"/>
        <v/>
      </c>
      <c r="EV191" s="139" t="str">
        <f t="shared" si="255"/>
        <v/>
      </c>
      <c r="EW191" s="139" t="str">
        <f t="shared" si="256"/>
        <v/>
      </c>
      <c r="EX191" s="139" t="str">
        <f t="shared" si="257"/>
        <v/>
      </c>
      <c r="EY191" s="139" t="str">
        <f t="shared" si="258"/>
        <v/>
      </c>
      <c r="EZ191" s="139" t="str">
        <f t="shared" si="259"/>
        <v/>
      </c>
      <c r="FA191" s="139" t="str">
        <f t="shared" si="260"/>
        <v/>
      </c>
      <c r="FB191" s="139" t="str">
        <f t="shared" si="261"/>
        <v/>
      </c>
      <c r="FC191" s="139" t="str">
        <f t="shared" si="262"/>
        <v/>
      </c>
      <c r="FD191" s="139" t="str">
        <f t="shared" si="263"/>
        <v/>
      </c>
      <c r="FE191" s="139" t="str">
        <f t="shared" si="264"/>
        <v/>
      </c>
      <c r="FF191" s="139" t="str">
        <f t="shared" si="265"/>
        <v/>
      </c>
      <c r="FG191" s="139" t="str">
        <f t="shared" si="266"/>
        <v/>
      </c>
      <c r="FH191" s="139" t="str">
        <f t="shared" si="267"/>
        <v/>
      </c>
      <c r="FI191" s="139" t="str">
        <f t="shared" si="268"/>
        <v/>
      </c>
      <c r="FJ191" s="139" t="str">
        <f t="shared" si="269"/>
        <v/>
      </c>
      <c r="FK191" s="139" t="str">
        <f t="shared" si="270"/>
        <v/>
      </c>
      <c r="FL191" s="139" t="str">
        <f t="shared" si="271"/>
        <v/>
      </c>
      <c r="FM191" s="139" t="str">
        <f t="shared" si="272"/>
        <v/>
      </c>
      <c r="FN191" s="139" t="str">
        <f t="shared" si="273"/>
        <v/>
      </c>
      <c r="FO191" s="139" t="str">
        <f t="shared" si="274"/>
        <v/>
      </c>
      <c r="FP191" s="139" t="str">
        <f t="shared" si="275"/>
        <v/>
      </c>
      <c r="FQ191" s="139" t="str">
        <f t="shared" si="276"/>
        <v/>
      </c>
      <c r="FR191" s="139" t="str">
        <f t="shared" si="277"/>
        <v/>
      </c>
      <c r="FS191" s="139" t="str">
        <f t="shared" si="278"/>
        <v/>
      </c>
      <c r="FT191" s="139" t="str">
        <f t="shared" si="279"/>
        <v/>
      </c>
      <c r="FU191" s="148" t="str">
        <f t="shared" si="280"/>
        <v/>
      </c>
      <c r="FV191" s="149"/>
      <c r="FY191" s="213">
        <v>186</v>
      </c>
      <c r="FZ191">
        <v>35.674118512061064</v>
      </c>
      <c r="GA191">
        <v>47.834429578661364</v>
      </c>
      <c r="GB191">
        <v>11.127533204529856</v>
      </c>
      <c r="GC191">
        <v>7.0082624291049465</v>
      </c>
      <c r="GD191">
        <v>7.030744677541346</v>
      </c>
      <c r="GE191">
        <v>5.1859642218588942</v>
      </c>
      <c r="GF191">
        <v>8.9773303349747327</v>
      </c>
      <c r="GG191">
        <v>9.1021049161648708</v>
      </c>
      <c r="GH191">
        <v>7.9866044397631075</v>
      </c>
      <c r="GI191">
        <v>15.409801260177519</v>
      </c>
      <c r="GJ191"/>
      <c r="GK191"/>
      <c r="GL191"/>
      <c r="GM191"/>
      <c r="GN191" s="208"/>
      <c r="GO191" s="208"/>
      <c r="GP191" s="208"/>
      <c r="GQ191" s="208"/>
      <c r="GR191" s="208"/>
      <c r="GS191" s="208"/>
      <c r="GT191" s="208"/>
      <c r="GU191" s="213">
        <v>186</v>
      </c>
    </row>
    <row r="192" spans="1:203" s="7" customFormat="1">
      <c r="A192" s="1"/>
      <c r="B192" s="76" t="str">
        <f ca="1">IF(C192="", "", RAND())</f>
        <v/>
      </c>
      <c r="C192" t="s">
        <v>104</v>
      </c>
      <c r="D192" t="s">
        <v>104</v>
      </c>
      <c r="E192" t="s">
        <v>104</v>
      </c>
      <c r="F192" t="s">
        <v>104</v>
      </c>
      <c r="G192" t="s">
        <v>104</v>
      </c>
      <c r="H192" t="s">
        <v>104</v>
      </c>
      <c r="I192" t="s">
        <v>104</v>
      </c>
      <c r="J192" t="s">
        <v>104</v>
      </c>
      <c r="K192" t="s">
        <v>104</v>
      </c>
      <c r="L192" t="s">
        <v>104</v>
      </c>
      <c r="M192" t="s">
        <v>104</v>
      </c>
      <c r="N192" t="s">
        <v>104</v>
      </c>
      <c r="O192" t="s">
        <v>104</v>
      </c>
      <c r="P192" t="s">
        <v>104</v>
      </c>
      <c r="Q192" t="s">
        <v>104</v>
      </c>
      <c r="R192" t="s">
        <v>104</v>
      </c>
      <c r="S192" t="s">
        <v>104</v>
      </c>
      <c r="T192" t="s">
        <v>104</v>
      </c>
      <c r="U192" t="s">
        <v>104</v>
      </c>
      <c r="V192" t="s">
        <v>104</v>
      </c>
      <c r="W192" t="s">
        <v>104</v>
      </c>
      <c r="X192" t="s">
        <v>104</v>
      </c>
      <c r="Y192" t="s">
        <v>104</v>
      </c>
      <c r="Z192" t="s">
        <v>104</v>
      </c>
      <c r="AA192" t="s">
        <v>104</v>
      </c>
      <c r="AB192" t="s">
        <v>104</v>
      </c>
      <c r="AC192" t="s">
        <v>104</v>
      </c>
      <c r="AD192" t="s">
        <v>104</v>
      </c>
      <c r="AE192" t="s">
        <v>104</v>
      </c>
      <c r="AF192" t="s">
        <v>104</v>
      </c>
      <c r="AG192" t="s">
        <v>104</v>
      </c>
      <c r="AH192" t="s">
        <v>104</v>
      </c>
      <c r="AI192" t="s">
        <v>104</v>
      </c>
      <c r="AJ192" s="2"/>
      <c r="AK192" s="80"/>
      <c r="AL192" s="74"/>
      <c r="AM192" s="43">
        <v>176</v>
      </c>
      <c r="AN192">
        <v>335.49553340909813</v>
      </c>
      <c r="AO192">
        <v>30.240698565264438</v>
      </c>
      <c r="AP192">
        <v>73.380544504244924</v>
      </c>
      <c r="AQ192">
        <v>243.1286444698751</v>
      </c>
      <c r="AR192">
        <v>31.479221566116131</v>
      </c>
      <c r="AS192">
        <v>279.04513696167635</v>
      </c>
      <c r="AT192">
        <v>16.610213940635639</v>
      </c>
      <c r="AU192">
        <v>17.597939961454234</v>
      </c>
      <c r="AV192"/>
      <c r="AW192"/>
      <c r="AX192" s="146"/>
      <c r="AY192" s="76" t="str">
        <f t="shared" ca="1" si="171"/>
        <v/>
      </c>
      <c r="AZ192"/>
      <c r="BA192" s="129" t="s">
        <v>104</v>
      </c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 s="147"/>
      <c r="CH192" s="176"/>
      <c r="CJ192" s="146"/>
      <c r="CK192" s="76" t="str">
        <f t="shared" ca="1" si="206"/>
        <v/>
      </c>
      <c r="CL192" s="179" t="str">
        <f t="shared" si="207"/>
        <v/>
      </c>
      <c r="CM192" s="180" t="str">
        <f t="shared" si="208"/>
        <v/>
      </c>
      <c r="CN192"/>
      <c r="CO192"/>
      <c r="CP192"/>
      <c r="CQ192"/>
      <c r="CR192"/>
      <c r="CS192"/>
      <c r="CT192"/>
      <c r="CU192"/>
      <c r="CV192" s="160"/>
      <c r="CW192"/>
      <c r="CX192"/>
      <c r="CY192" s="160"/>
      <c r="CZ192" s="177" t="str">
        <f t="shared" si="209"/>
        <v/>
      </c>
      <c r="DB192" s="146"/>
      <c r="DC192" s="76" t="str">
        <f t="shared" ca="1" si="172"/>
        <v/>
      </c>
      <c r="DD192" t="str">
        <f t="shared" si="210"/>
        <v/>
      </c>
      <c r="DE192" s="129" t="str">
        <f t="shared" si="281"/>
        <v/>
      </c>
      <c r="DF192" s="161" t="str">
        <f t="shared" si="282"/>
        <v/>
      </c>
      <c r="DG192" s="161" t="str">
        <f t="shared" si="283"/>
        <v/>
      </c>
      <c r="DH192" s="161" t="str">
        <f t="shared" si="284"/>
        <v/>
      </c>
      <c r="DI192" s="161" t="str">
        <f t="shared" si="285"/>
        <v/>
      </c>
      <c r="DJ192" s="161" t="str">
        <f t="shared" si="286"/>
        <v/>
      </c>
      <c r="DK192" s="161" t="str">
        <f t="shared" si="287"/>
        <v/>
      </c>
      <c r="DL192" s="161" t="str">
        <f t="shared" si="288"/>
        <v/>
      </c>
      <c r="DM192" s="161" t="str">
        <f t="shared" si="289"/>
        <v/>
      </c>
      <c r="DN192" s="161" t="str">
        <f>IF($AZ192="", "", (BJ192*$CW192)/$CZ192)</f>
        <v/>
      </c>
      <c r="DO192" s="161" t="str">
        <f t="shared" si="290"/>
        <v/>
      </c>
      <c r="DP192" s="161" t="str">
        <f t="shared" si="291"/>
        <v/>
      </c>
      <c r="DQ192" s="161" t="str">
        <f t="shared" si="292"/>
        <v/>
      </c>
      <c r="DR192" s="161" t="str">
        <f t="shared" si="293"/>
        <v/>
      </c>
      <c r="DS192" s="161" t="str">
        <f t="shared" si="294"/>
        <v/>
      </c>
      <c r="DT192" s="161" t="str">
        <f t="shared" si="295"/>
        <v/>
      </c>
      <c r="DU192" s="161" t="str">
        <f t="shared" si="296"/>
        <v/>
      </c>
      <c r="DV192" s="161" t="str">
        <f t="shared" si="297"/>
        <v/>
      </c>
      <c r="DW192" s="161" t="str">
        <f t="shared" si="298"/>
        <v/>
      </c>
      <c r="DX192" s="161" t="str">
        <f t="shared" si="299"/>
        <v/>
      </c>
      <c r="DY192" s="161" t="str">
        <f t="shared" si="300"/>
        <v/>
      </c>
      <c r="DZ192" s="161" t="str">
        <f t="shared" si="301"/>
        <v/>
      </c>
      <c r="EA192" s="161" t="str">
        <f t="shared" si="302"/>
        <v/>
      </c>
      <c r="EB192" s="161" t="str">
        <f t="shared" si="303"/>
        <v/>
      </c>
      <c r="EC192" s="161" t="str">
        <f t="shared" si="304"/>
        <v/>
      </c>
      <c r="ED192" s="161" t="str">
        <f t="shared" si="305"/>
        <v/>
      </c>
      <c r="EE192" s="161" t="str">
        <f t="shared" si="306"/>
        <v/>
      </c>
      <c r="EF192" s="161" t="str">
        <f t="shared" si="307"/>
        <v/>
      </c>
      <c r="EG192" s="161" t="str">
        <f t="shared" si="308"/>
        <v/>
      </c>
      <c r="EH192" s="161" t="str">
        <f t="shared" si="309"/>
        <v/>
      </c>
      <c r="EI192" s="161" t="str">
        <f t="shared" si="310"/>
        <v/>
      </c>
      <c r="EJ192" s="161" t="str">
        <f t="shared" si="311"/>
        <v/>
      </c>
      <c r="EK192" s="147" t="str">
        <f t="shared" si="248"/>
        <v/>
      </c>
      <c r="EL192" s="149"/>
      <c r="EN192" s="146"/>
      <c r="EO192" s="146"/>
      <c r="EP192" s="139" t="str">
        <f t="shared" si="249"/>
        <v/>
      </c>
      <c r="EQ192" s="139" t="str">
        <f t="shared" si="250"/>
        <v/>
      </c>
      <c r="ER192" s="139" t="str">
        <f t="shared" si="251"/>
        <v/>
      </c>
      <c r="ES192" s="139" t="str">
        <f t="shared" si="252"/>
        <v/>
      </c>
      <c r="ET192" s="139" t="str">
        <f t="shared" si="253"/>
        <v/>
      </c>
      <c r="EU192" s="139" t="str">
        <f t="shared" si="254"/>
        <v/>
      </c>
      <c r="EV192" s="139" t="str">
        <f t="shared" si="255"/>
        <v/>
      </c>
      <c r="EW192" s="139" t="str">
        <f t="shared" si="256"/>
        <v/>
      </c>
      <c r="EX192" s="139" t="str">
        <f t="shared" si="257"/>
        <v/>
      </c>
      <c r="EY192" s="139" t="str">
        <f t="shared" si="258"/>
        <v/>
      </c>
      <c r="EZ192" s="139" t="str">
        <f t="shared" si="259"/>
        <v/>
      </c>
      <c r="FA192" s="139" t="str">
        <f t="shared" si="260"/>
        <v/>
      </c>
      <c r="FB192" s="139" t="str">
        <f t="shared" si="261"/>
        <v/>
      </c>
      <c r="FC192" s="139" t="str">
        <f t="shared" si="262"/>
        <v/>
      </c>
      <c r="FD192" s="139" t="str">
        <f t="shared" si="263"/>
        <v/>
      </c>
      <c r="FE192" s="139" t="str">
        <f t="shared" si="264"/>
        <v/>
      </c>
      <c r="FF192" s="139" t="str">
        <f t="shared" si="265"/>
        <v/>
      </c>
      <c r="FG192" s="139" t="str">
        <f t="shared" si="266"/>
        <v/>
      </c>
      <c r="FH192" s="139" t="str">
        <f t="shared" si="267"/>
        <v/>
      </c>
      <c r="FI192" s="139" t="str">
        <f t="shared" si="268"/>
        <v/>
      </c>
      <c r="FJ192" s="139" t="str">
        <f t="shared" si="269"/>
        <v/>
      </c>
      <c r="FK192" s="139" t="str">
        <f t="shared" si="270"/>
        <v/>
      </c>
      <c r="FL192" s="139" t="str">
        <f t="shared" si="271"/>
        <v/>
      </c>
      <c r="FM192" s="139" t="str">
        <f t="shared" si="272"/>
        <v/>
      </c>
      <c r="FN192" s="139" t="str">
        <f t="shared" si="273"/>
        <v/>
      </c>
      <c r="FO192" s="139" t="str">
        <f t="shared" si="274"/>
        <v/>
      </c>
      <c r="FP192" s="139" t="str">
        <f t="shared" si="275"/>
        <v/>
      </c>
      <c r="FQ192" s="139" t="str">
        <f t="shared" si="276"/>
        <v/>
      </c>
      <c r="FR192" s="139" t="str">
        <f t="shared" si="277"/>
        <v/>
      </c>
      <c r="FS192" s="139" t="str">
        <f t="shared" si="278"/>
        <v/>
      </c>
      <c r="FT192" s="139" t="str">
        <f t="shared" si="279"/>
        <v/>
      </c>
      <c r="FU192" s="148" t="str">
        <f t="shared" si="280"/>
        <v/>
      </c>
      <c r="FV192" s="149"/>
      <c r="FY192" s="213">
        <v>187</v>
      </c>
      <c r="FZ192">
        <v>39.267606627919335</v>
      </c>
      <c r="GA192">
        <v>65.775018956072131</v>
      </c>
      <c r="GB192">
        <v>20.11304018579963</v>
      </c>
      <c r="GC192">
        <v>3.9810088453571502</v>
      </c>
      <c r="GD192">
        <v>3.6843173758182743</v>
      </c>
      <c r="GE192">
        <v>7.375128019624813</v>
      </c>
      <c r="GF192">
        <v>26.958576917425937</v>
      </c>
      <c r="GG192">
        <v>21.975981012398563</v>
      </c>
      <c r="GH192">
        <v>19.076457043607803</v>
      </c>
      <c r="GI192">
        <v>21.70173223349234</v>
      </c>
      <c r="GJ192"/>
      <c r="GK192"/>
      <c r="GL192"/>
      <c r="GM192"/>
      <c r="GN192" s="208"/>
      <c r="GO192" s="208"/>
      <c r="GP192" s="208"/>
      <c r="GQ192" s="208"/>
      <c r="GR192" s="208"/>
      <c r="GS192" s="208"/>
      <c r="GT192" s="208"/>
      <c r="GU192" s="213">
        <v>187</v>
      </c>
    </row>
    <row r="193" spans="1:203" s="7" customFormat="1">
      <c r="A193" s="1"/>
      <c r="B193" s="76" t="str">
        <f ca="1">IF(C193="", "", RAND())</f>
        <v/>
      </c>
      <c r="C193" t="s">
        <v>104</v>
      </c>
      <c r="D193" t="s">
        <v>104</v>
      </c>
      <c r="E193" t="s">
        <v>104</v>
      </c>
      <c r="F193" t="s">
        <v>104</v>
      </c>
      <c r="G193" t="s">
        <v>104</v>
      </c>
      <c r="H193" t="s">
        <v>104</v>
      </c>
      <c r="I193" t="s">
        <v>104</v>
      </c>
      <c r="J193" t="s">
        <v>104</v>
      </c>
      <c r="K193" t="s">
        <v>104</v>
      </c>
      <c r="L193" t="s">
        <v>104</v>
      </c>
      <c r="M193" t="s">
        <v>104</v>
      </c>
      <c r="N193" t="s">
        <v>104</v>
      </c>
      <c r="O193" t="s">
        <v>104</v>
      </c>
      <c r="P193" t="s">
        <v>104</v>
      </c>
      <c r="Q193" t="s">
        <v>104</v>
      </c>
      <c r="R193" t="s">
        <v>104</v>
      </c>
      <c r="S193" t="s">
        <v>104</v>
      </c>
      <c r="T193" t="s">
        <v>104</v>
      </c>
      <c r="U193" t="s">
        <v>104</v>
      </c>
      <c r="V193" t="s">
        <v>104</v>
      </c>
      <c r="W193" t="s">
        <v>104</v>
      </c>
      <c r="X193" t="s">
        <v>104</v>
      </c>
      <c r="Y193" t="s">
        <v>104</v>
      </c>
      <c r="Z193" t="s">
        <v>104</v>
      </c>
      <c r="AA193" t="s">
        <v>104</v>
      </c>
      <c r="AB193" t="s">
        <v>104</v>
      </c>
      <c r="AC193" t="s">
        <v>104</v>
      </c>
      <c r="AD193" t="s">
        <v>104</v>
      </c>
      <c r="AE193" t="s">
        <v>104</v>
      </c>
      <c r="AF193" t="s">
        <v>104</v>
      </c>
      <c r="AG193" t="s">
        <v>104</v>
      </c>
      <c r="AH193" t="s">
        <v>104</v>
      </c>
      <c r="AI193" t="s">
        <v>104</v>
      </c>
      <c r="AJ193" s="2"/>
      <c r="AK193" s="80"/>
      <c r="AL193" s="74"/>
      <c r="AM193" s="43">
        <v>177</v>
      </c>
      <c r="AN193">
        <v>399.85656252958199</v>
      </c>
      <c r="AO193">
        <v>29.802325822661778</v>
      </c>
      <c r="AP193">
        <v>102.92783740799894</v>
      </c>
      <c r="AQ193">
        <v>199.5369290955465</v>
      </c>
      <c r="AR193">
        <v>29.927772180737115</v>
      </c>
      <c r="AS193">
        <v>273.69358223018327</v>
      </c>
      <c r="AT193">
        <v>12.575821742641557</v>
      </c>
      <c r="AU193">
        <v>4.1849354786076347</v>
      </c>
      <c r="AV193"/>
      <c r="AW193"/>
      <c r="AX193" s="146"/>
      <c r="AY193" s="76" t="str">
        <f t="shared" ca="1" si="171"/>
        <v/>
      </c>
      <c r="AZ193"/>
      <c r="BA193" s="129" t="s">
        <v>104</v>
      </c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 s="147"/>
      <c r="CH193" s="176"/>
      <c r="CJ193" s="146"/>
      <c r="CK193" s="76" t="str">
        <f t="shared" ca="1" si="206"/>
        <v/>
      </c>
      <c r="CL193" s="179" t="str">
        <f t="shared" si="207"/>
        <v/>
      </c>
      <c r="CM193" s="180" t="str">
        <f t="shared" si="208"/>
        <v/>
      </c>
      <c r="CN193"/>
      <c r="CO193"/>
      <c r="CP193"/>
      <c r="CQ193"/>
      <c r="CR193"/>
      <c r="CS193"/>
      <c r="CT193"/>
      <c r="CU193"/>
      <c r="CV193" s="160"/>
      <c r="CW193"/>
      <c r="CX193"/>
      <c r="CY193" s="160"/>
      <c r="CZ193" s="177" t="str">
        <f t="shared" si="209"/>
        <v/>
      </c>
      <c r="DB193" s="146"/>
      <c r="DC193" s="76" t="str">
        <f t="shared" ca="1" si="172"/>
        <v/>
      </c>
      <c r="DD193" t="str">
        <f t="shared" si="210"/>
        <v/>
      </c>
      <c r="DE193" s="129" t="str">
        <f t="shared" si="281"/>
        <v/>
      </c>
      <c r="DF193" s="161" t="str">
        <f t="shared" si="282"/>
        <v/>
      </c>
      <c r="DG193" s="161" t="str">
        <f t="shared" si="283"/>
        <v/>
      </c>
      <c r="DH193" s="161" t="str">
        <f t="shared" si="284"/>
        <v/>
      </c>
      <c r="DI193" s="161" t="str">
        <f t="shared" si="285"/>
        <v/>
      </c>
      <c r="DJ193" s="161" t="str">
        <f t="shared" si="286"/>
        <v/>
      </c>
      <c r="DK193" s="161" t="str">
        <f t="shared" si="287"/>
        <v/>
      </c>
      <c r="DL193" s="161" t="str">
        <f t="shared" si="288"/>
        <v/>
      </c>
      <c r="DM193" s="161" t="str">
        <f t="shared" si="289"/>
        <v/>
      </c>
      <c r="DN193" s="161" t="str">
        <f t="shared" ref="DN193:DN207" si="312">IF($AZ193="", "", (BJ193*$CW193)/$CZ193)</f>
        <v/>
      </c>
      <c r="DO193" s="161" t="str">
        <f t="shared" si="290"/>
        <v/>
      </c>
      <c r="DP193" s="161" t="str">
        <f t="shared" si="291"/>
        <v/>
      </c>
      <c r="DQ193" s="161" t="str">
        <f t="shared" si="292"/>
        <v/>
      </c>
      <c r="DR193" s="161" t="str">
        <f t="shared" si="293"/>
        <v/>
      </c>
      <c r="DS193" s="161" t="str">
        <f t="shared" si="294"/>
        <v/>
      </c>
      <c r="DT193" s="161" t="str">
        <f t="shared" si="295"/>
        <v/>
      </c>
      <c r="DU193" s="161" t="str">
        <f t="shared" si="296"/>
        <v/>
      </c>
      <c r="DV193" s="161" t="str">
        <f t="shared" si="297"/>
        <v/>
      </c>
      <c r="DW193" s="161" t="str">
        <f t="shared" si="298"/>
        <v/>
      </c>
      <c r="DX193" s="161" t="str">
        <f t="shared" si="299"/>
        <v/>
      </c>
      <c r="DY193" s="161" t="str">
        <f t="shared" si="300"/>
        <v/>
      </c>
      <c r="DZ193" s="161" t="str">
        <f t="shared" si="301"/>
        <v/>
      </c>
      <c r="EA193" s="161" t="str">
        <f t="shared" si="302"/>
        <v/>
      </c>
      <c r="EB193" s="161" t="str">
        <f t="shared" si="303"/>
        <v/>
      </c>
      <c r="EC193" s="161" t="str">
        <f t="shared" si="304"/>
        <v/>
      </c>
      <c r="ED193" s="161" t="str">
        <f t="shared" si="305"/>
        <v/>
      </c>
      <c r="EE193" s="161" t="str">
        <f t="shared" si="306"/>
        <v/>
      </c>
      <c r="EF193" s="161" t="str">
        <f t="shared" si="307"/>
        <v/>
      </c>
      <c r="EG193" s="161" t="str">
        <f t="shared" si="308"/>
        <v/>
      </c>
      <c r="EH193" s="161" t="str">
        <f t="shared" si="309"/>
        <v/>
      </c>
      <c r="EI193" s="161" t="str">
        <f t="shared" si="310"/>
        <v/>
      </c>
      <c r="EJ193" s="161" t="str">
        <f t="shared" si="311"/>
        <v/>
      </c>
      <c r="EK193" s="147" t="str">
        <f t="shared" si="248"/>
        <v/>
      </c>
      <c r="EL193" s="149"/>
      <c r="EN193" s="146"/>
      <c r="EO193" s="146"/>
      <c r="EP193" s="139" t="str">
        <f t="shared" si="249"/>
        <v/>
      </c>
      <c r="EQ193" s="139" t="str">
        <f t="shared" si="250"/>
        <v/>
      </c>
      <c r="ER193" s="139" t="str">
        <f t="shared" si="251"/>
        <v/>
      </c>
      <c r="ES193" s="139" t="str">
        <f t="shared" si="252"/>
        <v/>
      </c>
      <c r="ET193" s="139" t="str">
        <f t="shared" si="253"/>
        <v/>
      </c>
      <c r="EU193" s="139" t="str">
        <f t="shared" si="254"/>
        <v/>
      </c>
      <c r="EV193" s="139" t="str">
        <f t="shared" si="255"/>
        <v/>
      </c>
      <c r="EW193" s="139" t="str">
        <f t="shared" si="256"/>
        <v/>
      </c>
      <c r="EX193" s="139" t="str">
        <f t="shared" si="257"/>
        <v/>
      </c>
      <c r="EY193" s="139" t="str">
        <f t="shared" si="258"/>
        <v/>
      </c>
      <c r="EZ193" s="139" t="str">
        <f t="shared" si="259"/>
        <v/>
      </c>
      <c r="FA193" s="139" t="str">
        <f t="shared" si="260"/>
        <v/>
      </c>
      <c r="FB193" s="139" t="str">
        <f t="shared" si="261"/>
        <v/>
      </c>
      <c r="FC193" s="139" t="str">
        <f t="shared" si="262"/>
        <v/>
      </c>
      <c r="FD193" s="139" t="str">
        <f t="shared" si="263"/>
        <v/>
      </c>
      <c r="FE193" s="139" t="str">
        <f t="shared" si="264"/>
        <v/>
      </c>
      <c r="FF193" s="139" t="str">
        <f t="shared" si="265"/>
        <v/>
      </c>
      <c r="FG193" s="139" t="str">
        <f t="shared" si="266"/>
        <v/>
      </c>
      <c r="FH193" s="139" t="str">
        <f t="shared" si="267"/>
        <v/>
      </c>
      <c r="FI193" s="139" t="str">
        <f t="shared" si="268"/>
        <v/>
      </c>
      <c r="FJ193" s="139" t="str">
        <f t="shared" si="269"/>
        <v/>
      </c>
      <c r="FK193" s="139" t="str">
        <f t="shared" si="270"/>
        <v/>
      </c>
      <c r="FL193" s="139" t="str">
        <f t="shared" si="271"/>
        <v/>
      </c>
      <c r="FM193" s="139" t="str">
        <f t="shared" si="272"/>
        <v/>
      </c>
      <c r="FN193" s="139" t="str">
        <f t="shared" si="273"/>
        <v/>
      </c>
      <c r="FO193" s="139" t="str">
        <f t="shared" si="274"/>
        <v/>
      </c>
      <c r="FP193" s="139" t="str">
        <f t="shared" si="275"/>
        <v/>
      </c>
      <c r="FQ193" s="139" t="str">
        <f t="shared" si="276"/>
        <v/>
      </c>
      <c r="FR193" s="139" t="str">
        <f t="shared" si="277"/>
        <v/>
      </c>
      <c r="FS193" s="139" t="str">
        <f t="shared" si="278"/>
        <v/>
      </c>
      <c r="FT193" s="139" t="str">
        <f t="shared" si="279"/>
        <v/>
      </c>
      <c r="FU193" s="148" t="str">
        <f t="shared" si="280"/>
        <v/>
      </c>
      <c r="FV193" s="149"/>
      <c r="FY193" s="213">
        <v>188</v>
      </c>
      <c r="FZ193">
        <v>56.280965133806447</v>
      </c>
      <c r="GA193">
        <v>59.379935949617</v>
      </c>
      <c r="GB193">
        <v>13.925905572342668</v>
      </c>
      <c r="GC193">
        <v>6.4705821824564875</v>
      </c>
      <c r="GD193">
        <v>4.3791186085121483</v>
      </c>
      <c r="GE193">
        <v>3.851378258406903</v>
      </c>
      <c r="GF193">
        <v>23.345725784609009</v>
      </c>
      <c r="GG193">
        <v>21.599370469614342</v>
      </c>
      <c r="GH193">
        <v>9.0124985417514232</v>
      </c>
      <c r="GI193">
        <v>20.366648896483493</v>
      </c>
      <c r="GJ193"/>
      <c r="GK193"/>
      <c r="GL193"/>
      <c r="GM193"/>
      <c r="GN193" s="208"/>
      <c r="GO193" s="208"/>
      <c r="GP193" s="208"/>
      <c r="GQ193" s="208"/>
      <c r="GR193" s="208"/>
      <c r="GS193" s="208"/>
      <c r="GT193" s="208"/>
      <c r="GU193" s="213">
        <v>188</v>
      </c>
    </row>
    <row r="194" spans="1:203" s="7" customFormat="1">
      <c r="A194" s="1"/>
      <c r="B194" s="76" t="str">
        <f ca="1">IF(C194="", "", RAND())</f>
        <v/>
      </c>
      <c r="C194" t="s">
        <v>104</v>
      </c>
      <c r="D194" t="s">
        <v>104</v>
      </c>
      <c r="E194" t="s">
        <v>104</v>
      </c>
      <c r="F194" t="s">
        <v>104</v>
      </c>
      <c r="G194" t="s">
        <v>104</v>
      </c>
      <c r="H194" t="s">
        <v>104</v>
      </c>
      <c r="I194" t="s">
        <v>104</v>
      </c>
      <c r="J194" t="s">
        <v>104</v>
      </c>
      <c r="K194" t="s">
        <v>104</v>
      </c>
      <c r="L194" t="s">
        <v>104</v>
      </c>
      <c r="M194" t="s">
        <v>104</v>
      </c>
      <c r="N194" t="s">
        <v>104</v>
      </c>
      <c r="O194" t="s">
        <v>104</v>
      </c>
      <c r="P194" t="s">
        <v>104</v>
      </c>
      <c r="Q194" t="s">
        <v>104</v>
      </c>
      <c r="R194" t="s">
        <v>104</v>
      </c>
      <c r="S194" t="s">
        <v>104</v>
      </c>
      <c r="T194" t="s">
        <v>104</v>
      </c>
      <c r="U194" t="s">
        <v>104</v>
      </c>
      <c r="V194" t="s">
        <v>104</v>
      </c>
      <c r="W194" t="s">
        <v>104</v>
      </c>
      <c r="X194" t="s">
        <v>104</v>
      </c>
      <c r="Y194" t="s">
        <v>104</v>
      </c>
      <c r="Z194" t="s">
        <v>104</v>
      </c>
      <c r="AA194" t="s">
        <v>104</v>
      </c>
      <c r="AB194" t="s">
        <v>104</v>
      </c>
      <c r="AC194" t="s">
        <v>104</v>
      </c>
      <c r="AD194" t="s">
        <v>104</v>
      </c>
      <c r="AE194" t="s">
        <v>104</v>
      </c>
      <c r="AF194" t="s">
        <v>104</v>
      </c>
      <c r="AG194" t="s">
        <v>104</v>
      </c>
      <c r="AH194" t="s">
        <v>104</v>
      </c>
      <c r="AI194" t="s">
        <v>104</v>
      </c>
      <c r="AJ194" s="2"/>
      <c r="AK194" s="80"/>
      <c r="AL194" s="74"/>
      <c r="AM194" s="43">
        <v>178</v>
      </c>
      <c r="AN194">
        <v>268.3844679041718</v>
      </c>
      <c r="AO194">
        <v>25.839791278384574</v>
      </c>
      <c r="AP194">
        <v>68.414709230396909</v>
      </c>
      <c r="AQ194">
        <v>200.47546030176952</v>
      </c>
      <c r="AR194">
        <v>26.997982694005302</v>
      </c>
      <c r="AS194">
        <v>227.13187675890399</v>
      </c>
      <c r="AT194">
        <v>13.262341688999539</v>
      </c>
      <c r="AU194">
        <v>2.5278711087255203</v>
      </c>
      <c r="AV194"/>
      <c r="AW194"/>
      <c r="AX194" s="146"/>
      <c r="AY194" s="76" t="str">
        <f t="shared" ca="1" si="171"/>
        <v/>
      </c>
      <c r="AZ194"/>
      <c r="BA194" s="129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 s="147"/>
      <c r="CH194" s="176"/>
      <c r="CJ194" s="146"/>
      <c r="CK194" s="76" t="str">
        <f t="shared" ca="1" si="206"/>
        <v/>
      </c>
      <c r="CL194" s="179" t="str">
        <f t="shared" si="207"/>
        <v/>
      </c>
      <c r="CM194" s="180" t="str">
        <f t="shared" si="208"/>
        <v/>
      </c>
      <c r="CN194"/>
      <c r="CO194"/>
      <c r="CP194"/>
      <c r="CQ194"/>
      <c r="CR194"/>
      <c r="CS194"/>
      <c r="CT194"/>
      <c r="CU194"/>
      <c r="CV194" s="160"/>
      <c r="CW194"/>
      <c r="CX194"/>
      <c r="CY194" s="165"/>
      <c r="CZ194" s="177" t="str">
        <f t="shared" si="209"/>
        <v/>
      </c>
      <c r="DB194" s="146"/>
      <c r="DC194" s="76" t="str">
        <f t="shared" ca="1" si="172"/>
        <v/>
      </c>
      <c r="DD194" t="str">
        <f t="shared" si="210"/>
        <v/>
      </c>
      <c r="DE194" s="129" t="str">
        <f t="shared" si="281"/>
        <v/>
      </c>
      <c r="DF194" s="161" t="str">
        <f t="shared" si="282"/>
        <v/>
      </c>
      <c r="DG194" s="161" t="str">
        <f t="shared" si="283"/>
        <v/>
      </c>
      <c r="DH194" s="161" t="str">
        <f t="shared" si="284"/>
        <v/>
      </c>
      <c r="DI194" s="161" t="str">
        <f t="shared" si="285"/>
        <v/>
      </c>
      <c r="DJ194" s="161" t="str">
        <f t="shared" si="286"/>
        <v/>
      </c>
      <c r="DK194" s="161" t="str">
        <f t="shared" si="287"/>
        <v/>
      </c>
      <c r="DL194" s="161" t="str">
        <f t="shared" si="288"/>
        <v/>
      </c>
      <c r="DM194" s="161" t="str">
        <f t="shared" si="289"/>
        <v/>
      </c>
      <c r="DN194" s="161" t="str">
        <f t="shared" si="312"/>
        <v/>
      </c>
      <c r="DO194" s="161" t="str">
        <f t="shared" ref="DO194:DO206" si="313">IF($AZ194="", "", (BK193*$CW194)/$CZ194)</f>
        <v/>
      </c>
      <c r="DP194" s="161" t="str">
        <f t="shared" ref="DP194:DP206" si="314">IF($AZ194="", "", (BL193*$CW194)/$CZ194)</f>
        <v/>
      </c>
      <c r="DQ194" s="161" t="str">
        <f t="shared" ref="DQ194:DQ206" si="315">IF($AZ194="", "", (BM193*$CW194)/$CZ194)</f>
        <v/>
      </c>
      <c r="DR194" s="161" t="str">
        <f t="shared" ref="DR194:DR206" si="316">IF($AZ194="", "", (BN193*$CW194)/$CZ194)</f>
        <v/>
      </c>
      <c r="DS194" s="161" t="str">
        <f t="shared" ref="DS194:DS206" si="317">IF($AZ194="", "", (BO193*$CW194)/$CZ194)</f>
        <v/>
      </c>
      <c r="DT194" s="161" t="str">
        <f t="shared" ref="DT194:DT206" si="318">IF($AZ194="", "", (BP193*$CW194)/$CZ194)</f>
        <v/>
      </c>
      <c r="DU194" s="161" t="str">
        <f t="shared" ref="DU194:DU206" si="319">IF($AZ194="", "", (BQ193*$CW194)/$CZ194)</f>
        <v/>
      </c>
      <c r="DV194" s="161" t="str">
        <f t="shared" ref="DV194:DV206" si="320">IF($AZ194="", "", (BR193*$CW194)/$CZ194)</f>
        <v/>
      </c>
      <c r="DW194" s="161" t="str">
        <f t="shared" ref="DW194:DW206" si="321">IF($AZ194="", "", (BS193*$CW194)/$CZ194)</f>
        <v/>
      </c>
      <c r="DX194" s="161" t="str">
        <f t="shared" ref="DX194:DX206" si="322">IF($AZ194="", "", (BT193*$CW194)/$CZ194)</f>
        <v/>
      </c>
      <c r="DY194" s="161" t="str">
        <f t="shared" ref="DY194:DY206" si="323">IF($AZ194="", "", (BU193*$CW194)/$CZ194)</f>
        <v/>
      </c>
      <c r="DZ194" s="161" t="str">
        <f t="shared" ref="DZ194:DZ206" si="324">IF($AZ194="", "", (BV193*$CW194)/$CZ194)</f>
        <v/>
      </c>
      <c r="EA194" s="161" t="str">
        <f t="shared" ref="EA194:EA206" si="325">IF($AZ194="", "", (BW193*$CW194)/$CZ194)</f>
        <v/>
      </c>
      <c r="EB194" s="161" t="str">
        <f t="shared" ref="EB194:EB206" si="326">IF($AZ194="", "", (BX193*$CW194)/$CZ194)</f>
        <v/>
      </c>
      <c r="EC194" s="161" t="str">
        <f t="shared" ref="EC194:EC206" si="327">IF($AZ194="", "", (BY193*$CW194)/$CZ194)</f>
        <v/>
      </c>
      <c r="ED194" s="161" t="str">
        <f t="shared" ref="ED194:ED206" si="328">IF($AZ194="", "", (BZ193*$CW194)/$CZ194)</f>
        <v/>
      </c>
      <c r="EE194" s="161" t="str">
        <f t="shared" ref="EE194:EE206" si="329">IF($AZ194="", "", (CA193*$CW194)/$CZ194)</f>
        <v/>
      </c>
      <c r="EF194" s="161" t="str">
        <f t="shared" ref="EF194:EF206" si="330">IF($AZ194="", "", (CB193*$CW194)/$CZ194)</f>
        <v/>
      </c>
      <c r="EG194" s="161" t="str">
        <f t="shared" ref="EG194:EG206" si="331">IF($AZ194="", "", (CC193*$CW194)/$CZ194)</f>
        <v/>
      </c>
      <c r="EH194" s="161" t="str">
        <f t="shared" ref="EH194:EH206" si="332">IF($AZ194="", "", (CD193*$CW194)/$CZ194)</f>
        <v/>
      </c>
      <c r="EI194" s="161" t="str">
        <f t="shared" ref="EI194:EI206" si="333">IF($AZ194="", "", (CE193*$CW194)/$CZ194)</f>
        <v/>
      </c>
      <c r="EJ194" s="161" t="str">
        <f t="shared" ref="EJ194:EJ206" si="334">IF($AZ194="", "", (CF193*$CW194)/$CZ194)</f>
        <v/>
      </c>
      <c r="EK194" s="147" t="str">
        <f t="shared" si="248"/>
        <v/>
      </c>
      <c r="EL194" s="149"/>
      <c r="EN194" s="146"/>
      <c r="EO194" s="146"/>
      <c r="EP194" s="139" t="str">
        <f t="shared" si="249"/>
        <v/>
      </c>
      <c r="EQ194" s="139" t="str">
        <f t="shared" si="250"/>
        <v/>
      </c>
      <c r="ER194" s="139" t="str">
        <f t="shared" si="251"/>
        <v/>
      </c>
      <c r="ES194" s="139" t="str">
        <f t="shared" si="252"/>
        <v/>
      </c>
      <c r="ET194" s="139" t="str">
        <f t="shared" si="253"/>
        <v/>
      </c>
      <c r="EU194" s="139" t="str">
        <f t="shared" si="254"/>
        <v/>
      </c>
      <c r="EV194" s="139" t="str">
        <f t="shared" si="255"/>
        <v/>
      </c>
      <c r="EW194" s="139" t="str">
        <f t="shared" si="256"/>
        <v/>
      </c>
      <c r="EX194" s="139" t="str">
        <f t="shared" si="257"/>
        <v/>
      </c>
      <c r="EY194" s="139" t="str">
        <f t="shared" si="258"/>
        <v/>
      </c>
      <c r="EZ194" s="139" t="str">
        <f t="shared" si="259"/>
        <v/>
      </c>
      <c r="FA194" s="139" t="str">
        <f t="shared" si="260"/>
        <v/>
      </c>
      <c r="FB194" s="139" t="str">
        <f t="shared" si="261"/>
        <v/>
      </c>
      <c r="FC194" s="139" t="str">
        <f t="shared" si="262"/>
        <v/>
      </c>
      <c r="FD194" s="139" t="str">
        <f t="shared" si="263"/>
        <v/>
      </c>
      <c r="FE194" s="139" t="str">
        <f t="shared" si="264"/>
        <v/>
      </c>
      <c r="FF194" s="139" t="str">
        <f t="shared" si="265"/>
        <v/>
      </c>
      <c r="FG194" s="139" t="str">
        <f t="shared" si="266"/>
        <v/>
      </c>
      <c r="FH194" s="139" t="str">
        <f t="shared" si="267"/>
        <v/>
      </c>
      <c r="FI194" s="139" t="str">
        <f t="shared" si="268"/>
        <v/>
      </c>
      <c r="FJ194" s="139" t="str">
        <f t="shared" si="269"/>
        <v/>
      </c>
      <c r="FK194" s="139" t="str">
        <f t="shared" si="270"/>
        <v/>
      </c>
      <c r="FL194" s="139" t="str">
        <f t="shared" si="271"/>
        <v/>
      </c>
      <c r="FM194" s="139" t="str">
        <f t="shared" si="272"/>
        <v/>
      </c>
      <c r="FN194" s="139" t="str">
        <f t="shared" si="273"/>
        <v/>
      </c>
      <c r="FO194" s="139" t="str">
        <f t="shared" si="274"/>
        <v/>
      </c>
      <c r="FP194" s="139" t="str">
        <f t="shared" si="275"/>
        <v/>
      </c>
      <c r="FQ194" s="139" t="str">
        <f t="shared" si="276"/>
        <v/>
      </c>
      <c r="FR194" s="139" t="str">
        <f t="shared" si="277"/>
        <v/>
      </c>
      <c r="FS194" s="139" t="str">
        <f t="shared" si="278"/>
        <v/>
      </c>
      <c r="FT194" s="139" t="str">
        <f t="shared" si="279"/>
        <v/>
      </c>
      <c r="FU194" s="148" t="str">
        <f t="shared" si="280"/>
        <v/>
      </c>
      <c r="FV194" s="149"/>
      <c r="FY194" s="213">
        <v>189</v>
      </c>
      <c r="FZ194">
        <v>33.604527671651525</v>
      </c>
      <c r="GA194">
        <v>35.266118653688785</v>
      </c>
      <c r="GB194">
        <v>12.305730186555962</v>
      </c>
      <c r="GC194">
        <v>4.4891578157106906</v>
      </c>
      <c r="GD194">
        <v>4.197880689503994</v>
      </c>
      <c r="GE194">
        <v>5.5051844946671062</v>
      </c>
      <c r="GF194">
        <v>21.514662487586275</v>
      </c>
      <c r="GG194">
        <v>20.470531108009947</v>
      </c>
      <c r="GH194">
        <v>15.761516875338829</v>
      </c>
      <c r="GI194">
        <v>17.329629826006705</v>
      </c>
      <c r="GJ194"/>
      <c r="GK194"/>
      <c r="GL194"/>
      <c r="GM194"/>
      <c r="GN194" s="208"/>
      <c r="GO194" s="208"/>
      <c r="GP194" s="208"/>
      <c r="GQ194" s="208"/>
      <c r="GR194" s="208"/>
      <c r="GS194" s="208"/>
      <c r="GT194" s="208"/>
      <c r="GU194" s="213">
        <v>189</v>
      </c>
    </row>
    <row r="195" spans="1:203" s="7" customFormat="1">
      <c r="A195" s="1"/>
      <c r="B195" s="76" t="str">
        <f ca="1">IF(C195="", "", RAND())</f>
        <v/>
      </c>
      <c r="C195" t="s">
        <v>104</v>
      </c>
      <c r="D195" t="s">
        <v>104</v>
      </c>
      <c r="E195" t="s">
        <v>104</v>
      </c>
      <c r="F195" t="s">
        <v>104</v>
      </c>
      <c r="G195" t="s">
        <v>104</v>
      </c>
      <c r="H195" t="s">
        <v>104</v>
      </c>
      <c r="I195" t="s">
        <v>104</v>
      </c>
      <c r="J195" t="s">
        <v>104</v>
      </c>
      <c r="K195" t="s">
        <v>104</v>
      </c>
      <c r="L195" t="s">
        <v>104</v>
      </c>
      <c r="M195" t="s">
        <v>104</v>
      </c>
      <c r="N195" t="s">
        <v>104</v>
      </c>
      <c r="O195" t="s">
        <v>104</v>
      </c>
      <c r="P195" t="s">
        <v>104</v>
      </c>
      <c r="Q195" t="s">
        <v>104</v>
      </c>
      <c r="R195" t="s">
        <v>104</v>
      </c>
      <c r="S195" t="s">
        <v>104</v>
      </c>
      <c r="T195" t="s">
        <v>104</v>
      </c>
      <c r="U195" t="s">
        <v>104</v>
      </c>
      <c r="V195" t="s">
        <v>104</v>
      </c>
      <c r="W195" t="s">
        <v>104</v>
      </c>
      <c r="X195" t="s">
        <v>104</v>
      </c>
      <c r="Y195" t="s">
        <v>104</v>
      </c>
      <c r="Z195" t="s">
        <v>104</v>
      </c>
      <c r="AA195" t="s">
        <v>104</v>
      </c>
      <c r="AB195" t="s">
        <v>104</v>
      </c>
      <c r="AC195" t="s">
        <v>104</v>
      </c>
      <c r="AD195" t="s">
        <v>104</v>
      </c>
      <c r="AE195" t="s">
        <v>104</v>
      </c>
      <c r="AF195" t="s">
        <v>104</v>
      </c>
      <c r="AG195" t="s">
        <v>104</v>
      </c>
      <c r="AH195" t="s">
        <v>104</v>
      </c>
      <c r="AI195" t="s">
        <v>104</v>
      </c>
      <c r="AJ195" s="2"/>
      <c r="AK195" s="80"/>
      <c r="AL195" s="74"/>
      <c r="AM195" s="43">
        <v>179</v>
      </c>
      <c r="AN195">
        <v>292.04734976676775</v>
      </c>
      <c r="AO195">
        <v>25.509039960130256</v>
      </c>
      <c r="AP195">
        <v>60.987827151264199</v>
      </c>
      <c r="AQ195">
        <v>204.59031675999151</v>
      </c>
      <c r="AR195">
        <v>26.578675412301504</v>
      </c>
      <c r="AS195">
        <v>243.4008799583462</v>
      </c>
      <c r="AT195">
        <v>14.216187931088692</v>
      </c>
      <c r="AU195">
        <v>0.68997539554086273</v>
      </c>
      <c r="AV195"/>
      <c r="AW195"/>
      <c r="AX195" s="146"/>
      <c r="AY195" s="76" t="str">
        <f t="shared" ca="1" si="171"/>
        <v/>
      </c>
      <c r="AZ195"/>
      <c r="BA195" s="129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 s="147"/>
      <c r="CH195" s="176"/>
      <c r="CJ195" s="146"/>
      <c r="CK195" s="76" t="str">
        <f t="shared" ca="1" si="206"/>
        <v/>
      </c>
      <c r="CL195" s="179" t="str">
        <f t="shared" si="207"/>
        <v/>
      </c>
      <c r="CM195" s="180" t="str">
        <f t="shared" si="208"/>
        <v/>
      </c>
      <c r="CN195"/>
      <c r="CO195"/>
      <c r="CP195"/>
      <c r="CQ195"/>
      <c r="CR195"/>
      <c r="CS195"/>
      <c r="CT195"/>
      <c r="CU195"/>
      <c r="CV195" s="160"/>
      <c r="CW195"/>
      <c r="CX195"/>
      <c r="CY195" s="165"/>
      <c r="CZ195" s="177" t="str">
        <f t="shared" si="209"/>
        <v/>
      </c>
      <c r="DB195" s="146"/>
      <c r="DC195" s="76" t="str">
        <f t="shared" ca="1" si="172"/>
        <v/>
      </c>
      <c r="DD195" t="str">
        <f t="shared" si="210"/>
        <v/>
      </c>
      <c r="DE195" s="129" t="str">
        <f t="shared" si="281"/>
        <v/>
      </c>
      <c r="DF195" s="161" t="str">
        <f t="shared" si="282"/>
        <v/>
      </c>
      <c r="DG195" s="161" t="str">
        <f t="shared" si="283"/>
        <v/>
      </c>
      <c r="DH195" s="161" t="str">
        <f t="shared" si="284"/>
        <v/>
      </c>
      <c r="DI195" s="161" t="str">
        <f t="shared" si="285"/>
        <v/>
      </c>
      <c r="DJ195" s="161" t="str">
        <f t="shared" si="286"/>
        <v/>
      </c>
      <c r="DK195" s="161" t="str">
        <f t="shared" si="287"/>
        <v/>
      </c>
      <c r="DL195" s="161" t="str">
        <f t="shared" si="288"/>
        <v/>
      </c>
      <c r="DM195" s="161" t="str">
        <f t="shared" si="289"/>
        <v/>
      </c>
      <c r="DN195" s="161" t="str">
        <f t="shared" si="312"/>
        <v/>
      </c>
      <c r="DO195" s="161" t="str">
        <f t="shared" si="313"/>
        <v/>
      </c>
      <c r="DP195" s="161" t="str">
        <f t="shared" si="314"/>
        <v/>
      </c>
      <c r="DQ195" s="161" t="str">
        <f t="shared" si="315"/>
        <v/>
      </c>
      <c r="DR195" s="161" t="str">
        <f t="shared" si="316"/>
        <v/>
      </c>
      <c r="DS195" s="161" t="str">
        <f t="shared" si="317"/>
        <v/>
      </c>
      <c r="DT195" s="161" t="str">
        <f t="shared" si="318"/>
        <v/>
      </c>
      <c r="DU195" s="161" t="str">
        <f t="shared" si="319"/>
        <v/>
      </c>
      <c r="DV195" s="161" t="str">
        <f t="shared" si="320"/>
        <v/>
      </c>
      <c r="DW195" s="161" t="str">
        <f t="shared" si="321"/>
        <v/>
      </c>
      <c r="DX195" s="161" t="str">
        <f t="shared" si="322"/>
        <v/>
      </c>
      <c r="DY195" s="161" t="str">
        <f t="shared" si="323"/>
        <v/>
      </c>
      <c r="DZ195" s="161" t="str">
        <f t="shared" si="324"/>
        <v/>
      </c>
      <c r="EA195" s="161" t="str">
        <f t="shared" si="325"/>
        <v/>
      </c>
      <c r="EB195" s="161" t="str">
        <f t="shared" si="326"/>
        <v/>
      </c>
      <c r="EC195" s="161" t="str">
        <f t="shared" si="327"/>
        <v/>
      </c>
      <c r="ED195" s="161" t="str">
        <f t="shared" si="328"/>
        <v/>
      </c>
      <c r="EE195" s="161" t="str">
        <f t="shared" si="329"/>
        <v/>
      </c>
      <c r="EF195" s="161" t="str">
        <f t="shared" si="330"/>
        <v/>
      </c>
      <c r="EG195" s="161" t="str">
        <f t="shared" si="331"/>
        <v/>
      </c>
      <c r="EH195" s="161" t="str">
        <f t="shared" si="332"/>
        <v/>
      </c>
      <c r="EI195" s="161" t="str">
        <f t="shared" si="333"/>
        <v/>
      </c>
      <c r="EJ195" s="161" t="str">
        <f t="shared" si="334"/>
        <v/>
      </c>
      <c r="EK195" s="147" t="str">
        <f t="shared" si="248"/>
        <v/>
      </c>
      <c r="EL195" s="149"/>
      <c r="EN195" s="146"/>
      <c r="EO195" s="146"/>
      <c r="EP195" s="139" t="str">
        <f t="shared" si="249"/>
        <v/>
      </c>
      <c r="EQ195" s="139" t="str">
        <f t="shared" si="250"/>
        <v/>
      </c>
      <c r="ER195" s="139" t="str">
        <f t="shared" si="251"/>
        <v/>
      </c>
      <c r="ES195" s="139" t="str">
        <f t="shared" si="252"/>
        <v/>
      </c>
      <c r="ET195" s="139" t="str">
        <f t="shared" si="253"/>
        <v/>
      </c>
      <c r="EU195" s="139" t="str">
        <f t="shared" si="254"/>
        <v/>
      </c>
      <c r="EV195" s="139" t="str">
        <f t="shared" si="255"/>
        <v/>
      </c>
      <c r="EW195" s="139" t="str">
        <f t="shared" si="256"/>
        <v/>
      </c>
      <c r="EX195" s="139" t="str">
        <f t="shared" si="257"/>
        <v/>
      </c>
      <c r="EY195" s="139" t="str">
        <f t="shared" si="258"/>
        <v/>
      </c>
      <c r="EZ195" s="139" t="str">
        <f t="shared" si="259"/>
        <v/>
      </c>
      <c r="FA195" s="139" t="str">
        <f t="shared" si="260"/>
        <v/>
      </c>
      <c r="FB195" s="139" t="str">
        <f t="shared" si="261"/>
        <v/>
      </c>
      <c r="FC195" s="139" t="str">
        <f t="shared" si="262"/>
        <v/>
      </c>
      <c r="FD195" s="139" t="str">
        <f t="shared" si="263"/>
        <v/>
      </c>
      <c r="FE195" s="139" t="str">
        <f t="shared" si="264"/>
        <v/>
      </c>
      <c r="FF195" s="139" t="str">
        <f t="shared" si="265"/>
        <v/>
      </c>
      <c r="FG195" s="139" t="str">
        <f t="shared" si="266"/>
        <v/>
      </c>
      <c r="FH195" s="139" t="str">
        <f t="shared" si="267"/>
        <v/>
      </c>
      <c r="FI195" s="139" t="str">
        <f t="shared" si="268"/>
        <v/>
      </c>
      <c r="FJ195" s="139" t="str">
        <f t="shared" si="269"/>
        <v/>
      </c>
      <c r="FK195" s="139" t="str">
        <f t="shared" si="270"/>
        <v/>
      </c>
      <c r="FL195" s="139" t="str">
        <f t="shared" si="271"/>
        <v/>
      </c>
      <c r="FM195" s="139" t="str">
        <f t="shared" si="272"/>
        <v/>
      </c>
      <c r="FN195" s="139" t="str">
        <f t="shared" si="273"/>
        <v/>
      </c>
      <c r="FO195" s="139" t="str">
        <f t="shared" si="274"/>
        <v/>
      </c>
      <c r="FP195" s="139" t="str">
        <f t="shared" si="275"/>
        <v/>
      </c>
      <c r="FQ195" s="139" t="str">
        <f t="shared" si="276"/>
        <v/>
      </c>
      <c r="FR195" s="139" t="str">
        <f t="shared" si="277"/>
        <v/>
      </c>
      <c r="FS195" s="139" t="str">
        <f t="shared" si="278"/>
        <v/>
      </c>
      <c r="FT195" s="139" t="str">
        <f t="shared" si="279"/>
        <v/>
      </c>
      <c r="FU195" s="148" t="str">
        <f t="shared" si="280"/>
        <v/>
      </c>
      <c r="FV195" s="149"/>
      <c r="FY195" s="213">
        <v>190</v>
      </c>
      <c r="FZ195">
        <v>29.420898744962358</v>
      </c>
      <c r="GA195">
        <v>22.222093964695446</v>
      </c>
      <c r="GB195">
        <v>8.0061811562556269</v>
      </c>
      <c r="GC195">
        <v>5.6134665542589044</v>
      </c>
      <c r="GD195">
        <v>5.2820311903352026</v>
      </c>
      <c r="GE195">
        <v>5.0838057040569833</v>
      </c>
      <c r="GF195">
        <v>11.14728275880692</v>
      </c>
      <c r="GG195">
        <v>12.530566006734338</v>
      </c>
      <c r="GH195">
        <v>19.591541046900041</v>
      </c>
      <c r="GI195">
        <v>14.790999271484235</v>
      </c>
      <c r="GJ195"/>
      <c r="GK195"/>
      <c r="GL195"/>
      <c r="GM195"/>
      <c r="GN195" s="208"/>
      <c r="GO195" s="208"/>
      <c r="GP195" s="208"/>
      <c r="GQ195" s="208"/>
      <c r="GR195" s="208"/>
      <c r="GS195" s="208"/>
      <c r="GT195" s="208"/>
      <c r="GU195" s="213">
        <v>190</v>
      </c>
    </row>
    <row r="196" spans="1:203" s="7" customFormat="1">
      <c r="A196" s="1"/>
      <c r="B196" s="76" t="str">
        <f ca="1">IF(C196="", "", RAND())</f>
        <v/>
      </c>
      <c r="C196" t="s">
        <v>104</v>
      </c>
      <c r="D196" t="s">
        <v>104</v>
      </c>
      <c r="E196" t="s">
        <v>104</v>
      </c>
      <c r="F196" t="s">
        <v>104</v>
      </c>
      <c r="G196" t="s">
        <v>104</v>
      </c>
      <c r="H196" t="s">
        <v>104</v>
      </c>
      <c r="I196" t="s">
        <v>104</v>
      </c>
      <c r="J196" t="s">
        <v>104</v>
      </c>
      <c r="K196" t="s">
        <v>104</v>
      </c>
      <c r="L196" t="s">
        <v>104</v>
      </c>
      <c r="M196" t="s">
        <v>104</v>
      </c>
      <c r="N196" t="s">
        <v>104</v>
      </c>
      <c r="O196" t="s">
        <v>104</v>
      </c>
      <c r="P196" t="s">
        <v>104</v>
      </c>
      <c r="Q196" t="s">
        <v>104</v>
      </c>
      <c r="R196" t="s">
        <v>104</v>
      </c>
      <c r="S196" t="s">
        <v>104</v>
      </c>
      <c r="T196" t="s">
        <v>104</v>
      </c>
      <c r="U196" t="s">
        <v>104</v>
      </c>
      <c r="V196" t="s">
        <v>104</v>
      </c>
      <c r="W196" t="s">
        <v>104</v>
      </c>
      <c r="X196" t="s">
        <v>104</v>
      </c>
      <c r="Y196" t="s">
        <v>104</v>
      </c>
      <c r="Z196" t="s">
        <v>104</v>
      </c>
      <c r="AA196" t="s">
        <v>104</v>
      </c>
      <c r="AB196" t="s">
        <v>104</v>
      </c>
      <c r="AC196" t="s">
        <v>104</v>
      </c>
      <c r="AD196" t="s">
        <v>104</v>
      </c>
      <c r="AE196" t="s">
        <v>104</v>
      </c>
      <c r="AF196" t="s">
        <v>104</v>
      </c>
      <c r="AG196" t="s">
        <v>104</v>
      </c>
      <c r="AH196" t="s">
        <v>104</v>
      </c>
      <c r="AI196" t="s">
        <v>104</v>
      </c>
      <c r="AJ196" s="2"/>
      <c r="AK196" s="80"/>
      <c r="AL196" s="74"/>
      <c r="AM196" s="43">
        <v>180</v>
      </c>
      <c r="AN196">
        <v>312.66338210008087</v>
      </c>
      <c r="AO196">
        <v>26.984109801825088</v>
      </c>
      <c r="AP196">
        <v>145.14320242434727</v>
      </c>
      <c r="AQ196">
        <v>205.78432494601424</v>
      </c>
      <c r="AR196">
        <v>28.31316985870091</v>
      </c>
      <c r="AS196">
        <v>260.89039541066779</v>
      </c>
      <c r="AT196">
        <v>15.205942215760183</v>
      </c>
      <c r="AU196">
        <v>102.64826316872235</v>
      </c>
      <c r="AV196"/>
      <c r="AW196"/>
      <c r="AX196" s="146"/>
      <c r="AY196" s="76" t="str">
        <f t="shared" ca="1" si="171"/>
        <v/>
      </c>
      <c r="AZ196"/>
      <c r="BA196" s="129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 s="147"/>
      <c r="CH196" s="176"/>
      <c r="CJ196" s="146"/>
      <c r="CK196" s="76" t="str">
        <f t="shared" ca="1" si="206"/>
        <v/>
      </c>
      <c r="CL196" s="179" t="str">
        <f t="shared" si="207"/>
        <v/>
      </c>
      <c r="CM196" s="180" t="str">
        <f t="shared" si="208"/>
        <v/>
      </c>
      <c r="CN196"/>
      <c r="CO196"/>
      <c r="CP196"/>
      <c r="CQ196"/>
      <c r="CR196"/>
      <c r="CS196"/>
      <c r="CT196"/>
      <c r="CU196"/>
      <c r="CV196" s="160"/>
      <c r="CW196"/>
      <c r="CX196"/>
      <c r="CY196" s="165"/>
      <c r="CZ196" s="177" t="str">
        <f t="shared" si="209"/>
        <v/>
      </c>
      <c r="DB196" s="146"/>
      <c r="DC196" s="76" t="str">
        <f t="shared" ca="1" si="172"/>
        <v/>
      </c>
      <c r="DD196" t="str">
        <f t="shared" si="210"/>
        <v/>
      </c>
      <c r="DE196" s="129" t="str">
        <f t="shared" si="281"/>
        <v/>
      </c>
      <c r="DF196" s="161" t="str">
        <f t="shared" si="282"/>
        <v/>
      </c>
      <c r="DG196" s="161" t="str">
        <f t="shared" si="283"/>
        <v/>
      </c>
      <c r="DH196" s="161" t="str">
        <f t="shared" si="284"/>
        <v/>
      </c>
      <c r="DI196" s="161" t="str">
        <f t="shared" si="285"/>
        <v/>
      </c>
      <c r="DJ196" s="161" t="str">
        <f t="shared" si="286"/>
        <v/>
      </c>
      <c r="DK196" s="161" t="str">
        <f t="shared" si="287"/>
        <v/>
      </c>
      <c r="DL196" s="161" t="str">
        <f t="shared" si="288"/>
        <v/>
      </c>
      <c r="DM196" s="161" t="str">
        <f t="shared" si="289"/>
        <v/>
      </c>
      <c r="DN196" s="161" t="str">
        <f t="shared" si="312"/>
        <v/>
      </c>
      <c r="DO196" s="161" t="str">
        <f t="shared" si="313"/>
        <v/>
      </c>
      <c r="DP196" s="161" t="str">
        <f t="shared" si="314"/>
        <v/>
      </c>
      <c r="DQ196" s="161" t="str">
        <f t="shared" si="315"/>
        <v/>
      </c>
      <c r="DR196" s="161" t="str">
        <f t="shared" si="316"/>
        <v/>
      </c>
      <c r="DS196" s="161" t="str">
        <f t="shared" si="317"/>
        <v/>
      </c>
      <c r="DT196" s="161" t="str">
        <f t="shared" si="318"/>
        <v/>
      </c>
      <c r="DU196" s="161" t="str">
        <f t="shared" si="319"/>
        <v/>
      </c>
      <c r="DV196" s="161" t="str">
        <f t="shared" si="320"/>
        <v/>
      </c>
      <c r="DW196" s="161" t="str">
        <f t="shared" si="321"/>
        <v/>
      </c>
      <c r="DX196" s="161" t="str">
        <f t="shared" si="322"/>
        <v/>
      </c>
      <c r="DY196" s="161" t="str">
        <f t="shared" si="323"/>
        <v/>
      </c>
      <c r="DZ196" s="161" t="str">
        <f t="shared" si="324"/>
        <v/>
      </c>
      <c r="EA196" s="161" t="str">
        <f t="shared" si="325"/>
        <v/>
      </c>
      <c r="EB196" s="161" t="str">
        <f t="shared" si="326"/>
        <v/>
      </c>
      <c r="EC196" s="161" t="str">
        <f t="shared" si="327"/>
        <v/>
      </c>
      <c r="ED196" s="161" t="str">
        <f t="shared" si="328"/>
        <v/>
      </c>
      <c r="EE196" s="161" t="str">
        <f t="shared" si="329"/>
        <v/>
      </c>
      <c r="EF196" s="161" t="str">
        <f t="shared" si="330"/>
        <v/>
      </c>
      <c r="EG196" s="161" t="str">
        <f t="shared" si="331"/>
        <v/>
      </c>
      <c r="EH196" s="161" t="str">
        <f t="shared" si="332"/>
        <v/>
      </c>
      <c r="EI196" s="161" t="str">
        <f t="shared" si="333"/>
        <v/>
      </c>
      <c r="EJ196" s="161" t="str">
        <f t="shared" si="334"/>
        <v/>
      </c>
      <c r="EK196" s="147" t="str">
        <f t="shared" si="248"/>
        <v/>
      </c>
      <c r="EL196" s="149"/>
      <c r="EN196" s="146"/>
      <c r="EO196" s="146"/>
      <c r="EP196" s="139" t="str">
        <f t="shared" si="249"/>
        <v/>
      </c>
      <c r="EQ196" s="139" t="str">
        <f t="shared" si="250"/>
        <v/>
      </c>
      <c r="ER196" s="139" t="str">
        <f t="shared" si="251"/>
        <v/>
      </c>
      <c r="ES196" s="139" t="str">
        <f t="shared" si="252"/>
        <v/>
      </c>
      <c r="ET196" s="139" t="str">
        <f t="shared" si="253"/>
        <v/>
      </c>
      <c r="EU196" s="139" t="str">
        <f t="shared" si="254"/>
        <v/>
      </c>
      <c r="EV196" s="139" t="str">
        <f t="shared" si="255"/>
        <v/>
      </c>
      <c r="EW196" s="139" t="str">
        <f t="shared" si="256"/>
        <v/>
      </c>
      <c r="EX196" s="139" t="str">
        <f t="shared" si="257"/>
        <v/>
      </c>
      <c r="EY196" s="139" t="str">
        <f t="shared" si="258"/>
        <v/>
      </c>
      <c r="EZ196" s="139" t="str">
        <f t="shared" si="259"/>
        <v/>
      </c>
      <c r="FA196" s="139" t="str">
        <f t="shared" si="260"/>
        <v/>
      </c>
      <c r="FB196" s="139" t="str">
        <f t="shared" si="261"/>
        <v/>
      </c>
      <c r="FC196" s="139" t="str">
        <f t="shared" si="262"/>
        <v/>
      </c>
      <c r="FD196" s="139" t="str">
        <f t="shared" si="263"/>
        <v/>
      </c>
      <c r="FE196" s="139" t="str">
        <f t="shared" si="264"/>
        <v/>
      </c>
      <c r="FF196" s="139" t="str">
        <f t="shared" si="265"/>
        <v/>
      </c>
      <c r="FG196" s="139" t="str">
        <f t="shared" si="266"/>
        <v/>
      </c>
      <c r="FH196" s="139" t="str">
        <f t="shared" si="267"/>
        <v/>
      </c>
      <c r="FI196" s="139" t="str">
        <f t="shared" si="268"/>
        <v/>
      </c>
      <c r="FJ196" s="139" t="str">
        <f t="shared" si="269"/>
        <v/>
      </c>
      <c r="FK196" s="139" t="str">
        <f t="shared" si="270"/>
        <v/>
      </c>
      <c r="FL196" s="139" t="str">
        <f t="shared" si="271"/>
        <v/>
      </c>
      <c r="FM196" s="139" t="str">
        <f t="shared" si="272"/>
        <v/>
      </c>
      <c r="FN196" s="139" t="str">
        <f t="shared" si="273"/>
        <v/>
      </c>
      <c r="FO196" s="139" t="str">
        <f t="shared" si="274"/>
        <v/>
      </c>
      <c r="FP196" s="139" t="str">
        <f t="shared" si="275"/>
        <v/>
      </c>
      <c r="FQ196" s="139" t="str">
        <f t="shared" si="276"/>
        <v/>
      </c>
      <c r="FR196" s="139" t="str">
        <f t="shared" si="277"/>
        <v/>
      </c>
      <c r="FS196" s="139" t="str">
        <f t="shared" si="278"/>
        <v/>
      </c>
      <c r="FT196" s="139" t="str">
        <f t="shared" si="279"/>
        <v/>
      </c>
      <c r="FU196" s="148" t="str">
        <f t="shared" si="280"/>
        <v/>
      </c>
      <c r="FV196" s="149"/>
      <c r="FY196" s="213">
        <v>191</v>
      </c>
      <c r="FZ196">
        <v>49.226931770489202</v>
      </c>
      <c r="GA196">
        <v>53.396119669887049</v>
      </c>
      <c r="GB196">
        <v>12.984121629385321</v>
      </c>
      <c r="GC196">
        <v>7.4779776679817722</v>
      </c>
      <c r="GD196">
        <v>5.9777817949610883</v>
      </c>
      <c r="GE196">
        <v>4.5028811506513282</v>
      </c>
      <c r="GF196">
        <v>25.692406634079742</v>
      </c>
      <c r="GG196">
        <v>24.967555972435626</v>
      </c>
      <c r="GH196">
        <v>14.323702708679427</v>
      </c>
      <c r="GI196">
        <v>21.320069805349686</v>
      </c>
      <c r="GJ196"/>
      <c r="GK196"/>
      <c r="GL196"/>
      <c r="GM196"/>
      <c r="GN196" s="208"/>
      <c r="GO196" s="208"/>
      <c r="GP196" s="208"/>
      <c r="GQ196" s="208"/>
      <c r="GR196" s="208"/>
      <c r="GS196" s="208"/>
      <c r="GT196" s="208"/>
      <c r="GU196" s="213">
        <v>191</v>
      </c>
    </row>
    <row r="197" spans="1:203" s="7" customFormat="1">
      <c r="A197" s="1"/>
      <c r="B197" s="76" t="str">
        <f ca="1">IF(C197="", "", RAND())</f>
        <v/>
      </c>
      <c r="C197" t="s">
        <v>104</v>
      </c>
      <c r="D197" t="s">
        <v>104</v>
      </c>
      <c r="E197" t="s">
        <v>104</v>
      </c>
      <c r="F197" t="s">
        <v>104</v>
      </c>
      <c r="G197" t="s">
        <v>104</v>
      </c>
      <c r="H197" t="s">
        <v>104</v>
      </c>
      <c r="I197" t="s">
        <v>104</v>
      </c>
      <c r="J197" t="s">
        <v>104</v>
      </c>
      <c r="K197" t="s">
        <v>104</v>
      </c>
      <c r="L197" t="s">
        <v>104</v>
      </c>
      <c r="M197" t="s">
        <v>104</v>
      </c>
      <c r="N197" t="s">
        <v>104</v>
      </c>
      <c r="O197" t="s">
        <v>104</v>
      </c>
      <c r="P197" t="s">
        <v>104</v>
      </c>
      <c r="Q197" t="s">
        <v>104</v>
      </c>
      <c r="R197" t="s">
        <v>104</v>
      </c>
      <c r="S197" t="s">
        <v>104</v>
      </c>
      <c r="T197" t="s">
        <v>104</v>
      </c>
      <c r="U197" t="s">
        <v>104</v>
      </c>
      <c r="V197" t="s">
        <v>104</v>
      </c>
      <c r="W197" t="s">
        <v>104</v>
      </c>
      <c r="X197" t="s">
        <v>104</v>
      </c>
      <c r="Y197" t="s">
        <v>104</v>
      </c>
      <c r="Z197" t="s">
        <v>104</v>
      </c>
      <c r="AA197" t="s">
        <v>104</v>
      </c>
      <c r="AB197" t="s">
        <v>104</v>
      </c>
      <c r="AC197" t="s">
        <v>104</v>
      </c>
      <c r="AD197" t="s">
        <v>104</v>
      </c>
      <c r="AE197" t="s">
        <v>104</v>
      </c>
      <c r="AF197" t="s">
        <v>104</v>
      </c>
      <c r="AG197" t="s">
        <v>104</v>
      </c>
      <c r="AH197" t="s">
        <v>104</v>
      </c>
      <c r="AI197" t="s">
        <v>104</v>
      </c>
      <c r="AJ197" s="2"/>
      <c r="AK197" s="80"/>
      <c r="AL197" s="74"/>
      <c r="AM197" s="43">
        <v>181</v>
      </c>
      <c r="AN197">
        <v>310.08589434880321</v>
      </c>
      <c r="AO197">
        <v>21.603166694096842</v>
      </c>
      <c r="AP197">
        <v>75.905360054768011</v>
      </c>
      <c r="AQ197">
        <v>160.88648627276908</v>
      </c>
      <c r="AR197">
        <v>24.112981726610339</v>
      </c>
      <c r="AS197">
        <v>239.88239336521153</v>
      </c>
      <c r="AT197">
        <v>11.394122460353254</v>
      </c>
      <c r="AU197">
        <v>57.412835188850764</v>
      </c>
      <c r="AV197"/>
      <c r="AW197"/>
      <c r="AX197" s="146"/>
      <c r="AY197" s="76" t="str">
        <f t="shared" ca="1" si="171"/>
        <v/>
      </c>
      <c r="AZ197"/>
      <c r="BA197" s="129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 s="147"/>
      <c r="CH197" s="176"/>
      <c r="CJ197" s="146"/>
      <c r="CK197" s="76" t="str">
        <f t="shared" ca="1" si="206"/>
        <v/>
      </c>
      <c r="CL197" s="179" t="str">
        <f t="shared" si="207"/>
        <v/>
      </c>
      <c r="CM197" s="180" t="str">
        <f t="shared" si="208"/>
        <v/>
      </c>
      <c r="CN197"/>
      <c r="CO197"/>
      <c r="CP197"/>
      <c r="CQ197"/>
      <c r="CR197"/>
      <c r="CS197"/>
      <c r="CT197"/>
      <c r="CU197"/>
      <c r="CV197" s="160"/>
      <c r="CW197"/>
      <c r="CX197"/>
      <c r="CY197" s="165"/>
      <c r="CZ197" s="177" t="str">
        <f t="shared" si="209"/>
        <v/>
      </c>
      <c r="DB197" s="146"/>
      <c r="DC197" s="76" t="str">
        <f t="shared" ca="1" si="172"/>
        <v/>
      </c>
      <c r="DD197" t="str">
        <f t="shared" si="210"/>
        <v/>
      </c>
      <c r="DE197" s="129" t="str">
        <f t="shared" si="281"/>
        <v/>
      </c>
      <c r="DF197" s="161" t="str">
        <f t="shared" si="282"/>
        <v/>
      </c>
      <c r="DG197" s="161" t="str">
        <f t="shared" si="283"/>
        <v/>
      </c>
      <c r="DH197" s="161" t="str">
        <f t="shared" si="284"/>
        <v/>
      </c>
      <c r="DI197" s="161" t="str">
        <f t="shared" si="285"/>
        <v/>
      </c>
      <c r="DJ197" s="161" t="str">
        <f t="shared" si="286"/>
        <v/>
      </c>
      <c r="DK197" s="161" t="str">
        <f t="shared" si="287"/>
        <v/>
      </c>
      <c r="DL197" s="161" t="str">
        <f t="shared" si="288"/>
        <v/>
      </c>
      <c r="DM197" s="161" t="str">
        <f t="shared" si="289"/>
        <v/>
      </c>
      <c r="DN197" s="161" t="str">
        <f t="shared" si="312"/>
        <v/>
      </c>
      <c r="DO197" s="161" t="str">
        <f t="shared" si="313"/>
        <v/>
      </c>
      <c r="DP197" s="161" t="str">
        <f t="shared" si="314"/>
        <v/>
      </c>
      <c r="DQ197" s="161" t="str">
        <f t="shared" si="315"/>
        <v/>
      </c>
      <c r="DR197" s="161" t="str">
        <f t="shared" si="316"/>
        <v/>
      </c>
      <c r="DS197" s="161" t="str">
        <f t="shared" si="317"/>
        <v/>
      </c>
      <c r="DT197" s="161" t="str">
        <f t="shared" si="318"/>
        <v/>
      </c>
      <c r="DU197" s="161" t="str">
        <f t="shared" si="319"/>
        <v/>
      </c>
      <c r="DV197" s="161" t="str">
        <f t="shared" si="320"/>
        <v/>
      </c>
      <c r="DW197" s="161" t="str">
        <f t="shared" si="321"/>
        <v/>
      </c>
      <c r="DX197" s="161" t="str">
        <f t="shared" si="322"/>
        <v/>
      </c>
      <c r="DY197" s="161" t="str">
        <f t="shared" si="323"/>
        <v/>
      </c>
      <c r="DZ197" s="161" t="str">
        <f t="shared" si="324"/>
        <v/>
      </c>
      <c r="EA197" s="161" t="str">
        <f t="shared" si="325"/>
        <v/>
      </c>
      <c r="EB197" s="161" t="str">
        <f t="shared" si="326"/>
        <v/>
      </c>
      <c r="EC197" s="161" t="str">
        <f t="shared" si="327"/>
        <v/>
      </c>
      <c r="ED197" s="161" t="str">
        <f t="shared" si="328"/>
        <v/>
      </c>
      <c r="EE197" s="161" t="str">
        <f t="shared" si="329"/>
        <v/>
      </c>
      <c r="EF197" s="161" t="str">
        <f t="shared" si="330"/>
        <v/>
      </c>
      <c r="EG197" s="161" t="str">
        <f t="shared" si="331"/>
        <v/>
      </c>
      <c r="EH197" s="161" t="str">
        <f t="shared" si="332"/>
        <v/>
      </c>
      <c r="EI197" s="161" t="str">
        <f t="shared" si="333"/>
        <v/>
      </c>
      <c r="EJ197" s="161" t="str">
        <f t="shared" si="334"/>
        <v/>
      </c>
      <c r="EK197" s="147" t="str">
        <f t="shared" si="248"/>
        <v/>
      </c>
      <c r="EL197" s="149"/>
      <c r="EN197" s="146"/>
      <c r="EO197" s="146"/>
      <c r="EP197" s="139" t="str">
        <f t="shared" si="249"/>
        <v/>
      </c>
      <c r="EQ197" s="139" t="str">
        <f t="shared" si="250"/>
        <v/>
      </c>
      <c r="ER197" s="139" t="str">
        <f t="shared" si="251"/>
        <v/>
      </c>
      <c r="ES197" s="139" t="str">
        <f t="shared" si="252"/>
        <v/>
      </c>
      <c r="ET197" s="139" t="str">
        <f t="shared" si="253"/>
        <v/>
      </c>
      <c r="EU197" s="139" t="str">
        <f t="shared" si="254"/>
        <v/>
      </c>
      <c r="EV197" s="139" t="str">
        <f t="shared" si="255"/>
        <v/>
      </c>
      <c r="EW197" s="139" t="str">
        <f t="shared" si="256"/>
        <v/>
      </c>
      <c r="EX197" s="139" t="str">
        <f t="shared" si="257"/>
        <v/>
      </c>
      <c r="EY197" s="139" t="str">
        <f t="shared" si="258"/>
        <v/>
      </c>
      <c r="EZ197" s="139" t="str">
        <f t="shared" si="259"/>
        <v/>
      </c>
      <c r="FA197" s="139" t="str">
        <f t="shared" si="260"/>
        <v/>
      </c>
      <c r="FB197" s="139" t="str">
        <f t="shared" si="261"/>
        <v/>
      </c>
      <c r="FC197" s="139" t="str">
        <f t="shared" si="262"/>
        <v/>
      </c>
      <c r="FD197" s="139" t="str">
        <f t="shared" si="263"/>
        <v/>
      </c>
      <c r="FE197" s="139" t="str">
        <f t="shared" si="264"/>
        <v/>
      </c>
      <c r="FF197" s="139" t="str">
        <f t="shared" si="265"/>
        <v/>
      </c>
      <c r="FG197" s="139" t="str">
        <f t="shared" si="266"/>
        <v/>
      </c>
      <c r="FH197" s="139" t="str">
        <f t="shared" si="267"/>
        <v/>
      </c>
      <c r="FI197" s="139" t="str">
        <f t="shared" si="268"/>
        <v/>
      </c>
      <c r="FJ197" s="139" t="str">
        <f t="shared" si="269"/>
        <v/>
      </c>
      <c r="FK197" s="139" t="str">
        <f t="shared" si="270"/>
        <v/>
      </c>
      <c r="FL197" s="139" t="str">
        <f t="shared" si="271"/>
        <v/>
      </c>
      <c r="FM197" s="139" t="str">
        <f t="shared" si="272"/>
        <v/>
      </c>
      <c r="FN197" s="139" t="str">
        <f t="shared" si="273"/>
        <v/>
      </c>
      <c r="FO197" s="139" t="str">
        <f t="shared" si="274"/>
        <v/>
      </c>
      <c r="FP197" s="139" t="str">
        <f t="shared" si="275"/>
        <v/>
      </c>
      <c r="FQ197" s="139" t="str">
        <f t="shared" si="276"/>
        <v/>
      </c>
      <c r="FR197" s="139" t="str">
        <f t="shared" si="277"/>
        <v/>
      </c>
      <c r="FS197" s="139" t="str">
        <f t="shared" si="278"/>
        <v/>
      </c>
      <c r="FT197" s="139" t="str">
        <f t="shared" si="279"/>
        <v/>
      </c>
      <c r="FU197" s="148" t="str">
        <f t="shared" si="280"/>
        <v/>
      </c>
      <c r="FV197" s="149"/>
      <c r="FY197" s="213">
        <v>192</v>
      </c>
      <c r="FZ197">
        <v>33.103920239264866</v>
      </c>
      <c r="GA197">
        <v>23.762895402773715</v>
      </c>
      <c r="GB197">
        <v>3.0800888254267953</v>
      </c>
      <c r="GC197">
        <v>5.0478445136049306</v>
      </c>
      <c r="GD197">
        <v>3.9977842532145713</v>
      </c>
      <c r="GE197">
        <v>3.1458083411220268</v>
      </c>
      <c r="GF197">
        <v>12.26985028248432</v>
      </c>
      <c r="GG197">
        <v>11.573114949523674</v>
      </c>
      <c r="GH197">
        <v>13.9026158715699</v>
      </c>
      <c r="GI197">
        <v>12.375511924308164</v>
      </c>
      <c r="GJ197"/>
      <c r="GK197"/>
      <c r="GL197"/>
      <c r="GM197"/>
      <c r="GN197" s="208"/>
      <c r="GO197" s="208"/>
      <c r="GP197" s="208"/>
      <c r="GQ197" s="208"/>
      <c r="GR197" s="208"/>
      <c r="GS197" s="208"/>
      <c r="GT197" s="208"/>
      <c r="GU197" s="213">
        <v>192</v>
      </c>
    </row>
    <row r="198" spans="1:203" s="7" customFormat="1">
      <c r="A198" s="128"/>
      <c r="B198" s="76" t="str">
        <f ca="1">IF(C198="", "", RAND())</f>
        <v/>
      </c>
      <c r="C198" t="s">
        <v>104</v>
      </c>
      <c r="D198" t="s">
        <v>104</v>
      </c>
      <c r="E198" t="s">
        <v>104</v>
      </c>
      <c r="F198" t="s">
        <v>104</v>
      </c>
      <c r="G198" t="s">
        <v>104</v>
      </c>
      <c r="H198" t="s">
        <v>104</v>
      </c>
      <c r="I198" t="s">
        <v>104</v>
      </c>
      <c r="J198" t="s">
        <v>104</v>
      </c>
      <c r="K198" t="s">
        <v>104</v>
      </c>
      <c r="L198" t="s">
        <v>104</v>
      </c>
      <c r="M198" t="s">
        <v>104</v>
      </c>
      <c r="N198" t="s">
        <v>104</v>
      </c>
      <c r="O198" t="s">
        <v>104</v>
      </c>
      <c r="P198" t="s">
        <v>104</v>
      </c>
      <c r="Q198" t="s">
        <v>104</v>
      </c>
      <c r="R198" t="s">
        <v>104</v>
      </c>
      <c r="S198" t="s">
        <v>104</v>
      </c>
      <c r="T198" t="s">
        <v>104</v>
      </c>
      <c r="U198" t="s">
        <v>104</v>
      </c>
      <c r="V198" t="s">
        <v>104</v>
      </c>
      <c r="W198" t="s">
        <v>104</v>
      </c>
      <c r="X198" t="s">
        <v>104</v>
      </c>
      <c r="Y198" t="s">
        <v>104</v>
      </c>
      <c r="Z198" t="s">
        <v>104</v>
      </c>
      <c r="AA198" t="s">
        <v>104</v>
      </c>
      <c r="AB198" t="s">
        <v>104</v>
      </c>
      <c r="AC198" t="s">
        <v>104</v>
      </c>
      <c r="AD198" t="s">
        <v>104</v>
      </c>
      <c r="AE198" t="s">
        <v>104</v>
      </c>
      <c r="AF198" t="s">
        <v>104</v>
      </c>
      <c r="AG198" t="s">
        <v>104</v>
      </c>
      <c r="AH198" t="s">
        <v>104</v>
      </c>
      <c r="AI198" t="s">
        <v>104</v>
      </c>
      <c r="AJ198" s="2"/>
      <c r="AK198" s="80"/>
      <c r="AL198" s="74">
        <v>3.0028000000000028</v>
      </c>
      <c r="AM198" s="43">
        <v>182</v>
      </c>
      <c r="AN198">
        <v>304.03897683023712</v>
      </c>
      <c r="AO198">
        <v>29.075343873347556</v>
      </c>
      <c r="AP198">
        <v>104.48839493694327</v>
      </c>
      <c r="AQ198">
        <v>209.28570639495928</v>
      </c>
      <c r="AR198">
        <v>29.678906946231489</v>
      </c>
      <c r="AS198">
        <v>246.51766203336237</v>
      </c>
      <c r="AT198">
        <v>12.235294435870207</v>
      </c>
      <c r="AU198">
        <v>7.262856550137311</v>
      </c>
      <c r="AV198"/>
      <c r="AW198"/>
      <c r="AX198" s="128"/>
      <c r="AY198" s="76" t="str">
        <f t="shared" ca="1" si="171"/>
        <v/>
      </c>
      <c r="AZ198"/>
      <c r="BA198" s="129" t="s">
        <v>104</v>
      </c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 s="147"/>
      <c r="CH198" s="176"/>
      <c r="CJ198" s="128"/>
      <c r="CK198" s="76" t="str">
        <f t="shared" ca="1" si="206"/>
        <v/>
      </c>
      <c r="CL198" s="179" t="str">
        <f t="shared" si="207"/>
        <v/>
      </c>
      <c r="CM198" s="180" t="str">
        <f t="shared" si="208"/>
        <v/>
      </c>
      <c r="CN198"/>
      <c r="CO198"/>
      <c r="CP198"/>
      <c r="CQ198"/>
      <c r="CR198"/>
      <c r="CS198"/>
      <c r="CT198"/>
      <c r="CU198"/>
      <c r="CV198" s="160"/>
      <c r="CW198"/>
      <c r="CX198"/>
      <c r="CY198" s="160"/>
      <c r="CZ198" s="177" t="str">
        <f t="shared" si="209"/>
        <v/>
      </c>
      <c r="DB198" s="128"/>
      <c r="DC198" s="76" t="str">
        <f t="shared" ca="1" si="172"/>
        <v/>
      </c>
      <c r="DD198" t="str">
        <f t="shared" si="210"/>
        <v/>
      </c>
      <c r="DE198" s="129" t="str">
        <f t="shared" ref="DE198:DE207" si="335">IF((DD198)="", "", $C$15)</f>
        <v/>
      </c>
      <c r="DF198" s="161" t="str">
        <f t="shared" si="282"/>
        <v/>
      </c>
      <c r="DG198" s="161" t="str">
        <f t="shared" si="283"/>
        <v/>
      </c>
      <c r="DH198" s="161" t="str">
        <f t="shared" si="284"/>
        <v/>
      </c>
      <c r="DI198" s="161" t="str">
        <f t="shared" si="285"/>
        <v/>
      </c>
      <c r="DJ198" s="161" t="str">
        <f t="shared" si="286"/>
        <v/>
      </c>
      <c r="DK198" s="161" t="str">
        <f t="shared" si="287"/>
        <v/>
      </c>
      <c r="DL198" s="161" t="str">
        <f t="shared" si="288"/>
        <v/>
      </c>
      <c r="DM198" s="161" t="str">
        <f t="shared" si="289"/>
        <v/>
      </c>
      <c r="DN198" s="161" t="str">
        <f t="shared" si="312"/>
        <v/>
      </c>
      <c r="DO198" s="161" t="str">
        <f t="shared" si="313"/>
        <v/>
      </c>
      <c r="DP198" s="161" t="str">
        <f t="shared" si="314"/>
        <v/>
      </c>
      <c r="DQ198" s="161" t="str">
        <f t="shared" si="315"/>
        <v/>
      </c>
      <c r="DR198" s="161" t="str">
        <f t="shared" si="316"/>
        <v/>
      </c>
      <c r="DS198" s="161" t="str">
        <f t="shared" si="317"/>
        <v/>
      </c>
      <c r="DT198" s="161" t="str">
        <f t="shared" si="318"/>
        <v/>
      </c>
      <c r="DU198" s="161" t="str">
        <f t="shared" si="319"/>
        <v/>
      </c>
      <c r="DV198" s="161" t="str">
        <f t="shared" si="320"/>
        <v/>
      </c>
      <c r="DW198" s="161" t="str">
        <f t="shared" si="321"/>
        <v/>
      </c>
      <c r="DX198" s="161" t="str">
        <f t="shared" si="322"/>
        <v/>
      </c>
      <c r="DY198" s="161" t="str">
        <f t="shared" si="323"/>
        <v/>
      </c>
      <c r="DZ198" s="161" t="str">
        <f t="shared" si="324"/>
        <v/>
      </c>
      <c r="EA198" s="161" t="str">
        <f t="shared" si="325"/>
        <v/>
      </c>
      <c r="EB198" s="161" t="str">
        <f t="shared" si="326"/>
        <v/>
      </c>
      <c r="EC198" s="161" t="str">
        <f t="shared" si="327"/>
        <v/>
      </c>
      <c r="ED198" s="161" t="str">
        <f t="shared" si="328"/>
        <v/>
      </c>
      <c r="EE198" s="161" t="str">
        <f t="shared" si="329"/>
        <v/>
      </c>
      <c r="EF198" s="161" t="str">
        <f t="shared" si="330"/>
        <v/>
      </c>
      <c r="EG198" s="161" t="str">
        <f t="shared" si="331"/>
        <v/>
      </c>
      <c r="EH198" s="161" t="str">
        <f t="shared" si="332"/>
        <v/>
      </c>
      <c r="EI198" s="161" t="str">
        <f t="shared" si="333"/>
        <v/>
      </c>
      <c r="EJ198" s="161" t="str">
        <f t="shared" si="334"/>
        <v/>
      </c>
      <c r="EK198" s="147" t="str">
        <f t="shared" si="248"/>
        <v/>
      </c>
      <c r="EL198" s="149"/>
      <c r="EN198" s="146"/>
      <c r="EO198" s="146"/>
      <c r="EP198" s="139" t="str">
        <f t="shared" si="249"/>
        <v/>
      </c>
      <c r="EQ198" s="139" t="str">
        <f t="shared" si="250"/>
        <v/>
      </c>
      <c r="ER198" s="139" t="str">
        <f t="shared" si="251"/>
        <v/>
      </c>
      <c r="ES198" s="139" t="str">
        <f t="shared" si="252"/>
        <v/>
      </c>
      <c r="ET198" s="139" t="str">
        <f t="shared" si="253"/>
        <v/>
      </c>
      <c r="EU198" s="139" t="str">
        <f t="shared" si="254"/>
        <v/>
      </c>
      <c r="EV198" s="139" t="str">
        <f t="shared" si="255"/>
        <v/>
      </c>
      <c r="EW198" s="139" t="str">
        <f t="shared" si="256"/>
        <v/>
      </c>
      <c r="EX198" s="139" t="str">
        <f t="shared" si="257"/>
        <v/>
      </c>
      <c r="EY198" s="139" t="str">
        <f t="shared" si="258"/>
        <v/>
      </c>
      <c r="EZ198" s="139" t="str">
        <f t="shared" si="259"/>
        <v/>
      </c>
      <c r="FA198" s="139" t="str">
        <f t="shared" si="260"/>
        <v/>
      </c>
      <c r="FB198" s="139" t="str">
        <f t="shared" si="261"/>
        <v/>
      </c>
      <c r="FC198" s="139" t="str">
        <f t="shared" si="262"/>
        <v/>
      </c>
      <c r="FD198" s="139" t="str">
        <f t="shared" si="263"/>
        <v/>
      </c>
      <c r="FE198" s="139" t="str">
        <f t="shared" si="264"/>
        <v/>
      </c>
      <c r="FF198" s="139" t="str">
        <f t="shared" si="265"/>
        <v/>
      </c>
      <c r="FG198" s="139" t="str">
        <f t="shared" si="266"/>
        <v/>
      </c>
      <c r="FH198" s="139" t="str">
        <f t="shared" si="267"/>
        <v/>
      </c>
      <c r="FI198" s="139" t="str">
        <f t="shared" si="268"/>
        <v/>
      </c>
      <c r="FJ198" s="139" t="str">
        <f t="shared" si="269"/>
        <v/>
      </c>
      <c r="FK198" s="139" t="str">
        <f t="shared" si="270"/>
        <v/>
      </c>
      <c r="FL198" s="139" t="str">
        <f t="shared" si="271"/>
        <v/>
      </c>
      <c r="FM198" s="139" t="str">
        <f t="shared" si="272"/>
        <v/>
      </c>
      <c r="FN198" s="139" t="str">
        <f t="shared" si="273"/>
        <v/>
      </c>
      <c r="FO198" s="139" t="str">
        <f t="shared" si="274"/>
        <v/>
      </c>
      <c r="FP198" s="139" t="str">
        <f t="shared" si="275"/>
        <v/>
      </c>
      <c r="FQ198" s="139" t="str">
        <f t="shared" si="276"/>
        <v/>
      </c>
      <c r="FR198" s="139" t="str">
        <f t="shared" si="277"/>
        <v/>
      </c>
      <c r="FS198" s="139" t="str">
        <f t="shared" si="278"/>
        <v/>
      </c>
      <c r="FT198" s="139" t="str">
        <f t="shared" si="279"/>
        <v/>
      </c>
      <c r="FU198" s="148" t="str">
        <f t="shared" si="280"/>
        <v/>
      </c>
      <c r="FV198" s="149"/>
      <c r="FY198" s="213">
        <v>193</v>
      </c>
      <c r="FZ198">
        <v>77.248772368195375</v>
      </c>
      <c r="GA198">
        <v>104.44107556046372</v>
      </c>
      <c r="GB198">
        <v>18.488928025543601</v>
      </c>
      <c r="GC198">
        <v>5.6212772630285706</v>
      </c>
      <c r="GD198">
        <v>4.8241220192938439</v>
      </c>
      <c r="GE198">
        <v>3.0881545822476228</v>
      </c>
      <c r="GF198">
        <v>13.875785774063251</v>
      </c>
      <c r="GG198">
        <v>15.48783167243341</v>
      </c>
      <c r="GH198">
        <v>13.880921522647057</v>
      </c>
      <c r="GI198">
        <v>24.341082229214308</v>
      </c>
      <c r="GJ198"/>
      <c r="GK198"/>
      <c r="GL198"/>
      <c r="GM198"/>
      <c r="GN198" s="208"/>
      <c r="GO198" s="208"/>
      <c r="GP198" s="208"/>
      <c r="GQ198" s="208"/>
      <c r="GR198" s="208"/>
      <c r="GS198" s="208"/>
      <c r="GT198" s="208"/>
      <c r="GU198" s="213">
        <v>193</v>
      </c>
    </row>
    <row r="199" spans="1:203" s="7" customFormat="1">
      <c r="A199" s="1"/>
      <c r="B199" s="76" t="str">
        <f ca="1">IF(C199="", "", RAND())</f>
        <v/>
      </c>
      <c r="C199" t="s">
        <v>104</v>
      </c>
      <c r="D199" t="s">
        <v>104</v>
      </c>
      <c r="E199" t="s">
        <v>104</v>
      </c>
      <c r="F199" t="s">
        <v>104</v>
      </c>
      <c r="G199" t="s">
        <v>104</v>
      </c>
      <c r="H199" t="s">
        <v>104</v>
      </c>
      <c r="I199" t="s">
        <v>104</v>
      </c>
      <c r="J199" t="s">
        <v>104</v>
      </c>
      <c r="K199" t="s">
        <v>104</v>
      </c>
      <c r="L199" t="s">
        <v>104</v>
      </c>
      <c r="M199" t="s">
        <v>104</v>
      </c>
      <c r="N199" t="s">
        <v>104</v>
      </c>
      <c r="O199" t="s">
        <v>104</v>
      </c>
      <c r="P199" t="s">
        <v>104</v>
      </c>
      <c r="Q199" t="s">
        <v>104</v>
      </c>
      <c r="R199" t="s">
        <v>104</v>
      </c>
      <c r="S199" t="s">
        <v>104</v>
      </c>
      <c r="T199" t="s">
        <v>104</v>
      </c>
      <c r="U199" t="s">
        <v>104</v>
      </c>
      <c r="V199" t="s">
        <v>104</v>
      </c>
      <c r="W199" t="s">
        <v>104</v>
      </c>
      <c r="X199" t="s">
        <v>104</v>
      </c>
      <c r="Y199" t="s">
        <v>104</v>
      </c>
      <c r="Z199" t="s">
        <v>104</v>
      </c>
      <c r="AA199" t="s">
        <v>104</v>
      </c>
      <c r="AB199" t="s">
        <v>104</v>
      </c>
      <c r="AC199" t="s">
        <v>104</v>
      </c>
      <c r="AD199" t="s">
        <v>104</v>
      </c>
      <c r="AE199" t="s">
        <v>104</v>
      </c>
      <c r="AF199" t="s">
        <v>104</v>
      </c>
      <c r="AG199" t="s">
        <v>104</v>
      </c>
      <c r="AH199" t="s">
        <v>104</v>
      </c>
      <c r="AI199" t="s">
        <v>104</v>
      </c>
      <c r="AJ199" s="2"/>
      <c r="AK199" s="80"/>
      <c r="AL199" s="74">
        <v>3.0028000000000028</v>
      </c>
      <c r="AM199" s="43">
        <v>183</v>
      </c>
      <c r="AN199">
        <v>332.74832501426738</v>
      </c>
      <c r="AO199">
        <v>34.098328635132098</v>
      </c>
      <c r="AP199">
        <v>103.34836865560663</v>
      </c>
      <c r="AQ199">
        <v>266.26733389085882</v>
      </c>
      <c r="AR199">
        <v>36.697382799248409</v>
      </c>
      <c r="AS199">
        <v>322.84528761760458</v>
      </c>
      <c r="AT199">
        <v>18.152669908265342</v>
      </c>
      <c r="AU199">
        <v>34.228204993901734</v>
      </c>
      <c r="AV199"/>
      <c r="AW199"/>
      <c r="AX199" s="146"/>
      <c r="AY199" s="76" t="str">
        <f t="shared" ca="1" si="171"/>
        <v/>
      </c>
      <c r="AZ199"/>
      <c r="BA199" s="129" t="s">
        <v>104</v>
      </c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 s="147"/>
      <c r="CH199" s="176"/>
      <c r="CJ199" s="146"/>
      <c r="CK199" s="76" t="str">
        <f t="shared" ca="1" si="206"/>
        <v/>
      </c>
      <c r="CL199" s="179" t="str">
        <f t="shared" si="207"/>
        <v/>
      </c>
      <c r="CM199" s="180" t="str">
        <f t="shared" si="208"/>
        <v/>
      </c>
      <c r="CN199"/>
      <c r="CO199"/>
      <c r="CP199"/>
      <c r="CQ199"/>
      <c r="CR199"/>
      <c r="CS199"/>
      <c r="CT199"/>
      <c r="CU199"/>
      <c r="CV199" s="160"/>
      <c r="CW199"/>
      <c r="CX199"/>
      <c r="CY199" s="160"/>
      <c r="CZ199" s="177" t="str">
        <f t="shared" si="209"/>
        <v/>
      </c>
      <c r="DB199" s="146"/>
      <c r="DC199" s="76" t="str">
        <f t="shared" ca="1" si="172"/>
        <v/>
      </c>
      <c r="DD199" t="str">
        <f t="shared" si="210"/>
        <v/>
      </c>
      <c r="DE199" s="129" t="str">
        <f t="shared" si="335"/>
        <v/>
      </c>
      <c r="DF199" s="161" t="str">
        <f t="shared" si="282"/>
        <v/>
      </c>
      <c r="DG199" s="161" t="str">
        <f t="shared" si="283"/>
        <v/>
      </c>
      <c r="DH199" s="161" t="str">
        <f t="shared" si="284"/>
        <v/>
      </c>
      <c r="DI199" s="161" t="str">
        <f t="shared" si="285"/>
        <v/>
      </c>
      <c r="DJ199" s="161" t="str">
        <f t="shared" si="286"/>
        <v/>
      </c>
      <c r="DK199" s="161" t="str">
        <f t="shared" si="287"/>
        <v/>
      </c>
      <c r="DL199" s="161" t="str">
        <f t="shared" si="288"/>
        <v/>
      </c>
      <c r="DM199" s="161" t="str">
        <f t="shared" si="289"/>
        <v/>
      </c>
      <c r="DN199" s="161" t="str">
        <f t="shared" si="312"/>
        <v/>
      </c>
      <c r="DO199" s="161" t="str">
        <f t="shared" si="313"/>
        <v/>
      </c>
      <c r="DP199" s="161" t="str">
        <f t="shared" si="314"/>
        <v/>
      </c>
      <c r="DQ199" s="161" t="str">
        <f t="shared" si="315"/>
        <v/>
      </c>
      <c r="DR199" s="161" t="str">
        <f t="shared" si="316"/>
        <v/>
      </c>
      <c r="DS199" s="161" t="str">
        <f t="shared" si="317"/>
        <v/>
      </c>
      <c r="DT199" s="161" t="str">
        <f t="shared" si="318"/>
        <v/>
      </c>
      <c r="DU199" s="161" t="str">
        <f t="shared" si="319"/>
        <v/>
      </c>
      <c r="DV199" s="161" t="str">
        <f t="shared" si="320"/>
        <v/>
      </c>
      <c r="DW199" s="161" t="str">
        <f t="shared" si="321"/>
        <v/>
      </c>
      <c r="DX199" s="161" t="str">
        <f t="shared" si="322"/>
        <v/>
      </c>
      <c r="DY199" s="161" t="str">
        <f t="shared" si="323"/>
        <v/>
      </c>
      <c r="DZ199" s="161" t="str">
        <f t="shared" si="324"/>
        <v/>
      </c>
      <c r="EA199" s="161" t="str">
        <f t="shared" si="325"/>
        <v/>
      </c>
      <c r="EB199" s="161" t="str">
        <f t="shared" si="326"/>
        <v/>
      </c>
      <c r="EC199" s="161" t="str">
        <f t="shared" si="327"/>
        <v/>
      </c>
      <c r="ED199" s="161" t="str">
        <f t="shared" si="328"/>
        <v/>
      </c>
      <c r="EE199" s="161" t="str">
        <f t="shared" si="329"/>
        <v/>
      </c>
      <c r="EF199" s="161" t="str">
        <f t="shared" si="330"/>
        <v/>
      </c>
      <c r="EG199" s="161" t="str">
        <f t="shared" si="331"/>
        <v/>
      </c>
      <c r="EH199" s="161" t="str">
        <f t="shared" si="332"/>
        <v/>
      </c>
      <c r="EI199" s="161" t="str">
        <f t="shared" si="333"/>
        <v/>
      </c>
      <c r="EJ199" s="161" t="str">
        <f t="shared" si="334"/>
        <v/>
      </c>
      <c r="EK199" s="147" t="str">
        <f t="shared" si="248"/>
        <v/>
      </c>
      <c r="EL199" s="149"/>
      <c r="EN199" s="146"/>
      <c r="EO199" s="146"/>
      <c r="EP199" s="139" t="str">
        <f t="shared" si="249"/>
        <v/>
      </c>
      <c r="EQ199" s="139" t="str">
        <f t="shared" si="250"/>
        <v/>
      </c>
      <c r="ER199" s="139" t="str">
        <f t="shared" si="251"/>
        <v/>
      </c>
      <c r="ES199" s="139" t="str">
        <f t="shared" si="252"/>
        <v/>
      </c>
      <c r="ET199" s="139" t="str">
        <f t="shared" si="253"/>
        <v/>
      </c>
      <c r="EU199" s="139" t="str">
        <f t="shared" si="254"/>
        <v/>
      </c>
      <c r="EV199" s="139" t="str">
        <f t="shared" si="255"/>
        <v/>
      </c>
      <c r="EW199" s="139" t="str">
        <f t="shared" si="256"/>
        <v/>
      </c>
      <c r="EX199" s="139" t="str">
        <f t="shared" si="257"/>
        <v/>
      </c>
      <c r="EY199" s="139" t="str">
        <f t="shared" si="258"/>
        <v/>
      </c>
      <c r="EZ199" s="139" t="str">
        <f t="shared" si="259"/>
        <v/>
      </c>
      <c r="FA199" s="139" t="str">
        <f t="shared" si="260"/>
        <v/>
      </c>
      <c r="FB199" s="139" t="str">
        <f t="shared" si="261"/>
        <v/>
      </c>
      <c r="FC199" s="139" t="str">
        <f t="shared" si="262"/>
        <v/>
      </c>
      <c r="FD199" s="139" t="str">
        <f t="shared" si="263"/>
        <v/>
      </c>
      <c r="FE199" s="139" t="str">
        <f t="shared" si="264"/>
        <v/>
      </c>
      <c r="FF199" s="139" t="str">
        <f t="shared" si="265"/>
        <v/>
      </c>
      <c r="FG199" s="139" t="str">
        <f t="shared" si="266"/>
        <v/>
      </c>
      <c r="FH199" s="139" t="str">
        <f t="shared" si="267"/>
        <v/>
      </c>
      <c r="FI199" s="139" t="str">
        <f t="shared" si="268"/>
        <v/>
      </c>
      <c r="FJ199" s="139" t="str">
        <f t="shared" si="269"/>
        <v/>
      </c>
      <c r="FK199" s="139" t="str">
        <f t="shared" si="270"/>
        <v/>
      </c>
      <c r="FL199" s="139" t="str">
        <f t="shared" si="271"/>
        <v/>
      </c>
      <c r="FM199" s="139" t="str">
        <f t="shared" si="272"/>
        <v/>
      </c>
      <c r="FN199" s="139" t="str">
        <f t="shared" si="273"/>
        <v/>
      </c>
      <c r="FO199" s="139" t="str">
        <f t="shared" si="274"/>
        <v/>
      </c>
      <c r="FP199" s="139" t="str">
        <f t="shared" si="275"/>
        <v/>
      </c>
      <c r="FQ199" s="139" t="str">
        <f t="shared" si="276"/>
        <v/>
      </c>
      <c r="FR199" s="139" t="str">
        <f t="shared" si="277"/>
        <v/>
      </c>
      <c r="FS199" s="139" t="str">
        <f t="shared" si="278"/>
        <v/>
      </c>
      <c r="FT199" s="139" t="str">
        <f t="shared" si="279"/>
        <v/>
      </c>
      <c r="FU199" s="148" t="str">
        <f t="shared" si="280"/>
        <v/>
      </c>
      <c r="FV199" s="149"/>
      <c r="FY199" s="213">
        <v>194</v>
      </c>
      <c r="FZ199">
        <v>50.772440783209994</v>
      </c>
      <c r="GA199">
        <v>40.513188614368346</v>
      </c>
      <c r="GB199">
        <v>9.4322155009084341</v>
      </c>
      <c r="GC199">
        <v>5.1219690233159518</v>
      </c>
      <c r="GD199">
        <v>3.8591931435428375</v>
      </c>
      <c r="GE199">
        <v>6.8127699412569847</v>
      </c>
      <c r="GF199">
        <v>27.767272148265903</v>
      </c>
      <c r="GG199">
        <v>22.496178221507346</v>
      </c>
      <c r="GH199">
        <v>13.949574793818153</v>
      </c>
      <c r="GI199">
        <v>19.43861811268544</v>
      </c>
      <c r="GJ199"/>
      <c r="GK199"/>
      <c r="GL199"/>
      <c r="GM199"/>
      <c r="GN199" s="208"/>
      <c r="GO199" s="208"/>
      <c r="GP199" s="208"/>
      <c r="GQ199" s="208"/>
      <c r="GR199" s="208"/>
      <c r="GS199" s="208"/>
      <c r="GT199" s="208"/>
      <c r="GU199" s="213">
        <v>194</v>
      </c>
    </row>
    <row r="200" spans="1:203" s="7" customFormat="1">
      <c r="A200" s="1"/>
      <c r="B200" s="76" t="str">
        <f ca="1">IF(C200="", "", RAND())</f>
        <v/>
      </c>
      <c r="C200" t="s">
        <v>104</v>
      </c>
      <c r="D200" t="s">
        <v>104</v>
      </c>
      <c r="E200" t="s">
        <v>104</v>
      </c>
      <c r="F200" t="s">
        <v>104</v>
      </c>
      <c r="G200" t="s">
        <v>104</v>
      </c>
      <c r="H200" t="s">
        <v>104</v>
      </c>
      <c r="I200" t="s">
        <v>104</v>
      </c>
      <c r="J200" t="s">
        <v>104</v>
      </c>
      <c r="K200" t="s">
        <v>104</v>
      </c>
      <c r="L200" t="s">
        <v>104</v>
      </c>
      <c r="M200" t="s">
        <v>104</v>
      </c>
      <c r="N200" t="s">
        <v>104</v>
      </c>
      <c r="O200" t="s">
        <v>104</v>
      </c>
      <c r="P200" t="s">
        <v>104</v>
      </c>
      <c r="Q200" t="s">
        <v>104</v>
      </c>
      <c r="R200" t="s">
        <v>104</v>
      </c>
      <c r="S200" t="s">
        <v>104</v>
      </c>
      <c r="T200" t="s">
        <v>104</v>
      </c>
      <c r="U200" t="s">
        <v>104</v>
      </c>
      <c r="V200" t="s">
        <v>104</v>
      </c>
      <c r="W200" t="s">
        <v>104</v>
      </c>
      <c r="X200" t="s">
        <v>104</v>
      </c>
      <c r="Y200" t="s">
        <v>104</v>
      </c>
      <c r="Z200" t="s">
        <v>104</v>
      </c>
      <c r="AA200" t="s">
        <v>104</v>
      </c>
      <c r="AB200" t="s">
        <v>104</v>
      </c>
      <c r="AC200" t="s">
        <v>104</v>
      </c>
      <c r="AD200" t="s">
        <v>104</v>
      </c>
      <c r="AE200" t="s">
        <v>104</v>
      </c>
      <c r="AF200" t="s">
        <v>104</v>
      </c>
      <c r="AG200" t="s">
        <v>104</v>
      </c>
      <c r="AH200" t="s">
        <v>104</v>
      </c>
      <c r="AI200" t="s">
        <v>104</v>
      </c>
      <c r="AJ200" s="2"/>
      <c r="AK200" s="80"/>
      <c r="AL200" s="74">
        <v>3.0028000000000028</v>
      </c>
      <c r="AM200" s="43">
        <v>184</v>
      </c>
      <c r="AN200">
        <v>253.71511580100372</v>
      </c>
      <c r="AO200">
        <v>21.423049943824061</v>
      </c>
      <c r="AP200">
        <v>85.829543892671751</v>
      </c>
      <c r="AQ200">
        <v>151.88182203713868</v>
      </c>
      <c r="AR200">
        <v>22.041437840504187</v>
      </c>
      <c r="AS200">
        <v>200.26767663221011</v>
      </c>
      <c r="AT200">
        <v>10.993789031078185</v>
      </c>
      <c r="AU200">
        <v>121.74974371029046</v>
      </c>
      <c r="AV200"/>
      <c r="AW200"/>
      <c r="AX200" s="146"/>
      <c r="AY200" s="76" t="str">
        <f t="shared" ca="1" si="171"/>
        <v/>
      </c>
      <c r="AZ200"/>
      <c r="BA200" s="129" t="s">
        <v>104</v>
      </c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 s="147"/>
      <c r="CH200" s="176"/>
      <c r="CJ200" s="146"/>
      <c r="CK200" s="76" t="str">
        <f t="shared" ca="1" si="206"/>
        <v/>
      </c>
      <c r="CL200" s="179" t="str">
        <f t="shared" si="207"/>
        <v/>
      </c>
      <c r="CM200" s="180" t="str">
        <f t="shared" si="208"/>
        <v/>
      </c>
      <c r="CN200"/>
      <c r="CO200"/>
      <c r="CP200"/>
      <c r="CQ200"/>
      <c r="CR200"/>
      <c r="CS200"/>
      <c r="CT200"/>
      <c r="CU200"/>
      <c r="CV200" s="160"/>
      <c r="CW200"/>
      <c r="CX200"/>
      <c r="CY200" s="160"/>
      <c r="CZ200" s="177" t="str">
        <f t="shared" si="209"/>
        <v/>
      </c>
      <c r="DB200" s="146"/>
      <c r="DC200" s="76" t="str">
        <f t="shared" ca="1" si="172"/>
        <v/>
      </c>
      <c r="DD200" t="str">
        <f t="shared" si="210"/>
        <v/>
      </c>
      <c r="DE200" s="129" t="str">
        <f t="shared" si="335"/>
        <v/>
      </c>
      <c r="DF200" s="161" t="str">
        <f t="shared" si="282"/>
        <v/>
      </c>
      <c r="DG200" s="161" t="str">
        <f t="shared" si="283"/>
        <v/>
      </c>
      <c r="DH200" s="161" t="str">
        <f t="shared" si="284"/>
        <v/>
      </c>
      <c r="DI200" s="161" t="str">
        <f t="shared" si="285"/>
        <v/>
      </c>
      <c r="DJ200" s="161" t="str">
        <f t="shared" si="286"/>
        <v/>
      </c>
      <c r="DK200" s="161" t="str">
        <f t="shared" si="287"/>
        <v/>
      </c>
      <c r="DL200" s="161" t="str">
        <f t="shared" si="288"/>
        <v/>
      </c>
      <c r="DM200" s="161" t="str">
        <f t="shared" si="289"/>
        <v/>
      </c>
      <c r="DN200" s="161" t="str">
        <f t="shared" si="312"/>
        <v/>
      </c>
      <c r="DO200" s="161" t="str">
        <f t="shared" si="313"/>
        <v/>
      </c>
      <c r="DP200" s="161" t="str">
        <f t="shared" si="314"/>
        <v/>
      </c>
      <c r="DQ200" s="161" t="str">
        <f t="shared" si="315"/>
        <v/>
      </c>
      <c r="DR200" s="161" t="str">
        <f t="shared" si="316"/>
        <v/>
      </c>
      <c r="DS200" s="161" t="str">
        <f t="shared" si="317"/>
        <v/>
      </c>
      <c r="DT200" s="161" t="str">
        <f t="shared" si="318"/>
        <v/>
      </c>
      <c r="DU200" s="161" t="str">
        <f t="shared" si="319"/>
        <v/>
      </c>
      <c r="DV200" s="161" t="str">
        <f t="shared" si="320"/>
        <v/>
      </c>
      <c r="DW200" s="161" t="str">
        <f t="shared" si="321"/>
        <v/>
      </c>
      <c r="DX200" s="161" t="str">
        <f t="shared" si="322"/>
        <v/>
      </c>
      <c r="DY200" s="161" t="str">
        <f t="shared" si="323"/>
        <v/>
      </c>
      <c r="DZ200" s="161" t="str">
        <f t="shared" si="324"/>
        <v/>
      </c>
      <c r="EA200" s="161" t="str">
        <f t="shared" si="325"/>
        <v/>
      </c>
      <c r="EB200" s="161" t="str">
        <f t="shared" si="326"/>
        <v/>
      </c>
      <c r="EC200" s="161" t="str">
        <f t="shared" si="327"/>
        <v/>
      </c>
      <c r="ED200" s="161" t="str">
        <f t="shared" si="328"/>
        <v/>
      </c>
      <c r="EE200" s="161" t="str">
        <f t="shared" si="329"/>
        <v/>
      </c>
      <c r="EF200" s="161" t="str">
        <f t="shared" si="330"/>
        <v/>
      </c>
      <c r="EG200" s="161" t="str">
        <f t="shared" si="331"/>
        <v/>
      </c>
      <c r="EH200" s="161" t="str">
        <f t="shared" si="332"/>
        <v/>
      </c>
      <c r="EI200" s="161" t="str">
        <f t="shared" si="333"/>
        <v/>
      </c>
      <c r="EJ200" s="161" t="str">
        <f t="shared" si="334"/>
        <v/>
      </c>
      <c r="EK200" s="147" t="str">
        <f t="shared" si="248"/>
        <v/>
      </c>
      <c r="EL200" s="149"/>
      <c r="EN200" s="146"/>
      <c r="EO200" s="146"/>
      <c r="EP200" s="139" t="str">
        <f t="shared" si="249"/>
        <v/>
      </c>
      <c r="EQ200" s="139" t="str">
        <f t="shared" si="250"/>
        <v/>
      </c>
      <c r="ER200" s="139" t="str">
        <f t="shared" si="251"/>
        <v/>
      </c>
      <c r="ES200" s="139" t="str">
        <f t="shared" si="252"/>
        <v/>
      </c>
      <c r="ET200" s="139" t="str">
        <f t="shared" si="253"/>
        <v/>
      </c>
      <c r="EU200" s="139" t="str">
        <f t="shared" si="254"/>
        <v/>
      </c>
      <c r="EV200" s="139" t="str">
        <f t="shared" si="255"/>
        <v/>
      </c>
      <c r="EW200" s="139" t="str">
        <f t="shared" si="256"/>
        <v/>
      </c>
      <c r="EX200" s="139" t="str">
        <f t="shared" si="257"/>
        <v/>
      </c>
      <c r="EY200" s="139" t="str">
        <f t="shared" si="258"/>
        <v/>
      </c>
      <c r="EZ200" s="139" t="str">
        <f t="shared" si="259"/>
        <v/>
      </c>
      <c r="FA200" s="139" t="str">
        <f t="shared" si="260"/>
        <v/>
      </c>
      <c r="FB200" s="139" t="str">
        <f t="shared" si="261"/>
        <v/>
      </c>
      <c r="FC200" s="139" t="str">
        <f t="shared" si="262"/>
        <v/>
      </c>
      <c r="FD200" s="139" t="str">
        <f t="shared" si="263"/>
        <v/>
      </c>
      <c r="FE200" s="139" t="str">
        <f t="shared" si="264"/>
        <v/>
      </c>
      <c r="FF200" s="139" t="str">
        <f t="shared" si="265"/>
        <v/>
      </c>
      <c r="FG200" s="139" t="str">
        <f t="shared" si="266"/>
        <v/>
      </c>
      <c r="FH200" s="139" t="str">
        <f t="shared" si="267"/>
        <v/>
      </c>
      <c r="FI200" s="139" t="str">
        <f t="shared" si="268"/>
        <v/>
      </c>
      <c r="FJ200" s="139" t="str">
        <f t="shared" si="269"/>
        <v/>
      </c>
      <c r="FK200" s="139" t="str">
        <f t="shared" si="270"/>
        <v/>
      </c>
      <c r="FL200" s="139" t="str">
        <f t="shared" si="271"/>
        <v/>
      </c>
      <c r="FM200" s="139" t="str">
        <f t="shared" si="272"/>
        <v/>
      </c>
      <c r="FN200" s="139" t="str">
        <f t="shared" si="273"/>
        <v/>
      </c>
      <c r="FO200" s="139" t="str">
        <f t="shared" si="274"/>
        <v/>
      </c>
      <c r="FP200" s="139" t="str">
        <f t="shared" si="275"/>
        <v/>
      </c>
      <c r="FQ200" s="139" t="str">
        <f t="shared" si="276"/>
        <v/>
      </c>
      <c r="FR200" s="139" t="str">
        <f t="shared" si="277"/>
        <v/>
      </c>
      <c r="FS200" s="139" t="str">
        <f t="shared" si="278"/>
        <v/>
      </c>
      <c r="FT200" s="139" t="str">
        <f t="shared" si="279"/>
        <v/>
      </c>
      <c r="FU200" s="148" t="str">
        <f t="shared" si="280"/>
        <v/>
      </c>
      <c r="FV200" s="149"/>
      <c r="FY200" s="213">
        <v>195</v>
      </c>
      <c r="FZ200">
        <v>33.141999183838941</v>
      </c>
      <c r="GA200">
        <v>31.710764422418588</v>
      </c>
      <c r="GB200">
        <v>7.2726603428738166</v>
      </c>
      <c r="GC200">
        <v>8.153584517704612</v>
      </c>
      <c r="GD200">
        <v>6.5211024336273642</v>
      </c>
      <c r="GE200">
        <v>4.8518538531607032</v>
      </c>
      <c r="GF200">
        <v>28.209770495132922</v>
      </c>
      <c r="GG200">
        <v>22.515223953440696</v>
      </c>
      <c r="GH200">
        <v>16.15787751747273</v>
      </c>
      <c r="GI200">
        <v>18.33319214821428</v>
      </c>
      <c r="GJ200"/>
      <c r="GK200"/>
      <c r="GL200"/>
      <c r="GM200"/>
      <c r="GN200" s="208"/>
      <c r="GO200" s="208"/>
      <c r="GP200" s="208"/>
      <c r="GQ200" s="208"/>
      <c r="GR200" s="208"/>
      <c r="GS200" s="208"/>
      <c r="GT200" s="208"/>
      <c r="GU200" s="213">
        <v>195</v>
      </c>
    </row>
    <row r="201" spans="1:203" s="7" customFormat="1">
      <c r="A201" s="1"/>
      <c r="B201" s="76" t="str">
        <f ca="1">IF(C201="", "", RAND())</f>
        <v/>
      </c>
      <c r="C201" t="s">
        <v>104</v>
      </c>
      <c r="D201" t="s">
        <v>104</v>
      </c>
      <c r="E201" t="s">
        <v>104</v>
      </c>
      <c r="F201" t="s">
        <v>104</v>
      </c>
      <c r="G201" t="s">
        <v>104</v>
      </c>
      <c r="H201" t="s">
        <v>104</v>
      </c>
      <c r="I201" t="s">
        <v>104</v>
      </c>
      <c r="J201" t="s">
        <v>104</v>
      </c>
      <c r="K201" t="s">
        <v>104</v>
      </c>
      <c r="L201" t="s">
        <v>104</v>
      </c>
      <c r="M201" t="s">
        <v>104</v>
      </c>
      <c r="N201" t="s">
        <v>104</v>
      </c>
      <c r="O201" t="s">
        <v>104</v>
      </c>
      <c r="P201" t="s">
        <v>104</v>
      </c>
      <c r="Q201" t="s">
        <v>104</v>
      </c>
      <c r="R201" t="s">
        <v>104</v>
      </c>
      <c r="S201" t="s">
        <v>104</v>
      </c>
      <c r="T201" t="s">
        <v>104</v>
      </c>
      <c r="U201" t="s">
        <v>104</v>
      </c>
      <c r="V201" t="s">
        <v>104</v>
      </c>
      <c r="W201" t="s">
        <v>104</v>
      </c>
      <c r="X201" t="s">
        <v>104</v>
      </c>
      <c r="Y201" t="s">
        <v>104</v>
      </c>
      <c r="Z201" t="s">
        <v>104</v>
      </c>
      <c r="AA201" t="s">
        <v>104</v>
      </c>
      <c r="AB201" t="s">
        <v>104</v>
      </c>
      <c r="AC201" t="s">
        <v>104</v>
      </c>
      <c r="AD201" t="s">
        <v>104</v>
      </c>
      <c r="AE201" t="s">
        <v>104</v>
      </c>
      <c r="AF201" t="s">
        <v>104</v>
      </c>
      <c r="AG201" t="s">
        <v>104</v>
      </c>
      <c r="AH201" t="s">
        <v>104</v>
      </c>
      <c r="AI201" t="s">
        <v>104</v>
      </c>
      <c r="AJ201" s="2"/>
      <c r="AK201" s="80"/>
      <c r="AL201" s="74">
        <v>3.0028000000000028</v>
      </c>
      <c r="AM201" s="43">
        <v>185</v>
      </c>
      <c r="AN201">
        <v>326.0737349027163</v>
      </c>
      <c r="AO201">
        <v>24.008708556348179</v>
      </c>
      <c r="AP201">
        <v>90.816759971468827</v>
      </c>
      <c r="AQ201">
        <v>163.63304298125561</v>
      </c>
      <c r="AR201">
        <v>24.460342256056297</v>
      </c>
      <c r="AS201">
        <v>239.80462581799765</v>
      </c>
      <c r="AT201">
        <v>11.027049981583117</v>
      </c>
      <c r="AU201">
        <v>12.355262390164198</v>
      </c>
      <c r="AV201"/>
      <c r="AW201"/>
      <c r="AX201" s="146"/>
      <c r="AY201" s="76" t="str">
        <f t="shared" ca="1" si="171"/>
        <v/>
      </c>
      <c r="AZ201"/>
      <c r="BA201" s="129" t="s">
        <v>104</v>
      </c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 s="147"/>
      <c r="CH201" s="176"/>
      <c r="CJ201" s="146"/>
      <c r="CK201" s="76" t="str">
        <f t="shared" ca="1" si="206"/>
        <v/>
      </c>
      <c r="CL201" s="179" t="str">
        <f t="shared" si="207"/>
        <v/>
      </c>
      <c r="CM201" s="180" t="str">
        <f t="shared" si="208"/>
        <v/>
      </c>
      <c r="CN201"/>
      <c r="CO201"/>
      <c r="CP201"/>
      <c r="CQ201"/>
      <c r="CR201"/>
      <c r="CS201"/>
      <c r="CT201"/>
      <c r="CU201"/>
      <c r="CV201" s="160"/>
      <c r="CW201"/>
      <c r="CX201"/>
      <c r="CY201" s="160"/>
      <c r="CZ201" s="177" t="str">
        <f t="shared" si="209"/>
        <v/>
      </c>
      <c r="DB201" s="146"/>
      <c r="DC201" s="76" t="str">
        <f t="shared" ca="1" si="172"/>
        <v/>
      </c>
      <c r="DD201" t="str">
        <f t="shared" si="210"/>
        <v/>
      </c>
      <c r="DE201" s="129" t="str">
        <f t="shared" si="335"/>
        <v/>
      </c>
      <c r="DF201" s="161" t="str">
        <f t="shared" si="282"/>
        <v/>
      </c>
      <c r="DG201" s="161" t="str">
        <f t="shared" si="283"/>
        <v/>
      </c>
      <c r="DH201" s="161" t="str">
        <f t="shared" si="284"/>
        <v/>
      </c>
      <c r="DI201" s="161" t="str">
        <f t="shared" si="285"/>
        <v/>
      </c>
      <c r="DJ201" s="161" t="str">
        <f t="shared" si="286"/>
        <v/>
      </c>
      <c r="DK201" s="161" t="str">
        <f t="shared" si="287"/>
        <v/>
      </c>
      <c r="DL201" s="161" t="str">
        <f t="shared" si="288"/>
        <v/>
      </c>
      <c r="DM201" s="161" t="str">
        <f t="shared" si="289"/>
        <v/>
      </c>
      <c r="DN201" s="161" t="str">
        <f t="shared" si="312"/>
        <v/>
      </c>
      <c r="DO201" s="161" t="str">
        <f t="shared" si="313"/>
        <v/>
      </c>
      <c r="DP201" s="161" t="str">
        <f t="shared" si="314"/>
        <v/>
      </c>
      <c r="DQ201" s="161" t="str">
        <f t="shared" si="315"/>
        <v/>
      </c>
      <c r="DR201" s="161" t="str">
        <f t="shared" si="316"/>
        <v/>
      </c>
      <c r="DS201" s="161" t="str">
        <f t="shared" si="317"/>
        <v/>
      </c>
      <c r="DT201" s="161" t="str">
        <f t="shared" si="318"/>
        <v/>
      </c>
      <c r="DU201" s="161" t="str">
        <f t="shared" si="319"/>
        <v/>
      </c>
      <c r="DV201" s="161" t="str">
        <f t="shared" si="320"/>
        <v/>
      </c>
      <c r="DW201" s="161" t="str">
        <f t="shared" si="321"/>
        <v/>
      </c>
      <c r="DX201" s="161" t="str">
        <f t="shared" si="322"/>
        <v/>
      </c>
      <c r="DY201" s="161" t="str">
        <f t="shared" si="323"/>
        <v/>
      </c>
      <c r="DZ201" s="161" t="str">
        <f t="shared" si="324"/>
        <v/>
      </c>
      <c r="EA201" s="161" t="str">
        <f t="shared" si="325"/>
        <v/>
      </c>
      <c r="EB201" s="161" t="str">
        <f t="shared" si="326"/>
        <v/>
      </c>
      <c r="EC201" s="161" t="str">
        <f t="shared" si="327"/>
        <v/>
      </c>
      <c r="ED201" s="161" t="str">
        <f t="shared" si="328"/>
        <v/>
      </c>
      <c r="EE201" s="161" t="str">
        <f t="shared" si="329"/>
        <v/>
      </c>
      <c r="EF201" s="161" t="str">
        <f t="shared" si="330"/>
        <v/>
      </c>
      <c r="EG201" s="161" t="str">
        <f t="shared" si="331"/>
        <v/>
      </c>
      <c r="EH201" s="161" t="str">
        <f t="shared" si="332"/>
        <v/>
      </c>
      <c r="EI201" s="161" t="str">
        <f t="shared" si="333"/>
        <v/>
      </c>
      <c r="EJ201" s="161" t="str">
        <f t="shared" si="334"/>
        <v/>
      </c>
      <c r="EK201" s="147" t="str">
        <f t="shared" si="248"/>
        <v/>
      </c>
      <c r="EL201" s="149"/>
      <c r="EN201" s="146"/>
      <c r="EO201" s="146"/>
      <c r="EP201" s="139" t="str">
        <f t="shared" si="249"/>
        <v/>
      </c>
      <c r="EQ201" s="139" t="str">
        <f t="shared" si="250"/>
        <v/>
      </c>
      <c r="ER201" s="139" t="str">
        <f t="shared" si="251"/>
        <v/>
      </c>
      <c r="ES201" s="139" t="str">
        <f t="shared" si="252"/>
        <v/>
      </c>
      <c r="ET201" s="139" t="str">
        <f t="shared" si="253"/>
        <v/>
      </c>
      <c r="EU201" s="139" t="str">
        <f t="shared" si="254"/>
        <v/>
      </c>
      <c r="EV201" s="139" t="str">
        <f t="shared" si="255"/>
        <v/>
      </c>
      <c r="EW201" s="139" t="str">
        <f t="shared" si="256"/>
        <v/>
      </c>
      <c r="EX201" s="139" t="str">
        <f t="shared" si="257"/>
        <v/>
      </c>
      <c r="EY201" s="139" t="str">
        <f t="shared" si="258"/>
        <v/>
      </c>
      <c r="EZ201" s="139" t="str">
        <f t="shared" si="259"/>
        <v/>
      </c>
      <c r="FA201" s="139" t="str">
        <f t="shared" si="260"/>
        <v/>
      </c>
      <c r="FB201" s="139" t="str">
        <f t="shared" si="261"/>
        <v/>
      </c>
      <c r="FC201" s="139" t="str">
        <f t="shared" si="262"/>
        <v/>
      </c>
      <c r="FD201" s="139" t="str">
        <f t="shared" si="263"/>
        <v/>
      </c>
      <c r="FE201" s="139" t="str">
        <f t="shared" si="264"/>
        <v/>
      </c>
      <c r="FF201" s="139" t="str">
        <f t="shared" si="265"/>
        <v/>
      </c>
      <c r="FG201" s="139" t="str">
        <f t="shared" si="266"/>
        <v/>
      </c>
      <c r="FH201" s="139" t="str">
        <f t="shared" si="267"/>
        <v/>
      </c>
      <c r="FI201" s="139" t="str">
        <f t="shared" si="268"/>
        <v/>
      </c>
      <c r="FJ201" s="139" t="str">
        <f t="shared" si="269"/>
        <v/>
      </c>
      <c r="FK201" s="139" t="str">
        <f t="shared" si="270"/>
        <v/>
      </c>
      <c r="FL201" s="139" t="str">
        <f t="shared" si="271"/>
        <v/>
      </c>
      <c r="FM201" s="139" t="str">
        <f t="shared" si="272"/>
        <v/>
      </c>
      <c r="FN201" s="139" t="str">
        <f t="shared" si="273"/>
        <v/>
      </c>
      <c r="FO201" s="139" t="str">
        <f t="shared" si="274"/>
        <v/>
      </c>
      <c r="FP201" s="139" t="str">
        <f t="shared" si="275"/>
        <v/>
      </c>
      <c r="FQ201" s="139" t="str">
        <f t="shared" si="276"/>
        <v/>
      </c>
      <c r="FR201" s="139" t="str">
        <f t="shared" si="277"/>
        <v/>
      </c>
      <c r="FS201" s="139" t="str">
        <f t="shared" si="278"/>
        <v/>
      </c>
      <c r="FT201" s="139" t="str">
        <f t="shared" si="279"/>
        <v/>
      </c>
      <c r="FU201" s="148" t="str">
        <f t="shared" si="280"/>
        <v/>
      </c>
      <c r="FV201" s="149"/>
      <c r="FY201" s="213">
        <v>196</v>
      </c>
      <c r="FZ201">
        <v>42.666829758890927</v>
      </c>
      <c r="GA201">
        <v>62.056841765623268</v>
      </c>
      <c r="GB201">
        <v>10.954871227712541</v>
      </c>
      <c r="GC201">
        <v>4.8459505137112009</v>
      </c>
      <c r="GD201">
        <v>3.6985220850393135</v>
      </c>
      <c r="GE201">
        <v>3.8371260529275957</v>
      </c>
      <c r="GF201">
        <v>4.8412661443586007</v>
      </c>
      <c r="GG201">
        <v>4.0654666762999314</v>
      </c>
      <c r="GH201">
        <v>10.542859813198248</v>
      </c>
      <c r="GI201">
        <v>14.1716019029121</v>
      </c>
      <c r="GJ201"/>
      <c r="GK201"/>
      <c r="GL201"/>
      <c r="GM201"/>
      <c r="GN201" s="208"/>
      <c r="GO201" s="208"/>
      <c r="GP201" s="208"/>
      <c r="GQ201" s="208"/>
      <c r="GR201" s="208"/>
      <c r="GS201" s="208"/>
      <c r="GT201" s="208"/>
      <c r="GU201" s="213">
        <v>196</v>
      </c>
    </row>
    <row r="202" spans="1:203" s="7" customFormat="1">
      <c r="A202" s="1"/>
      <c r="B202" s="76" t="str">
        <f ca="1">IF(C202="", "", RAND())</f>
        <v/>
      </c>
      <c r="C202" t="s">
        <v>104</v>
      </c>
      <c r="D202" t="s">
        <v>104</v>
      </c>
      <c r="E202" t="s">
        <v>104</v>
      </c>
      <c r="F202" t="s">
        <v>104</v>
      </c>
      <c r="G202" t="s">
        <v>104</v>
      </c>
      <c r="H202" t="s">
        <v>104</v>
      </c>
      <c r="I202" t="s">
        <v>104</v>
      </c>
      <c r="J202" t="s">
        <v>104</v>
      </c>
      <c r="K202" t="s">
        <v>104</v>
      </c>
      <c r="L202" t="s">
        <v>104</v>
      </c>
      <c r="M202" t="s">
        <v>104</v>
      </c>
      <c r="N202" t="s">
        <v>104</v>
      </c>
      <c r="O202" t="s">
        <v>104</v>
      </c>
      <c r="P202" t="s">
        <v>104</v>
      </c>
      <c r="Q202" t="s">
        <v>104</v>
      </c>
      <c r="R202" t="s">
        <v>104</v>
      </c>
      <c r="S202" t="s">
        <v>104</v>
      </c>
      <c r="T202" t="s">
        <v>104</v>
      </c>
      <c r="U202" t="s">
        <v>104</v>
      </c>
      <c r="V202" t="s">
        <v>104</v>
      </c>
      <c r="W202" t="s">
        <v>104</v>
      </c>
      <c r="X202" t="s">
        <v>104</v>
      </c>
      <c r="Y202" t="s">
        <v>104</v>
      </c>
      <c r="Z202" t="s">
        <v>104</v>
      </c>
      <c r="AA202" t="s">
        <v>104</v>
      </c>
      <c r="AB202" t="s">
        <v>104</v>
      </c>
      <c r="AC202" t="s">
        <v>104</v>
      </c>
      <c r="AD202" t="s">
        <v>104</v>
      </c>
      <c r="AE202" t="s">
        <v>104</v>
      </c>
      <c r="AF202" t="s">
        <v>104</v>
      </c>
      <c r="AG202" t="s">
        <v>104</v>
      </c>
      <c r="AH202" t="s">
        <v>104</v>
      </c>
      <c r="AI202" t="s">
        <v>104</v>
      </c>
      <c r="AJ202" s="2"/>
      <c r="AK202" s="80"/>
      <c r="AL202" s="74"/>
      <c r="AM202" s="43">
        <v>186</v>
      </c>
      <c r="AN202">
        <v>251.59603540533107</v>
      </c>
      <c r="AO202">
        <v>22.916470958224018</v>
      </c>
      <c r="AP202">
        <v>114.51951597119586</v>
      </c>
      <c r="AQ202">
        <v>155.33689357483772</v>
      </c>
      <c r="AR202">
        <v>22.813480695400536</v>
      </c>
      <c r="AS202">
        <v>200.77220114311797</v>
      </c>
      <c r="AT202">
        <v>11.270236288629155</v>
      </c>
      <c r="AU202">
        <v>42.733573903749352</v>
      </c>
      <c r="AV202"/>
      <c r="AW202"/>
      <c r="AX202" s="146"/>
      <c r="AY202" s="76" t="str">
        <f t="shared" ca="1" si="171"/>
        <v/>
      </c>
      <c r="AZ202"/>
      <c r="BA202" s="129" t="s">
        <v>104</v>
      </c>
      <c r="BB202"/>
      <c r="BC202"/>
      <c r="BD202"/>
      <c r="BE202" s="188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 s="147"/>
      <c r="CH202" s="176"/>
      <c r="CJ202" s="146"/>
      <c r="CK202" s="76" t="str">
        <f t="shared" ca="1" si="206"/>
        <v/>
      </c>
      <c r="CL202" s="179" t="str">
        <f t="shared" si="207"/>
        <v/>
      </c>
      <c r="CM202" s="180" t="str">
        <f t="shared" si="208"/>
        <v/>
      </c>
      <c r="CN202"/>
      <c r="CO202"/>
      <c r="CP202"/>
      <c r="CQ202"/>
      <c r="CR202"/>
      <c r="CS202"/>
      <c r="CT202"/>
      <c r="CU202"/>
      <c r="CV202" s="160"/>
      <c r="CW202"/>
      <c r="CX202"/>
      <c r="CY202" s="160"/>
      <c r="CZ202" s="177" t="str">
        <f t="shared" si="209"/>
        <v/>
      </c>
      <c r="DB202" s="146"/>
      <c r="DC202" s="76" t="str">
        <f t="shared" ca="1" si="172"/>
        <v/>
      </c>
      <c r="DD202" t="str">
        <f t="shared" si="210"/>
        <v/>
      </c>
      <c r="DE202" s="129" t="str">
        <f t="shared" si="335"/>
        <v/>
      </c>
      <c r="DF202" s="161" t="str">
        <f t="shared" si="282"/>
        <v/>
      </c>
      <c r="DG202" s="161" t="str">
        <f t="shared" si="283"/>
        <v/>
      </c>
      <c r="DH202" s="161" t="str">
        <f t="shared" si="284"/>
        <v/>
      </c>
      <c r="DI202" s="161" t="str">
        <f t="shared" si="285"/>
        <v/>
      </c>
      <c r="DJ202" s="161" t="str">
        <f t="shared" si="286"/>
        <v/>
      </c>
      <c r="DK202" s="161" t="str">
        <f t="shared" si="287"/>
        <v/>
      </c>
      <c r="DL202" s="161" t="str">
        <f t="shared" si="288"/>
        <v/>
      </c>
      <c r="DM202" s="161" t="str">
        <f t="shared" si="289"/>
        <v/>
      </c>
      <c r="DN202" s="161" t="str">
        <f t="shared" si="312"/>
        <v/>
      </c>
      <c r="DO202" s="161" t="str">
        <f t="shared" si="313"/>
        <v/>
      </c>
      <c r="DP202" s="161" t="str">
        <f t="shared" si="314"/>
        <v/>
      </c>
      <c r="DQ202" s="161" t="str">
        <f t="shared" si="315"/>
        <v/>
      </c>
      <c r="DR202" s="161" t="str">
        <f t="shared" si="316"/>
        <v/>
      </c>
      <c r="DS202" s="161" t="str">
        <f t="shared" si="317"/>
        <v/>
      </c>
      <c r="DT202" s="161" t="str">
        <f t="shared" si="318"/>
        <v/>
      </c>
      <c r="DU202" s="161" t="str">
        <f t="shared" si="319"/>
        <v/>
      </c>
      <c r="DV202" s="161" t="str">
        <f t="shared" si="320"/>
        <v/>
      </c>
      <c r="DW202" s="161" t="str">
        <f t="shared" si="321"/>
        <v/>
      </c>
      <c r="DX202" s="161" t="str">
        <f t="shared" si="322"/>
        <v/>
      </c>
      <c r="DY202" s="161" t="str">
        <f t="shared" si="323"/>
        <v/>
      </c>
      <c r="DZ202" s="161" t="str">
        <f t="shared" si="324"/>
        <v/>
      </c>
      <c r="EA202" s="161" t="str">
        <f t="shared" si="325"/>
        <v/>
      </c>
      <c r="EB202" s="161" t="str">
        <f t="shared" si="326"/>
        <v/>
      </c>
      <c r="EC202" s="161" t="str">
        <f t="shared" si="327"/>
        <v/>
      </c>
      <c r="ED202" s="161" t="str">
        <f t="shared" si="328"/>
        <v/>
      </c>
      <c r="EE202" s="161" t="str">
        <f t="shared" si="329"/>
        <v/>
      </c>
      <c r="EF202" s="161" t="str">
        <f t="shared" si="330"/>
        <v/>
      </c>
      <c r="EG202" s="161" t="str">
        <f t="shared" si="331"/>
        <v/>
      </c>
      <c r="EH202" s="161" t="str">
        <f t="shared" si="332"/>
        <v/>
      </c>
      <c r="EI202" s="161" t="str">
        <f t="shared" si="333"/>
        <v/>
      </c>
      <c r="EJ202" s="161" t="str">
        <f t="shared" si="334"/>
        <v/>
      </c>
      <c r="EK202" s="147" t="str">
        <f t="shared" si="248"/>
        <v/>
      </c>
      <c r="EL202" s="149"/>
      <c r="EN202" s="146"/>
      <c r="EO202" s="146"/>
      <c r="EP202" s="139" t="str">
        <f t="shared" si="249"/>
        <v/>
      </c>
      <c r="EQ202" s="139" t="str">
        <f t="shared" si="250"/>
        <v/>
      </c>
      <c r="ER202" s="139" t="str">
        <f t="shared" si="251"/>
        <v/>
      </c>
      <c r="ES202" s="139" t="str">
        <f t="shared" si="252"/>
        <v/>
      </c>
      <c r="ET202" s="139" t="str">
        <f t="shared" si="253"/>
        <v/>
      </c>
      <c r="EU202" s="139" t="str">
        <f t="shared" si="254"/>
        <v/>
      </c>
      <c r="EV202" s="139" t="str">
        <f t="shared" si="255"/>
        <v/>
      </c>
      <c r="EW202" s="139" t="str">
        <f t="shared" si="256"/>
        <v/>
      </c>
      <c r="EX202" s="139" t="str">
        <f t="shared" si="257"/>
        <v/>
      </c>
      <c r="EY202" s="139" t="str">
        <f t="shared" si="258"/>
        <v/>
      </c>
      <c r="EZ202" s="139" t="str">
        <f t="shared" si="259"/>
        <v/>
      </c>
      <c r="FA202" s="139" t="str">
        <f t="shared" si="260"/>
        <v/>
      </c>
      <c r="FB202" s="139" t="str">
        <f t="shared" si="261"/>
        <v/>
      </c>
      <c r="FC202" s="139" t="str">
        <f t="shared" si="262"/>
        <v/>
      </c>
      <c r="FD202" s="139" t="str">
        <f t="shared" si="263"/>
        <v/>
      </c>
      <c r="FE202" s="139" t="str">
        <f t="shared" si="264"/>
        <v/>
      </c>
      <c r="FF202" s="139" t="str">
        <f t="shared" si="265"/>
        <v/>
      </c>
      <c r="FG202" s="139" t="str">
        <f t="shared" si="266"/>
        <v/>
      </c>
      <c r="FH202" s="139" t="str">
        <f t="shared" si="267"/>
        <v/>
      </c>
      <c r="FI202" s="139" t="str">
        <f t="shared" si="268"/>
        <v/>
      </c>
      <c r="FJ202" s="139" t="str">
        <f t="shared" si="269"/>
        <v/>
      </c>
      <c r="FK202" s="139" t="str">
        <f t="shared" si="270"/>
        <v/>
      </c>
      <c r="FL202" s="139" t="str">
        <f t="shared" si="271"/>
        <v/>
      </c>
      <c r="FM202" s="139" t="str">
        <f t="shared" si="272"/>
        <v/>
      </c>
      <c r="FN202" s="139" t="str">
        <f t="shared" si="273"/>
        <v/>
      </c>
      <c r="FO202" s="139" t="str">
        <f t="shared" si="274"/>
        <v/>
      </c>
      <c r="FP202" s="139" t="str">
        <f t="shared" si="275"/>
        <v/>
      </c>
      <c r="FQ202" s="139" t="str">
        <f t="shared" si="276"/>
        <v/>
      </c>
      <c r="FR202" s="139" t="str">
        <f t="shared" si="277"/>
        <v/>
      </c>
      <c r="FS202" s="139" t="str">
        <f t="shared" si="278"/>
        <v/>
      </c>
      <c r="FT202" s="139" t="str">
        <f t="shared" si="279"/>
        <v/>
      </c>
      <c r="FU202" s="148" t="str">
        <f t="shared" si="280"/>
        <v/>
      </c>
      <c r="FV202" s="149"/>
      <c r="FY202" s="213">
        <v>197</v>
      </c>
      <c r="FZ202">
        <v>54.265753778502386</v>
      </c>
      <c r="GA202">
        <v>40.914890499194478</v>
      </c>
      <c r="GB202">
        <v>8.6730941992954342</v>
      </c>
      <c r="GC202">
        <v>6.2835825816019959</v>
      </c>
      <c r="GD202">
        <v>5.4946515046110882</v>
      </c>
      <c r="GE202">
        <v>6.9853617337379532</v>
      </c>
      <c r="GF202">
        <v>9.117835557615404</v>
      </c>
      <c r="GG202">
        <v>7.9690633771923975</v>
      </c>
      <c r="GH202">
        <v>18.006028214244921</v>
      </c>
      <c r="GI202">
        <v>17.971602320370064</v>
      </c>
      <c r="GJ202"/>
      <c r="GK202"/>
      <c r="GL202"/>
      <c r="GM202"/>
      <c r="GN202" s="208"/>
      <c r="GO202" s="208"/>
      <c r="GP202" s="208"/>
      <c r="GQ202" s="208"/>
      <c r="GR202" s="208"/>
      <c r="GS202" s="208"/>
      <c r="GT202" s="208"/>
      <c r="GU202" s="213">
        <v>197</v>
      </c>
    </row>
    <row r="203" spans="1:203" s="7" customFormat="1">
      <c r="A203" s="1"/>
      <c r="B203" s="76" t="str">
        <f ca="1">IF(C203="", "", RAND())</f>
        <v/>
      </c>
      <c r="C203" t="s">
        <v>104</v>
      </c>
      <c r="D203" t="s">
        <v>104</v>
      </c>
      <c r="E203" t="s">
        <v>104</v>
      </c>
      <c r="F203" t="s">
        <v>104</v>
      </c>
      <c r="G203" t="s">
        <v>104</v>
      </c>
      <c r="H203" t="s">
        <v>104</v>
      </c>
      <c r="I203" t="s">
        <v>104</v>
      </c>
      <c r="J203" t="s">
        <v>104</v>
      </c>
      <c r="K203" t="s">
        <v>104</v>
      </c>
      <c r="L203" t="s">
        <v>104</v>
      </c>
      <c r="M203" t="s">
        <v>104</v>
      </c>
      <c r="N203" t="s">
        <v>104</v>
      </c>
      <c r="O203" t="s">
        <v>104</v>
      </c>
      <c r="P203" t="s">
        <v>104</v>
      </c>
      <c r="Q203" t="s">
        <v>104</v>
      </c>
      <c r="R203" t="s">
        <v>104</v>
      </c>
      <c r="S203" t="s">
        <v>104</v>
      </c>
      <c r="T203" t="s">
        <v>104</v>
      </c>
      <c r="U203" t="s">
        <v>104</v>
      </c>
      <c r="V203" t="s">
        <v>104</v>
      </c>
      <c r="W203" t="s">
        <v>104</v>
      </c>
      <c r="X203" t="s">
        <v>104</v>
      </c>
      <c r="Y203" t="s">
        <v>104</v>
      </c>
      <c r="Z203" t="s">
        <v>104</v>
      </c>
      <c r="AA203" t="s">
        <v>104</v>
      </c>
      <c r="AB203" t="s">
        <v>104</v>
      </c>
      <c r="AC203" t="s">
        <v>104</v>
      </c>
      <c r="AD203" t="s">
        <v>104</v>
      </c>
      <c r="AE203" t="s">
        <v>104</v>
      </c>
      <c r="AF203" t="s">
        <v>104</v>
      </c>
      <c r="AG203" t="s">
        <v>104</v>
      </c>
      <c r="AH203" t="s">
        <v>104</v>
      </c>
      <c r="AI203" t="s">
        <v>104</v>
      </c>
      <c r="AJ203" s="2"/>
      <c r="AK203" s="80"/>
      <c r="AL203" s="74"/>
      <c r="AM203" s="43">
        <v>187</v>
      </c>
      <c r="AN203">
        <v>368.97460021485148</v>
      </c>
      <c r="AO203">
        <v>32.229037366154643</v>
      </c>
      <c r="AP203">
        <v>107.65797317805095</v>
      </c>
      <c r="AQ203">
        <v>229.90886721751599</v>
      </c>
      <c r="AR203">
        <v>32.777066490855461</v>
      </c>
      <c r="AS203">
        <v>288.54595168745885</v>
      </c>
      <c r="AT203">
        <v>12.660825155720334</v>
      </c>
      <c r="AU203">
        <v>-8.3299839335690855</v>
      </c>
      <c r="AV203"/>
      <c r="AW203"/>
      <c r="AX203" s="146"/>
      <c r="AY203" s="76" t="str">
        <f t="shared" ca="1" si="171"/>
        <v/>
      </c>
      <c r="AZ203"/>
      <c r="BA203" s="129" t="s">
        <v>104</v>
      </c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 s="147"/>
      <c r="CH203" s="176"/>
      <c r="CJ203" s="146"/>
      <c r="CK203" s="76" t="str">
        <f t="shared" ca="1" si="206"/>
        <v/>
      </c>
      <c r="CL203" s="179" t="str">
        <f t="shared" si="207"/>
        <v/>
      </c>
      <c r="CM203" s="180" t="str">
        <f t="shared" si="208"/>
        <v/>
      </c>
      <c r="CN203"/>
      <c r="CO203"/>
      <c r="CP203"/>
      <c r="CQ203"/>
      <c r="CR203"/>
      <c r="CS203"/>
      <c r="CT203"/>
      <c r="CU203"/>
      <c r="CV203" s="160"/>
      <c r="CW203"/>
      <c r="CX203"/>
      <c r="CY203" s="160"/>
      <c r="CZ203" s="177" t="str">
        <f t="shared" si="209"/>
        <v/>
      </c>
      <c r="DB203" s="146"/>
      <c r="DC203" s="76" t="str">
        <f t="shared" ca="1" si="172"/>
        <v/>
      </c>
      <c r="DD203" t="str">
        <f t="shared" si="210"/>
        <v/>
      </c>
      <c r="DE203" s="129" t="str">
        <f t="shared" si="335"/>
        <v/>
      </c>
      <c r="DF203" s="161" t="str">
        <f t="shared" si="282"/>
        <v/>
      </c>
      <c r="DG203" s="161" t="str">
        <f t="shared" si="283"/>
        <v/>
      </c>
      <c r="DH203" s="161" t="str">
        <f t="shared" si="284"/>
        <v/>
      </c>
      <c r="DI203" s="161" t="str">
        <f t="shared" si="285"/>
        <v/>
      </c>
      <c r="DJ203" s="161" t="str">
        <f t="shared" si="286"/>
        <v/>
      </c>
      <c r="DK203" s="161" t="str">
        <f t="shared" si="287"/>
        <v/>
      </c>
      <c r="DL203" s="161" t="str">
        <f t="shared" si="288"/>
        <v/>
      </c>
      <c r="DM203" s="161" t="str">
        <f t="shared" si="289"/>
        <v/>
      </c>
      <c r="DN203" s="161" t="str">
        <f t="shared" si="312"/>
        <v/>
      </c>
      <c r="DO203" s="161" t="str">
        <f t="shared" si="313"/>
        <v/>
      </c>
      <c r="DP203" s="161" t="str">
        <f t="shared" si="314"/>
        <v/>
      </c>
      <c r="DQ203" s="161" t="str">
        <f t="shared" si="315"/>
        <v/>
      </c>
      <c r="DR203" s="161" t="str">
        <f t="shared" si="316"/>
        <v/>
      </c>
      <c r="DS203" s="161" t="str">
        <f t="shared" si="317"/>
        <v/>
      </c>
      <c r="DT203" s="161" t="str">
        <f t="shared" si="318"/>
        <v/>
      </c>
      <c r="DU203" s="161" t="str">
        <f t="shared" si="319"/>
        <v/>
      </c>
      <c r="DV203" s="161" t="str">
        <f t="shared" si="320"/>
        <v/>
      </c>
      <c r="DW203" s="161" t="str">
        <f t="shared" si="321"/>
        <v/>
      </c>
      <c r="DX203" s="161" t="str">
        <f t="shared" si="322"/>
        <v/>
      </c>
      <c r="DY203" s="161" t="str">
        <f t="shared" si="323"/>
        <v/>
      </c>
      <c r="DZ203" s="161" t="str">
        <f t="shared" si="324"/>
        <v/>
      </c>
      <c r="EA203" s="161" t="str">
        <f t="shared" si="325"/>
        <v/>
      </c>
      <c r="EB203" s="161" t="str">
        <f t="shared" si="326"/>
        <v/>
      </c>
      <c r="EC203" s="161" t="str">
        <f t="shared" si="327"/>
        <v/>
      </c>
      <c r="ED203" s="161" t="str">
        <f t="shared" si="328"/>
        <v/>
      </c>
      <c r="EE203" s="161" t="str">
        <f t="shared" si="329"/>
        <v/>
      </c>
      <c r="EF203" s="161" t="str">
        <f t="shared" si="330"/>
        <v/>
      </c>
      <c r="EG203" s="161" t="str">
        <f t="shared" si="331"/>
        <v/>
      </c>
      <c r="EH203" s="161" t="str">
        <f t="shared" si="332"/>
        <v/>
      </c>
      <c r="EI203" s="161" t="str">
        <f t="shared" si="333"/>
        <v/>
      </c>
      <c r="EJ203" s="161" t="str">
        <f t="shared" si="334"/>
        <v/>
      </c>
      <c r="EK203" s="147" t="str">
        <f t="shared" si="248"/>
        <v/>
      </c>
      <c r="EL203" s="149"/>
      <c r="EN203" s="146"/>
      <c r="EO203" s="146"/>
      <c r="EP203" s="139" t="str">
        <f t="shared" si="249"/>
        <v/>
      </c>
      <c r="EQ203" s="139" t="str">
        <f t="shared" si="250"/>
        <v/>
      </c>
      <c r="ER203" s="139" t="str">
        <f t="shared" si="251"/>
        <v/>
      </c>
      <c r="ES203" s="139" t="str">
        <f t="shared" si="252"/>
        <v/>
      </c>
      <c r="ET203" s="139" t="str">
        <f t="shared" si="253"/>
        <v/>
      </c>
      <c r="EU203" s="139" t="str">
        <f t="shared" si="254"/>
        <v/>
      </c>
      <c r="EV203" s="139" t="str">
        <f t="shared" si="255"/>
        <v/>
      </c>
      <c r="EW203" s="139" t="str">
        <f t="shared" si="256"/>
        <v/>
      </c>
      <c r="EX203" s="139" t="str">
        <f t="shared" si="257"/>
        <v/>
      </c>
      <c r="EY203" s="139" t="str">
        <f t="shared" si="258"/>
        <v/>
      </c>
      <c r="EZ203" s="139" t="str">
        <f t="shared" si="259"/>
        <v/>
      </c>
      <c r="FA203" s="139" t="str">
        <f t="shared" si="260"/>
        <v/>
      </c>
      <c r="FB203" s="139" t="str">
        <f t="shared" si="261"/>
        <v/>
      </c>
      <c r="FC203" s="139" t="str">
        <f t="shared" si="262"/>
        <v/>
      </c>
      <c r="FD203" s="139" t="str">
        <f t="shared" si="263"/>
        <v/>
      </c>
      <c r="FE203" s="139" t="str">
        <f t="shared" si="264"/>
        <v/>
      </c>
      <c r="FF203" s="139" t="str">
        <f t="shared" si="265"/>
        <v/>
      </c>
      <c r="FG203" s="139" t="str">
        <f t="shared" si="266"/>
        <v/>
      </c>
      <c r="FH203" s="139" t="str">
        <f t="shared" si="267"/>
        <v/>
      </c>
      <c r="FI203" s="139" t="str">
        <f t="shared" si="268"/>
        <v/>
      </c>
      <c r="FJ203" s="139" t="str">
        <f t="shared" si="269"/>
        <v/>
      </c>
      <c r="FK203" s="139" t="str">
        <f t="shared" si="270"/>
        <v/>
      </c>
      <c r="FL203" s="139" t="str">
        <f t="shared" si="271"/>
        <v/>
      </c>
      <c r="FM203" s="139" t="str">
        <f t="shared" si="272"/>
        <v/>
      </c>
      <c r="FN203" s="139" t="str">
        <f t="shared" si="273"/>
        <v/>
      </c>
      <c r="FO203" s="139" t="str">
        <f t="shared" si="274"/>
        <v/>
      </c>
      <c r="FP203" s="139" t="str">
        <f t="shared" si="275"/>
        <v/>
      </c>
      <c r="FQ203" s="139" t="str">
        <f t="shared" si="276"/>
        <v/>
      </c>
      <c r="FR203" s="139" t="str">
        <f t="shared" si="277"/>
        <v/>
      </c>
      <c r="FS203" s="139" t="str">
        <f t="shared" si="278"/>
        <v/>
      </c>
      <c r="FT203" s="139" t="str">
        <f t="shared" si="279"/>
        <v/>
      </c>
      <c r="FU203" s="148" t="str">
        <f t="shared" si="280"/>
        <v/>
      </c>
      <c r="FV203" s="149"/>
      <c r="FY203" s="213">
        <v>198</v>
      </c>
      <c r="FZ203">
        <v>63.466761688279227</v>
      </c>
      <c r="GA203">
        <v>87.449870923041559</v>
      </c>
      <c r="GB203">
        <v>18.61698318538927</v>
      </c>
      <c r="GC203">
        <v>5.7093290805522114</v>
      </c>
      <c r="GD203">
        <v>4.7323253390003099</v>
      </c>
      <c r="GE203">
        <v>4.5216547061097234</v>
      </c>
      <c r="GF203">
        <v>14.435257406291143</v>
      </c>
      <c r="GG203">
        <v>13.130446644460385</v>
      </c>
      <c r="GH203">
        <v>16.950565313143013</v>
      </c>
      <c r="GI203">
        <v>22.864471406330658</v>
      </c>
      <c r="GJ203"/>
      <c r="GK203"/>
      <c r="GL203"/>
      <c r="GM203"/>
      <c r="GN203" s="208"/>
      <c r="GO203" s="208"/>
      <c r="GP203" s="208"/>
      <c r="GQ203" s="208"/>
      <c r="GR203" s="208"/>
      <c r="GS203" s="208"/>
      <c r="GT203" s="208"/>
      <c r="GU203" s="213">
        <v>198</v>
      </c>
    </row>
    <row r="204" spans="1:203" s="7" customFormat="1">
      <c r="A204" s="1"/>
      <c r="B204" s="76" t="str">
        <f ca="1">IF(C204="", "", RAND())</f>
        <v/>
      </c>
      <c r="C204" t="s">
        <v>104</v>
      </c>
      <c r="D204" t="s">
        <v>104</v>
      </c>
      <c r="E204" t="s">
        <v>104</v>
      </c>
      <c r="F204" t="s">
        <v>104</v>
      </c>
      <c r="G204" t="s">
        <v>104</v>
      </c>
      <c r="H204" t="s">
        <v>104</v>
      </c>
      <c r="I204" t="s">
        <v>104</v>
      </c>
      <c r="J204" t="s">
        <v>104</v>
      </c>
      <c r="K204" t="s">
        <v>104</v>
      </c>
      <c r="L204" t="s">
        <v>104</v>
      </c>
      <c r="M204" t="s">
        <v>104</v>
      </c>
      <c r="N204" t="s">
        <v>104</v>
      </c>
      <c r="O204" t="s">
        <v>104</v>
      </c>
      <c r="P204" t="s">
        <v>104</v>
      </c>
      <c r="Q204" t="s">
        <v>104</v>
      </c>
      <c r="R204" t="s">
        <v>104</v>
      </c>
      <c r="S204" t="s">
        <v>104</v>
      </c>
      <c r="T204" t="s">
        <v>104</v>
      </c>
      <c r="U204" t="s">
        <v>104</v>
      </c>
      <c r="V204" t="s">
        <v>104</v>
      </c>
      <c r="W204" t="s">
        <v>104</v>
      </c>
      <c r="X204" t="s">
        <v>104</v>
      </c>
      <c r="Y204" t="s">
        <v>104</v>
      </c>
      <c r="Z204" t="s">
        <v>104</v>
      </c>
      <c r="AA204" t="s">
        <v>104</v>
      </c>
      <c r="AB204" t="s">
        <v>104</v>
      </c>
      <c r="AC204" t="s">
        <v>104</v>
      </c>
      <c r="AD204" t="s">
        <v>104</v>
      </c>
      <c r="AE204" t="s">
        <v>104</v>
      </c>
      <c r="AF204" t="s">
        <v>104</v>
      </c>
      <c r="AG204" t="s">
        <v>104</v>
      </c>
      <c r="AH204" t="s">
        <v>104</v>
      </c>
      <c r="AI204" t="s">
        <v>104</v>
      </c>
      <c r="AJ204" s="2"/>
      <c r="AK204" s="80"/>
      <c r="AL204" s="74"/>
      <c r="AM204" s="43">
        <v>188</v>
      </c>
      <c r="AN204">
        <v>320.09934746825496</v>
      </c>
      <c r="AO204">
        <v>29.410809968309884</v>
      </c>
      <c r="AP204">
        <v>89.976571818296492</v>
      </c>
      <c r="AQ204">
        <v>218.61212939759994</v>
      </c>
      <c r="AR204">
        <v>29.752102156602753</v>
      </c>
      <c r="AS204">
        <v>272.69675191689214</v>
      </c>
      <c r="AT204">
        <v>13.995181188435071</v>
      </c>
      <c r="AU204">
        <v>71.906224730896668</v>
      </c>
      <c r="AV204"/>
      <c r="AW204"/>
      <c r="AX204" s="146"/>
      <c r="AY204" s="76" t="str">
        <f t="shared" ca="1" si="171"/>
        <v/>
      </c>
      <c r="AZ204"/>
      <c r="BA204" s="129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 s="147"/>
      <c r="CH204" s="176"/>
      <c r="CJ204" s="146"/>
      <c r="CK204" s="76" t="str">
        <f t="shared" ca="1" si="206"/>
        <v/>
      </c>
      <c r="CL204" s="179" t="str">
        <f t="shared" si="207"/>
        <v/>
      </c>
      <c r="CM204" s="180" t="str">
        <f t="shared" si="208"/>
        <v/>
      </c>
      <c r="CN204"/>
      <c r="CO204"/>
      <c r="CP204"/>
      <c r="CQ204"/>
      <c r="CR204"/>
      <c r="CS204"/>
      <c r="CT204"/>
      <c r="CU204"/>
      <c r="CV204" s="160"/>
      <c r="CW204"/>
      <c r="CX204"/>
      <c r="CY204" s="166"/>
      <c r="CZ204" s="177" t="str">
        <f t="shared" si="209"/>
        <v/>
      </c>
      <c r="DB204" s="146"/>
      <c r="DC204" s="76" t="str">
        <f t="shared" ca="1" si="172"/>
        <v/>
      </c>
      <c r="DD204" t="str">
        <f t="shared" si="210"/>
        <v/>
      </c>
      <c r="DE204" s="129" t="str">
        <f t="shared" si="335"/>
        <v/>
      </c>
      <c r="DF204" s="161" t="str">
        <f t="shared" si="282"/>
        <v/>
      </c>
      <c r="DG204" s="161" t="str">
        <f t="shared" si="283"/>
        <v/>
      </c>
      <c r="DH204" s="161" t="str">
        <f t="shared" si="284"/>
        <v/>
      </c>
      <c r="DI204" s="161" t="str">
        <f t="shared" si="285"/>
        <v/>
      </c>
      <c r="DJ204" s="161" t="str">
        <f t="shared" si="286"/>
        <v/>
      </c>
      <c r="DK204" s="161" t="str">
        <f t="shared" si="287"/>
        <v/>
      </c>
      <c r="DL204" s="161" t="str">
        <f t="shared" si="288"/>
        <v/>
      </c>
      <c r="DM204" s="161" t="str">
        <f t="shared" si="289"/>
        <v/>
      </c>
      <c r="DN204" s="161" t="str">
        <f t="shared" si="312"/>
        <v/>
      </c>
      <c r="DO204" s="161" t="str">
        <f t="shared" si="313"/>
        <v/>
      </c>
      <c r="DP204" s="161" t="str">
        <f t="shared" si="314"/>
        <v/>
      </c>
      <c r="DQ204" s="161" t="str">
        <f t="shared" si="315"/>
        <v/>
      </c>
      <c r="DR204" s="161" t="str">
        <f t="shared" si="316"/>
        <v/>
      </c>
      <c r="DS204" s="161" t="str">
        <f t="shared" si="317"/>
        <v/>
      </c>
      <c r="DT204" s="161" t="str">
        <f t="shared" si="318"/>
        <v/>
      </c>
      <c r="DU204" s="161" t="str">
        <f t="shared" si="319"/>
        <v/>
      </c>
      <c r="DV204" s="161" t="str">
        <f t="shared" si="320"/>
        <v/>
      </c>
      <c r="DW204" s="161" t="str">
        <f t="shared" si="321"/>
        <v/>
      </c>
      <c r="DX204" s="161" t="str">
        <f t="shared" si="322"/>
        <v/>
      </c>
      <c r="DY204" s="161" t="str">
        <f t="shared" si="323"/>
        <v/>
      </c>
      <c r="DZ204" s="161" t="str">
        <f t="shared" si="324"/>
        <v/>
      </c>
      <c r="EA204" s="161" t="str">
        <f t="shared" si="325"/>
        <v/>
      </c>
      <c r="EB204" s="161" t="str">
        <f t="shared" si="326"/>
        <v/>
      </c>
      <c r="EC204" s="161" t="str">
        <f t="shared" si="327"/>
        <v/>
      </c>
      <c r="ED204" s="161" t="str">
        <f t="shared" si="328"/>
        <v/>
      </c>
      <c r="EE204" s="161" t="str">
        <f t="shared" si="329"/>
        <v/>
      </c>
      <c r="EF204" s="161" t="str">
        <f t="shared" si="330"/>
        <v/>
      </c>
      <c r="EG204" s="161" t="str">
        <f t="shared" si="331"/>
        <v/>
      </c>
      <c r="EH204" s="161" t="str">
        <f t="shared" si="332"/>
        <v/>
      </c>
      <c r="EI204" s="161" t="str">
        <f t="shared" si="333"/>
        <v/>
      </c>
      <c r="EJ204" s="161" t="str">
        <f t="shared" si="334"/>
        <v/>
      </c>
      <c r="EK204" s="147" t="str">
        <f t="shared" si="248"/>
        <v/>
      </c>
      <c r="EL204" s="149"/>
      <c r="EN204" s="146"/>
      <c r="EO204" s="146"/>
      <c r="EP204" s="139" t="str">
        <f t="shared" si="249"/>
        <v/>
      </c>
      <c r="EQ204" s="139" t="str">
        <f t="shared" si="250"/>
        <v/>
      </c>
      <c r="ER204" s="139" t="str">
        <f t="shared" si="251"/>
        <v/>
      </c>
      <c r="ES204" s="139" t="str">
        <f t="shared" si="252"/>
        <v/>
      </c>
      <c r="ET204" s="139" t="str">
        <f t="shared" si="253"/>
        <v/>
      </c>
      <c r="EU204" s="139" t="str">
        <f t="shared" si="254"/>
        <v/>
      </c>
      <c r="EV204" s="139" t="str">
        <f t="shared" si="255"/>
        <v/>
      </c>
      <c r="EW204" s="139" t="str">
        <f t="shared" si="256"/>
        <v/>
      </c>
      <c r="EX204" s="139" t="str">
        <f t="shared" si="257"/>
        <v/>
      </c>
      <c r="EY204" s="139" t="str">
        <f t="shared" si="258"/>
        <v/>
      </c>
      <c r="EZ204" s="139" t="str">
        <f t="shared" si="259"/>
        <v/>
      </c>
      <c r="FA204" s="139" t="str">
        <f t="shared" si="260"/>
        <v/>
      </c>
      <c r="FB204" s="139" t="str">
        <f t="shared" si="261"/>
        <v/>
      </c>
      <c r="FC204" s="139" t="str">
        <f t="shared" si="262"/>
        <v/>
      </c>
      <c r="FD204" s="139" t="str">
        <f t="shared" si="263"/>
        <v/>
      </c>
      <c r="FE204" s="139" t="str">
        <f t="shared" si="264"/>
        <v/>
      </c>
      <c r="FF204" s="139" t="str">
        <f t="shared" si="265"/>
        <v/>
      </c>
      <c r="FG204" s="139" t="str">
        <f t="shared" si="266"/>
        <v/>
      </c>
      <c r="FH204" s="139" t="str">
        <f t="shared" si="267"/>
        <v/>
      </c>
      <c r="FI204" s="139" t="str">
        <f t="shared" si="268"/>
        <v/>
      </c>
      <c r="FJ204" s="139" t="str">
        <f t="shared" si="269"/>
        <v/>
      </c>
      <c r="FK204" s="139" t="str">
        <f t="shared" si="270"/>
        <v/>
      </c>
      <c r="FL204" s="139" t="str">
        <f t="shared" si="271"/>
        <v/>
      </c>
      <c r="FM204" s="139" t="str">
        <f t="shared" si="272"/>
        <v/>
      </c>
      <c r="FN204" s="139" t="str">
        <f t="shared" si="273"/>
        <v/>
      </c>
      <c r="FO204" s="139" t="str">
        <f t="shared" si="274"/>
        <v/>
      </c>
      <c r="FP204" s="139" t="str">
        <f t="shared" si="275"/>
        <v/>
      </c>
      <c r="FQ204" s="139" t="str">
        <f t="shared" si="276"/>
        <v/>
      </c>
      <c r="FR204" s="139" t="str">
        <f t="shared" si="277"/>
        <v/>
      </c>
      <c r="FS204" s="139" t="str">
        <f t="shared" si="278"/>
        <v/>
      </c>
      <c r="FT204" s="139" t="str">
        <f t="shared" si="279"/>
        <v/>
      </c>
      <c r="FU204" s="148" t="str">
        <f t="shared" si="280"/>
        <v/>
      </c>
      <c r="FV204" s="149"/>
      <c r="FY204" s="213">
        <v>199</v>
      </c>
      <c r="FZ204">
        <v>69.751495224586264</v>
      </c>
      <c r="GA204">
        <v>80.751730580793762</v>
      </c>
      <c r="GB204">
        <v>15.924929399191489</v>
      </c>
      <c r="GC204">
        <v>7.7385328644095122</v>
      </c>
      <c r="GD204">
        <v>6.8224407218803096</v>
      </c>
      <c r="GE204">
        <v>5.5512218262125375</v>
      </c>
      <c r="GF204">
        <v>13.60866328826531</v>
      </c>
      <c r="GG204">
        <v>13.415076927505394</v>
      </c>
      <c r="GH204">
        <v>19.962597648870542</v>
      </c>
      <c r="GI204">
        <v>24.438574937554989</v>
      </c>
      <c r="GJ204"/>
      <c r="GK204"/>
      <c r="GL204"/>
      <c r="GM204"/>
      <c r="GN204" s="208"/>
      <c r="GO204" s="208"/>
      <c r="GP204" s="208"/>
      <c r="GQ204" s="208"/>
      <c r="GR204" s="208"/>
      <c r="GS204" s="208"/>
      <c r="GT204" s="208"/>
      <c r="GU204" s="213">
        <v>199</v>
      </c>
    </row>
    <row r="205" spans="1:203" s="7" customFormat="1">
      <c r="A205" s="1"/>
      <c r="B205" s="76" t="str">
        <f ca="1">IF(C205="", "", RAND())</f>
        <v/>
      </c>
      <c r="C205" t="s">
        <v>104</v>
      </c>
      <c r="D205" t="s">
        <v>104</v>
      </c>
      <c r="E205" t="s">
        <v>104</v>
      </c>
      <c r="F205" t="s">
        <v>104</v>
      </c>
      <c r="G205" t="s">
        <v>104</v>
      </c>
      <c r="H205" t="s">
        <v>104</v>
      </c>
      <c r="I205" t="s">
        <v>104</v>
      </c>
      <c r="J205" t="s">
        <v>104</v>
      </c>
      <c r="K205" t="s">
        <v>104</v>
      </c>
      <c r="L205" t="s">
        <v>104</v>
      </c>
      <c r="M205" t="s">
        <v>104</v>
      </c>
      <c r="N205" t="s">
        <v>104</v>
      </c>
      <c r="O205" t="s">
        <v>104</v>
      </c>
      <c r="P205" t="s">
        <v>104</v>
      </c>
      <c r="Q205" t="s">
        <v>104</v>
      </c>
      <c r="R205" t="s">
        <v>104</v>
      </c>
      <c r="S205" t="s">
        <v>104</v>
      </c>
      <c r="T205" t="s">
        <v>104</v>
      </c>
      <c r="U205" t="s">
        <v>104</v>
      </c>
      <c r="V205" t="s">
        <v>104</v>
      </c>
      <c r="W205" t="s">
        <v>104</v>
      </c>
      <c r="X205" t="s">
        <v>104</v>
      </c>
      <c r="Y205" t="s">
        <v>104</v>
      </c>
      <c r="Z205" t="s">
        <v>104</v>
      </c>
      <c r="AA205" t="s">
        <v>104</v>
      </c>
      <c r="AB205" t="s">
        <v>104</v>
      </c>
      <c r="AC205" t="s">
        <v>104</v>
      </c>
      <c r="AD205" t="s">
        <v>104</v>
      </c>
      <c r="AE205" t="s">
        <v>104</v>
      </c>
      <c r="AF205" t="s">
        <v>104</v>
      </c>
      <c r="AG205" t="s">
        <v>104</v>
      </c>
      <c r="AH205" t="s">
        <v>104</v>
      </c>
      <c r="AI205" t="s">
        <v>104</v>
      </c>
      <c r="AJ205" s="2"/>
      <c r="AK205" s="80"/>
      <c r="AL205" s="74"/>
      <c r="AM205" s="43">
        <v>189</v>
      </c>
      <c r="AN205">
        <v>312.25690829351294</v>
      </c>
      <c r="AO205">
        <v>24.246575138324054</v>
      </c>
      <c r="AP205">
        <v>83.506375746191054</v>
      </c>
      <c r="AQ205">
        <v>170.44493980871982</v>
      </c>
      <c r="AR205">
        <v>25.532926579755788</v>
      </c>
      <c r="AS205">
        <v>229.47468309179624</v>
      </c>
      <c r="AT205">
        <v>11.192549747610395</v>
      </c>
      <c r="AU205">
        <v>66.741239470664851</v>
      </c>
      <c r="AV205"/>
      <c r="AW205"/>
      <c r="AX205" s="146"/>
      <c r="AY205" s="76" t="str">
        <f t="shared" ca="1" si="171"/>
        <v/>
      </c>
      <c r="AZ205"/>
      <c r="BA205" s="129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 s="147"/>
      <c r="CH205" s="176"/>
      <c r="CJ205" s="146"/>
      <c r="CK205" s="76" t="str">
        <f t="shared" ca="1" si="206"/>
        <v/>
      </c>
      <c r="CL205" s="179" t="str">
        <f t="shared" si="207"/>
        <v/>
      </c>
      <c r="CM205" s="180" t="str">
        <f t="shared" si="208"/>
        <v/>
      </c>
      <c r="CN205"/>
      <c r="CO205"/>
      <c r="CP205"/>
      <c r="CQ205"/>
      <c r="CR205"/>
      <c r="CS205"/>
      <c r="CT205"/>
      <c r="CU205"/>
      <c r="CV205" s="160"/>
      <c r="CW205"/>
      <c r="CX205"/>
      <c r="CY205" s="166"/>
      <c r="CZ205" s="177" t="str">
        <f t="shared" si="209"/>
        <v/>
      </c>
      <c r="DB205" s="146"/>
      <c r="DC205" s="76" t="str">
        <f t="shared" ca="1" si="172"/>
        <v/>
      </c>
      <c r="DD205" t="str">
        <f t="shared" si="210"/>
        <v/>
      </c>
      <c r="DE205" s="129" t="str">
        <f t="shared" si="335"/>
        <v/>
      </c>
      <c r="DF205" s="161" t="str">
        <f t="shared" si="282"/>
        <v/>
      </c>
      <c r="DG205" s="161" t="str">
        <f t="shared" si="283"/>
        <v/>
      </c>
      <c r="DH205" s="161" t="str">
        <f t="shared" si="284"/>
        <v/>
      </c>
      <c r="DI205" s="161" t="str">
        <f t="shared" si="285"/>
        <v/>
      </c>
      <c r="DJ205" s="161" t="str">
        <f t="shared" si="286"/>
        <v/>
      </c>
      <c r="DK205" s="161" t="str">
        <f t="shared" si="287"/>
        <v/>
      </c>
      <c r="DL205" s="161" t="str">
        <f t="shared" si="288"/>
        <v/>
      </c>
      <c r="DM205" s="161" t="str">
        <f t="shared" si="289"/>
        <v/>
      </c>
      <c r="DN205" s="161" t="str">
        <f t="shared" si="312"/>
        <v/>
      </c>
      <c r="DO205" s="161" t="str">
        <f t="shared" si="313"/>
        <v/>
      </c>
      <c r="DP205" s="161" t="str">
        <f t="shared" si="314"/>
        <v/>
      </c>
      <c r="DQ205" s="161" t="str">
        <f t="shared" si="315"/>
        <v/>
      </c>
      <c r="DR205" s="161" t="str">
        <f t="shared" si="316"/>
        <v/>
      </c>
      <c r="DS205" s="161" t="str">
        <f t="shared" si="317"/>
        <v/>
      </c>
      <c r="DT205" s="161" t="str">
        <f t="shared" si="318"/>
        <v/>
      </c>
      <c r="DU205" s="161" t="str">
        <f t="shared" si="319"/>
        <v/>
      </c>
      <c r="DV205" s="161" t="str">
        <f t="shared" si="320"/>
        <v/>
      </c>
      <c r="DW205" s="161" t="str">
        <f t="shared" si="321"/>
        <v/>
      </c>
      <c r="DX205" s="161" t="str">
        <f t="shared" si="322"/>
        <v/>
      </c>
      <c r="DY205" s="161" t="str">
        <f t="shared" si="323"/>
        <v/>
      </c>
      <c r="DZ205" s="161" t="str">
        <f t="shared" si="324"/>
        <v/>
      </c>
      <c r="EA205" s="161" t="str">
        <f t="shared" si="325"/>
        <v/>
      </c>
      <c r="EB205" s="161" t="str">
        <f t="shared" si="326"/>
        <v/>
      </c>
      <c r="EC205" s="161" t="str">
        <f t="shared" si="327"/>
        <v/>
      </c>
      <c r="ED205" s="161" t="str">
        <f t="shared" si="328"/>
        <v/>
      </c>
      <c r="EE205" s="161" t="str">
        <f t="shared" si="329"/>
        <v/>
      </c>
      <c r="EF205" s="161" t="str">
        <f t="shared" si="330"/>
        <v/>
      </c>
      <c r="EG205" s="161" t="str">
        <f t="shared" si="331"/>
        <v/>
      </c>
      <c r="EH205" s="161" t="str">
        <f t="shared" si="332"/>
        <v/>
      </c>
      <c r="EI205" s="161" t="str">
        <f t="shared" si="333"/>
        <v/>
      </c>
      <c r="EJ205" s="161" t="str">
        <f t="shared" si="334"/>
        <v/>
      </c>
      <c r="EK205" s="147" t="str">
        <f t="shared" si="248"/>
        <v/>
      </c>
      <c r="EL205" s="149"/>
      <c r="EN205" s="146"/>
      <c r="EO205" s="146"/>
      <c r="EP205" s="139" t="str">
        <f t="shared" si="249"/>
        <v/>
      </c>
      <c r="EQ205" s="139" t="str">
        <f t="shared" si="250"/>
        <v/>
      </c>
      <c r="ER205" s="139" t="str">
        <f t="shared" si="251"/>
        <v/>
      </c>
      <c r="ES205" s="139" t="str">
        <f t="shared" si="252"/>
        <v/>
      </c>
      <c r="ET205" s="139" t="str">
        <f t="shared" si="253"/>
        <v/>
      </c>
      <c r="EU205" s="139" t="str">
        <f t="shared" si="254"/>
        <v/>
      </c>
      <c r="EV205" s="139" t="str">
        <f t="shared" si="255"/>
        <v/>
      </c>
      <c r="EW205" s="139" t="str">
        <f t="shared" si="256"/>
        <v/>
      </c>
      <c r="EX205" s="139" t="str">
        <f t="shared" si="257"/>
        <v/>
      </c>
      <c r="EY205" s="139" t="str">
        <f t="shared" si="258"/>
        <v/>
      </c>
      <c r="EZ205" s="139" t="str">
        <f t="shared" si="259"/>
        <v/>
      </c>
      <c r="FA205" s="139" t="str">
        <f t="shared" si="260"/>
        <v/>
      </c>
      <c r="FB205" s="139" t="str">
        <f t="shared" si="261"/>
        <v/>
      </c>
      <c r="FC205" s="139" t="str">
        <f t="shared" si="262"/>
        <v/>
      </c>
      <c r="FD205" s="139" t="str">
        <f t="shared" si="263"/>
        <v/>
      </c>
      <c r="FE205" s="139" t="str">
        <f t="shared" si="264"/>
        <v/>
      </c>
      <c r="FF205" s="139" t="str">
        <f t="shared" si="265"/>
        <v/>
      </c>
      <c r="FG205" s="139" t="str">
        <f t="shared" si="266"/>
        <v/>
      </c>
      <c r="FH205" s="139" t="str">
        <f t="shared" si="267"/>
        <v/>
      </c>
      <c r="FI205" s="139" t="str">
        <f t="shared" si="268"/>
        <v/>
      </c>
      <c r="FJ205" s="139" t="str">
        <f t="shared" si="269"/>
        <v/>
      </c>
      <c r="FK205" s="139" t="str">
        <f t="shared" si="270"/>
        <v/>
      </c>
      <c r="FL205" s="139" t="str">
        <f t="shared" si="271"/>
        <v/>
      </c>
      <c r="FM205" s="139" t="str">
        <f t="shared" si="272"/>
        <v/>
      </c>
      <c r="FN205" s="139" t="str">
        <f t="shared" si="273"/>
        <v/>
      </c>
      <c r="FO205" s="139" t="str">
        <f t="shared" si="274"/>
        <v/>
      </c>
      <c r="FP205" s="139" t="str">
        <f t="shared" si="275"/>
        <v/>
      </c>
      <c r="FQ205" s="139" t="str">
        <f t="shared" si="276"/>
        <v/>
      </c>
      <c r="FR205" s="139" t="str">
        <f t="shared" si="277"/>
        <v/>
      </c>
      <c r="FS205" s="139" t="str">
        <f t="shared" si="278"/>
        <v/>
      </c>
      <c r="FT205" s="139" t="str">
        <f t="shared" si="279"/>
        <v/>
      </c>
      <c r="FU205" s="148" t="str">
        <f t="shared" si="280"/>
        <v/>
      </c>
      <c r="FV205" s="149"/>
      <c r="FY205" s="213">
        <v>200</v>
      </c>
      <c r="FZ205">
        <v>43.287683997549948</v>
      </c>
      <c r="GA205">
        <v>63.961014015385203</v>
      </c>
      <c r="GB205">
        <v>14.59590410611013</v>
      </c>
      <c r="GC205">
        <v>4.945229435385107</v>
      </c>
      <c r="GD205">
        <v>4.5438548073690423</v>
      </c>
      <c r="GE205">
        <v>3.268284733162905</v>
      </c>
      <c r="GF205">
        <v>14.836834017316267</v>
      </c>
      <c r="GG205">
        <v>15.047404300980624</v>
      </c>
      <c r="GH205">
        <v>6.6774110918769614</v>
      </c>
      <c r="GI205">
        <v>17.056108057653269</v>
      </c>
      <c r="GJ205"/>
      <c r="GK205"/>
      <c r="GL205"/>
      <c r="GM205"/>
      <c r="GN205" s="208"/>
      <c r="GO205" s="208"/>
      <c r="GP205" s="208"/>
      <c r="GQ205" s="208"/>
      <c r="GR205" s="208"/>
      <c r="GS205" s="208"/>
      <c r="GT205" s="208"/>
      <c r="GU205" s="213">
        <v>200</v>
      </c>
    </row>
    <row r="206" spans="1:203" s="7" customFormat="1">
      <c r="A206" s="1"/>
      <c r="B206" s="76" t="str">
        <f ca="1">IF(C206="", "", RAND())</f>
        <v/>
      </c>
      <c r="C206" t="s">
        <v>104</v>
      </c>
      <c r="D206" t="s">
        <v>104</v>
      </c>
      <c r="E206" t="s">
        <v>104</v>
      </c>
      <c r="F206" t="s">
        <v>104</v>
      </c>
      <c r="G206" t="s">
        <v>104</v>
      </c>
      <c r="H206" t="s">
        <v>104</v>
      </c>
      <c r="I206" t="s">
        <v>104</v>
      </c>
      <c r="J206" t="s">
        <v>104</v>
      </c>
      <c r="K206" t="s">
        <v>104</v>
      </c>
      <c r="L206" t="s">
        <v>104</v>
      </c>
      <c r="M206" t="s">
        <v>104</v>
      </c>
      <c r="N206" t="s">
        <v>104</v>
      </c>
      <c r="O206" t="s">
        <v>104</v>
      </c>
      <c r="P206" t="s">
        <v>104</v>
      </c>
      <c r="Q206" t="s">
        <v>104</v>
      </c>
      <c r="R206" t="s">
        <v>104</v>
      </c>
      <c r="S206" t="s">
        <v>104</v>
      </c>
      <c r="T206" t="s">
        <v>104</v>
      </c>
      <c r="U206" t="s">
        <v>104</v>
      </c>
      <c r="V206" t="s">
        <v>104</v>
      </c>
      <c r="W206" t="s">
        <v>104</v>
      </c>
      <c r="X206" t="s">
        <v>104</v>
      </c>
      <c r="Y206" t="s">
        <v>104</v>
      </c>
      <c r="Z206" t="s">
        <v>104</v>
      </c>
      <c r="AA206" t="s">
        <v>104</v>
      </c>
      <c r="AB206" t="s">
        <v>104</v>
      </c>
      <c r="AC206" t="s">
        <v>104</v>
      </c>
      <c r="AD206" t="s">
        <v>104</v>
      </c>
      <c r="AE206" t="s">
        <v>104</v>
      </c>
      <c r="AF206" t="s">
        <v>104</v>
      </c>
      <c r="AG206" t="s">
        <v>104</v>
      </c>
      <c r="AH206" t="s">
        <v>104</v>
      </c>
      <c r="AI206" t="s">
        <v>104</v>
      </c>
      <c r="AJ206" s="2"/>
      <c r="AK206" s="80"/>
      <c r="AL206" s="74"/>
      <c r="AM206" s="43">
        <v>190</v>
      </c>
      <c r="AN206">
        <v>262.31920614744735</v>
      </c>
      <c r="AO206">
        <v>19.447947518921065</v>
      </c>
      <c r="AP206">
        <v>73.406620688126083</v>
      </c>
      <c r="AQ206">
        <v>133.68886639849003</v>
      </c>
      <c r="AR206">
        <v>21.308664335555338</v>
      </c>
      <c r="AS206">
        <v>204.18153313193852</v>
      </c>
      <c r="AT206">
        <v>10.023298054735582</v>
      </c>
      <c r="AU206">
        <v>21.437987821074902</v>
      </c>
      <c r="AV206"/>
      <c r="AW206"/>
      <c r="AX206" s="146"/>
      <c r="AY206" s="76" t="str">
        <f t="shared" ca="1" si="171"/>
        <v/>
      </c>
      <c r="AZ206"/>
      <c r="BA206" s="129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 s="147"/>
      <c r="CH206" s="176"/>
      <c r="CJ206" s="146"/>
      <c r="CK206" s="76" t="str">
        <f t="shared" ca="1" si="206"/>
        <v/>
      </c>
      <c r="CL206" s="179" t="str">
        <f t="shared" si="207"/>
        <v/>
      </c>
      <c r="CM206" s="180" t="str">
        <f t="shared" si="208"/>
        <v/>
      </c>
      <c r="CN206"/>
      <c r="CO206"/>
      <c r="CP206"/>
      <c r="CQ206"/>
      <c r="CR206"/>
      <c r="CS206"/>
      <c r="CT206"/>
      <c r="CU206"/>
      <c r="CV206" s="160"/>
      <c r="CW206"/>
      <c r="CX206"/>
      <c r="CY206" s="166"/>
      <c r="CZ206" s="177" t="str">
        <f t="shared" si="209"/>
        <v/>
      </c>
      <c r="DB206" s="146"/>
      <c r="DC206" s="76" t="str">
        <f t="shared" ca="1" si="172"/>
        <v/>
      </c>
      <c r="DD206" t="str">
        <f t="shared" si="210"/>
        <v/>
      </c>
      <c r="DE206" s="129" t="str">
        <f t="shared" si="335"/>
        <v/>
      </c>
      <c r="DF206" s="161" t="str">
        <f t="shared" si="282"/>
        <v/>
      </c>
      <c r="DG206" s="161" t="str">
        <f t="shared" si="283"/>
        <v/>
      </c>
      <c r="DH206" s="161" t="str">
        <f t="shared" si="284"/>
        <v/>
      </c>
      <c r="DI206" s="161" t="str">
        <f t="shared" si="285"/>
        <v/>
      </c>
      <c r="DJ206" s="161" t="str">
        <f t="shared" si="286"/>
        <v/>
      </c>
      <c r="DK206" s="161" t="str">
        <f t="shared" si="287"/>
        <v/>
      </c>
      <c r="DL206" s="161" t="str">
        <f t="shared" si="288"/>
        <v/>
      </c>
      <c r="DM206" s="161" t="str">
        <f t="shared" si="289"/>
        <v/>
      </c>
      <c r="DN206" s="161" t="str">
        <f t="shared" si="312"/>
        <v/>
      </c>
      <c r="DO206" s="161" t="str">
        <f t="shared" si="313"/>
        <v/>
      </c>
      <c r="DP206" s="161" t="str">
        <f t="shared" si="314"/>
        <v/>
      </c>
      <c r="DQ206" s="161" t="str">
        <f t="shared" si="315"/>
        <v/>
      </c>
      <c r="DR206" s="161" t="str">
        <f t="shared" si="316"/>
        <v/>
      </c>
      <c r="DS206" s="161" t="str">
        <f t="shared" si="317"/>
        <v/>
      </c>
      <c r="DT206" s="161" t="str">
        <f t="shared" si="318"/>
        <v/>
      </c>
      <c r="DU206" s="161" t="str">
        <f t="shared" si="319"/>
        <v/>
      </c>
      <c r="DV206" s="161" t="str">
        <f t="shared" si="320"/>
        <v/>
      </c>
      <c r="DW206" s="161" t="str">
        <f t="shared" si="321"/>
        <v/>
      </c>
      <c r="DX206" s="161" t="str">
        <f t="shared" si="322"/>
        <v/>
      </c>
      <c r="DY206" s="161" t="str">
        <f t="shared" si="323"/>
        <v/>
      </c>
      <c r="DZ206" s="161" t="str">
        <f t="shared" si="324"/>
        <v/>
      </c>
      <c r="EA206" s="161" t="str">
        <f t="shared" si="325"/>
        <v/>
      </c>
      <c r="EB206" s="161" t="str">
        <f t="shared" si="326"/>
        <v/>
      </c>
      <c r="EC206" s="161" t="str">
        <f t="shared" si="327"/>
        <v/>
      </c>
      <c r="ED206" s="161" t="str">
        <f t="shared" si="328"/>
        <v/>
      </c>
      <c r="EE206" s="161" t="str">
        <f t="shared" si="329"/>
        <v/>
      </c>
      <c r="EF206" s="161" t="str">
        <f t="shared" si="330"/>
        <v/>
      </c>
      <c r="EG206" s="161" t="str">
        <f t="shared" si="331"/>
        <v/>
      </c>
      <c r="EH206" s="161" t="str">
        <f t="shared" si="332"/>
        <v/>
      </c>
      <c r="EI206" s="161" t="str">
        <f t="shared" si="333"/>
        <v/>
      </c>
      <c r="EJ206" s="161" t="str">
        <f t="shared" si="334"/>
        <v/>
      </c>
      <c r="EK206" s="147" t="str">
        <f t="shared" si="248"/>
        <v/>
      </c>
      <c r="EL206" s="149"/>
      <c r="EN206" s="146"/>
      <c r="EO206" s="146"/>
      <c r="EP206" s="139" t="str">
        <f t="shared" si="249"/>
        <v/>
      </c>
      <c r="EQ206" s="139" t="str">
        <f t="shared" si="250"/>
        <v/>
      </c>
      <c r="ER206" s="139" t="str">
        <f t="shared" si="251"/>
        <v/>
      </c>
      <c r="ES206" s="139" t="str">
        <f t="shared" si="252"/>
        <v/>
      </c>
      <c r="ET206" s="139" t="str">
        <f t="shared" si="253"/>
        <v/>
      </c>
      <c r="EU206" s="139" t="str">
        <f t="shared" si="254"/>
        <v/>
      </c>
      <c r="EV206" s="139" t="str">
        <f t="shared" si="255"/>
        <v/>
      </c>
      <c r="EW206" s="139" t="str">
        <f t="shared" si="256"/>
        <v/>
      </c>
      <c r="EX206" s="139" t="str">
        <f t="shared" si="257"/>
        <v/>
      </c>
      <c r="EY206" s="139" t="str">
        <f t="shared" si="258"/>
        <v/>
      </c>
      <c r="EZ206" s="139" t="str">
        <f t="shared" si="259"/>
        <v/>
      </c>
      <c r="FA206" s="139" t="str">
        <f t="shared" si="260"/>
        <v/>
      </c>
      <c r="FB206" s="139" t="str">
        <f t="shared" si="261"/>
        <v/>
      </c>
      <c r="FC206" s="139" t="str">
        <f t="shared" si="262"/>
        <v/>
      </c>
      <c r="FD206" s="139" t="str">
        <f t="shared" si="263"/>
        <v/>
      </c>
      <c r="FE206" s="139" t="str">
        <f t="shared" si="264"/>
        <v/>
      </c>
      <c r="FF206" s="139" t="str">
        <f t="shared" si="265"/>
        <v/>
      </c>
      <c r="FG206" s="139" t="str">
        <f t="shared" si="266"/>
        <v/>
      </c>
      <c r="FH206" s="139" t="str">
        <f t="shared" si="267"/>
        <v/>
      </c>
      <c r="FI206" s="139" t="str">
        <f t="shared" si="268"/>
        <v/>
      </c>
      <c r="FJ206" s="139" t="str">
        <f t="shared" si="269"/>
        <v/>
      </c>
      <c r="FK206" s="139" t="str">
        <f t="shared" si="270"/>
        <v/>
      </c>
      <c r="FL206" s="139" t="str">
        <f t="shared" si="271"/>
        <v/>
      </c>
      <c r="FM206" s="139" t="str">
        <f t="shared" si="272"/>
        <v/>
      </c>
      <c r="FN206" s="139" t="str">
        <f t="shared" si="273"/>
        <v/>
      </c>
      <c r="FO206" s="139" t="str">
        <f t="shared" si="274"/>
        <v/>
      </c>
      <c r="FP206" s="139" t="str">
        <f t="shared" si="275"/>
        <v/>
      </c>
      <c r="FQ206" s="139" t="str">
        <f t="shared" si="276"/>
        <v/>
      </c>
      <c r="FR206" s="139" t="str">
        <f t="shared" si="277"/>
        <v/>
      </c>
      <c r="FS206" s="139" t="str">
        <f t="shared" si="278"/>
        <v/>
      </c>
      <c r="FT206" s="139" t="str">
        <f t="shared" si="279"/>
        <v/>
      </c>
      <c r="FU206" s="148" t="str">
        <f t="shared" si="280"/>
        <v/>
      </c>
      <c r="FV206" s="149"/>
      <c r="FY206" s="213">
        <v>201</v>
      </c>
      <c r="FZ206">
        <v>21.477725433669075</v>
      </c>
      <c r="GA206">
        <v>20.860875232995824</v>
      </c>
      <c r="GB206">
        <v>7.7871621128400523</v>
      </c>
      <c r="GC206">
        <v>5.1298018982287434</v>
      </c>
      <c r="GD206">
        <v>4.441536407836896</v>
      </c>
      <c r="GE206">
        <v>3.3483379477526558</v>
      </c>
      <c r="GF206">
        <v>11.090807403089164</v>
      </c>
      <c r="GG206">
        <v>12.410212467068737</v>
      </c>
      <c r="GH206">
        <v>23.639852136987596</v>
      </c>
      <c r="GI206">
        <v>13.684870457299031</v>
      </c>
      <c r="GJ206"/>
      <c r="GK206"/>
      <c r="GL206"/>
      <c r="GM206"/>
      <c r="GN206" s="208"/>
      <c r="GO206" s="208"/>
      <c r="GP206" s="208"/>
      <c r="GQ206" s="208"/>
      <c r="GR206" s="208"/>
      <c r="GS206" s="208"/>
      <c r="GT206" s="208"/>
      <c r="GU206" s="213">
        <v>201</v>
      </c>
    </row>
    <row r="207" spans="1:203" s="7" customFormat="1">
      <c r="A207" s="1"/>
      <c r="B207" s="76" t="str">
        <f ca="1">IF(C207="", "", RAND())</f>
        <v/>
      </c>
      <c r="C207" t="s">
        <v>104</v>
      </c>
      <c r="D207" t="s">
        <v>104</v>
      </c>
      <c r="E207" t="s">
        <v>104</v>
      </c>
      <c r="F207" t="s">
        <v>104</v>
      </c>
      <c r="G207" t="s">
        <v>104</v>
      </c>
      <c r="H207" t="s">
        <v>104</v>
      </c>
      <c r="I207" t="s">
        <v>104</v>
      </c>
      <c r="J207" t="s">
        <v>104</v>
      </c>
      <c r="K207" t="s">
        <v>104</v>
      </c>
      <c r="L207" t="s">
        <v>104</v>
      </c>
      <c r="M207" t="s">
        <v>104</v>
      </c>
      <c r="N207" t="s">
        <v>104</v>
      </c>
      <c r="O207" t="s">
        <v>104</v>
      </c>
      <c r="P207" t="s">
        <v>104</v>
      </c>
      <c r="Q207" t="s">
        <v>104</v>
      </c>
      <c r="R207" t="s">
        <v>104</v>
      </c>
      <c r="S207" t="s">
        <v>104</v>
      </c>
      <c r="T207" t="s">
        <v>104</v>
      </c>
      <c r="U207" t="s">
        <v>104</v>
      </c>
      <c r="V207" t="s">
        <v>104</v>
      </c>
      <c r="W207" t="s">
        <v>104</v>
      </c>
      <c r="X207" t="s">
        <v>104</v>
      </c>
      <c r="Y207" t="s">
        <v>104</v>
      </c>
      <c r="Z207" t="s">
        <v>104</v>
      </c>
      <c r="AA207" t="s">
        <v>104</v>
      </c>
      <c r="AB207" t="s">
        <v>104</v>
      </c>
      <c r="AC207" t="s">
        <v>104</v>
      </c>
      <c r="AD207" t="s">
        <v>104</v>
      </c>
      <c r="AE207" t="s">
        <v>104</v>
      </c>
      <c r="AF207" t="s">
        <v>104</v>
      </c>
      <c r="AG207" t="s">
        <v>104</v>
      </c>
      <c r="AH207" t="s">
        <v>104</v>
      </c>
      <c r="AI207" t="s">
        <v>104</v>
      </c>
      <c r="AJ207" s="2"/>
      <c r="AK207" s="80"/>
      <c r="AL207" s="74"/>
      <c r="AM207" s="43">
        <v>191</v>
      </c>
      <c r="AN207">
        <v>349.22026438612954</v>
      </c>
      <c r="AO207">
        <v>30.466156503560434</v>
      </c>
      <c r="AP207">
        <v>108.3687364736849</v>
      </c>
      <c r="AQ207">
        <v>219.86954880390024</v>
      </c>
      <c r="AR207">
        <v>30.842096458038103</v>
      </c>
      <c r="AS207">
        <v>284.2585832538179</v>
      </c>
      <c r="AT207">
        <v>14.816400011484861</v>
      </c>
      <c r="AU207">
        <v>28.283868822071639</v>
      </c>
      <c r="AV207"/>
      <c r="AW207"/>
      <c r="AX207" s="146"/>
      <c r="AY207" s="76" t="str">
        <f t="shared" ca="1" si="171"/>
        <v/>
      </c>
      <c r="AZ207"/>
      <c r="BA207" s="129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 s="147"/>
      <c r="CH207" s="176"/>
      <c r="CJ207" s="146"/>
      <c r="CK207" s="76" t="str">
        <f t="shared" ca="1" si="206"/>
        <v/>
      </c>
      <c r="CL207" s="179" t="str">
        <f t="shared" si="207"/>
        <v/>
      </c>
      <c r="CM207" s="180" t="str">
        <f t="shared" si="208"/>
        <v/>
      </c>
      <c r="CN207"/>
      <c r="CO207"/>
      <c r="CP207"/>
      <c r="CQ207"/>
      <c r="CR207"/>
      <c r="CS207"/>
      <c r="CT207"/>
      <c r="CU207"/>
      <c r="CV207" s="160"/>
      <c r="CW207"/>
      <c r="CX207"/>
      <c r="CY207" s="167"/>
      <c r="CZ207" s="177" t="str">
        <f t="shared" si="209"/>
        <v/>
      </c>
      <c r="DB207" s="146"/>
      <c r="DC207" s="76" t="str">
        <f t="shared" ca="1" si="172"/>
        <v/>
      </c>
      <c r="DD207" t="str">
        <f t="shared" si="210"/>
        <v/>
      </c>
      <c r="DE207" s="129" t="str">
        <f t="shared" si="335"/>
        <v/>
      </c>
      <c r="DF207" s="161" t="str">
        <f t="shared" si="282"/>
        <v/>
      </c>
      <c r="DG207" s="161" t="str">
        <f t="shared" si="283"/>
        <v/>
      </c>
      <c r="DH207" s="161" t="str">
        <f t="shared" si="284"/>
        <v/>
      </c>
      <c r="DI207" s="161" t="str">
        <f t="shared" si="285"/>
        <v/>
      </c>
      <c r="DJ207" s="161" t="str">
        <f t="shared" si="286"/>
        <v/>
      </c>
      <c r="DK207" s="161" t="str">
        <f t="shared" si="287"/>
        <v/>
      </c>
      <c r="DL207" s="161" t="str">
        <f t="shared" si="288"/>
        <v/>
      </c>
      <c r="DM207" s="161" t="str">
        <f t="shared" si="289"/>
        <v/>
      </c>
      <c r="DN207" s="161" t="str">
        <f t="shared" si="312"/>
        <v/>
      </c>
      <c r="DO207" s="161" t="str">
        <f t="shared" ref="DO207:EJ207" si="336">IF($AZ207="", "", (BK207*$CW207)/$CZ207)</f>
        <v/>
      </c>
      <c r="DP207" s="161" t="str">
        <f t="shared" si="336"/>
        <v/>
      </c>
      <c r="DQ207" s="161" t="str">
        <f t="shared" si="336"/>
        <v/>
      </c>
      <c r="DR207" s="161" t="str">
        <f t="shared" si="336"/>
        <v/>
      </c>
      <c r="DS207" s="161" t="str">
        <f t="shared" si="336"/>
        <v/>
      </c>
      <c r="DT207" s="161" t="str">
        <f t="shared" si="336"/>
        <v/>
      </c>
      <c r="DU207" s="161" t="str">
        <f t="shared" si="336"/>
        <v/>
      </c>
      <c r="DV207" s="161" t="str">
        <f t="shared" si="336"/>
        <v/>
      </c>
      <c r="DW207" s="161" t="str">
        <f t="shared" si="336"/>
        <v/>
      </c>
      <c r="DX207" s="161" t="str">
        <f t="shared" si="336"/>
        <v/>
      </c>
      <c r="DY207" s="161" t="str">
        <f t="shared" si="336"/>
        <v/>
      </c>
      <c r="DZ207" s="161" t="str">
        <f t="shared" si="336"/>
        <v/>
      </c>
      <c r="EA207" s="161" t="str">
        <f t="shared" si="336"/>
        <v/>
      </c>
      <c r="EB207" s="161" t="str">
        <f t="shared" si="336"/>
        <v/>
      </c>
      <c r="EC207" s="161" t="str">
        <f t="shared" si="336"/>
        <v/>
      </c>
      <c r="ED207" s="161" t="str">
        <f t="shared" si="336"/>
        <v/>
      </c>
      <c r="EE207" s="161" t="str">
        <f t="shared" si="336"/>
        <v/>
      </c>
      <c r="EF207" s="161" t="str">
        <f t="shared" si="336"/>
        <v/>
      </c>
      <c r="EG207" s="161" t="str">
        <f t="shared" si="336"/>
        <v/>
      </c>
      <c r="EH207" s="161" t="str">
        <f t="shared" si="336"/>
        <v/>
      </c>
      <c r="EI207" s="161" t="str">
        <f t="shared" si="336"/>
        <v/>
      </c>
      <c r="EJ207" s="161" t="str">
        <f t="shared" si="336"/>
        <v/>
      </c>
      <c r="EK207" s="147" t="str">
        <f t="shared" si="248"/>
        <v/>
      </c>
      <c r="EL207" s="149"/>
      <c r="EN207" s="146"/>
      <c r="EO207" s="146"/>
      <c r="EP207" s="139" t="str">
        <f t="shared" si="249"/>
        <v/>
      </c>
      <c r="EQ207" s="139" t="str">
        <f t="shared" si="250"/>
        <v/>
      </c>
      <c r="ER207" s="139" t="str">
        <f t="shared" si="251"/>
        <v/>
      </c>
      <c r="ES207" s="139" t="str">
        <f t="shared" si="252"/>
        <v/>
      </c>
      <c r="ET207" s="139" t="str">
        <f t="shared" si="253"/>
        <v/>
      </c>
      <c r="EU207" s="139" t="str">
        <f t="shared" si="254"/>
        <v/>
      </c>
      <c r="EV207" s="139" t="str">
        <f t="shared" si="255"/>
        <v/>
      </c>
      <c r="EW207" s="139" t="str">
        <f t="shared" si="256"/>
        <v/>
      </c>
      <c r="EX207" s="139" t="str">
        <f t="shared" si="257"/>
        <v/>
      </c>
      <c r="EY207" s="139" t="str">
        <f t="shared" si="258"/>
        <v/>
      </c>
      <c r="EZ207" s="139" t="str">
        <f t="shared" si="259"/>
        <v/>
      </c>
      <c r="FA207" s="139" t="str">
        <f t="shared" si="260"/>
        <v/>
      </c>
      <c r="FB207" s="139" t="str">
        <f t="shared" si="261"/>
        <v/>
      </c>
      <c r="FC207" s="139" t="str">
        <f t="shared" si="262"/>
        <v/>
      </c>
      <c r="FD207" s="139" t="str">
        <f t="shared" si="263"/>
        <v/>
      </c>
      <c r="FE207" s="139" t="str">
        <f t="shared" si="264"/>
        <v/>
      </c>
      <c r="FF207" s="139" t="str">
        <f t="shared" si="265"/>
        <v/>
      </c>
      <c r="FG207" s="139" t="str">
        <f t="shared" si="266"/>
        <v/>
      </c>
      <c r="FH207" s="139" t="str">
        <f t="shared" si="267"/>
        <v/>
      </c>
      <c r="FI207" s="139" t="str">
        <f t="shared" si="268"/>
        <v/>
      </c>
      <c r="FJ207" s="139" t="str">
        <f t="shared" si="269"/>
        <v/>
      </c>
      <c r="FK207" s="139" t="str">
        <f t="shared" si="270"/>
        <v/>
      </c>
      <c r="FL207" s="139" t="str">
        <f t="shared" si="271"/>
        <v/>
      </c>
      <c r="FM207" s="139" t="str">
        <f t="shared" si="272"/>
        <v/>
      </c>
      <c r="FN207" s="139" t="str">
        <f t="shared" si="273"/>
        <v/>
      </c>
      <c r="FO207" s="139" t="str">
        <f t="shared" si="274"/>
        <v/>
      </c>
      <c r="FP207" s="139" t="str">
        <f t="shared" si="275"/>
        <v/>
      </c>
      <c r="FQ207" s="139" t="str">
        <f t="shared" si="276"/>
        <v/>
      </c>
      <c r="FR207" s="139" t="str">
        <f t="shared" si="277"/>
        <v/>
      </c>
      <c r="FS207" s="139" t="str">
        <f t="shared" si="278"/>
        <v/>
      </c>
      <c r="FT207" s="139" t="str">
        <f t="shared" si="279"/>
        <v/>
      </c>
      <c r="FU207" s="148" t="str">
        <f t="shared" si="280"/>
        <v/>
      </c>
      <c r="FV207" s="149"/>
      <c r="FY207" s="213">
        <v>202</v>
      </c>
      <c r="FZ207">
        <v>28.30298285232427</v>
      </c>
      <c r="GA207">
        <v>31.916598558912828</v>
      </c>
      <c r="GB207">
        <v>7.5699671910968434</v>
      </c>
      <c r="GC207">
        <v>5.5444131532131111</v>
      </c>
      <c r="GD207">
        <v>4.9972332585697075</v>
      </c>
      <c r="GE207">
        <v>6.7424289327321834</v>
      </c>
      <c r="GF207">
        <v>23.023961614710277</v>
      </c>
      <c r="GG207">
        <v>19.660698967002542</v>
      </c>
      <c r="GH207">
        <v>20.6267465119378</v>
      </c>
      <c r="GI207">
        <v>16.673830372255519</v>
      </c>
      <c r="GJ207"/>
      <c r="GK207"/>
      <c r="GL207"/>
      <c r="GM207"/>
      <c r="GN207" s="208"/>
      <c r="GO207" s="208"/>
      <c r="GP207" s="208"/>
      <c r="GQ207" s="208"/>
      <c r="GR207" s="208"/>
      <c r="GS207" s="208"/>
      <c r="GT207" s="208"/>
      <c r="GU207" s="213">
        <v>202</v>
      </c>
    </row>
    <row r="208" spans="1:203" s="7" customFormat="1">
      <c r="A208" s="1"/>
      <c r="B208" s="1"/>
      <c r="C208" s="78"/>
      <c r="D208" s="79"/>
      <c r="E208" s="1"/>
      <c r="F208" s="2"/>
      <c r="G208" s="2"/>
      <c r="H208" s="3"/>
      <c r="I208" s="1"/>
      <c r="J208" s="1"/>
      <c r="K208" s="1"/>
      <c r="L208" s="1"/>
      <c r="M208" s="1"/>
      <c r="N208" s="1"/>
      <c r="O208" s="80"/>
      <c r="P208" s="80"/>
      <c r="Q208" s="80"/>
      <c r="R208" s="80"/>
      <c r="S208" s="80"/>
      <c r="T208" s="80"/>
      <c r="U208" s="80"/>
      <c r="V208" s="80"/>
      <c r="W208" s="80"/>
      <c r="X208" s="80"/>
      <c r="Y208" s="80"/>
      <c r="Z208" s="80"/>
      <c r="AA208" s="80"/>
      <c r="AB208" s="80"/>
      <c r="AC208" s="80"/>
      <c r="AD208" s="80"/>
      <c r="AE208" s="80"/>
      <c r="AF208" s="80"/>
      <c r="AG208" s="80"/>
      <c r="AH208" s="80"/>
      <c r="AI208" s="80"/>
      <c r="AJ208" s="80"/>
      <c r="AK208" s="80"/>
      <c r="AL208" s="74">
        <v>3.0028000000000028</v>
      </c>
      <c r="AM208" s="43">
        <v>192</v>
      </c>
      <c r="AN208">
        <v>216.48968648146393</v>
      </c>
      <c r="AO208">
        <v>16.475461123121669</v>
      </c>
      <c r="AP208">
        <v>63.827396196394623</v>
      </c>
      <c r="AQ208">
        <v>122.25943460329296</v>
      </c>
      <c r="AR208">
        <v>17.623558714466906</v>
      </c>
      <c r="AS208">
        <v>178.38081986241284</v>
      </c>
      <c r="AT208">
        <v>9.2634694601594809</v>
      </c>
      <c r="AU208">
        <v>35.813760758857185</v>
      </c>
      <c r="AV208"/>
      <c r="AW208"/>
      <c r="AX208" s="146"/>
      <c r="AY208" s="146"/>
      <c r="AZ208" s="152"/>
      <c r="BA208" s="153"/>
      <c r="BB208" s="146"/>
      <c r="BC208" s="147"/>
      <c r="BD208" s="147"/>
      <c r="BE208" s="148"/>
      <c r="BF208" s="146"/>
      <c r="BG208" s="146"/>
      <c r="BH208" s="146"/>
      <c r="BI208" s="146"/>
      <c r="BJ208" s="146"/>
      <c r="BK208" s="146"/>
      <c r="BL208" s="149"/>
      <c r="BM208" s="149"/>
      <c r="BN208" s="149"/>
      <c r="BO208" s="149"/>
      <c r="BP208" s="149"/>
      <c r="BQ208" s="149"/>
      <c r="BR208" s="149"/>
      <c r="BS208" s="149"/>
      <c r="BT208" s="149"/>
      <c r="BU208" s="149"/>
      <c r="BV208" s="149"/>
      <c r="BW208" s="149"/>
      <c r="BX208" s="149"/>
      <c r="BY208" s="149"/>
      <c r="BZ208" s="149"/>
      <c r="CA208" s="149"/>
      <c r="CB208" s="149"/>
      <c r="CC208" s="149"/>
      <c r="CD208" s="149"/>
      <c r="CE208" s="149"/>
      <c r="CF208" s="149"/>
      <c r="CG208" s="149"/>
      <c r="CH208" s="149"/>
      <c r="CJ208" s="146"/>
      <c r="CK208" s="146"/>
      <c r="CL208" s="152"/>
      <c r="CM208" s="153"/>
      <c r="CN208" s="146"/>
      <c r="CO208" s="147"/>
      <c r="CP208" s="147"/>
      <c r="CQ208" s="148"/>
      <c r="CR208" s="146"/>
      <c r="CS208" s="146"/>
      <c r="CT208" s="146"/>
      <c r="CU208" s="146"/>
      <c r="CW208" s="150"/>
      <c r="CX208" s="150"/>
      <c r="CZ208" s="150"/>
      <c r="DB208" s="146"/>
      <c r="DC208" s="146"/>
      <c r="DD208" s="152"/>
      <c r="DE208" s="153"/>
      <c r="DF208" s="146"/>
      <c r="DG208" s="147"/>
      <c r="DH208" s="147"/>
      <c r="DI208" s="148"/>
      <c r="DJ208" s="146"/>
      <c r="DK208" s="146"/>
      <c r="DL208" s="146"/>
      <c r="DM208" s="146"/>
      <c r="DN208" s="146"/>
      <c r="DO208" s="146"/>
      <c r="DP208" s="149"/>
      <c r="DQ208" s="149"/>
      <c r="DR208" s="149"/>
      <c r="DS208" s="149"/>
      <c r="DT208" s="149"/>
      <c r="DU208" s="149"/>
      <c r="DV208" s="149"/>
      <c r="DW208" s="149"/>
      <c r="DX208" s="149"/>
      <c r="DY208" s="149"/>
      <c r="DZ208" s="149"/>
      <c r="EA208" s="149"/>
      <c r="EB208" s="149"/>
      <c r="EC208" s="149"/>
      <c r="ED208" s="149"/>
      <c r="EE208" s="149"/>
      <c r="EF208" s="149"/>
      <c r="EG208" s="149"/>
      <c r="EH208" s="149"/>
      <c r="EI208" s="149"/>
      <c r="EJ208" s="149"/>
      <c r="EK208" s="149"/>
      <c r="EL208" s="149"/>
      <c r="EN208" s="146"/>
      <c r="EO208" s="146"/>
      <c r="EP208" s="146"/>
      <c r="EQ208" s="147"/>
      <c r="ER208" s="147"/>
      <c r="ES208" s="148"/>
      <c r="ET208" s="146"/>
      <c r="EU208" s="146"/>
      <c r="EV208" s="146"/>
      <c r="EW208" s="146"/>
      <c r="EX208" s="146"/>
      <c r="EY208" s="146"/>
      <c r="EZ208" s="149"/>
      <c r="FA208" s="149"/>
      <c r="FB208" s="149"/>
      <c r="FC208" s="149"/>
      <c r="FD208" s="149"/>
      <c r="FE208" s="149"/>
      <c r="FF208" s="149"/>
      <c r="FG208" s="149"/>
      <c r="FH208" s="149"/>
      <c r="FI208" s="149"/>
      <c r="FJ208" s="149"/>
      <c r="FK208" s="149"/>
      <c r="FL208" s="149"/>
      <c r="FM208" s="149"/>
      <c r="FN208" s="149"/>
      <c r="FO208" s="149"/>
      <c r="FP208" s="149"/>
      <c r="FQ208" s="149"/>
      <c r="FR208" s="149"/>
      <c r="FS208" s="149"/>
      <c r="FT208" s="149"/>
      <c r="FU208" s="149"/>
      <c r="FV208" s="149"/>
      <c r="FY208" s="213">
        <v>203</v>
      </c>
      <c r="FZ208">
        <v>27.366671731514998</v>
      </c>
      <c r="GA208">
        <v>12.348822606842047</v>
      </c>
      <c r="GB208">
        <v>4.3142012039679276</v>
      </c>
      <c r="GC208">
        <v>3.8718919796476934</v>
      </c>
      <c r="GD208">
        <v>3.6167645938061002</v>
      </c>
      <c r="GE208">
        <v>4.7891880999005298</v>
      </c>
      <c r="GF208">
        <v>19.927673213568863</v>
      </c>
      <c r="GG208">
        <v>19.425209403547967</v>
      </c>
      <c r="GH208">
        <v>10.237815792158802</v>
      </c>
      <c r="GI208">
        <v>12.362797341973145</v>
      </c>
      <c r="GJ208"/>
      <c r="GK208"/>
      <c r="GL208"/>
      <c r="GM208"/>
      <c r="GN208" s="208"/>
      <c r="GO208" s="208"/>
      <c r="GP208" s="208"/>
      <c r="GQ208" s="208"/>
      <c r="GR208" s="208"/>
      <c r="GS208" s="208"/>
      <c r="GT208" s="208"/>
      <c r="GU208" s="213">
        <v>203</v>
      </c>
    </row>
    <row r="209" spans="1:203" s="7" customFormat="1">
      <c r="A209" s="4"/>
      <c r="B209" s="4"/>
      <c r="C209" s="81"/>
      <c r="D209" s="82"/>
      <c r="E209" s="81"/>
      <c r="F209" s="81"/>
      <c r="G209" s="81"/>
      <c r="H209" s="81"/>
      <c r="I209" s="81"/>
      <c r="J209" s="81"/>
      <c r="K209" s="81"/>
      <c r="L209" s="81"/>
      <c r="M209" s="81"/>
      <c r="N209" s="74"/>
      <c r="O209" s="74"/>
      <c r="P209" s="74"/>
      <c r="Q209" s="74"/>
      <c r="R209" s="74"/>
      <c r="S209" s="74"/>
      <c r="T209" s="74"/>
      <c r="U209" s="74"/>
      <c r="V209" s="74"/>
      <c r="W209" s="74"/>
      <c r="X209" s="74"/>
      <c r="Y209" s="74"/>
      <c r="Z209" s="74"/>
      <c r="AA209" s="74"/>
      <c r="AB209" s="74"/>
      <c r="AC209" s="74"/>
      <c r="AD209" s="74"/>
      <c r="AE209" s="74"/>
      <c r="AF209" s="74"/>
      <c r="AG209" s="74"/>
      <c r="AH209" s="74"/>
      <c r="AI209" s="74"/>
      <c r="AJ209" s="74"/>
      <c r="AK209" s="74"/>
      <c r="AL209" s="74">
        <v>3.0028000000000028</v>
      </c>
      <c r="AM209" s="43">
        <v>193</v>
      </c>
      <c r="AN209">
        <v>284.58039065638536</v>
      </c>
      <c r="AO209">
        <v>36.340100000205219</v>
      </c>
      <c r="AP209">
        <v>92.726127680557681</v>
      </c>
      <c r="AQ209">
        <v>281.29795101713074</v>
      </c>
      <c r="AR209">
        <v>36.076469778859106</v>
      </c>
      <c r="AS209">
        <v>304.32302236937295</v>
      </c>
      <c r="AT209">
        <v>16.896408874439345</v>
      </c>
      <c r="AU209">
        <v>-10.884005396840941</v>
      </c>
      <c r="AV209"/>
      <c r="AW209"/>
      <c r="FY209" s="213">
        <v>204</v>
      </c>
      <c r="FZ209">
        <v>32.230901232029225</v>
      </c>
      <c r="GA209">
        <v>60.554906955639623</v>
      </c>
      <c r="GB209">
        <v>20.16127325397348</v>
      </c>
      <c r="GC209">
        <v>7.694685448576899</v>
      </c>
      <c r="GD209">
        <v>6.7618492792083407</v>
      </c>
      <c r="GE209">
        <v>5.9355911654375149</v>
      </c>
      <c r="GF209">
        <v>10.379968674086371</v>
      </c>
      <c r="GG209">
        <v>10.071730921689239</v>
      </c>
      <c r="GH209">
        <v>9.4799289417778372</v>
      </c>
      <c r="GI209">
        <v>17.961815997567882</v>
      </c>
      <c r="GJ209"/>
      <c r="GK209"/>
      <c r="GL209"/>
      <c r="GM209"/>
      <c r="GN209" s="208"/>
      <c r="GO209" s="208"/>
      <c r="GP209" s="208"/>
      <c r="GQ209" s="208"/>
      <c r="GR209" s="208"/>
      <c r="GS209" s="208"/>
      <c r="GT209" s="208"/>
      <c r="GU209" s="213">
        <v>204</v>
      </c>
    </row>
    <row r="210" spans="1:203" s="7" customFormat="1">
      <c r="A210" s="4"/>
      <c r="B210" s="4"/>
      <c r="C210" s="81"/>
      <c r="D210" s="82"/>
      <c r="E210" s="81"/>
      <c r="F210" s="81"/>
      <c r="G210" s="81"/>
      <c r="H210" s="81"/>
      <c r="I210" s="81"/>
      <c r="J210" s="81"/>
      <c r="K210" s="81"/>
      <c r="L210" s="81"/>
      <c r="M210" s="81"/>
      <c r="N210" s="74"/>
      <c r="O210" s="74"/>
      <c r="P210" s="74"/>
      <c r="Q210" s="74"/>
      <c r="R210" s="74"/>
      <c r="S210" s="74"/>
      <c r="T210" s="74"/>
      <c r="U210" s="74"/>
      <c r="V210" s="74"/>
      <c r="W210" s="74"/>
      <c r="X210" s="74"/>
      <c r="Y210" s="74"/>
      <c r="Z210" s="74"/>
      <c r="AA210" s="74"/>
      <c r="AB210" s="74"/>
      <c r="AC210" s="74"/>
      <c r="AD210" s="74"/>
      <c r="AE210" s="74"/>
      <c r="AF210" s="74"/>
      <c r="AG210" s="74"/>
      <c r="AH210" s="74"/>
      <c r="AI210" s="74"/>
      <c r="AJ210" s="74"/>
      <c r="AK210" s="74"/>
      <c r="AL210" s="74">
        <v>3.0028000000000028</v>
      </c>
      <c r="AM210" s="43">
        <v>194</v>
      </c>
      <c r="AN210">
        <v>361.70487107965926</v>
      </c>
      <c r="AO210">
        <v>27.241522482377253</v>
      </c>
      <c r="AP210">
        <v>95.696692059600451</v>
      </c>
      <c r="AQ210">
        <v>200.1634202828794</v>
      </c>
      <c r="AR210">
        <v>28.785594891675686</v>
      </c>
      <c r="AS210">
        <v>278.3839359670323</v>
      </c>
      <c r="AT210">
        <v>13.4035826444374</v>
      </c>
      <c r="AU210">
        <v>24.647742166282566</v>
      </c>
      <c r="AV210"/>
      <c r="AW210"/>
      <c r="FY210" s="213">
        <v>205</v>
      </c>
      <c r="FZ210">
        <v>58.789109262094364</v>
      </c>
      <c r="GA210">
        <v>46.407901251731339</v>
      </c>
      <c r="GB210">
        <v>4.8669225678688663</v>
      </c>
      <c r="GC210">
        <v>7.9353089597938</v>
      </c>
      <c r="GD210">
        <v>7.2778987496904195</v>
      </c>
      <c r="GE210">
        <v>5.1007457456241045</v>
      </c>
      <c r="GF210">
        <v>15.118753918685176</v>
      </c>
      <c r="GG210">
        <v>16.287424152831086</v>
      </c>
      <c r="GH210">
        <v>13.789920147066946</v>
      </c>
      <c r="GI210">
        <v>18.957002289437362</v>
      </c>
      <c r="GJ210"/>
      <c r="GK210"/>
      <c r="GL210"/>
      <c r="GM210"/>
      <c r="GN210" s="208"/>
      <c r="GO210" s="208"/>
      <c r="GP210" s="208"/>
      <c r="GQ210" s="208"/>
      <c r="GR210" s="208"/>
      <c r="GS210" s="208"/>
      <c r="GT210" s="208"/>
      <c r="GU210" s="213">
        <v>205</v>
      </c>
    </row>
    <row r="211" spans="1:203" s="7" customFormat="1">
      <c r="A211" s="4"/>
      <c r="B211" s="4"/>
      <c r="C211" s="81"/>
      <c r="D211" s="82"/>
      <c r="E211" s="81"/>
      <c r="F211" s="81"/>
      <c r="G211" s="81"/>
      <c r="H211" s="81"/>
      <c r="I211" s="81"/>
      <c r="J211" s="81"/>
      <c r="K211" s="81"/>
      <c r="L211" s="81"/>
      <c r="M211" s="81"/>
      <c r="N211" s="74"/>
      <c r="O211" s="74"/>
      <c r="P211" s="74"/>
      <c r="Q211" s="74"/>
      <c r="R211" s="74"/>
      <c r="S211" s="74"/>
      <c r="T211" s="74"/>
      <c r="U211" s="74"/>
      <c r="V211" s="74"/>
      <c r="W211" s="74"/>
      <c r="X211" s="74"/>
      <c r="Y211" s="74"/>
      <c r="Z211" s="74"/>
      <c r="AA211" s="74"/>
      <c r="AB211" s="74"/>
      <c r="AC211" s="74"/>
      <c r="AD211" s="74"/>
      <c r="AE211" s="74"/>
      <c r="AF211" s="74"/>
      <c r="AG211" s="74"/>
      <c r="AH211" s="74"/>
      <c r="AI211" s="74"/>
      <c r="AJ211" s="74"/>
      <c r="AK211" s="74"/>
      <c r="AL211" s="74">
        <v>3.0028000000000028</v>
      </c>
      <c r="AM211" s="43">
        <v>195</v>
      </c>
      <c r="AN211">
        <v>362.79987050155813</v>
      </c>
      <c r="AO211">
        <v>25.314261180539141</v>
      </c>
      <c r="AP211">
        <v>113.42883308548835</v>
      </c>
      <c r="AQ211">
        <v>176.86802886788468</v>
      </c>
      <c r="AR211">
        <v>26.203178521262835</v>
      </c>
      <c r="AS211">
        <v>261.03578895734364</v>
      </c>
      <c r="AT211">
        <v>12.386839062143851</v>
      </c>
      <c r="AU211">
        <v>83.038619868701247</v>
      </c>
      <c r="AV211"/>
      <c r="AW211"/>
      <c r="BA211" s="192"/>
      <c r="BB211" s="192"/>
      <c r="BC211" s="193"/>
      <c r="BD211" s="193"/>
      <c r="BE211" s="193"/>
      <c r="BF211" s="193"/>
      <c r="BG211" s="193"/>
      <c r="BH211" s="193"/>
      <c r="BI211" s="193"/>
      <c r="BJ211" s="193"/>
      <c r="BK211" s="193"/>
      <c r="BL211" s="193"/>
      <c r="BM211" s="193"/>
      <c r="BN211" s="193"/>
      <c r="BO211" s="193"/>
      <c r="BP211" s="193"/>
      <c r="BQ211" s="193"/>
      <c r="BR211" s="193"/>
      <c r="BS211" s="193"/>
      <c r="BT211" s="193"/>
      <c r="BU211" s="193"/>
      <c r="BV211" s="193"/>
      <c r="BW211" s="193"/>
      <c r="BX211" s="193"/>
      <c r="BY211" s="193"/>
      <c r="BZ211" s="193"/>
      <c r="CA211" s="193"/>
      <c r="CB211" s="193"/>
      <c r="CC211" s="193"/>
      <c r="CD211" s="193"/>
      <c r="CE211" s="193"/>
      <c r="CF211" s="193"/>
      <c r="CG211" s="194"/>
      <c r="CH211" s="194"/>
      <c r="CI211" s="194"/>
      <c r="CJ211" s="194"/>
      <c r="CK211" s="194"/>
      <c r="CL211" s="194"/>
      <c r="CM211" s="194"/>
      <c r="CN211" s="194"/>
      <c r="CO211" s="194"/>
      <c r="CP211" s="194"/>
      <c r="CQ211" s="194"/>
      <c r="CR211" s="194"/>
      <c r="CS211" s="194"/>
      <c r="CT211" s="194"/>
      <c r="CU211" s="194"/>
      <c r="DE211" s="184" t="s">
        <v>139</v>
      </c>
      <c r="DF211" s="183" t="s">
        <v>83</v>
      </c>
      <c r="DG211" s="182">
        <v>1</v>
      </c>
      <c r="DH211" s="182">
        <v>2</v>
      </c>
      <c r="DI211" s="182">
        <v>3</v>
      </c>
      <c r="DJ211" s="182">
        <v>4</v>
      </c>
      <c r="DK211" s="182">
        <v>5</v>
      </c>
      <c r="DL211" s="182">
        <v>6</v>
      </c>
      <c r="DM211" s="182">
        <v>7</v>
      </c>
      <c r="DN211" s="182">
        <v>8</v>
      </c>
      <c r="DO211" s="182">
        <v>9</v>
      </c>
      <c r="DP211" s="182">
        <v>10</v>
      </c>
      <c r="DQ211" s="182">
        <v>11</v>
      </c>
      <c r="DR211" s="182">
        <v>12</v>
      </c>
      <c r="DS211" s="182">
        <v>13</v>
      </c>
      <c r="DT211" s="182">
        <v>14</v>
      </c>
      <c r="DU211" s="182">
        <v>15</v>
      </c>
      <c r="DV211" s="182">
        <v>16</v>
      </c>
      <c r="DW211" s="182">
        <v>17</v>
      </c>
      <c r="DX211" s="182">
        <v>18</v>
      </c>
      <c r="DY211" s="182">
        <v>19</v>
      </c>
      <c r="DZ211" s="182">
        <v>20</v>
      </c>
      <c r="EA211" s="182">
        <v>21</v>
      </c>
      <c r="EB211" s="182">
        <v>22</v>
      </c>
      <c r="EC211" s="182">
        <v>23</v>
      </c>
      <c r="ED211" s="182">
        <v>24</v>
      </c>
      <c r="EE211" s="182">
        <v>25</v>
      </c>
      <c r="EF211" s="182">
        <v>26</v>
      </c>
      <c r="EG211" s="182">
        <v>27</v>
      </c>
      <c r="EH211" s="182">
        <v>28</v>
      </c>
      <c r="EI211" s="182">
        <v>29</v>
      </c>
      <c r="EJ211" s="182">
        <v>30</v>
      </c>
      <c r="FY211" s="213">
        <v>206</v>
      </c>
      <c r="FZ211">
        <v>58.918373187549193</v>
      </c>
      <c r="GA211">
        <v>71.447982396271172</v>
      </c>
      <c r="GB211">
        <v>12.30698295647468</v>
      </c>
      <c r="GC211">
        <v>9.2948377839704381</v>
      </c>
      <c r="GD211">
        <v>8.7062032498581043</v>
      </c>
      <c r="GE211">
        <v>7.5512174354515196</v>
      </c>
      <c r="GF211">
        <v>13.899595242413314</v>
      </c>
      <c r="GG211">
        <v>12.461754149410826</v>
      </c>
      <c r="GH211">
        <v>13.162066804884665</v>
      </c>
      <c r="GI211">
        <v>21.717831271391972</v>
      </c>
      <c r="GJ211"/>
      <c r="GK211"/>
      <c r="GL211"/>
      <c r="GM211"/>
      <c r="GN211" s="208"/>
      <c r="GO211" s="208"/>
      <c r="GP211" s="208"/>
      <c r="GQ211" s="208"/>
      <c r="GR211" s="208"/>
      <c r="GS211" s="208"/>
      <c r="GT211" s="208"/>
      <c r="GU211" s="213">
        <v>206</v>
      </c>
    </row>
    <row r="212" spans="1:203" s="7" customFormat="1">
      <c r="A212" s="4"/>
      <c r="B212" s="4"/>
      <c r="C212" s="4"/>
      <c r="D212" s="4"/>
      <c r="E212" s="4"/>
      <c r="F212" s="28"/>
      <c r="G212" s="28"/>
      <c r="H212" s="83"/>
      <c r="I212" s="4"/>
      <c r="J212" s="4"/>
      <c r="K212" s="4"/>
      <c r="L212" s="4"/>
      <c r="M212" s="4"/>
      <c r="N212" s="74"/>
      <c r="O212" s="74"/>
      <c r="P212" s="74"/>
      <c r="Q212" s="74"/>
      <c r="R212" s="74"/>
      <c r="S212" s="74"/>
      <c r="T212" s="74"/>
      <c r="U212" s="74"/>
      <c r="V212" s="74"/>
      <c r="W212" s="74"/>
      <c r="X212" s="74"/>
      <c r="Y212" s="74"/>
      <c r="Z212" s="74"/>
      <c r="AA212" s="74"/>
      <c r="AB212" s="74"/>
      <c r="AC212" s="74"/>
      <c r="AD212" s="74"/>
      <c r="AE212" s="74"/>
      <c r="AF212" s="74"/>
      <c r="AG212" s="74"/>
      <c r="AH212" s="74"/>
      <c r="AI212" s="74"/>
      <c r="AJ212" s="74"/>
      <c r="AK212" s="74"/>
      <c r="AL212" s="74">
        <v>3.0028000000000028</v>
      </c>
      <c r="AM212" s="43">
        <v>196</v>
      </c>
      <c r="AN212">
        <v>205.03885169456467</v>
      </c>
      <c r="AO212">
        <v>21.374973261292094</v>
      </c>
      <c r="AP212">
        <v>104.49343701781879</v>
      </c>
      <c r="AQ212">
        <v>161.68133594067373</v>
      </c>
      <c r="AR212">
        <v>20.884081043558634</v>
      </c>
      <c r="AS212">
        <v>176.45224555838041</v>
      </c>
      <c r="AT212">
        <v>10.250605173270101</v>
      </c>
      <c r="AU212">
        <v>54.716794324980569</v>
      </c>
      <c r="AV212"/>
      <c r="AW212"/>
      <c r="BA212" s="195"/>
      <c r="BB212" s="193"/>
      <c r="BC212" s="193"/>
      <c r="BD212" s="193"/>
      <c r="BE212" s="193"/>
      <c r="BF212" s="193"/>
      <c r="BG212" s="193"/>
      <c r="BH212" s="193"/>
      <c r="BI212" s="193"/>
      <c r="BJ212" s="193"/>
      <c r="BK212" s="193"/>
      <c r="BL212" s="193"/>
      <c r="BM212" s="193"/>
      <c r="BN212" s="193"/>
      <c r="BO212" s="193"/>
      <c r="BP212" s="193"/>
      <c r="BQ212" s="193"/>
      <c r="BR212" s="193"/>
      <c r="BS212" s="193"/>
      <c r="BT212" s="193"/>
      <c r="BU212" s="193"/>
      <c r="BV212" s="193"/>
      <c r="BW212" s="193"/>
      <c r="BX212" s="193"/>
      <c r="BY212" s="193"/>
      <c r="BZ212" s="193"/>
      <c r="CA212" s="193"/>
      <c r="CB212" s="193"/>
      <c r="CC212" s="193"/>
      <c r="CD212" s="193"/>
      <c r="CE212" s="193"/>
      <c r="CF212" s="193"/>
      <c r="CG212" s="194"/>
      <c r="CH212" s="194"/>
      <c r="CI212" s="194"/>
      <c r="CJ212" s="194"/>
      <c r="CK212" s="194"/>
      <c r="CL212" s="194"/>
      <c r="CM212" s="192"/>
      <c r="CN212" s="192"/>
      <c r="CO212" s="193"/>
      <c r="CP212" s="193"/>
      <c r="CQ212" s="193"/>
      <c r="CR212" s="193"/>
      <c r="CS212" s="193"/>
      <c r="CT212" s="193"/>
      <c r="CU212" s="193"/>
      <c r="DE212" s="187">
        <f>DE88</f>
        <v>39646</v>
      </c>
      <c r="DF212" s="182">
        <f t="shared" ref="DF212:EJ212" si="337">AVERAGE(DF88:DF97)</f>
        <v>0</v>
      </c>
      <c r="DG212" s="182">
        <f t="shared" ref="DG212:DQ212" si="338">AVERAGE(DG88:DG97)</f>
        <v>4.1666666666666661</v>
      </c>
      <c r="DH212" s="182">
        <f t="shared" si="338"/>
        <v>44.791666666666671</v>
      </c>
      <c r="DI212" s="182">
        <f t="shared" si="338"/>
        <v>46.875</v>
      </c>
      <c r="DJ212" s="182">
        <f t="shared" si="338"/>
        <v>11.458333333333334</v>
      </c>
      <c r="DK212" s="182">
        <f t="shared" si="338"/>
        <v>8.3333333333333339</v>
      </c>
      <c r="DL212" s="182">
        <f t="shared" si="338"/>
        <v>2.083333333333333</v>
      </c>
      <c r="DM212" s="182">
        <f t="shared" si="338"/>
        <v>4.1666666666666661</v>
      </c>
      <c r="DN212" s="182">
        <f t="shared" si="338"/>
        <v>0</v>
      </c>
      <c r="DO212" s="182">
        <f t="shared" si="338"/>
        <v>0</v>
      </c>
      <c r="DP212" s="182">
        <f t="shared" si="338"/>
        <v>1.0416666666666665</v>
      </c>
      <c r="DQ212" s="182">
        <f t="shared" si="338"/>
        <v>1.0416666666666665</v>
      </c>
      <c r="DR212" s="182">
        <f t="shared" si="337"/>
        <v>0</v>
      </c>
      <c r="DS212" s="182">
        <f t="shared" si="337"/>
        <v>0</v>
      </c>
      <c r="DT212" s="182">
        <f t="shared" si="337"/>
        <v>0</v>
      </c>
      <c r="DU212" s="182">
        <f t="shared" si="337"/>
        <v>0</v>
      </c>
      <c r="DV212" s="182">
        <f t="shared" si="337"/>
        <v>0</v>
      </c>
      <c r="DW212" s="182">
        <f t="shared" si="337"/>
        <v>0</v>
      </c>
      <c r="DX212" s="182">
        <f t="shared" si="337"/>
        <v>0</v>
      </c>
      <c r="DY212" s="182">
        <f t="shared" si="337"/>
        <v>0</v>
      </c>
      <c r="DZ212" s="182">
        <f t="shared" si="337"/>
        <v>0</v>
      </c>
      <c r="EA212" s="182">
        <f t="shared" si="337"/>
        <v>0</v>
      </c>
      <c r="EB212" s="182">
        <f t="shared" si="337"/>
        <v>0</v>
      </c>
      <c r="EC212" s="182">
        <f t="shared" si="337"/>
        <v>0</v>
      </c>
      <c r="ED212" s="182">
        <f t="shared" si="337"/>
        <v>0</v>
      </c>
      <c r="EE212" s="182">
        <f t="shared" si="337"/>
        <v>0</v>
      </c>
      <c r="EF212" s="182">
        <f t="shared" si="337"/>
        <v>0</v>
      </c>
      <c r="EG212" s="182">
        <f t="shared" si="337"/>
        <v>0</v>
      </c>
      <c r="EH212" s="182">
        <f t="shared" si="337"/>
        <v>0</v>
      </c>
      <c r="EI212" s="182">
        <f t="shared" si="337"/>
        <v>0</v>
      </c>
      <c r="EJ212" s="182">
        <f t="shared" si="337"/>
        <v>0</v>
      </c>
      <c r="FY212" s="213">
        <v>207</v>
      </c>
      <c r="FZ212">
        <v>32.95639384897374</v>
      </c>
      <c r="GA212">
        <v>47.964089068745885</v>
      </c>
      <c r="GB212">
        <v>12.975437549459976</v>
      </c>
      <c r="GC212">
        <v>7.8604467359601546</v>
      </c>
      <c r="GD212">
        <v>5.8646146653402278</v>
      </c>
      <c r="GE212">
        <v>4.866343040226865</v>
      </c>
      <c r="GF212">
        <v>21.24585209987908</v>
      </c>
      <c r="GG212">
        <v>18.263855199630999</v>
      </c>
      <c r="GH212">
        <v>13.946557908314112</v>
      </c>
      <c r="GI212">
        <v>18.06152380440107</v>
      </c>
      <c r="GJ212"/>
      <c r="GK212"/>
      <c r="GL212"/>
      <c r="GM212"/>
      <c r="GN212" s="208"/>
      <c r="GO212" s="208"/>
      <c r="GP212" s="208"/>
      <c r="GQ212" s="208"/>
      <c r="GR212" s="208"/>
      <c r="GS212" s="208"/>
      <c r="GT212" s="208"/>
      <c r="GU212" s="213">
        <v>207</v>
      </c>
    </row>
    <row r="213" spans="1:203" s="7" customFormat="1">
      <c r="A213" s="4"/>
      <c r="B213" s="4"/>
      <c r="C213" s="4"/>
      <c r="D213" s="4"/>
      <c r="E213" s="4"/>
      <c r="F213" s="28"/>
      <c r="G213" s="28"/>
      <c r="H213" s="83"/>
      <c r="I213" s="4"/>
      <c r="J213" s="4"/>
      <c r="K213" s="4"/>
      <c r="L213" s="4"/>
      <c r="M213" s="4"/>
      <c r="N213" s="74"/>
      <c r="O213" s="74"/>
      <c r="P213" s="74"/>
      <c r="Q213" s="74"/>
      <c r="R213" s="74"/>
      <c r="S213" s="74"/>
      <c r="T213" s="74"/>
      <c r="U213" s="74"/>
      <c r="V213" s="74"/>
      <c r="W213" s="74"/>
      <c r="X213" s="74"/>
      <c r="Y213" s="74"/>
      <c r="Z213" s="74"/>
      <c r="AA213" s="74"/>
      <c r="AB213" s="74"/>
      <c r="AC213" s="74"/>
      <c r="AD213" s="74"/>
      <c r="AE213" s="74"/>
      <c r="AF213" s="74"/>
      <c r="AG213" s="74"/>
      <c r="AH213" s="74"/>
      <c r="AI213" s="74"/>
      <c r="AJ213" s="74"/>
      <c r="AK213" s="74"/>
      <c r="AL213" s="74">
        <v>3.0028000000000028</v>
      </c>
      <c r="AM213" s="43">
        <v>197</v>
      </c>
      <c r="AN213">
        <v>298.2621531142043</v>
      </c>
      <c r="AO213">
        <v>24.091283044817615</v>
      </c>
      <c r="AP213">
        <v>59.273859576494033</v>
      </c>
      <c r="AQ213">
        <v>175.68186376636609</v>
      </c>
      <c r="AR213">
        <v>26.374866412328636</v>
      </c>
      <c r="AS213">
        <v>240.74075571436833</v>
      </c>
      <c r="AT213">
        <v>12.508809515151961</v>
      </c>
      <c r="AU213">
        <v>25.673629148241726</v>
      </c>
      <c r="AV213"/>
      <c r="AW213"/>
      <c r="BA213" s="195"/>
      <c r="BB213" s="196"/>
      <c r="BC213" s="196"/>
      <c r="BD213" s="196"/>
      <c r="BE213" s="196"/>
      <c r="BF213" s="196"/>
      <c r="BG213" s="196"/>
      <c r="BH213" s="196"/>
      <c r="BI213" s="196"/>
      <c r="BJ213" s="196"/>
      <c r="BK213" s="196"/>
      <c r="BL213" s="196"/>
      <c r="BM213" s="196"/>
      <c r="BN213" s="196"/>
      <c r="BO213" s="196"/>
      <c r="BP213" s="196"/>
      <c r="BQ213" s="196"/>
      <c r="BR213" s="196"/>
      <c r="BS213" s="196"/>
      <c r="BT213" s="196"/>
      <c r="BU213" s="196"/>
      <c r="BV213" s="196"/>
      <c r="BW213" s="196"/>
      <c r="BX213" s="196"/>
      <c r="BY213" s="196"/>
      <c r="BZ213" s="196"/>
      <c r="CA213" s="196"/>
      <c r="CB213" s="196"/>
      <c r="CC213" s="196"/>
      <c r="CD213" s="196"/>
      <c r="CE213" s="196"/>
      <c r="CF213" s="196"/>
      <c r="CG213" s="194"/>
      <c r="CH213" s="194"/>
      <c r="CI213" s="194"/>
      <c r="CJ213" s="194"/>
      <c r="CK213" s="194"/>
      <c r="CL213" s="194"/>
      <c r="CM213" s="197"/>
      <c r="CN213" s="193"/>
      <c r="CO213" s="193"/>
      <c r="CP213" s="193"/>
      <c r="CQ213" s="193"/>
      <c r="CR213" s="193"/>
      <c r="CS213" s="193"/>
      <c r="CT213" s="193"/>
      <c r="CU213" s="193"/>
      <c r="DE213" s="187">
        <f>DE98</f>
        <v>39673</v>
      </c>
      <c r="DF213" s="185">
        <f t="shared" ref="DF213:EJ213" si="339">AVERAGE(DF98:DF107)</f>
        <v>0</v>
      </c>
      <c r="DG213" s="185"/>
      <c r="DH213" s="185">
        <f t="shared" ref="DH213:DQ213" si="340">AVERAGE(DH98:DH107)</f>
        <v>28.706709672619048</v>
      </c>
      <c r="DI213" s="185">
        <f t="shared" si="340"/>
        <v>16.761363541666665</v>
      </c>
      <c r="DJ213" s="185">
        <f t="shared" si="340"/>
        <v>30.113635416666664</v>
      </c>
      <c r="DK213" s="185">
        <f t="shared" si="340"/>
        <v>11.363635416666666</v>
      </c>
      <c r="DL213" s="185">
        <f t="shared" si="340"/>
        <v>6.6287874999999996</v>
      </c>
      <c r="DM213" s="185">
        <f t="shared" si="340"/>
        <v>3.125</v>
      </c>
      <c r="DN213" s="185">
        <f t="shared" si="340"/>
        <v>3.5984843749999995</v>
      </c>
      <c r="DO213" s="185">
        <f t="shared" si="340"/>
        <v>0</v>
      </c>
      <c r="DP213" s="185">
        <f t="shared" si="340"/>
        <v>0</v>
      </c>
      <c r="DQ213" s="185">
        <f t="shared" si="340"/>
        <v>0</v>
      </c>
      <c r="DR213" s="185">
        <f t="shared" si="339"/>
        <v>0</v>
      </c>
      <c r="DS213" s="185">
        <f t="shared" si="339"/>
        <v>0</v>
      </c>
      <c r="DT213" s="185">
        <f t="shared" si="339"/>
        <v>0</v>
      </c>
      <c r="DU213" s="185">
        <f t="shared" si="339"/>
        <v>0</v>
      </c>
      <c r="DV213" s="185">
        <f t="shared" si="339"/>
        <v>0</v>
      </c>
      <c r="DW213" s="185">
        <f t="shared" si="339"/>
        <v>0</v>
      </c>
      <c r="DX213" s="185">
        <f t="shared" si="339"/>
        <v>0</v>
      </c>
      <c r="DY213" s="185">
        <f t="shared" si="339"/>
        <v>0</v>
      </c>
      <c r="DZ213" s="185">
        <f t="shared" si="339"/>
        <v>0</v>
      </c>
      <c r="EA213" s="185">
        <f t="shared" si="339"/>
        <v>0</v>
      </c>
      <c r="EB213" s="185">
        <f t="shared" si="339"/>
        <v>0</v>
      </c>
      <c r="EC213" s="185">
        <f t="shared" si="339"/>
        <v>0</v>
      </c>
      <c r="ED213" s="185">
        <f t="shared" si="339"/>
        <v>0</v>
      </c>
      <c r="EE213" s="185">
        <f t="shared" si="339"/>
        <v>0</v>
      </c>
      <c r="EF213" s="185">
        <f t="shared" si="339"/>
        <v>0</v>
      </c>
      <c r="EG213" s="185">
        <f t="shared" si="339"/>
        <v>0</v>
      </c>
      <c r="EH213" s="185">
        <f t="shared" si="339"/>
        <v>0</v>
      </c>
      <c r="EI213" s="185">
        <f t="shared" si="339"/>
        <v>0</v>
      </c>
      <c r="EJ213" s="185">
        <f t="shared" si="339"/>
        <v>0</v>
      </c>
      <c r="FY213" s="213">
        <v>208</v>
      </c>
      <c r="FZ213">
        <v>63.296144618547316</v>
      </c>
      <c r="GA213">
        <v>67.409975839983346</v>
      </c>
      <c r="GB213">
        <v>14.339691341307724</v>
      </c>
      <c r="GC213">
        <v>4.0586494753010953</v>
      </c>
      <c r="GD213">
        <v>4.3521581960905156</v>
      </c>
      <c r="GE213">
        <v>4.3806113751622604</v>
      </c>
      <c r="GF213">
        <v>14.199075886298242</v>
      </c>
      <c r="GG213">
        <v>15.486583993714856</v>
      </c>
      <c r="GH213">
        <v>12.202371898527383</v>
      </c>
      <c r="GI213">
        <v>20.530658926966421</v>
      </c>
      <c r="GJ213"/>
      <c r="GK213"/>
      <c r="GL213"/>
      <c r="GM213"/>
      <c r="GN213" s="208"/>
      <c r="GO213" s="208"/>
      <c r="GP213" s="208"/>
      <c r="GQ213" s="208"/>
      <c r="GR213" s="208"/>
      <c r="GS213" s="208"/>
      <c r="GT213" s="208"/>
      <c r="GU213" s="213">
        <v>208</v>
      </c>
    </row>
    <row r="214" spans="1:203" s="7" customFormat="1">
      <c r="A214" s="4"/>
      <c r="B214" s="4"/>
      <c r="C214" s="4"/>
      <c r="D214" s="4"/>
      <c r="E214" s="4"/>
      <c r="F214" s="28"/>
      <c r="G214" s="28"/>
      <c r="H214" s="83"/>
      <c r="I214" s="4"/>
      <c r="J214" s="4"/>
      <c r="K214" s="4"/>
      <c r="L214" s="4"/>
      <c r="M214" s="4"/>
      <c r="N214" s="74"/>
      <c r="O214" s="74"/>
      <c r="P214" s="74"/>
      <c r="Q214" s="74"/>
      <c r="R214" s="74"/>
      <c r="S214" s="74"/>
      <c r="T214" s="74"/>
      <c r="U214" s="74"/>
      <c r="V214" s="74"/>
      <c r="W214" s="74"/>
      <c r="X214" s="74"/>
      <c r="Y214" s="74"/>
      <c r="Z214" s="74"/>
      <c r="AA214" s="74"/>
      <c r="AB214" s="74"/>
      <c r="AC214" s="74"/>
      <c r="AD214" s="74"/>
      <c r="AE214" s="74"/>
      <c r="AF214" s="74"/>
      <c r="AG214" s="74"/>
      <c r="AH214" s="74"/>
      <c r="AI214" s="74"/>
      <c r="AJ214" s="74"/>
      <c r="AK214" s="74"/>
      <c r="AL214" s="74">
        <v>3.0028000000000028</v>
      </c>
      <c r="AM214" s="43">
        <v>198</v>
      </c>
      <c r="AN214">
        <v>309.79412928502711</v>
      </c>
      <c r="AO214">
        <v>34.248496259457312</v>
      </c>
      <c r="AP214">
        <v>90.344767149636994</v>
      </c>
      <c r="AQ214">
        <v>251.8776656925975</v>
      </c>
      <c r="AR214">
        <v>34.952322711009423</v>
      </c>
      <c r="AS214">
        <v>269.69348062144388</v>
      </c>
      <c r="AT214">
        <v>13.936678808973385</v>
      </c>
      <c r="AU214">
        <v>-19.152674168025072</v>
      </c>
      <c r="AV214"/>
      <c r="AW214"/>
      <c r="BA214" s="195"/>
      <c r="BB214" s="193"/>
      <c r="BC214" s="193"/>
      <c r="BD214" s="193"/>
      <c r="BE214" s="193"/>
      <c r="BF214" s="193"/>
      <c r="BG214" s="193"/>
      <c r="BH214" s="193"/>
      <c r="BI214" s="193"/>
      <c r="BJ214" s="193"/>
      <c r="BK214" s="193"/>
      <c r="BL214" s="193"/>
      <c r="BM214" s="193"/>
      <c r="BN214" s="193"/>
      <c r="BO214" s="193"/>
      <c r="BP214" s="193"/>
      <c r="BQ214" s="193"/>
      <c r="BR214" s="193"/>
      <c r="BS214" s="193"/>
      <c r="BT214" s="193"/>
      <c r="BU214" s="193"/>
      <c r="BV214" s="193"/>
      <c r="BW214" s="193"/>
      <c r="BX214" s="193"/>
      <c r="BY214" s="193"/>
      <c r="BZ214" s="193"/>
      <c r="CA214" s="193"/>
      <c r="CB214" s="193"/>
      <c r="CC214" s="193"/>
      <c r="CD214" s="193"/>
      <c r="CE214" s="193"/>
      <c r="CF214" s="193"/>
      <c r="CG214" s="194"/>
      <c r="CH214" s="194"/>
      <c r="CI214" s="194"/>
      <c r="CJ214" s="194"/>
      <c r="CK214" s="194"/>
      <c r="CL214" s="194"/>
      <c r="CM214" s="197"/>
      <c r="CN214" s="193"/>
      <c r="CO214" s="193"/>
      <c r="CP214" s="193"/>
      <c r="CQ214" s="193"/>
      <c r="CR214" s="193"/>
      <c r="CS214" s="193"/>
      <c r="CT214" s="193"/>
      <c r="CU214" s="193"/>
      <c r="DE214" s="187">
        <f>DE108</f>
        <v>39714</v>
      </c>
      <c r="DF214" s="182">
        <f t="shared" ref="DF214:EJ214" si="341">AVERAGE(DF108:DF117)</f>
        <v>58.815764208909364</v>
      </c>
      <c r="DG214" s="182">
        <f t="shared" ref="DG214:DQ214" si="342">AVERAGE(DG108:DG117)</f>
        <v>102.80517953149001</v>
      </c>
      <c r="DH214" s="182">
        <f t="shared" si="342"/>
        <v>0</v>
      </c>
      <c r="DI214" s="182">
        <f t="shared" si="342"/>
        <v>1.0416666666666665</v>
      </c>
      <c r="DJ214" s="182">
        <f t="shared" si="342"/>
        <v>1.0416666666666665</v>
      </c>
      <c r="DK214" s="182">
        <f t="shared" si="342"/>
        <v>1.0416666666666665</v>
      </c>
      <c r="DL214" s="182">
        <f t="shared" si="342"/>
        <v>2.083333333333333</v>
      </c>
      <c r="DM214" s="182">
        <f t="shared" si="342"/>
        <v>0</v>
      </c>
      <c r="DN214" s="182">
        <f t="shared" si="342"/>
        <v>3.125</v>
      </c>
      <c r="DO214" s="182">
        <f t="shared" si="342"/>
        <v>7.2916666666666661</v>
      </c>
      <c r="DP214" s="182">
        <f t="shared" si="342"/>
        <v>1.0416666666666665</v>
      </c>
      <c r="DQ214" s="182">
        <f t="shared" si="342"/>
        <v>0</v>
      </c>
      <c r="DR214" s="182">
        <f t="shared" si="341"/>
        <v>0</v>
      </c>
      <c r="DS214" s="182">
        <f t="shared" si="341"/>
        <v>0</v>
      </c>
      <c r="DT214" s="182">
        <f t="shared" si="341"/>
        <v>0</v>
      </c>
      <c r="DU214" s="182">
        <f t="shared" si="341"/>
        <v>0</v>
      </c>
      <c r="DV214" s="182">
        <f t="shared" si="341"/>
        <v>0</v>
      </c>
      <c r="DW214" s="182">
        <f t="shared" si="341"/>
        <v>0</v>
      </c>
      <c r="DX214" s="182">
        <f t="shared" si="341"/>
        <v>0</v>
      </c>
      <c r="DY214" s="182">
        <f t="shared" si="341"/>
        <v>0</v>
      </c>
      <c r="DZ214" s="182">
        <f t="shared" si="341"/>
        <v>0</v>
      </c>
      <c r="EA214" s="182">
        <f t="shared" si="341"/>
        <v>0</v>
      </c>
      <c r="EB214" s="182">
        <f t="shared" si="341"/>
        <v>0</v>
      </c>
      <c r="EC214" s="182">
        <f t="shared" si="341"/>
        <v>0</v>
      </c>
      <c r="ED214" s="182">
        <f t="shared" si="341"/>
        <v>0</v>
      </c>
      <c r="EE214" s="182">
        <f t="shared" si="341"/>
        <v>0</v>
      </c>
      <c r="EF214" s="182">
        <f t="shared" si="341"/>
        <v>0</v>
      </c>
      <c r="EG214" s="182">
        <f t="shared" si="341"/>
        <v>0</v>
      </c>
      <c r="EH214" s="182">
        <f t="shared" si="341"/>
        <v>0</v>
      </c>
      <c r="EI214" s="182">
        <f t="shared" si="341"/>
        <v>0</v>
      </c>
      <c r="EJ214" s="182">
        <f t="shared" si="341"/>
        <v>0</v>
      </c>
      <c r="FY214" s="213">
        <v>209</v>
      </c>
      <c r="FZ214">
        <v>47.421215224592665</v>
      </c>
      <c r="GA214">
        <v>53.714851851309213</v>
      </c>
      <c r="GB214">
        <v>12.506990591679504</v>
      </c>
      <c r="GC214">
        <v>4.6158372719265284</v>
      </c>
      <c r="GD214">
        <v>4.3502906817567366</v>
      </c>
      <c r="GE214">
        <v>7.3563228606570448</v>
      </c>
      <c r="GF214">
        <v>30.238393300730404</v>
      </c>
      <c r="GG214">
        <v>26.446830316101543</v>
      </c>
      <c r="GH214">
        <v>20.197807437252941</v>
      </c>
      <c r="GI214">
        <v>21.767346388047798</v>
      </c>
      <c r="GJ214"/>
      <c r="GK214"/>
      <c r="GL214"/>
      <c r="GM214"/>
      <c r="GN214" s="208"/>
      <c r="GO214" s="208"/>
      <c r="GP214" s="208"/>
      <c r="GQ214" s="208"/>
      <c r="GR214" s="208"/>
      <c r="GS214" s="208"/>
      <c r="GT214" s="208"/>
      <c r="GU214" s="213">
        <v>209</v>
      </c>
    </row>
    <row r="215" spans="1:203" s="7" customFormat="1">
      <c r="A215" s="4"/>
      <c r="B215" s="4"/>
      <c r="C215" s="4"/>
      <c r="D215" s="4"/>
      <c r="E215" s="4"/>
      <c r="F215" s="28"/>
      <c r="G215" s="28"/>
      <c r="H215" s="83"/>
      <c r="I215" s="4"/>
      <c r="J215" s="4"/>
      <c r="K215" s="4"/>
      <c r="L215" s="4"/>
      <c r="M215" s="4"/>
      <c r="N215" s="74"/>
      <c r="O215" s="74"/>
      <c r="P215" s="74"/>
      <c r="Q215" s="74"/>
      <c r="R215" s="74"/>
      <c r="S215" s="74"/>
      <c r="T215" s="74"/>
      <c r="U215" s="74"/>
      <c r="V215" s="74"/>
      <c r="W215" s="74"/>
      <c r="X215" s="74"/>
      <c r="Y215" s="74"/>
      <c r="Z215" s="74"/>
      <c r="AA215" s="74"/>
      <c r="AB215" s="74"/>
      <c r="AC215" s="74"/>
      <c r="AD215" s="74"/>
      <c r="AE215" s="74"/>
      <c r="AF215" s="74"/>
      <c r="AG215" s="74"/>
      <c r="AH215" s="74"/>
      <c r="AI215" s="74"/>
      <c r="AJ215" s="74"/>
      <c r="AK215" s="74"/>
      <c r="AL215" s="74">
        <v>3.0028000000000028</v>
      </c>
      <c r="AM215" s="43">
        <v>199</v>
      </c>
      <c r="AN215">
        <v>335.14002499285459</v>
      </c>
      <c r="AO215">
        <v>35.182971672666653</v>
      </c>
      <c r="AP215">
        <v>132.49717789650322</v>
      </c>
      <c r="AQ215">
        <v>257.96526341927006</v>
      </c>
      <c r="AR215">
        <v>36.344595452785128</v>
      </c>
      <c r="AS215">
        <v>291.29123681545065</v>
      </c>
      <c r="AT215">
        <v>16.340265943285758</v>
      </c>
      <c r="AU215">
        <v>-16.568884988845454</v>
      </c>
      <c r="AV215"/>
      <c r="AW215"/>
      <c r="BA215" s="195"/>
      <c r="BB215" s="193"/>
      <c r="BC215" s="193"/>
      <c r="BD215" s="193"/>
      <c r="BE215" s="193"/>
      <c r="BF215" s="193"/>
      <c r="BG215" s="193"/>
      <c r="BH215" s="193"/>
      <c r="BI215" s="193"/>
      <c r="BJ215" s="193"/>
      <c r="BK215" s="193"/>
      <c r="BL215" s="193"/>
      <c r="BM215" s="193"/>
      <c r="BN215" s="193"/>
      <c r="BO215" s="193"/>
      <c r="BP215" s="193"/>
      <c r="BQ215" s="193"/>
      <c r="BR215" s="193"/>
      <c r="BS215" s="193"/>
      <c r="BT215" s="193"/>
      <c r="BU215" s="193"/>
      <c r="BV215" s="193"/>
      <c r="BW215" s="193"/>
      <c r="BX215" s="193"/>
      <c r="BY215" s="193"/>
      <c r="BZ215" s="193"/>
      <c r="CA215" s="193"/>
      <c r="CB215" s="193"/>
      <c r="CC215" s="193"/>
      <c r="CD215" s="193"/>
      <c r="CE215" s="193"/>
      <c r="CF215" s="193"/>
      <c r="CG215" s="194"/>
      <c r="CH215" s="194"/>
      <c r="CI215" s="194"/>
      <c r="CJ215" s="194"/>
      <c r="CK215" s="194"/>
      <c r="CL215" s="194"/>
      <c r="CM215" s="197"/>
      <c r="CN215" s="193"/>
      <c r="CO215" s="193"/>
      <c r="CP215" s="193"/>
      <c r="CQ215" s="193"/>
      <c r="CR215" s="193"/>
      <c r="CS215" s="193"/>
      <c r="CT215" s="193"/>
      <c r="CU215" s="193"/>
      <c r="DE215" s="187">
        <f>DE118</f>
        <v>39747</v>
      </c>
      <c r="DF215" s="182">
        <f t="shared" ref="DF215:EJ215" si="343">AVERAGE(DF118:DF127)</f>
        <v>22.202190170940174</v>
      </c>
      <c r="DG215" s="182">
        <f t="shared" ref="DG215:DQ215" si="344">AVERAGE(DG118:DG127)</f>
        <v>432.1127410547353</v>
      </c>
      <c r="DH215" s="182">
        <f t="shared" si="344"/>
        <v>39.970117286927632</v>
      </c>
      <c r="DI215" s="182">
        <f t="shared" si="344"/>
        <v>0</v>
      </c>
      <c r="DJ215" s="182">
        <f t="shared" si="344"/>
        <v>1.0416666666666665</v>
      </c>
      <c r="DK215" s="182">
        <f t="shared" si="344"/>
        <v>0</v>
      </c>
      <c r="DL215" s="182">
        <f t="shared" si="344"/>
        <v>0</v>
      </c>
      <c r="DM215" s="182">
        <f t="shared" si="344"/>
        <v>0</v>
      </c>
      <c r="DN215" s="182">
        <f t="shared" si="344"/>
        <v>0</v>
      </c>
      <c r="DO215" s="182">
        <f t="shared" si="344"/>
        <v>0</v>
      </c>
      <c r="DP215" s="182">
        <f t="shared" si="344"/>
        <v>0</v>
      </c>
      <c r="DQ215" s="182">
        <f t="shared" si="344"/>
        <v>0</v>
      </c>
      <c r="DR215" s="182">
        <f t="shared" si="343"/>
        <v>0</v>
      </c>
      <c r="DS215" s="182">
        <f t="shared" si="343"/>
        <v>0</v>
      </c>
      <c r="DT215" s="182">
        <f t="shared" si="343"/>
        <v>0</v>
      </c>
      <c r="DU215" s="182">
        <f t="shared" si="343"/>
        <v>0</v>
      </c>
      <c r="DV215" s="182">
        <f t="shared" si="343"/>
        <v>0</v>
      </c>
      <c r="DW215" s="182">
        <f t="shared" si="343"/>
        <v>0</v>
      </c>
      <c r="DX215" s="182">
        <f t="shared" si="343"/>
        <v>0</v>
      </c>
      <c r="DY215" s="182">
        <f t="shared" si="343"/>
        <v>0</v>
      </c>
      <c r="DZ215" s="182">
        <f t="shared" si="343"/>
        <v>0</v>
      </c>
      <c r="EA215" s="182">
        <f t="shared" si="343"/>
        <v>0</v>
      </c>
      <c r="EB215" s="182">
        <f t="shared" si="343"/>
        <v>0</v>
      </c>
      <c r="EC215" s="182">
        <f t="shared" si="343"/>
        <v>0</v>
      </c>
      <c r="ED215" s="182">
        <f t="shared" si="343"/>
        <v>0</v>
      </c>
      <c r="EE215" s="182">
        <f t="shared" si="343"/>
        <v>0</v>
      </c>
      <c r="EF215" s="182">
        <f t="shared" si="343"/>
        <v>0</v>
      </c>
      <c r="EG215" s="182">
        <f t="shared" si="343"/>
        <v>0</v>
      </c>
      <c r="EH215" s="182">
        <f t="shared" si="343"/>
        <v>0</v>
      </c>
      <c r="EI215" s="182">
        <f t="shared" si="343"/>
        <v>0</v>
      </c>
      <c r="EJ215" s="182">
        <f t="shared" si="343"/>
        <v>0</v>
      </c>
      <c r="FY215" s="213">
        <v>210</v>
      </c>
      <c r="FZ215">
        <v>61.437655341934821</v>
      </c>
      <c r="GA215">
        <v>53.635314967698378</v>
      </c>
      <c r="GB215">
        <v>12.618754038988495</v>
      </c>
      <c r="GC215">
        <v>8.2425665753287785</v>
      </c>
      <c r="GD215">
        <v>6.6828132084303693</v>
      </c>
      <c r="GE215">
        <v>7.0050561516984295</v>
      </c>
      <c r="GF215">
        <v>25.670781497569862</v>
      </c>
      <c r="GG215">
        <v>20.513049903813439</v>
      </c>
      <c r="GH215">
        <v>12.695063139507198</v>
      </c>
      <c r="GI215">
        <v>23.055269388524405</v>
      </c>
      <c r="GJ215"/>
      <c r="GK215"/>
      <c r="GL215"/>
      <c r="GM215"/>
      <c r="GN215" s="208"/>
      <c r="GO215" s="208"/>
      <c r="GP215" s="208"/>
      <c r="GQ215" s="208"/>
      <c r="GR215" s="208"/>
      <c r="GS215" s="208"/>
      <c r="GT215" s="208"/>
      <c r="GU215" s="213">
        <v>210</v>
      </c>
    </row>
    <row r="216" spans="1:203" s="7" customFormat="1">
      <c r="A216" s="4"/>
      <c r="B216" s="4"/>
      <c r="C216" s="4"/>
      <c r="D216" s="4"/>
      <c r="E216" s="4"/>
      <c r="F216" s="28"/>
      <c r="G216" s="28"/>
      <c r="H216" s="83"/>
      <c r="I216" s="4"/>
      <c r="J216" s="4"/>
      <c r="K216" s="4"/>
      <c r="L216" s="4"/>
      <c r="M216" s="4"/>
      <c r="N216" s="74"/>
      <c r="O216" s="74"/>
      <c r="P216" s="74"/>
      <c r="Q216" s="74"/>
      <c r="R216" s="74"/>
      <c r="S216" s="74"/>
      <c r="T216" s="74"/>
      <c r="U216" s="74"/>
      <c r="V216" s="74"/>
      <c r="W216" s="74"/>
      <c r="X216" s="74"/>
      <c r="Y216" s="74"/>
      <c r="Z216" s="74"/>
      <c r="AA216" s="74"/>
      <c r="AB216" s="74"/>
      <c r="AC216" s="74"/>
      <c r="AD216" s="74"/>
      <c r="AE216" s="74"/>
      <c r="AF216" s="74"/>
      <c r="AG216" s="74"/>
      <c r="AH216" s="74"/>
      <c r="AI216" s="74"/>
      <c r="AJ216" s="74"/>
      <c r="AK216" s="74"/>
      <c r="AL216" s="74">
        <v>3.0028000000000028</v>
      </c>
      <c r="AM216" s="43">
        <v>200</v>
      </c>
      <c r="AN216">
        <v>263.19170556533703</v>
      </c>
      <c r="AO216">
        <v>25.968794888533097</v>
      </c>
      <c r="AP216">
        <v>68.234077765950346</v>
      </c>
      <c r="AQ216">
        <v>188.21972856278944</v>
      </c>
      <c r="AR216">
        <v>25.43446319071187</v>
      </c>
      <c r="AS216">
        <v>231.28668171073943</v>
      </c>
      <c r="AT216">
        <v>10.790993841597285</v>
      </c>
      <c r="AU216">
        <v>1.1388107547375306</v>
      </c>
      <c r="AV216"/>
      <c r="AW216"/>
      <c r="BA216" s="195"/>
      <c r="BB216" s="193"/>
      <c r="BC216" s="193"/>
      <c r="BD216" s="193"/>
      <c r="BE216" s="193"/>
      <c r="BF216" s="193"/>
      <c r="BG216" s="193"/>
      <c r="BH216" s="193"/>
      <c r="BI216" s="193"/>
      <c r="BJ216" s="193"/>
      <c r="BK216" s="193"/>
      <c r="BL216" s="193"/>
      <c r="BM216" s="193"/>
      <c r="BN216" s="193"/>
      <c r="BO216" s="193"/>
      <c r="BP216" s="193"/>
      <c r="BQ216" s="193"/>
      <c r="BR216" s="193"/>
      <c r="BS216" s="193"/>
      <c r="BT216" s="193"/>
      <c r="BU216" s="193"/>
      <c r="BV216" s="193"/>
      <c r="BW216" s="193"/>
      <c r="BX216" s="193"/>
      <c r="BY216" s="193"/>
      <c r="BZ216" s="193"/>
      <c r="CA216" s="193"/>
      <c r="CB216" s="193"/>
      <c r="CC216" s="193"/>
      <c r="CD216" s="193"/>
      <c r="CE216" s="193"/>
      <c r="CF216" s="193"/>
      <c r="CG216" s="194"/>
      <c r="CH216" s="194"/>
      <c r="CI216" s="194"/>
      <c r="CJ216" s="194"/>
      <c r="CK216" s="194"/>
      <c r="CL216" s="194"/>
      <c r="CM216" s="197"/>
      <c r="CN216" s="193"/>
      <c r="CO216" s="193"/>
      <c r="CP216" s="193"/>
      <c r="CQ216" s="193"/>
      <c r="CR216" s="193"/>
      <c r="CS216" s="193"/>
      <c r="CT216" s="193"/>
      <c r="CU216" s="193"/>
      <c r="DE216" s="187">
        <f>DE128</f>
        <v>39775</v>
      </c>
      <c r="DF216" s="182">
        <f t="shared" ref="DF216:EJ216" si="345">AVERAGE(DF128:DF137)</f>
        <v>18.460630787037037</v>
      </c>
      <c r="DG216" s="182">
        <f t="shared" ref="DG216:DQ216" si="346">AVERAGE(DG128:DG137)</f>
        <v>345.73773448773454</v>
      </c>
      <c r="DH216" s="182">
        <f t="shared" si="346"/>
        <v>257.82195233585855</v>
      </c>
      <c r="DI216" s="182">
        <f t="shared" si="346"/>
        <v>9.6527760416666659</v>
      </c>
      <c r="DJ216" s="182">
        <f t="shared" si="346"/>
        <v>2.083333333333333</v>
      </c>
      <c r="DK216" s="182">
        <f t="shared" si="346"/>
        <v>1.0416666666666665</v>
      </c>
      <c r="DL216" s="182">
        <f t="shared" si="346"/>
        <v>1.0416666666666665</v>
      </c>
      <c r="DM216" s="182">
        <f t="shared" si="346"/>
        <v>0</v>
      </c>
      <c r="DN216" s="182">
        <f t="shared" si="346"/>
        <v>0</v>
      </c>
      <c r="DO216" s="182">
        <f t="shared" si="346"/>
        <v>0</v>
      </c>
      <c r="DP216" s="182">
        <f t="shared" si="346"/>
        <v>0</v>
      </c>
      <c r="DQ216" s="182">
        <f t="shared" si="346"/>
        <v>0</v>
      </c>
      <c r="DR216" s="182">
        <f t="shared" si="345"/>
        <v>0</v>
      </c>
      <c r="DS216" s="182">
        <f t="shared" si="345"/>
        <v>0</v>
      </c>
      <c r="DT216" s="182">
        <f t="shared" si="345"/>
        <v>0</v>
      </c>
      <c r="DU216" s="182">
        <f t="shared" si="345"/>
        <v>0</v>
      </c>
      <c r="DV216" s="182">
        <f t="shared" si="345"/>
        <v>0</v>
      </c>
      <c r="DW216" s="182">
        <f t="shared" si="345"/>
        <v>0</v>
      </c>
      <c r="DX216" s="182">
        <f t="shared" si="345"/>
        <v>0</v>
      </c>
      <c r="DY216" s="182">
        <f t="shared" si="345"/>
        <v>0</v>
      </c>
      <c r="DZ216" s="182">
        <f t="shared" si="345"/>
        <v>0</v>
      </c>
      <c r="EA216" s="182">
        <f t="shared" si="345"/>
        <v>0</v>
      </c>
      <c r="EB216" s="182">
        <f t="shared" si="345"/>
        <v>0</v>
      </c>
      <c r="EC216" s="182">
        <f t="shared" si="345"/>
        <v>0</v>
      </c>
      <c r="ED216" s="182">
        <f t="shared" si="345"/>
        <v>0</v>
      </c>
      <c r="EE216" s="182">
        <f t="shared" si="345"/>
        <v>0</v>
      </c>
      <c r="EF216" s="182">
        <f t="shared" si="345"/>
        <v>0</v>
      </c>
      <c r="EG216" s="182">
        <f t="shared" si="345"/>
        <v>0</v>
      </c>
      <c r="EH216" s="182">
        <f t="shared" si="345"/>
        <v>0</v>
      </c>
      <c r="EI216" s="182">
        <f t="shared" si="345"/>
        <v>0</v>
      </c>
      <c r="EJ216" s="182">
        <f t="shared" si="345"/>
        <v>0</v>
      </c>
      <c r="FY216" s="213">
        <v>211</v>
      </c>
      <c r="FZ216">
        <v>48.00818869899414</v>
      </c>
      <c r="GA216">
        <v>64.389362039418657</v>
      </c>
      <c r="GB216">
        <v>15.818055439332225</v>
      </c>
      <c r="GC216">
        <v>4.8896234953663846</v>
      </c>
      <c r="GD216">
        <v>4.0767913983102329</v>
      </c>
      <c r="GE216">
        <v>3.0156063217609517</v>
      </c>
      <c r="GF216">
        <v>21.329223485894222</v>
      </c>
      <c r="GG216">
        <v>21.29013562341137</v>
      </c>
      <c r="GH216">
        <v>14.079690308146736</v>
      </c>
      <c r="GI216">
        <v>20.185811830289452</v>
      </c>
      <c r="GJ216"/>
      <c r="GK216"/>
      <c r="GL216"/>
      <c r="GM216"/>
      <c r="GN216" s="208"/>
      <c r="GO216" s="208"/>
      <c r="GP216" s="208"/>
      <c r="GQ216" s="208"/>
      <c r="GR216" s="208"/>
      <c r="GS216" s="208"/>
      <c r="GT216" s="208"/>
      <c r="GU216" s="213">
        <v>211</v>
      </c>
    </row>
    <row r="217" spans="1:203" s="7" customFormat="1">
      <c r="A217" s="4"/>
      <c r="B217" s="4"/>
      <c r="C217" s="84"/>
      <c r="D217" s="85"/>
      <c r="E217" s="85"/>
      <c r="F217" s="74"/>
      <c r="G217" s="74"/>
      <c r="H217" s="74"/>
      <c r="I217" s="74"/>
      <c r="J217" s="74"/>
      <c r="K217" s="74"/>
      <c r="L217" s="74"/>
      <c r="M217" s="74"/>
      <c r="N217" s="74"/>
      <c r="O217" s="74"/>
      <c r="P217" s="74"/>
      <c r="Q217" s="74"/>
      <c r="R217" s="74"/>
      <c r="S217" s="74"/>
      <c r="T217" s="74"/>
      <c r="U217" s="74"/>
      <c r="V217" s="74"/>
      <c r="W217" s="74"/>
      <c r="X217" s="74"/>
      <c r="Y217" s="74"/>
      <c r="Z217" s="74"/>
      <c r="AA217" s="74"/>
      <c r="AB217" s="74"/>
      <c r="AC217" s="74"/>
      <c r="AD217" s="74"/>
      <c r="AE217" s="74"/>
      <c r="AF217" s="74"/>
      <c r="AG217" s="74"/>
      <c r="AH217" s="74"/>
      <c r="AI217" s="74"/>
      <c r="AJ217" s="74"/>
      <c r="AK217" s="74"/>
      <c r="AL217" s="74">
        <v>3.0028000000000028</v>
      </c>
      <c r="AM217" s="43">
        <v>201</v>
      </c>
      <c r="AN217">
        <v>238.47852358336496</v>
      </c>
      <c r="AO217">
        <v>17.981906182497973</v>
      </c>
      <c r="AP217">
        <v>85.480054796352874</v>
      </c>
      <c r="AQ217">
        <v>123.87118149776776</v>
      </c>
      <c r="AR217">
        <v>19.953223605032896</v>
      </c>
      <c r="AS217">
        <v>186.43563658591162</v>
      </c>
      <c r="AT217">
        <v>8.7806235501224457</v>
      </c>
      <c r="AU217">
        <v>18.142783534494651</v>
      </c>
      <c r="AV217"/>
      <c r="AW217"/>
      <c r="BA217" s="195"/>
      <c r="BB217" s="193"/>
      <c r="BC217" s="193"/>
      <c r="BD217" s="193"/>
      <c r="BE217" s="193"/>
      <c r="BF217" s="193"/>
      <c r="BG217" s="193"/>
      <c r="BH217" s="193"/>
      <c r="BI217" s="193"/>
      <c r="BJ217" s="193"/>
      <c r="BK217" s="193"/>
      <c r="BL217" s="193"/>
      <c r="BM217" s="193"/>
      <c r="BN217" s="193"/>
      <c r="BO217" s="193"/>
      <c r="BP217" s="193"/>
      <c r="BQ217" s="193"/>
      <c r="BR217" s="193"/>
      <c r="BS217" s="193"/>
      <c r="BT217" s="193"/>
      <c r="BU217" s="193"/>
      <c r="BV217" s="193"/>
      <c r="BW217" s="193"/>
      <c r="BX217" s="193"/>
      <c r="BY217" s="193"/>
      <c r="BZ217" s="193"/>
      <c r="CA217" s="193"/>
      <c r="CB217" s="193"/>
      <c r="CC217" s="193"/>
      <c r="CD217" s="193"/>
      <c r="CE217" s="193"/>
      <c r="CF217" s="193"/>
      <c r="CG217" s="194"/>
      <c r="CH217" s="194"/>
      <c r="CI217" s="194"/>
      <c r="CJ217" s="194"/>
      <c r="CK217" s="194"/>
      <c r="CL217" s="194"/>
      <c r="CM217" s="197"/>
      <c r="CN217" s="193"/>
      <c r="CO217" s="193"/>
      <c r="CP217" s="193"/>
      <c r="CQ217" s="193"/>
      <c r="CR217" s="193"/>
      <c r="CS217" s="193"/>
      <c r="CT217" s="193"/>
      <c r="CU217" s="193"/>
      <c r="DE217" s="187">
        <f>DE138</f>
        <v>39799</v>
      </c>
      <c r="DF217" s="182">
        <f t="shared" ref="DF217:EJ217" si="347">AVERAGE(DF138:DF147)</f>
        <v>26.455085612062355</v>
      </c>
      <c r="DG217" s="182">
        <f t="shared" ref="DG217:DQ217" si="348">AVERAGE(DG138:DG147)</f>
        <v>162.71811792288878</v>
      </c>
      <c r="DH217" s="182">
        <f t="shared" si="348"/>
        <v>118.82584327437269</v>
      </c>
      <c r="DI217" s="182">
        <f t="shared" si="348"/>
        <v>5.208333333333333</v>
      </c>
      <c r="DJ217" s="182">
        <f t="shared" si="348"/>
        <v>1.0416666666666665</v>
      </c>
      <c r="DK217" s="182">
        <f t="shared" si="348"/>
        <v>0</v>
      </c>
      <c r="DL217" s="182">
        <f t="shared" si="348"/>
        <v>0</v>
      </c>
      <c r="DM217" s="182">
        <f t="shared" si="348"/>
        <v>0</v>
      </c>
      <c r="DN217" s="182">
        <f t="shared" si="348"/>
        <v>0</v>
      </c>
      <c r="DO217" s="182">
        <f t="shared" si="348"/>
        <v>0</v>
      </c>
      <c r="DP217" s="182">
        <f t="shared" si="348"/>
        <v>0</v>
      </c>
      <c r="DQ217" s="182">
        <f t="shared" si="348"/>
        <v>0</v>
      </c>
      <c r="DR217" s="182">
        <f t="shared" si="347"/>
        <v>0</v>
      </c>
      <c r="DS217" s="182">
        <f t="shared" si="347"/>
        <v>0</v>
      </c>
      <c r="DT217" s="182">
        <f t="shared" si="347"/>
        <v>0</v>
      </c>
      <c r="DU217" s="182">
        <f t="shared" si="347"/>
        <v>0</v>
      </c>
      <c r="DV217" s="182">
        <f t="shared" si="347"/>
        <v>0</v>
      </c>
      <c r="DW217" s="182">
        <f t="shared" si="347"/>
        <v>0</v>
      </c>
      <c r="DX217" s="182">
        <f t="shared" si="347"/>
        <v>0</v>
      </c>
      <c r="DY217" s="182">
        <f t="shared" si="347"/>
        <v>0</v>
      </c>
      <c r="DZ217" s="182">
        <f t="shared" si="347"/>
        <v>0</v>
      </c>
      <c r="EA217" s="182">
        <f t="shared" si="347"/>
        <v>0</v>
      </c>
      <c r="EB217" s="182">
        <f t="shared" si="347"/>
        <v>0</v>
      </c>
      <c r="EC217" s="182">
        <f t="shared" si="347"/>
        <v>0</v>
      </c>
      <c r="ED217" s="182">
        <f t="shared" si="347"/>
        <v>0</v>
      </c>
      <c r="EE217" s="182">
        <f t="shared" si="347"/>
        <v>0</v>
      </c>
      <c r="EF217" s="182">
        <f t="shared" si="347"/>
        <v>0</v>
      </c>
      <c r="EG217" s="182">
        <f t="shared" si="347"/>
        <v>0</v>
      </c>
      <c r="EH217" s="182">
        <f t="shared" si="347"/>
        <v>0</v>
      </c>
      <c r="EI217" s="182">
        <f t="shared" si="347"/>
        <v>0</v>
      </c>
      <c r="EJ217" s="182">
        <f t="shared" si="347"/>
        <v>0</v>
      </c>
      <c r="FY217" s="213">
        <v>212</v>
      </c>
      <c r="FZ217">
        <v>59.914081116113984</v>
      </c>
      <c r="GA217">
        <v>35.079690148158157</v>
      </c>
      <c r="GB217">
        <v>5.9678936233076563</v>
      </c>
      <c r="GC217">
        <v>7.9462776655915688</v>
      </c>
      <c r="GD217">
        <v>5.5729607223678954</v>
      </c>
      <c r="GE217">
        <v>3.1828459183140185</v>
      </c>
      <c r="GF217">
        <v>9.9077150177181252</v>
      </c>
      <c r="GG217">
        <v>8.7415553865577866</v>
      </c>
      <c r="GH217">
        <v>12.410907076230197</v>
      </c>
      <c r="GI217">
        <v>17.253932780061259</v>
      </c>
      <c r="GJ217"/>
      <c r="GK217"/>
      <c r="GL217"/>
      <c r="GM217"/>
      <c r="GN217" s="208"/>
      <c r="GO217" s="208"/>
      <c r="GP217" s="208"/>
      <c r="GQ217" s="208"/>
      <c r="GR217" s="208"/>
      <c r="GS217" s="208"/>
      <c r="GT217" s="208"/>
      <c r="GU217" s="213">
        <v>212</v>
      </c>
    </row>
    <row r="218" spans="1:203" s="7" customFormat="1">
      <c r="A218" s="4"/>
      <c r="B218" s="4"/>
      <c r="C218" s="84"/>
      <c r="D218" s="85"/>
      <c r="E218" s="85"/>
      <c r="F218" s="74"/>
      <c r="G218" s="74"/>
      <c r="H218" s="74"/>
      <c r="I218" s="74"/>
      <c r="J218" s="74"/>
      <c r="K218" s="74"/>
      <c r="L218" s="74"/>
      <c r="M218" s="74"/>
      <c r="N218" s="74"/>
      <c r="O218" s="74"/>
      <c r="P218" s="74"/>
      <c r="Q218" s="74"/>
      <c r="R218" s="74"/>
      <c r="S218" s="74"/>
      <c r="T218" s="74"/>
      <c r="U218" s="74"/>
      <c r="V218" s="74"/>
      <c r="W218" s="74"/>
      <c r="X218" s="74"/>
      <c r="Y218" s="74"/>
      <c r="Z218" s="74"/>
      <c r="AA218" s="74"/>
      <c r="AB218" s="74"/>
      <c r="AC218" s="74"/>
      <c r="AD218" s="74"/>
      <c r="AE218" s="74"/>
      <c r="AF218" s="74"/>
      <c r="AG218" s="74"/>
      <c r="AH218" s="74"/>
      <c r="AI218" s="74"/>
      <c r="AJ218" s="74"/>
      <c r="AK218" s="74"/>
      <c r="AL218" s="74">
        <v>3.0028000000000028</v>
      </c>
      <c r="AM218" s="43">
        <v>202</v>
      </c>
      <c r="AN218">
        <v>325.90500232055979</v>
      </c>
      <c r="AO218">
        <v>23.197823363679287</v>
      </c>
      <c r="AP218">
        <v>127.55192731585251</v>
      </c>
      <c r="AQ218">
        <v>165.05886141275508</v>
      </c>
      <c r="AR218">
        <v>23.842544165256005</v>
      </c>
      <c r="AS218">
        <v>242.02956286654253</v>
      </c>
      <c r="AT218">
        <v>11.11425442206459</v>
      </c>
      <c r="AU218">
        <v>27.015667350666899</v>
      </c>
      <c r="AV218"/>
      <c r="AW218"/>
      <c r="BA218" s="195"/>
      <c r="BB218" s="193"/>
      <c r="BC218" s="193"/>
      <c r="BD218" s="193"/>
      <c r="BE218" s="193"/>
      <c r="BF218" s="193"/>
      <c r="BG218" s="193"/>
      <c r="BH218" s="193"/>
      <c r="BI218" s="193"/>
      <c r="BJ218" s="193"/>
      <c r="BK218" s="193"/>
      <c r="BL218" s="193"/>
      <c r="BM218" s="193"/>
      <c r="BN218" s="193"/>
      <c r="BO218" s="193"/>
      <c r="BP218" s="193"/>
      <c r="BQ218" s="193"/>
      <c r="BR218" s="193"/>
      <c r="BS218" s="193"/>
      <c r="BT218" s="193"/>
      <c r="BU218" s="193"/>
      <c r="BV218" s="193"/>
      <c r="BW218" s="193"/>
      <c r="BX218" s="193"/>
      <c r="BY218" s="193"/>
      <c r="BZ218" s="193"/>
      <c r="CA218" s="193"/>
      <c r="CB218" s="193"/>
      <c r="CC218" s="193"/>
      <c r="CD218" s="193"/>
      <c r="CE218" s="193"/>
      <c r="CF218" s="193"/>
      <c r="CG218" s="194"/>
      <c r="CH218" s="194"/>
      <c r="CI218" s="194"/>
      <c r="CJ218" s="194"/>
      <c r="CK218" s="194"/>
      <c r="CL218" s="194"/>
      <c r="CM218" s="197"/>
      <c r="CN218" s="193"/>
      <c r="CO218" s="193"/>
      <c r="CP218" s="193"/>
      <c r="CQ218" s="193"/>
      <c r="CR218" s="193"/>
      <c r="CS218" s="193"/>
      <c r="CT218" s="193"/>
      <c r="CU218" s="193"/>
      <c r="DE218" s="187">
        <f>DE149</f>
        <v>39847</v>
      </c>
      <c r="DF218" s="182">
        <f t="shared" ref="DF218:EJ218" si="349">AVERAGE(DF148:DF157)</f>
        <v>11.393229166666666</v>
      </c>
      <c r="DG218" s="182">
        <f t="shared" ref="DG218:DQ218" si="350">AVERAGE(DG148:DG157)</f>
        <v>223.76302083333334</v>
      </c>
      <c r="DH218" s="182">
        <f t="shared" si="350"/>
        <v>63.194444444444443</v>
      </c>
      <c r="DI218" s="182">
        <f t="shared" si="350"/>
        <v>0</v>
      </c>
      <c r="DJ218" s="182">
        <f t="shared" si="350"/>
        <v>0</v>
      </c>
      <c r="DK218" s="182">
        <f t="shared" si="350"/>
        <v>1.0416666666666665</v>
      </c>
      <c r="DL218" s="182">
        <f t="shared" si="350"/>
        <v>0</v>
      </c>
      <c r="DM218" s="182">
        <f t="shared" si="350"/>
        <v>0</v>
      </c>
      <c r="DN218" s="182">
        <f t="shared" si="350"/>
        <v>0</v>
      </c>
      <c r="DO218" s="182">
        <f t="shared" si="350"/>
        <v>0</v>
      </c>
      <c r="DP218" s="182">
        <f t="shared" si="350"/>
        <v>0</v>
      </c>
      <c r="DQ218" s="182">
        <f t="shared" si="350"/>
        <v>0</v>
      </c>
      <c r="DR218" s="182">
        <f t="shared" si="349"/>
        <v>0</v>
      </c>
      <c r="DS218" s="182">
        <f t="shared" si="349"/>
        <v>0</v>
      </c>
      <c r="DT218" s="182">
        <f t="shared" si="349"/>
        <v>0</v>
      </c>
      <c r="DU218" s="182">
        <f t="shared" si="349"/>
        <v>0</v>
      </c>
      <c r="DV218" s="182">
        <f t="shared" si="349"/>
        <v>0</v>
      </c>
      <c r="DW218" s="182">
        <f t="shared" si="349"/>
        <v>0</v>
      </c>
      <c r="DX218" s="182">
        <f t="shared" si="349"/>
        <v>0</v>
      </c>
      <c r="DY218" s="182">
        <f t="shared" si="349"/>
        <v>0</v>
      </c>
      <c r="DZ218" s="182">
        <f t="shared" si="349"/>
        <v>0</v>
      </c>
      <c r="EA218" s="182">
        <f t="shared" si="349"/>
        <v>0</v>
      </c>
      <c r="EB218" s="182">
        <f t="shared" si="349"/>
        <v>0</v>
      </c>
      <c r="EC218" s="182">
        <f t="shared" si="349"/>
        <v>0</v>
      </c>
      <c r="ED218" s="182">
        <f t="shared" si="349"/>
        <v>0</v>
      </c>
      <c r="EE218" s="182">
        <f t="shared" si="349"/>
        <v>0</v>
      </c>
      <c r="EF218" s="182">
        <f t="shared" si="349"/>
        <v>0</v>
      </c>
      <c r="EG218" s="182">
        <f t="shared" si="349"/>
        <v>0</v>
      </c>
      <c r="EH218" s="182">
        <f t="shared" si="349"/>
        <v>0</v>
      </c>
      <c r="EI218" s="182">
        <f t="shared" si="349"/>
        <v>0</v>
      </c>
      <c r="EJ218" s="182">
        <f t="shared" si="349"/>
        <v>0</v>
      </c>
      <c r="FY218" s="213">
        <v>213</v>
      </c>
      <c r="FZ218">
        <v>36.749675869075844</v>
      </c>
      <c r="GA218">
        <v>39.87304878416645</v>
      </c>
      <c r="GB218">
        <v>8.4385558525250062</v>
      </c>
      <c r="GC218">
        <v>5.2863651015269335</v>
      </c>
      <c r="GD218">
        <v>4.575547758339729</v>
      </c>
      <c r="GE218">
        <v>5.9634165043838117</v>
      </c>
      <c r="GF218">
        <v>26.801117616939916</v>
      </c>
      <c r="GG218">
        <v>21.601841147993778</v>
      </c>
      <c r="GH218">
        <v>14.98245416056325</v>
      </c>
      <c r="GI218">
        <v>17.669286216675022</v>
      </c>
      <c r="GJ218"/>
      <c r="GK218"/>
      <c r="GL218"/>
      <c r="GM218"/>
      <c r="GN218" s="208"/>
      <c r="GO218" s="208"/>
      <c r="GP218" s="208"/>
      <c r="GQ218" s="208"/>
      <c r="GR218" s="208"/>
      <c r="GS218" s="208"/>
      <c r="GT218" s="208"/>
      <c r="GU218" s="213">
        <v>213</v>
      </c>
    </row>
    <row r="219" spans="1:203" s="7" customFormat="1">
      <c r="A219" s="4"/>
      <c r="B219" s="4"/>
      <c r="C219" s="84"/>
      <c r="D219" s="85"/>
      <c r="E219" s="85"/>
      <c r="F219" s="74"/>
      <c r="G219" s="74"/>
      <c r="H219" s="74"/>
      <c r="I219" s="74"/>
      <c r="J219" s="74"/>
      <c r="K219" s="74"/>
      <c r="L219" s="74"/>
      <c r="M219" s="74"/>
      <c r="N219" s="74"/>
      <c r="O219" s="74"/>
      <c r="P219" s="74"/>
      <c r="Q219" s="74"/>
      <c r="R219" s="74"/>
      <c r="S219" s="74"/>
      <c r="T219" s="74"/>
      <c r="U219" s="74"/>
      <c r="V219" s="74"/>
      <c r="W219" s="74"/>
      <c r="X219" s="74"/>
      <c r="Y219" s="74"/>
      <c r="Z219" s="74"/>
      <c r="AA219" s="74"/>
      <c r="AB219" s="74"/>
      <c r="AC219" s="74"/>
      <c r="AD219" s="74"/>
      <c r="AE219" s="74"/>
      <c r="AF219" s="74"/>
      <c r="AG219" s="74"/>
      <c r="AH219" s="74"/>
      <c r="AI219" s="74"/>
      <c r="AJ219" s="74"/>
      <c r="AK219" s="74"/>
      <c r="AL219" s="74">
        <v>3.0028000000000028</v>
      </c>
      <c r="AM219" s="43">
        <v>203</v>
      </c>
      <c r="AN219">
        <v>278.28524115198138</v>
      </c>
      <c r="AO219">
        <v>16.440167555177347</v>
      </c>
      <c r="AP219">
        <v>46.326575642408706</v>
      </c>
      <c r="AQ219">
        <v>118.26103596692808</v>
      </c>
      <c r="AR219">
        <v>17.541977546949692</v>
      </c>
      <c r="AS219">
        <v>191.1604871439892</v>
      </c>
      <c r="AT219">
        <v>8.9805818563549504</v>
      </c>
      <c r="AU219">
        <v>38.154382279826933</v>
      </c>
      <c r="AV219"/>
      <c r="AW219"/>
      <c r="BA219" s="195"/>
      <c r="BB219" s="193"/>
      <c r="BC219" s="193"/>
      <c r="BD219" s="193"/>
      <c r="BE219" s="193"/>
      <c r="BF219" s="193"/>
      <c r="BG219" s="193"/>
      <c r="BH219" s="193"/>
      <c r="BI219" s="193"/>
      <c r="BJ219" s="193"/>
      <c r="BK219" s="193"/>
      <c r="BL219" s="193"/>
      <c r="BM219" s="193"/>
      <c r="BN219" s="193"/>
      <c r="BO219" s="193"/>
      <c r="BP219" s="193"/>
      <c r="BQ219" s="193"/>
      <c r="BR219" s="193"/>
      <c r="BS219" s="193"/>
      <c r="BT219" s="193"/>
      <c r="BU219" s="193"/>
      <c r="BV219" s="193"/>
      <c r="BW219" s="193"/>
      <c r="BX219" s="193"/>
      <c r="BY219" s="193"/>
      <c r="BZ219" s="193"/>
      <c r="CA219" s="193"/>
      <c r="CB219" s="193"/>
      <c r="CC219" s="193"/>
      <c r="CD219" s="193"/>
      <c r="CE219" s="193"/>
      <c r="CF219" s="193"/>
      <c r="CG219" s="194"/>
      <c r="CH219" s="194"/>
      <c r="CI219" s="194"/>
      <c r="CJ219" s="194"/>
      <c r="CK219" s="194"/>
      <c r="CL219" s="194"/>
      <c r="CM219" s="197"/>
      <c r="CN219" s="193"/>
      <c r="CO219" s="193"/>
      <c r="CP219" s="193"/>
      <c r="CQ219" s="193"/>
      <c r="CR219" s="193"/>
      <c r="CS219" s="193"/>
      <c r="CT219" s="193"/>
      <c r="CU219" s="193"/>
      <c r="DE219" s="187">
        <f>DE158</f>
        <v>39910</v>
      </c>
      <c r="DF219" s="182">
        <f t="shared" ref="DF219:EJ219" si="351">AVERAGE(DF158:DF167)</f>
        <v>78.125</v>
      </c>
      <c r="DG219" s="182">
        <f t="shared" ref="DG219:DQ219" si="352">AVERAGE(DG158:DG167)</f>
        <v>251.19766505636071</v>
      </c>
      <c r="DH219" s="182">
        <f t="shared" si="352"/>
        <v>194.90740740740739</v>
      </c>
      <c r="DI219" s="182">
        <f t="shared" si="352"/>
        <v>78.009259259259252</v>
      </c>
      <c r="DJ219" s="182">
        <f t="shared" si="352"/>
        <v>1.0416666666666665</v>
      </c>
      <c r="DK219" s="182">
        <f t="shared" si="352"/>
        <v>0</v>
      </c>
      <c r="DL219" s="182">
        <f t="shared" si="352"/>
        <v>0</v>
      </c>
      <c r="DM219" s="182">
        <f t="shared" si="352"/>
        <v>0</v>
      </c>
      <c r="DN219" s="182">
        <f t="shared" si="352"/>
        <v>0</v>
      </c>
      <c r="DO219" s="182">
        <f t="shared" si="352"/>
        <v>0</v>
      </c>
      <c r="DP219" s="182">
        <f t="shared" si="352"/>
        <v>0</v>
      </c>
      <c r="DQ219" s="182">
        <f t="shared" si="352"/>
        <v>0</v>
      </c>
      <c r="DR219" s="182">
        <f t="shared" si="351"/>
        <v>0</v>
      </c>
      <c r="DS219" s="182">
        <f t="shared" si="351"/>
        <v>0</v>
      </c>
      <c r="DT219" s="182">
        <f t="shared" si="351"/>
        <v>0</v>
      </c>
      <c r="DU219" s="182">
        <f t="shared" si="351"/>
        <v>0</v>
      </c>
      <c r="DV219" s="182">
        <f t="shared" si="351"/>
        <v>0</v>
      </c>
      <c r="DW219" s="182">
        <f t="shared" si="351"/>
        <v>0</v>
      </c>
      <c r="DX219" s="182">
        <f t="shared" si="351"/>
        <v>0</v>
      </c>
      <c r="DY219" s="182">
        <f t="shared" si="351"/>
        <v>0</v>
      </c>
      <c r="DZ219" s="182">
        <f t="shared" si="351"/>
        <v>0</v>
      </c>
      <c r="EA219" s="182">
        <f t="shared" si="351"/>
        <v>0</v>
      </c>
      <c r="EB219" s="182">
        <f t="shared" si="351"/>
        <v>0</v>
      </c>
      <c r="EC219" s="182">
        <f t="shared" si="351"/>
        <v>0</v>
      </c>
      <c r="ED219" s="182">
        <f t="shared" si="351"/>
        <v>0</v>
      </c>
      <c r="EE219" s="182">
        <f t="shared" si="351"/>
        <v>0</v>
      </c>
      <c r="EF219" s="182">
        <f t="shared" si="351"/>
        <v>0</v>
      </c>
      <c r="EG219" s="182">
        <f t="shared" si="351"/>
        <v>0</v>
      </c>
      <c r="EH219" s="182">
        <f t="shared" si="351"/>
        <v>0</v>
      </c>
      <c r="EI219" s="182">
        <f t="shared" si="351"/>
        <v>0</v>
      </c>
      <c r="EJ219" s="182">
        <f t="shared" si="351"/>
        <v>0</v>
      </c>
      <c r="FY219" s="213">
        <v>214</v>
      </c>
      <c r="FZ219">
        <v>47.738978422692142</v>
      </c>
      <c r="GA219">
        <v>51.168621529639076</v>
      </c>
      <c r="GB219">
        <v>6.5731044290212317</v>
      </c>
      <c r="GC219">
        <v>7.0448745968154967</v>
      </c>
      <c r="GD219">
        <v>6.2407438442855083</v>
      </c>
      <c r="GE219">
        <v>5.1582214979446741</v>
      </c>
      <c r="GF219">
        <v>19.783989499935636</v>
      </c>
      <c r="GG219">
        <v>17.412851325728198</v>
      </c>
      <c r="GH219">
        <v>13.374153407736841</v>
      </c>
      <c r="GI219">
        <v>18.152811491422529</v>
      </c>
      <c r="GJ219"/>
      <c r="GK219"/>
      <c r="GL219"/>
      <c r="GM219"/>
      <c r="GN219" s="208"/>
      <c r="GO219" s="208"/>
      <c r="GP219" s="208"/>
      <c r="GQ219" s="208"/>
      <c r="GR219" s="208"/>
      <c r="GS219" s="208"/>
      <c r="GT219" s="208"/>
      <c r="GU219" s="213">
        <v>214</v>
      </c>
    </row>
    <row r="220" spans="1:203" s="7" customFormat="1">
      <c r="A220" s="4"/>
      <c r="B220" s="4"/>
      <c r="C220" s="84"/>
      <c r="D220" s="85"/>
      <c r="E220" s="85"/>
      <c r="F220" s="74"/>
      <c r="G220" s="74"/>
      <c r="H220" s="74"/>
      <c r="I220" s="74"/>
      <c r="J220" s="74"/>
      <c r="K220" s="74"/>
      <c r="L220" s="74"/>
      <c r="M220" s="86"/>
      <c r="N220" s="74"/>
      <c r="O220" s="74"/>
      <c r="P220" s="74"/>
      <c r="Q220" s="74"/>
      <c r="R220" s="87"/>
      <c r="S220" s="87"/>
      <c r="T220" s="87"/>
      <c r="U220" s="87"/>
      <c r="V220" s="87"/>
      <c r="W220" s="87"/>
      <c r="X220" s="87"/>
      <c r="Y220" s="87"/>
      <c r="Z220" s="87"/>
      <c r="AA220" s="87"/>
      <c r="AB220" s="87"/>
      <c r="AC220" s="87"/>
      <c r="AD220" s="87"/>
      <c r="AE220" s="87"/>
      <c r="AF220" s="87"/>
      <c r="AG220" s="87"/>
      <c r="AH220" s="87"/>
      <c r="AI220" s="87"/>
      <c r="AJ220" s="87"/>
      <c r="AK220" s="87"/>
      <c r="AL220" s="87">
        <v>3.0028000000000028</v>
      </c>
      <c r="AM220" s="43">
        <v>204</v>
      </c>
      <c r="AN220">
        <v>320.05652809079726</v>
      </c>
      <c r="AO220">
        <v>27.486918717307173</v>
      </c>
      <c r="AP220">
        <v>87.015989941507343</v>
      </c>
      <c r="AQ220">
        <v>181.2326518699864</v>
      </c>
      <c r="AR220">
        <v>27.080669830783112</v>
      </c>
      <c r="AS220">
        <v>275.61316970435297</v>
      </c>
      <c r="AT220">
        <v>11.847467918544476</v>
      </c>
      <c r="AU220">
        <v>-11.646056540498048</v>
      </c>
      <c r="AV220"/>
      <c r="AW220"/>
      <c r="BA220" s="195"/>
      <c r="BB220" s="193"/>
      <c r="BC220" s="193"/>
      <c r="BD220" s="193"/>
      <c r="BE220" s="193"/>
      <c r="BF220" s="193"/>
      <c r="BG220" s="193"/>
      <c r="BH220" s="193"/>
      <c r="BI220" s="193"/>
      <c r="BJ220" s="193"/>
      <c r="BK220" s="193"/>
      <c r="BL220" s="193"/>
      <c r="BM220" s="193"/>
      <c r="BN220" s="193"/>
      <c r="BO220" s="193"/>
      <c r="BP220" s="193"/>
      <c r="BQ220" s="193"/>
      <c r="BR220" s="193"/>
      <c r="BS220" s="193"/>
      <c r="BT220" s="193"/>
      <c r="BU220" s="193"/>
      <c r="BV220" s="193"/>
      <c r="BW220" s="193"/>
      <c r="BX220" s="193"/>
      <c r="BY220" s="193"/>
      <c r="BZ220" s="193"/>
      <c r="CA220" s="193"/>
      <c r="CB220" s="193"/>
      <c r="CC220" s="193"/>
      <c r="CD220" s="193"/>
      <c r="CE220" s="193"/>
      <c r="CF220" s="193"/>
      <c r="CG220" s="194"/>
      <c r="CH220" s="194"/>
      <c r="CI220" s="194"/>
      <c r="CJ220" s="194"/>
      <c r="CK220" s="194"/>
      <c r="CL220" s="194"/>
      <c r="CM220" s="197"/>
      <c r="CN220" s="193"/>
      <c r="CO220" s="193"/>
      <c r="CP220" s="193"/>
      <c r="CQ220" s="193"/>
      <c r="CR220" s="193"/>
      <c r="CS220" s="193"/>
      <c r="CT220" s="193"/>
      <c r="CU220" s="193"/>
      <c r="DE220" s="187">
        <f>DE168</f>
        <v>39949</v>
      </c>
      <c r="DF220" s="182">
        <f t="shared" ref="DF220:EJ220" si="353">AVERAGE(DF168:DF177)</f>
        <v>0</v>
      </c>
      <c r="DG220" s="182">
        <f t="shared" ref="DG220:DQ220" si="354">AVERAGE(DG168:DG177)</f>
        <v>59.16391119508738</v>
      </c>
      <c r="DH220" s="182">
        <f t="shared" si="354"/>
        <v>29.334728564180615</v>
      </c>
      <c r="DI220" s="182">
        <f t="shared" si="354"/>
        <v>24.648738632691686</v>
      </c>
      <c r="DJ220" s="182">
        <f t="shared" si="354"/>
        <v>3.125</v>
      </c>
      <c r="DK220" s="182">
        <f t="shared" si="354"/>
        <v>0</v>
      </c>
      <c r="DL220" s="182">
        <f t="shared" si="354"/>
        <v>0</v>
      </c>
      <c r="DM220" s="182">
        <f t="shared" si="354"/>
        <v>0</v>
      </c>
      <c r="DN220" s="182">
        <f t="shared" si="354"/>
        <v>0</v>
      </c>
      <c r="DO220" s="182">
        <f t="shared" si="354"/>
        <v>0</v>
      </c>
      <c r="DP220" s="182">
        <f t="shared" si="354"/>
        <v>0</v>
      </c>
      <c r="DQ220" s="182">
        <f t="shared" si="354"/>
        <v>0</v>
      </c>
      <c r="DR220" s="182">
        <f t="shared" si="353"/>
        <v>0</v>
      </c>
      <c r="DS220" s="182">
        <f t="shared" si="353"/>
        <v>0</v>
      </c>
      <c r="DT220" s="182">
        <f t="shared" si="353"/>
        <v>0</v>
      </c>
      <c r="DU220" s="182">
        <f t="shared" si="353"/>
        <v>0</v>
      </c>
      <c r="DV220" s="182">
        <f t="shared" si="353"/>
        <v>0</v>
      </c>
      <c r="DW220" s="182">
        <f t="shared" si="353"/>
        <v>0</v>
      </c>
      <c r="DX220" s="182">
        <f t="shared" si="353"/>
        <v>0</v>
      </c>
      <c r="DY220" s="182">
        <f t="shared" si="353"/>
        <v>0</v>
      </c>
      <c r="DZ220" s="182">
        <f t="shared" si="353"/>
        <v>0</v>
      </c>
      <c r="EA220" s="182">
        <f t="shared" si="353"/>
        <v>0</v>
      </c>
      <c r="EB220" s="182">
        <f t="shared" si="353"/>
        <v>0</v>
      </c>
      <c r="EC220" s="182">
        <f t="shared" si="353"/>
        <v>0</v>
      </c>
      <c r="ED220" s="182">
        <f t="shared" si="353"/>
        <v>0</v>
      </c>
      <c r="EE220" s="182">
        <f t="shared" si="353"/>
        <v>0</v>
      </c>
      <c r="EF220" s="182">
        <f t="shared" si="353"/>
        <v>0</v>
      </c>
      <c r="EG220" s="182">
        <f t="shared" si="353"/>
        <v>0</v>
      </c>
      <c r="EH220" s="182">
        <f t="shared" si="353"/>
        <v>0</v>
      </c>
      <c r="EI220" s="182">
        <f t="shared" si="353"/>
        <v>0</v>
      </c>
      <c r="EJ220" s="182">
        <f t="shared" si="353"/>
        <v>0</v>
      </c>
      <c r="FY220" s="213">
        <v>215</v>
      </c>
      <c r="FZ220">
        <v>32.476718088614881</v>
      </c>
      <c r="GA220">
        <v>14.315788283647066</v>
      </c>
      <c r="GB220">
        <v>5.3649149389644748</v>
      </c>
      <c r="GC220">
        <v>4.2915957619375122</v>
      </c>
      <c r="GD220">
        <v>3.220207494827529</v>
      </c>
      <c r="GE220">
        <v>3.2034925454300627</v>
      </c>
      <c r="GF220">
        <v>18.625364787718329</v>
      </c>
      <c r="GG220">
        <v>18.738206856467251</v>
      </c>
      <c r="GH220">
        <v>10.799378637695884</v>
      </c>
      <c r="GI220">
        <v>13.014618672206932</v>
      </c>
      <c r="GJ220"/>
      <c r="GK220"/>
      <c r="GL220"/>
      <c r="GM220"/>
      <c r="GN220" s="208"/>
      <c r="GO220" s="208"/>
      <c r="GP220" s="208"/>
      <c r="GQ220" s="208"/>
      <c r="GR220" s="208"/>
      <c r="GS220" s="208"/>
      <c r="GT220" s="208"/>
      <c r="GU220" s="213">
        <v>215</v>
      </c>
    </row>
    <row r="221" spans="1:203" s="7" customFormat="1">
      <c r="A221" s="4"/>
      <c r="B221" s="87"/>
      <c r="C221" s="87"/>
      <c r="D221" s="87"/>
      <c r="E221" s="88"/>
      <c r="F221" s="88"/>
      <c r="G221" s="87"/>
      <c r="H221" s="87"/>
      <c r="I221" s="87"/>
      <c r="J221" s="87"/>
      <c r="K221" s="87"/>
      <c r="L221" s="87"/>
      <c r="M221" s="87"/>
      <c r="N221" s="87"/>
      <c r="O221" s="87"/>
      <c r="P221" s="87"/>
      <c r="Q221" s="87"/>
      <c r="R221" s="87"/>
      <c r="S221" s="87"/>
      <c r="T221" s="87"/>
      <c r="U221" s="87"/>
      <c r="V221" s="87"/>
      <c r="W221" s="87"/>
      <c r="X221" s="87"/>
      <c r="Y221" s="87"/>
      <c r="Z221" s="87"/>
      <c r="AA221" s="87"/>
      <c r="AB221" s="87"/>
      <c r="AC221" s="87"/>
      <c r="AD221" s="87"/>
      <c r="AE221" s="87"/>
      <c r="AF221" s="87"/>
      <c r="AG221" s="87"/>
      <c r="AH221" s="87"/>
      <c r="AI221" s="87"/>
      <c r="AJ221" s="87"/>
      <c r="AK221" s="87"/>
      <c r="AL221" s="87">
        <v>3.0028000000000028</v>
      </c>
      <c r="AM221" s="43">
        <v>205</v>
      </c>
      <c r="AN221">
        <v>317.11921629918623</v>
      </c>
      <c r="AO221">
        <v>26.2274507061686</v>
      </c>
      <c r="AP221">
        <v>103.67484101728294</v>
      </c>
      <c r="AQ221">
        <v>194.53098704482343</v>
      </c>
      <c r="AR221">
        <v>27.151063739078676</v>
      </c>
      <c r="AS221">
        <v>257.29307844918998</v>
      </c>
      <c r="AT221">
        <v>14.291680452904098</v>
      </c>
      <c r="AU221">
        <v>39.631350499471196</v>
      </c>
      <c r="AV221"/>
      <c r="AW221"/>
      <c r="BA221" s="195"/>
      <c r="BB221" s="193"/>
      <c r="BC221" s="193"/>
      <c r="BD221" s="193"/>
      <c r="BE221" s="193"/>
      <c r="BF221" s="193"/>
      <c r="BG221" s="193"/>
      <c r="BH221" s="193"/>
      <c r="BI221" s="193"/>
      <c r="BJ221" s="193"/>
      <c r="BK221" s="193"/>
      <c r="BL221" s="193"/>
      <c r="BM221" s="193"/>
      <c r="BN221" s="193"/>
      <c r="BO221" s="193"/>
      <c r="BP221" s="193"/>
      <c r="BQ221" s="193"/>
      <c r="BR221" s="193"/>
      <c r="BS221" s="193"/>
      <c r="BT221" s="193"/>
      <c r="BU221" s="193"/>
      <c r="BV221" s="193"/>
      <c r="BW221" s="193"/>
      <c r="BX221" s="193"/>
      <c r="BY221" s="193"/>
      <c r="BZ221" s="193"/>
      <c r="CA221" s="193"/>
      <c r="CB221" s="193"/>
      <c r="CC221" s="193"/>
      <c r="CD221" s="193"/>
      <c r="CE221" s="193"/>
      <c r="CF221" s="193"/>
      <c r="CG221" s="194"/>
      <c r="CH221" s="194"/>
      <c r="CI221" s="194"/>
      <c r="CJ221" s="194"/>
      <c r="CK221" s="194"/>
      <c r="CL221" s="194"/>
      <c r="CM221" s="197"/>
      <c r="CN221" s="193"/>
      <c r="CO221" s="193"/>
      <c r="CP221" s="193"/>
      <c r="CQ221" s="193"/>
      <c r="CR221" s="193"/>
      <c r="CS221" s="193"/>
      <c r="CT221" s="193"/>
      <c r="CU221" s="193"/>
      <c r="DE221" s="187">
        <f>DE178</f>
        <v>39987</v>
      </c>
      <c r="DF221" s="182">
        <f t="shared" ref="DF221:EJ221" si="355">AVERAGE(DF178:DF187)</f>
        <v>0</v>
      </c>
      <c r="DG221" s="182">
        <f t="shared" ref="DG221:DQ221" si="356">AVERAGE(DG178:DG187)</f>
        <v>28.197621641249089</v>
      </c>
      <c r="DH221" s="182">
        <f t="shared" si="356"/>
        <v>13.900236020334058</v>
      </c>
      <c r="DI221" s="182">
        <f t="shared" si="356"/>
        <v>8.1903594771241828</v>
      </c>
      <c r="DJ221" s="182">
        <f t="shared" si="356"/>
        <v>3.125</v>
      </c>
      <c r="DK221" s="182">
        <f t="shared" si="356"/>
        <v>2.083333333333333</v>
      </c>
      <c r="DL221" s="182">
        <f t="shared" si="356"/>
        <v>4.1666666666666661</v>
      </c>
      <c r="DM221" s="182">
        <f t="shared" si="356"/>
        <v>2.083333333333333</v>
      </c>
      <c r="DN221" s="182">
        <f t="shared" si="356"/>
        <v>2.083333333333333</v>
      </c>
      <c r="DO221" s="182">
        <f t="shared" si="356"/>
        <v>0</v>
      </c>
      <c r="DP221" s="182">
        <f t="shared" si="356"/>
        <v>0</v>
      </c>
      <c r="DQ221" s="182">
        <f t="shared" si="356"/>
        <v>0</v>
      </c>
      <c r="DR221" s="182">
        <f t="shared" si="355"/>
        <v>0</v>
      </c>
      <c r="DS221" s="182">
        <f t="shared" si="355"/>
        <v>0</v>
      </c>
      <c r="DT221" s="182">
        <f t="shared" si="355"/>
        <v>0</v>
      </c>
      <c r="DU221" s="182">
        <f t="shared" si="355"/>
        <v>0</v>
      </c>
      <c r="DV221" s="182">
        <f t="shared" si="355"/>
        <v>0</v>
      </c>
      <c r="DW221" s="182">
        <f t="shared" si="355"/>
        <v>0</v>
      </c>
      <c r="DX221" s="182">
        <f t="shared" si="355"/>
        <v>0</v>
      </c>
      <c r="DY221" s="182">
        <f t="shared" si="355"/>
        <v>0</v>
      </c>
      <c r="DZ221" s="182">
        <f t="shared" si="355"/>
        <v>0</v>
      </c>
      <c r="EA221" s="182">
        <f t="shared" si="355"/>
        <v>0</v>
      </c>
      <c r="EB221" s="182">
        <f t="shared" si="355"/>
        <v>0</v>
      </c>
      <c r="EC221" s="182">
        <f t="shared" si="355"/>
        <v>0</v>
      </c>
      <c r="ED221" s="182">
        <f t="shared" si="355"/>
        <v>0</v>
      </c>
      <c r="EE221" s="182">
        <f t="shared" si="355"/>
        <v>0</v>
      </c>
      <c r="EF221" s="182">
        <f t="shared" si="355"/>
        <v>0</v>
      </c>
      <c r="EG221" s="182">
        <f t="shared" si="355"/>
        <v>0</v>
      </c>
      <c r="EH221" s="182">
        <f t="shared" si="355"/>
        <v>0</v>
      </c>
      <c r="EI221" s="182">
        <f t="shared" si="355"/>
        <v>0</v>
      </c>
      <c r="EJ221" s="182">
        <f t="shared" si="355"/>
        <v>0</v>
      </c>
      <c r="FY221" s="213">
        <v>216</v>
      </c>
      <c r="FZ221">
        <v>44.263181040535279</v>
      </c>
      <c r="GA221">
        <v>48.112449924017049</v>
      </c>
      <c r="GB221">
        <v>11.960919567542517</v>
      </c>
      <c r="GC221">
        <v>5.8266185677145526</v>
      </c>
      <c r="GD221">
        <v>4.220044356385011</v>
      </c>
      <c r="GE221">
        <v>3.162449706604693</v>
      </c>
      <c r="GF221">
        <v>16.837648092207356</v>
      </c>
      <c r="GG221">
        <v>16.050663475017565</v>
      </c>
      <c r="GH221">
        <v>20.218872640317159</v>
      </c>
      <c r="GI221">
        <v>18.638608436551735</v>
      </c>
      <c r="GJ221"/>
      <c r="GK221"/>
      <c r="GL221"/>
      <c r="GM221"/>
      <c r="GN221" s="208"/>
      <c r="GO221" s="208"/>
      <c r="GP221" s="208"/>
      <c r="GQ221" s="208"/>
      <c r="GR221" s="208"/>
      <c r="GS221" s="208"/>
      <c r="GT221" s="208"/>
      <c r="GU221" s="213">
        <v>216</v>
      </c>
    </row>
    <row r="222" spans="1:203" s="7" customFormat="1">
      <c r="A222" s="4"/>
      <c r="B222" s="110"/>
      <c r="C222" s="110"/>
      <c r="D222" s="110"/>
      <c r="E222" s="110"/>
      <c r="F222" s="110"/>
      <c r="G222" s="110"/>
      <c r="H222" s="110"/>
      <c r="I222" s="110"/>
      <c r="J222" s="110"/>
      <c r="K222" s="110"/>
      <c r="L222" s="110"/>
      <c r="M222" s="110"/>
      <c r="N222" s="110"/>
      <c r="O222" s="110"/>
      <c r="P222" s="110"/>
      <c r="Q222" s="110"/>
      <c r="R222" s="110"/>
      <c r="S222" s="110"/>
      <c r="T222" s="110"/>
      <c r="U222" s="110"/>
      <c r="V222" s="110"/>
      <c r="W222" s="110"/>
      <c r="X222" s="110"/>
      <c r="Y222" s="110"/>
      <c r="Z222" s="110"/>
      <c r="AA222" s="110"/>
      <c r="AB222" s="110"/>
      <c r="AC222" s="110"/>
      <c r="AD222" s="110"/>
      <c r="AE222" s="110"/>
      <c r="AF222" s="110"/>
      <c r="AG222" s="110"/>
      <c r="AH222" s="110"/>
      <c r="AI222" s="110"/>
      <c r="AJ222" s="87"/>
      <c r="AK222" s="87"/>
      <c r="AL222" s="87">
        <v>3.0028000000000028</v>
      </c>
      <c r="AM222" s="43">
        <v>206</v>
      </c>
      <c r="AN222">
        <v>371.72591437496868</v>
      </c>
      <c r="AO222">
        <v>32.065555325341037</v>
      </c>
      <c r="AP222">
        <v>84.0787027654968</v>
      </c>
      <c r="AQ222">
        <v>229.46684447767592</v>
      </c>
      <c r="AR222">
        <v>31.911921207003193</v>
      </c>
      <c r="AS222">
        <v>288.96629767134334</v>
      </c>
      <c r="AT222">
        <v>15.315659942621087</v>
      </c>
      <c r="AU222">
        <v>-17.736607818047432</v>
      </c>
      <c r="AV222"/>
      <c r="AW222"/>
      <c r="BA222" s="195"/>
      <c r="BB222" s="193"/>
      <c r="BC222" s="198"/>
      <c r="BD222" s="198"/>
      <c r="BE222" s="198"/>
      <c r="BF222" s="198"/>
      <c r="BG222" s="198"/>
      <c r="BH222" s="198"/>
      <c r="BI222" s="198"/>
      <c r="BJ222" s="198"/>
      <c r="BK222" s="198"/>
      <c r="BL222" s="198"/>
      <c r="BM222" s="198"/>
      <c r="BN222" s="198"/>
      <c r="BO222" s="198"/>
      <c r="BP222" s="198"/>
      <c r="BQ222" s="198"/>
      <c r="BR222" s="198"/>
      <c r="BS222" s="198"/>
      <c r="BT222" s="198"/>
      <c r="BU222" s="198"/>
      <c r="BV222" s="198"/>
      <c r="BW222" s="193"/>
      <c r="BX222" s="198"/>
      <c r="BY222" s="193"/>
      <c r="BZ222" s="193"/>
      <c r="CA222" s="193"/>
      <c r="CB222" s="193"/>
      <c r="CC222" s="193"/>
      <c r="CD222" s="193"/>
      <c r="CE222" s="193"/>
      <c r="CF222" s="193"/>
      <c r="CG222" s="194"/>
      <c r="CH222" s="194"/>
      <c r="CI222" s="194"/>
      <c r="CJ222" s="194"/>
      <c r="CK222" s="194"/>
      <c r="CL222" s="194"/>
      <c r="CM222" s="197"/>
      <c r="CN222" s="193"/>
      <c r="CO222" s="193"/>
      <c r="CP222" s="193"/>
      <c r="CQ222" s="193"/>
      <c r="CR222" s="193"/>
      <c r="CS222" s="193"/>
      <c r="CT222" s="193"/>
      <c r="CU222" s="193"/>
      <c r="DE222" s="187">
        <v>40011</v>
      </c>
      <c r="DF222" s="182"/>
      <c r="DG222" s="186"/>
      <c r="DH222" s="186"/>
      <c r="DI222" s="186"/>
      <c r="DJ222" s="186"/>
      <c r="DK222" s="186"/>
      <c r="DL222" s="186"/>
      <c r="DM222" s="186"/>
      <c r="DN222" s="186"/>
      <c r="DO222" s="186"/>
      <c r="DP222" s="186"/>
      <c r="DQ222" s="186"/>
      <c r="DR222" s="186"/>
      <c r="DS222" s="186"/>
      <c r="DT222" s="186"/>
      <c r="DU222" s="186"/>
      <c r="DV222" s="186"/>
      <c r="DW222" s="186"/>
      <c r="DX222" s="186"/>
      <c r="DY222" s="186"/>
      <c r="DZ222" s="186"/>
      <c r="EA222" s="182"/>
      <c r="EB222" s="186"/>
      <c r="EC222" s="182"/>
      <c r="ED222" s="182"/>
      <c r="EE222" s="182"/>
      <c r="EF222" s="182"/>
      <c r="EG222" s="182"/>
      <c r="EH222" s="182"/>
      <c r="EI222" s="182"/>
      <c r="EJ222" s="182"/>
      <c r="FY222" s="213">
        <v>217</v>
      </c>
      <c r="FZ222">
        <v>72.677665194728064</v>
      </c>
      <c r="GA222">
        <v>54.948832543671394</v>
      </c>
      <c r="GB222">
        <v>4.7976573110264038</v>
      </c>
      <c r="GC222">
        <v>3.8065014230648511</v>
      </c>
      <c r="GD222">
        <v>3.104681349168029</v>
      </c>
      <c r="GE222">
        <v>3.3434733879168759</v>
      </c>
      <c r="GF222">
        <v>15.175588823392477</v>
      </c>
      <c r="GG222">
        <v>15.178417726793548</v>
      </c>
      <c r="GH222">
        <v>18.664670118832802</v>
      </c>
      <c r="GI222">
        <v>19.358713332065353</v>
      </c>
      <c r="GJ222"/>
      <c r="GK222"/>
      <c r="GL222"/>
      <c r="GM222"/>
      <c r="GN222" s="208"/>
      <c r="GO222" s="208"/>
      <c r="GP222" s="208"/>
      <c r="GQ222" s="208"/>
      <c r="GR222" s="208"/>
      <c r="GS222" s="208"/>
      <c r="GT222" s="208"/>
      <c r="GU222" s="213">
        <v>217</v>
      </c>
    </row>
    <row r="223" spans="1:203" s="7" customFormat="1">
      <c r="A223" s="4"/>
      <c r="B223" s="110"/>
      <c r="C223" s="110"/>
      <c r="D223" s="110"/>
      <c r="E223" s="110"/>
      <c r="F223" s="110"/>
      <c r="G223" s="110"/>
      <c r="H223" s="110"/>
      <c r="I223" s="110"/>
      <c r="J223" s="110"/>
      <c r="K223" s="110"/>
      <c r="L223" s="110"/>
      <c r="M223" s="110"/>
      <c r="N223" s="110"/>
      <c r="O223" s="110"/>
      <c r="P223" s="110"/>
      <c r="Q223" s="110"/>
      <c r="R223" s="110"/>
      <c r="S223" s="110"/>
      <c r="T223" s="110"/>
      <c r="U223" s="110"/>
      <c r="V223" s="110"/>
      <c r="W223" s="110"/>
      <c r="X223" s="110"/>
      <c r="Y223" s="110"/>
      <c r="Z223" s="110"/>
      <c r="AA223" s="110"/>
      <c r="AB223" s="110"/>
      <c r="AC223" s="110"/>
      <c r="AD223" s="110"/>
      <c r="AE223" s="110"/>
      <c r="AF223" s="110"/>
      <c r="AG223" s="110"/>
      <c r="AH223" s="110"/>
      <c r="AI223" s="110"/>
      <c r="AJ223" s="87"/>
      <c r="AK223" s="87"/>
      <c r="AL223" s="87">
        <v>3.0028000000000028</v>
      </c>
      <c r="AM223" s="43">
        <v>207</v>
      </c>
      <c r="AN223">
        <v>350.53515197085051</v>
      </c>
      <c r="AO223">
        <v>26.524132464877386</v>
      </c>
      <c r="AP223">
        <v>134.84793875645263</v>
      </c>
      <c r="AQ223">
        <v>184.0051139209321</v>
      </c>
      <c r="AR223">
        <v>26.264216396262075</v>
      </c>
      <c r="AS223">
        <v>254.61829263059397</v>
      </c>
      <c r="AT223">
        <v>12.069550677085465</v>
      </c>
      <c r="AU223">
        <v>11.184269061255916</v>
      </c>
      <c r="AV223"/>
      <c r="AW223"/>
      <c r="BA223" s="195"/>
      <c r="BB223" s="193"/>
      <c r="BC223" s="198"/>
      <c r="BD223" s="198"/>
      <c r="BE223" s="198"/>
      <c r="BF223" s="198"/>
      <c r="BG223" s="198"/>
      <c r="BH223" s="198"/>
      <c r="BI223" s="198"/>
      <c r="BJ223" s="198"/>
      <c r="BK223" s="198"/>
      <c r="BL223" s="198"/>
      <c r="BM223" s="198"/>
      <c r="BN223" s="198"/>
      <c r="BO223" s="198"/>
      <c r="BP223" s="198"/>
      <c r="BQ223" s="198"/>
      <c r="BR223" s="198"/>
      <c r="BS223" s="198"/>
      <c r="BT223" s="198"/>
      <c r="BU223" s="198"/>
      <c r="BV223" s="198"/>
      <c r="BW223" s="193"/>
      <c r="BX223" s="198"/>
      <c r="BY223" s="193"/>
      <c r="BZ223" s="193"/>
      <c r="CA223" s="193"/>
      <c r="CB223" s="193"/>
      <c r="CC223" s="193"/>
      <c r="CD223" s="193"/>
      <c r="CE223" s="193"/>
      <c r="CF223" s="193"/>
      <c r="CG223" s="194"/>
      <c r="CH223" s="194"/>
      <c r="CI223" s="194"/>
      <c r="CJ223" s="194"/>
      <c r="CK223" s="194"/>
      <c r="CL223" s="194"/>
      <c r="CM223" s="193"/>
      <c r="CN223" s="193"/>
      <c r="CO223" s="193"/>
      <c r="CP223" s="193"/>
      <c r="CQ223" s="193"/>
      <c r="CR223" s="193"/>
      <c r="CS223" s="193"/>
      <c r="CT223" s="193"/>
      <c r="CU223" s="193"/>
      <c r="DE223" s="187"/>
      <c r="DF223" s="182"/>
      <c r="DG223" s="186"/>
      <c r="DH223" s="186"/>
      <c r="DI223" s="186"/>
      <c r="DJ223" s="186"/>
      <c r="DK223" s="186"/>
      <c r="DL223" s="186"/>
      <c r="DM223" s="186"/>
      <c r="DN223" s="186"/>
      <c r="DO223" s="186"/>
      <c r="DP223" s="186"/>
      <c r="DQ223" s="186"/>
      <c r="DR223" s="186"/>
      <c r="DS223" s="186"/>
      <c r="DT223" s="186"/>
      <c r="DU223" s="186"/>
      <c r="DV223" s="186"/>
      <c r="DW223" s="186"/>
      <c r="DX223" s="186"/>
      <c r="DY223" s="186"/>
      <c r="DZ223" s="186"/>
      <c r="EA223" s="182"/>
      <c r="EB223" s="186"/>
      <c r="EC223" s="182"/>
      <c r="ED223" s="182"/>
      <c r="EE223" s="182"/>
      <c r="EF223" s="182"/>
      <c r="EG223" s="182"/>
      <c r="EH223" s="182"/>
      <c r="EI223" s="182"/>
      <c r="EJ223" s="182"/>
      <c r="FY223" s="213">
        <v>218</v>
      </c>
      <c r="FZ223">
        <v>50.362406242361992</v>
      </c>
      <c r="GA223">
        <v>69.703949000750228</v>
      </c>
      <c r="GB223">
        <v>16.379760230929858</v>
      </c>
      <c r="GC223">
        <v>6.090424848307662</v>
      </c>
      <c r="GD223">
        <v>5.4575343968997494</v>
      </c>
      <c r="GE223">
        <v>4.2177283439991342</v>
      </c>
      <c r="GF223">
        <v>10.850292786263447</v>
      </c>
      <c r="GG223">
        <v>13.978815592465645</v>
      </c>
      <c r="GH223">
        <v>15.695221424550308</v>
      </c>
      <c r="GI223">
        <v>19.710164133477086</v>
      </c>
      <c r="GJ223"/>
      <c r="GK223"/>
      <c r="GL223"/>
      <c r="GM223"/>
      <c r="GN223" s="208"/>
      <c r="GO223" s="208"/>
      <c r="GP223" s="208"/>
      <c r="GQ223" s="208"/>
      <c r="GR223" s="208"/>
      <c r="GS223" s="208"/>
      <c r="GT223" s="208"/>
      <c r="GU223" s="213">
        <v>218</v>
      </c>
    </row>
    <row r="224" spans="1:203" s="7" customFormat="1">
      <c r="A224" s="87"/>
      <c r="B224" s="110"/>
      <c r="C224" s="110"/>
      <c r="D224" s="110"/>
      <c r="E224" s="110"/>
      <c r="F224" s="110"/>
      <c r="G224" s="110"/>
      <c r="H224" s="110"/>
      <c r="I224" s="110"/>
      <c r="J224" s="110"/>
      <c r="K224" s="110"/>
      <c r="L224" s="110"/>
      <c r="M224" s="110"/>
      <c r="N224" s="110"/>
      <c r="O224" s="110"/>
      <c r="P224" s="110"/>
      <c r="Q224" s="110"/>
      <c r="R224" s="110"/>
      <c r="S224" s="110"/>
      <c r="T224" s="110"/>
      <c r="U224" s="110"/>
      <c r="V224" s="110"/>
      <c r="W224" s="110"/>
      <c r="X224" s="110"/>
      <c r="Y224" s="110"/>
      <c r="Z224" s="110"/>
      <c r="AA224" s="110"/>
      <c r="AB224" s="110"/>
      <c r="AC224" s="110"/>
      <c r="AD224" s="110"/>
      <c r="AE224" s="110"/>
      <c r="AF224" s="110"/>
      <c r="AG224" s="110"/>
      <c r="AH224" s="110"/>
      <c r="AI224" s="110"/>
      <c r="AJ224" s="87"/>
      <c r="AK224" s="87"/>
      <c r="AL224" s="87">
        <v>3.0028000000000028</v>
      </c>
      <c r="AM224" s="43">
        <v>208</v>
      </c>
      <c r="AN224">
        <v>283.75228267213032</v>
      </c>
      <c r="AO224">
        <v>29.161508492502566</v>
      </c>
      <c r="AP224">
        <v>69.608553060335751</v>
      </c>
      <c r="AQ224">
        <v>220.25592155189918</v>
      </c>
      <c r="AR224">
        <v>30.387139348489121</v>
      </c>
      <c r="AS224">
        <v>234.29115411758042</v>
      </c>
      <c r="AT224">
        <v>13.857536798156659</v>
      </c>
      <c r="AU224">
        <v>5.450783210459754</v>
      </c>
      <c r="AV224"/>
      <c r="AW224"/>
      <c r="BA224" s="199"/>
      <c r="BB224" s="194"/>
      <c r="BC224" s="200"/>
      <c r="BD224" s="200"/>
      <c r="BE224" s="200"/>
      <c r="BF224" s="200"/>
      <c r="BG224" s="200"/>
      <c r="BH224" s="200"/>
      <c r="BI224" s="200"/>
      <c r="BJ224" s="200"/>
      <c r="BK224" s="200"/>
      <c r="BL224" s="200"/>
      <c r="BM224" s="200"/>
      <c r="BN224" s="200"/>
      <c r="BO224" s="200"/>
      <c r="BP224" s="200"/>
      <c r="BQ224" s="200"/>
      <c r="BR224" s="200"/>
      <c r="BS224" s="200"/>
      <c r="BT224" s="200"/>
      <c r="BU224" s="200"/>
      <c r="BV224" s="200"/>
      <c r="BW224" s="194"/>
      <c r="BX224" s="200"/>
      <c r="BY224" s="194"/>
      <c r="BZ224" s="194"/>
      <c r="CA224" s="194"/>
      <c r="CB224" s="194"/>
      <c r="CC224" s="194"/>
      <c r="CD224" s="194"/>
      <c r="CE224" s="194"/>
      <c r="CF224" s="194"/>
      <c r="CG224" s="194"/>
      <c r="CH224" s="194"/>
      <c r="CI224" s="194"/>
      <c r="CJ224" s="194"/>
      <c r="CK224" s="194"/>
      <c r="CL224" s="194"/>
      <c r="CM224" s="193"/>
      <c r="CN224" s="193"/>
      <c r="CO224" s="193"/>
      <c r="CP224" s="193"/>
      <c r="CQ224" s="193"/>
      <c r="CR224" s="193"/>
      <c r="CS224" s="193"/>
      <c r="CT224" s="193"/>
      <c r="CU224" s="193"/>
      <c r="DE224" s="184" t="s">
        <v>139</v>
      </c>
      <c r="DH224" s="204" t="s">
        <v>142</v>
      </c>
      <c r="FY224" s="213">
        <v>219</v>
      </c>
      <c r="FZ224">
        <v>52.356573033475946</v>
      </c>
      <c r="GA224">
        <v>71.412239598048785</v>
      </c>
      <c r="GB224">
        <v>11.117831370583961</v>
      </c>
      <c r="GC224">
        <v>7.3182326309330898</v>
      </c>
      <c r="GD224">
        <v>5.5592684444266638</v>
      </c>
      <c r="GE224">
        <v>6.4145995866634093</v>
      </c>
      <c r="GF224">
        <v>13.536728542246408</v>
      </c>
      <c r="GG224">
        <v>8.3652384445456551</v>
      </c>
      <c r="GH224">
        <v>27.57594508451788</v>
      </c>
      <c r="GI224">
        <v>21.007608184965417</v>
      </c>
      <c r="GJ224"/>
      <c r="GK224"/>
      <c r="GL224"/>
      <c r="GM224"/>
      <c r="GN224" s="208"/>
      <c r="GO224" s="208"/>
      <c r="GP224" s="208"/>
      <c r="GQ224" s="208"/>
      <c r="GR224" s="208"/>
      <c r="GS224" s="208"/>
      <c r="GT224" s="208"/>
      <c r="GU224" s="213">
        <v>219</v>
      </c>
    </row>
    <row r="225" spans="1:203" s="7" customFormat="1">
      <c r="A225" s="87"/>
      <c r="B225" s="110"/>
      <c r="C225" s="110"/>
      <c r="D225" s="110"/>
      <c r="E225" s="110"/>
      <c r="F225" s="110"/>
      <c r="G225" s="110"/>
      <c r="H225" s="110"/>
      <c r="I225" s="110"/>
      <c r="J225" s="110"/>
      <c r="K225" s="110"/>
      <c r="L225" s="110"/>
      <c r="M225" s="110"/>
      <c r="N225" s="110"/>
      <c r="O225" s="110"/>
      <c r="P225" s="110"/>
      <c r="Q225" s="110"/>
      <c r="R225" s="110"/>
      <c r="S225" s="110"/>
      <c r="T225" s="110"/>
      <c r="U225" s="110"/>
      <c r="V225" s="110"/>
      <c r="W225" s="110"/>
      <c r="X225" s="110"/>
      <c r="Y225" s="110"/>
      <c r="Z225" s="110"/>
      <c r="AA225" s="110"/>
      <c r="AB225" s="110"/>
      <c r="AC225" s="110"/>
      <c r="AD225" s="110"/>
      <c r="AE225" s="110"/>
      <c r="AF225" s="110"/>
      <c r="AG225" s="110"/>
      <c r="AH225" s="110"/>
      <c r="AI225" s="110"/>
      <c r="AJ225" s="87"/>
      <c r="AK225" s="87"/>
      <c r="AL225" s="87">
        <v>3.0028000000000028</v>
      </c>
      <c r="AM225" s="43">
        <v>209</v>
      </c>
      <c r="AN225">
        <v>391.14866517246168</v>
      </c>
      <c r="AO225">
        <v>30.854527043260912</v>
      </c>
      <c r="AP225">
        <v>127.17267618662697</v>
      </c>
      <c r="AQ225">
        <v>228.61588592405437</v>
      </c>
      <c r="AR225">
        <v>31.582402221621216</v>
      </c>
      <c r="AS225">
        <v>289.41028527101264</v>
      </c>
      <c r="AT225">
        <v>14.280223446890494</v>
      </c>
      <c r="AU225">
        <v>19.95185551510167</v>
      </c>
      <c r="AV225"/>
      <c r="AW225"/>
      <c r="BA225" s="171"/>
      <c r="BC225" s="172"/>
      <c r="BD225" s="172"/>
      <c r="BE225" s="172"/>
      <c r="BF225" s="172"/>
      <c r="BG225" s="172"/>
      <c r="BH225" s="172"/>
      <c r="BI225" s="172"/>
      <c r="BJ225" s="172"/>
      <c r="BK225" s="172"/>
      <c r="BL225" s="172"/>
      <c r="BM225" s="172"/>
      <c r="BN225" s="172"/>
      <c r="BO225" s="172"/>
      <c r="BP225" s="172"/>
      <c r="BQ225" s="172"/>
      <c r="BR225" s="172"/>
      <c r="BS225" s="172"/>
      <c r="BT225" s="172"/>
      <c r="BU225" s="172"/>
      <c r="BV225" s="172"/>
      <c r="BX225" s="172"/>
      <c r="DE225" s="187">
        <v>39646</v>
      </c>
      <c r="DF225" s="205"/>
      <c r="DG225" s="205">
        <f>((DG212*$H$372)+(DH212*$I$372)+(DI212*$J$372)+(DJ212*$K$372)+(DK212*$L$372)+(DL212*$M$372)+(DM212*$N$372)+(DN212*$O$372)+(DO212*$P$372)+(DP212*$Q$372)+(DQ212*$R$372)+(DR212*$S$372)+(DS212*$T$372)+(DT212*$U$372))/SUM(DG212:DT212)</f>
        <v>0.40385651740558054</v>
      </c>
      <c r="DH225" s="205"/>
      <c r="DI225" s="205"/>
      <c r="DJ225" s="205"/>
      <c r="DK225" s="205"/>
      <c r="DL225" s="205"/>
      <c r="DM225" s="205"/>
      <c r="DN225" s="205"/>
      <c r="DO225" s="205"/>
      <c r="DP225" s="205"/>
      <c r="DQ225" s="205"/>
      <c r="DR225" s="205"/>
      <c r="DS225" s="205"/>
      <c r="DT225" s="205"/>
      <c r="DU225" s="205"/>
      <c r="DV225" s="205"/>
      <c r="DW225" s="205"/>
      <c r="DX225" s="205"/>
      <c r="DY225" s="205"/>
      <c r="DZ225" s="205"/>
      <c r="EA225" s="205"/>
      <c r="EB225" s="205"/>
      <c r="EC225" s="205"/>
      <c r="ED225" s="205"/>
      <c r="EE225" s="205"/>
      <c r="EF225" s="205"/>
      <c r="EG225" s="205"/>
      <c r="EH225" s="205"/>
      <c r="EI225" s="205"/>
      <c r="EJ225" s="205"/>
      <c r="FY225" s="213">
        <v>220</v>
      </c>
      <c r="FZ225">
        <v>22.836662927243218</v>
      </c>
      <c r="GA225">
        <v>38.396116272651547</v>
      </c>
      <c r="GB225">
        <v>12.599703288013318</v>
      </c>
      <c r="GC225">
        <v>6.3395621758690703</v>
      </c>
      <c r="GD225">
        <v>5.5490133079492541</v>
      </c>
      <c r="GE225">
        <v>7.9010012670288789</v>
      </c>
      <c r="GF225">
        <v>17.275390585910756</v>
      </c>
      <c r="GG225">
        <v>13.321408329975979</v>
      </c>
      <c r="GH225">
        <v>17.96232048722759</v>
      </c>
      <c r="GI225">
        <v>16.211956101291637</v>
      </c>
      <c r="GJ225"/>
      <c r="GK225"/>
      <c r="GL225"/>
      <c r="GM225"/>
      <c r="GN225" s="208"/>
      <c r="GO225" s="208"/>
      <c r="GP225" s="208"/>
      <c r="GQ225" s="208"/>
      <c r="GR225" s="208"/>
      <c r="GS225" s="208"/>
      <c r="GT225" s="208"/>
      <c r="GU225" s="213">
        <v>220</v>
      </c>
    </row>
    <row r="226" spans="1:203" s="7" customFormat="1">
      <c r="A226" s="87"/>
      <c r="B226" s="110"/>
      <c r="C226" s="110"/>
      <c r="D226" s="110"/>
      <c r="E226" s="110"/>
      <c r="F226" s="110"/>
      <c r="G226" s="110"/>
      <c r="H226" s="110"/>
      <c r="I226" s="110"/>
      <c r="J226" s="110"/>
      <c r="K226" s="110"/>
      <c r="L226" s="110"/>
      <c r="M226" s="110"/>
      <c r="N226" s="110"/>
      <c r="O226" s="110"/>
      <c r="P226" s="110"/>
      <c r="Q226" s="110"/>
      <c r="R226" s="110"/>
      <c r="S226" s="110"/>
      <c r="T226" s="110"/>
      <c r="U226" s="110"/>
      <c r="V226" s="110"/>
      <c r="W226" s="110"/>
      <c r="X226" s="110"/>
      <c r="Y226" s="110"/>
      <c r="Z226" s="110"/>
      <c r="AA226" s="110"/>
      <c r="AB226" s="110"/>
      <c r="AC226" s="110"/>
      <c r="AD226" s="110"/>
      <c r="AE226" s="110"/>
      <c r="AF226" s="110"/>
      <c r="AG226" s="110"/>
      <c r="AH226" s="110"/>
      <c r="AI226" s="110"/>
      <c r="AJ226" s="87"/>
      <c r="AK226" s="87"/>
      <c r="AL226" s="87">
        <v>3.0028000000000028</v>
      </c>
      <c r="AM226" s="43">
        <v>210</v>
      </c>
      <c r="AN226">
        <v>371.86140932738363</v>
      </c>
      <c r="AO226">
        <v>32.684730378630071</v>
      </c>
      <c r="AP226">
        <v>99.096734616066556</v>
      </c>
      <c r="AQ226">
        <v>231.55632421349418</v>
      </c>
      <c r="AR226">
        <v>34.268418251903448</v>
      </c>
      <c r="AS226">
        <v>305.10581078854369</v>
      </c>
      <c r="AT226">
        <v>15.098916118757325</v>
      </c>
      <c r="AU226">
        <v>51.569371050130371</v>
      </c>
      <c r="AV226"/>
      <c r="AW226"/>
      <c r="DE226" s="187">
        <f>DE101</f>
        <v>39673</v>
      </c>
      <c r="DF226" s="205"/>
      <c r="DG226" s="205">
        <f t="shared" ref="DG226:DG235" si="357">((DG213*$H$372)+(DH213*$I$372)+(DI213*$J$372)+(DJ213*$K$372)+(DK213*$L$372)+(DL213*$M$372)+(DM213*$N$372)+(DN213*$O$372)+(DO213*$P$372)+(DP213*$Q$372)+(DQ213*$R$372)+(DR213*$S$372)+(DS213*$T$372)+(DT213*$U$372))/SUM(DG213:DT213)</f>
        <v>0.55335393276228828</v>
      </c>
      <c r="DH226" s="205">
        <f>(LN(DG226/DG225))/(DE213-DE212)</f>
        <v>1.1664376293747223E-2</v>
      </c>
      <c r="DI226" s="205"/>
      <c r="DJ226" s="205"/>
      <c r="DK226" s="205"/>
      <c r="DL226" s="205"/>
      <c r="DM226" s="205"/>
      <c r="DN226" s="205"/>
      <c r="DO226" s="205"/>
      <c r="DP226" s="205"/>
      <c r="DQ226" s="205"/>
      <c r="DR226" s="205"/>
      <c r="DS226" s="205"/>
      <c r="DT226" s="205"/>
      <c r="DU226" s="205"/>
      <c r="DV226" s="205"/>
      <c r="DW226" s="205"/>
      <c r="DX226" s="205"/>
      <c r="DY226" s="205"/>
      <c r="DZ226" s="205"/>
      <c r="EA226" s="205"/>
      <c r="EB226" s="205"/>
      <c r="EC226" s="205"/>
      <c r="ED226" s="205"/>
      <c r="EE226" s="205"/>
      <c r="EF226" s="205"/>
      <c r="EG226" s="205"/>
      <c r="EH226" s="205"/>
      <c r="EI226" s="205"/>
      <c r="EJ226" s="205"/>
      <c r="FY226" s="213">
        <v>221</v>
      </c>
      <c r="FZ226">
        <v>20.741865276382473</v>
      </c>
      <c r="GA226">
        <v>51.467030478319678</v>
      </c>
      <c r="GB226">
        <v>15.537083469096782</v>
      </c>
      <c r="GC226">
        <v>4.8095382282616743</v>
      </c>
      <c r="GD226">
        <v>5.2300817493840075</v>
      </c>
      <c r="GE226">
        <v>5.7365142412491306</v>
      </c>
      <c r="GF226">
        <v>12.410885022899613</v>
      </c>
      <c r="GG226">
        <v>13.393869180594375</v>
      </c>
      <c r="GH226">
        <v>16.777241001701004</v>
      </c>
      <c r="GI226">
        <v>15.64868179448038</v>
      </c>
      <c r="GJ226"/>
      <c r="GK226"/>
      <c r="GL226"/>
      <c r="GM226"/>
      <c r="GN226" s="208"/>
      <c r="GO226" s="208"/>
      <c r="GP226" s="208"/>
      <c r="GQ226" s="208"/>
      <c r="GR226" s="208"/>
      <c r="GS226" s="208"/>
      <c r="GT226" s="208"/>
      <c r="GU226" s="213">
        <v>221</v>
      </c>
    </row>
    <row r="227" spans="1:203" s="7" customFormat="1">
      <c r="A227" s="89"/>
      <c r="B227" s="111"/>
      <c r="C227" s="111"/>
      <c r="D227" s="111"/>
      <c r="E227" s="111"/>
      <c r="F227" s="111"/>
      <c r="G227" s="111"/>
      <c r="H227" s="111"/>
      <c r="I227" s="111"/>
      <c r="J227" s="111"/>
      <c r="K227" s="111"/>
      <c r="L227" s="111"/>
      <c r="M227" s="111"/>
      <c r="N227" s="111"/>
      <c r="O227" s="111"/>
      <c r="P227" s="111"/>
      <c r="Q227" s="111"/>
      <c r="R227" s="111"/>
      <c r="S227" s="111"/>
      <c r="T227" s="111"/>
      <c r="U227" s="111"/>
      <c r="V227" s="111"/>
      <c r="W227" s="111"/>
      <c r="X227" s="111"/>
      <c r="Y227" s="111"/>
      <c r="Z227" s="111"/>
      <c r="AA227" s="111"/>
      <c r="AB227" s="111"/>
      <c r="AC227" s="111"/>
      <c r="AD227" s="111"/>
      <c r="AE227" s="111"/>
      <c r="AF227" s="111"/>
      <c r="AG227" s="111"/>
      <c r="AH227" s="111"/>
      <c r="AI227" s="111"/>
      <c r="AJ227" s="2"/>
      <c r="AK227" s="81"/>
      <c r="AL227" s="81">
        <v>3.0028000000000028</v>
      </c>
      <c r="AM227" s="43">
        <v>211</v>
      </c>
      <c r="AN227">
        <v>290.7480255797982</v>
      </c>
      <c r="AO227">
        <v>29.418982026539407</v>
      </c>
      <c r="AP227">
        <v>84.618988946126194</v>
      </c>
      <c r="AQ227">
        <v>217.08248864092437</v>
      </c>
      <c r="AR227">
        <v>29.791993854633468</v>
      </c>
      <c r="AS227">
        <v>260.84602858810024</v>
      </c>
      <c r="AT227">
        <v>13.283133652836062</v>
      </c>
      <c r="AU227">
        <v>-5.3023685092844559</v>
      </c>
      <c r="AV227"/>
      <c r="AW227"/>
      <c r="DE227" s="187">
        <f>DE111</f>
        <v>39714</v>
      </c>
      <c r="DF227" s="205"/>
      <c r="DG227" s="205">
        <f t="shared" si="357"/>
        <v>0.41793609728916897</v>
      </c>
      <c r="DH227" s="205">
        <f t="shared" ref="DH227:DH234" si="358">(LN(DG227/DG226))/(DE214-DE213)</f>
        <v>-6.8455921057073215E-3</v>
      </c>
      <c r="DI227" s="205"/>
      <c r="DJ227" s="205"/>
      <c r="DK227" s="205"/>
      <c r="DL227" s="205"/>
      <c r="DM227" s="205"/>
      <c r="DN227" s="205"/>
      <c r="DO227" s="205"/>
      <c r="DP227" s="205"/>
      <c r="DQ227" s="205"/>
      <c r="DR227" s="205"/>
      <c r="DS227" s="205"/>
      <c r="DT227" s="205"/>
      <c r="DU227" s="205"/>
      <c r="DV227" s="205"/>
      <c r="DW227" s="205"/>
      <c r="DX227" s="205"/>
      <c r="DY227" s="205"/>
      <c r="DZ227" s="205"/>
      <c r="EA227" s="205"/>
      <c r="EB227" s="205"/>
      <c r="EC227" s="205"/>
      <c r="ED227" s="205"/>
      <c r="EE227" s="205"/>
      <c r="EF227" s="205"/>
      <c r="EG227" s="205"/>
      <c r="EH227" s="205"/>
      <c r="EI227" s="205"/>
      <c r="EJ227" s="205"/>
      <c r="FY227" s="213">
        <v>222</v>
      </c>
      <c r="FZ227">
        <v>38.906048414995809</v>
      </c>
      <c r="GA227">
        <v>52.666700982653971</v>
      </c>
      <c r="GB227">
        <v>16.127296776159682</v>
      </c>
      <c r="GC227">
        <v>6.2266913486032847</v>
      </c>
      <c r="GD227">
        <v>5.5731182748620016</v>
      </c>
      <c r="GE227">
        <v>6.1252072319337607</v>
      </c>
      <c r="GF227">
        <v>10.575995689229885</v>
      </c>
      <c r="GG227">
        <v>9.8685916510057545</v>
      </c>
      <c r="GH227">
        <v>9.0337150784278588</v>
      </c>
      <c r="GI227">
        <v>17.019177557919591</v>
      </c>
      <c r="GJ227"/>
      <c r="GK227"/>
      <c r="GL227"/>
      <c r="GM227"/>
      <c r="GN227" s="208"/>
      <c r="GO227" s="208"/>
      <c r="GP227" s="208"/>
      <c r="GQ227" s="208"/>
      <c r="GR227" s="208"/>
      <c r="GS227" s="208"/>
      <c r="GT227" s="208"/>
      <c r="GU227" s="213">
        <v>222</v>
      </c>
    </row>
    <row r="228" spans="1:203" s="7" customFormat="1">
      <c r="A228" s="9" t="s">
        <v>60</v>
      </c>
      <c r="B228">
        <v>3.44515314800935E-2</v>
      </c>
      <c r="C228">
        <v>7</v>
      </c>
      <c r="D228">
        <v>39646</v>
      </c>
      <c r="E228">
        <v>0</v>
      </c>
      <c r="F228">
        <v>0</v>
      </c>
      <c r="G228">
        <v>41.666666666666664</v>
      </c>
      <c r="H228">
        <v>72.916666666666671</v>
      </c>
      <c r="I228">
        <v>0</v>
      </c>
      <c r="J228">
        <v>0</v>
      </c>
      <c r="K228">
        <v>10.416666666666666</v>
      </c>
      <c r="L228">
        <v>10.416666666666666</v>
      </c>
      <c r="M228">
        <v>0</v>
      </c>
      <c r="N228">
        <v>0</v>
      </c>
      <c r="O228">
        <v>0</v>
      </c>
      <c r="P228">
        <v>10.416666666666666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 s="2"/>
      <c r="AK228" s="81"/>
      <c r="AL228" s="81">
        <v>3.0028000000000028</v>
      </c>
      <c r="AM228" s="43">
        <v>212</v>
      </c>
      <c r="AN228">
        <v>260.13455707679424</v>
      </c>
      <c r="AO228">
        <v>22.679078914879433</v>
      </c>
      <c r="AP228">
        <v>68.904273466785185</v>
      </c>
      <c r="AQ228">
        <v>165.97785945442064</v>
      </c>
      <c r="AR228">
        <v>25.343306451835833</v>
      </c>
      <c r="AS228">
        <v>215.70064935625643</v>
      </c>
      <c r="AT228">
        <v>13.223103653654286</v>
      </c>
      <c r="AU228">
        <v>50.128019223221003</v>
      </c>
      <c r="AV228"/>
      <c r="AW228"/>
      <c r="BB228" s="168"/>
      <c r="BC228" s="86"/>
      <c r="BD228" s="86"/>
      <c r="BE228" s="86"/>
      <c r="BF228" s="86"/>
      <c r="BG228" s="86"/>
      <c r="BH228" s="86"/>
      <c r="BI228" s="86"/>
      <c r="BJ228" s="169"/>
      <c r="BK228" s="169"/>
      <c r="BL228" s="170"/>
      <c r="BM228" s="169"/>
      <c r="BN228" s="170"/>
      <c r="BO228" s="169"/>
      <c r="BP228" s="170"/>
      <c r="BQ228" s="169"/>
      <c r="BR228" s="170"/>
      <c r="BS228" s="169"/>
      <c r="BT228" s="170"/>
      <c r="BU228" s="169"/>
      <c r="BV228" s="170"/>
      <c r="DE228" s="187">
        <f>DE121</f>
        <v>39747</v>
      </c>
      <c r="DF228" s="205"/>
      <c r="DG228" s="205">
        <f t="shared" si="357"/>
        <v>1.774286728503233E-2</v>
      </c>
      <c r="DH228" s="205">
        <f t="shared" si="358"/>
        <v>-9.5737725802276075E-2</v>
      </c>
      <c r="DI228" s="205"/>
      <c r="DJ228" s="205"/>
      <c r="DK228" s="205"/>
      <c r="DL228" s="205"/>
      <c r="DM228" s="205"/>
      <c r="DN228" s="205"/>
      <c r="DO228" s="205"/>
      <c r="DP228" s="205"/>
      <c r="DQ228" s="205"/>
      <c r="DR228" s="205"/>
      <c r="DS228" s="205"/>
      <c r="DT228" s="205"/>
      <c r="DU228" s="205"/>
      <c r="DV228" s="205"/>
      <c r="DW228" s="205"/>
      <c r="DX228" s="205"/>
      <c r="DY228" s="205"/>
      <c r="DZ228" s="205"/>
      <c r="EA228" s="205"/>
      <c r="EB228" s="205"/>
      <c r="EC228" s="205"/>
      <c r="ED228" s="205"/>
      <c r="EE228" s="205"/>
      <c r="EF228" s="205"/>
      <c r="EG228" s="205"/>
      <c r="EH228" s="205"/>
      <c r="EI228" s="205"/>
      <c r="EJ228" s="205"/>
      <c r="FY228" s="213">
        <v>223</v>
      </c>
      <c r="FZ228">
        <v>33.652580026791213</v>
      </c>
      <c r="GA228">
        <v>48.39290523692334</v>
      </c>
      <c r="GB228">
        <v>16.500185718416176</v>
      </c>
      <c r="GC228">
        <v>6.3963403819881801</v>
      </c>
      <c r="GD228">
        <v>5.8724236664794702</v>
      </c>
      <c r="GE228">
        <v>4.7863991245317967</v>
      </c>
      <c r="GF228">
        <v>17.540972536422583</v>
      </c>
      <c r="GG228">
        <v>19.94155444557197</v>
      </c>
      <c r="GH228">
        <v>16.979901543416116</v>
      </c>
      <c r="GI228">
        <v>18.925420358998892</v>
      </c>
      <c r="GJ228"/>
      <c r="GK228"/>
      <c r="GL228"/>
      <c r="GM228"/>
      <c r="GN228" s="208"/>
      <c r="GO228" s="208"/>
      <c r="GP228" s="208"/>
      <c r="GQ228" s="208"/>
      <c r="GR228" s="208"/>
      <c r="GS228" s="208"/>
      <c r="GT228" s="208"/>
      <c r="GU228" s="213">
        <v>223</v>
      </c>
    </row>
    <row r="229" spans="1:203" s="7" customFormat="1">
      <c r="A229" s="90"/>
      <c r="B229">
        <v>0.71283694723809621</v>
      </c>
      <c r="C229">
        <v>8</v>
      </c>
      <c r="D229">
        <v>39646</v>
      </c>
      <c r="E229">
        <v>0</v>
      </c>
      <c r="F229">
        <v>0</v>
      </c>
      <c r="G229">
        <v>93.75</v>
      </c>
      <c r="H229">
        <v>83.333333333333329</v>
      </c>
      <c r="I229">
        <v>10.416666666666666</v>
      </c>
      <c r="J229">
        <v>20.833333333333332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 s="2"/>
      <c r="AK229" s="81"/>
      <c r="AL229" s="81"/>
      <c r="AM229" s="43">
        <v>213</v>
      </c>
      <c r="AN229">
        <v>348.7406335358059</v>
      </c>
      <c r="AO229">
        <v>24.987582728186759</v>
      </c>
      <c r="AP229">
        <v>95.531888949043562</v>
      </c>
      <c r="AQ229">
        <v>181.94130901218975</v>
      </c>
      <c r="AR229">
        <v>25.524550218374522</v>
      </c>
      <c r="AS229">
        <v>252.05228901307024</v>
      </c>
      <c r="AT229">
        <v>12.136594761975424</v>
      </c>
      <c r="AU229">
        <v>23.253573341263341</v>
      </c>
      <c r="AV229"/>
      <c r="AW229"/>
      <c r="BA229" s="171"/>
      <c r="BC229" s="162"/>
      <c r="BD229" s="162"/>
      <c r="BE229" s="162"/>
      <c r="BF229" s="162"/>
      <c r="BG229" s="162"/>
      <c r="BH229" s="162"/>
      <c r="BI229" s="162"/>
      <c r="BJ229" s="162"/>
      <c r="BK229" s="162"/>
      <c r="BL229" s="162"/>
      <c r="BM229" s="162"/>
      <c r="BN229" s="162"/>
      <c r="BO229" s="162"/>
      <c r="BP229" s="162"/>
      <c r="BQ229" s="162"/>
      <c r="BR229" s="162"/>
      <c r="BS229" s="162"/>
      <c r="BT229" s="162"/>
      <c r="BU229" s="162"/>
      <c r="BV229" s="162"/>
      <c r="DE229" s="187">
        <f>DE131</f>
        <v>39775</v>
      </c>
      <c r="DF229" s="205"/>
      <c r="DG229" s="205">
        <f t="shared" si="357"/>
        <v>4.5724696186784361E-2</v>
      </c>
      <c r="DH229" s="205">
        <f t="shared" si="358"/>
        <v>3.3809105636926906E-2</v>
      </c>
      <c r="DI229" s="205"/>
      <c r="DJ229" s="205"/>
      <c r="DK229" s="205"/>
      <c r="DL229" s="205"/>
      <c r="DM229" s="205"/>
      <c r="DN229" s="205"/>
      <c r="DO229" s="205"/>
      <c r="DP229" s="205"/>
      <c r="DQ229" s="205"/>
      <c r="DR229" s="205"/>
      <c r="DS229" s="205"/>
      <c r="DT229" s="205"/>
      <c r="DU229" s="205"/>
      <c r="DV229" s="205"/>
      <c r="DW229" s="205"/>
      <c r="DX229" s="205"/>
      <c r="DY229" s="205"/>
      <c r="DZ229" s="205"/>
      <c r="EA229" s="205"/>
      <c r="EB229" s="205"/>
      <c r="EC229" s="205"/>
      <c r="ED229" s="205"/>
      <c r="EE229" s="205"/>
      <c r="EF229" s="205"/>
      <c r="EG229" s="205"/>
      <c r="EH229" s="205"/>
      <c r="EI229" s="205"/>
      <c r="EJ229" s="205"/>
      <c r="FY229" s="213">
        <v>224</v>
      </c>
      <c r="FZ229">
        <v>51.617331076495155</v>
      </c>
      <c r="GA229">
        <v>65.022534041442157</v>
      </c>
      <c r="GB229">
        <v>14.541605961268353</v>
      </c>
      <c r="GC229">
        <v>5.5117616681737713</v>
      </c>
      <c r="GD229">
        <v>5.0519895019553331</v>
      </c>
      <c r="GE229">
        <v>6.9908350782563113</v>
      </c>
      <c r="GF229">
        <v>20.631831392839153</v>
      </c>
      <c r="GG229">
        <v>18.459508519747509</v>
      </c>
      <c r="GH229">
        <v>16.273176364238118</v>
      </c>
      <c r="GI229">
        <v>21.005266210435526</v>
      </c>
      <c r="GJ229"/>
      <c r="GK229"/>
      <c r="GL229"/>
      <c r="GM229"/>
      <c r="GN229" s="208"/>
      <c r="GO229" s="208"/>
      <c r="GP229" s="208"/>
      <c r="GQ229" s="208"/>
      <c r="GR229" s="208"/>
      <c r="GS229" s="208"/>
      <c r="GT229" s="208"/>
      <c r="GU229" s="213">
        <v>224</v>
      </c>
    </row>
    <row r="230" spans="1:203" s="7" customFormat="1">
      <c r="A230" s="77"/>
      <c r="B230">
        <v>0.59345382058617457</v>
      </c>
      <c r="C230">
        <v>8</v>
      </c>
      <c r="D230">
        <v>39646</v>
      </c>
      <c r="E230">
        <v>0</v>
      </c>
      <c r="F230">
        <v>0</v>
      </c>
      <c r="G230">
        <v>93.75</v>
      </c>
      <c r="H230">
        <v>83.333333333333329</v>
      </c>
      <c r="I230">
        <v>10.416666666666666</v>
      </c>
      <c r="J230">
        <v>20.833333333333332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 s="2"/>
      <c r="AK230" s="81"/>
      <c r="AL230" s="81"/>
      <c r="AM230" s="43">
        <v>214</v>
      </c>
      <c r="AN230">
        <v>307.72187266952221</v>
      </c>
      <c r="AO230">
        <v>26.325675278270591</v>
      </c>
      <c r="AP230">
        <v>119.67457517059709</v>
      </c>
      <c r="AQ230">
        <v>192.64835004522138</v>
      </c>
      <c r="AR230">
        <v>26.331552220987898</v>
      </c>
      <c r="AS230">
        <v>252.99146245149646</v>
      </c>
      <c r="AT230">
        <v>13.411593403398079</v>
      </c>
      <c r="AU230">
        <v>39.880064368695074</v>
      </c>
      <c r="AV230"/>
      <c r="AW230"/>
      <c r="BA230" s="171"/>
      <c r="BC230" s="162"/>
      <c r="BD230" s="162"/>
      <c r="BE230" s="162"/>
      <c r="BF230" s="162"/>
      <c r="BG230" s="162"/>
      <c r="BH230" s="162"/>
      <c r="BI230" s="162"/>
      <c r="BJ230" s="162"/>
      <c r="BK230" s="162"/>
      <c r="BL230" s="162"/>
      <c r="BM230" s="162"/>
      <c r="BN230" s="162"/>
      <c r="BO230" s="162"/>
      <c r="BP230" s="162"/>
      <c r="BQ230" s="162"/>
      <c r="BR230" s="162"/>
      <c r="BS230" s="162"/>
      <c r="BT230" s="162"/>
      <c r="BU230" s="162"/>
      <c r="BV230" s="162"/>
      <c r="DE230" s="187">
        <f>DE141</f>
        <v>39799</v>
      </c>
      <c r="DF230" s="205"/>
      <c r="DG230" s="205">
        <f t="shared" si="357"/>
        <v>4.234960629381776E-2</v>
      </c>
      <c r="DH230" s="205">
        <f t="shared" si="358"/>
        <v>-3.1949760553827929E-3</v>
      </c>
      <c r="DI230" s="205"/>
      <c r="DJ230" s="205"/>
      <c r="DK230" s="205"/>
      <c r="DL230" s="205"/>
      <c r="DM230" s="205"/>
      <c r="DN230" s="205"/>
      <c r="DO230" s="205"/>
      <c r="DP230" s="205"/>
      <c r="DQ230" s="205"/>
      <c r="DR230" s="205"/>
      <c r="DS230" s="205"/>
      <c r="DT230" s="205"/>
      <c r="DU230" s="205"/>
      <c r="DV230" s="205"/>
      <c r="DW230" s="205"/>
      <c r="DX230" s="205"/>
      <c r="DY230" s="205"/>
      <c r="DZ230" s="205"/>
      <c r="EA230" s="205"/>
      <c r="EB230" s="205"/>
      <c r="EC230" s="205"/>
      <c r="ED230" s="205"/>
      <c r="EE230" s="205"/>
      <c r="EF230" s="205"/>
      <c r="EG230" s="205"/>
      <c r="EH230" s="205"/>
      <c r="EI230" s="205"/>
      <c r="EJ230" s="205"/>
      <c r="FY230" s="213">
        <v>225</v>
      </c>
      <c r="FZ230">
        <v>41.089930628171615</v>
      </c>
      <c r="GA230">
        <v>49.162504718290052</v>
      </c>
      <c r="GB230">
        <v>11.703782105579723</v>
      </c>
      <c r="GC230">
        <v>6.2156064286572121</v>
      </c>
      <c r="GD230">
        <v>5.9210882520147097</v>
      </c>
      <c r="GE230">
        <v>4.4053879505590183</v>
      </c>
      <c r="GF230">
        <v>14.645391320392328</v>
      </c>
      <c r="GG230">
        <v>16.072667444843528</v>
      </c>
      <c r="GH230">
        <v>10.803592433412172</v>
      </c>
      <c r="GI230">
        <v>17.134595557101921</v>
      </c>
      <c r="GJ230"/>
      <c r="GK230"/>
      <c r="GL230"/>
      <c r="GM230"/>
      <c r="GN230" s="208"/>
      <c r="GO230" s="208"/>
      <c r="GP230" s="208"/>
      <c r="GQ230" s="208"/>
      <c r="GR230" s="208"/>
      <c r="GS230" s="208"/>
      <c r="GT230" s="208"/>
      <c r="GU230" s="213">
        <v>225</v>
      </c>
    </row>
    <row r="231" spans="1:203" s="7" customFormat="1">
      <c r="A231" s="77"/>
      <c r="B231">
        <v>0.35139015808530805</v>
      </c>
      <c r="C231">
        <v>6</v>
      </c>
      <c r="D231">
        <v>39646</v>
      </c>
      <c r="E231">
        <v>0</v>
      </c>
      <c r="F231">
        <v>0</v>
      </c>
      <c r="G231">
        <v>20.833333333333332</v>
      </c>
      <c r="H231">
        <v>31.25</v>
      </c>
      <c r="I231">
        <v>10.416666666666666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 s="2"/>
      <c r="AK231" s="81"/>
      <c r="AL231" s="81"/>
      <c r="AM231" s="43">
        <v>215</v>
      </c>
      <c r="AN231">
        <v>243.50321561357765</v>
      </c>
      <c r="AO231">
        <v>17.318390730913425</v>
      </c>
      <c r="AP231">
        <v>100.57252486962508</v>
      </c>
      <c r="AQ231">
        <v>124.05028606750992</v>
      </c>
      <c r="AR231">
        <v>19.008843708338624</v>
      </c>
      <c r="AS231">
        <v>187.23520182286251</v>
      </c>
      <c r="AT231">
        <v>10.684027210986107</v>
      </c>
      <c r="AU231">
        <v>-343.43836804655166</v>
      </c>
      <c r="AV231"/>
      <c r="AW231"/>
      <c r="BA231" s="171"/>
      <c r="BC231" s="162"/>
      <c r="BD231" s="162"/>
      <c r="BE231" s="162"/>
      <c r="BF231" s="162"/>
      <c r="BG231" s="162"/>
      <c r="BH231" s="162"/>
      <c r="BI231" s="162"/>
      <c r="BJ231" s="162"/>
      <c r="BK231" s="162"/>
      <c r="BL231" s="162"/>
      <c r="BM231" s="162"/>
      <c r="BN231" s="162"/>
      <c r="BO231" s="162"/>
      <c r="BP231" s="162"/>
      <c r="BQ231" s="162"/>
      <c r="BR231" s="162"/>
      <c r="BS231" s="162"/>
      <c r="BT231" s="162"/>
      <c r="BU231" s="162"/>
      <c r="BV231" s="162"/>
      <c r="DE231" s="187">
        <f>DE151</f>
        <v>39847</v>
      </c>
      <c r="DF231" s="205"/>
      <c r="DG231" s="205">
        <f t="shared" si="357"/>
        <v>2.8079705410420798E-2</v>
      </c>
      <c r="DH231" s="205">
        <f t="shared" si="358"/>
        <v>-8.5606674280864423E-3</v>
      </c>
      <c r="DI231" s="205"/>
      <c r="DJ231" s="205"/>
      <c r="DK231" s="205"/>
      <c r="DL231" s="205"/>
      <c r="DM231" s="205"/>
      <c r="DN231" s="205"/>
      <c r="DO231" s="205"/>
      <c r="DP231" s="205"/>
      <c r="DQ231" s="205"/>
      <c r="DR231" s="205"/>
      <c r="DS231" s="205"/>
      <c r="DT231" s="205"/>
      <c r="DU231" s="205"/>
      <c r="DV231" s="205"/>
      <c r="DW231" s="205"/>
      <c r="DX231" s="205"/>
      <c r="DY231" s="205"/>
      <c r="DZ231" s="205"/>
      <c r="EA231" s="205"/>
      <c r="EB231" s="205"/>
      <c r="EC231" s="205"/>
      <c r="ED231" s="205"/>
      <c r="EE231" s="205"/>
      <c r="EF231" s="205"/>
      <c r="EG231" s="205"/>
      <c r="EH231" s="205"/>
      <c r="EI231" s="205"/>
      <c r="EJ231" s="205"/>
      <c r="FY231" s="213">
        <v>226</v>
      </c>
      <c r="FZ231">
        <v>46.474263000110994</v>
      </c>
      <c r="GA231">
        <v>47.792680977378183</v>
      </c>
      <c r="GB231">
        <v>5.5491261138874135</v>
      </c>
      <c r="GC231">
        <v>7.4116037989284518</v>
      </c>
      <c r="GD231">
        <v>4.7887994805403329</v>
      </c>
      <c r="GE231">
        <v>3.2384789612479326</v>
      </c>
      <c r="GF231">
        <v>17.716660162693319</v>
      </c>
      <c r="GG231">
        <v>15.871034574563785</v>
      </c>
      <c r="GH231">
        <v>17.137136882138094</v>
      </c>
      <c r="GI231">
        <v>16.969227366521828</v>
      </c>
      <c r="GJ231"/>
      <c r="GK231"/>
      <c r="GL231"/>
      <c r="GM231"/>
      <c r="GN231" s="208"/>
      <c r="GO231" s="208"/>
      <c r="GP231" s="208"/>
      <c r="GQ231" s="208"/>
      <c r="GR231" s="208"/>
      <c r="GS231" s="208"/>
      <c r="GT231" s="208"/>
      <c r="GU231" s="213">
        <v>226</v>
      </c>
    </row>
    <row r="232" spans="1:203" s="7" customFormat="1">
      <c r="A232" s="77"/>
      <c r="B232">
        <v>0.98934484761571118</v>
      </c>
      <c r="C232">
        <v>1</v>
      </c>
      <c r="D232">
        <v>39646</v>
      </c>
      <c r="E232">
        <v>0</v>
      </c>
      <c r="F232">
        <v>0</v>
      </c>
      <c r="G232">
        <v>72.916666666666671</v>
      </c>
      <c r="H232">
        <v>62.5</v>
      </c>
      <c r="I232">
        <v>31.25</v>
      </c>
      <c r="J232">
        <v>41.666666666666664</v>
      </c>
      <c r="K232">
        <v>10.416666666666666</v>
      </c>
      <c r="L232">
        <v>31.25</v>
      </c>
      <c r="M232">
        <v>0</v>
      </c>
      <c r="N232">
        <v>0</v>
      </c>
      <c r="O232">
        <v>10.416666666666666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 s="2"/>
      <c r="AK232" s="81"/>
      <c r="AL232" s="81"/>
      <c r="AM232" s="43">
        <v>216</v>
      </c>
      <c r="AN232">
        <v>286.7257005119547</v>
      </c>
      <c r="AO232">
        <v>25.981216046885624</v>
      </c>
      <c r="AP232">
        <v>98.731265228030679</v>
      </c>
      <c r="AQ232">
        <v>189.29145580689288</v>
      </c>
      <c r="AR232">
        <v>27.592344831039206</v>
      </c>
      <c r="AS232">
        <v>235.07184990914357</v>
      </c>
      <c r="AT232">
        <v>12.136165425727981</v>
      </c>
      <c r="AU232">
        <v>13.045816058047077</v>
      </c>
      <c r="AV232"/>
      <c r="AW232"/>
      <c r="BA232" s="171"/>
      <c r="BC232" s="162"/>
      <c r="BD232" s="162"/>
      <c r="BE232" s="162"/>
      <c r="BF232" s="162"/>
      <c r="BG232" s="162"/>
      <c r="BH232" s="162"/>
      <c r="BI232" s="162"/>
      <c r="BJ232" s="162"/>
      <c r="BK232" s="162"/>
      <c r="BL232" s="162"/>
      <c r="BM232" s="162"/>
      <c r="BN232" s="162"/>
      <c r="BO232" s="162"/>
      <c r="BP232" s="162"/>
      <c r="BQ232" s="162"/>
      <c r="BR232" s="162"/>
      <c r="BS232" s="162"/>
      <c r="BT232" s="162"/>
      <c r="BU232" s="162"/>
      <c r="BV232" s="162"/>
      <c r="DE232" s="187">
        <f>DE162</f>
        <v>39910</v>
      </c>
      <c r="DF232" s="205"/>
      <c r="DG232" s="205">
        <f t="shared" si="357"/>
        <v>6.5698178591791973E-2</v>
      </c>
      <c r="DH232" s="205">
        <f t="shared" si="358"/>
        <v>1.3492446253609286E-2</v>
      </c>
      <c r="DI232" s="205"/>
      <c r="DJ232" s="205"/>
      <c r="DK232" s="205"/>
      <c r="DL232" s="205"/>
      <c r="DM232" s="205"/>
      <c r="DN232" s="205"/>
      <c r="DO232" s="205"/>
      <c r="DP232" s="205"/>
      <c r="DQ232" s="205"/>
      <c r="DR232" s="205"/>
      <c r="DS232" s="205"/>
      <c r="DT232" s="205"/>
      <c r="DU232" s="205"/>
      <c r="DV232" s="205"/>
      <c r="DW232" s="205"/>
      <c r="DX232" s="205"/>
      <c r="DY232" s="205"/>
      <c r="DZ232" s="205"/>
      <c r="EA232" s="205"/>
      <c r="EB232" s="205"/>
      <c r="EC232" s="205"/>
      <c r="ED232" s="205"/>
      <c r="EE232" s="205"/>
      <c r="EF232" s="205"/>
      <c r="EG232" s="205"/>
      <c r="EH232" s="205"/>
      <c r="EI232" s="205"/>
      <c r="EJ232" s="205"/>
      <c r="FY232" s="213">
        <v>227</v>
      </c>
      <c r="FZ232">
        <v>60.365675307103992</v>
      </c>
      <c r="GA232">
        <v>45.883104482473179</v>
      </c>
      <c r="GB232">
        <v>6.884127444093366</v>
      </c>
      <c r="GC232">
        <v>4.0481628017319755</v>
      </c>
      <c r="GD232">
        <v>3.2503347524624688</v>
      </c>
      <c r="GE232">
        <v>3.9320208624333</v>
      </c>
      <c r="GF232">
        <v>11.168254840109407</v>
      </c>
      <c r="GG232">
        <v>10.422172766075423</v>
      </c>
      <c r="GH232">
        <v>22.132387588127717</v>
      </c>
      <c r="GI232">
        <v>18.270372611335198</v>
      </c>
      <c r="GJ232"/>
      <c r="GK232"/>
      <c r="GL232"/>
      <c r="GM232"/>
      <c r="GN232" s="208"/>
      <c r="GO232" s="208"/>
      <c r="GP232" s="208"/>
      <c r="GQ232" s="208"/>
      <c r="GR232" s="208"/>
      <c r="GS232" s="208"/>
      <c r="GT232" s="208"/>
      <c r="GU232" s="213">
        <v>227</v>
      </c>
    </row>
    <row r="233" spans="1:203" s="7" customFormat="1">
      <c r="A233" s="77"/>
      <c r="B233">
        <v>0.50194161470864462</v>
      </c>
      <c r="C233">
        <v>5</v>
      </c>
      <c r="D233">
        <v>39646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 s="2"/>
      <c r="AK233" s="81"/>
      <c r="AL233" s="81"/>
      <c r="AM233" s="43">
        <v>217</v>
      </c>
      <c r="AN233">
        <v>248.35087963837071</v>
      </c>
      <c r="AO233">
        <v>25.995307483952161</v>
      </c>
      <c r="AP233">
        <v>83.981922034089735</v>
      </c>
      <c r="AQ233">
        <v>211.05620121065976</v>
      </c>
      <c r="AR233">
        <v>28.315440861634464</v>
      </c>
      <c r="AS233">
        <v>243.6606658316083</v>
      </c>
      <c r="AT233">
        <v>14.193271034617306</v>
      </c>
      <c r="AU233">
        <v>41.625185382120009</v>
      </c>
      <c r="AV233"/>
      <c r="AW233"/>
      <c r="BA233" s="171"/>
      <c r="BC233" s="162"/>
      <c r="BD233" s="162"/>
      <c r="BE233" s="162"/>
      <c r="BF233" s="162"/>
      <c r="BG233" s="162"/>
      <c r="BH233" s="162"/>
      <c r="BI233" s="162"/>
      <c r="BJ233" s="162"/>
      <c r="BK233" s="162"/>
      <c r="BL233" s="162"/>
      <c r="BM233" s="162"/>
      <c r="BN233" s="162"/>
      <c r="BO233" s="162"/>
      <c r="BP233" s="162"/>
      <c r="BQ233" s="162"/>
      <c r="BR233" s="162"/>
      <c r="BS233" s="162"/>
      <c r="BT233" s="162"/>
      <c r="BU233" s="162"/>
      <c r="BV233" s="162"/>
      <c r="DE233" s="187">
        <f>DE171</f>
        <v>39949</v>
      </c>
      <c r="DF233" s="205"/>
      <c r="DG233" s="205">
        <f t="shared" si="357"/>
        <v>8.2625891348476074E-2</v>
      </c>
      <c r="DH233" s="205">
        <f t="shared" si="358"/>
        <v>5.8782534357502596E-3</v>
      </c>
      <c r="DI233" s="205"/>
      <c r="DJ233" s="205"/>
      <c r="DK233" s="205"/>
      <c r="DL233" s="205"/>
      <c r="DM233" s="205"/>
      <c r="DN233" s="205"/>
      <c r="DO233" s="205"/>
      <c r="DP233" s="205"/>
      <c r="DQ233" s="205"/>
      <c r="DR233" s="205"/>
      <c r="DS233" s="205"/>
      <c r="DT233" s="205"/>
      <c r="DU233" s="205"/>
      <c r="DV233" s="205"/>
      <c r="DW233" s="205"/>
      <c r="DX233" s="205"/>
      <c r="DY233" s="205"/>
      <c r="DZ233" s="205"/>
      <c r="EA233" s="205"/>
      <c r="EB233" s="205"/>
      <c r="EC233" s="205"/>
      <c r="ED233" s="205"/>
      <c r="EE233" s="205"/>
      <c r="EF233" s="205"/>
      <c r="EG233" s="205"/>
      <c r="EH233" s="205"/>
      <c r="EI233" s="205"/>
      <c r="EJ233" s="205"/>
      <c r="FY233" s="213">
        <v>228</v>
      </c>
      <c r="FZ233">
        <v>30.558919339150343</v>
      </c>
      <c r="GA233">
        <v>10.207263242482156</v>
      </c>
      <c r="GB233">
        <v>3.7404830788799805</v>
      </c>
      <c r="GC233">
        <v>5.5498982319507153</v>
      </c>
      <c r="GD233">
        <v>4.7685607146493627</v>
      </c>
      <c r="GE233">
        <v>6.2920209243561711</v>
      </c>
      <c r="GF233">
        <v>16.619366849179748</v>
      </c>
      <c r="GG233">
        <v>13.222109324961997</v>
      </c>
      <c r="GH233">
        <v>11.17102177936912</v>
      </c>
      <c r="GI233">
        <v>12.953495948719137</v>
      </c>
      <c r="GJ233"/>
      <c r="GK233"/>
      <c r="GL233"/>
      <c r="GM233"/>
      <c r="GN233" s="208"/>
      <c r="GO233" s="208"/>
      <c r="GP233" s="208"/>
      <c r="GQ233" s="208"/>
      <c r="GR233" s="208"/>
      <c r="GS233" s="208"/>
      <c r="GT233" s="208"/>
      <c r="GU233" s="213">
        <v>228</v>
      </c>
    </row>
    <row r="234" spans="1:203" s="7" customFormat="1">
      <c r="A234" s="77"/>
      <c r="B234">
        <v>0.34686203599054366</v>
      </c>
      <c r="C234">
        <v>10</v>
      </c>
      <c r="D234">
        <v>39646</v>
      </c>
      <c r="E234">
        <v>0</v>
      </c>
      <c r="F234">
        <v>0</v>
      </c>
      <c r="G234">
        <v>93.75</v>
      </c>
      <c r="H234">
        <v>72.916666666666671</v>
      </c>
      <c r="I234">
        <v>0</v>
      </c>
      <c r="J234">
        <v>10.416666666666666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 s="2"/>
      <c r="AK234" s="81"/>
      <c r="AL234" s="81"/>
      <c r="AM234" s="43">
        <v>218</v>
      </c>
      <c r="AN234">
        <v>309.62554186326167</v>
      </c>
      <c r="AO234">
        <v>28.954658470380377</v>
      </c>
      <c r="AP234">
        <v>85.874083665825481</v>
      </c>
      <c r="AQ234">
        <v>212.44629700000513</v>
      </c>
      <c r="AR234">
        <v>29.103373624050246</v>
      </c>
      <c r="AS234">
        <v>284.76111697681245</v>
      </c>
      <c r="AT234">
        <v>13.002249610122947</v>
      </c>
      <c r="AU234">
        <v>-13.026076013312398</v>
      </c>
      <c r="AV234"/>
      <c r="AW234"/>
      <c r="BA234" s="171"/>
      <c r="BC234" s="162"/>
      <c r="BD234" s="162"/>
      <c r="BE234" s="162"/>
      <c r="BF234" s="162"/>
      <c r="BG234" s="162"/>
      <c r="BH234" s="162"/>
      <c r="BI234" s="162"/>
      <c r="BJ234" s="162"/>
      <c r="BK234" s="162"/>
      <c r="BL234" s="162"/>
      <c r="BM234" s="162"/>
      <c r="BN234" s="162"/>
      <c r="BO234" s="162"/>
      <c r="BP234" s="162"/>
      <c r="BQ234" s="162"/>
      <c r="BR234" s="162"/>
      <c r="BS234" s="162"/>
      <c r="BT234" s="162"/>
      <c r="BU234" s="162"/>
      <c r="BV234" s="162"/>
      <c r="DE234" s="187">
        <f>DE181</f>
        <v>39987</v>
      </c>
      <c r="DF234" s="205"/>
      <c r="DG234" s="205">
        <f t="shared" si="357"/>
        <v>0.35252893483306103</v>
      </c>
      <c r="DH234" s="205">
        <f t="shared" si="358"/>
        <v>3.8179200461158372E-2</v>
      </c>
      <c r="DI234" s="205"/>
      <c r="DJ234" s="205"/>
      <c r="DK234" s="205"/>
      <c r="DL234" s="205"/>
      <c r="DM234" s="205"/>
      <c r="DN234" s="205"/>
      <c r="DO234" s="205"/>
      <c r="DP234" s="205"/>
      <c r="DQ234" s="205"/>
      <c r="DR234" s="205"/>
      <c r="DS234" s="205"/>
      <c r="DT234" s="205"/>
      <c r="DU234" s="205"/>
      <c r="DV234" s="205"/>
      <c r="DW234" s="205"/>
      <c r="DX234" s="205"/>
      <c r="DY234" s="205"/>
      <c r="DZ234" s="205"/>
      <c r="EA234" s="205"/>
      <c r="EB234" s="205"/>
      <c r="EC234" s="205"/>
      <c r="ED234" s="205"/>
      <c r="EE234" s="205"/>
      <c r="EF234" s="205"/>
      <c r="EG234" s="205"/>
      <c r="EH234" s="205"/>
      <c r="EI234" s="205"/>
      <c r="EJ234" s="205"/>
      <c r="FY234" s="213">
        <v>229</v>
      </c>
      <c r="FZ234">
        <v>31.791106427454082</v>
      </c>
      <c r="GA234">
        <v>32.449482998362271</v>
      </c>
      <c r="GB234">
        <v>8.5677808753031677</v>
      </c>
      <c r="GC234">
        <v>6.0109266847384557</v>
      </c>
      <c r="GD234">
        <v>4.2264627383504747</v>
      </c>
      <c r="GE234">
        <v>3.6761813355647437</v>
      </c>
      <c r="GF234">
        <v>17.388350842820177</v>
      </c>
      <c r="GG234">
        <v>16.420227808141298</v>
      </c>
      <c r="GH234">
        <v>13.692180015778069</v>
      </c>
      <c r="GI234">
        <v>14.803622431314922</v>
      </c>
      <c r="GJ234"/>
      <c r="GK234"/>
      <c r="GL234"/>
      <c r="GM234"/>
      <c r="GN234" s="208"/>
      <c r="GO234" s="208"/>
      <c r="GP234" s="208"/>
      <c r="GQ234" s="208"/>
      <c r="GR234" s="208"/>
      <c r="GS234" s="208"/>
      <c r="GT234" s="208"/>
      <c r="GU234" s="213">
        <v>229</v>
      </c>
    </row>
    <row r="235" spans="1:203" s="7" customFormat="1">
      <c r="A235" s="77"/>
      <c r="B235">
        <v>0.73056040376692444</v>
      </c>
      <c r="C235">
        <v>1</v>
      </c>
      <c r="D235">
        <v>39646</v>
      </c>
      <c r="E235">
        <v>0</v>
      </c>
      <c r="F235">
        <v>0</v>
      </c>
      <c r="G235">
        <v>72.916666666666671</v>
      </c>
      <c r="H235">
        <v>62.5</v>
      </c>
      <c r="I235">
        <v>31.25</v>
      </c>
      <c r="J235">
        <v>41.666666666666664</v>
      </c>
      <c r="K235">
        <v>10.416666666666666</v>
      </c>
      <c r="L235">
        <v>31.25</v>
      </c>
      <c r="M235">
        <v>0</v>
      </c>
      <c r="N235">
        <v>0</v>
      </c>
      <c r="O235">
        <v>10.416666666666666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 s="2"/>
      <c r="AK235" s="81"/>
      <c r="AL235" s="81"/>
      <c r="AM235" s="43">
        <v>219</v>
      </c>
      <c r="AN235">
        <v>316.98052755335794</v>
      </c>
      <c r="AO235">
        <v>30.182761953154294</v>
      </c>
      <c r="AP235">
        <v>150.78225719503865</v>
      </c>
      <c r="AQ235">
        <v>224.66426492040722</v>
      </c>
      <c r="AR235">
        <v>30.898884218810217</v>
      </c>
      <c r="AS235">
        <v>260.95904932384224</v>
      </c>
      <c r="AT235">
        <v>13.935929025176575</v>
      </c>
      <c r="AU235">
        <v>-8.3890032134678876</v>
      </c>
      <c r="AV235"/>
      <c r="AW235"/>
      <c r="BA235" s="171"/>
      <c r="BC235" s="162"/>
      <c r="BD235" s="162"/>
      <c r="BE235" s="162"/>
      <c r="BF235" s="162"/>
      <c r="BG235" s="162"/>
      <c r="BH235" s="162"/>
      <c r="BI235" s="162"/>
      <c r="BJ235" s="162"/>
      <c r="BK235" s="162"/>
      <c r="BL235" s="162"/>
      <c r="BM235" s="162"/>
      <c r="BN235" s="162"/>
      <c r="BO235" s="162"/>
      <c r="BP235" s="162"/>
      <c r="BQ235" s="162"/>
      <c r="BR235" s="162"/>
      <c r="BS235" s="162"/>
      <c r="BT235" s="162"/>
      <c r="BU235" s="162"/>
      <c r="BV235" s="162"/>
      <c r="DF235" s="205"/>
      <c r="DG235" s="205" t="e">
        <f t="shared" si="357"/>
        <v>#DIV/0!</v>
      </c>
      <c r="DH235" s="205">
        <f>(LN(DG225/DG234))/(DE222-DE221)</f>
        <v>5.6636231844023237E-3</v>
      </c>
      <c r="DI235" s="205"/>
      <c r="DJ235" s="205"/>
      <c r="DK235" s="205"/>
      <c r="DL235" s="205"/>
      <c r="DM235" s="205"/>
      <c r="DN235" s="205"/>
      <c r="DO235" s="205"/>
      <c r="DP235" s="205"/>
      <c r="DQ235" s="205"/>
      <c r="DR235" s="205"/>
      <c r="DS235" s="205"/>
      <c r="DT235" s="205"/>
      <c r="DU235" s="205"/>
      <c r="DV235" s="205"/>
      <c r="DW235" s="205"/>
      <c r="DX235" s="205"/>
      <c r="DY235" s="205"/>
      <c r="DZ235" s="205"/>
      <c r="EA235" s="205"/>
      <c r="EB235" s="205"/>
      <c r="EC235" s="205"/>
      <c r="ED235" s="205"/>
      <c r="EE235" s="205"/>
      <c r="EF235" s="205"/>
      <c r="EG235" s="205"/>
      <c r="EH235" s="205"/>
      <c r="EI235" s="205"/>
      <c r="EJ235" s="205"/>
      <c r="FY235" s="213">
        <v>230</v>
      </c>
      <c r="FZ235">
        <v>74.792324579339891</v>
      </c>
      <c r="GA235">
        <v>94.960783711033017</v>
      </c>
      <c r="GB235">
        <v>15.589402580876884</v>
      </c>
      <c r="GC235">
        <v>5.6688163814223085</v>
      </c>
      <c r="GD235">
        <v>5.4863213767101096</v>
      </c>
      <c r="GE235">
        <v>9.3184842682580857</v>
      </c>
      <c r="GF235">
        <v>25.313798013999797</v>
      </c>
      <c r="GG235">
        <v>17.764608407205298</v>
      </c>
      <c r="GH235">
        <v>10.276357835909975</v>
      </c>
      <c r="GI235">
        <v>24.873702781128991</v>
      </c>
      <c r="GJ235"/>
      <c r="GK235"/>
      <c r="GL235"/>
      <c r="GM235"/>
      <c r="GN235" s="208"/>
      <c r="GO235" s="208"/>
      <c r="GP235" s="208"/>
      <c r="GQ235" s="208"/>
      <c r="GR235" s="208"/>
      <c r="GS235" s="208"/>
      <c r="GT235" s="208"/>
      <c r="GU235" s="213">
        <v>230</v>
      </c>
    </row>
    <row r="236" spans="1:203" s="7" customFormat="1">
      <c r="A236" s="77"/>
      <c r="B236">
        <v>0.68988177152912789</v>
      </c>
      <c r="C236">
        <v>3</v>
      </c>
      <c r="D236">
        <v>39646</v>
      </c>
      <c r="E236">
        <v>0</v>
      </c>
      <c r="F236">
        <v>41.666666666666664</v>
      </c>
      <c r="G236">
        <v>62.5</v>
      </c>
      <c r="H236">
        <v>0</v>
      </c>
      <c r="I236">
        <v>10.416666666666666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 s="2"/>
      <c r="AK236" s="81"/>
      <c r="AL236" s="81"/>
      <c r="AM236" s="43">
        <v>220</v>
      </c>
      <c r="AN236">
        <v>354.00569485097185</v>
      </c>
      <c r="AO236">
        <v>23.410651015101649</v>
      </c>
      <c r="AP236">
        <v>105.48012560336431</v>
      </c>
      <c r="AQ236">
        <v>158.39313474316126</v>
      </c>
      <c r="AR236">
        <v>23.600096882400752</v>
      </c>
      <c r="AS236">
        <v>232.3626129114256</v>
      </c>
      <c r="AT236">
        <v>10.061013234210963</v>
      </c>
      <c r="AU236">
        <v>15.443122477104403</v>
      </c>
      <c r="AV236"/>
      <c r="AW236"/>
      <c r="BA236" s="171"/>
      <c r="BC236" s="162"/>
      <c r="BD236" s="162"/>
      <c r="BE236" s="162"/>
      <c r="BF236" s="162"/>
      <c r="BG236" s="162"/>
      <c r="BH236" s="162"/>
      <c r="BI236" s="162"/>
      <c r="BJ236" s="162"/>
      <c r="BK236" s="162"/>
      <c r="BL236" s="162"/>
      <c r="BM236" s="162"/>
      <c r="BN236" s="162"/>
      <c r="BO236" s="162"/>
      <c r="BP236" s="162"/>
      <c r="BQ236" s="162"/>
      <c r="BR236" s="162"/>
      <c r="BS236" s="162"/>
      <c r="BT236" s="162"/>
      <c r="BU236" s="162"/>
      <c r="BV236" s="162"/>
      <c r="DF236" s="205"/>
      <c r="DG236" s="205"/>
      <c r="DH236" s="205"/>
      <c r="DI236" s="205"/>
      <c r="DJ236" s="205"/>
      <c r="DK236" s="205"/>
      <c r="DL236" s="205"/>
      <c r="DM236" s="205"/>
      <c r="DN236" s="205"/>
      <c r="DO236" s="205"/>
      <c r="DP236" s="205"/>
      <c r="DQ236" s="205"/>
      <c r="DR236" s="205"/>
      <c r="DS236" s="205"/>
      <c r="DT236" s="205"/>
      <c r="DU236" s="205"/>
      <c r="DV236" s="205"/>
      <c r="DW236" s="205"/>
      <c r="DX236" s="205"/>
      <c r="DY236" s="205"/>
      <c r="DZ236" s="205"/>
      <c r="EA236" s="205"/>
      <c r="EB236" s="205"/>
      <c r="EC236" s="205"/>
      <c r="ED236" s="205"/>
      <c r="EE236" s="205"/>
      <c r="EF236" s="205"/>
      <c r="EG236" s="205"/>
      <c r="EH236" s="205"/>
      <c r="EI236" s="205"/>
      <c r="EJ236" s="205"/>
      <c r="FY236" s="213">
        <v>231</v>
      </c>
      <c r="FZ236">
        <v>39.199707041528441</v>
      </c>
      <c r="GA236">
        <v>35.53755589535924</v>
      </c>
      <c r="GB236">
        <v>9.5050409821774391</v>
      </c>
      <c r="GC236">
        <v>4.9114604074687902</v>
      </c>
      <c r="GD236">
        <v>4.5915980090336763</v>
      </c>
      <c r="GE236">
        <v>7.404252124491447</v>
      </c>
      <c r="GF236">
        <v>24.746926920370168</v>
      </c>
      <c r="GG236">
        <v>20.631521091931159</v>
      </c>
      <c r="GH236">
        <v>9.1457656984872493</v>
      </c>
      <c r="GI236">
        <v>16.922133924635393</v>
      </c>
      <c r="GJ236"/>
      <c r="GK236"/>
      <c r="GL236"/>
      <c r="GM236"/>
      <c r="GN236" s="208"/>
      <c r="GO236" s="208"/>
      <c r="GP236" s="208"/>
      <c r="GQ236" s="208"/>
      <c r="GR236" s="208"/>
      <c r="GS236" s="208"/>
      <c r="GT236" s="208"/>
      <c r="GU236" s="213">
        <v>231</v>
      </c>
    </row>
    <row r="237" spans="1:203" s="7" customFormat="1">
      <c r="A237" s="77"/>
      <c r="B237">
        <v>0.33062363393019401</v>
      </c>
      <c r="C237">
        <v>8</v>
      </c>
      <c r="D237">
        <v>39646</v>
      </c>
      <c r="E237">
        <v>0</v>
      </c>
      <c r="F237">
        <v>0</v>
      </c>
      <c r="G237">
        <v>93.75</v>
      </c>
      <c r="H237">
        <v>83.333333333333329</v>
      </c>
      <c r="I237">
        <v>10.416666666666666</v>
      </c>
      <c r="J237">
        <v>20.833333333333332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 s="2"/>
      <c r="AK237" s="81"/>
      <c r="AL237" s="81"/>
      <c r="AM237" s="43">
        <v>221</v>
      </c>
      <c r="AN237">
        <v>277.54225647802804</v>
      </c>
      <c r="AO237">
        <v>23.880606484867307</v>
      </c>
      <c r="AP237">
        <v>102.51665286366068</v>
      </c>
      <c r="AQ237">
        <v>161.75279044236913</v>
      </c>
      <c r="AR237">
        <v>23.398673699943387</v>
      </c>
      <c r="AS237">
        <v>203.42331161794442</v>
      </c>
      <c r="AT237">
        <v>9.2377033795329169</v>
      </c>
      <c r="AU237">
        <v>-35.783474738692952</v>
      </c>
      <c r="AV237"/>
      <c r="AW237"/>
      <c r="BA237" s="171"/>
      <c r="BC237" s="162"/>
      <c r="BD237" s="162"/>
      <c r="BE237" s="162"/>
      <c r="BF237" s="162"/>
      <c r="BG237" s="162"/>
      <c r="BH237" s="162"/>
      <c r="BI237" s="162"/>
      <c r="BJ237" s="162"/>
      <c r="BK237" s="162"/>
      <c r="BL237" s="162"/>
      <c r="BM237" s="162"/>
      <c r="BN237" s="162"/>
      <c r="BO237" s="162"/>
      <c r="BP237" s="162"/>
      <c r="BQ237" s="162"/>
      <c r="BR237" s="162"/>
      <c r="BS237" s="162"/>
      <c r="BT237" s="162"/>
      <c r="BU237" s="162"/>
      <c r="BV237" s="162"/>
      <c r="DF237" s="205"/>
      <c r="DG237" s="205"/>
      <c r="DH237" s="205"/>
      <c r="DI237" s="205"/>
      <c r="DJ237" s="205"/>
      <c r="DK237" s="205"/>
      <c r="DL237" s="205"/>
      <c r="DM237" s="205"/>
      <c r="DN237" s="205"/>
      <c r="DO237" s="205"/>
      <c r="DP237" s="205"/>
      <c r="DQ237" s="205"/>
      <c r="DR237" s="205"/>
      <c r="DS237" s="205"/>
      <c r="DT237" s="205"/>
      <c r="DU237" s="205"/>
      <c r="DV237" s="205"/>
      <c r="DW237" s="205"/>
      <c r="DX237" s="205"/>
      <c r="DY237" s="205"/>
      <c r="DZ237" s="205"/>
      <c r="EA237" s="205"/>
      <c r="EB237" s="205"/>
      <c r="EC237" s="205"/>
      <c r="ED237" s="205"/>
      <c r="EE237" s="205"/>
      <c r="EF237" s="205"/>
      <c r="EG237" s="205"/>
      <c r="EH237" s="205"/>
      <c r="EI237" s="205"/>
      <c r="EJ237" s="205"/>
      <c r="FY237" s="213">
        <v>232</v>
      </c>
      <c r="FZ237">
        <v>64.691834946860027</v>
      </c>
      <c r="GA237">
        <v>59.750466941289396</v>
      </c>
      <c r="GB237">
        <v>7.3861996852585285</v>
      </c>
      <c r="GC237">
        <v>5.4354329270433093</v>
      </c>
      <c r="GD237">
        <v>4.4764340081398339</v>
      </c>
      <c r="GE237">
        <v>6.7676490850116302</v>
      </c>
      <c r="GF237">
        <v>16.888570334882235</v>
      </c>
      <c r="GG237">
        <v>11.718301843501031</v>
      </c>
      <c r="GH237">
        <v>11.877261229667734</v>
      </c>
      <c r="GI237">
        <v>19.052580025879493</v>
      </c>
      <c r="GJ237"/>
      <c r="GK237"/>
      <c r="GL237"/>
      <c r="GM237"/>
      <c r="GN237" s="208"/>
      <c r="GO237" s="208"/>
      <c r="GP237" s="208"/>
      <c r="GQ237" s="208"/>
      <c r="GR237" s="208"/>
      <c r="GS237" s="208"/>
      <c r="GT237" s="208"/>
      <c r="GU237" s="213">
        <v>232</v>
      </c>
    </row>
    <row r="238" spans="1:203" s="7" customFormat="1">
      <c r="A238" s="77"/>
      <c r="B238">
        <v>0.59810155609573279</v>
      </c>
      <c r="C238">
        <v>1</v>
      </c>
      <c r="D238">
        <v>39673</v>
      </c>
      <c r="E238">
        <v>0</v>
      </c>
      <c r="F238">
        <v>0</v>
      </c>
      <c r="G238">
        <v>0</v>
      </c>
      <c r="H238">
        <v>0</v>
      </c>
      <c r="I238">
        <v>31.25</v>
      </c>
      <c r="J238">
        <v>10.416666666666666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 s="2"/>
      <c r="AK238" s="81"/>
      <c r="AL238" s="81"/>
      <c r="AM238" s="43">
        <v>222</v>
      </c>
      <c r="AN238">
        <v>290.64250689081234</v>
      </c>
      <c r="AO238">
        <v>24.948722079499436</v>
      </c>
      <c r="AP238">
        <v>68.449586787031123</v>
      </c>
      <c r="AQ238">
        <v>172.12254300579158</v>
      </c>
      <c r="AR238">
        <v>25.200006160189393</v>
      </c>
      <c r="AS238">
        <v>258.97367442033266</v>
      </c>
      <c r="AT238">
        <v>11.305860146437851</v>
      </c>
      <c r="AU238">
        <v>56.496473009363669</v>
      </c>
      <c r="AV238"/>
      <c r="AW238"/>
      <c r="BA238" s="171"/>
      <c r="BC238" s="162"/>
      <c r="BD238" s="162"/>
      <c r="BE238" s="162"/>
      <c r="BF238" s="162"/>
      <c r="BG238" s="162"/>
      <c r="BH238" s="162"/>
      <c r="BI238" s="162"/>
      <c r="BJ238" s="162"/>
      <c r="BK238" s="162"/>
      <c r="BL238" s="162"/>
      <c r="BM238" s="162"/>
      <c r="BN238" s="162"/>
      <c r="BO238" s="162"/>
      <c r="BP238" s="162"/>
      <c r="BQ238" s="162"/>
      <c r="BR238" s="162"/>
      <c r="BS238" s="162"/>
      <c r="BT238" s="162"/>
      <c r="BU238" s="162"/>
      <c r="BV238" s="162"/>
      <c r="DF238" s="205"/>
      <c r="DG238" s="205"/>
      <c r="DH238" s="205"/>
      <c r="DI238" s="205"/>
      <c r="DJ238" s="205"/>
      <c r="DK238" s="205"/>
      <c r="DL238" s="205"/>
      <c r="DM238" s="205"/>
      <c r="DN238" s="205"/>
      <c r="DO238" s="205"/>
      <c r="DP238" s="205"/>
      <c r="DQ238" s="205"/>
      <c r="DR238" s="205"/>
      <c r="DS238" s="205"/>
      <c r="DT238" s="205"/>
      <c r="DU238" s="205"/>
      <c r="DV238" s="205"/>
      <c r="DW238" s="205"/>
      <c r="DX238" s="205"/>
      <c r="DY238" s="205"/>
      <c r="DZ238" s="205"/>
      <c r="EA238" s="205"/>
      <c r="EB238" s="205"/>
      <c r="EC238" s="205"/>
      <c r="ED238" s="205"/>
      <c r="EE238" s="205"/>
      <c r="EF238" s="205"/>
      <c r="EG238" s="205"/>
      <c r="EH238" s="205"/>
      <c r="EI238" s="205"/>
      <c r="EJ238" s="205"/>
      <c r="FY238" s="213">
        <v>233</v>
      </c>
      <c r="FZ238">
        <v>75.062810811867394</v>
      </c>
      <c r="GA238">
        <v>58.672159550680149</v>
      </c>
      <c r="GB238">
        <v>6.5012130446345973</v>
      </c>
      <c r="GC238">
        <v>6.4123935764969042</v>
      </c>
      <c r="GD238">
        <v>6.4733615050030666</v>
      </c>
      <c r="GE238">
        <v>7.0144928966696183</v>
      </c>
      <c r="GF238">
        <v>30.39101499433281</v>
      </c>
      <c r="GG238">
        <v>26.192815643347323</v>
      </c>
      <c r="GH238">
        <v>17.742687413817102</v>
      </c>
      <c r="GI238">
        <v>24.823556797406606</v>
      </c>
      <c r="GJ238"/>
      <c r="GK238"/>
      <c r="GL238"/>
      <c r="GM238"/>
      <c r="GN238" s="208"/>
      <c r="GO238" s="208"/>
      <c r="GP238" s="208"/>
      <c r="GQ238" s="208"/>
      <c r="GR238" s="208"/>
      <c r="GS238" s="208"/>
      <c r="GT238" s="208"/>
      <c r="GU238" s="213">
        <v>233</v>
      </c>
    </row>
    <row r="239" spans="1:203" s="7" customFormat="1">
      <c r="A239" s="77" t="s">
        <v>61</v>
      </c>
      <c r="B239">
        <v>9.4257199444804485E-2</v>
      </c>
      <c r="C239">
        <v>5</v>
      </c>
      <c r="D239">
        <v>39673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 s="2"/>
      <c r="AK239" s="81"/>
      <c r="AL239" s="81"/>
      <c r="AM239" s="43">
        <v>223</v>
      </c>
      <c r="AN239">
        <v>329.195722219326</v>
      </c>
      <c r="AO239">
        <v>27.526309871990549</v>
      </c>
      <c r="AP239">
        <v>80.627851844673984</v>
      </c>
      <c r="AQ239">
        <v>188.98868303953975</v>
      </c>
      <c r="AR239">
        <v>28.161934834374826</v>
      </c>
      <c r="AS239">
        <v>239.67881580271757</v>
      </c>
      <c r="AT239">
        <v>11.808469559668806</v>
      </c>
      <c r="AU239">
        <v>1.3465794836531018</v>
      </c>
      <c r="AV239"/>
      <c r="AW239"/>
      <c r="BA239" s="171"/>
      <c r="BC239" s="162"/>
      <c r="BD239" s="162"/>
      <c r="BE239" s="162"/>
      <c r="BF239" s="162"/>
      <c r="BG239" s="162"/>
      <c r="BH239" s="162"/>
      <c r="BI239" s="162"/>
      <c r="BJ239" s="162"/>
      <c r="BK239" s="162"/>
      <c r="BL239" s="162"/>
      <c r="BM239" s="162"/>
      <c r="BN239" s="162"/>
      <c r="BO239" s="162"/>
      <c r="BP239" s="162"/>
      <c r="BQ239" s="162"/>
      <c r="BR239" s="162"/>
      <c r="BS239" s="162"/>
      <c r="BT239" s="162"/>
      <c r="BU239" s="162"/>
      <c r="BV239" s="162"/>
      <c r="DE239" s="184" t="s">
        <v>139</v>
      </c>
      <c r="DF239" s="183" t="s">
        <v>83</v>
      </c>
      <c r="DG239" s="182">
        <v>1</v>
      </c>
      <c r="DH239" s="182">
        <v>2</v>
      </c>
      <c r="DI239" s="182">
        <v>3</v>
      </c>
      <c r="DJ239" s="182">
        <v>4</v>
      </c>
      <c r="DK239" s="182">
        <v>5</v>
      </c>
      <c r="DL239" s="182">
        <v>6</v>
      </c>
      <c r="DM239" s="182">
        <v>7</v>
      </c>
      <c r="DN239" s="182">
        <v>8</v>
      </c>
      <c r="DO239" s="182">
        <v>9</v>
      </c>
      <c r="DP239" s="182">
        <v>10</v>
      </c>
      <c r="DQ239" s="182">
        <v>11</v>
      </c>
      <c r="DR239" s="182">
        <v>12</v>
      </c>
      <c r="DS239" s="182">
        <v>13</v>
      </c>
      <c r="DT239" s="182">
        <v>14</v>
      </c>
      <c r="DU239" s="182">
        <v>15</v>
      </c>
      <c r="DV239" s="182">
        <v>16</v>
      </c>
      <c r="DW239" s="182">
        <v>17</v>
      </c>
      <c r="DX239" s="182">
        <v>18</v>
      </c>
      <c r="DY239" s="182">
        <v>19</v>
      </c>
      <c r="DZ239" s="182">
        <v>20</v>
      </c>
      <c r="EA239" s="182">
        <v>21</v>
      </c>
      <c r="EB239" s="182">
        <v>22</v>
      </c>
      <c r="EC239" s="182">
        <v>23</v>
      </c>
      <c r="ED239" s="182">
        <v>24</v>
      </c>
      <c r="EE239" s="182">
        <v>25</v>
      </c>
      <c r="EF239" s="182">
        <v>26</v>
      </c>
      <c r="EG239" s="182">
        <v>27</v>
      </c>
      <c r="EH239" s="182">
        <v>28</v>
      </c>
      <c r="EI239" s="182">
        <v>29</v>
      </c>
      <c r="EJ239" s="182">
        <v>30</v>
      </c>
      <c r="FY239" s="213">
        <v>234</v>
      </c>
      <c r="FZ239">
        <v>66.466527785465559</v>
      </c>
      <c r="GA239">
        <v>54.805144249126336</v>
      </c>
      <c r="GB239">
        <v>8.3760934320824791</v>
      </c>
      <c r="GC239">
        <v>7.7551216260169218</v>
      </c>
      <c r="GD239">
        <v>6.2936618472293198</v>
      </c>
      <c r="GE239">
        <v>5.3934487902320898</v>
      </c>
      <c r="GF239">
        <v>17.966980895802131</v>
      </c>
      <c r="GG239">
        <v>17.110507680391652</v>
      </c>
      <c r="GH239">
        <v>19.798912984479063</v>
      </c>
      <c r="GI239">
        <v>22.067216897773537</v>
      </c>
      <c r="GJ239"/>
      <c r="GK239"/>
      <c r="GL239"/>
      <c r="GM239"/>
      <c r="GN239" s="208"/>
      <c r="GO239" s="208"/>
      <c r="GP239" s="208"/>
      <c r="GQ239" s="208"/>
      <c r="GR239" s="208"/>
      <c r="GS239" s="208"/>
      <c r="GT239" s="208"/>
      <c r="GU239" s="213">
        <v>234</v>
      </c>
    </row>
    <row r="240" spans="1:203" s="7" customFormat="1">
      <c r="A240" s="77" t="s">
        <v>62</v>
      </c>
      <c r="B240">
        <v>8.0939187215120612E-2</v>
      </c>
      <c r="C240">
        <v>5</v>
      </c>
      <c r="D240">
        <v>39673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 s="2"/>
      <c r="AK240" s="81"/>
      <c r="AL240" s="81"/>
      <c r="AM240" s="43">
        <v>224</v>
      </c>
      <c r="AN240">
        <v>349.82883969243835</v>
      </c>
      <c r="AO240">
        <v>30.330051391869318</v>
      </c>
      <c r="AP240">
        <v>97.861482284279418</v>
      </c>
      <c r="AQ240">
        <v>225.10583981485138</v>
      </c>
      <c r="AR240">
        <v>30.61571969267273</v>
      </c>
      <c r="AS240">
        <v>285.78292377269179</v>
      </c>
      <c r="AT240">
        <v>14.306078392014895</v>
      </c>
      <c r="AU240">
        <v>15.450700480376682</v>
      </c>
      <c r="AV240"/>
      <c r="AW240"/>
      <c r="BA240" s="171"/>
      <c r="BC240" s="162"/>
      <c r="BD240" s="162"/>
      <c r="BE240" s="162"/>
      <c r="BF240" s="162"/>
      <c r="BG240" s="162"/>
      <c r="BH240" s="162"/>
      <c r="BI240" s="162"/>
      <c r="BJ240" s="162"/>
      <c r="BK240" s="162"/>
      <c r="BL240" s="162"/>
      <c r="BM240" s="162"/>
      <c r="BN240" s="162"/>
      <c r="BO240" s="162"/>
      <c r="BP240" s="162"/>
      <c r="BQ240" s="162"/>
      <c r="BR240" s="162"/>
      <c r="BS240" s="162"/>
      <c r="BT240" s="162"/>
      <c r="BU240" s="162"/>
      <c r="BV240" s="162"/>
      <c r="DE240" s="187">
        <v>39646</v>
      </c>
      <c r="DF240" s="182">
        <v>0</v>
      </c>
      <c r="DG240" s="182">
        <v>4.1666666666666661</v>
      </c>
      <c r="DH240" s="182">
        <v>44.791666666666671</v>
      </c>
      <c r="DI240" s="182">
        <v>46.875</v>
      </c>
      <c r="DJ240" s="182">
        <v>11.458333333333334</v>
      </c>
      <c r="DK240" s="182">
        <v>8.3333333333333339</v>
      </c>
      <c r="DL240" s="182">
        <v>2.083333333333333</v>
      </c>
      <c r="DM240" s="182">
        <v>4.1666666666666661</v>
      </c>
      <c r="DN240" s="182">
        <v>0</v>
      </c>
      <c r="DO240" s="182">
        <v>0</v>
      </c>
      <c r="DP240" s="182">
        <v>1.0416666666666665</v>
      </c>
      <c r="DQ240" s="182">
        <v>1.0416666666666665</v>
      </c>
      <c r="DR240" s="182">
        <v>0</v>
      </c>
      <c r="DS240" s="182">
        <v>0</v>
      </c>
      <c r="DT240" s="182">
        <v>0</v>
      </c>
      <c r="DU240" s="182">
        <v>0</v>
      </c>
      <c r="DV240" s="182">
        <v>0</v>
      </c>
      <c r="DW240" s="182">
        <v>0</v>
      </c>
      <c r="DX240" s="182">
        <v>0</v>
      </c>
      <c r="DY240" s="182">
        <v>0</v>
      </c>
      <c r="DZ240" s="182">
        <v>0</v>
      </c>
      <c r="EA240" s="182">
        <v>0</v>
      </c>
      <c r="EB240" s="182">
        <v>0</v>
      </c>
      <c r="EC240" s="182">
        <v>0</v>
      </c>
      <c r="ED240" s="182">
        <v>0</v>
      </c>
      <c r="EE240" s="182">
        <v>0</v>
      </c>
      <c r="EF240" s="182">
        <v>0</v>
      </c>
      <c r="EG240" s="182">
        <v>0</v>
      </c>
      <c r="EH240" s="182">
        <v>0</v>
      </c>
      <c r="EI240" s="182">
        <v>0</v>
      </c>
      <c r="EJ240" s="182">
        <v>0</v>
      </c>
      <c r="FY240" s="213">
        <v>235</v>
      </c>
      <c r="FZ240">
        <v>57.11143396875412</v>
      </c>
      <c r="GA240">
        <v>69.90255225120336</v>
      </c>
      <c r="GB240">
        <v>13.912516767423639</v>
      </c>
      <c r="GC240">
        <v>5.9301274211698916</v>
      </c>
      <c r="GD240">
        <v>5.5416745516806172</v>
      </c>
      <c r="GE240">
        <v>3.8484207594722259</v>
      </c>
      <c r="GF240">
        <v>8.4284337175155883</v>
      </c>
      <c r="GG240">
        <v>8.3683224580703488</v>
      </c>
      <c r="GH240">
        <v>10.884667691739361</v>
      </c>
      <c r="GI240">
        <v>18.94015483608154</v>
      </c>
      <c r="GJ240"/>
      <c r="GK240"/>
      <c r="GL240"/>
      <c r="GM240"/>
      <c r="GN240" s="208"/>
      <c r="GO240" s="208"/>
      <c r="GP240" s="208"/>
      <c r="GQ240" s="208"/>
      <c r="GR240" s="208"/>
      <c r="GS240" s="208"/>
      <c r="GT240" s="208"/>
      <c r="GU240" s="213">
        <v>235</v>
      </c>
    </row>
    <row r="241" spans="1:203" s="7" customFormat="1">
      <c r="A241" s="77"/>
      <c r="B241">
        <v>0.1428550412282823</v>
      </c>
      <c r="C241">
        <v>10</v>
      </c>
      <c r="D241">
        <v>39673</v>
      </c>
      <c r="E241">
        <v>0</v>
      </c>
      <c r="F241">
        <v>0</v>
      </c>
      <c r="G241">
        <v>148.80952380952382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 s="2"/>
      <c r="AK241" s="81"/>
      <c r="AL241" s="81"/>
      <c r="AM241" s="43">
        <v>225</v>
      </c>
      <c r="AN241">
        <v>313.85815599611078</v>
      </c>
      <c r="AO241">
        <v>24.836277701355961</v>
      </c>
      <c r="AP241">
        <v>103.42722890586496</v>
      </c>
      <c r="AQ241">
        <v>177.15454683902229</v>
      </c>
      <c r="AR241">
        <v>25.023651122288822</v>
      </c>
      <c r="AS241">
        <v>236.35620255257473</v>
      </c>
      <c r="AT241">
        <v>12.117285270193499</v>
      </c>
      <c r="AU241">
        <v>12.170972661421985</v>
      </c>
      <c r="AV241"/>
      <c r="AW241"/>
      <c r="DE241" s="187">
        <v>39673</v>
      </c>
      <c r="DF241" s="185">
        <v>0</v>
      </c>
      <c r="DG241" s="185">
        <v>1.0416666666666665</v>
      </c>
      <c r="DH241" s="185">
        <v>28.706709672619048</v>
      </c>
      <c r="DI241" s="185">
        <v>16.761363541666665</v>
      </c>
      <c r="DJ241" s="185">
        <v>30.113635416666664</v>
      </c>
      <c r="DK241" s="185">
        <v>11.363635416666666</v>
      </c>
      <c r="DL241" s="185">
        <v>6.6287874999999996</v>
      </c>
      <c r="DM241" s="185">
        <v>3.125</v>
      </c>
      <c r="DN241" s="185">
        <v>3.5984843749999995</v>
      </c>
      <c r="DO241" s="185">
        <v>0</v>
      </c>
      <c r="DP241" s="185">
        <v>0</v>
      </c>
      <c r="DQ241" s="185">
        <v>0</v>
      </c>
      <c r="DR241" s="185">
        <v>0</v>
      </c>
      <c r="DS241" s="185">
        <v>0</v>
      </c>
      <c r="DT241" s="185">
        <v>0</v>
      </c>
      <c r="DU241" s="185">
        <v>0</v>
      </c>
      <c r="DV241" s="185">
        <v>0</v>
      </c>
      <c r="DW241" s="185">
        <v>0</v>
      </c>
      <c r="DX241" s="185">
        <v>0</v>
      </c>
      <c r="DY241" s="185">
        <v>0</v>
      </c>
      <c r="DZ241" s="185">
        <v>0</v>
      </c>
      <c r="EA241" s="185">
        <v>0</v>
      </c>
      <c r="EB241" s="185">
        <v>0</v>
      </c>
      <c r="EC241" s="185">
        <v>0</v>
      </c>
      <c r="ED241" s="185">
        <v>0</v>
      </c>
      <c r="EE241" s="185">
        <v>0</v>
      </c>
      <c r="EF241" s="185">
        <v>0</v>
      </c>
      <c r="EG241" s="185">
        <v>0</v>
      </c>
      <c r="EH241" s="185">
        <v>0</v>
      </c>
      <c r="EI241" s="185">
        <v>0</v>
      </c>
      <c r="EJ241" s="185">
        <v>0</v>
      </c>
      <c r="FY241" s="213">
        <v>236</v>
      </c>
      <c r="FZ241">
        <v>42.003930759999044</v>
      </c>
      <c r="GA241">
        <v>33.467459487914148</v>
      </c>
      <c r="GB241">
        <v>8.0540115408726578</v>
      </c>
      <c r="GC241">
        <v>7.567658526889657</v>
      </c>
      <c r="GD241">
        <v>6.5575124569556706</v>
      </c>
      <c r="GE241">
        <v>6.8458283172234156</v>
      </c>
      <c r="GF241">
        <v>25.238776429929455</v>
      </c>
      <c r="GG241">
        <v>23.178353448062989</v>
      </c>
      <c r="GH241">
        <v>12.405496229402724</v>
      </c>
      <c r="GI241">
        <v>18.589970996980838</v>
      </c>
      <c r="GJ241"/>
      <c r="GK241"/>
      <c r="GL241"/>
      <c r="GM241"/>
      <c r="GN241" s="208"/>
      <c r="GO241" s="208"/>
      <c r="GP241" s="208"/>
      <c r="GQ241" s="208"/>
      <c r="GR241" s="208"/>
      <c r="GS241" s="208"/>
      <c r="GT241" s="208"/>
      <c r="GU241" s="213">
        <v>236</v>
      </c>
    </row>
    <row r="242" spans="1:203" s="7" customFormat="1">
      <c r="A242" s="1"/>
      <c r="B242">
        <v>0.83567205692833002</v>
      </c>
      <c r="C242">
        <v>7</v>
      </c>
      <c r="D242">
        <v>39673</v>
      </c>
      <c r="E242">
        <v>0</v>
      </c>
      <c r="F242">
        <v>0</v>
      </c>
      <c r="G242">
        <v>10.416666666666666</v>
      </c>
      <c r="H242">
        <v>10.416666666666666</v>
      </c>
      <c r="I242">
        <v>10.416666666666666</v>
      </c>
      <c r="J242">
        <v>41.666666666666664</v>
      </c>
      <c r="K242">
        <v>20.833333333333332</v>
      </c>
      <c r="L242">
        <v>10.416666666666666</v>
      </c>
      <c r="M242">
        <v>20.833333333333332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 s="2"/>
      <c r="AK242" s="81"/>
      <c r="AL242" s="81"/>
      <c r="AM242" s="43">
        <v>226</v>
      </c>
      <c r="AN242">
        <v>318.38719868118352</v>
      </c>
      <c r="AO242">
        <v>23.828072434296775</v>
      </c>
      <c r="AP242">
        <v>120.73770196868549</v>
      </c>
      <c r="AQ242">
        <v>182.94901131801035</v>
      </c>
      <c r="AR242">
        <v>23.947002753706052</v>
      </c>
      <c r="AS242">
        <v>240.9663676491032</v>
      </c>
      <c r="AT242">
        <v>12.961006004789198</v>
      </c>
      <c r="AU242">
        <v>22.427101396404552</v>
      </c>
      <c r="AV242"/>
      <c r="AW242"/>
      <c r="BI242" s="162"/>
      <c r="DE242" s="187">
        <v>39714</v>
      </c>
      <c r="DF242" s="182">
        <v>58.815764208909364</v>
      </c>
      <c r="DG242" s="182">
        <v>102.80517953149001</v>
      </c>
      <c r="DH242" s="182">
        <v>0</v>
      </c>
      <c r="DI242" s="182">
        <v>1.0416666666666665</v>
      </c>
      <c r="DJ242" s="182">
        <v>1.0416666666666665</v>
      </c>
      <c r="DK242" s="182">
        <v>1.0416666666666665</v>
      </c>
      <c r="DL242" s="182">
        <v>2.083333333333333</v>
      </c>
      <c r="DM242" s="182">
        <v>0</v>
      </c>
      <c r="DN242" s="182">
        <v>3.125</v>
      </c>
      <c r="DO242" s="182">
        <v>7.2916666666666661</v>
      </c>
      <c r="DP242" s="182">
        <v>1.0416666666666665</v>
      </c>
      <c r="DQ242" s="182">
        <v>0</v>
      </c>
      <c r="DR242" s="182">
        <v>0</v>
      </c>
      <c r="DS242" s="182">
        <v>0</v>
      </c>
      <c r="DT242" s="182">
        <v>0</v>
      </c>
      <c r="DU242" s="182">
        <v>0</v>
      </c>
      <c r="DV242" s="182">
        <v>0</v>
      </c>
      <c r="DW242" s="182">
        <v>0</v>
      </c>
      <c r="DX242" s="182">
        <v>0</v>
      </c>
      <c r="DY242" s="182">
        <v>0</v>
      </c>
      <c r="DZ242" s="182">
        <v>0</v>
      </c>
      <c r="EA242" s="182">
        <v>0</v>
      </c>
      <c r="EB242" s="182">
        <v>0</v>
      </c>
      <c r="EC242" s="182">
        <v>0</v>
      </c>
      <c r="ED242" s="182">
        <v>0</v>
      </c>
      <c r="EE242" s="182">
        <v>0</v>
      </c>
      <c r="EF242" s="182">
        <v>0</v>
      </c>
      <c r="EG242" s="182">
        <v>0</v>
      </c>
      <c r="EH242" s="182">
        <v>0</v>
      </c>
      <c r="EI242" s="182">
        <v>0</v>
      </c>
      <c r="EJ242" s="182">
        <v>0</v>
      </c>
      <c r="FY242" s="213">
        <v>237</v>
      </c>
      <c r="FZ242">
        <v>45.957344355691717</v>
      </c>
      <c r="GA242">
        <v>34.160855989385489</v>
      </c>
      <c r="GB242">
        <v>12.553451012438497</v>
      </c>
      <c r="GC242">
        <v>3.769474156136448</v>
      </c>
      <c r="GD242">
        <v>2.4832782109554801</v>
      </c>
      <c r="GE242">
        <v>5.7122213855466981</v>
      </c>
      <c r="GF242">
        <v>20.027418842778768</v>
      </c>
      <c r="GG242">
        <v>15.994068062515099</v>
      </c>
      <c r="GH242">
        <v>18.999720850066883</v>
      </c>
      <c r="GI242">
        <v>18.350655200784143</v>
      </c>
      <c r="GJ242"/>
      <c r="GK242"/>
      <c r="GL242"/>
      <c r="GM242"/>
      <c r="GN242" s="208"/>
      <c r="GO242" s="208"/>
      <c r="GP242" s="208"/>
      <c r="GQ242" s="208"/>
      <c r="GR242" s="208"/>
      <c r="GS242" s="208"/>
      <c r="GT242" s="208"/>
      <c r="GU242" s="213">
        <v>237</v>
      </c>
    </row>
    <row r="243" spans="1:203" s="7" customFormat="1">
      <c r="A243" s="1"/>
      <c r="B243">
        <v>0.35853966406425197</v>
      </c>
      <c r="C243">
        <v>9</v>
      </c>
      <c r="D243">
        <v>39673</v>
      </c>
      <c r="E243">
        <v>0</v>
      </c>
      <c r="F243">
        <v>0</v>
      </c>
      <c r="G243">
        <v>0</v>
      </c>
      <c r="H243">
        <v>0</v>
      </c>
      <c r="I243">
        <v>20.833333333333332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 s="2"/>
      <c r="AK243" s="81"/>
      <c r="AL243" s="81"/>
      <c r="AM243" s="43">
        <v>227</v>
      </c>
      <c r="AN243">
        <v>249.72214167970145</v>
      </c>
      <c r="AO243">
        <v>23.869948861429151</v>
      </c>
      <c r="AP243">
        <v>94.933879059249477</v>
      </c>
      <c r="AQ243">
        <v>186.35661345594605</v>
      </c>
      <c r="AR243">
        <v>26.711501883784255</v>
      </c>
      <c r="AS243">
        <v>231.08320564930787</v>
      </c>
      <c r="AT243">
        <v>12.886880674234492</v>
      </c>
      <c r="AU243">
        <v>44.165156914419867</v>
      </c>
      <c r="AV243"/>
      <c r="AW243"/>
      <c r="DE243" s="187">
        <v>39747</v>
      </c>
      <c r="DF243" s="182">
        <v>22.202190170940174</v>
      </c>
      <c r="DG243" s="182">
        <v>432.1127410547353</v>
      </c>
      <c r="DH243" s="182">
        <v>39.970117286927632</v>
      </c>
      <c r="DI243" s="182">
        <v>0</v>
      </c>
      <c r="DJ243" s="182">
        <v>1.0416666666666665</v>
      </c>
      <c r="DK243" s="182">
        <v>0</v>
      </c>
      <c r="DL243" s="182">
        <v>0</v>
      </c>
      <c r="DM243" s="182">
        <v>0</v>
      </c>
      <c r="DN243" s="182">
        <v>0</v>
      </c>
      <c r="DO243" s="182">
        <v>0</v>
      </c>
      <c r="DP243" s="182">
        <v>0</v>
      </c>
      <c r="DQ243" s="182">
        <v>0</v>
      </c>
      <c r="DR243" s="182">
        <v>0</v>
      </c>
      <c r="DS243" s="182">
        <v>0</v>
      </c>
      <c r="DT243" s="182">
        <v>0</v>
      </c>
      <c r="DU243" s="182">
        <v>0</v>
      </c>
      <c r="DV243" s="182">
        <v>0</v>
      </c>
      <c r="DW243" s="182">
        <v>0</v>
      </c>
      <c r="DX243" s="182">
        <v>0</v>
      </c>
      <c r="DY243" s="182">
        <v>0</v>
      </c>
      <c r="DZ243" s="182">
        <v>0</v>
      </c>
      <c r="EA243" s="182">
        <v>0</v>
      </c>
      <c r="EB243" s="182">
        <v>0</v>
      </c>
      <c r="EC243" s="182">
        <v>0</v>
      </c>
      <c r="ED243" s="182">
        <v>0</v>
      </c>
      <c r="EE243" s="182">
        <v>0</v>
      </c>
      <c r="EF243" s="182">
        <v>0</v>
      </c>
      <c r="EG243" s="182">
        <v>0</v>
      </c>
      <c r="EH243" s="182">
        <v>0</v>
      </c>
      <c r="EI243" s="182">
        <v>0</v>
      </c>
      <c r="EJ243" s="182">
        <v>0</v>
      </c>
      <c r="FY243" s="213">
        <v>238</v>
      </c>
      <c r="FZ243">
        <v>50.562375143560651</v>
      </c>
      <c r="GA243">
        <v>50.206538947651687</v>
      </c>
      <c r="GB243">
        <v>12.566634834133771</v>
      </c>
      <c r="GC243">
        <v>6.2529562327557935</v>
      </c>
      <c r="GD243">
        <v>5.0611826612858497</v>
      </c>
      <c r="GE243">
        <v>4.6405245355277804</v>
      </c>
      <c r="GF243">
        <v>26.490929853039813</v>
      </c>
      <c r="GG243">
        <v>24.620592930103502</v>
      </c>
      <c r="GH243">
        <v>11.870541237494763</v>
      </c>
      <c r="GI243">
        <v>20.592774061176325</v>
      </c>
      <c r="GJ243"/>
      <c r="GK243"/>
      <c r="GL243"/>
      <c r="GM243"/>
      <c r="GN243" s="208"/>
      <c r="GO243" s="208"/>
      <c r="GP243" s="208"/>
      <c r="GQ243" s="208"/>
      <c r="GR243" s="208"/>
      <c r="GS243" s="208"/>
      <c r="GT243" s="208"/>
      <c r="GU243" s="213">
        <v>238</v>
      </c>
    </row>
    <row r="244" spans="1:203" s="7" customFormat="1">
      <c r="A244" s="1"/>
      <c r="B244">
        <v>0.84811630605707777</v>
      </c>
      <c r="C244">
        <v>9</v>
      </c>
      <c r="D244">
        <v>39673</v>
      </c>
      <c r="E244">
        <v>0</v>
      </c>
      <c r="F244">
        <v>0</v>
      </c>
      <c r="G244">
        <v>0</v>
      </c>
      <c r="H244">
        <v>0</v>
      </c>
      <c r="I244">
        <v>20.833333333333332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 s="2"/>
      <c r="AK244" s="81"/>
      <c r="AL244" s="81"/>
      <c r="AM244" s="43">
        <v>228</v>
      </c>
      <c r="AN244">
        <v>285.50773936670754</v>
      </c>
      <c r="AO244">
        <v>16.784787687142863</v>
      </c>
      <c r="AP244">
        <v>75.023483570812459</v>
      </c>
      <c r="AQ244">
        <v>115.08313943369873</v>
      </c>
      <c r="AR244">
        <v>18.500500209526621</v>
      </c>
      <c r="AS244">
        <v>207.65805607016247</v>
      </c>
      <c r="AT244">
        <v>10.013549570769561</v>
      </c>
      <c r="AU244">
        <v>126.73300678033601</v>
      </c>
      <c r="AV244"/>
      <c r="AW244"/>
      <c r="DE244" s="187">
        <v>39775</v>
      </c>
      <c r="DF244" s="182">
        <v>18.460630787037037</v>
      </c>
      <c r="DG244" s="182">
        <v>345.73773448773454</v>
      </c>
      <c r="DH244" s="182">
        <v>257.82195233585855</v>
      </c>
      <c r="DI244" s="182">
        <v>9.6527760416666659</v>
      </c>
      <c r="DJ244" s="182">
        <v>2.083333333333333</v>
      </c>
      <c r="DK244" s="182">
        <v>1.0416666666666665</v>
      </c>
      <c r="DL244" s="182">
        <v>1.0416666666666665</v>
      </c>
      <c r="DM244" s="182">
        <v>0</v>
      </c>
      <c r="DN244" s="182">
        <v>0</v>
      </c>
      <c r="DO244" s="182">
        <v>0</v>
      </c>
      <c r="DP244" s="182">
        <v>0</v>
      </c>
      <c r="DQ244" s="182">
        <v>0</v>
      </c>
      <c r="DR244" s="182">
        <v>0</v>
      </c>
      <c r="DS244" s="182">
        <v>0</v>
      </c>
      <c r="DT244" s="182">
        <v>0</v>
      </c>
      <c r="DU244" s="182">
        <v>0</v>
      </c>
      <c r="DV244" s="182">
        <v>0</v>
      </c>
      <c r="DW244" s="182">
        <v>0</v>
      </c>
      <c r="DX244" s="182">
        <v>0</v>
      </c>
      <c r="DY244" s="182">
        <v>0</v>
      </c>
      <c r="DZ244" s="182">
        <v>0</v>
      </c>
      <c r="EA244" s="182">
        <v>0</v>
      </c>
      <c r="EB244" s="182">
        <v>0</v>
      </c>
      <c r="EC244" s="182">
        <v>0</v>
      </c>
      <c r="ED244" s="182">
        <v>0</v>
      </c>
      <c r="EE244" s="182">
        <v>0</v>
      </c>
      <c r="EF244" s="182">
        <v>0</v>
      </c>
      <c r="EG244" s="182">
        <v>0</v>
      </c>
      <c r="EH244" s="182">
        <v>0</v>
      </c>
      <c r="EI244" s="182">
        <v>0</v>
      </c>
      <c r="EJ244" s="182">
        <v>0</v>
      </c>
      <c r="FY244" s="213">
        <v>239</v>
      </c>
      <c r="FZ244">
        <v>43.730892556514647</v>
      </c>
      <c r="GA244">
        <v>72.635010211041887</v>
      </c>
      <c r="GB244">
        <v>19.134970683416189</v>
      </c>
      <c r="GC244">
        <v>5.272771553925617</v>
      </c>
      <c r="GD244">
        <v>4.500846637345786</v>
      </c>
      <c r="GE244">
        <v>8.164840506772288</v>
      </c>
      <c r="GF244">
        <v>15.927519145061487</v>
      </c>
      <c r="GG244">
        <v>9.5792269278632443</v>
      </c>
      <c r="GH244">
        <v>8.6842565650864501</v>
      </c>
      <c r="GI244">
        <v>18.972003688637873</v>
      </c>
      <c r="GJ244"/>
      <c r="GK244"/>
      <c r="GL244"/>
      <c r="GM244"/>
      <c r="GN244" s="208"/>
      <c r="GO244" s="208"/>
      <c r="GP244" s="208"/>
      <c r="GQ244" s="208"/>
      <c r="GR244" s="208"/>
      <c r="GS244" s="208"/>
      <c r="GT244" s="208"/>
      <c r="GU244" s="213">
        <v>239</v>
      </c>
    </row>
    <row r="245" spans="1:203" s="7" customFormat="1">
      <c r="A245" s="1"/>
      <c r="B245">
        <v>0.52430272337784811</v>
      </c>
      <c r="C245">
        <v>5</v>
      </c>
      <c r="D245">
        <v>39673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 s="2"/>
      <c r="AK245" s="81"/>
      <c r="AL245" s="81"/>
      <c r="AM245" s="43">
        <v>229</v>
      </c>
      <c r="AN245">
        <v>292.42095036572675</v>
      </c>
      <c r="AO245">
        <v>21.025128863148883</v>
      </c>
      <c r="AP245">
        <v>103.10787811042304</v>
      </c>
      <c r="AQ245">
        <v>149.02632215782765</v>
      </c>
      <c r="AR245">
        <v>21.543028966857332</v>
      </c>
      <c r="AS245">
        <v>213.55833245654469</v>
      </c>
      <c r="AT245">
        <v>9.8935347437903882</v>
      </c>
      <c r="AU245">
        <v>26.105435181988522</v>
      </c>
      <c r="AV245"/>
      <c r="AW245"/>
      <c r="DE245" s="187">
        <v>39799</v>
      </c>
      <c r="DF245" s="182">
        <v>26.455085612062355</v>
      </c>
      <c r="DG245" s="182">
        <v>162.71811792288878</v>
      </c>
      <c r="DH245" s="182">
        <v>118.82584327437269</v>
      </c>
      <c r="DI245" s="182">
        <v>5.208333333333333</v>
      </c>
      <c r="DJ245" s="182">
        <v>1.0416666666666665</v>
      </c>
      <c r="DK245" s="182">
        <v>0</v>
      </c>
      <c r="DL245" s="182">
        <v>0</v>
      </c>
      <c r="DM245" s="182">
        <v>0</v>
      </c>
      <c r="DN245" s="182">
        <v>0</v>
      </c>
      <c r="DO245" s="182">
        <v>0</v>
      </c>
      <c r="DP245" s="182">
        <v>0</v>
      </c>
      <c r="DQ245" s="182">
        <v>0</v>
      </c>
      <c r="DR245" s="182">
        <v>0</v>
      </c>
      <c r="DS245" s="182">
        <v>0</v>
      </c>
      <c r="DT245" s="182">
        <v>0</v>
      </c>
      <c r="DU245" s="182">
        <v>0</v>
      </c>
      <c r="DV245" s="182">
        <v>0</v>
      </c>
      <c r="DW245" s="182">
        <v>0</v>
      </c>
      <c r="DX245" s="182">
        <v>0</v>
      </c>
      <c r="DY245" s="182">
        <v>0</v>
      </c>
      <c r="DZ245" s="182">
        <v>0</v>
      </c>
      <c r="EA245" s="182">
        <v>0</v>
      </c>
      <c r="EB245" s="182">
        <v>0</v>
      </c>
      <c r="EC245" s="182">
        <v>0</v>
      </c>
      <c r="ED245" s="182">
        <v>0</v>
      </c>
      <c r="EE245" s="182">
        <v>0</v>
      </c>
      <c r="EF245" s="182">
        <v>0</v>
      </c>
      <c r="EG245" s="182">
        <v>0</v>
      </c>
      <c r="EH245" s="182">
        <v>0</v>
      </c>
      <c r="EI245" s="182">
        <v>0</v>
      </c>
      <c r="EJ245" s="182">
        <v>0</v>
      </c>
      <c r="FY245" s="213">
        <v>240</v>
      </c>
      <c r="FZ245">
        <v>47.386769355135328</v>
      </c>
      <c r="GA245">
        <v>54.178517681035906</v>
      </c>
      <c r="GB245">
        <v>17.078770155475777</v>
      </c>
      <c r="GC245">
        <v>12.167960354566272</v>
      </c>
      <c r="GD245">
        <v>8.9807763542850925</v>
      </c>
      <c r="GE245">
        <v>3.7120658367462953</v>
      </c>
      <c r="GF245">
        <v>10.028984654530817</v>
      </c>
      <c r="GG245">
        <v>9.3636853342870392</v>
      </c>
      <c r="GH245">
        <v>11.144278529022376</v>
      </c>
      <c r="GI245">
        <v>20.590350680264265</v>
      </c>
      <c r="GJ245"/>
      <c r="GK245"/>
      <c r="GL245"/>
      <c r="GM245"/>
      <c r="GN245" s="208"/>
      <c r="GO245" s="208"/>
      <c r="GP245" s="208"/>
      <c r="GQ245" s="208"/>
      <c r="GR245" s="208"/>
      <c r="GS245" s="208"/>
      <c r="GT245" s="208"/>
      <c r="GU245" s="213">
        <v>240</v>
      </c>
    </row>
    <row r="246" spans="1:203" s="7" customFormat="1">
      <c r="A246" s="1"/>
      <c r="B246">
        <v>0.45107217616094886</v>
      </c>
      <c r="C246">
        <v>10</v>
      </c>
      <c r="D246">
        <v>39673</v>
      </c>
      <c r="E246">
        <v>0</v>
      </c>
      <c r="F246">
        <v>0</v>
      </c>
      <c r="G246">
        <v>148.80952380952382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 s="2"/>
      <c r="AK246" s="81"/>
      <c r="AL246" s="81"/>
      <c r="AM246" s="43">
        <v>230</v>
      </c>
      <c r="AN246">
        <v>398.4812889760608</v>
      </c>
      <c r="AO246">
        <v>37.355790656106706</v>
      </c>
      <c r="AP246">
        <v>110.73644814999837</v>
      </c>
      <c r="AQ246">
        <v>284.04459993588432</v>
      </c>
      <c r="AR246">
        <v>36.630632809845139</v>
      </c>
      <c r="AS246">
        <v>309.79027747679766</v>
      </c>
      <c r="AT246">
        <v>17.289314375982759</v>
      </c>
      <c r="AU246">
        <v>-26.33296679810795</v>
      </c>
      <c r="AV246"/>
      <c r="AW246"/>
      <c r="DE246" s="187">
        <v>39847</v>
      </c>
      <c r="DF246" s="182">
        <v>11.393229166666666</v>
      </c>
      <c r="DG246" s="182">
        <v>223.76302083333334</v>
      </c>
      <c r="DH246" s="182">
        <v>63.194444444444443</v>
      </c>
      <c r="DI246" s="182">
        <v>0</v>
      </c>
      <c r="DJ246" s="182">
        <v>0</v>
      </c>
      <c r="DK246" s="182">
        <v>1.0416666666666665</v>
      </c>
      <c r="DL246" s="182">
        <v>0</v>
      </c>
      <c r="DM246" s="182">
        <v>0</v>
      </c>
      <c r="DN246" s="182">
        <v>0</v>
      </c>
      <c r="DO246" s="182">
        <v>0</v>
      </c>
      <c r="DP246" s="182">
        <v>0</v>
      </c>
      <c r="DQ246" s="182">
        <v>0</v>
      </c>
      <c r="DR246" s="182">
        <v>0</v>
      </c>
      <c r="DS246" s="182">
        <v>0</v>
      </c>
      <c r="DT246" s="182">
        <v>0</v>
      </c>
      <c r="DU246" s="182">
        <v>0</v>
      </c>
      <c r="DV246" s="182">
        <v>0</v>
      </c>
      <c r="DW246" s="182">
        <v>0</v>
      </c>
      <c r="DX246" s="182">
        <v>0</v>
      </c>
      <c r="DY246" s="182">
        <v>0</v>
      </c>
      <c r="DZ246" s="182">
        <v>0</v>
      </c>
      <c r="EA246" s="182">
        <v>0</v>
      </c>
      <c r="EB246" s="182">
        <v>0</v>
      </c>
      <c r="EC246" s="182">
        <v>0</v>
      </c>
      <c r="ED246" s="182">
        <v>0</v>
      </c>
      <c r="EE246" s="182">
        <v>0</v>
      </c>
      <c r="EF246" s="182">
        <v>0</v>
      </c>
      <c r="EG246" s="182">
        <v>0</v>
      </c>
      <c r="EH246" s="182">
        <v>0</v>
      </c>
      <c r="EI246" s="182">
        <v>0</v>
      </c>
      <c r="EJ246" s="182">
        <v>0</v>
      </c>
      <c r="FY246" s="213">
        <v>241</v>
      </c>
      <c r="FZ246">
        <v>31.646482953114667</v>
      </c>
      <c r="GA246">
        <v>15.460712697216589</v>
      </c>
      <c r="GB246">
        <v>4.047323094437953</v>
      </c>
      <c r="GC246">
        <v>8.6371051827268381</v>
      </c>
      <c r="GD246">
        <v>6.119808202351261</v>
      </c>
      <c r="GE246">
        <v>4.334916522692815</v>
      </c>
      <c r="GF246">
        <v>24.738662530628034</v>
      </c>
      <c r="GG246">
        <v>21.030621200212249</v>
      </c>
      <c r="GH246">
        <v>13.457362491152072</v>
      </c>
      <c r="GI246">
        <v>15.788334460569757</v>
      </c>
      <c r="GJ246"/>
      <c r="GK246"/>
      <c r="GL246"/>
      <c r="GM246"/>
      <c r="GN246" s="208"/>
      <c r="GO246" s="208"/>
      <c r="GP246" s="208"/>
      <c r="GQ246" s="208"/>
      <c r="GR246" s="208"/>
      <c r="GS246" s="208"/>
      <c r="GT246" s="208"/>
      <c r="GU246" s="213">
        <v>241</v>
      </c>
    </row>
    <row r="247" spans="1:203" s="7" customFormat="1">
      <c r="A247" s="77" t="s">
        <v>61</v>
      </c>
      <c r="B247">
        <v>0.50742539147801513</v>
      </c>
      <c r="C247">
        <v>3</v>
      </c>
      <c r="D247">
        <v>39673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 s="2"/>
      <c r="AK247" s="81"/>
      <c r="AL247" s="81"/>
      <c r="AM247" s="43">
        <v>231</v>
      </c>
      <c r="AN247">
        <v>349.38276088493035</v>
      </c>
      <c r="AO247">
        <v>24.112182109492281</v>
      </c>
      <c r="AP247">
        <v>100.10487249832144</v>
      </c>
      <c r="AQ247">
        <v>172.595962095483</v>
      </c>
      <c r="AR247">
        <v>24.634311065869468</v>
      </c>
      <c r="AS247">
        <v>247.47065713527905</v>
      </c>
      <c r="AT247">
        <v>12.308919134805835</v>
      </c>
      <c r="AU247">
        <v>39.839263998757204</v>
      </c>
      <c r="AV247"/>
      <c r="AW247"/>
      <c r="DE247" s="187">
        <v>39910</v>
      </c>
      <c r="DF247" s="182">
        <v>78.125</v>
      </c>
      <c r="DG247" s="182">
        <v>251.19766505636071</v>
      </c>
      <c r="DH247" s="182">
        <v>194.90740740740739</v>
      </c>
      <c r="DI247" s="182">
        <v>78.009259259259252</v>
      </c>
      <c r="DJ247" s="182">
        <v>1.0416666666666665</v>
      </c>
      <c r="DK247" s="182">
        <v>0</v>
      </c>
      <c r="DL247" s="182">
        <v>0</v>
      </c>
      <c r="DM247" s="182">
        <v>0</v>
      </c>
      <c r="DN247" s="182">
        <v>0</v>
      </c>
      <c r="DO247" s="182">
        <v>0</v>
      </c>
      <c r="DP247" s="182">
        <v>0</v>
      </c>
      <c r="DQ247" s="182">
        <v>0</v>
      </c>
      <c r="DR247" s="182">
        <v>0</v>
      </c>
      <c r="DS247" s="182">
        <v>0</v>
      </c>
      <c r="DT247" s="182">
        <v>0</v>
      </c>
      <c r="DU247" s="182">
        <v>0</v>
      </c>
      <c r="DV247" s="182">
        <v>0</v>
      </c>
      <c r="DW247" s="182">
        <v>0</v>
      </c>
      <c r="DX247" s="182">
        <v>0</v>
      </c>
      <c r="DY247" s="182">
        <v>0</v>
      </c>
      <c r="DZ247" s="182">
        <v>0</v>
      </c>
      <c r="EA247" s="182">
        <v>0</v>
      </c>
      <c r="EB247" s="182">
        <v>0</v>
      </c>
      <c r="EC247" s="182">
        <v>0</v>
      </c>
      <c r="ED247" s="182">
        <v>0</v>
      </c>
      <c r="EE247" s="182">
        <v>0</v>
      </c>
      <c r="EF247" s="182">
        <v>0</v>
      </c>
      <c r="EG247" s="182">
        <v>0</v>
      </c>
      <c r="EH247" s="182">
        <v>0</v>
      </c>
      <c r="EI247" s="182">
        <v>0</v>
      </c>
      <c r="EJ247" s="182">
        <v>0</v>
      </c>
      <c r="FY247" s="213">
        <v>242</v>
      </c>
      <c r="FZ247">
        <v>44.460567015950268</v>
      </c>
      <c r="GA247">
        <v>46.852473199888557</v>
      </c>
      <c r="GB247">
        <v>12.254669779684884</v>
      </c>
      <c r="GC247">
        <v>6.4055607637025433</v>
      </c>
      <c r="GD247">
        <v>5.7227137952397813</v>
      </c>
      <c r="GE247">
        <v>5.3762733247974719</v>
      </c>
      <c r="GF247">
        <v>18.381336586051994</v>
      </c>
      <c r="GG247">
        <v>16.992245271758083</v>
      </c>
      <c r="GH247">
        <v>20.072916465556908</v>
      </c>
      <c r="GI247">
        <v>19.917140279736739</v>
      </c>
      <c r="GJ247"/>
      <c r="GK247"/>
      <c r="GL247"/>
      <c r="GM247"/>
      <c r="GN247" s="208"/>
      <c r="GO247" s="208"/>
      <c r="GP247" s="208"/>
      <c r="GQ247" s="208"/>
      <c r="GR247" s="208"/>
      <c r="GS247" s="208"/>
      <c r="GT247" s="208"/>
      <c r="GU247" s="213">
        <v>242</v>
      </c>
    </row>
    <row r="248" spans="1:203" s="7" customFormat="1">
      <c r="A248" s="77" t="s">
        <v>62</v>
      </c>
      <c r="B248">
        <v>0.21259169381724718</v>
      </c>
      <c r="C248">
        <v>2</v>
      </c>
      <c r="D248">
        <v>39714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10.416666666666666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 s="2"/>
      <c r="AK248" s="81"/>
      <c r="AL248" s="81"/>
      <c r="AM248" s="43">
        <v>232</v>
      </c>
      <c r="AN248">
        <v>285.90589885207248</v>
      </c>
      <c r="AO248">
        <v>27.098760236545491</v>
      </c>
      <c r="AP248">
        <v>69.623670341277133</v>
      </c>
      <c r="AQ248">
        <v>208.04473102753326</v>
      </c>
      <c r="AR248">
        <v>28.08906131750765</v>
      </c>
      <c r="AS248">
        <v>252.69394893431553</v>
      </c>
      <c r="AT248">
        <v>14.400492316084039</v>
      </c>
      <c r="AU248">
        <v>22.822707794785451</v>
      </c>
      <c r="AV248"/>
      <c r="AW248"/>
      <c r="DE248" s="187">
        <v>39949</v>
      </c>
      <c r="DF248" s="182">
        <v>0</v>
      </c>
      <c r="DG248" s="182">
        <v>59.16391119508738</v>
      </c>
      <c r="DH248" s="182">
        <v>29.334728564180615</v>
      </c>
      <c r="DI248" s="182">
        <v>24.648738632691686</v>
      </c>
      <c r="DJ248" s="182">
        <v>3.125</v>
      </c>
      <c r="DK248" s="182">
        <v>0</v>
      </c>
      <c r="DL248" s="182">
        <v>0</v>
      </c>
      <c r="DM248" s="182">
        <v>0</v>
      </c>
      <c r="DN248" s="182">
        <v>0</v>
      </c>
      <c r="DO248" s="182">
        <v>0</v>
      </c>
      <c r="DP248" s="182">
        <v>0</v>
      </c>
      <c r="DQ248" s="182">
        <v>0</v>
      </c>
      <c r="DR248" s="182">
        <v>0</v>
      </c>
      <c r="DS248" s="182">
        <v>0</v>
      </c>
      <c r="DT248" s="182">
        <v>0</v>
      </c>
      <c r="DU248" s="182">
        <v>0</v>
      </c>
      <c r="DV248" s="182">
        <v>0</v>
      </c>
      <c r="DW248" s="182">
        <v>0</v>
      </c>
      <c r="DX248" s="182">
        <v>0</v>
      </c>
      <c r="DY248" s="182">
        <v>0</v>
      </c>
      <c r="DZ248" s="182">
        <v>0</v>
      </c>
      <c r="EA248" s="182">
        <v>0</v>
      </c>
      <c r="EB248" s="182">
        <v>0</v>
      </c>
      <c r="EC248" s="182">
        <v>0</v>
      </c>
      <c r="ED248" s="182">
        <v>0</v>
      </c>
      <c r="EE248" s="182">
        <v>0</v>
      </c>
      <c r="EF248" s="182">
        <v>0</v>
      </c>
      <c r="EG248" s="182">
        <v>0</v>
      </c>
      <c r="EH248" s="182">
        <v>0</v>
      </c>
      <c r="EI248" s="182">
        <v>0</v>
      </c>
      <c r="EJ248" s="182">
        <v>0</v>
      </c>
      <c r="FY248" s="213">
        <v>243</v>
      </c>
      <c r="FZ248">
        <v>57.332896136561494</v>
      </c>
      <c r="GA248">
        <v>48.37651017638894</v>
      </c>
      <c r="GB248">
        <v>11.425776017514341</v>
      </c>
      <c r="GC248">
        <v>6.2357695135647981</v>
      </c>
      <c r="GD248">
        <v>6.0549958005562603</v>
      </c>
      <c r="GE248">
        <v>7.7784976968578503</v>
      </c>
      <c r="GF248">
        <v>8.7689412620704648</v>
      </c>
      <c r="GG248">
        <v>6.6739283796433559</v>
      </c>
      <c r="GH248">
        <v>10.300414681850469</v>
      </c>
      <c r="GI248">
        <v>18.335262841620217</v>
      </c>
      <c r="GJ248"/>
      <c r="GK248"/>
      <c r="GL248"/>
      <c r="GM248"/>
      <c r="GN248" s="208"/>
      <c r="GO248" s="208"/>
      <c r="GP248" s="208"/>
      <c r="GQ248" s="208"/>
      <c r="GR248" s="208"/>
      <c r="GS248" s="208"/>
      <c r="GT248" s="208"/>
      <c r="GU248" s="213">
        <v>243</v>
      </c>
    </row>
    <row r="249" spans="1:203" s="7" customFormat="1">
      <c r="A249" s="1"/>
      <c r="B249">
        <v>1.6400201042032769E-2</v>
      </c>
      <c r="C249">
        <v>7</v>
      </c>
      <c r="D249">
        <v>39714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 s="2"/>
      <c r="AK249" s="81"/>
      <c r="AL249" s="81"/>
      <c r="AM249" s="43">
        <v>233</v>
      </c>
      <c r="AN249">
        <v>366.70770984891487</v>
      </c>
      <c r="AO249">
        <v>34.325008161001428</v>
      </c>
      <c r="AP249">
        <v>104.58055616741251</v>
      </c>
      <c r="AQ249">
        <v>259.28650623425551</v>
      </c>
      <c r="AR249">
        <v>36.303807758991731</v>
      </c>
      <c r="AS249">
        <v>308.74362451552321</v>
      </c>
      <c r="AT249">
        <v>17.960476298777596</v>
      </c>
      <c r="AU249">
        <v>52.470130412925862</v>
      </c>
      <c r="AV249"/>
      <c r="AW249"/>
      <c r="DE249" s="187">
        <v>39987</v>
      </c>
      <c r="DF249" s="182">
        <v>0</v>
      </c>
      <c r="DG249" s="182">
        <v>28.197621641249089</v>
      </c>
      <c r="DH249" s="182">
        <v>13.900236020334058</v>
      </c>
      <c r="DI249" s="182">
        <v>8.1903594771241828</v>
      </c>
      <c r="DJ249" s="182">
        <v>3.125</v>
      </c>
      <c r="DK249" s="182">
        <v>2.083333333333333</v>
      </c>
      <c r="DL249" s="182">
        <v>4.1666666666666661</v>
      </c>
      <c r="DM249" s="182">
        <v>2.083333333333333</v>
      </c>
      <c r="DN249" s="182">
        <v>2.083333333333333</v>
      </c>
      <c r="DO249" s="182">
        <v>0</v>
      </c>
      <c r="DP249" s="182">
        <v>0</v>
      </c>
      <c r="DQ249" s="182">
        <v>0</v>
      </c>
      <c r="DR249" s="182">
        <v>0</v>
      </c>
      <c r="DS249" s="182">
        <v>0</v>
      </c>
      <c r="DT249" s="182">
        <v>0</v>
      </c>
      <c r="DU249" s="182">
        <v>0</v>
      </c>
      <c r="DV249" s="182">
        <v>0</v>
      </c>
      <c r="DW249" s="182">
        <v>0</v>
      </c>
      <c r="DX249" s="182">
        <v>0</v>
      </c>
      <c r="DY249" s="182">
        <v>0</v>
      </c>
      <c r="DZ249" s="182">
        <v>0</v>
      </c>
      <c r="EA249" s="182">
        <v>0</v>
      </c>
      <c r="EB249" s="182">
        <v>0</v>
      </c>
      <c r="EC249" s="182">
        <v>0</v>
      </c>
      <c r="ED249" s="182">
        <v>0</v>
      </c>
      <c r="EE249" s="182">
        <v>0</v>
      </c>
      <c r="EF249" s="182">
        <v>0</v>
      </c>
      <c r="EG249" s="182">
        <v>0</v>
      </c>
      <c r="EH249" s="182">
        <v>0</v>
      </c>
      <c r="EI249" s="182">
        <v>0</v>
      </c>
      <c r="EJ249" s="182">
        <v>0</v>
      </c>
      <c r="FY249" s="213">
        <v>244</v>
      </c>
      <c r="FZ249">
        <v>57.414732488857823</v>
      </c>
      <c r="GA249">
        <v>55.832777765124526</v>
      </c>
      <c r="GB249">
        <v>11.446535878979617</v>
      </c>
      <c r="GC249">
        <v>5.987890763520693</v>
      </c>
      <c r="GD249">
        <v>4.857747929137763</v>
      </c>
      <c r="GE249">
        <v>3.3689108228298377</v>
      </c>
      <c r="GF249">
        <v>18.535516652997973</v>
      </c>
      <c r="GG249">
        <v>17.975097240560505</v>
      </c>
      <c r="GH249">
        <v>9.7959758637635854</v>
      </c>
      <c r="GI249">
        <v>19.408948130703767</v>
      </c>
      <c r="GJ249"/>
      <c r="GK249"/>
      <c r="GL249"/>
      <c r="GM249"/>
      <c r="GN249" s="208"/>
      <c r="GO249" s="208"/>
      <c r="GP249" s="208"/>
      <c r="GQ249" s="208"/>
      <c r="GR249" s="208"/>
      <c r="GS249" s="208"/>
      <c r="GT249" s="208"/>
      <c r="GU249" s="213">
        <v>244</v>
      </c>
    </row>
    <row r="250" spans="1:203" s="7" customFormat="1">
      <c r="A250" s="1"/>
      <c r="B250">
        <v>0.53179801359076007</v>
      </c>
      <c r="C250">
        <v>8</v>
      </c>
      <c r="D250">
        <v>39714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10.416666666666666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 s="2"/>
      <c r="AK250" s="81"/>
      <c r="AL250" s="81"/>
      <c r="AM250" s="43">
        <v>234</v>
      </c>
      <c r="AN250">
        <v>353.21978494108328</v>
      </c>
      <c r="AO250">
        <v>30.351043799303575</v>
      </c>
      <c r="AP250">
        <v>93.575880656200681</v>
      </c>
      <c r="AQ250">
        <v>226.0336161885991</v>
      </c>
      <c r="AR250">
        <v>32.247516563212464</v>
      </c>
      <c r="AS250">
        <v>300.97052141487001</v>
      </c>
      <c r="AT250">
        <v>15.072981621996155</v>
      </c>
      <c r="AU250">
        <v>31.508312821502642</v>
      </c>
      <c r="AV250"/>
      <c r="AW250"/>
      <c r="DE250" s="187"/>
      <c r="DF250" s="182"/>
      <c r="DG250" s="186"/>
      <c r="DH250" s="186"/>
      <c r="DI250" s="186"/>
      <c r="DJ250" s="186"/>
      <c r="DK250" s="186"/>
      <c r="DL250" s="186"/>
      <c r="DM250" s="186"/>
      <c r="DN250" s="186"/>
      <c r="DO250" s="186"/>
      <c r="DP250" s="186"/>
      <c r="DQ250" s="186"/>
      <c r="DR250" s="186"/>
      <c r="DS250" s="186"/>
      <c r="DT250" s="186"/>
      <c r="DU250" s="186"/>
      <c r="DV250" s="186"/>
      <c r="DW250" s="186"/>
      <c r="DX250" s="186"/>
      <c r="DY250" s="186"/>
      <c r="DZ250" s="186"/>
      <c r="EA250" s="182"/>
      <c r="EB250" s="186"/>
      <c r="EC250" s="182"/>
      <c r="ED250" s="182"/>
      <c r="EE250" s="182"/>
      <c r="EF250" s="182"/>
      <c r="EG250" s="182"/>
      <c r="EH250" s="182"/>
      <c r="EI250" s="182"/>
      <c r="EJ250" s="182"/>
      <c r="FY250" s="213">
        <v>245</v>
      </c>
      <c r="FZ250">
        <v>42.668329886794616</v>
      </c>
      <c r="GA250">
        <v>38.504535048221896</v>
      </c>
      <c r="GB250">
        <v>9.0549421107342756</v>
      </c>
      <c r="GC250">
        <v>7.6853530269753838</v>
      </c>
      <c r="GD250">
        <v>7.1428880625383835</v>
      </c>
      <c r="GE250">
        <v>5.9711608104405736</v>
      </c>
      <c r="GF250">
        <v>15.670325502328039</v>
      </c>
      <c r="GG250">
        <v>15.838179494161333</v>
      </c>
      <c r="GH250">
        <v>10.423895548466888</v>
      </c>
      <c r="GI250">
        <v>17.281135981045232</v>
      </c>
      <c r="GJ250"/>
      <c r="GK250"/>
      <c r="GL250"/>
      <c r="GM250"/>
      <c r="GN250" s="208"/>
      <c r="GO250" s="208"/>
      <c r="GP250" s="208"/>
      <c r="GQ250" s="208"/>
      <c r="GR250" s="208"/>
      <c r="GS250" s="208"/>
      <c r="GT250" s="208"/>
      <c r="GU250" s="213">
        <v>245</v>
      </c>
    </row>
    <row r="251" spans="1:203" s="7" customFormat="1">
      <c r="A251" s="1"/>
      <c r="B251">
        <v>0.68967767186049134</v>
      </c>
      <c r="C251">
        <v>3</v>
      </c>
      <c r="D251">
        <v>39714</v>
      </c>
      <c r="E251">
        <v>0</v>
      </c>
      <c r="F251">
        <v>292.96875</v>
      </c>
      <c r="G251">
        <v>0</v>
      </c>
      <c r="H251">
        <v>10.416666666666666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 s="2"/>
      <c r="AK251" s="81"/>
      <c r="AL251" s="81"/>
      <c r="AM251" s="43">
        <v>235</v>
      </c>
      <c r="AN251">
        <v>247.39917830140266</v>
      </c>
      <c r="AO251">
        <v>27.591751075052013</v>
      </c>
      <c r="AP251">
        <v>49.015336145468204</v>
      </c>
      <c r="AQ251">
        <v>202.86830442311069</v>
      </c>
      <c r="AR251">
        <v>28.30946814394763</v>
      </c>
      <c r="AS251">
        <v>220.21922735206817</v>
      </c>
      <c r="AT251">
        <v>12.426389165872672</v>
      </c>
      <c r="AU251">
        <v>-3.6554361920185059</v>
      </c>
      <c r="AV251"/>
      <c r="AW251"/>
      <c r="DE251" s="187"/>
      <c r="DF251" s="182"/>
      <c r="DG251" s="186"/>
      <c r="DH251" s="186"/>
      <c r="DI251" s="186"/>
      <c r="DJ251" s="186"/>
      <c r="DK251" s="186"/>
      <c r="DL251" s="186"/>
      <c r="DM251" s="186"/>
      <c r="DN251" s="186"/>
      <c r="DO251" s="186"/>
      <c r="DP251" s="186"/>
      <c r="DQ251" s="186"/>
      <c r="DR251" s="186"/>
      <c r="DS251" s="186"/>
      <c r="DT251" s="186"/>
      <c r="DU251" s="186"/>
      <c r="DV251" s="186"/>
      <c r="DW251" s="186"/>
      <c r="DX251" s="186"/>
      <c r="DY251" s="186"/>
      <c r="DZ251" s="186"/>
      <c r="EA251" s="182"/>
      <c r="EB251" s="186"/>
      <c r="EC251" s="182"/>
      <c r="ED251" s="182"/>
      <c r="EE251" s="182"/>
      <c r="EF251" s="182"/>
      <c r="EG251" s="182"/>
      <c r="EH251" s="182"/>
      <c r="EI251" s="182"/>
      <c r="EJ251" s="182"/>
      <c r="FY251" s="213">
        <v>246</v>
      </c>
      <c r="FZ251">
        <v>20.366049308152828</v>
      </c>
      <c r="GA251">
        <v>24.626954505888634</v>
      </c>
      <c r="GB251">
        <v>12.933830315271061</v>
      </c>
      <c r="GC251">
        <v>8.4272415746889173</v>
      </c>
      <c r="GD251">
        <v>6.1559329820127271</v>
      </c>
      <c r="GE251">
        <v>5.8123376584228987</v>
      </c>
      <c r="GF251">
        <v>15.779538277572602</v>
      </c>
      <c r="GG251">
        <v>13.315163322901929</v>
      </c>
      <c r="GH251">
        <v>17.266904151062047</v>
      </c>
      <c r="GI251">
        <v>15.812992826088657</v>
      </c>
      <c r="GJ251"/>
      <c r="GK251"/>
      <c r="GL251"/>
      <c r="GM251"/>
      <c r="GN251" s="208"/>
      <c r="GO251" s="208"/>
      <c r="GP251" s="208"/>
      <c r="GQ251" s="208"/>
      <c r="GR251" s="208"/>
      <c r="GS251" s="208"/>
      <c r="GT251" s="208"/>
      <c r="GU251" s="213">
        <v>246</v>
      </c>
    </row>
    <row r="252" spans="1:203" s="7" customFormat="1">
      <c r="A252" s="1"/>
      <c r="B252">
        <v>9.6671598659903157E-2</v>
      </c>
      <c r="C252">
        <v>2</v>
      </c>
      <c r="D252">
        <v>39714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10.416666666666666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 s="2"/>
      <c r="AK252" s="81"/>
      <c r="AL252" s="81"/>
      <c r="AM252" s="43">
        <v>236</v>
      </c>
      <c r="AN252">
        <v>392.73054480131105</v>
      </c>
      <c r="AO252">
        <v>26.285373087403901</v>
      </c>
      <c r="AP252">
        <v>86.885128515145112</v>
      </c>
      <c r="AQ252">
        <v>183.90899819423058</v>
      </c>
      <c r="AR252">
        <v>27.062683333478198</v>
      </c>
      <c r="AS252">
        <v>271.17547781096482</v>
      </c>
      <c r="AT252">
        <v>13.24857623619765</v>
      </c>
      <c r="AU252">
        <v>50.225430060867964</v>
      </c>
      <c r="AV252"/>
      <c r="AW252"/>
      <c r="FY252" s="213">
        <v>247</v>
      </c>
      <c r="FZ252">
        <v>41.741229554543636</v>
      </c>
      <c r="GA252">
        <v>55.861315244138645</v>
      </c>
      <c r="GB252">
        <v>12.834101888227794</v>
      </c>
      <c r="GC252">
        <v>5.5735898132971133</v>
      </c>
      <c r="GD252">
        <v>5.6109635184258382</v>
      </c>
      <c r="GE252">
        <v>6.0856464276304036</v>
      </c>
      <c r="GF252">
        <v>3.432825839245143</v>
      </c>
      <c r="GG252">
        <v>2.9329982795091381</v>
      </c>
      <c r="GH252">
        <v>8.3302989858911456</v>
      </c>
      <c r="GI252">
        <v>15.024016858721813</v>
      </c>
      <c r="GJ252"/>
      <c r="GK252"/>
      <c r="GL252"/>
      <c r="GM252"/>
      <c r="GN252" s="208"/>
      <c r="GO252" s="208"/>
      <c r="GP252" s="208"/>
      <c r="GQ252" s="208"/>
      <c r="GR252" s="208"/>
      <c r="GS252" s="208"/>
      <c r="GT252" s="208"/>
      <c r="GU252" s="213">
        <v>247</v>
      </c>
    </row>
    <row r="253" spans="1:203" s="7" customFormat="1">
      <c r="A253" s="1"/>
      <c r="B253">
        <v>0.95164275690822842</v>
      </c>
      <c r="C253">
        <v>1</v>
      </c>
      <c r="D253">
        <v>39714</v>
      </c>
      <c r="E253">
        <v>130.20833333333334</v>
      </c>
      <c r="F253">
        <v>65.104166666666671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 s="2"/>
      <c r="AK253" s="81"/>
      <c r="AL253" s="81"/>
      <c r="AM253" s="43">
        <v>237</v>
      </c>
      <c r="AN253">
        <v>287.21347562269779</v>
      </c>
      <c r="AO253">
        <v>24.519128360017586</v>
      </c>
      <c r="AP253">
        <v>88.847906135039594</v>
      </c>
      <c r="AQ253">
        <v>178.00848806629924</v>
      </c>
      <c r="AR253">
        <v>27.550410825072753</v>
      </c>
      <c r="AS253">
        <v>228.64982216550868</v>
      </c>
      <c r="AT253">
        <v>11.818439226448566</v>
      </c>
      <c r="AU253">
        <v>42.148484130189281</v>
      </c>
      <c r="AV253"/>
      <c r="AW253"/>
      <c r="FY253" s="213">
        <v>248</v>
      </c>
      <c r="FZ253">
        <v>55.305636484371597</v>
      </c>
      <c r="GA253">
        <v>77.009842042041029</v>
      </c>
      <c r="GB253">
        <v>15.330912355835689</v>
      </c>
      <c r="GC253">
        <v>4.0447562950117808</v>
      </c>
      <c r="GD253">
        <v>2.8136912167901471</v>
      </c>
      <c r="GE253">
        <v>2.265971924368289</v>
      </c>
      <c r="GF253">
        <v>11.657973579025931</v>
      </c>
      <c r="GG253">
        <v>11.783995523309542</v>
      </c>
      <c r="GH253">
        <v>12.396617984752512</v>
      </c>
      <c r="GI253">
        <v>18.378440020456466</v>
      </c>
      <c r="GJ253"/>
      <c r="GK253"/>
      <c r="GL253"/>
      <c r="GM253"/>
      <c r="GN253" s="208"/>
      <c r="GO253" s="208"/>
      <c r="GP253" s="208"/>
      <c r="GQ253" s="208"/>
      <c r="GR253" s="208"/>
      <c r="GS253" s="208"/>
      <c r="GT253" s="208"/>
      <c r="GU253" s="213">
        <v>248</v>
      </c>
    </row>
    <row r="254" spans="1:203" s="7" customFormat="1">
      <c r="A254" s="1"/>
      <c r="B254">
        <v>0.36137803853600614</v>
      </c>
      <c r="C254">
        <v>8</v>
      </c>
      <c r="D254">
        <v>39714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10.416666666666666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 s="2"/>
      <c r="AK254" s="81"/>
      <c r="AL254" s="81"/>
      <c r="AM254" s="43">
        <v>238</v>
      </c>
      <c r="AN254">
        <v>356.03893917666403</v>
      </c>
      <c r="AO254">
        <v>29.58196973157855</v>
      </c>
      <c r="AP254">
        <v>90.24414557796031</v>
      </c>
      <c r="AQ254">
        <v>212.86505043672992</v>
      </c>
      <c r="AR254">
        <v>30.527983559255077</v>
      </c>
      <c r="AS254">
        <v>298.77501285829237</v>
      </c>
      <c r="AT254">
        <v>13.45055441022429</v>
      </c>
      <c r="AU254">
        <v>44.237866202204032</v>
      </c>
      <c r="AV254"/>
      <c r="AW254"/>
      <c r="FY254" s="213">
        <v>249</v>
      </c>
      <c r="FZ254">
        <v>33.12421872050087</v>
      </c>
      <c r="GA254">
        <v>23.775842827127036</v>
      </c>
      <c r="GB254">
        <v>8.3383009967261277</v>
      </c>
      <c r="GC254">
        <v>5.9087912938314657</v>
      </c>
      <c r="GD254">
        <v>4.9259025917649097</v>
      </c>
      <c r="GE254">
        <v>8.312718188760357</v>
      </c>
      <c r="GF254">
        <v>15.393541483053394</v>
      </c>
      <c r="GG254">
        <v>10.634422226523457</v>
      </c>
      <c r="GH254">
        <v>24.284399463661881</v>
      </c>
      <c r="GI254">
        <v>16.656849375447969</v>
      </c>
      <c r="GJ254"/>
      <c r="GK254"/>
      <c r="GL254"/>
      <c r="GM254"/>
      <c r="GN254" s="208"/>
      <c r="GO254" s="208"/>
      <c r="GP254" s="208"/>
      <c r="GQ254" s="208"/>
      <c r="GR254" s="208"/>
      <c r="GS254" s="208"/>
      <c r="GT254" s="208"/>
      <c r="GU254" s="213">
        <v>249</v>
      </c>
    </row>
    <row r="255" spans="1:203" s="7" customFormat="1">
      <c r="A255" s="1"/>
      <c r="B255">
        <v>0.52241418382513816</v>
      </c>
      <c r="C255">
        <v>9</v>
      </c>
      <c r="D255">
        <v>39714</v>
      </c>
      <c r="E255">
        <v>100.80645161290323</v>
      </c>
      <c r="F255">
        <v>302.41935483870964</v>
      </c>
      <c r="G255">
        <v>0</v>
      </c>
      <c r="H255">
        <v>0</v>
      </c>
      <c r="I255">
        <v>0</v>
      </c>
      <c r="J255">
        <v>0</v>
      </c>
      <c r="K255">
        <v>10.416666666666666</v>
      </c>
      <c r="L255">
        <v>0</v>
      </c>
      <c r="M255">
        <v>10.416666666666666</v>
      </c>
      <c r="N255">
        <v>31.25</v>
      </c>
      <c r="O255">
        <v>10.416666666666666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 s="2"/>
      <c r="AK255" s="81"/>
      <c r="AL255" s="81"/>
      <c r="AM255" s="43">
        <v>239</v>
      </c>
      <c r="AN255">
        <v>303.45538027477505</v>
      </c>
      <c r="AO255">
        <v>29.36782904181204</v>
      </c>
      <c r="AP255">
        <v>130.89317528547457</v>
      </c>
      <c r="AQ255">
        <v>206.60233847566548</v>
      </c>
      <c r="AR255">
        <v>28.745669080472297</v>
      </c>
      <c r="AS255">
        <v>233.62278482938927</v>
      </c>
      <c r="AT255">
        <v>12.432952933095427</v>
      </c>
      <c r="AU255">
        <v>-47.157755660343021</v>
      </c>
      <c r="AV255"/>
      <c r="AW255"/>
      <c r="FY255" s="213">
        <v>250</v>
      </c>
      <c r="FZ255">
        <v>24.732399610038655</v>
      </c>
      <c r="GA255">
        <v>46.709412278556179</v>
      </c>
      <c r="GB255">
        <v>19.867609040895765</v>
      </c>
      <c r="GC255">
        <v>6.2501537124926694</v>
      </c>
      <c r="GD255">
        <v>5.2449129330701156</v>
      </c>
      <c r="GE255">
        <v>5.7430910626875518</v>
      </c>
      <c r="GF255">
        <v>20.692572585080569</v>
      </c>
      <c r="GG255">
        <v>18.989267525932622</v>
      </c>
      <c r="GH255">
        <v>17.750896341775551</v>
      </c>
      <c r="GI255">
        <v>19.076409011209169</v>
      </c>
      <c r="GJ255"/>
      <c r="GK255"/>
      <c r="GL255"/>
      <c r="GM255"/>
      <c r="GN255" s="208"/>
      <c r="GO255" s="208"/>
      <c r="GP255" s="208"/>
      <c r="GQ255" s="208"/>
      <c r="GR255" s="208"/>
      <c r="GS255" s="208"/>
      <c r="GT255" s="208"/>
      <c r="GU255" s="213">
        <v>250</v>
      </c>
    </row>
    <row r="256" spans="1:203" s="7" customFormat="1">
      <c r="A256" s="1"/>
      <c r="B256">
        <v>0.89134357036152245</v>
      </c>
      <c r="C256">
        <v>3</v>
      </c>
      <c r="D256">
        <v>39714</v>
      </c>
      <c r="E256">
        <v>0</v>
      </c>
      <c r="F256">
        <v>292.96875</v>
      </c>
      <c r="G256">
        <v>0</v>
      </c>
      <c r="H256">
        <v>10.416666666666666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 s="2"/>
      <c r="AK256" s="81"/>
      <c r="AL256" s="81"/>
      <c r="AM256" s="43">
        <v>240</v>
      </c>
      <c r="AN256">
        <v>351.79793699717584</v>
      </c>
      <c r="AO256">
        <v>29.836495792683781</v>
      </c>
      <c r="AP256">
        <v>90.352294121396483</v>
      </c>
      <c r="AQ256">
        <v>194.6321589353492</v>
      </c>
      <c r="AR256">
        <v>30.916979501042494</v>
      </c>
      <c r="AS256">
        <v>266.40285018305309</v>
      </c>
      <c r="AT256">
        <v>13.420367069298479</v>
      </c>
      <c r="AU256">
        <v>-0.19169732363683067</v>
      </c>
      <c r="AV256"/>
      <c r="AW256"/>
      <c r="FY256" s="213">
        <v>251</v>
      </c>
      <c r="FZ256">
        <v>37.39269451225492</v>
      </c>
      <c r="GA256">
        <v>56.560045830218975</v>
      </c>
      <c r="GB256">
        <v>15.051529876887896</v>
      </c>
      <c r="GC256">
        <v>6.4841991198610467</v>
      </c>
      <c r="GD256">
        <v>6.0242952111327748</v>
      </c>
      <c r="GE256">
        <v>9.9598459161611466</v>
      </c>
      <c r="GF256">
        <v>27.14489980638875</v>
      </c>
      <c r="GG256">
        <v>17.165622931363231</v>
      </c>
      <c r="GH256">
        <v>20.62715673280405</v>
      </c>
      <c r="GI256">
        <v>21.54370558145575</v>
      </c>
      <c r="GJ256"/>
      <c r="GK256"/>
      <c r="GL256"/>
      <c r="GM256"/>
      <c r="GN256" s="208"/>
      <c r="GO256" s="208"/>
      <c r="GP256" s="208"/>
      <c r="GQ256" s="208"/>
      <c r="GR256" s="208"/>
      <c r="GS256" s="208"/>
      <c r="GT256" s="208"/>
      <c r="GU256" s="213">
        <v>251</v>
      </c>
    </row>
    <row r="257" spans="1:203" s="7" customFormat="1">
      <c r="A257" s="1"/>
      <c r="B257">
        <v>0.22699364635859998</v>
      </c>
      <c r="C257">
        <v>8</v>
      </c>
      <c r="D257">
        <v>39714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10.416666666666666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 s="2"/>
      <c r="AK257" s="81"/>
      <c r="AL257" s="81"/>
      <c r="AM257" s="43">
        <v>241</v>
      </c>
      <c r="AN257">
        <v>351.04435948264461</v>
      </c>
      <c r="AO257">
        <v>21.090967443821761</v>
      </c>
      <c r="AP257">
        <v>106.6260917085784</v>
      </c>
      <c r="AQ257">
        <v>145.26132933510223</v>
      </c>
      <c r="AR257">
        <v>22.11486057970561</v>
      </c>
      <c r="AS257">
        <v>241.01178335792869</v>
      </c>
      <c r="AT257">
        <v>11.650239695932507</v>
      </c>
      <c r="AU257">
        <v>40.540057882427995</v>
      </c>
      <c r="AV257"/>
      <c r="AW257"/>
      <c r="FY257" s="213">
        <v>252</v>
      </c>
      <c r="FZ257">
        <v>32.366147141220758</v>
      </c>
      <c r="GA257">
        <v>21.226156523097529</v>
      </c>
      <c r="GB257">
        <v>4.9254365819343437</v>
      </c>
      <c r="GC257">
        <v>7.9590232683577531</v>
      </c>
      <c r="GD257">
        <v>6.2491661484894774</v>
      </c>
      <c r="GE257">
        <v>4.2272902865383593</v>
      </c>
      <c r="GF257">
        <v>10.815270618895671</v>
      </c>
      <c r="GG257">
        <v>10.815052161897773</v>
      </c>
      <c r="GH257">
        <v>11.62515054309752</v>
      </c>
      <c r="GI257">
        <v>13.413688730772009</v>
      </c>
      <c r="GJ257"/>
      <c r="GK257"/>
      <c r="GL257"/>
      <c r="GM257"/>
      <c r="GN257" s="208"/>
      <c r="GO257" s="208"/>
      <c r="GP257" s="208"/>
      <c r="GQ257" s="208"/>
      <c r="GR257" s="208"/>
      <c r="GS257" s="208"/>
      <c r="GT257" s="208"/>
      <c r="GU257" s="213">
        <v>252</v>
      </c>
    </row>
    <row r="258" spans="1:203" s="7" customFormat="1">
      <c r="A258" s="1"/>
      <c r="B258">
        <v>0.39638014583528092</v>
      </c>
      <c r="C258">
        <v>6</v>
      </c>
      <c r="D258">
        <v>39747</v>
      </c>
      <c r="E258">
        <v>0</v>
      </c>
      <c r="F258">
        <v>520.83333333333337</v>
      </c>
      <c r="G258">
        <v>65.104166666666671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 s="2"/>
      <c r="AK258" s="81"/>
      <c r="AL258" s="81"/>
      <c r="AM258" s="43">
        <v>242</v>
      </c>
      <c r="AN258">
        <v>342.38031652040718</v>
      </c>
      <c r="AO258">
        <v>27.642868019859879</v>
      </c>
      <c r="AP258">
        <v>94.998826808584141</v>
      </c>
      <c r="AQ258">
        <v>196.43589648236724</v>
      </c>
      <c r="AR258">
        <v>29.309269479506298</v>
      </c>
      <c r="AS258">
        <v>261.59988243835096</v>
      </c>
      <c r="AT258">
        <v>11.907197644123093</v>
      </c>
      <c r="AU258">
        <v>25.262542239508473</v>
      </c>
      <c r="AV258"/>
      <c r="AW258"/>
      <c r="FY258" s="213">
        <v>253</v>
      </c>
      <c r="FZ258">
        <v>48.272348347740298</v>
      </c>
      <c r="GA258">
        <v>64.727988315183282</v>
      </c>
      <c r="GB258">
        <v>19.598392886785806</v>
      </c>
      <c r="GC258">
        <v>5.3201753625901214</v>
      </c>
      <c r="GD258">
        <v>4.0559720702231878</v>
      </c>
      <c r="GE258">
        <v>3.1652805453075445</v>
      </c>
      <c r="GF258">
        <v>13.341341914675244</v>
      </c>
      <c r="GG258">
        <v>13.151864070947031</v>
      </c>
      <c r="GH258">
        <v>7.1697613275233714</v>
      </c>
      <c r="GI258">
        <v>18.685754345953566</v>
      </c>
      <c r="GJ258"/>
      <c r="GK258"/>
      <c r="GL258"/>
      <c r="GM258"/>
      <c r="GN258" s="208"/>
      <c r="GO258" s="208"/>
      <c r="GP258" s="208"/>
      <c r="GQ258" s="208"/>
      <c r="GR258" s="208"/>
      <c r="GS258" s="208"/>
      <c r="GT258" s="208"/>
      <c r="GU258" s="213">
        <v>253</v>
      </c>
    </row>
    <row r="259" spans="1:203" s="7" customFormat="1">
      <c r="A259" s="90"/>
      <c r="B259">
        <v>0.73177670340033818</v>
      </c>
      <c r="C259">
        <v>6</v>
      </c>
      <c r="D259">
        <v>39747</v>
      </c>
      <c r="E259">
        <v>0</v>
      </c>
      <c r="F259">
        <v>520.83333333333337</v>
      </c>
      <c r="G259">
        <v>65.104166666666671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 s="2"/>
      <c r="AK259" s="81"/>
      <c r="AL259" s="81"/>
      <c r="AM259" s="43">
        <v>243</v>
      </c>
      <c r="AN259">
        <v>288.00683159354077</v>
      </c>
      <c r="AO259">
        <v>25.637972514417392</v>
      </c>
      <c r="AP259">
        <v>59.601515389880397</v>
      </c>
      <c r="AQ259">
        <v>181.28299250662818</v>
      </c>
      <c r="AR259">
        <v>27.53235365893093</v>
      </c>
      <c r="AS259">
        <v>232.93363645727752</v>
      </c>
      <c r="AT259">
        <v>12.99960754056287</v>
      </c>
      <c r="AU259">
        <v>33.496195062514488</v>
      </c>
      <c r="AV259"/>
      <c r="AW259"/>
      <c r="FY259" s="213">
        <v>254</v>
      </c>
      <c r="FZ259">
        <v>40.569439756661474</v>
      </c>
      <c r="GA259">
        <v>64.748029694456505</v>
      </c>
      <c r="GB259">
        <v>24.32800942775944</v>
      </c>
      <c r="GC259">
        <v>5.7120698532228777</v>
      </c>
      <c r="GD259">
        <v>5.5160959262990268</v>
      </c>
      <c r="GE259">
        <v>6.8152341994277359</v>
      </c>
      <c r="GF259">
        <v>27.197984304047285</v>
      </c>
      <c r="GG259">
        <v>25.266810071906058</v>
      </c>
      <c r="GH259">
        <v>10.616224003137338</v>
      </c>
      <c r="GI259">
        <v>22.954189246841807</v>
      </c>
      <c r="GJ259"/>
      <c r="GK259"/>
      <c r="GL259"/>
      <c r="GM259"/>
      <c r="GN259" s="208"/>
      <c r="GO259" s="208"/>
      <c r="GP259" s="208"/>
      <c r="GQ259" s="208"/>
      <c r="GR259" s="208"/>
      <c r="GS259" s="208"/>
      <c r="GT259" s="208"/>
      <c r="GU259" s="213">
        <v>254</v>
      </c>
    </row>
    <row r="260" spans="1:203" s="7" customFormat="1">
      <c r="A260" s="77" t="s">
        <v>61</v>
      </c>
      <c r="B260">
        <v>0.7359893618499358</v>
      </c>
      <c r="C260">
        <v>3</v>
      </c>
      <c r="D260">
        <v>39747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 s="2"/>
      <c r="AK260" s="81"/>
      <c r="AL260" s="81"/>
      <c r="AM260" s="43">
        <v>244</v>
      </c>
      <c r="AN260">
        <v>271.99016201575955</v>
      </c>
      <c r="AO260">
        <v>27.792165444786786</v>
      </c>
      <c r="AP260">
        <v>57.512576582910846</v>
      </c>
      <c r="AQ260">
        <v>204.62413353647608</v>
      </c>
      <c r="AR260">
        <v>28.783392921052723</v>
      </c>
      <c r="AS260">
        <v>239.58089705147574</v>
      </c>
      <c r="AT260">
        <v>13.881713147210446</v>
      </c>
      <c r="AU260">
        <v>1.6248057072909035</v>
      </c>
      <c r="AV260"/>
      <c r="AW260"/>
      <c r="FY260" s="213">
        <v>255</v>
      </c>
      <c r="FZ260">
        <v>60.843641556647647</v>
      </c>
      <c r="GA260">
        <v>68.236000237303543</v>
      </c>
      <c r="GB260">
        <v>15.605888878917535</v>
      </c>
      <c r="GC260">
        <v>3.833284685672099</v>
      </c>
      <c r="GD260">
        <v>3.5145505370085139</v>
      </c>
      <c r="GE260">
        <v>5.3855729364199565</v>
      </c>
      <c r="GF260">
        <v>21.287868001857582</v>
      </c>
      <c r="GG260">
        <v>18.180873095519715</v>
      </c>
      <c r="GH260">
        <v>10.941132774505277</v>
      </c>
      <c r="GI260">
        <v>21.109051648467034</v>
      </c>
      <c r="GJ260"/>
      <c r="GK260"/>
      <c r="GL260"/>
      <c r="GM260"/>
      <c r="GN260" s="208"/>
      <c r="GO260" s="208"/>
      <c r="GP260" s="208"/>
      <c r="GQ260" s="208"/>
      <c r="GR260" s="208"/>
      <c r="GS260" s="208"/>
      <c r="GT260" s="208"/>
      <c r="GU260" s="213">
        <v>255</v>
      </c>
    </row>
    <row r="261" spans="1:203" s="7" customFormat="1">
      <c r="A261" s="77" t="s">
        <v>62</v>
      </c>
      <c r="B261">
        <v>0.48426567427851297</v>
      </c>
      <c r="C261">
        <v>2</v>
      </c>
      <c r="D261">
        <v>39747</v>
      </c>
      <c r="E261">
        <v>0</v>
      </c>
      <c r="F261">
        <v>455.72916666666663</v>
      </c>
      <c r="G261">
        <v>91.145833333333329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 s="2"/>
      <c r="AK261" s="81"/>
      <c r="AL261" s="81"/>
      <c r="AM261" s="43">
        <v>245</v>
      </c>
      <c r="AN261">
        <v>349.45131672427902</v>
      </c>
      <c r="AO261">
        <v>24.298437433823267</v>
      </c>
      <c r="AP261">
        <v>48.38199648403738</v>
      </c>
      <c r="AQ261">
        <v>170.24074547170665</v>
      </c>
      <c r="AR261">
        <v>24.967957348284887</v>
      </c>
      <c r="AS261">
        <v>263.01254852688265</v>
      </c>
      <c r="AT261">
        <v>12.479864871375653</v>
      </c>
      <c r="AU261">
        <v>17.357079006052423</v>
      </c>
      <c r="AV261"/>
      <c r="AW261"/>
      <c r="FY261" s="213">
        <v>256</v>
      </c>
      <c r="FZ261">
        <v>67.355191511706579</v>
      </c>
      <c r="GA261">
        <v>90.588279775609379</v>
      </c>
      <c r="GB261">
        <v>17.223063365008056</v>
      </c>
      <c r="GC261">
        <v>6.10836623760202</v>
      </c>
      <c r="GD261">
        <v>4.0266375868906534</v>
      </c>
      <c r="GE261">
        <v>2.9807533285284853</v>
      </c>
      <c r="GF261">
        <v>21.601277210105575</v>
      </c>
      <c r="GG261">
        <v>20.135418075568374</v>
      </c>
      <c r="GH261">
        <v>13.119009903453017</v>
      </c>
      <c r="GI261">
        <v>23.200755306475521</v>
      </c>
      <c r="GJ261"/>
      <c r="GK261"/>
      <c r="GL261"/>
      <c r="GM261"/>
      <c r="GN261" s="208"/>
      <c r="GO261" s="208"/>
      <c r="GP261" s="208"/>
      <c r="GQ261" s="208"/>
      <c r="GR261" s="208"/>
      <c r="GS261" s="208"/>
      <c r="GT261" s="208"/>
      <c r="GU261" s="213">
        <v>256</v>
      </c>
    </row>
    <row r="262" spans="1:203" s="7" customFormat="1" ht="12.75" customHeight="1">
      <c r="A262" s="77"/>
      <c r="B262">
        <v>0.46878895534558929</v>
      </c>
      <c r="C262">
        <v>1</v>
      </c>
      <c r="D262">
        <v>39747</v>
      </c>
      <c r="E262">
        <v>86.805555555555557</v>
      </c>
      <c r="F262">
        <v>260.41666666666669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 s="2"/>
      <c r="AK262" s="81"/>
      <c r="AL262" s="81"/>
      <c r="AM262" s="43">
        <v>246</v>
      </c>
      <c r="AN262">
        <v>326.16511130844987</v>
      </c>
      <c r="AO262">
        <v>22.191092063158671</v>
      </c>
      <c r="AP262">
        <v>111.38896374936634</v>
      </c>
      <c r="AQ262">
        <v>140.49694492206228</v>
      </c>
      <c r="AR262">
        <v>23.395539419694781</v>
      </c>
      <c r="AS262">
        <v>228.89354824945264</v>
      </c>
      <c r="AT262">
        <v>10.028552650891463</v>
      </c>
      <c r="AU262">
        <v>29.934400263399827</v>
      </c>
      <c r="AV262"/>
      <c r="AW262"/>
      <c r="FY262" s="213">
        <v>257</v>
      </c>
      <c r="FZ262">
        <v>30.348333641417707</v>
      </c>
      <c r="GA262">
        <v>31.503971510927492</v>
      </c>
      <c r="GB262">
        <v>8.5008869746978935</v>
      </c>
      <c r="GC262">
        <v>4.8094370124633512</v>
      </c>
      <c r="GD262">
        <v>4.1252360441402747</v>
      </c>
      <c r="GE262">
        <v>6.0053642956642328</v>
      </c>
      <c r="GF262">
        <v>12.880367500391266</v>
      </c>
      <c r="GG262">
        <v>10.032416473642463</v>
      </c>
      <c r="GH262">
        <v>18.810712081369481</v>
      </c>
      <c r="GI262">
        <v>14.590290664590226</v>
      </c>
      <c r="GJ262"/>
      <c r="GK262"/>
      <c r="GL262"/>
      <c r="GM262"/>
      <c r="GN262" s="208"/>
      <c r="GO262" s="208"/>
      <c r="GP262" s="208"/>
      <c r="GQ262" s="208"/>
      <c r="GR262" s="208"/>
      <c r="GS262" s="208"/>
      <c r="GT262" s="208"/>
      <c r="GU262" s="213">
        <v>257</v>
      </c>
    </row>
    <row r="263" spans="1:203" s="7" customFormat="1">
      <c r="A263" s="77"/>
      <c r="B263">
        <v>0.69348449623316011</v>
      </c>
      <c r="C263">
        <v>4</v>
      </c>
      <c r="D263">
        <v>39747</v>
      </c>
      <c r="E263">
        <v>0</v>
      </c>
      <c r="F263">
        <v>565.73275862068965</v>
      </c>
      <c r="G263">
        <v>62.859195402298845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 s="2"/>
      <c r="AK263" s="81"/>
      <c r="AL263" s="81"/>
      <c r="AM263" s="43">
        <v>247</v>
      </c>
      <c r="AN263">
        <v>239.92378335728495</v>
      </c>
      <c r="AO263">
        <v>22.209744975135084</v>
      </c>
      <c r="AP263">
        <v>53.25154957222027</v>
      </c>
      <c r="AQ263">
        <v>157.4269864096307</v>
      </c>
      <c r="AR263">
        <v>22.310250186764986</v>
      </c>
      <c r="AS263">
        <v>188.37412662020512</v>
      </c>
      <c r="AT263">
        <v>9.8213752348174559</v>
      </c>
      <c r="AU263">
        <v>4.1642851841163946</v>
      </c>
      <c r="AV263"/>
      <c r="AW263"/>
      <c r="FY263" s="213">
        <v>258</v>
      </c>
      <c r="FZ263">
        <v>43.36401158543579</v>
      </c>
      <c r="GA263">
        <v>36.18031254207979</v>
      </c>
      <c r="GB263">
        <v>8.2052822389587128</v>
      </c>
      <c r="GC263">
        <v>6.2194250335551047</v>
      </c>
      <c r="GD263">
        <v>4.4833782071264281</v>
      </c>
      <c r="GE263">
        <v>5.0574978522074137</v>
      </c>
      <c r="GF263">
        <v>28.95804779038334</v>
      </c>
      <c r="GG263">
        <v>25.542436710681901</v>
      </c>
      <c r="GH263">
        <v>26.358644384433493</v>
      </c>
      <c r="GI263">
        <v>20.702880693962562</v>
      </c>
      <c r="GJ263"/>
      <c r="GK263"/>
      <c r="GL263"/>
      <c r="GM263"/>
      <c r="GN263" s="208"/>
      <c r="GO263" s="208"/>
      <c r="GP263" s="208"/>
      <c r="GQ263" s="208"/>
      <c r="GR263" s="208"/>
      <c r="GS263" s="208"/>
      <c r="GT263" s="208"/>
      <c r="GU263" s="213">
        <v>258</v>
      </c>
    </row>
    <row r="264" spans="1:203" s="7" customFormat="1">
      <c r="A264" s="77"/>
      <c r="B264">
        <v>0.97934686518456604</v>
      </c>
      <c r="C264">
        <v>5</v>
      </c>
      <c r="D264">
        <v>39747</v>
      </c>
      <c r="E264">
        <v>0</v>
      </c>
      <c r="F264">
        <v>773.3585858585858</v>
      </c>
      <c r="G264">
        <v>110.47979797979797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 s="2"/>
      <c r="AK264" s="81"/>
      <c r="AL264" s="81"/>
      <c r="AM264" s="43">
        <v>248</v>
      </c>
      <c r="AN264">
        <v>220.51676488595248</v>
      </c>
      <c r="AO264">
        <v>27.462345073263883</v>
      </c>
      <c r="AP264">
        <v>62.30392990466266</v>
      </c>
      <c r="AQ264">
        <v>210.98783742596299</v>
      </c>
      <c r="AR264">
        <v>27.462454818640058</v>
      </c>
      <c r="AS264">
        <v>206.70960868267633</v>
      </c>
      <c r="AT264">
        <v>11.366116402970926</v>
      </c>
      <c r="AU264">
        <v>-20.595732899504682</v>
      </c>
      <c r="AV264"/>
      <c r="AW264"/>
      <c r="FY264" s="213">
        <v>259</v>
      </c>
      <c r="FZ264">
        <v>64.451724111394938</v>
      </c>
      <c r="GA264">
        <v>76.984607848692079</v>
      </c>
      <c r="GB264">
        <v>15.299241588416081</v>
      </c>
      <c r="GC264">
        <v>4.3378717589366387</v>
      </c>
      <c r="GD264">
        <v>3.5999568019031001</v>
      </c>
      <c r="GE264">
        <v>5.9903019296368818</v>
      </c>
      <c r="GF264">
        <v>29.427862269459052</v>
      </c>
      <c r="GG264">
        <v>24.052108733738116</v>
      </c>
      <c r="GH264">
        <v>7.4081554061143589</v>
      </c>
      <c r="GI264">
        <v>22.418689816385736</v>
      </c>
      <c r="GJ264"/>
      <c r="GK264"/>
      <c r="GL264"/>
      <c r="GM264"/>
      <c r="GN264" s="208"/>
      <c r="GO264" s="208"/>
      <c r="GP264" s="208"/>
      <c r="GQ264" s="208"/>
      <c r="GR264" s="208"/>
      <c r="GS264" s="208"/>
      <c r="GT264" s="208"/>
      <c r="GU264" s="213">
        <v>259</v>
      </c>
    </row>
    <row r="265" spans="1:203" s="7" customFormat="1">
      <c r="A265" s="77"/>
      <c r="B265">
        <v>0.16870005152368917</v>
      </c>
      <c r="C265">
        <v>2</v>
      </c>
      <c r="D265">
        <v>39747</v>
      </c>
      <c r="E265">
        <v>0</v>
      </c>
      <c r="F265">
        <v>455.72916666666663</v>
      </c>
      <c r="G265">
        <v>91.145833333333329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 s="2"/>
      <c r="AK265" s="81"/>
      <c r="AL265" s="81"/>
      <c r="AM265" s="43">
        <v>249</v>
      </c>
      <c r="AN265">
        <v>328.33938020893328</v>
      </c>
      <c r="AO265">
        <v>21.847524587087513</v>
      </c>
      <c r="AP265">
        <v>92.393038614904285</v>
      </c>
      <c r="AQ265">
        <v>151.35498716739747</v>
      </c>
      <c r="AR265">
        <v>24.340889006751059</v>
      </c>
      <c r="AS265">
        <v>242.83011959738337</v>
      </c>
      <c r="AT265">
        <v>10.873912753845707</v>
      </c>
      <c r="AU265">
        <v>23.114383052385911</v>
      </c>
      <c r="AV265"/>
      <c r="AW265"/>
      <c r="FY265" s="213">
        <v>260</v>
      </c>
      <c r="FZ265">
        <v>49.872402143812501</v>
      </c>
      <c r="GA265">
        <v>51.690730073677237</v>
      </c>
      <c r="GB265">
        <v>6.6644259344972561</v>
      </c>
      <c r="GC265">
        <v>4.7669173248586265</v>
      </c>
      <c r="GD265">
        <v>4.4446867465422484</v>
      </c>
      <c r="GE265">
        <v>5.1956808729224369</v>
      </c>
      <c r="GF265">
        <v>20.366840029393121</v>
      </c>
      <c r="GG265">
        <v>17.951365964928453</v>
      </c>
      <c r="GH265">
        <v>7.0116550533239277</v>
      </c>
      <c r="GI265">
        <v>16.462857150976632</v>
      </c>
      <c r="GJ265"/>
      <c r="GK265"/>
      <c r="GL265"/>
      <c r="GM265"/>
      <c r="GN265" s="208"/>
      <c r="GO265" s="208"/>
      <c r="GP265" s="208"/>
      <c r="GQ265" s="208"/>
      <c r="GR265" s="208"/>
      <c r="GS265" s="208"/>
      <c r="GT265" s="208"/>
      <c r="GU265" s="213">
        <v>260</v>
      </c>
    </row>
    <row r="266" spans="1:203" s="7" customFormat="1">
      <c r="A266" s="1"/>
      <c r="B266">
        <v>0.67341101964822281</v>
      </c>
      <c r="C266">
        <v>10</v>
      </c>
      <c r="D266">
        <v>39747</v>
      </c>
      <c r="E266">
        <v>65.104166666666671</v>
      </c>
      <c r="F266">
        <v>390.625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 s="2"/>
      <c r="AK266" s="81"/>
      <c r="AL266" s="81"/>
      <c r="AM266" s="43">
        <v>250</v>
      </c>
      <c r="AN266">
        <v>366.84115739863967</v>
      </c>
      <c r="AO266">
        <v>28.034201023804162</v>
      </c>
      <c r="AP266">
        <v>79.828488546453812</v>
      </c>
      <c r="AQ266">
        <v>185.05672410173887</v>
      </c>
      <c r="AR266">
        <v>28.895309032384667</v>
      </c>
      <c r="AS266">
        <v>274.24358131604021</v>
      </c>
      <c r="AT266">
        <v>10.759017531648889</v>
      </c>
      <c r="AU266">
        <v>16.858550678877045</v>
      </c>
      <c r="AV266"/>
      <c r="AW266"/>
      <c r="FY266" s="213">
        <v>261</v>
      </c>
      <c r="FZ266">
        <v>60.790896558304482</v>
      </c>
      <c r="GA266">
        <v>73.002675850393857</v>
      </c>
      <c r="GB266">
        <v>14.180404356457615</v>
      </c>
      <c r="GC266">
        <v>3.6606423606795837</v>
      </c>
      <c r="GD266">
        <v>3.2091158335108347</v>
      </c>
      <c r="GE266">
        <v>3.2191046014862317</v>
      </c>
      <c r="GF266">
        <v>25.559797507259457</v>
      </c>
      <c r="GG266">
        <v>26.184961086321135</v>
      </c>
      <c r="GH266">
        <v>18.591708293002398</v>
      </c>
      <c r="GI266">
        <v>22.539390079825054</v>
      </c>
      <c r="GJ266"/>
      <c r="GK266"/>
      <c r="GL266"/>
      <c r="GM266"/>
      <c r="GN266" s="208"/>
      <c r="GO266" s="208"/>
      <c r="GP266" s="208"/>
      <c r="GQ266" s="208"/>
      <c r="GR266" s="208"/>
      <c r="GS266" s="208"/>
      <c r="GT266" s="208"/>
      <c r="GU266" s="213">
        <v>261</v>
      </c>
    </row>
    <row r="267" spans="1:203" s="7" customFormat="1">
      <c r="A267" s="1"/>
      <c r="B267">
        <v>0.73201482189698797</v>
      </c>
      <c r="C267">
        <v>7</v>
      </c>
      <c r="D267">
        <v>39747</v>
      </c>
      <c r="E267">
        <v>0</v>
      </c>
      <c r="F267">
        <v>297.61904761904765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 s="2"/>
      <c r="AK267" s="81"/>
      <c r="AL267" s="81"/>
      <c r="AM267" s="43">
        <v>251</v>
      </c>
      <c r="AN267">
        <v>425.03882563673704</v>
      </c>
      <c r="AO267">
        <v>31.209237622819142</v>
      </c>
      <c r="AP267">
        <v>95.184043114646826</v>
      </c>
      <c r="AQ267">
        <v>217.95399551852856</v>
      </c>
      <c r="AR267">
        <v>32.033760111412754</v>
      </c>
      <c r="AS267">
        <v>295.57942636674534</v>
      </c>
      <c r="AT267">
        <v>13.149926620279333</v>
      </c>
      <c r="AU267">
        <v>-7.7092379895312462</v>
      </c>
      <c r="AV267"/>
      <c r="AW267"/>
      <c r="FY267" s="213">
        <v>262</v>
      </c>
      <c r="FZ267">
        <v>42.323838127807036</v>
      </c>
      <c r="GA267">
        <v>19.396921860803726</v>
      </c>
      <c r="GB267">
        <v>3.5470804723971527</v>
      </c>
      <c r="GC267">
        <v>7.9270407798709108</v>
      </c>
      <c r="GD267">
        <v>6.500717831161567</v>
      </c>
      <c r="GE267">
        <v>4.3802801498264792</v>
      </c>
      <c r="GF267">
        <v>14.611116816061516</v>
      </c>
      <c r="GG267">
        <v>12.857865100582227</v>
      </c>
      <c r="GH267">
        <v>10.799348304720537</v>
      </c>
      <c r="GI267">
        <v>15.172863859421925</v>
      </c>
      <c r="GJ267"/>
      <c r="GK267"/>
      <c r="GL267"/>
      <c r="GM267"/>
      <c r="GN267" s="208"/>
      <c r="GO267" s="208"/>
      <c r="GP267" s="208"/>
      <c r="GQ267" s="208"/>
      <c r="GR267" s="208"/>
      <c r="GS267" s="208"/>
      <c r="GT267" s="208"/>
      <c r="GU267" s="213">
        <v>262</v>
      </c>
    </row>
    <row r="268" spans="1:203" s="7" customFormat="1">
      <c r="A268" s="1"/>
      <c r="B268">
        <v>0.1860534728784069</v>
      </c>
      <c r="C268">
        <v>6</v>
      </c>
      <c r="D268">
        <v>39775</v>
      </c>
      <c r="E268">
        <v>20.833333333333332</v>
      </c>
      <c r="F268">
        <v>104.16666666666667</v>
      </c>
      <c r="G268">
        <v>83.333333333333329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 s="2"/>
      <c r="AK268" s="81"/>
      <c r="AL268" s="81"/>
      <c r="AM268" s="43">
        <v>252</v>
      </c>
      <c r="AN268">
        <v>293.60019396170651</v>
      </c>
      <c r="AO268">
        <v>18.155788932096112</v>
      </c>
      <c r="AP268">
        <v>92.26826273071886</v>
      </c>
      <c r="AQ268">
        <v>123.62238200430119</v>
      </c>
      <c r="AR268">
        <v>19.026692497914794</v>
      </c>
      <c r="AS268">
        <v>203.10242823633828</v>
      </c>
      <c r="AT268">
        <v>9.683060960314954</v>
      </c>
      <c r="AU268">
        <v>43.752525603413119</v>
      </c>
      <c r="AV268"/>
      <c r="AW268"/>
      <c r="FY268" s="213">
        <v>263</v>
      </c>
      <c r="FZ268">
        <v>75.587083793387464</v>
      </c>
      <c r="GA268">
        <v>82.535201292946795</v>
      </c>
      <c r="GB268">
        <v>8.3906008224786834</v>
      </c>
      <c r="GC268">
        <v>8.0744818928266842</v>
      </c>
      <c r="GD268">
        <v>7.9784560037490966</v>
      </c>
      <c r="GE268">
        <v>7.7191166051563531</v>
      </c>
      <c r="GF268">
        <v>17.835697530808154</v>
      </c>
      <c r="GG268">
        <v>17.121474829151843</v>
      </c>
      <c r="GH268">
        <v>18.324416031884173</v>
      </c>
      <c r="GI268">
        <v>24.185519547234595</v>
      </c>
      <c r="GJ268"/>
      <c r="GK268"/>
      <c r="GL268"/>
      <c r="GM268"/>
      <c r="GN268" s="208"/>
      <c r="GO268" s="208"/>
      <c r="GP268" s="208"/>
      <c r="GQ268" s="208"/>
      <c r="GR268" s="208"/>
      <c r="GS268" s="208"/>
      <c r="GT268" s="208"/>
      <c r="GU268" s="213">
        <v>263</v>
      </c>
    </row>
    <row r="269" spans="1:203" s="7" customFormat="1">
      <c r="A269" s="1"/>
      <c r="B269">
        <v>0.64953747923160532</v>
      </c>
      <c r="C269">
        <v>5</v>
      </c>
      <c r="D269">
        <v>39775</v>
      </c>
      <c r="E269">
        <v>0</v>
      </c>
      <c r="F269">
        <v>267.85714285714289</v>
      </c>
      <c r="G269">
        <v>208.33333333333334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 s="2"/>
      <c r="AK269" s="81"/>
      <c r="AL269" s="81"/>
      <c r="AM269" s="43">
        <v>253</v>
      </c>
      <c r="AN269">
        <v>278.77703445787205</v>
      </c>
      <c r="AO269">
        <v>27.742146767385442</v>
      </c>
      <c r="AP269">
        <v>36.619411934439107</v>
      </c>
      <c r="AQ269">
        <v>197.48887918692947</v>
      </c>
      <c r="AR269">
        <v>28.399156954648468</v>
      </c>
      <c r="AS269">
        <v>231.03580639776669</v>
      </c>
      <c r="AT269">
        <v>11.042643302049242</v>
      </c>
      <c r="AU269">
        <v>-6.6345947643200986</v>
      </c>
      <c r="AV269"/>
      <c r="AW269"/>
      <c r="FY269" s="213">
        <v>264</v>
      </c>
      <c r="FZ269">
        <v>64.225386626137009</v>
      </c>
      <c r="GA269">
        <v>55.052125374462385</v>
      </c>
      <c r="GB269">
        <v>8.3765555067324993</v>
      </c>
      <c r="GC269">
        <v>5.6361828131711578</v>
      </c>
      <c r="GD269">
        <v>3.7966592361817435</v>
      </c>
      <c r="GE269">
        <v>3.8516248370262645</v>
      </c>
      <c r="GF269">
        <v>14.464084527839661</v>
      </c>
      <c r="GG269">
        <v>14.274209310372187</v>
      </c>
      <c r="GH269">
        <v>12.792176806017119</v>
      </c>
      <c r="GI269">
        <v>18.47969808188493</v>
      </c>
      <c r="GJ269"/>
      <c r="GK269"/>
      <c r="GL269"/>
      <c r="GM269"/>
      <c r="GN269" s="208"/>
      <c r="GO269" s="208"/>
      <c r="GP269" s="208"/>
      <c r="GQ269" s="208"/>
      <c r="GR269" s="208"/>
      <c r="GS269" s="208"/>
      <c r="GT269" s="208"/>
      <c r="GU269" s="213">
        <v>264</v>
      </c>
    </row>
    <row r="270" spans="1:203" s="7" customFormat="1">
      <c r="A270" s="1"/>
      <c r="B270">
        <v>1.0942656749966417E-2</v>
      </c>
      <c r="C270">
        <v>9</v>
      </c>
      <c r="D270">
        <v>39775</v>
      </c>
      <c r="E270">
        <v>10.416666666666666</v>
      </c>
      <c r="F270">
        <v>83.333333333333329</v>
      </c>
      <c r="G270">
        <v>20.833333333333332</v>
      </c>
      <c r="H270">
        <v>0</v>
      </c>
      <c r="I270">
        <v>10.416666666666666</v>
      </c>
      <c r="J270">
        <v>10.416666666666666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 s="2"/>
      <c r="AK270" s="81"/>
      <c r="AL270" s="81"/>
      <c r="AM270" s="43">
        <v>254</v>
      </c>
      <c r="AN270">
        <v>384.11723412909441</v>
      </c>
      <c r="AO270">
        <v>34.260094062502958</v>
      </c>
      <c r="AP270">
        <v>110.75514741822936</v>
      </c>
      <c r="AQ270">
        <v>233.72408648375955</v>
      </c>
      <c r="AR270">
        <v>34.545546151311349</v>
      </c>
      <c r="AS270">
        <v>345.07310474894052</v>
      </c>
      <c r="AT270">
        <v>14.432216492546374</v>
      </c>
      <c r="AU270">
        <v>45.642605095692993</v>
      </c>
      <c r="AV270"/>
      <c r="AW270"/>
      <c r="FY270" s="213">
        <v>265</v>
      </c>
      <c r="FZ270">
        <v>59.508000269452729</v>
      </c>
      <c r="GA270">
        <v>65.982108488050216</v>
      </c>
      <c r="GB270">
        <v>8.0107895330823169</v>
      </c>
      <c r="GC270">
        <v>4.1955479972896468</v>
      </c>
      <c r="GD270">
        <v>3.029420919227205</v>
      </c>
      <c r="GE270">
        <v>2.7612575135475925</v>
      </c>
      <c r="GF270">
        <v>8.3695892303364605</v>
      </c>
      <c r="GG270">
        <v>8.885570445294471</v>
      </c>
      <c r="GH270">
        <v>17.870544813521764</v>
      </c>
      <c r="GI270">
        <v>17.157064313896178</v>
      </c>
      <c r="GJ270"/>
      <c r="GK270"/>
      <c r="GL270"/>
      <c r="GM270"/>
      <c r="GN270" s="208"/>
      <c r="GO270" s="208"/>
      <c r="GP270" s="208"/>
      <c r="GQ270" s="208"/>
      <c r="GR270" s="208"/>
      <c r="GS270" s="208"/>
      <c r="GT270" s="208"/>
      <c r="GU270" s="213">
        <v>265</v>
      </c>
    </row>
    <row r="271" spans="1:203" s="7" customFormat="1">
      <c r="A271" s="77"/>
      <c r="B271">
        <v>0.2380838150996758</v>
      </c>
      <c r="C271">
        <v>6</v>
      </c>
      <c r="D271">
        <v>39775</v>
      </c>
      <c r="E271">
        <v>20.833333333333332</v>
      </c>
      <c r="F271">
        <v>104.16666666666667</v>
      </c>
      <c r="G271">
        <v>83.333333333333329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 s="2"/>
      <c r="AK271" s="81"/>
      <c r="AL271" s="81"/>
      <c r="AM271" s="43">
        <v>255</v>
      </c>
      <c r="AN271">
        <v>315.73397573696013</v>
      </c>
      <c r="AO271">
        <v>30.415111569390575</v>
      </c>
      <c r="AP271">
        <v>59.66942706112728</v>
      </c>
      <c r="AQ271">
        <v>228.93786435231894</v>
      </c>
      <c r="AR271">
        <v>31.338094537520035</v>
      </c>
      <c r="AS271">
        <v>283.2184318779606</v>
      </c>
      <c r="AT271">
        <v>13.247621224943401</v>
      </c>
      <c r="AU271">
        <v>7.4543108881847786</v>
      </c>
      <c r="AV271"/>
      <c r="AW271"/>
      <c r="FY271" s="213">
        <v>266</v>
      </c>
      <c r="FZ271">
        <v>35.944804961944541</v>
      </c>
      <c r="GA271">
        <v>39.253696568905447</v>
      </c>
      <c r="GB271">
        <v>10.442121047687067</v>
      </c>
      <c r="GC271">
        <v>5.864468881975391</v>
      </c>
      <c r="GD271">
        <v>3.9488888984610719</v>
      </c>
      <c r="GE271">
        <v>0.83707379703371232</v>
      </c>
      <c r="GF271">
        <v>19.748018735122969</v>
      </c>
      <c r="GG271">
        <v>20.005781837900727</v>
      </c>
      <c r="GH271">
        <v>8.7644338870291865</v>
      </c>
      <c r="GI271">
        <v>15.522673018246197</v>
      </c>
      <c r="GJ271"/>
      <c r="GK271"/>
      <c r="GL271"/>
      <c r="GM271"/>
      <c r="GN271" s="208"/>
      <c r="GO271" s="208"/>
      <c r="GP271" s="208"/>
      <c r="GQ271" s="208"/>
      <c r="GR271" s="208"/>
      <c r="GS271" s="208"/>
      <c r="GT271" s="208"/>
      <c r="GU271" s="213">
        <v>266</v>
      </c>
    </row>
    <row r="272" spans="1:203" s="7" customFormat="1">
      <c r="A272" s="77"/>
      <c r="B272">
        <v>0.87708618177212938</v>
      </c>
      <c r="C272">
        <v>1</v>
      </c>
      <c r="D272">
        <v>39775</v>
      </c>
      <c r="E272">
        <v>0</v>
      </c>
      <c r="F272">
        <v>284.375</v>
      </c>
      <c r="G272">
        <v>240.625</v>
      </c>
      <c r="H272">
        <v>21.875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 s="2"/>
      <c r="AK272" s="81"/>
      <c r="AL272" s="81"/>
      <c r="AM272" s="43">
        <v>256</v>
      </c>
      <c r="AN272">
        <v>321.44418725988078</v>
      </c>
      <c r="AO272">
        <v>34.638043838534024</v>
      </c>
      <c r="AP272">
        <v>105.97383374327208</v>
      </c>
      <c r="AQ272">
        <v>266.33875230094765</v>
      </c>
      <c r="AR272">
        <v>34.168671243646351</v>
      </c>
      <c r="AS272">
        <v>293.78293845065457</v>
      </c>
      <c r="AT272">
        <v>15.700714860543933</v>
      </c>
      <c r="AU272">
        <v>16.836009211554281</v>
      </c>
      <c r="AV272"/>
      <c r="AW272"/>
      <c r="FY272" s="213">
        <v>267</v>
      </c>
      <c r="FZ272">
        <v>32.088460188799374</v>
      </c>
      <c r="GA272">
        <v>33.568816539405979</v>
      </c>
      <c r="GB272">
        <v>9.2023141012766239</v>
      </c>
      <c r="GC272">
        <v>5.8889917797187188</v>
      </c>
      <c r="GD272">
        <v>5.7322500212893335</v>
      </c>
      <c r="GE272">
        <v>7.017927926750108</v>
      </c>
      <c r="GF272">
        <v>16.983936487318761</v>
      </c>
      <c r="GG272">
        <v>15.112896044022268</v>
      </c>
      <c r="GH272">
        <v>10.768134009588431</v>
      </c>
      <c r="GI272">
        <v>15.362973805041728</v>
      </c>
      <c r="GJ272"/>
      <c r="GK272"/>
      <c r="GL272"/>
      <c r="GM272"/>
      <c r="GN272" s="208"/>
      <c r="GO272" s="208"/>
      <c r="GP272" s="208"/>
      <c r="GQ272" s="208"/>
      <c r="GR272" s="208"/>
      <c r="GS272" s="208"/>
      <c r="GT272" s="208"/>
      <c r="GU272" s="213">
        <v>267</v>
      </c>
    </row>
    <row r="273" spans="1:203" s="7" customFormat="1">
      <c r="A273" s="1"/>
      <c r="B273">
        <v>0.82216067579950636</v>
      </c>
      <c r="C273">
        <v>6</v>
      </c>
      <c r="D273">
        <v>39775</v>
      </c>
      <c r="E273">
        <v>20.833333333333332</v>
      </c>
      <c r="F273">
        <v>104.16666666666667</v>
      </c>
      <c r="G273">
        <v>83.333333333333329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 s="2"/>
      <c r="AK273" s="81"/>
      <c r="AL273" s="81"/>
      <c r="AM273" s="43">
        <v>257</v>
      </c>
      <c r="AN273">
        <v>256.94903952315974</v>
      </c>
      <c r="AO273">
        <v>19.874666875080077</v>
      </c>
      <c r="AP273">
        <v>78.423847452489809</v>
      </c>
      <c r="AQ273">
        <v>141.60701619930435</v>
      </c>
      <c r="AR273">
        <v>21.234069497995211</v>
      </c>
      <c r="AS273">
        <v>204.89146828211196</v>
      </c>
      <c r="AT273">
        <v>9.2904970547762247</v>
      </c>
      <c r="AU273">
        <v>17.380086133293702</v>
      </c>
      <c r="AV273"/>
      <c r="AW273"/>
      <c r="FY273" s="213">
        <v>268</v>
      </c>
      <c r="FZ273">
        <v>39.594372225537299</v>
      </c>
      <c r="GA273">
        <v>49.488633451456757</v>
      </c>
      <c r="GB273">
        <v>10.005994758081052</v>
      </c>
      <c r="GC273">
        <v>9.2617757717623146</v>
      </c>
      <c r="GD273">
        <v>7.252595796499901</v>
      </c>
      <c r="GE273">
        <v>5.5353391710238515</v>
      </c>
      <c r="GF273">
        <v>28.090622691262343</v>
      </c>
      <c r="GG273">
        <v>25.297389185670568</v>
      </c>
      <c r="GH273">
        <v>15.554029020321503</v>
      </c>
      <c r="GI273">
        <v>20.364309826004998</v>
      </c>
      <c r="GJ273"/>
      <c r="GK273"/>
      <c r="GL273"/>
      <c r="GM273"/>
      <c r="GN273" s="208"/>
      <c r="GO273" s="208"/>
      <c r="GP273" s="208"/>
      <c r="GQ273" s="208"/>
      <c r="GR273" s="208"/>
      <c r="GS273" s="208"/>
      <c r="GT273" s="208"/>
      <c r="GU273" s="213">
        <v>268</v>
      </c>
    </row>
    <row r="274" spans="1:203" s="7" customFormat="1">
      <c r="A274" s="1"/>
      <c r="B274">
        <v>0.42777927386544423</v>
      </c>
      <c r="C274">
        <v>7</v>
      </c>
      <c r="D274">
        <v>39775</v>
      </c>
      <c r="E274">
        <v>23.148148148148149</v>
      </c>
      <c r="F274">
        <v>291.98232323232321</v>
      </c>
      <c r="G274">
        <v>375.63131313131316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 s="2"/>
      <c r="AK274" s="81"/>
      <c r="AL274" s="81"/>
      <c r="AM274" s="43">
        <v>258</v>
      </c>
      <c r="AN274">
        <v>394.01166302830057</v>
      </c>
      <c r="AO274">
        <v>27.834585842026996</v>
      </c>
      <c r="AP274">
        <v>101.24194159360616</v>
      </c>
      <c r="AQ274">
        <v>205.07191703882452</v>
      </c>
      <c r="AR274">
        <v>29.890448428939255</v>
      </c>
      <c r="AS274">
        <v>310.74092394083345</v>
      </c>
      <c r="AT274">
        <v>14.004617288800651</v>
      </c>
      <c r="AU274">
        <v>25.800623251081973</v>
      </c>
      <c r="AV274"/>
      <c r="AW274"/>
      <c r="FY274" s="213">
        <v>269</v>
      </c>
      <c r="FZ274">
        <v>44.9787671402147</v>
      </c>
      <c r="GA274">
        <v>53.137604414255044</v>
      </c>
      <c r="GB274">
        <v>8.5220517869996808</v>
      </c>
      <c r="GC274">
        <v>5.1814820427458752</v>
      </c>
      <c r="GD274">
        <v>3.7720188035887845</v>
      </c>
      <c r="GE274">
        <v>3.4509188959359487</v>
      </c>
      <c r="GF274">
        <v>19.949471041240816</v>
      </c>
      <c r="GG274">
        <v>18.654441114328112</v>
      </c>
      <c r="GH274">
        <v>12.876538287969712</v>
      </c>
      <c r="GI274">
        <v>16.827406035003026</v>
      </c>
      <c r="GJ274"/>
      <c r="GK274"/>
      <c r="GL274"/>
      <c r="GM274"/>
      <c r="GN274" s="208"/>
      <c r="GO274" s="208"/>
      <c r="GP274" s="208"/>
      <c r="GQ274" s="208"/>
      <c r="GR274" s="208"/>
      <c r="GS274" s="208"/>
      <c r="GT274" s="208"/>
      <c r="GU274" s="213">
        <v>269</v>
      </c>
    </row>
    <row r="275" spans="1:203" s="7" customFormat="1">
      <c r="A275" s="1"/>
      <c r="B275">
        <v>0.46775159522675747</v>
      </c>
      <c r="C275">
        <v>1</v>
      </c>
      <c r="D275">
        <v>39775</v>
      </c>
      <c r="E275">
        <v>0</v>
      </c>
      <c r="F275">
        <v>284.375</v>
      </c>
      <c r="G275">
        <v>240.625</v>
      </c>
      <c r="H275">
        <v>21.875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 s="2"/>
      <c r="AK275" s="81"/>
      <c r="AL275" s="81"/>
      <c r="AM275" s="43">
        <v>259</v>
      </c>
      <c r="AN275">
        <v>361.33587493292805</v>
      </c>
      <c r="AO275">
        <v>33.464713934795817</v>
      </c>
      <c r="AP275">
        <v>71.696301808291622</v>
      </c>
      <c r="AQ275">
        <v>253.97052026467696</v>
      </c>
      <c r="AR275">
        <v>33.377860709058957</v>
      </c>
      <c r="AS275">
        <v>287.87157600233576</v>
      </c>
      <c r="AT275">
        <v>15.336559983641427</v>
      </c>
      <c r="AU275">
        <v>32.76162546471047</v>
      </c>
      <c r="AV275"/>
      <c r="AW275"/>
      <c r="FY275" s="213">
        <v>270</v>
      </c>
      <c r="FZ275">
        <v>55.380829695895684</v>
      </c>
      <c r="GA275">
        <v>68.189496905778967</v>
      </c>
      <c r="GB275">
        <v>11.35332455526809</v>
      </c>
      <c r="GC275">
        <v>5.1537863242547246</v>
      </c>
      <c r="GD275">
        <v>4.9889735543586902</v>
      </c>
      <c r="GE275">
        <v>5.0913262507972936</v>
      </c>
      <c r="GF275">
        <v>9.7319409677201438</v>
      </c>
      <c r="GG275">
        <v>11.417438488207276</v>
      </c>
      <c r="GH275">
        <v>15.329261963810067</v>
      </c>
      <c r="GI275">
        <v>18.505746785635317</v>
      </c>
      <c r="GJ275"/>
      <c r="GK275"/>
      <c r="GL275"/>
      <c r="GM275"/>
      <c r="GN275" s="208"/>
      <c r="GO275" s="208"/>
      <c r="GP275" s="208"/>
      <c r="GQ275" s="208"/>
      <c r="GR275" s="208"/>
      <c r="GS275" s="208"/>
      <c r="GT275" s="208"/>
      <c r="GU275" s="213">
        <v>270</v>
      </c>
    </row>
    <row r="276" spans="1:203" s="7" customFormat="1">
      <c r="A276" s="1"/>
      <c r="B276">
        <v>0.28793397915045915</v>
      </c>
      <c r="C276">
        <v>3</v>
      </c>
      <c r="D276">
        <v>39775</v>
      </c>
      <c r="E276">
        <v>74.652604166666663</v>
      </c>
      <c r="F276">
        <v>1119.7916666666667</v>
      </c>
      <c r="G276">
        <v>970.48593749999998</v>
      </c>
      <c r="H276">
        <v>74.652760416666666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 s="2"/>
      <c r="AK276" s="81"/>
      <c r="AL276" s="81"/>
      <c r="AM276" s="43">
        <v>260</v>
      </c>
      <c r="AN276">
        <v>321.44042430848651</v>
      </c>
      <c r="AO276">
        <v>24.248590733975988</v>
      </c>
      <c r="AP276">
        <v>115.52831741286334</v>
      </c>
      <c r="AQ276">
        <v>184.42756129493245</v>
      </c>
      <c r="AR276">
        <v>23.84440978335358</v>
      </c>
      <c r="AS276">
        <v>236.09262511796237</v>
      </c>
      <c r="AT276">
        <v>12.345369057244097</v>
      </c>
      <c r="AU276">
        <v>18.106768146755176</v>
      </c>
      <c r="AV276"/>
      <c r="AW276"/>
      <c r="FY276" s="213">
        <v>271</v>
      </c>
      <c r="FZ276">
        <v>33.757275896591608</v>
      </c>
      <c r="GA276">
        <v>65.318423843111105</v>
      </c>
      <c r="GB276">
        <v>24.823050191251252</v>
      </c>
      <c r="GC276">
        <v>4.9368911759343383</v>
      </c>
      <c r="GD276">
        <v>5.8109027661591526</v>
      </c>
      <c r="GE276">
        <v>9.8427725007989757</v>
      </c>
      <c r="GF276">
        <v>21.400014328767604</v>
      </c>
      <c r="GG276">
        <v>17.702388845380806</v>
      </c>
      <c r="GH276">
        <v>7.4124366168676756</v>
      </c>
      <c r="GI276">
        <v>20.653421241838043</v>
      </c>
      <c r="GJ276"/>
      <c r="GK276"/>
      <c r="GL276"/>
      <c r="GM276"/>
      <c r="GN276" s="208"/>
      <c r="GO276" s="208"/>
      <c r="GP276" s="208"/>
      <c r="GQ276" s="208"/>
      <c r="GR276" s="208"/>
      <c r="GS276" s="208"/>
      <c r="GT276" s="208"/>
      <c r="GU276" s="213">
        <v>271</v>
      </c>
    </row>
    <row r="277" spans="1:203" s="7" customFormat="1">
      <c r="A277" s="1"/>
      <c r="B277">
        <v>0.71056429407630173</v>
      </c>
      <c r="C277">
        <v>3</v>
      </c>
      <c r="D277">
        <v>39775</v>
      </c>
      <c r="E277">
        <v>74.652604166666663</v>
      </c>
      <c r="F277">
        <v>1119.7916666666667</v>
      </c>
      <c r="G277">
        <v>970.48593749999998</v>
      </c>
      <c r="H277">
        <v>74.652760416666666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 s="2"/>
      <c r="AK277" s="81"/>
      <c r="AL277" s="81"/>
      <c r="AM277" s="43">
        <v>261</v>
      </c>
      <c r="AN277">
        <v>311.14968670418011</v>
      </c>
      <c r="AO277">
        <v>32.390280298210847</v>
      </c>
      <c r="AP277">
        <v>91.871191730652811</v>
      </c>
      <c r="AQ277">
        <v>250.93869652724061</v>
      </c>
      <c r="AR277">
        <v>32.976347425199869</v>
      </c>
      <c r="AS277">
        <v>278.84274133560541</v>
      </c>
      <c r="AT277">
        <v>14.762372293935565</v>
      </c>
      <c r="AU277">
        <v>15.476999081992087</v>
      </c>
      <c r="AV277"/>
      <c r="AW277"/>
      <c r="FY277" s="213">
        <v>272</v>
      </c>
      <c r="FZ277">
        <v>32.238772120507655</v>
      </c>
      <c r="GA277">
        <v>17.465112477794239</v>
      </c>
      <c r="GB277">
        <v>6.4340112078993066</v>
      </c>
      <c r="GC277">
        <v>6.8469509997976585</v>
      </c>
      <c r="GD277">
        <v>5.4541973182247574</v>
      </c>
      <c r="GE277">
        <v>4.2992435873852504</v>
      </c>
      <c r="GF277">
        <v>27.428322977054602</v>
      </c>
      <c r="GG277">
        <v>24.496837010992021</v>
      </c>
      <c r="GH277">
        <v>9.1053614376290213</v>
      </c>
      <c r="GI277">
        <v>16.007540627449888</v>
      </c>
      <c r="GJ277"/>
      <c r="GK277"/>
      <c r="GL277"/>
      <c r="GM277"/>
      <c r="GN277" s="208"/>
      <c r="GO277" s="208"/>
      <c r="GP277" s="208"/>
      <c r="GQ277" s="208"/>
      <c r="GR277" s="208"/>
      <c r="GS277" s="208"/>
      <c r="GT277" s="208"/>
      <c r="GU277" s="213">
        <v>272</v>
      </c>
    </row>
    <row r="278" spans="1:203" s="7" customFormat="1">
      <c r="A278" s="1"/>
      <c r="B278">
        <v>0.21088086675806972</v>
      </c>
      <c r="C278">
        <v>1</v>
      </c>
      <c r="D278">
        <v>39799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 s="2"/>
      <c r="AK278" s="81"/>
      <c r="AL278" s="81"/>
      <c r="AM278" s="43">
        <v>262</v>
      </c>
      <c r="AN278">
        <v>292.38317672735604</v>
      </c>
      <c r="AO278">
        <v>20.001436699177312</v>
      </c>
      <c r="AP278">
        <v>80.094731518982897</v>
      </c>
      <c r="AQ278">
        <v>137.51707330265307</v>
      </c>
      <c r="AR278">
        <v>21.910817285569994</v>
      </c>
      <c r="AS278">
        <v>213.58704666979767</v>
      </c>
      <c r="AT278">
        <v>10.677562802264367</v>
      </c>
      <c r="AU278">
        <v>42.750760455746423</v>
      </c>
      <c r="AV278"/>
      <c r="AW278"/>
      <c r="FY278" s="213">
        <v>273</v>
      </c>
      <c r="FZ278">
        <v>49.590050286755798</v>
      </c>
      <c r="GA278">
        <v>51.124670420177239</v>
      </c>
      <c r="GB278">
        <v>9.9581018391655718</v>
      </c>
      <c r="GC278">
        <v>5.959530814903105</v>
      </c>
      <c r="GD278">
        <v>4.6665789430385916</v>
      </c>
      <c r="GE278">
        <v>6.1783399926594855</v>
      </c>
      <c r="GF278">
        <v>32.286386730274501</v>
      </c>
      <c r="GG278">
        <v>26.781663512144693</v>
      </c>
      <c r="GH278">
        <v>12.738663136231885</v>
      </c>
      <c r="GI278">
        <v>20.605787427134025</v>
      </c>
      <c r="GJ278"/>
      <c r="GK278"/>
      <c r="GL278"/>
      <c r="GM278"/>
      <c r="GN278" s="208"/>
      <c r="GO278" s="208"/>
      <c r="GP278" s="208"/>
      <c r="GQ278" s="208"/>
      <c r="GR278" s="208"/>
      <c r="GS278" s="208"/>
      <c r="GT278" s="208"/>
      <c r="GU278" s="213">
        <v>273</v>
      </c>
    </row>
    <row r="279" spans="1:203" s="7" customFormat="1">
      <c r="A279" s="1"/>
      <c r="B279">
        <v>7.1421317988027866E-2</v>
      </c>
      <c r="C279">
        <v>7</v>
      </c>
      <c r="D279">
        <v>39799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 s="2"/>
      <c r="AK279" s="81"/>
      <c r="AL279" s="81"/>
      <c r="AM279" s="43">
        <v>263</v>
      </c>
      <c r="AN279">
        <v>349.60008631412006</v>
      </c>
      <c r="AO279">
        <v>35.199580269607715</v>
      </c>
      <c r="AP279">
        <v>131.45214499051124</v>
      </c>
      <c r="AQ279">
        <v>267.75204834962386</v>
      </c>
      <c r="AR279">
        <v>35.163431148560612</v>
      </c>
      <c r="AS279">
        <v>330.99820510709463</v>
      </c>
      <c r="AT279">
        <v>18.140848426201554</v>
      </c>
      <c r="AU279">
        <v>24.954838113791908</v>
      </c>
      <c r="AV279"/>
      <c r="AW279"/>
      <c r="FY279" s="213">
        <v>274</v>
      </c>
      <c r="FZ279">
        <v>56.153818090403611</v>
      </c>
      <c r="GA279">
        <v>50.999669795428453</v>
      </c>
      <c r="GB279">
        <v>12.893979526253217</v>
      </c>
      <c r="GC279">
        <v>4.8552282721085707</v>
      </c>
      <c r="GD279">
        <v>3.1736333345775245</v>
      </c>
      <c r="GE279">
        <v>3.2958995385320566</v>
      </c>
      <c r="GF279">
        <v>18.527003058587749</v>
      </c>
      <c r="GG279">
        <v>15.338968105852187</v>
      </c>
      <c r="GH279">
        <v>11.321897880827018</v>
      </c>
      <c r="GI279">
        <v>18.98534207656467</v>
      </c>
      <c r="GJ279"/>
      <c r="GK279"/>
      <c r="GL279"/>
      <c r="GM279"/>
      <c r="GN279" s="208"/>
      <c r="GO279" s="208"/>
      <c r="GP279" s="208"/>
      <c r="GQ279" s="208"/>
      <c r="GR279" s="208"/>
      <c r="GS279" s="208"/>
      <c r="GT279" s="208"/>
      <c r="GU279" s="213">
        <v>274</v>
      </c>
    </row>
    <row r="280" spans="1:203" s="7" customFormat="1">
      <c r="A280" s="1"/>
      <c r="B280">
        <v>0.98338361697736154</v>
      </c>
      <c r="C280">
        <v>5</v>
      </c>
      <c r="D280">
        <v>39799</v>
      </c>
      <c r="E280">
        <v>70.112179487179489</v>
      </c>
      <c r="F280">
        <v>140.22435897435898</v>
      </c>
      <c r="G280">
        <v>280.44871794871796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 s="2"/>
      <c r="AK280" s="81"/>
      <c r="AL280" s="81"/>
      <c r="AM280" s="43">
        <v>264</v>
      </c>
      <c r="AN280">
        <v>306.82421806616844</v>
      </c>
      <c r="AO280">
        <v>25.968276402322992</v>
      </c>
      <c r="AP280">
        <v>82.786885306639064</v>
      </c>
      <c r="AQ280">
        <v>200.94870311982496</v>
      </c>
      <c r="AR280">
        <v>27.176423211183003</v>
      </c>
      <c r="AS280">
        <v>252.57294223645485</v>
      </c>
      <c r="AT280">
        <v>14.046092686270077</v>
      </c>
      <c r="AU280">
        <v>84.864835977762041</v>
      </c>
      <c r="AV280"/>
      <c r="AW280"/>
      <c r="FY280" s="213">
        <v>275</v>
      </c>
      <c r="FZ280">
        <v>47.964844734164139</v>
      </c>
      <c r="GA280">
        <v>59.310515290474001</v>
      </c>
      <c r="GB280">
        <v>20.405754739332949</v>
      </c>
      <c r="GC280">
        <v>4.8533446598059617</v>
      </c>
      <c r="GD280">
        <v>4.8573640483182317</v>
      </c>
      <c r="GE280">
        <v>7.4272483421477133</v>
      </c>
      <c r="GF280">
        <v>14.755215534440058</v>
      </c>
      <c r="GG280">
        <v>12.036370226234125</v>
      </c>
      <c r="GH280">
        <v>25.746383678209934</v>
      </c>
      <c r="GI280">
        <v>22.668160463595886</v>
      </c>
      <c r="GJ280"/>
      <c r="GK280"/>
      <c r="GL280"/>
      <c r="GM280"/>
      <c r="GN280" s="208"/>
      <c r="GO280" s="208"/>
      <c r="GP280" s="208"/>
      <c r="GQ280" s="208"/>
      <c r="GR280" s="208"/>
      <c r="GS280" s="208"/>
      <c r="GT280" s="208"/>
      <c r="GU280" s="213">
        <v>275</v>
      </c>
    </row>
    <row r="281" spans="1:203" s="7" customFormat="1">
      <c r="A281" s="1"/>
      <c r="B281">
        <v>0.6779934321905694</v>
      </c>
      <c r="C281">
        <v>8</v>
      </c>
      <c r="D281">
        <v>39799</v>
      </c>
      <c r="E281">
        <v>74.404761904761912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 s="80"/>
      <c r="AK281" s="81"/>
      <c r="AL281" s="81"/>
      <c r="AM281" s="43">
        <v>265</v>
      </c>
      <c r="AN281">
        <v>196.88765933231613</v>
      </c>
      <c r="AO281">
        <v>24.198821876207752</v>
      </c>
      <c r="AP281">
        <v>111.05735899938404</v>
      </c>
      <c r="AQ281">
        <v>195.76989352369858</v>
      </c>
      <c r="AR281">
        <v>24.82168597250848</v>
      </c>
      <c r="AS281">
        <v>203.77522556865071</v>
      </c>
      <c r="AT281">
        <v>12.699754487961309</v>
      </c>
      <c r="AU281">
        <v>15.916705315051248</v>
      </c>
      <c r="AV281"/>
      <c r="AW281"/>
      <c r="FY281" s="213">
        <v>276</v>
      </c>
      <c r="FZ281">
        <v>62.086125232131188</v>
      </c>
      <c r="GA281">
        <v>70.89130891789172</v>
      </c>
      <c r="GB281">
        <v>23.292539882757136</v>
      </c>
      <c r="GC281">
        <v>6.1233202154541075</v>
      </c>
      <c r="GD281">
        <v>4.8275579768550845</v>
      </c>
      <c r="GE281">
        <v>4.3910185546555836</v>
      </c>
      <c r="GF281">
        <v>31.351524007814898</v>
      </c>
      <c r="GG281">
        <v>24.902296179592177</v>
      </c>
      <c r="GH281">
        <v>17.455793216078334</v>
      </c>
      <c r="GI281">
        <v>27.221550519598189</v>
      </c>
      <c r="GJ281"/>
      <c r="GK281"/>
      <c r="GL281"/>
      <c r="GM281"/>
      <c r="GN281" s="208"/>
      <c r="GO281" s="208"/>
      <c r="GP281" s="208"/>
      <c r="GQ281" s="208"/>
      <c r="GR281" s="208"/>
      <c r="GS281" s="208"/>
      <c r="GT281" s="208"/>
      <c r="GU281" s="213">
        <v>276</v>
      </c>
    </row>
    <row r="282" spans="1:203" s="7" customFormat="1">
      <c r="A282" s="1"/>
      <c r="B282">
        <v>0.23783383757448573</v>
      </c>
      <c r="C282">
        <v>3</v>
      </c>
      <c r="D282">
        <v>39799</v>
      </c>
      <c r="E282">
        <v>0</v>
      </c>
      <c r="F282">
        <v>250</v>
      </c>
      <c r="G282">
        <v>83.333333333333329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 s="80"/>
      <c r="AK282" s="81"/>
      <c r="AL282" s="81"/>
      <c r="AM282" s="43">
        <v>266</v>
      </c>
      <c r="AN282">
        <v>238.98865575607419</v>
      </c>
      <c r="AO282">
        <v>22.530260253549876</v>
      </c>
      <c r="AP282">
        <v>66.080240626108804</v>
      </c>
      <c r="AQ282">
        <v>160.33196163430631</v>
      </c>
      <c r="AR282">
        <v>23.001318201088981</v>
      </c>
      <c r="AS282">
        <v>204.88446936020674</v>
      </c>
      <c r="AT282">
        <v>10.701512071369097</v>
      </c>
      <c r="AU282">
        <v>-6.9629950355634556</v>
      </c>
      <c r="AV282"/>
      <c r="AW282"/>
      <c r="FY282" s="213">
        <v>277</v>
      </c>
      <c r="FZ282">
        <v>62.609737525633165</v>
      </c>
      <c r="GA282">
        <v>56.314140625355989</v>
      </c>
      <c r="GB282">
        <v>8.3819312642854396</v>
      </c>
      <c r="GC282">
        <v>7.1163407515031576</v>
      </c>
      <c r="GD282">
        <v>6.747784737712859</v>
      </c>
      <c r="GE282">
        <v>5.1730434449249296</v>
      </c>
      <c r="GF282">
        <v>8.6645702473473509</v>
      </c>
      <c r="GG282">
        <v>10.268109322184934</v>
      </c>
      <c r="GH282">
        <v>8.7287316388514213</v>
      </c>
      <c r="GI282">
        <v>18.271143426347034</v>
      </c>
      <c r="GJ282"/>
      <c r="GK282"/>
      <c r="GL282"/>
      <c r="GM282"/>
      <c r="GN282" s="208"/>
      <c r="GO282" s="208"/>
      <c r="GP282" s="208"/>
      <c r="GQ282" s="208"/>
      <c r="GR282" s="208"/>
      <c r="GS282" s="208"/>
      <c r="GT282" s="208"/>
      <c r="GU282" s="213">
        <v>277</v>
      </c>
    </row>
    <row r="283" spans="1:203" s="7" customFormat="1">
      <c r="A283" s="1"/>
      <c r="B283">
        <v>0.50396366560512718</v>
      </c>
      <c r="C283">
        <v>1</v>
      </c>
      <c r="D283">
        <v>39799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 s="80"/>
      <c r="AK283" s="81"/>
      <c r="AL283" s="81"/>
      <c r="AM283" s="43">
        <v>267</v>
      </c>
      <c r="AN283">
        <v>295.84140893243949</v>
      </c>
      <c r="AO283">
        <v>21.773450438359216</v>
      </c>
      <c r="AP283">
        <v>91.061223065631097</v>
      </c>
      <c r="AQ283">
        <v>151.72670090321131</v>
      </c>
      <c r="AR283">
        <v>22.09035911773023</v>
      </c>
      <c r="AS283">
        <v>236.16607272955042</v>
      </c>
      <c r="AT283">
        <v>11.389384090604795</v>
      </c>
      <c r="AU283">
        <v>56.935881927525081</v>
      </c>
      <c r="AV283"/>
      <c r="AW283"/>
      <c r="FY283" s="213">
        <v>278</v>
      </c>
      <c r="FZ283">
        <v>42.87821328931696</v>
      </c>
      <c r="GA283">
        <v>69.085259899376453</v>
      </c>
      <c r="GB283">
        <v>18.525967385643366</v>
      </c>
      <c r="GC283">
        <v>5.466116926041221</v>
      </c>
      <c r="GD283">
        <v>5.0583408316241467</v>
      </c>
      <c r="GE283">
        <v>6.7981275603260185</v>
      </c>
      <c r="GF283">
        <v>30.018311517258386</v>
      </c>
      <c r="GG283">
        <v>25.077087870254353</v>
      </c>
      <c r="GH283">
        <v>14.789669473304281</v>
      </c>
      <c r="GI283">
        <v>22.547203497009424</v>
      </c>
      <c r="GJ283"/>
      <c r="GK283"/>
      <c r="GL283"/>
      <c r="GM283"/>
      <c r="GN283" s="208"/>
      <c r="GO283" s="208"/>
      <c r="GP283" s="208"/>
      <c r="GQ283" s="208"/>
      <c r="GR283" s="208"/>
      <c r="GS283" s="208"/>
      <c r="GT283" s="208"/>
      <c r="GU283" s="213">
        <v>278</v>
      </c>
    </row>
    <row r="284" spans="1:203" s="7" customFormat="1">
      <c r="A284" s="1"/>
      <c r="B284">
        <v>4.8277441630092177E-2</v>
      </c>
      <c r="C284">
        <v>5</v>
      </c>
      <c r="D284">
        <v>39799</v>
      </c>
      <c r="E284">
        <v>70.112179487179489</v>
      </c>
      <c r="F284">
        <v>140.22435897435898</v>
      </c>
      <c r="G284">
        <v>280.44871794871796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 s="80"/>
      <c r="AK284" s="81"/>
      <c r="AL284" s="81"/>
      <c r="AM284" s="43">
        <v>268</v>
      </c>
      <c r="AN284">
        <v>402.05627197639495</v>
      </c>
      <c r="AO284">
        <v>29.581272676985186</v>
      </c>
      <c r="AP284">
        <v>148.02779830382536</v>
      </c>
      <c r="AQ284">
        <v>210.44506189762058</v>
      </c>
      <c r="AR284">
        <v>28.971930151933652</v>
      </c>
      <c r="AS284">
        <v>301.60511208794389</v>
      </c>
      <c r="AT284">
        <v>14.742774851971639</v>
      </c>
      <c r="AU284">
        <v>34.139157516081532</v>
      </c>
      <c r="AV284"/>
      <c r="AW284"/>
      <c r="FY284" s="213">
        <v>279</v>
      </c>
      <c r="FZ284">
        <v>48.14662761124638</v>
      </c>
      <c r="GA284">
        <v>37.071772156745148</v>
      </c>
      <c r="GB284">
        <v>7.611591901869545</v>
      </c>
      <c r="GC284">
        <v>6.144773083679655</v>
      </c>
      <c r="GD284">
        <v>4.5573992324309422</v>
      </c>
      <c r="GE284">
        <v>2.470977476371623</v>
      </c>
      <c r="GF284">
        <v>22.248995149810955</v>
      </c>
      <c r="GG284">
        <v>20.479619173595228</v>
      </c>
      <c r="GH284">
        <v>5.808216673019662</v>
      </c>
      <c r="GI284">
        <v>16.790677057708066</v>
      </c>
      <c r="GJ284"/>
      <c r="GK284"/>
      <c r="GL284"/>
      <c r="GM284"/>
      <c r="GN284" s="208"/>
      <c r="GO284" s="208"/>
      <c r="GP284" s="208"/>
      <c r="GQ284" s="208"/>
      <c r="GR284" s="208"/>
      <c r="GS284" s="208"/>
      <c r="GT284" s="208"/>
      <c r="GU284" s="213">
        <v>279</v>
      </c>
    </row>
    <row r="285" spans="1:203" s="7" customFormat="1">
      <c r="A285" s="1"/>
      <c r="B285">
        <v>0.80830792435777488</v>
      </c>
      <c r="C285">
        <v>3</v>
      </c>
      <c r="D285">
        <v>39799</v>
      </c>
      <c r="E285">
        <v>0</v>
      </c>
      <c r="F285">
        <v>250</v>
      </c>
      <c r="G285">
        <v>83.333333333333329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 s="80"/>
      <c r="AK285" s="81"/>
      <c r="AL285" s="81"/>
      <c r="AM285" s="43">
        <v>269</v>
      </c>
      <c r="AN285">
        <v>280.98926704473871</v>
      </c>
      <c r="AO285">
        <v>24.385553522109873</v>
      </c>
      <c r="AP285">
        <v>113.8469413562956</v>
      </c>
      <c r="AQ285">
        <v>187.35069956228168</v>
      </c>
      <c r="AR285">
        <v>24.076988386932022</v>
      </c>
      <c r="AS285">
        <v>230.43251734767986</v>
      </c>
      <c r="AT285">
        <v>12.307048351824024</v>
      </c>
      <c r="AU285">
        <v>13.243959326341862</v>
      </c>
      <c r="AV285"/>
      <c r="AW285"/>
      <c r="FY285" s="213">
        <v>280</v>
      </c>
      <c r="FZ285">
        <v>72.808666199237109</v>
      </c>
      <c r="GA285">
        <v>67.941924366095051</v>
      </c>
      <c r="GB285">
        <v>8.2402635147229315</v>
      </c>
      <c r="GC285">
        <v>3.3409998787625903</v>
      </c>
      <c r="GD285">
        <v>2.6206014967926183</v>
      </c>
      <c r="GE285">
        <v>3.230872661722902</v>
      </c>
      <c r="GF285">
        <v>21.80943366884431</v>
      </c>
      <c r="GG285">
        <v>20.701072325831429</v>
      </c>
      <c r="GH285">
        <v>6.406764000726044</v>
      </c>
      <c r="GI285">
        <v>19.380813846082035</v>
      </c>
      <c r="GJ285"/>
      <c r="GK285"/>
      <c r="GL285"/>
      <c r="GM285"/>
      <c r="GN285" s="208"/>
      <c r="GO285" s="208"/>
      <c r="GP285" s="208"/>
      <c r="GQ285" s="208"/>
      <c r="GR285" s="208"/>
      <c r="GS285" s="208"/>
      <c r="GT285" s="208"/>
      <c r="GU285" s="213">
        <v>280</v>
      </c>
    </row>
    <row r="286" spans="1:203" s="7" customFormat="1">
      <c r="A286" s="1"/>
      <c r="B286">
        <v>0.89111316595264167</v>
      </c>
      <c r="C286">
        <v>4</v>
      </c>
      <c r="D286">
        <v>39799</v>
      </c>
      <c r="E286">
        <v>0</v>
      </c>
      <c r="F286">
        <v>877.33957219251329</v>
      </c>
      <c r="G286">
        <v>584.89304812834223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 s="80"/>
      <c r="AK286" s="81"/>
      <c r="AL286" s="81"/>
      <c r="AM286" s="43">
        <v>270</v>
      </c>
      <c r="AN286">
        <v>283.45226204503649</v>
      </c>
      <c r="AO286">
        <v>27.111068292071572</v>
      </c>
      <c r="AP286">
        <v>91.326418669444394</v>
      </c>
      <c r="AQ286">
        <v>205.14212549172626</v>
      </c>
      <c r="AR286">
        <v>27.219079329908002</v>
      </c>
      <c r="AS286">
        <v>234.88118699615771</v>
      </c>
      <c r="AT286">
        <v>12.818645628526161</v>
      </c>
      <c r="AU286">
        <v>-0.79153945762267597</v>
      </c>
      <c r="AV286"/>
      <c r="AW286"/>
      <c r="FY286" s="213">
        <v>281</v>
      </c>
      <c r="FZ286">
        <v>57.867242475963401</v>
      </c>
      <c r="GA286">
        <v>53.010646759553076</v>
      </c>
      <c r="GB286">
        <v>8.8287395173045642</v>
      </c>
      <c r="GC286">
        <v>6.5246431357647205</v>
      </c>
      <c r="GD286">
        <v>6.0994300052956261</v>
      </c>
      <c r="GE286">
        <v>7.7340511036147346</v>
      </c>
      <c r="GF286">
        <v>15.964037040392364</v>
      </c>
      <c r="GG286">
        <v>13.879306355798846</v>
      </c>
      <c r="GH286">
        <v>13.509286832465841</v>
      </c>
      <c r="GI286">
        <v>19.537199356873035</v>
      </c>
      <c r="GJ286"/>
      <c r="GK286"/>
      <c r="GL286"/>
      <c r="GM286"/>
      <c r="GN286" s="208"/>
      <c r="GO286" s="208"/>
      <c r="GP286" s="208"/>
      <c r="GQ286" s="208"/>
      <c r="GR286" s="208"/>
      <c r="GS286" s="208"/>
      <c r="GT286" s="208"/>
      <c r="GU286" s="213">
        <v>281</v>
      </c>
    </row>
    <row r="287" spans="1:203" s="7" customFormat="1">
      <c r="A287" s="1"/>
      <c r="B287">
        <v>0.96365338177786808</v>
      </c>
      <c r="C287">
        <v>6</v>
      </c>
      <c r="D287">
        <v>39799</v>
      </c>
      <c r="E287">
        <v>0</v>
      </c>
      <c r="F287">
        <v>0</v>
      </c>
      <c r="G287">
        <v>0</v>
      </c>
      <c r="H287">
        <v>41.666666666666664</v>
      </c>
      <c r="I287">
        <v>10.416666666666666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 s="80"/>
      <c r="AK287" s="81"/>
      <c r="AL287" s="81"/>
      <c r="AM287" s="43">
        <v>271</v>
      </c>
      <c r="AN287">
        <v>385.09096464682273</v>
      </c>
      <c r="AO287">
        <v>31.683006307323126</v>
      </c>
      <c r="AP287">
        <v>79.066159970709819</v>
      </c>
      <c r="AQ287">
        <v>211.65757740670057</v>
      </c>
      <c r="AR287">
        <v>31.374395694844523</v>
      </c>
      <c r="AS287">
        <v>319.67890689335951</v>
      </c>
      <c r="AT287">
        <v>11.93417164314463</v>
      </c>
      <c r="AU287">
        <v>14.476230649748423</v>
      </c>
      <c r="AV287"/>
      <c r="AW287"/>
      <c r="FY287" s="213">
        <v>282</v>
      </c>
      <c r="FZ287">
        <v>49.777614072340121</v>
      </c>
      <c r="GA287">
        <v>36.080600991543136</v>
      </c>
      <c r="GB287">
        <v>3.4225573537042813</v>
      </c>
      <c r="GC287">
        <v>4.9729093208219597</v>
      </c>
      <c r="GD287">
        <v>5.1402080140905992</v>
      </c>
      <c r="GE287">
        <v>7.702548109893633</v>
      </c>
      <c r="GF287">
        <v>16.592596929230673</v>
      </c>
      <c r="GG287">
        <v>11.510098334954886</v>
      </c>
      <c r="GH287">
        <v>10.281137677713629</v>
      </c>
      <c r="GI287">
        <v>15.698122650875817</v>
      </c>
      <c r="GJ287"/>
      <c r="GK287"/>
      <c r="GL287"/>
      <c r="GM287"/>
      <c r="GN287" s="208"/>
      <c r="GO287" s="208"/>
      <c r="GP287" s="208"/>
      <c r="GQ287" s="208"/>
      <c r="GR287" s="208"/>
      <c r="GS287" s="208"/>
      <c r="GT287" s="208"/>
      <c r="GU287" s="213">
        <v>282</v>
      </c>
    </row>
    <row r="288" spans="1:203" s="7" customFormat="1">
      <c r="A288" s="1"/>
      <c r="B288">
        <v>0.96109787562683846</v>
      </c>
      <c r="C288">
        <v>7</v>
      </c>
      <c r="D288">
        <v>39847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 s="80"/>
      <c r="AK288" s="81"/>
      <c r="AL288" s="81"/>
      <c r="AM288" s="43">
        <v>272</v>
      </c>
      <c r="AN288">
        <v>348.22744074878631</v>
      </c>
      <c r="AO288">
        <v>22.016459579696686</v>
      </c>
      <c r="AP288">
        <v>78.120455429240451</v>
      </c>
      <c r="AQ288">
        <v>149.77634976473439</v>
      </c>
      <c r="AR288">
        <v>23.245800795191187</v>
      </c>
      <c r="AS288">
        <v>246.6320738113204</v>
      </c>
      <c r="AT288">
        <v>12.001982600158946</v>
      </c>
      <c r="AU288">
        <v>97.188966117625654</v>
      </c>
      <c r="AV288"/>
      <c r="AW288"/>
      <c r="FY288" s="213">
        <v>283</v>
      </c>
      <c r="FZ288">
        <v>40.932172239319428</v>
      </c>
      <c r="GA288">
        <v>66.214502854654242</v>
      </c>
      <c r="GB288">
        <v>16.832756675300168</v>
      </c>
      <c r="GC288">
        <v>6.2134178392383328</v>
      </c>
      <c r="GD288">
        <v>5.5869844308577692</v>
      </c>
      <c r="GE288">
        <v>3.828788094301403</v>
      </c>
      <c r="GF288">
        <v>14.449707748727276</v>
      </c>
      <c r="GG288">
        <v>15.462104187474758</v>
      </c>
      <c r="GH288">
        <v>9.3012197844561406</v>
      </c>
      <c r="GI288">
        <v>18.276628894988828</v>
      </c>
      <c r="GJ288"/>
      <c r="GK288"/>
      <c r="GL288"/>
      <c r="GM288"/>
      <c r="GN288" s="208"/>
      <c r="GO288" s="208"/>
      <c r="GP288" s="208"/>
      <c r="GQ288" s="208"/>
      <c r="GR288" s="208"/>
      <c r="GS288" s="208"/>
      <c r="GT288" s="208"/>
      <c r="GU288" s="213">
        <v>283</v>
      </c>
    </row>
    <row r="289" spans="1:203" s="7" customFormat="1">
      <c r="A289" s="1"/>
      <c r="B289">
        <v>0.98352820422451814</v>
      </c>
      <c r="C289">
        <v>5</v>
      </c>
      <c r="D289">
        <v>39847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 s="80"/>
      <c r="AK289" s="81"/>
      <c r="AL289" s="81"/>
      <c r="AM289" s="43">
        <v>273</v>
      </c>
      <c r="AN289">
        <v>380.93039988932782</v>
      </c>
      <c r="AO289">
        <v>29.536521787413442</v>
      </c>
      <c r="AP289">
        <v>82.107559464383172</v>
      </c>
      <c r="AQ289">
        <v>219.8897731024849</v>
      </c>
      <c r="AR289">
        <v>29.809693007435261</v>
      </c>
      <c r="AS289">
        <v>293.24189549298808</v>
      </c>
      <c r="AT289">
        <v>14.147139181549392</v>
      </c>
      <c r="AU289">
        <v>19.234516718021879</v>
      </c>
      <c r="AV289"/>
      <c r="AW289"/>
      <c r="FY289" s="213">
        <v>284</v>
      </c>
      <c r="FZ289">
        <v>46.983065610765259</v>
      </c>
      <c r="GA289">
        <v>51.002028966492439</v>
      </c>
      <c r="GB289">
        <v>14.389603605801051</v>
      </c>
      <c r="GC289">
        <v>4.5760397273200244</v>
      </c>
      <c r="GD289">
        <v>4.7144038802604076</v>
      </c>
      <c r="GE289">
        <v>5.6618796421652426</v>
      </c>
      <c r="GF289">
        <v>6.7322859509323933</v>
      </c>
      <c r="GG289">
        <v>7.8419215813262113</v>
      </c>
      <c r="GH289">
        <v>14.933102753918206</v>
      </c>
      <c r="GI289">
        <v>17.455095631960834</v>
      </c>
      <c r="GJ289"/>
      <c r="GK289"/>
      <c r="GL289"/>
      <c r="GM289"/>
      <c r="GN289" s="208"/>
      <c r="GO289" s="208"/>
      <c r="GP289" s="208"/>
      <c r="GQ289" s="208"/>
      <c r="GR289" s="208"/>
      <c r="GS289" s="208"/>
      <c r="GT289" s="208"/>
      <c r="GU289" s="213">
        <v>284</v>
      </c>
    </row>
    <row r="290" spans="1:203" s="7" customFormat="1">
      <c r="A290" s="1"/>
      <c r="B290">
        <v>0.97312878080947263</v>
      </c>
      <c r="C290">
        <v>9</v>
      </c>
      <c r="D290">
        <v>39847</v>
      </c>
      <c r="E290">
        <v>0</v>
      </c>
      <c r="F290">
        <v>455.72916666666663</v>
      </c>
      <c r="G290">
        <v>75.520833333333329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 s="80"/>
      <c r="AK290" s="81"/>
      <c r="AL290" s="81"/>
      <c r="AM290" s="43">
        <v>274</v>
      </c>
      <c r="AN290">
        <v>267.1391234254047</v>
      </c>
      <c r="AO290">
        <v>26.311206529946666</v>
      </c>
      <c r="AP290">
        <v>69.498343388518563</v>
      </c>
      <c r="AQ290">
        <v>195.54543967913509</v>
      </c>
      <c r="AR290">
        <v>28.234295979380295</v>
      </c>
      <c r="AS290">
        <v>219.79025925130836</v>
      </c>
      <c r="AT290">
        <v>12.0237661043427</v>
      </c>
      <c r="AU290">
        <v>44.544492170788203</v>
      </c>
      <c r="AV290"/>
      <c r="AW290"/>
      <c r="FY290" s="213">
        <v>285</v>
      </c>
      <c r="FZ290">
        <v>36.38932955180077</v>
      </c>
      <c r="GA290">
        <v>51.277752163232748</v>
      </c>
      <c r="GB290">
        <v>19.651936410253814</v>
      </c>
      <c r="GC290">
        <v>6.4437207448051268</v>
      </c>
      <c r="GD290">
        <v>5.1865937439590137</v>
      </c>
      <c r="GE290">
        <v>4.8533990140686072</v>
      </c>
      <c r="GF290">
        <v>14.091246372603285</v>
      </c>
      <c r="GG290">
        <v>11.250214554529919</v>
      </c>
      <c r="GH290">
        <v>9.2936057662721598</v>
      </c>
      <c r="GI290">
        <v>18.139792285659116</v>
      </c>
      <c r="GJ290"/>
      <c r="GK290"/>
      <c r="GL290"/>
      <c r="GM290"/>
      <c r="GN290" s="208"/>
      <c r="GO290" s="208"/>
      <c r="GP290" s="208"/>
      <c r="GQ290" s="208"/>
      <c r="GR290" s="208"/>
      <c r="GS290" s="208"/>
      <c r="GT290" s="208"/>
      <c r="GU290" s="213">
        <v>285</v>
      </c>
    </row>
    <row r="291" spans="1:203" s="7" customFormat="1">
      <c r="A291" s="1"/>
      <c r="B291">
        <v>0.10711487040041989</v>
      </c>
      <c r="C291">
        <v>8</v>
      </c>
      <c r="D291">
        <v>39847</v>
      </c>
      <c r="E291">
        <v>0</v>
      </c>
      <c r="F291">
        <v>0</v>
      </c>
      <c r="G291">
        <v>69.444444444444443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 s="80"/>
      <c r="AK291" s="81"/>
      <c r="AL291" s="81"/>
      <c r="AM291" s="43">
        <v>275</v>
      </c>
      <c r="AN291">
        <v>308.02998015807918</v>
      </c>
      <c r="AO291">
        <v>31.756222565069635</v>
      </c>
      <c r="AP291">
        <v>63.392894876862186</v>
      </c>
      <c r="AQ291">
        <v>220.02520171672296</v>
      </c>
      <c r="AR291">
        <v>34.803104526477824</v>
      </c>
      <c r="AS291">
        <v>269.62814391518128</v>
      </c>
      <c r="AT291">
        <v>12.793151530040808</v>
      </c>
      <c r="AU291">
        <v>7.1084157464902802</v>
      </c>
      <c r="AV291"/>
      <c r="AW291"/>
      <c r="FY291" s="213">
        <v>286</v>
      </c>
      <c r="FZ291">
        <v>68.949446267782619</v>
      </c>
      <c r="GA291">
        <v>43.118654984623767</v>
      </c>
      <c r="GB291">
        <v>7.5796585151861127</v>
      </c>
      <c r="GC291">
        <v>6.0271905899758931</v>
      </c>
      <c r="GD291">
        <v>4.627002456694898</v>
      </c>
      <c r="GE291">
        <v>4.4725570444179077</v>
      </c>
      <c r="GF291">
        <v>21.115810817721702</v>
      </c>
      <c r="GG291">
        <v>19.498942452249434</v>
      </c>
      <c r="GH291">
        <v>17.674736601551679</v>
      </c>
      <c r="GI291">
        <v>21.526938588545431</v>
      </c>
      <c r="GJ291"/>
      <c r="GK291"/>
      <c r="GL291"/>
      <c r="GM291"/>
      <c r="GN291" s="208"/>
      <c r="GO291" s="208"/>
      <c r="GP291" s="208"/>
      <c r="GQ291" s="208"/>
      <c r="GR291" s="208"/>
      <c r="GS291" s="208"/>
      <c r="GT291" s="208"/>
      <c r="GU291" s="213">
        <v>286</v>
      </c>
    </row>
    <row r="292" spans="1:203" s="7" customFormat="1">
      <c r="A292" s="1"/>
      <c r="B292">
        <v>0.15771786773953345</v>
      </c>
      <c r="C292">
        <v>4</v>
      </c>
      <c r="D292">
        <v>39847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 s="80"/>
      <c r="AK292" s="81"/>
      <c r="AL292" s="81"/>
      <c r="AM292" s="43">
        <v>276</v>
      </c>
      <c r="AN292">
        <v>383.18065497298659</v>
      </c>
      <c r="AO292">
        <v>38.705975950693464</v>
      </c>
      <c r="AP292">
        <v>111.59521916038645</v>
      </c>
      <c r="AQ292">
        <v>272.54303470282838</v>
      </c>
      <c r="AR292">
        <v>41.628576092432731</v>
      </c>
      <c r="AS292">
        <v>327.44133286284978</v>
      </c>
      <c r="AT292">
        <v>15.57355398071965</v>
      </c>
      <c r="AU292">
        <v>33.776979362178466</v>
      </c>
      <c r="AV292"/>
      <c r="AW292"/>
      <c r="FY292" s="213">
        <v>287</v>
      </c>
      <c r="FZ292">
        <v>70.546325587727537</v>
      </c>
      <c r="GA292">
        <v>73.31241024279683</v>
      </c>
      <c r="GB292">
        <v>5.5863629303571019</v>
      </c>
      <c r="GC292">
        <v>6.3997640015765809</v>
      </c>
      <c r="GD292">
        <v>5.5903058020562266</v>
      </c>
      <c r="GE292">
        <v>7.2400135982935572</v>
      </c>
      <c r="GF292">
        <v>17.807877513139285</v>
      </c>
      <c r="GG292">
        <v>13.882866712801558</v>
      </c>
      <c r="GH292">
        <v>11.18479608136659</v>
      </c>
      <c r="GI292">
        <v>20.004498551230171</v>
      </c>
      <c r="GJ292"/>
      <c r="GK292"/>
      <c r="GL292"/>
      <c r="GM292"/>
      <c r="GN292" s="208"/>
      <c r="GO292" s="208"/>
      <c r="GP292" s="208"/>
      <c r="GQ292" s="208"/>
      <c r="GR292" s="208"/>
      <c r="GS292" s="208"/>
      <c r="GT292" s="208"/>
      <c r="GU292" s="213">
        <v>287</v>
      </c>
    </row>
    <row r="293" spans="1:203" s="7" customFormat="1">
      <c r="A293" s="1"/>
      <c r="B293">
        <v>0.52128518415770841</v>
      </c>
      <c r="C293">
        <v>4</v>
      </c>
      <c r="D293">
        <v>39847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 s="80"/>
      <c r="AK293" s="81"/>
      <c r="AL293" s="81"/>
      <c r="AM293" s="43">
        <v>277</v>
      </c>
      <c r="AN293">
        <v>290.54640619198426</v>
      </c>
      <c r="AO293">
        <v>26.067303733434919</v>
      </c>
      <c r="AP293">
        <v>64.509437404867299</v>
      </c>
      <c r="AQ293">
        <v>192.27553298414628</v>
      </c>
      <c r="AR293">
        <v>26.898596847281251</v>
      </c>
      <c r="AS293">
        <v>248.86955672204923</v>
      </c>
      <c r="AT293">
        <v>13.457354586543692</v>
      </c>
      <c r="AU293">
        <v>33.428996094248589</v>
      </c>
      <c r="AV293"/>
      <c r="AW293"/>
      <c r="FY293" s="213">
        <v>288</v>
      </c>
      <c r="FZ293">
        <v>78.20290664180844</v>
      </c>
      <c r="GA293">
        <v>91.290973439013911</v>
      </c>
      <c r="GB293">
        <v>13.296219308863497</v>
      </c>
      <c r="GC293">
        <v>6.6856539110551587</v>
      </c>
      <c r="GD293">
        <v>6.1951284591555602</v>
      </c>
      <c r="GE293">
        <v>5.6706003560665117</v>
      </c>
      <c r="GF293">
        <v>9.7105591852124125</v>
      </c>
      <c r="GG293">
        <v>11.31194997440935</v>
      </c>
      <c r="GH293">
        <v>12.786272426000032</v>
      </c>
      <c r="GI293">
        <v>22.561289810011917</v>
      </c>
      <c r="GJ293"/>
      <c r="GK293"/>
      <c r="GL293"/>
      <c r="GM293"/>
      <c r="GN293" s="208"/>
      <c r="GO293" s="208"/>
      <c r="GP293" s="208"/>
      <c r="GQ293" s="208"/>
      <c r="GR293" s="208"/>
      <c r="GS293" s="208"/>
      <c r="GT293" s="208"/>
      <c r="GU293" s="213">
        <v>288</v>
      </c>
    </row>
    <row r="294" spans="1:203" s="7" customFormat="1">
      <c r="A294" s="1"/>
      <c r="B294">
        <v>7.8251645616466803E-2</v>
      </c>
      <c r="C294">
        <v>2</v>
      </c>
      <c r="D294">
        <v>39847</v>
      </c>
      <c r="E294">
        <v>113.93229166666666</v>
      </c>
      <c r="F294">
        <v>1708.984375</v>
      </c>
      <c r="G294">
        <v>455.72916666666663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 s="80"/>
      <c r="AK294" s="81"/>
      <c r="AL294" s="81"/>
      <c r="AM294" s="43">
        <v>278</v>
      </c>
      <c r="AN294">
        <v>382.25808823284933</v>
      </c>
      <c r="AO294">
        <v>33.621057815157037</v>
      </c>
      <c r="AP294">
        <v>109.18194830895629</v>
      </c>
      <c r="AQ294">
        <v>240.24429825015463</v>
      </c>
      <c r="AR294">
        <v>33.417756228631184</v>
      </c>
      <c r="AS294">
        <v>316.32300822034432</v>
      </c>
      <c r="AT294">
        <v>14.279969293905545</v>
      </c>
      <c r="AU294">
        <v>46.726863594323049</v>
      </c>
      <c r="AV294"/>
      <c r="AW294"/>
      <c r="FY294" s="213">
        <v>289</v>
      </c>
      <c r="FZ294">
        <v>67.540094244419478</v>
      </c>
      <c r="GA294">
        <v>90.960334084306567</v>
      </c>
      <c r="GB294">
        <v>19.666407303227125</v>
      </c>
      <c r="GC294">
        <v>5.5331116600414099</v>
      </c>
      <c r="GD294">
        <v>5.7033617728020989</v>
      </c>
      <c r="GE294">
        <v>8.2142672076825125</v>
      </c>
      <c r="GF294">
        <v>12.532539554066926</v>
      </c>
      <c r="GG294">
        <v>10.540934563496499</v>
      </c>
      <c r="GH294">
        <v>15.843125291000568</v>
      </c>
      <c r="GI294">
        <v>23.788381709610217</v>
      </c>
      <c r="GJ294"/>
      <c r="GK294"/>
      <c r="GL294"/>
      <c r="GM294"/>
      <c r="GN294" s="208"/>
      <c r="GO294" s="208"/>
      <c r="GP294" s="208"/>
      <c r="GQ294" s="208"/>
      <c r="GR294" s="208"/>
      <c r="GS294" s="208"/>
      <c r="GT294" s="208"/>
      <c r="GU294" s="213">
        <v>289</v>
      </c>
    </row>
    <row r="295" spans="1:203" s="7" customFormat="1">
      <c r="A295" s="1"/>
      <c r="B295">
        <v>0.5970755461033288</v>
      </c>
      <c r="C295">
        <v>2</v>
      </c>
      <c r="D295">
        <v>39847</v>
      </c>
      <c r="E295">
        <v>113.93229166666666</v>
      </c>
      <c r="F295">
        <v>1708.984375</v>
      </c>
      <c r="G295">
        <v>455.72916666666663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 s="80"/>
      <c r="AK295" s="81"/>
      <c r="AL295" s="81"/>
      <c r="AM295" s="43">
        <v>279</v>
      </c>
      <c r="AN295">
        <v>295.64866207230455</v>
      </c>
      <c r="AO295">
        <v>23.367042772382959</v>
      </c>
      <c r="AP295">
        <v>80.994471263580365</v>
      </c>
      <c r="AQ295">
        <v>171.33064951647725</v>
      </c>
      <c r="AR295">
        <v>24.236516173900963</v>
      </c>
      <c r="AS295">
        <v>225.86586628236819</v>
      </c>
      <c r="AT295">
        <v>12.04564208085109</v>
      </c>
      <c r="AU295">
        <v>67.428972852041738</v>
      </c>
      <c r="AV295"/>
      <c r="AW295"/>
      <c r="FY295" s="213">
        <v>290</v>
      </c>
      <c r="FZ295">
        <v>59.041862296213743</v>
      </c>
      <c r="GA295">
        <v>37.207896285494684</v>
      </c>
      <c r="GB295">
        <v>3.859128585470379</v>
      </c>
      <c r="GC295">
        <v>6.1472633278223352</v>
      </c>
      <c r="GD295">
        <v>4.6170597013554824</v>
      </c>
      <c r="GE295">
        <v>2.5338490362192903</v>
      </c>
      <c r="GF295">
        <v>28.692754940281397</v>
      </c>
      <c r="GG295">
        <v>24.829535492229624</v>
      </c>
      <c r="GH295">
        <v>9.3339409859256808</v>
      </c>
      <c r="GI295">
        <v>18.918350598085095</v>
      </c>
      <c r="GJ295"/>
      <c r="GK295"/>
      <c r="GL295"/>
      <c r="GM295"/>
      <c r="GN295" s="208"/>
      <c r="GO295" s="208"/>
      <c r="GP295" s="208"/>
      <c r="GQ295" s="208"/>
      <c r="GR295" s="208"/>
      <c r="GS295" s="208"/>
      <c r="GT295" s="208"/>
      <c r="GU295" s="213">
        <v>290</v>
      </c>
    </row>
    <row r="296" spans="1:203" s="7" customFormat="1">
      <c r="A296" s="1"/>
      <c r="B296">
        <v>0.90300430544769816</v>
      </c>
      <c r="C296">
        <v>2</v>
      </c>
      <c r="D296">
        <v>39847</v>
      </c>
      <c r="E296">
        <v>113.93229166666666</v>
      </c>
      <c r="F296">
        <v>1708.984375</v>
      </c>
      <c r="G296">
        <v>455.72916666666663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 s="80"/>
      <c r="AK296" s="81"/>
      <c r="AL296" s="81"/>
      <c r="AM296" s="43">
        <v>280</v>
      </c>
      <c r="AN296">
        <v>271.7325701926132</v>
      </c>
      <c r="AO296">
        <v>28.14833298336606</v>
      </c>
      <c r="AP296">
        <v>74.133866132469393</v>
      </c>
      <c r="AQ296">
        <v>226.48141195881709</v>
      </c>
      <c r="AR296">
        <v>28.565824949928924</v>
      </c>
      <c r="AS296">
        <v>228.59763846467126</v>
      </c>
      <c r="AT296">
        <v>14.21792304489103</v>
      </c>
      <c r="AU296">
        <v>36.273145158976739</v>
      </c>
      <c r="AV296"/>
      <c r="AW296"/>
      <c r="FY296" s="213">
        <v>291</v>
      </c>
      <c r="FZ296">
        <v>55.958898297681152</v>
      </c>
      <c r="GA296">
        <v>34.513472812747551</v>
      </c>
      <c r="GB296">
        <v>4.4605478309688937</v>
      </c>
      <c r="GC296">
        <v>6.3633400511012059</v>
      </c>
      <c r="GD296">
        <v>5.0567148675963853</v>
      </c>
      <c r="GE296">
        <v>3.7173984750062914</v>
      </c>
      <c r="GF296">
        <v>25.619137788488068</v>
      </c>
      <c r="GG296">
        <v>25.29762813058835</v>
      </c>
      <c r="GH296">
        <v>17.27672778584515</v>
      </c>
      <c r="GI296">
        <v>19.617707581717614</v>
      </c>
      <c r="GJ296"/>
      <c r="GK296"/>
      <c r="GL296"/>
      <c r="GM296"/>
      <c r="GN296" s="208"/>
      <c r="GO296" s="208"/>
      <c r="GP296" s="208"/>
      <c r="GQ296" s="208"/>
      <c r="GR296" s="208"/>
      <c r="GS296" s="208"/>
      <c r="GT296" s="208"/>
      <c r="GU296" s="213">
        <v>291</v>
      </c>
    </row>
    <row r="297" spans="1:203" s="7" customFormat="1">
      <c r="A297" s="1"/>
      <c r="B297">
        <v>0.22977302525450849</v>
      </c>
      <c r="C297">
        <v>8</v>
      </c>
      <c r="D297">
        <v>39847</v>
      </c>
      <c r="E297">
        <v>0</v>
      </c>
      <c r="F297">
        <v>0</v>
      </c>
      <c r="G297">
        <v>69.444444444444443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 s="80"/>
      <c r="AK297" s="81"/>
      <c r="AL297" s="81"/>
      <c r="AM297" s="43">
        <v>281</v>
      </c>
      <c r="AN297">
        <v>357.70379436155713</v>
      </c>
      <c r="AO297">
        <v>27.431130841142796</v>
      </c>
      <c r="AP297">
        <v>72.754396873428576</v>
      </c>
      <c r="AQ297">
        <v>202.95458258302622</v>
      </c>
      <c r="AR297">
        <v>28.298210182146665</v>
      </c>
      <c r="AS297">
        <v>268.61337388037271</v>
      </c>
      <c r="AT297">
        <v>14.202370551867146</v>
      </c>
      <c r="AU297">
        <v>22.21178836411584</v>
      </c>
      <c r="AV297"/>
      <c r="AW297"/>
      <c r="FY297" s="213">
        <v>292</v>
      </c>
      <c r="FZ297">
        <v>42.757602263387632</v>
      </c>
      <c r="GA297">
        <v>68.317404661124101</v>
      </c>
      <c r="GB297">
        <v>16.986731062926665</v>
      </c>
      <c r="GC297">
        <v>6.4052462842251892</v>
      </c>
      <c r="GD297">
        <v>4.1931910313412128</v>
      </c>
      <c r="GE297">
        <v>1.8589172370905542</v>
      </c>
      <c r="GF297">
        <v>14.356322983591717</v>
      </c>
      <c r="GG297">
        <v>14.231049046657253</v>
      </c>
      <c r="GH297">
        <v>8.7671820229294308</v>
      </c>
      <c r="GI297">
        <v>17.603802871629224</v>
      </c>
      <c r="GJ297"/>
      <c r="GK297"/>
      <c r="GL297"/>
      <c r="GM297"/>
      <c r="GN297" s="208"/>
      <c r="GO297" s="208"/>
      <c r="GP297" s="208"/>
      <c r="GQ297" s="208"/>
      <c r="GR297" s="208"/>
      <c r="GS297" s="208"/>
      <c r="GT297" s="208"/>
      <c r="GU297" s="213">
        <v>292</v>
      </c>
    </row>
    <row r="298" spans="1:203" s="7" customFormat="1">
      <c r="A298" s="1"/>
      <c r="B298">
        <v>0.86195635892828637</v>
      </c>
      <c r="C298">
        <v>8</v>
      </c>
      <c r="D298">
        <v>39910</v>
      </c>
      <c r="E298">
        <v>0</v>
      </c>
      <c r="F298">
        <v>0</v>
      </c>
      <c r="G298">
        <v>31.25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 s="80"/>
      <c r="AK298" s="81"/>
      <c r="AL298" s="81"/>
      <c r="AM298" s="43">
        <v>282</v>
      </c>
      <c r="AN298">
        <v>301.78827189069244</v>
      </c>
      <c r="AO298">
        <v>21.401865026541113</v>
      </c>
      <c r="AP298">
        <v>83.909012048851139</v>
      </c>
      <c r="AQ298">
        <v>161.1783934551687</v>
      </c>
      <c r="AR298">
        <v>22.517366980758251</v>
      </c>
      <c r="AS298">
        <v>227.22014854932735</v>
      </c>
      <c r="AT298">
        <v>11.745973997686891</v>
      </c>
      <c r="AU298">
        <v>37.080286485331897</v>
      </c>
      <c r="AV298"/>
      <c r="AW298"/>
      <c r="FY298" s="213">
        <v>293</v>
      </c>
      <c r="FZ298">
        <v>41.000268454201596</v>
      </c>
      <c r="GA298">
        <v>64.208013447716738</v>
      </c>
      <c r="GB298">
        <v>16.580203126516231</v>
      </c>
      <c r="GC298">
        <v>6.193579214124231</v>
      </c>
      <c r="GD298">
        <v>4.2373262998443106</v>
      </c>
      <c r="GE298">
        <v>3.6573069167046537</v>
      </c>
      <c r="GF298">
        <v>11.653523734480586</v>
      </c>
      <c r="GG298">
        <v>11.273859353688957</v>
      </c>
      <c r="GH298">
        <v>22.977441325329863</v>
      </c>
      <c r="GI298">
        <v>19.08799598902452</v>
      </c>
      <c r="GJ298"/>
      <c r="GK298"/>
      <c r="GL298"/>
      <c r="GM298"/>
      <c r="GN298" s="208"/>
      <c r="GO298" s="208"/>
      <c r="GP298" s="208"/>
      <c r="GQ298" s="208"/>
      <c r="GR298" s="208"/>
      <c r="GS298" s="208"/>
      <c r="GT298" s="208"/>
      <c r="GU298" s="213">
        <v>293</v>
      </c>
    </row>
    <row r="299" spans="1:203" s="7" customFormat="1">
      <c r="A299" s="1"/>
      <c r="B299">
        <v>0.10385860389126655</v>
      </c>
      <c r="C299">
        <v>8</v>
      </c>
      <c r="D299">
        <v>39910</v>
      </c>
      <c r="E299">
        <v>0</v>
      </c>
      <c r="F299">
        <v>0</v>
      </c>
      <c r="G299">
        <v>31.25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 s="80"/>
      <c r="AK299" s="81"/>
      <c r="AL299" s="81"/>
      <c r="AM299" s="43">
        <v>283</v>
      </c>
      <c r="AN299">
        <v>284.62522237967283</v>
      </c>
      <c r="AO299">
        <v>28.026654082779441</v>
      </c>
      <c r="AP299">
        <v>83.893321980089212</v>
      </c>
      <c r="AQ299">
        <v>197.09828274931834</v>
      </c>
      <c r="AR299">
        <v>27.425755764047533</v>
      </c>
      <c r="AS299">
        <v>238.77213338852391</v>
      </c>
      <c r="AT299">
        <v>11.690141187201997</v>
      </c>
      <c r="AU299">
        <v>4.7499235900152481</v>
      </c>
      <c r="AV299"/>
      <c r="AW299"/>
      <c r="FY299" s="213">
        <v>294</v>
      </c>
      <c r="FZ299">
        <v>47.871921598901807</v>
      </c>
      <c r="GA299">
        <v>93.725651593139943</v>
      </c>
      <c r="GB299">
        <v>22.843589836446341</v>
      </c>
      <c r="GC299">
        <v>4.2346858154788487</v>
      </c>
      <c r="GD299">
        <v>3.5948267601279547</v>
      </c>
      <c r="GE299">
        <v>2.5733242967945853</v>
      </c>
      <c r="GF299">
        <v>5.149607725299111</v>
      </c>
      <c r="GG299">
        <v>6.1619465109887779</v>
      </c>
      <c r="GH299">
        <v>7.2506512873399025</v>
      </c>
      <c r="GI299">
        <v>18.106173438832606</v>
      </c>
      <c r="GJ299"/>
      <c r="GK299"/>
      <c r="GL299"/>
      <c r="GM299"/>
      <c r="GN299" s="208"/>
      <c r="GO299" s="208"/>
      <c r="GP299" s="208"/>
      <c r="GQ299" s="208"/>
      <c r="GR299" s="208"/>
      <c r="GS299" s="208"/>
      <c r="GT299" s="208"/>
      <c r="GU299" s="213">
        <v>294</v>
      </c>
    </row>
    <row r="300" spans="1:203" s="7" customFormat="1">
      <c r="A300" s="1"/>
      <c r="B300">
        <v>0.11010472898323087</v>
      </c>
      <c r="C300">
        <v>5</v>
      </c>
      <c r="D300">
        <v>39910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 s="80"/>
      <c r="AK300" s="81"/>
      <c r="AL300" s="81"/>
      <c r="AM300" s="43">
        <v>284</v>
      </c>
      <c r="AN300">
        <v>253.21076004817755</v>
      </c>
      <c r="AO300">
        <v>24.522998372768168</v>
      </c>
      <c r="AP300">
        <v>89.463364644735819</v>
      </c>
      <c r="AQ300">
        <v>174.28942735094208</v>
      </c>
      <c r="AR300">
        <v>26.177834257989986</v>
      </c>
      <c r="AS300">
        <v>206.17915719082856</v>
      </c>
      <c r="AT300">
        <v>11.004182782769007</v>
      </c>
      <c r="AU300">
        <v>15.010679869710522</v>
      </c>
      <c r="AV300"/>
      <c r="AW300"/>
      <c r="FY300" s="213">
        <v>295</v>
      </c>
      <c r="FZ300">
        <v>44.381795445835102</v>
      </c>
      <c r="GA300">
        <v>59.692104358068043</v>
      </c>
      <c r="GB300">
        <v>20.730997959696719</v>
      </c>
      <c r="GC300">
        <v>4.3307893985326755</v>
      </c>
      <c r="GD300">
        <v>3.8190255045602886</v>
      </c>
      <c r="GE300">
        <v>5.329219372695654</v>
      </c>
      <c r="GF300">
        <v>21.386036803443691</v>
      </c>
      <c r="GG300">
        <v>18.805138442484022</v>
      </c>
      <c r="GH300">
        <v>11.428368337373776</v>
      </c>
      <c r="GI300">
        <v>20.470797287786795</v>
      </c>
      <c r="GJ300"/>
      <c r="GK300"/>
      <c r="GL300"/>
      <c r="GM300"/>
      <c r="GN300" s="208"/>
      <c r="GO300" s="208"/>
      <c r="GP300" s="208"/>
      <c r="GQ300" s="208"/>
      <c r="GR300" s="208"/>
      <c r="GS300" s="208"/>
      <c r="GT300" s="208"/>
      <c r="GU300" s="213">
        <v>295</v>
      </c>
    </row>
    <row r="301" spans="1:203" s="7" customFormat="1">
      <c r="A301" s="1"/>
      <c r="B301">
        <v>0.14333105927911038</v>
      </c>
      <c r="C301">
        <v>6</v>
      </c>
      <c r="D301">
        <v>39910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 s="80"/>
      <c r="AK301" s="81"/>
      <c r="AL301" s="81"/>
      <c r="AM301" s="43">
        <v>285</v>
      </c>
      <c r="AN301">
        <v>306.47008549672785</v>
      </c>
      <c r="AO301">
        <v>26.581240521380089</v>
      </c>
      <c r="AP301">
        <v>70.264820649405749</v>
      </c>
      <c r="AQ301">
        <v>176.57759060718453</v>
      </c>
      <c r="AR301">
        <v>27.775041308916808</v>
      </c>
      <c r="AS301">
        <v>221.72287169920236</v>
      </c>
      <c r="AT301">
        <v>11.210809245229855</v>
      </c>
      <c r="AU301">
        <v>45.586337059384441</v>
      </c>
      <c r="AV301"/>
      <c r="AW301"/>
      <c r="FY301" s="213">
        <v>296</v>
      </c>
      <c r="FZ301">
        <v>36.702127427011192</v>
      </c>
      <c r="GA301">
        <v>62.877014321233972</v>
      </c>
      <c r="GB301">
        <v>23.504037625319711</v>
      </c>
      <c r="GC301">
        <v>7.4460138460309349</v>
      </c>
      <c r="GD301">
        <v>5.7067744428280163</v>
      </c>
      <c r="GE301">
        <v>4.3858584478945248</v>
      </c>
      <c r="GF301">
        <v>20.503277096360957</v>
      </c>
      <c r="GG301">
        <v>17.651897361904581</v>
      </c>
      <c r="GH301">
        <v>10.381875949081349</v>
      </c>
      <c r="GI301">
        <v>21.048173365140222</v>
      </c>
      <c r="GJ301"/>
      <c r="GK301"/>
      <c r="GL301"/>
      <c r="GM301"/>
      <c r="GN301" s="208"/>
      <c r="GO301" s="208"/>
      <c r="GP301" s="208"/>
      <c r="GQ301" s="208"/>
      <c r="GR301" s="208"/>
      <c r="GS301" s="208"/>
      <c r="GT301" s="208"/>
      <c r="GU301" s="213">
        <v>296</v>
      </c>
    </row>
    <row r="302" spans="1:203" s="7" customFormat="1">
      <c r="A302" s="1"/>
      <c r="B302">
        <v>0.45238750035302555</v>
      </c>
      <c r="C302">
        <v>3</v>
      </c>
      <c r="D302">
        <v>39910</v>
      </c>
      <c r="E302">
        <v>781.25</v>
      </c>
      <c r="F302">
        <v>434.02777777777783</v>
      </c>
      <c r="G302">
        <v>347.22222222222223</v>
      </c>
      <c r="H302">
        <v>260.41666666666669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 s="80"/>
      <c r="AK302" s="81"/>
      <c r="AL302" s="81"/>
      <c r="AM302" s="43">
        <v>286</v>
      </c>
      <c r="AN302">
        <v>329.87491165243136</v>
      </c>
      <c r="AO302">
        <v>28.599103372882922</v>
      </c>
      <c r="AP302">
        <v>86.801188686823238</v>
      </c>
      <c r="AQ302">
        <v>214.59093831874941</v>
      </c>
      <c r="AR302">
        <v>31.610585983778343</v>
      </c>
      <c r="AS302">
        <v>277.79542305590473</v>
      </c>
      <c r="AT302">
        <v>14.543063250996596</v>
      </c>
      <c r="AU302">
        <v>46.608841790517431</v>
      </c>
      <c r="AV302"/>
      <c r="AW302"/>
      <c r="FY302" s="213">
        <v>297</v>
      </c>
      <c r="FZ302">
        <v>71.872244857447726</v>
      </c>
      <c r="GA302">
        <v>87.382214960126589</v>
      </c>
      <c r="GB302">
        <v>14.681628014606812</v>
      </c>
      <c r="GC302">
        <v>4.8381107883874561</v>
      </c>
      <c r="GD302">
        <v>4.8108045052594672</v>
      </c>
      <c r="GE302">
        <v>4.1470394424936323</v>
      </c>
      <c r="GF302">
        <v>21.286960285396464</v>
      </c>
      <c r="GG302">
        <v>20.789973061723668</v>
      </c>
      <c r="GH302">
        <v>9.8607025453991142</v>
      </c>
      <c r="GI302">
        <v>23.079160554234445</v>
      </c>
      <c r="GJ302"/>
      <c r="GK302"/>
      <c r="GL302"/>
      <c r="GM302"/>
      <c r="GN302" s="208"/>
      <c r="GO302" s="208"/>
      <c r="GP302" s="208"/>
      <c r="GQ302" s="208"/>
      <c r="GR302" s="208"/>
      <c r="GS302" s="208"/>
      <c r="GT302" s="208"/>
      <c r="GU302" s="213">
        <v>297</v>
      </c>
    </row>
    <row r="303" spans="1:203" s="7" customFormat="1">
      <c r="A303" s="1"/>
      <c r="B303">
        <v>0.25010345916265475</v>
      </c>
      <c r="C303">
        <v>8</v>
      </c>
      <c r="D303">
        <v>39910</v>
      </c>
      <c r="E303">
        <v>0</v>
      </c>
      <c r="F303">
        <v>0</v>
      </c>
      <c r="G303">
        <v>31.25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 s="80"/>
      <c r="AK303" s="81"/>
      <c r="AL303" s="81"/>
      <c r="AM303" s="43">
        <v>287</v>
      </c>
      <c r="AN303">
        <v>343.89635833145138</v>
      </c>
      <c r="AO303">
        <v>29.001379775760313</v>
      </c>
      <c r="AP303">
        <v>119.78454870159543</v>
      </c>
      <c r="AQ303">
        <v>231.55522102134546</v>
      </c>
      <c r="AR303">
        <v>28.457023284320883</v>
      </c>
      <c r="AS303">
        <v>283.55157613739658</v>
      </c>
      <c r="AT303">
        <v>16.654708691656104</v>
      </c>
      <c r="AU303">
        <v>102.70633427251586</v>
      </c>
      <c r="AV303"/>
      <c r="AW303"/>
      <c r="FY303" s="213">
        <v>298</v>
      </c>
      <c r="FZ303">
        <v>17.968184099697368</v>
      </c>
      <c r="GA303">
        <v>13.419877516707222</v>
      </c>
      <c r="GB303">
        <v>4.154070093110616</v>
      </c>
      <c r="GC303">
        <v>6.1551812124549334</v>
      </c>
      <c r="GD303">
        <v>5.0827178229344021</v>
      </c>
      <c r="GE303">
        <v>5.567697776908509</v>
      </c>
      <c r="GF303">
        <v>21.371189235657027</v>
      </c>
      <c r="GG303">
        <v>18.70604634856852</v>
      </c>
      <c r="GH303">
        <v>8.2628943027335282</v>
      </c>
      <c r="GI303">
        <v>11.768805771846408</v>
      </c>
      <c r="GJ303"/>
      <c r="GK303"/>
      <c r="GL303"/>
      <c r="GM303"/>
      <c r="GN303" s="208"/>
      <c r="GO303" s="208"/>
      <c r="GP303" s="208"/>
      <c r="GQ303" s="208"/>
      <c r="GR303" s="208"/>
      <c r="GS303" s="208"/>
      <c r="GT303" s="208"/>
      <c r="GU303" s="213">
        <v>298</v>
      </c>
    </row>
    <row r="304" spans="1:203" s="7" customFormat="1">
      <c r="A304" s="1"/>
      <c r="B304">
        <v>0.53410009144043569</v>
      </c>
      <c r="C304">
        <v>10</v>
      </c>
      <c r="D304">
        <v>39910</v>
      </c>
      <c r="E304">
        <v>0</v>
      </c>
      <c r="F304">
        <v>833.33333333333337</v>
      </c>
      <c r="G304">
        <v>729.16666666666663</v>
      </c>
      <c r="H304">
        <v>104.16666666666667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 s="80"/>
      <c r="AK304" s="81"/>
      <c r="AL304" s="81"/>
      <c r="AM304" s="43">
        <v>288</v>
      </c>
      <c r="AN304">
        <v>309.89850005171013</v>
      </c>
      <c r="AO304">
        <v>33.940914561218349</v>
      </c>
      <c r="AP304">
        <v>140.14387366861695</v>
      </c>
      <c r="AQ304">
        <v>257.71155351159683</v>
      </c>
      <c r="AR304">
        <v>33.741214571337331</v>
      </c>
      <c r="AS304">
        <v>276.36306016891922</v>
      </c>
      <c r="AT304">
        <v>16.672640628842171</v>
      </c>
      <c r="AU304">
        <v>5.2580667986477607</v>
      </c>
      <c r="AV304"/>
      <c r="AW304"/>
      <c r="FY304" s="213">
        <v>299</v>
      </c>
      <c r="FZ304">
        <v>52.126852865016197</v>
      </c>
      <c r="GA304">
        <v>70.402814015095331</v>
      </c>
      <c r="GB304">
        <v>20.812047463392819</v>
      </c>
      <c r="GC304">
        <v>6.6983367267500977</v>
      </c>
      <c r="GD304">
        <v>5.9761576290306744</v>
      </c>
      <c r="GE304">
        <v>4.9594442458224162</v>
      </c>
      <c r="GF304">
        <v>12.446028378438333</v>
      </c>
      <c r="GG304">
        <v>13.448244677962066</v>
      </c>
      <c r="GH304">
        <v>9.4482286463359042</v>
      </c>
      <c r="GI304">
        <v>21.001196690497871</v>
      </c>
      <c r="GJ304"/>
      <c r="GK304"/>
      <c r="GL304"/>
      <c r="GM304"/>
      <c r="GN304" s="208"/>
      <c r="GO304" s="208"/>
      <c r="GP304" s="208"/>
      <c r="GQ304" s="208"/>
      <c r="GR304" s="208"/>
      <c r="GS304" s="208"/>
      <c r="GT304" s="208"/>
      <c r="GU304" s="213">
        <v>299</v>
      </c>
    </row>
    <row r="305" spans="1:203" s="7" customFormat="1">
      <c r="A305" s="1"/>
      <c r="B305">
        <v>0.45751498536399104</v>
      </c>
      <c r="C305">
        <v>6</v>
      </c>
      <c r="D305">
        <v>39910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 s="80"/>
      <c r="AK305" s="81"/>
      <c r="AL305" s="81"/>
      <c r="AM305" s="43">
        <v>289</v>
      </c>
      <c r="AN305">
        <v>328.93494960217674</v>
      </c>
      <c r="AO305">
        <v>35.270330461202015</v>
      </c>
      <c r="AP305">
        <v>82.154326659753153</v>
      </c>
      <c r="AQ305">
        <v>260.32255739065346</v>
      </c>
      <c r="AR305">
        <v>35.689529937295035</v>
      </c>
      <c r="AS305">
        <v>286.76683799771149</v>
      </c>
      <c r="AT305">
        <v>15.236332207774419</v>
      </c>
      <c r="AU305">
        <v>-10.656534020771367</v>
      </c>
      <c r="AV305"/>
      <c r="AW305"/>
      <c r="FY305" s="213">
        <v>300</v>
      </c>
      <c r="FZ305">
        <v>53.11680472974124</v>
      </c>
      <c r="GA305">
        <v>30.257392069288514</v>
      </c>
      <c r="GB305">
        <v>4.0267771998630888</v>
      </c>
      <c r="GC305">
        <v>4.5174735273360147</v>
      </c>
      <c r="GD305">
        <v>4.9136141458012812</v>
      </c>
      <c r="GE305">
        <v>6.7748463603935125</v>
      </c>
      <c r="GF305">
        <v>10.096303706206683</v>
      </c>
      <c r="GG305">
        <v>9.9827366602511134</v>
      </c>
      <c r="GH305">
        <v>22.426114543289174</v>
      </c>
      <c r="GI305">
        <v>16.965247532577933</v>
      </c>
      <c r="GJ305"/>
      <c r="GK305"/>
      <c r="GL305"/>
      <c r="GM305"/>
      <c r="GN305" s="208"/>
      <c r="GO305" s="208"/>
      <c r="GP305" s="208"/>
      <c r="GQ305" s="208"/>
      <c r="GR305" s="208"/>
      <c r="GS305" s="208"/>
      <c r="GT305" s="208"/>
      <c r="GU305" s="213">
        <v>300</v>
      </c>
    </row>
    <row r="306" spans="1:203" s="7" customFormat="1">
      <c r="A306" s="1"/>
      <c r="B306">
        <v>0.73142472900219246</v>
      </c>
      <c r="C306">
        <v>2</v>
      </c>
      <c r="D306">
        <v>39910</v>
      </c>
      <c r="E306">
        <v>0</v>
      </c>
      <c r="F306">
        <v>231.88405797101447</v>
      </c>
      <c r="G306">
        <v>31.25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 s="80"/>
      <c r="AK306" s="81"/>
      <c r="AL306" s="81"/>
      <c r="AM306" s="43">
        <v>290</v>
      </c>
      <c r="AN306">
        <v>302.16507498673582</v>
      </c>
      <c r="AO306">
        <v>25.531022765937657</v>
      </c>
      <c r="AP306">
        <v>92.514225511939117</v>
      </c>
      <c r="AQ306">
        <v>195.18164124909771</v>
      </c>
      <c r="AR306">
        <v>27.162791484311239</v>
      </c>
      <c r="AS306">
        <v>259.21268697560686</v>
      </c>
      <c r="AT306">
        <v>14.083266988711131</v>
      </c>
      <c r="AU306">
        <v>81.190075311791503</v>
      </c>
      <c r="AV306"/>
      <c r="AW306"/>
      <c r="FY306" s="213">
        <v>301</v>
      </c>
      <c r="FZ306">
        <v>43.746863041379811</v>
      </c>
      <c r="GA306">
        <v>65.900957582585519</v>
      </c>
      <c r="GB306">
        <v>15.418719170106417</v>
      </c>
      <c r="GC306">
        <v>6.0255133875994105</v>
      </c>
      <c r="GD306">
        <v>4.752623799731813</v>
      </c>
      <c r="GE306">
        <v>4.3868576516586408</v>
      </c>
      <c r="GF306">
        <v>10.886543372006534</v>
      </c>
      <c r="GG306">
        <v>11.334324140366689</v>
      </c>
      <c r="GH306">
        <v>15.311378977180951</v>
      </c>
      <c r="GI306">
        <v>18.128603747539685</v>
      </c>
      <c r="GJ306"/>
      <c r="GK306"/>
      <c r="GL306"/>
      <c r="GM306"/>
      <c r="GN306" s="208"/>
      <c r="GO306" s="208"/>
      <c r="GP306" s="208"/>
      <c r="GQ306" s="208"/>
      <c r="GR306" s="208"/>
      <c r="GS306" s="208"/>
      <c r="GT306" s="208"/>
      <c r="GU306" s="213">
        <v>301</v>
      </c>
    </row>
    <row r="307" spans="1:203" s="7" customFormat="1">
      <c r="A307" s="1"/>
      <c r="B307">
        <v>4.7037181202273182E-2</v>
      </c>
      <c r="C307">
        <v>10</v>
      </c>
      <c r="D307">
        <v>39910</v>
      </c>
      <c r="E307">
        <v>0</v>
      </c>
      <c r="F307">
        <v>833.33333333333337</v>
      </c>
      <c r="G307">
        <v>729.16666666666663</v>
      </c>
      <c r="H307">
        <v>104.16666666666667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 s="80"/>
      <c r="AK307" s="81"/>
      <c r="AL307" s="81"/>
      <c r="AM307" s="43">
        <v>291</v>
      </c>
      <c r="AN307">
        <v>321.23786790541016</v>
      </c>
      <c r="AO307">
        <v>26.334795840346878</v>
      </c>
      <c r="AP307">
        <v>84.882421659304256</v>
      </c>
      <c r="AQ307">
        <v>197.88157362174064</v>
      </c>
      <c r="AR307">
        <v>28.242942941379006</v>
      </c>
      <c r="AS307">
        <v>270.56281185310172</v>
      </c>
      <c r="AT307">
        <v>14.414215055185712</v>
      </c>
      <c r="AU307">
        <v>55.479960704358774</v>
      </c>
      <c r="AV307"/>
      <c r="AW307"/>
      <c r="FY307" s="213">
        <v>302</v>
      </c>
      <c r="FZ307">
        <v>45.79155349455953</v>
      </c>
      <c r="GA307">
        <v>58.723250515484231</v>
      </c>
      <c r="GB307">
        <v>8.239833046266515</v>
      </c>
      <c r="GC307">
        <v>5.1980950777219412</v>
      </c>
      <c r="GD307">
        <v>4.0566729796792762</v>
      </c>
      <c r="GE307">
        <v>7.0451484980291248</v>
      </c>
      <c r="GF307">
        <v>28.672845705434909</v>
      </c>
      <c r="GG307">
        <v>20.982121063913368</v>
      </c>
      <c r="GH307">
        <v>9.1104553500202297</v>
      </c>
      <c r="GI307">
        <v>18.041484764869317</v>
      </c>
      <c r="GJ307"/>
      <c r="GK307"/>
      <c r="GL307"/>
      <c r="GM307"/>
      <c r="GN307" s="208"/>
      <c r="GO307" s="208"/>
      <c r="GP307" s="208"/>
      <c r="GQ307" s="208"/>
      <c r="GR307" s="208"/>
      <c r="GS307" s="208"/>
      <c r="GT307" s="208"/>
      <c r="GU307" s="213">
        <v>302</v>
      </c>
    </row>
    <row r="308" spans="1:203" s="7" customFormat="1">
      <c r="A308" s="1"/>
      <c r="B308">
        <v>0.88097041317823344</v>
      </c>
      <c r="C308">
        <v>1</v>
      </c>
      <c r="D308">
        <v>39949</v>
      </c>
      <c r="E308">
        <v>0</v>
      </c>
      <c r="F308">
        <v>0</v>
      </c>
      <c r="G308">
        <v>0</v>
      </c>
      <c r="H308">
        <v>51.204819277108435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 s="80"/>
      <c r="AK308" s="81"/>
      <c r="AL308" s="81"/>
      <c r="AM308" s="43">
        <v>292</v>
      </c>
      <c r="AN308">
        <v>270.71615597682086</v>
      </c>
      <c r="AO308">
        <v>27.002897131922101</v>
      </c>
      <c r="AP308">
        <v>122.51139036211687</v>
      </c>
      <c r="AQ308">
        <v>195.477449464903</v>
      </c>
      <c r="AR308">
        <v>26.222861873600706</v>
      </c>
      <c r="AS308">
        <v>216.36497361562422</v>
      </c>
      <c r="AT308">
        <v>10.704275587370288</v>
      </c>
      <c r="AU308">
        <v>-14.683868688512774</v>
      </c>
      <c r="AV308"/>
      <c r="AW308"/>
      <c r="FY308" s="213">
        <v>303</v>
      </c>
      <c r="FZ308">
        <v>56.008828091427056</v>
      </c>
      <c r="GA308">
        <v>67.331866436813641</v>
      </c>
      <c r="GB308">
        <v>9.1010698314499177</v>
      </c>
      <c r="GC308">
        <v>5.0759998734083531</v>
      </c>
      <c r="GD308">
        <v>4.2621968246461286</v>
      </c>
      <c r="GE308">
        <v>7.3126613855619871</v>
      </c>
      <c r="GF308">
        <v>13.882432914140061</v>
      </c>
      <c r="GG308">
        <v>10.848653899214032</v>
      </c>
      <c r="GH308">
        <v>13.177916717341299</v>
      </c>
      <c r="GI308">
        <v>17.843682294301725</v>
      </c>
      <c r="GJ308"/>
      <c r="GK308"/>
      <c r="GL308"/>
      <c r="GM308"/>
      <c r="GN308" s="208"/>
      <c r="GO308" s="208"/>
      <c r="GP308" s="208"/>
      <c r="GQ308" s="208"/>
      <c r="GR308" s="208"/>
      <c r="GS308" s="208"/>
      <c r="GT308" s="208"/>
      <c r="GU308" s="213">
        <v>303</v>
      </c>
    </row>
    <row r="309" spans="1:203" s="7" customFormat="1">
      <c r="A309" s="1"/>
      <c r="B309">
        <v>0.50712011216531216</v>
      </c>
      <c r="C309">
        <v>10</v>
      </c>
      <c r="D309">
        <v>39949</v>
      </c>
      <c r="E309">
        <v>0</v>
      </c>
      <c r="F309">
        <v>59.865900383141756</v>
      </c>
      <c r="G309">
        <v>0</v>
      </c>
      <c r="H309">
        <v>59.865900383141756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 s="80"/>
      <c r="AK309" s="81"/>
      <c r="AL309" s="81"/>
      <c r="AM309" s="43">
        <v>293</v>
      </c>
      <c r="AN309">
        <v>279.68828717666554</v>
      </c>
      <c r="AO309">
        <v>28.054459388646734</v>
      </c>
      <c r="AP309">
        <v>131.85837473034059</v>
      </c>
      <c r="AQ309">
        <v>200.86951786163166</v>
      </c>
      <c r="AR309">
        <v>28.793462554581527</v>
      </c>
      <c r="AS309">
        <v>226.67411136274058</v>
      </c>
      <c r="AT309">
        <v>12.056236668946511</v>
      </c>
      <c r="AU309">
        <v>-52.232864471115221</v>
      </c>
      <c r="AV309"/>
      <c r="AW309"/>
      <c r="FY309" s="213">
        <v>304</v>
      </c>
      <c r="FZ309">
        <v>43.815963033748183</v>
      </c>
      <c r="GA309">
        <v>52.858341742035677</v>
      </c>
      <c r="GB309">
        <v>10.612723488826127</v>
      </c>
      <c r="GC309">
        <v>5.5152440586907625</v>
      </c>
      <c r="GD309">
        <v>5.7165516963963556</v>
      </c>
      <c r="GE309">
        <v>6.2221258130727559</v>
      </c>
      <c r="GF309">
        <v>16.457254789377501</v>
      </c>
      <c r="GG309">
        <v>16.258367350443187</v>
      </c>
      <c r="GH309">
        <v>15.038504682987316</v>
      </c>
      <c r="GI309">
        <v>18.14201475770804</v>
      </c>
      <c r="GJ309"/>
      <c r="GK309"/>
      <c r="GL309"/>
      <c r="GM309"/>
      <c r="GN309" s="208"/>
      <c r="GO309" s="208"/>
      <c r="GP309" s="208"/>
      <c r="GQ309" s="208"/>
      <c r="GR309" s="208"/>
      <c r="GS309" s="208"/>
      <c r="GT309" s="208"/>
      <c r="GU309" s="213">
        <v>304</v>
      </c>
    </row>
    <row r="310" spans="1:203" s="7" customFormat="1">
      <c r="A310" s="1"/>
      <c r="B310">
        <v>0.77649590780136268</v>
      </c>
      <c r="C310">
        <v>8</v>
      </c>
      <c r="D310">
        <v>39949</v>
      </c>
      <c r="E310">
        <v>0</v>
      </c>
      <c r="F310">
        <v>0</v>
      </c>
      <c r="G310">
        <v>135.41666666666666</v>
      </c>
      <c r="H310">
        <v>41.666666666666664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 s="80"/>
      <c r="AK310" s="81"/>
      <c r="AL310" s="81"/>
      <c r="AM310" s="43">
        <v>294</v>
      </c>
      <c r="AN310">
        <v>210.47133271089007</v>
      </c>
      <c r="AO310">
        <v>29.11254539136478</v>
      </c>
      <c r="AP310">
        <v>104.87585790703454</v>
      </c>
      <c r="AQ310">
        <v>211.51237886334988</v>
      </c>
      <c r="AR310">
        <v>27.93368005952102</v>
      </c>
      <c r="AS310">
        <v>205.81625763577588</v>
      </c>
      <c r="AT310">
        <v>10.622825517962378</v>
      </c>
      <c r="AU310">
        <v>-24.061668739872875</v>
      </c>
      <c r="AV310"/>
      <c r="AW310"/>
      <c r="FY310" s="213">
        <v>305</v>
      </c>
      <c r="FZ310">
        <v>56.711645007570034</v>
      </c>
      <c r="GA310">
        <v>63.096112697885552</v>
      </c>
      <c r="GB310">
        <v>7.8562059638728599</v>
      </c>
      <c r="GC310">
        <v>5.6722212569791273</v>
      </c>
      <c r="GD310">
        <v>4.3660381734111198</v>
      </c>
      <c r="GE310">
        <v>3.9928645497353461</v>
      </c>
      <c r="GF310">
        <v>3.642048647204474</v>
      </c>
      <c r="GG310">
        <v>4.4853775137486309</v>
      </c>
      <c r="GH310">
        <v>14.387640253122226</v>
      </c>
      <c r="GI310">
        <v>15.939686736997038</v>
      </c>
      <c r="GJ310"/>
      <c r="GK310"/>
      <c r="GL310"/>
      <c r="GM310"/>
      <c r="GN310" s="208"/>
      <c r="GO310" s="208"/>
      <c r="GP310" s="208"/>
      <c r="GQ310" s="208"/>
      <c r="GR310" s="208"/>
      <c r="GS310" s="208"/>
      <c r="GT310" s="208"/>
      <c r="GU310" s="213">
        <v>305</v>
      </c>
    </row>
    <row r="311" spans="1:203" s="7" customFormat="1">
      <c r="A311" s="1"/>
      <c r="B311">
        <v>0.95174400915397039</v>
      </c>
      <c r="C311">
        <v>10</v>
      </c>
      <c r="D311">
        <v>39949</v>
      </c>
      <c r="E311">
        <v>0</v>
      </c>
      <c r="F311">
        <v>59.865900383141756</v>
      </c>
      <c r="G311">
        <v>0</v>
      </c>
      <c r="H311">
        <v>59.865900383141756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 s="80"/>
      <c r="AK311" s="81"/>
      <c r="AL311" s="81"/>
      <c r="AM311" s="43">
        <v>295</v>
      </c>
      <c r="AN311">
        <v>313.01254039324016</v>
      </c>
      <c r="AO311">
        <v>29.906933500835532</v>
      </c>
      <c r="AP311">
        <v>61.105486240204812</v>
      </c>
      <c r="AQ311">
        <v>210.37427291047675</v>
      </c>
      <c r="AR311">
        <v>31.067073084007816</v>
      </c>
      <c r="AS311">
        <v>256.22292737010491</v>
      </c>
      <c r="AT311">
        <v>11.53698188060217</v>
      </c>
      <c r="AU311">
        <v>-2.0242583771214555</v>
      </c>
      <c r="AV311"/>
      <c r="AW311"/>
      <c r="FY311" s="213">
        <v>306</v>
      </c>
      <c r="FZ311">
        <v>45.908660963025433</v>
      </c>
      <c r="GA311">
        <v>78.706500836628749</v>
      </c>
      <c r="GB311">
        <v>16.017451732882591</v>
      </c>
      <c r="GC311">
        <v>5.8886992195670045</v>
      </c>
      <c r="GD311">
        <v>6.0960729444841277</v>
      </c>
      <c r="GE311">
        <v>8.7520369420698412</v>
      </c>
      <c r="GF311">
        <v>16.939594519713328</v>
      </c>
      <c r="GG311">
        <v>12.697864459117293</v>
      </c>
      <c r="GH311">
        <v>12.750413735466942</v>
      </c>
      <c r="GI311">
        <v>20.053321768609717</v>
      </c>
      <c r="GJ311"/>
      <c r="GK311"/>
      <c r="GL311"/>
      <c r="GM311"/>
      <c r="GN311" s="208"/>
      <c r="GO311" s="208"/>
      <c r="GP311" s="208"/>
      <c r="GQ311" s="208"/>
      <c r="GR311" s="208"/>
      <c r="GS311" s="208"/>
      <c r="GT311" s="208"/>
      <c r="GU311" s="213">
        <v>306</v>
      </c>
    </row>
    <row r="312" spans="1:203" s="7" customFormat="1">
      <c r="A312" s="1"/>
      <c r="B312">
        <v>0.89622197733923192</v>
      </c>
      <c r="C312">
        <v>9</v>
      </c>
      <c r="D312">
        <v>39949</v>
      </c>
      <c r="E312">
        <v>0</v>
      </c>
      <c r="F312">
        <v>0</v>
      </c>
      <c r="G312">
        <v>20.833333333333332</v>
      </c>
      <c r="H312">
        <v>31.25</v>
      </c>
      <c r="I312">
        <v>10.416666666666666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 s="80"/>
      <c r="AK312" s="81"/>
      <c r="AL312" s="81"/>
      <c r="AM312" s="43">
        <v>296</v>
      </c>
      <c r="AN312">
        <v>331.43857140328993</v>
      </c>
      <c r="AO312">
        <v>31.790243345043756</v>
      </c>
      <c r="AP312">
        <v>86.045767399674361</v>
      </c>
      <c r="AQ312">
        <v>210.20704988280548</v>
      </c>
      <c r="AR312">
        <v>32.372988082276876</v>
      </c>
      <c r="AS312">
        <v>271.7268513647839</v>
      </c>
      <c r="AT312">
        <v>12.40853733195501</v>
      </c>
      <c r="AU312">
        <v>50.985205006035876</v>
      </c>
      <c r="AV312"/>
      <c r="AW312"/>
      <c r="FY312" s="213">
        <v>307</v>
      </c>
      <c r="FZ312">
        <v>37.736757021495528</v>
      </c>
      <c r="GA312">
        <v>31.770588288896555</v>
      </c>
      <c r="GB312">
        <v>13.093445069019799</v>
      </c>
      <c r="GC312">
        <v>4.5752253938038345</v>
      </c>
      <c r="GD312">
        <v>4.2347615463692092</v>
      </c>
      <c r="GE312">
        <v>6.7670216881559533</v>
      </c>
      <c r="GF312">
        <v>8.8518492326131586</v>
      </c>
      <c r="GG312">
        <v>6.9867427652778593</v>
      </c>
      <c r="GH312">
        <v>7.7067284347194169</v>
      </c>
      <c r="GI312">
        <v>14.504138222983693</v>
      </c>
      <c r="GJ312"/>
      <c r="GK312"/>
      <c r="GL312"/>
      <c r="GM312"/>
      <c r="GN312" s="208"/>
      <c r="GO312" s="208"/>
      <c r="GP312" s="208"/>
      <c r="GQ312" s="208"/>
      <c r="GR312" s="208"/>
      <c r="GS312" s="208"/>
      <c r="GT312" s="208"/>
      <c r="GU312" s="213">
        <v>307</v>
      </c>
    </row>
    <row r="313" spans="1:203" s="7" customFormat="1">
      <c r="A313" s="1"/>
      <c r="B313">
        <v>0.70910844886603308</v>
      </c>
      <c r="C313">
        <v>10</v>
      </c>
      <c r="D313">
        <v>39949</v>
      </c>
      <c r="E313">
        <v>0</v>
      </c>
      <c r="F313">
        <v>59.865900383141756</v>
      </c>
      <c r="G313">
        <v>0</v>
      </c>
      <c r="H313">
        <v>59.865900383141756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 s="80"/>
      <c r="AK313" s="81"/>
      <c r="AL313" s="81"/>
      <c r="AM313" s="43">
        <v>297</v>
      </c>
      <c r="AN313">
        <v>286.99511574980897</v>
      </c>
      <c r="AO313">
        <v>34.274174341372188</v>
      </c>
      <c r="AP313">
        <v>85.734268052057431</v>
      </c>
      <c r="AQ313">
        <v>262.74883901507536</v>
      </c>
      <c r="AR313">
        <v>34.179462480456046</v>
      </c>
      <c r="AS313">
        <v>292.73312452064596</v>
      </c>
      <c r="AT313">
        <v>16.429284909741469</v>
      </c>
      <c r="AU313">
        <v>2.8176209452006802</v>
      </c>
      <c r="AV313"/>
      <c r="AW313"/>
      <c r="FY313" s="213">
        <v>308</v>
      </c>
      <c r="FZ313">
        <v>43.074006054529391</v>
      </c>
      <c r="GA313">
        <v>38.213624986364458</v>
      </c>
      <c r="GB313">
        <v>12.870781520207514</v>
      </c>
      <c r="GC313">
        <v>6.2723737940526014</v>
      </c>
      <c r="GD313">
        <v>5.9907083413974975</v>
      </c>
      <c r="GE313">
        <v>6.9679209450965827</v>
      </c>
      <c r="GF313">
        <v>13.012390169849605</v>
      </c>
      <c r="GG313">
        <v>12.868930677718838</v>
      </c>
      <c r="GH313">
        <v>21.107985749292393</v>
      </c>
      <c r="GI313">
        <v>19.136886300689984</v>
      </c>
      <c r="GJ313"/>
      <c r="GK313"/>
      <c r="GL313"/>
      <c r="GM313"/>
      <c r="GN313" s="208"/>
      <c r="GO313" s="208"/>
      <c r="GP313" s="208"/>
      <c r="GQ313" s="208"/>
      <c r="GR313" s="208"/>
      <c r="GS313" s="208"/>
      <c r="GT313" s="208"/>
      <c r="GU313" s="213">
        <v>308</v>
      </c>
    </row>
    <row r="314" spans="1:203" s="7" customFormat="1">
      <c r="A314" s="1"/>
      <c r="B314">
        <v>0.9405250888406711</v>
      </c>
      <c r="C314">
        <v>8</v>
      </c>
      <c r="D314">
        <v>39949</v>
      </c>
      <c r="E314">
        <v>0</v>
      </c>
      <c r="F314">
        <v>0</v>
      </c>
      <c r="G314">
        <v>135.41666666666666</v>
      </c>
      <c r="H314">
        <v>41.666666666666664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 s="80"/>
      <c r="AK314" s="81"/>
      <c r="AL314" s="81"/>
      <c r="AM314" s="43">
        <v>298</v>
      </c>
      <c r="AN314">
        <v>320.08409488822963</v>
      </c>
      <c r="AO314">
        <v>16.481311634638793</v>
      </c>
      <c r="AP314">
        <v>71.241367917229439</v>
      </c>
      <c r="AQ314">
        <v>112.45666418061853</v>
      </c>
      <c r="AR314">
        <v>16.184578835229008</v>
      </c>
      <c r="AS314">
        <v>199.31801386073042</v>
      </c>
      <c r="AT314">
        <v>8.8132129323636299</v>
      </c>
      <c r="AU314">
        <v>35.31055518798459</v>
      </c>
      <c r="AV314"/>
      <c r="AW314"/>
      <c r="FY314" s="213">
        <v>309</v>
      </c>
      <c r="FZ314">
        <v>41.377420704320507</v>
      </c>
      <c r="GA314">
        <v>32.75894852148285</v>
      </c>
      <c r="GB314">
        <v>12.150148068522864</v>
      </c>
      <c r="GC314">
        <v>7.2279006046730574</v>
      </c>
      <c r="GD314">
        <v>6.8911584251160383</v>
      </c>
      <c r="GE314">
        <v>6.3477647062185065</v>
      </c>
      <c r="GF314">
        <v>14.777070526713537</v>
      </c>
      <c r="GG314">
        <v>15.508872495692895</v>
      </c>
      <c r="GH314">
        <v>9.9053955392820541</v>
      </c>
      <c r="GI314">
        <v>17.753599230827607</v>
      </c>
      <c r="GJ314"/>
      <c r="GK314"/>
      <c r="GL314"/>
      <c r="GM314"/>
      <c r="GN314" s="208"/>
      <c r="GO314" s="208"/>
      <c r="GP314" s="208"/>
      <c r="GQ314" s="208"/>
      <c r="GR314" s="208"/>
      <c r="GS314" s="208"/>
      <c r="GT314" s="208"/>
      <c r="GU314" s="213">
        <v>309</v>
      </c>
    </row>
    <row r="315" spans="1:203" s="7" customFormat="1">
      <c r="A315" s="1"/>
      <c r="B315">
        <v>0.37921981509824398</v>
      </c>
      <c r="C315">
        <v>7</v>
      </c>
      <c r="D315">
        <v>39949</v>
      </c>
      <c r="E315">
        <v>0</v>
      </c>
      <c r="F315">
        <v>0</v>
      </c>
      <c r="G315">
        <v>10.416666666666666</v>
      </c>
      <c r="H315">
        <v>10.416666666666666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 s="80"/>
      <c r="AK315" s="81"/>
      <c r="AL315" s="81"/>
      <c r="AM315" s="43">
        <v>299</v>
      </c>
      <c r="AN315">
        <v>313.91049355829171</v>
      </c>
      <c r="AO315">
        <v>31.102544214522361</v>
      </c>
      <c r="AP315">
        <v>62.798117409615301</v>
      </c>
      <c r="AQ315">
        <v>217.3193513383417</v>
      </c>
      <c r="AR315">
        <v>31.585604164786599</v>
      </c>
      <c r="AS315">
        <v>284.61465150671813</v>
      </c>
      <c r="AT315">
        <v>13.265081039349248</v>
      </c>
      <c r="AU315">
        <v>8.285348797884204</v>
      </c>
      <c r="AV315"/>
      <c r="AW315"/>
      <c r="FY315" s="213">
        <v>310</v>
      </c>
      <c r="FZ315">
        <v>27.505191145720286</v>
      </c>
      <c r="GA315">
        <v>36.000398237762319</v>
      </c>
      <c r="GB315">
        <v>12.664350286013978</v>
      </c>
      <c r="GC315">
        <v>4.7358235423534545</v>
      </c>
      <c r="GD315">
        <v>4.499251714266971</v>
      </c>
      <c r="GE315">
        <v>6.9667612368067351</v>
      </c>
      <c r="GF315">
        <v>12.176245592632524</v>
      </c>
      <c r="GG315">
        <v>10.50551080803921</v>
      </c>
      <c r="GH315">
        <v>10.77270305337472</v>
      </c>
      <c r="GI315">
        <v>14.145874317948497</v>
      </c>
      <c r="GJ315"/>
      <c r="GK315"/>
      <c r="GL315"/>
      <c r="GM315"/>
      <c r="GN315" s="208"/>
      <c r="GO315" s="208"/>
      <c r="GP315" s="208"/>
      <c r="GQ315" s="208"/>
      <c r="GR315" s="208"/>
      <c r="GS315" s="208"/>
      <c r="GT315" s="208"/>
      <c r="GU315" s="213">
        <v>310</v>
      </c>
    </row>
    <row r="316" spans="1:203" s="7" customFormat="1">
      <c r="A316" s="1"/>
      <c r="B316">
        <v>0.52266466471624651</v>
      </c>
      <c r="C316">
        <v>2</v>
      </c>
      <c r="D316">
        <v>39949</v>
      </c>
      <c r="E316">
        <v>0</v>
      </c>
      <c r="F316">
        <v>0</v>
      </c>
      <c r="G316">
        <v>0</v>
      </c>
      <c r="H316">
        <v>20.833333333333332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 s="80"/>
      <c r="AK316" s="81"/>
      <c r="AL316" s="81"/>
      <c r="AM316" s="43">
        <v>300</v>
      </c>
      <c r="AN316">
        <v>261.13167664657152</v>
      </c>
      <c r="AO316">
        <v>21.839843078926769</v>
      </c>
      <c r="AP316">
        <v>57.65717240909521</v>
      </c>
      <c r="AQ316">
        <v>163.07731047474854</v>
      </c>
      <c r="AR316">
        <v>25.050796516476133</v>
      </c>
      <c r="AS316">
        <v>228.72099594080794</v>
      </c>
      <c r="AT316">
        <v>12.082813355780566</v>
      </c>
      <c r="AU316">
        <v>23.309255491662757</v>
      </c>
      <c r="AV316"/>
      <c r="AW316"/>
      <c r="FY316" s="213">
        <v>311</v>
      </c>
      <c r="FZ316">
        <v>48.784405868753971</v>
      </c>
      <c r="GA316">
        <v>49.622668011477778</v>
      </c>
      <c r="GB316">
        <v>10.534901456884157</v>
      </c>
      <c r="GC316">
        <v>4.568222853846768</v>
      </c>
      <c r="GD316">
        <v>3.9357087160087039</v>
      </c>
      <c r="GE316">
        <v>5.4851814995543569</v>
      </c>
      <c r="GF316">
        <v>37.596768462050321</v>
      </c>
      <c r="GG316">
        <v>31.938889326953635</v>
      </c>
      <c r="GH316">
        <v>9.4548624060798367</v>
      </c>
      <c r="GI316">
        <v>20.793917451112918</v>
      </c>
      <c r="GJ316"/>
      <c r="GK316"/>
      <c r="GL316"/>
      <c r="GM316"/>
      <c r="GN316" s="208"/>
      <c r="GO316" s="208"/>
      <c r="GP316" s="208"/>
      <c r="GQ316" s="208"/>
      <c r="GR316" s="208"/>
      <c r="GS316" s="208"/>
      <c r="GT316" s="208"/>
      <c r="GU316" s="213">
        <v>311</v>
      </c>
    </row>
    <row r="317" spans="1:203" s="7" customFormat="1">
      <c r="A317" s="1"/>
      <c r="B317">
        <v>0.91858447319502745</v>
      </c>
      <c r="C317">
        <v>10</v>
      </c>
      <c r="D317">
        <v>39949</v>
      </c>
      <c r="E317">
        <v>0</v>
      </c>
      <c r="F317">
        <v>59.865900383141756</v>
      </c>
      <c r="G317">
        <v>0</v>
      </c>
      <c r="H317">
        <v>59.865900383141756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 s="80"/>
      <c r="AK317" s="81"/>
      <c r="AL317" s="81"/>
      <c r="AM317" s="43">
        <v>301</v>
      </c>
      <c r="AN317">
        <v>296.88568895733982</v>
      </c>
      <c r="AO317">
        <v>27.055172715831475</v>
      </c>
      <c r="AP317">
        <v>104.50501747807834</v>
      </c>
      <c r="AQ317">
        <v>195.89238487015547</v>
      </c>
      <c r="AR317">
        <v>26.848782527345772</v>
      </c>
      <c r="AS317">
        <v>238.84451528062473</v>
      </c>
      <c r="AT317">
        <v>11.666479618114643</v>
      </c>
      <c r="AU317">
        <v>3.486488094096206</v>
      </c>
      <c r="AV317"/>
      <c r="AW317"/>
      <c r="FY317" s="213">
        <v>312</v>
      </c>
      <c r="FZ317">
        <v>42.483871807947615</v>
      </c>
      <c r="GA317">
        <v>64.723367221790824</v>
      </c>
      <c r="GB317">
        <v>16.113726711192207</v>
      </c>
      <c r="GC317">
        <v>7.0707508087868911</v>
      </c>
      <c r="GD317">
        <v>5.5589778416274598</v>
      </c>
      <c r="GE317">
        <v>4.3659223248443331</v>
      </c>
      <c r="GF317">
        <v>32.355312566021063</v>
      </c>
      <c r="GG317">
        <v>28.636396641931324</v>
      </c>
      <c r="GH317">
        <v>15.994600834409452</v>
      </c>
      <c r="GI317">
        <v>22.494126884924889</v>
      </c>
      <c r="GJ317"/>
      <c r="GK317"/>
      <c r="GL317"/>
      <c r="GM317"/>
      <c r="GN317" s="208"/>
      <c r="GO317" s="208"/>
      <c r="GP317" s="208"/>
      <c r="GQ317" s="208"/>
      <c r="GR317" s="208"/>
      <c r="GS317" s="208"/>
      <c r="GT317" s="208"/>
      <c r="GU317" s="213">
        <v>312</v>
      </c>
    </row>
    <row r="318" spans="1:203" s="7" customFormat="1">
      <c r="A318" s="1"/>
      <c r="B318">
        <v>0.65082219232588057</v>
      </c>
      <c r="C318">
        <v>5</v>
      </c>
      <c r="D318">
        <v>39987</v>
      </c>
      <c r="E318">
        <v>0</v>
      </c>
      <c r="F318">
        <v>0</v>
      </c>
      <c r="G318">
        <v>0</v>
      </c>
      <c r="H318">
        <v>10.416666666666666</v>
      </c>
      <c r="I318">
        <v>0</v>
      </c>
      <c r="J318">
        <v>0</v>
      </c>
      <c r="K318">
        <v>10.416666666666666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 s="80"/>
      <c r="AK318" s="81"/>
      <c r="AL318" s="81"/>
      <c r="AM318" s="43">
        <v>302</v>
      </c>
      <c r="AN318">
        <v>354.52845635612653</v>
      </c>
      <c r="AO318">
        <v>26.901511575774748</v>
      </c>
      <c r="AP318">
        <v>136.34821969892684</v>
      </c>
      <c r="AQ318">
        <v>205.86146049597846</v>
      </c>
      <c r="AR318">
        <v>25.720701472077959</v>
      </c>
      <c r="AS318">
        <v>265.95746326051244</v>
      </c>
      <c r="AT318">
        <v>13.550691820701388</v>
      </c>
      <c r="AU318">
        <v>31.35497376885959</v>
      </c>
      <c r="AV318"/>
      <c r="AW318"/>
      <c r="FY318" s="213">
        <v>313</v>
      </c>
      <c r="FZ318">
        <v>57.522796892375474</v>
      </c>
      <c r="GA318">
        <v>53.44875184047266</v>
      </c>
      <c r="GB318">
        <v>12.880939189098852</v>
      </c>
      <c r="GC318">
        <v>7.3932227723541102</v>
      </c>
      <c r="GD318">
        <v>8.1190077882332954</v>
      </c>
      <c r="GE318">
        <v>9.1504770623908271</v>
      </c>
      <c r="GF318">
        <v>13.405084256661315</v>
      </c>
      <c r="GG318">
        <v>14.393030102301172</v>
      </c>
      <c r="GH318">
        <v>20.58155867284221</v>
      </c>
      <c r="GI318">
        <v>22.452414741356375</v>
      </c>
      <c r="GJ318"/>
      <c r="GK318"/>
      <c r="GL318"/>
      <c r="GM318"/>
      <c r="GN318" s="208"/>
      <c r="GO318" s="208"/>
      <c r="GP318" s="208"/>
      <c r="GQ318" s="208"/>
      <c r="GR318" s="208"/>
      <c r="GS318" s="208"/>
      <c r="GT318" s="208"/>
      <c r="GU318" s="213">
        <v>313</v>
      </c>
    </row>
    <row r="319" spans="1:203" s="7" customFormat="1">
      <c r="A319" s="1"/>
      <c r="B319">
        <v>0.35985969574653121</v>
      </c>
      <c r="C319">
        <v>3</v>
      </c>
      <c r="D319">
        <v>39987</v>
      </c>
      <c r="E319">
        <v>0</v>
      </c>
      <c r="F319">
        <v>67.51543209876543</v>
      </c>
      <c r="G319">
        <v>67.51543209876543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 s="80"/>
      <c r="AK319" s="81"/>
      <c r="AL319" s="81"/>
      <c r="AM319" s="43">
        <v>303</v>
      </c>
      <c r="AN319">
        <v>326.03495822078867</v>
      </c>
      <c r="AO319">
        <v>26.212976160575597</v>
      </c>
      <c r="AP319">
        <v>106.87347781780255</v>
      </c>
      <c r="AQ319">
        <v>204.84530826830422</v>
      </c>
      <c r="AR319">
        <v>25.641042313850328</v>
      </c>
      <c r="AS319">
        <v>254.61169762578504</v>
      </c>
      <c r="AT319">
        <v>13.524868982143145</v>
      </c>
      <c r="AU319">
        <v>6.3673987756330916</v>
      </c>
      <c r="AV319"/>
      <c r="AW319"/>
      <c r="FY319" s="213">
        <v>314</v>
      </c>
      <c r="FZ319">
        <v>47.620540288786465</v>
      </c>
      <c r="GA319">
        <v>65.506597793383094</v>
      </c>
      <c r="GB319">
        <v>11.572268594136315</v>
      </c>
      <c r="GC319">
        <v>5.6096488156567066</v>
      </c>
      <c r="GD319">
        <v>5.8257810602210212</v>
      </c>
      <c r="GE319">
        <v>6.1647853818921279</v>
      </c>
      <c r="GF319">
        <v>13.962989156973039</v>
      </c>
      <c r="GG319">
        <v>13.924003870922022</v>
      </c>
      <c r="GH319">
        <v>10.425955168925007</v>
      </c>
      <c r="GI319">
        <v>17.973949081030177</v>
      </c>
      <c r="GJ319"/>
      <c r="GK319"/>
      <c r="GL319"/>
      <c r="GM319"/>
      <c r="GN319" s="208"/>
      <c r="GO319" s="208"/>
      <c r="GP319" s="208"/>
      <c r="GQ319" s="208"/>
      <c r="GR319" s="208"/>
      <c r="GS319" s="208"/>
      <c r="GT319" s="208"/>
      <c r="GU319" s="213">
        <v>314</v>
      </c>
    </row>
    <row r="320" spans="1:203" s="7" customFormat="1">
      <c r="A320" s="1"/>
      <c r="B320">
        <v>0.45247989923234977</v>
      </c>
      <c r="C320">
        <v>9</v>
      </c>
      <c r="D320">
        <v>39987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20.833333333333332</v>
      </c>
      <c r="K320">
        <v>0</v>
      </c>
      <c r="L320">
        <v>0</v>
      </c>
      <c r="M320">
        <v>10.416666666666666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 s="80"/>
      <c r="AK320" s="81"/>
      <c r="AL320" s="81"/>
      <c r="AM320" s="43">
        <v>304</v>
      </c>
      <c r="AN320">
        <v>327.42197008321926</v>
      </c>
      <c r="AO320">
        <v>26.193117491344715</v>
      </c>
      <c r="AP320">
        <v>96.538171667853447</v>
      </c>
      <c r="AQ320">
        <v>190.63709141328593</v>
      </c>
      <c r="AR320">
        <v>26.422546482012759</v>
      </c>
      <c r="AS320">
        <v>250.34997850148861</v>
      </c>
      <c r="AT320">
        <v>11.876626168320087</v>
      </c>
      <c r="AU320">
        <v>3.3572661251868574</v>
      </c>
      <c r="AV320"/>
      <c r="AW320"/>
      <c r="FY320" s="213">
        <v>315</v>
      </c>
      <c r="FZ320">
        <v>40.19430342061321</v>
      </c>
      <c r="GA320">
        <v>40.237286994691864</v>
      </c>
      <c r="GB320">
        <v>11.322772235467191</v>
      </c>
      <c r="GC320">
        <v>4.7646540586366726</v>
      </c>
      <c r="GD320">
        <v>3.7829233188714695</v>
      </c>
      <c r="GE320">
        <v>5.1991370403932082</v>
      </c>
      <c r="GF320">
        <v>26.141219906833037</v>
      </c>
      <c r="GG320">
        <v>21.960314220854972</v>
      </c>
      <c r="GH320">
        <v>13.250912570477585</v>
      </c>
      <c r="GI320">
        <v>18.164121090950854</v>
      </c>
      <c r="GJ320"/>
      <c r="GK320"/>
      <c r="GL320"/>
      <c r="GM320"/>
      <c r="GN320" s="208"/>
      <c r="GO320" s="208"/>
      <c r="GP320" s="208"/>
      <c r="GQ320" s="208"/>
      <c r="GR320" s="208"/>
      <c r="GS320" s="208"/>
      <c r="GT320" s="208"/>
      <c r="GU320" s="213">
        <v>315</v>
      </c>
    </row>
    <row r="321" spans="1:203" s="7" customFormat="1">
      <c r="A321" s="1"/>
      <c r="B321">
        <v>0.32634420059824754</v>
      </c>
      <c r="C321">
        <v>5</v>
      </c>
      <c r="D321">
        <v>39987</v>
      </c>
      <c r="E321">
        <v>0</v>
      </c>
      <c r="F321">
        <v>0</v>
      </c>
      <c r="G321">
        <v>0</v>
      </c>
      <c r="H321">
        <v>10.416666666666666</v>
      </c>
      <c r="I321">
        <v>0</v>
      </c>
      <c r="J321">
        <v>0</v>
      </c>
      <c r="K321">
        <v>10.416666666666666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 s="80"/>
      <c r="AK321" s="81"/>
      <c r="AL321" s="81"/>
      <c r="AM321" s="43">
        <v>305</v>
      </c>
      <c r="AN321">
        <v>238.10617805672624</v>
      </c>
      <c r="AO321">
        <v>22.940281034745908</v>
      </c>
      <c r="AP321">
        <v>72.865684492799133</v>
      </c>
      <c r="AQ321">
        <v>180.14984080052636</v>
      </c>
      <c r="AR321">
        <v>23.209684069173999</v>
      </c>
      <c r="AS321">
        <v>199.47649537380431</v>
      </c>
      <c r="AT321">
        <v>11.850403949049399</v>
      </c>
      <c r="AU321">
        <v>-3.9581154973880999</v>
      </c>
      <c r="AV321"/>
      <c r="AW321"/>
      <c r="FY321" s="213">
        <v>316</v>
      </c>
      <c r="FZ321">
        <v>68.929017415987943</v>
      </c>
      <c r="GA321">
        <v>95.070287804515928</v>
      </c>
      <c r="GB321">
        <v>15.838526864030268</v>
      </c>
      <c r="GC321">
        <v>4.8087876218790653</v>
      </c>
      <c r="GD321">
        <v>4.6201004536371792</v>
      </c>
      <c r="GE321">
        <v>4.5441554886060453</v>
      </c>
      <c r="GF321">
        <v>18.26095755226531</v>
      </c>
      <c r="GG321">
        <v>18.004833760052261</v>
      </c>
      <c r="GH321">
        <v>21.111828869012552</v>
      </c>
      <c r="GI321">
        <v>24.187410678923342</v>
      </c>
      <c r="GJ321"/>
      <c r="GK321"/>
      <c r="GL321"/>
      <c r="GM321"/>
      <c r="GN321" s="208"/>
      <c r="GO321" s="208"/>
      <c r="GP321" s="208"/>
      <c r="GQ321" s="208"/>
      <c r="GR321" s="208"/>
      <c r="GS321" s="208"/>
      <c r="GT321" s="208"/>
      <c r="GU321" s="213">
        <v>316</v>
      </c>
    </row>
    <row r="322" spans="1:203" s="7" customFormat="1">
      <c r="A322" s="1"/>
      <c r="B322">
        <v>0.52566384960430224</v>
      </c>
      <c r="C322">
        <v>6</v>
      </c>
      <c r="D322">
        <v>39987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 s="80"/>
      <c r="AK322" s="81"/>
      <c r="AL322" s="81"/>
      <c r="AM322" s="43">
        <v>306</v>
      </c>
      <c r="AN322">
        <v>364.56494582357641</v>
      </c>
      <c r="AO322">
        <v>30.682354052329693</v>
      </c>
      <c r="AP322">
        <v>100.53691859741383</v>
      </c>
      <c r="AQ322">
        <v>223.810617121565</v>
      </c>
      <c r="AR322">
        <v>29.436106327199379</v>
      </c>
      <c r="AS322">
        <v>276.68687799430165</v>
      </c>
      <c r="AT322">
        <v>13.738899582426507</v>
      </c>
      <c r="AU322">
        <v>-28.185777571900037</v>
      </c>
      <c r="AV322"/>
      <c r="AW322"/>
      <c r="FY322" s="213">
        <v>317</v>
      </c>
      <c r="FZ322">
        <v>27.828534678681269</v>
      </c>
      <c r="GA322">
        <v>29.122471686305808</v>
      </c>
      <c r="GB322">
        <v>11.882522988277433</v>
      </c>
      <c r="GC322">
        <v>6.6132457369228339</v>
      </c>
      <c r="GD322">
        <v>5.1224707185593399</v>
      </c>
      <c r="GE322">
        <v>4.8409051728302366</v>
      </c>
      <c r="GF322">
        <v>14.464652510095249</v>
      </c>
      <c r="GG322">
        <v>13.455483189258914</v>
      </c>
      <c r="GH322">
        <v>12.6676354077008</v>
      </c>
      <c r="GI322">
        <v>15.046507366623652</v>
      </c>
      <c r="GJ322"/>
      <c r="GK322"/>
      <c r="GL322"/>
      <c r="GM322"/>
      <c r="GN322" s="208"/>
      <c r="GO322" s="208"/>
      <c r="GP322" s="208"/>
      <c r="GQ322" s="208"/>
      <c r="GR322" s="208"/>
      <c r="GS322" s="208"/>
      <c r="GT322" s="208"/>
      <c r="GU322" s="213">
        <v>317</v>
      </c>
    </row>
    <row r="323" spans="1:203" s="7" customFormat="1">
      <c r="A323" s="1"/>
      <c r="B323">
        <v>0.13641337926929742</v>
      </c>
      <c r="C323">
        <v>8</v>
      </c>
      <c r="D323">
        <v>39987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 s="80"/>
      <c r="AK323" s="81"/>
      <c r="AL323" s="81"/>
      <c r="AM323" s="43">
        <v>307</v>
      </c>
      <c r="AN323">
        <v>253.34942438466101</v>
      </c>
      <c r="AO323">
        <v>20.0576036426413</v>
      </c>
      <c r="AP323">
        <v>44.298486243820825</v>
      </c>
      <c r="AQ323">
        <v>136.227257663335</v>
      </c>
      <c r="AR323">
        <v>21.820579654659856</v>
      </c>
      <c r="AS323">
        <v>198.34143996532541</v>
      </c>
      <c r="AT323">
        <v>9.4112886712344928</v>
      </c>
      <c r="AU323">
        <v>33.896140669852514</v>
      </c>
      <c r="AV323"/>
      <c r="AW323"/>
      <c r="FY323" s="213">
        <v>318</v>
      </c>
      <c r="FZ323">
        <v>30.121017133752545</v>
      </c>
      <c r="GA323">
        <v>45.422670551546481</v>
      </c>
      <c r="GB323">
        <v>12.716651433143983</v>
      </c>
      <c r="GC323">
        <v>4.9229674966308981</v>
      </c>
      <c r="GD323">
        <v>4.5914983775164879</v>
      </c>
      <c r="GE323">
        <v>4.1728851229656803</v>
      </c>
      <c r="GF323">
        <v>22.263202321083064</v>
      </c>
      <c r="GG323">
        <v>22.762836636212434</v>
      </c>
      <c r="GH323">
        <v>25.300116589874065</v>
      </c>
      <c r="GI323">
        <v>18.876496589826804</v>
      </c>
      <c r="GJ323"/>
      <c r="GK323"/>
      <c r="GL323"/>
      <c r="GM323"/>
      <c r="GN323" s="208"/>
      <c r="GO323" s="208"/>
      <c r="GP323" s="208"/>
      <c r="GQ323" s="208"/>
      <c r="GR323" s="208"/>
      <c r="GS323" s="208"/>
      <c r="GT323" s="208"/>
      <c r="GU323" s="213">
        <v>318</v>
      </c>
    </row>
    <row r="324" spans="1:203" s="7" customFormat="1">
      <c r="A324" s="1"/>
      <c r="B324">
        <v>0.92746231547084967</v>
      </c>
      <c r="C324">
        <v>10</v>
      </c>
      <c r="D324">
        <v>39987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 s="80"/>
      <c r="AK324" s="81"/>
      <c r="AL324" s="81"/>
      <c r="AM324" s="43">
        <v>308</v>
      </c>
      <c r="AN324">
        <v>319.95157177651589</v>
      </c>
      <c r="AO324">
        <v>26.012943237202791</v>
      </c>
      <c r="AP324">
        <v>74.18288300032043</v>
      </c>
      <c r="AQ324">
        <v>179.51560853919887</v>
      </c>
      <c r="AR324">
        <v>28.475027740295097</v>
      </c>
      <c r="AS324">
        <v>260.26667102771512</v>
      </c>
      <c r="AT324">
        <v>12.505703994893281</v>
      </c>
      <c r="AU324">
        <v>18.658022618769881</v>
      </c>
      <c r="AV324"/>
      <c r="AW324"/>
      <c r="FY324" s="213">
        <v>319</v>
      </c>
      <c r="FZ324">
        <v>41.075831298067065</v>
      </c>
      <c r="GA324">
        <v>70.933736406045085</v>
      </c>
      <c r="GB324">
        <v>19.505123967633395</v>
      </c>
      <c r="GC324">
        <v>5.4149283303413362</v>
      </c>
      <c r="GD324">
        <v>3.5372839123419979</v>
      </c>
      <c r="GE324">
        <v>2.4799649781439319</v>
      </c>
      <c r="GF324">
        <v>16.044331318530237</v>
      </c>
      <c r="GG324">
        <v>15.286106045501313</v>
      </c>
      <c r="GH324">
        <v>13.085811077520971</v>
      </c>
      <c r="GI324">
        <v>18.766694237286494</v>
      </c>
      <c r="GJ324"/>
      <c r="GK324"/>
      <c r="GL324"/>
      <c r="GM324"/>
      <c r="GN324" s="208"/>
      <c r="GO324" s="208"/>
      <c r="GP324" s="208"/>
      <c r="GQ324" s="208"/>
      <c r="GR324" s="208"/>
      <c r="GS324" s="208"/>
      <c r="GT324" s="208"/>
      <c r="GU324" s="213">
        <v>319</v>
      </c>
    </row>
    <row r="325" spans="1:203" s="7" customFormat="1">
      <c r="A325" s="1"/>
      <c r="B325">
        <v>0.74371822456517078</v>
      </c>
      <c r="C325">
        <v>3</v>
      </c>
      <c r="D325">
        <v>39987</v>
      </c>
      <c r="E325">
        <v>0</v>
      </c>
      <c r="F325">
        <v>67.51543209876543</v>
      </c>
      <c r="G325">
        <v>67.51543209876543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 s="80"/>
      <c r="AK325" s="81"/>
      <c r="AL325" s="81"/>
      <c r="AM325" s="43">
        <v>309</v>
      </c>
      <c r="AN325">
        <v>315.04307072703017</v>
      </c>
      <c r="AO325">
        <v>24.823197940870948</v>
      </c>
      <c r="AP325">
        <v>65.335861924503718</v>
      </c>
      <c r="AQ325">
        <v>164.69827882284989</v>
      </c>
      <c r="AR325">
        <v>26.336170837464913</v>
      </c>
      <c r="AS325">
        <v>248.88504961320902</v>
      </c>
      <c r="AT325">
        <v>12.06907806969369</v>
      </c>
      <c r="AU325">
        <v>26.541626118612676</v>
      </c>
      <c r="AV325"/>
      <c r="AW325"/>
      <c r="FY325" s="213">
        <v>320</v>
      </c>
      <c r="FZ325">
        <v>55.325254936077712</v>
      </c>
      <c r="GA325">
        <v>54.689915820702687</v>
      </c>
      <c r="GB325">
        <v>9.0765177021659156</v>
      </c>
      <c r="GC325">
        <v>10.19467974253822</v>
      </c>
      <c r="GD325">
        <v>8.3767860132271394</v>
      </c>
      <c r="GE325">
        <v>5.6019652622440717</v>
      </c>
      <c r="GF325">
        <v>8.6702378220077936</v>
      </c>
      <c r="GG325">
        <v>6.1686005145077853</v>
      </c>
      <c r="GH325">
        <v>9.4056918392164306</v>
      </c>
      <c r="GI325">
        <v>18.524454988273348</v>
      </c>
      <c r="GJ325"/>
      <c r="GK325"/>
      <c r="GL325"/>
      <c r="GM325"/>
      <c r="GN325" s="208"/>
      <c r="GO325" s="208"/>
      <c r="GP325" s="208"/>
      <c r="GQ325" s="208"/>
      <c r="GR325" s="208"/>
      <c r="GS325" s="208"/>
      <c r="GT325" s="208"/>
      <c r="GU325" s="213">
        <v>320</v>
      </c>
    </row>
    <row r="326" spans="1:203" s="7" customFormat="1">
      <c r="A326" s="1"/>
      <c r="B326">
        <v>0.57343619845838667</v>
      </c>
      <c r="C326">
        <v>3</v>
      </c>
      <c r="D326">
        <v>39987</v>
      </c>
      <c r="E326">
        <v>0</v>
      </c>
      <c r="F326">
        <v>67.51543209876543</v>
      </c>
      <c r="G326">
        <v>67.51543209876543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 s="80"/>
      <c r="AK326" s="81"/>
      <c r="AL326" s="81"/>
      <c r="AM326" s="43">
        <v>310</v>
      </c>
      <c r="AN326">
        <v>282.13542167692424</v>
      </c>
      <c r="AO326">
        <v>20.378740937075712</v>
      </c>
      <c r="AP326">
        <v>78.982867228690438</v>
      </c>
      <c r="AQ326">
        <v>139.97210993491871</v>
      </c>
      <c r="AR326">
        <v>20.763227414143827</v>
      </c>
      <c r="AS326">
        <v>201.01289821960532</v>
      </c>
      <c r="AT326">
        <v>9.5032164684359639</v>
      </c>
      <c r="AU326">
        <v>45.522815839041904</v>
      </c>
      <c r="AV326"/>
      <c r="AW326"/>
      <c r="FY326" s="213">
        <v>321</v>
      </c>
      <c r="FZ326">
        <v>54.316446986804372</v>
      </c>
      <c r="GA326">
        <v>55.596662336899342</v>
      </c>
      <c r="GB326">
        <v>13.524763249768615</v>
      </c>
      <c r="GC326">
        <v>6.3096991667234903</v>
      </c>
      <c r="GD326">
        <v>5.8637191209116981</v>
      </c>
      <c r="GE326">
        <v>7.9619812781505841</v>
      </c>
      <c r="GF326">
        <v>25.764192438509337</v>
      </c>
      <c r="GG326">
        <v>20.397981381523461</v>
      </c>
      <c r="GH326">
        <v>11.05858886292712</v>
      </c>
      <c r="GI326">
        <v>21.660041609710529</v>
      </c>
      <c r="GJ326"/>
      <c r="GK326"/>
      <c r="GL326"/>
      <c r="GM326"/>
      <c r="GN326" s="208"/>
      <c r="GO326" s="208"/>
      <c r="GP326" s="208"/>
      <c r="GQ326" s="208"/>
      <c r="GR326" s="208"/>
      <c r="GS326" s="208"/>
      <c r="GT326" s="208"/>
      <c r="GU326" s="213">
        <v>321</v>
      </c>
    </row>
    <row r="327" spans="1:203" s="7" customFormat="1">
      <c r="A327" s="1"/>
      <c r="B327">
        <v>0.69536696127256548</v>
      </c>
      <c r="C327">
        <v>9</v>
      </c>
      <c r="D327">
        <v>39987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20.833333333333332</v>
      </c>
      <c r="K327">
        <v>0</v>
      </c>
      <c r="L327">
        <v>0</v>
      </c>
      <c r="M327">
        <v>10.416666666666666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 s="80"/>
      <c r="AK327" s="81"/>
      <c r="AL327" s="81"/>
      <c r="AM327" s="43">
        <v>311</v>
      </c>
      <c r="AN327">
        <v>353.41685049567906</v>
      </c>
      <c r="AO327">
        <v>30.288798150730042</v>
      </c>
      <c r="AP327">
        <v>146.45662274443163</v>
      </c>
      <c r="AQ327">
        <v>222.71552605272245</v>
      </c>
      <c r="AR327">
        <v>30.489098869512851</v>
      </c>
      <c r="AS327">
        <v>276.61081514582855</v>
      </c>
      <c r="AT327">
        <v>15.39899864319562</v>
      </c>
      <c r="AU327">
        <v>51.509714663394035</v>
      </c>
      <c r="AV327"/>
      <c r="AW327"/>
      <c r="FY327" s="213">
        <v>322</v>
      </c>
      <c r="FZ327">
        <v>70.643958384664998</v>
      </c>
      <c r="GA327">
        <v>87.884429924858765</v>
      </c>
      <c r="GB327">
        <v>16.249166636221105</v>
      </c>
      <c r="GC327">
        <v>8.9526572096792236</v>
      </c>
      <c r="GD327">
        <v>8.1761241981521451</v>
      </c>
      <c r="GE327">
        <v>5.4972288312437421</v>
      </c>
      <c r="GF327">
        <v>5.0744663428372583</v>
      </c>
      <c r="GG327">
        <v>6.1472351911007364</v>
      </c>
      <c r="GH327">
        <v>7.9700983081120116</v>
      </c>
      <c r="GI327">
        <v>21.952526873608004</v>
      </c>
      <c r="GJ327"/>
      <c r="GK327"/>
      <c r="GL327"/>
      <c r="GM327"/>
      <c r="GN327" s="208"/>
      <c r="GO327" s="208"/>
      <c r="GP327" s="208"/>
      <c r="GQ327" s="208"/>
      <c r="GR327" s="208"/>
      <c r="GS327" s="208"/>
      <c r="GT327" s="208"/>
      <c r="GU327" s="213">
        <v>322</v>
      </c>
    </row>
    <row r="328" spans="1:203" s="7" customFormat="1">
      <c r="A328" s="1"/>
      <c r="B328" t="s">
        <v>104</v>
      </c>
      <c r="C328" t="s">
        <v>104</v>
      </c>
      <c r="D328" t="s">
        <v>104</v>
      </c>
      <c r="E328" t="s">
        <v>104</v>
      </c>
      <c r="F328" t="s">
        <v>104</v>
      </c>
      <c r="G328" t="s">
        <v>104</v>
      </c>
      <c r="H328" t="s">
        <v>104</v>
      </c>
      <c r="I328" t="s">
        <v>104</v>
      </c>
      <c r="J328" t="s">
        <v>104</v>
      </c>
      <c r="K328" t="s">
        <v>104</v>
      </c>
      <c r="L328" t="s">
        <v>104</v>
      </c>
      <c r="M328" t="s">
        <v>104</v>
      </c>
      <c r="N328" t="s">
        <v>104</v>
      </c>
      <c r="O328" t="s">
        <v>104</v>
      </c>
      <c r="P328" t="s">
        <v>104</v>
      </c>
      <c r="Q328" t="s">
        <v>104</v>
      </c>
      <c r="R328" t="s">
        <v>104</v>
      </c>
      <c r="S328" t="s">
        <v>104</v>
      </c>
      <c r="T328" t="s">
        <v>104</v>
      </c>
      <c r="U328" t="s">
        <v>104</v>
      </c>
      <c r="V328" t="s">
        <v>104</v>
      </c>
      <c r="W328" t="s">
        <v>104</v>
      </c>
      <c r="X328" t="s">
        <v>104</v>
      </c>
      <c r="Y328" t="s">
        <v>104</v>
      </c>
      <c r="Z328" t="s">
        <v>104</v>
      </c>
      <c r="AA328" t="s">
        <v>104</v>
      </c>
      <c r="AB328" t="s">
        <v>104</v>
      </c>
      <c r="AC328" t="s">
        <v>104</v>
      </c>
      <c r="AD328" t="s">
        <v>104</v>
      </c>
      <c r="AE328" t="s">
        <v>104</v>
      </c>
      <c r="AF328" t="s">
        <v>104</v>
      </c>
      <c r="AG328" t="s">
        <v>104</v>
      </c>
      <c r="AH328" t="s">
        <v>104</v>
      </c>
      <c r="AI328" t="s">
        <v>104</v>
      </c>
      <c r="AJ328" s="80"/>
      <c r="AK328" s="81"/>
      <c r="AL328" s="81"/>
      <c r="AM328" s="43">
        <v>312</v>
      </c>
      <c r="AN328">
        <v>380.494957675688</v>
      </c>
      <c r="AO328">
        <v>33.49506945979283</v>
      </c>
      <c r="AP328">
        <v>142.15927727155261</v>
      </c>
      <c r="AQ328">
        <v>239.79705364347609</v>
      </c>
      <c r="AR328">
        <v>33.192503602706111</v>
      </c>
      <c r="AS328">
        <v>302.95163639136172</v>
      </c>
      <c r="AT328">
        <v>15.654233244206871</v>
      </c>
      <c r="AU328">
        <v>-26.532418969969527</v>
      </c>
      <c r="AV328"/>
      <c r="AW328"/>
      <c r="FY328" s="213">
        <v>323</v>
      </c>
      <c r="FZ328">
        <v>38.400244852083752</v>
      </c>
      <c r="GA328">
        <v>61.859851086790769</v>
      </c>
      <c r="GB328">
        <v>17.467941500653456</v>
      </c>
      <c r="GC328">
        <v>5.9756675728332445</v>
      </c>
      <c r="GD328">
        <v>5.514959597968712</v>
      </c>
      <c r="GE328">
        <v>5.6493143132689481</v>
      </c>
      <c r="GF328">
        <v>9.1592477631405735</v>
      </c>
      <c r="GG328">
        <v>9.9327986042143994</v>
      </c>
      <c r="GH328">
        <v>21.818374070031744</v>
      </c>
      <c r="GI328">
        <v>19.129794245726917</v>
      </c>
      <c r="GJ328"/>
      <c r="GK328"/>
      <c r="GL328"/>
      <c r="GM328"/>
      <c r="GN328" s="208"/>
      <c r="GO328" s="208"/>
      <c r="GP328" s="208"/>
      <c r="GQ328" s="208"/>
      <c r="GR328" s="208"/>
      <c r="GS328" s="208"/>
      <c r="GT328" s="208"/>
      <c r="GU328" s="213">
        <v>323</v>
      </c>
    </row>
    <row r="329" spans="1:203" s="7" customFormat="1">
      <c r="A329" s="1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 s="80"/>
      <c r="AK329" s="81"/>
      <c r="AL329" s="81"/>
      <c r="AM329" s="43">
        <v>313</v>
      </c>
      <c r="AN329">
        <v>383.55355279637178</v>
      </c>
      <c r="AO329">
        <v>31.101687083600389</v>
      </c>
      <c r="AP329">
        <v>73.394584209639476</v>
      </c>
      <c r="AQ329">
        <v>219.34728331808628</v>
      </c>
      <c r="AR329">
        <v>33.02824871712734</v>
      </c>
      <c r="AS329">
        <v>278.91121145071349</v>
      </c>
      <c r="AT329">
        <v>14.560981579112481</v>
      </c>
      <c r="AU329">
        <v>9.9223681009480984</v>
      </c>
      <c r="AV329"/>
      <c r="AW329"/>
      <c r="FY329" s="213">
        <v>324</v>
      </c>
      <c r="FZ329">
        <v>37.168878290433298</v>
      </c>
      <c r="GA329">
        <v>45.963515815295388</v>
      </c>
      <c r="GB329">
        <v>11.710731056059048</v>
      </c>
      <c r="GC329">
        <v>4.3001968067056886</v>
      </c>
      <c r="GD329">
        <v>4.5972455584513909</v>
      </c>
      <c r="GE329">
        <v>5.7318492846978017</v>
      </c>
      <c r="GF329">
        <v>2.0431359944300684</v>
      </c>
      <c r="GG329">
        <v>3.99756916486424</v>
      </c>
      <c r="GH329">
        <v>12.082498828420301</v>
      </c>
      <c r="GI329">
        <v>13.746384942234842</v>
      </c>
      <c r="GJ329"/>
      <c r="GK329"/>
      <c r="GL329"/>
      <c r="GM329"/>
      <c r="GN329" s="208"/>
      <c r="GO329" s="208"/>
      <c r="GP329" s="208"/>
      <c r="GQ329" s="208"/>
      <c r="GR329" s="208"/>
      <c r="GS329" s="208"/>
      <c r="GT329" s="208"/>
      <c r="GU329" s="213">
        <v>324</v>
      </c>
    </row>
    <row r="330" spans="1:203" s="7" customFormat="1">
      <c r="A330" s="1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 s="80"/>
      <c r="AK330" s="81"/>
      <c r="AL330" s="81"/>
      <c r="AM330" s="43">
        <v>314</v>
      </c>
      <c r="AN330">
        <v>285.48953559778442</v>
      </c>
      <c r="AO330">
        <v>26.953250527211384</v>
      </c>
      <c r="AP330">
        <v>106.34864723408421</v>
      </c>
      <c r="AQ330">
        <v>198.586519211926</v>
      </c>
      <c r="AR330">
        <v>26.127006552430007</v>
      </c>
      <c r="AS330">
        <v>242.0093323277612</v>
      </c>
      <c r="AT330">
        <v>12.673951857837499</v>
      </c>
      <c r="AU330">
        <v>13.915976897193012</v>
      </c>
      <c r="AV330"/>
      <c r="AW330"/>
      <c r="FY330" s="213">
        <v>325</v>
      </c>
      <c r="FZ330">
        <v>35.984281768804017</v>
      </c>
      <c r="GA330">
        <v>45.317624534175984</v>
      </c>
      <c r="GB330">
        <v>16.032510012818445</v>
      </c>
      <c r="GC330">
        <v>9.6288275775442429</v>
      </c>
      <c r="GD330">
        <v>7.598205624417556</v>
      </c>
      <c r="GE330">
        <v>6.3393432386177277</v>
      </c>
      <c r="GF330">
        <v>26.393591037408392</v>
      </c>
      <c r="GG330">
        <v>21.545966712180682</v>
      </c>
      <c r="GH330">
        <v>12.08616844191625</v>
      </c>
      <c r="GI330">
        <v>21.020697081479653</v>
      </c>
      <c r="GJ330"/>
      <c r="GK330"/>
      <c r="GL330"/>
      <c r="GM330"/>
      <c r="GN330" s="208"/>
      <c r="GO330" s="208"/>
      <c r="GP330" s="208"/>
      <c r="GQ330" s="208"/>
      <c r="GR330" s="208"/>
      <c r="GS330" s="208"/>
      <c r="GT330" s="208"/>
      <c r="GU330" s="213">
        <v>325</v>
      </c>
    </row>
    <row r="331" spans="1:203" s="7" customFormat="1">
      <c r="A331" s="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 s="80"/>
      <c r="AK331" s="81"/>
      <c r="AL331" s="81"/>
      <c r="AM331" s="43">
        <v>315</v>
      </c>
      <c r="AN331">
        <v>351.13636548019724</v>
      </c>
      <c r="AO331">
        <v>25.56967177646418</v>
      </c>
      <c r="AP331">
        <v>86.742220079229469</v>
      </c>
      <c r="AQ331">
        <v>185.01764485779006</v>
      </c>
      <c r="AR331">
        <v>26.62666860328293</v>
      </c>
      <c r="AS331">
        <v>259.06543509650538</v>
      </c>
      <c r="AT331">
        <v>11.529292861379353</v>
      </c>
      <c r="AU331">
        <v>4.9890456599785367</v>
      </c>
      <c r="AV331"/>
      <c r="AW331"/>
      <c r="FY331" s="213">
        <v>326</v>
      </c>
      <c r="FZ331">
        <v>73.161830919761712</v>
      </c>
      <c r="GA331">
        <v>81.630375012394296</v>
      </c>
      <c r="GB331">
        <v>10.582546669767241</v>
      </c>
      <c r="GC331">
        <v>4.0621944682967932</v>
      </c>
      <c r="GD331">
        <v>5.7676214339779923</v>
      </c>
      <c r="GE331">
        <v>10.381560632818923</v>
      </c>
      <c r="GF331">
        <v>16.82779285030314</v>
      </c>
      <c r="GG331">
        <v>13.886512494924501</v>
      </c>
      <c r="GH331">
        <v>10.032261251737179</v>
      </c>
      <c r="GI331">
        <v>21.742891642529688</v>
      </c>
      <c r="GJ331"/>
      <c r="GK331"/>
      <c r="GL331"/>
      <c r="GM331"/>
      <c r="GN331" s="208"/>
      <c r="GO331" s="208"/>
      <c r="GP331" s="208"/>
      <c r="GQ331" s="208"/>
      <c r="GR331" s="208"/>
      <c r="GS331" s="208"/>
      <c r="GT331" s="208"/>
      <c r="GU331" s="213">
        <v>326</v>
      </c>
    </row>
    <row r="332" spans="1:203" s="7" customFormat="1">
      <c r="A332" s="1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 s="80"/>
      <c r="AK332" s="81"/>
      <c r="AL332" s="81"/>
      <c r="AM332" s="43">
        <v>316</v>
      </c>
      <c r="AN332">
        <v>291.01970255865655</v>
      </c>
      <c r="AO332">
        <v>35.713627620890279</v>
      </c>
      <c r="AP332">
        <v>104.32215662346731</v>
      </c>
      <c r="AQ332">
        <v>275.37590650890991</v>
      </c>
      <c r="AR332">
        <v>35.857941296904855</v>
      </c>
      <c r="AS332">
        <v>285.45860215150992</v>
      </c>
      <c r="AT332">
        <v>16.104646850844741</v>
      </c>
      <c r="AU332">
        <v>-5.7070376052835421</v>
      </c>
      <c r="AV332"/>
      <c r="AW332"/>
      <c r="FY332" s="213">
        <v>327</v>
      </c>
      <c r="FZ332">
        <v>29.767620324721367</v>
      </c>
      <c r="GA332">
        <v>26.43963203040731</v>
      </c>
      <c r="GB332">
        <v>8.8248922458984378</v>
      </c>
      <c r="GC332">
        <v>5.7573910281844984</v>
      </c>
      <c r="GD332">
        <v>5.8116709530946915</v>
      </c>
      <c r="GE332">
        <v>5.6961076021268804</v>
      </c>
      <c r="GF332">
        <v>20.444108137341125</v>
      </c>
      <c r="GG332">
        <v>20.038769383512161</v>
      </c>
      <c r="GH332">
        <v>11.457873369179811</v>
      </c>
      <c r="GI332">
        <v>15.714397660468252</v>
      </c>
      <c r="GJ332"/>
      <c r="GK332"/>
      <c r="GL332"/>
      <c r="GM332"/>
      <c r="GN332" s="208"/>
      <c r="GO332" s="208"/>
      <c r="GP332" s="208"/>
      <c r="GQ332" s="208"/>
      <c r="GR332" s="208"/>
      <c r="GS332" s="208"/>
      <c r="GT332" s="208"/>
      <c r="GU332" s="213">
        <v>327</v>
      </c>
    </row>
    <row r="333" spans="1:203" s="7" customFormat="1">
      <c r="A333" s="1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 s="80"/>
      <c r="AK333" s="81"/>
      <c r="AL333" s="81"/>
      <c r="AM333" s="43">
        <v>317</v>
      </c>
      <c r="AN333">
        <v>303.74171281641992</v>
      </c>
      <c r="AO333">
        <v>21.08149400645063</v>
      </c>
      <c r="AP333">
        <v>60.26624473943491</v>
      </c>
      <c r="AQ333">
        <v>141.04442945525554</v>
      </c>
      <c r="AR333">
        <v>22.122649511820509</v>
      </c>
      <c r="AS333">
        <v>213.82892908674833</v>
      </c>
      <c r="AT333">
        <v>9.4595991741833796</v>
      </c>
      <c r="AU333">
        <v>12.322180488984293</v>
      </c>
      <c r="AV333"/>
      <c r="AW333"/>
      <c r="FY333" s="213">
        <v>328</v>
      </c>
      <c r="FZ333">
        <v>64.162374332022878</v>
      </c>
      <c r="GA333">
        <v>66.198026211552673</v>
      </c>
      <c r="GB333">
        <v>21.534763108755293</v>
      </c>
      <c r="GC333">
        <v>5.5484985187068796</v>
      </c>
      <c r="GD333">
        <v>4.2427179008905016</v>
      </c>
      <c r="GE333">
        <v>3.7867074121231559</v>
      </c>
      <c r="GF333">
        <v>9.2962034949625476</v>
      </c>
      <c r="GG333">
        <v>11.541136814319161</v>
      </c>
      <c r="GH333">
        <v>16.976460378846202</v>
      </c>
      <c r="GI333">
        <v>22.464659372669743</v>
      </c>
      <c r="GJ333"/>
      <c r="GK333"/>
      <c r="GL333"/>
      <c r="GM333"/>
      <c r="GN333" s="208"/>
      <c r="GO333" s="208"/>
      <c r="GP333" s="208"/>
      <c r="GQ333" s="208"/>
      <c r="GR333" s="208"/>
      <c r="GS333" s="208"/>
      <c r="GT333" s="208"/>
      <c r="GU333" s="213">
        <v>328</v>
      </c>
    </row>
    <row r="334" spans="1:203" s="7" customFormat="1">
      <c r="A334" s="1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 s="80"/>
      <c r="AK334" s="81"/>
      <c r="AL334" s="81"/>
      <c r="AM334" s="43">
        <v>318</v>
      </c>
      <c r="AN334">
        <v>295.34399049638671</v>
      </c>
      <c r="AO334">
        <v>26.572533395684616</v>
      </c>
      <c r="AP334">
        <v>116.64599873455012</v>
      </c>
      <c r="AQ334">
        <v>191.15034225255246</v>
      </c>
      <c r="AR334">
        <v>27.452457195769501</v>
      </c>
      <c r="AS334">
        <v>243.03473823874862</v>
      </c>
      <c r="AT334">
        <v>11.763808361412046</v>
      </c>
      <c r="AU334">
        <v>4.9722954510786899</v>
      </c>
      <c r="AV334"/>
      <c r="AW334"/>
      <c r="FY334" s="213">
        <v>329</v>
      </c>
      <c r="FZ334">
        <v>45.104702349932104</v>
      </c>
      <c r="GA334">
        <v>61.620454550554911</v>
      </c>
      <c r="GB334">
        <v>16.138350045165211</v>
      </c>
      <c r="GC334">
        <v>5.3254158849467359</v>
      </c>
      <c r="GD334">
        <v>5.1104998561982224</v>
      </c>
      <c r="GE334">
        <v>6.2459981880527096</v>
      </c>
      <c r="GF334">
        <v>13.847669314076153</v>
      </c>
      <c r="GG334">
        <v>13.797834524049177</v>
      </c>
      <c r="GH334">
        <v>10.398874043664421</v>
      </c>
      <c r="GI334">
        <v>18.451512183324631</v>
      </c>
      <c r="GJ334"/>
      <c r="GK334"/>
      <c r="GL334"/>
      <c r="GM334"/>
      <c r="GN334" s="208"/>
      <c r="GO334" s="208"/>
      <c r="GP334" s="208"/>
      <c r="GQ334" s="208"/>
      <c r="GR334" s="208"/>
      <c r="GS334" s="208"/>
      <c r="GT334" s="208"/>
      <c r="GU334" s="213">
        <v>329</v>
      </c>
    </row>
    <row r="335" spans="1:203" s="7" customFormat="1">
      <c r="A335" s="1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 s="80"/>
      <c r="AK335" s="81"/>
      <c r="AL335" s="81"/>
      <c r="AM335" s="43">
        <v>319</v>
      </c>
      <c r="AN335">
        <v>289.63110816202868</v>
      </c>
      <c r="AO335">
        <v>28.458461888253606</v>
      </c>
      <c r="AP335">
        <v>87.55506093559552</v>
      </c>
      <c r="AQ335">
        <v>206.12981157141178</v>
      </c>
      <c r="AR335">
        <v>28.255354497226911</v>
      </c>
      <c r="AS335">
        <v>246.20210045304503</v>
      </c>
      <c r="AT335">
        <v>11.086533763418421</v>
      </c>
      <c r="AU335">
        <v>-34.868014011961726</v>
      </c>
      <c r="AV335"/>
      <c r="AW335"/>
      <c r="FY335" s="213">
        <v>330</v>
      </c>
      <c r="FZ335">
        <v>63.497789478714992</v>
      </c>
      <c r="GA335">
        <v>45.853350318082668</v>
      </c>
      <c r="GB335">
        <v>6.8417797412802344</v>
      </c>
      <c r="GC335">
        <v>4.2519498698163876</v>
      </c>
      <c r="GD335">
        <v>4.0456556729579312</v>
      </c>
      <c r="GE335">
        <v>6.2937815565184083</v>
      </c>
      <c r="GF335">
        <v>12.698768758409065</v>
      </c>
      <c r="GG335">
        <v>10.928192769711185</v>
      </c>
      <c r="GH335">
        <v>10.695697146462864</v>
      </c>
      <c r="GI335">
        <v>17.47479233660081</v>
      </c>
      <c r="GJ335"/>
      <c r="GK335"/>
      <c r="GL335"/>
      <c r="GM335"/>
      <c r="GN335" s="208"/>
      <c r="GO335" s="208"/>
      <c r="GP335" s="208"/>
      <c r="GQ335" s="208"/>
      <c r="GR335" s="208"/>
      <c r="GS335" s="208"/>
      <c r="GT335" s="208"/>
      <c r="GU335" s="213">
        <v>330</v>
      </c>
    </row>
    <row r="336" spans="1:203" s="7" customFormat="1">
      <c r="A336" s="1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 s="80"/>
      <c r="AK336" s="81"/>
      <c r="AL336" s="81"/>
      <c r="AM336" s="43">
        <v>320</v>
      </c>
      <c r="AN336">
        <v>315.36600335113263</v>
      </c>
      <c r="AO336">
        <v>26.294064865131723</v>
      </c>
      <c r="AP336">
        <v>56.786834750859128</v>
      </c>
      <c r="AQ336">
        <v>186.03410464096112</v>
      </c>
      <c r="AR336">
        <v>26.882125160352938</v>
      </c>
      <c r="AS336">
        <v>246.64849168788834</v>
      </c>
      <c r="AT336">
        <v>13.749320447215551</v>
      </c>
      <c r="AU336">
        <v>13.51537336234551</v>
      </c>
      <c r="AV336"/>
      <c r="AW336"/>
      <c r="FY336" s="213">
        <v>331</v>
      </c>
      <c r="FZ336">
        <v>56.859193564343109</v>
      </c>
      <c r="GA336">
        <v>67.33628294238234</v>
      </c>
      <c r="GB336">
        <v>16.252134363343181</v>
      </c>
      <c r="GC336">
        <v>4.6628210329696946</v>
      </c>
      <c r="GD336">
        <v>4.4128640008027613</v>
      </c>
      <c r="GE336">
        <v>4.5735433608431624</v>
      </c>
      <c r="GF336">
        <v>28.99795140489363</v>
      </c>
      <c r="GG336">
        <v>28.274289451190757</v>
      </c>
      <c r="GH336">
        <v>17.328933866377493</v>
      </c>
      <c r="GI336">
        <v>23.571991162665459</v>
      </c>
      <c r="GJ336"/>
      <c r="GK336"/>
      <c r="GL336"/>
      <c r="GM336"/>
      <c r="GN336" s="208"/>
      <c r="GO336" s="208"/>
      <c r="GP336" s="208"/>
      <c r="GQ336" s="208"/>
      <c r="GR336" s="208"/>
      <c r="GS336" s="208"/>
      <c r="GT336" s="208"/>
      <c r="GU336" s="213">
        <v>331</v>
      </c>
    </row>
    <row r="337" spans="1:203" s="7" customFormat="1">
      <c r="A337" s="1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 s="80"/>
      <c r="AK337" s="81"/>
      <c r="AL337" s="81"/>
      <c r="AM337" s="43">
        <v>321</v>
      </c>
      <c r="AN337">
        <v>346.96006482403902</v>
      </c>
      <c r="AO337">
        <v>30.846274206967855</v>
      </c>
      <c r="AP337">
        <v>107.79426136653996</v>
      </c>
      <c r="AQ337">
        <v>222.45407643192851</v>
      </c>
      <c r="AR337">
        <v>31.658444724161953</v>
      </c>
      <c r="AS337">
        <v>283.34148139489264</v>
      </c>
      <c r="AT337">
        <v>14.40345768058298</v>
      </c>
      <c r="AU337">
        <v>50.286216367803846</v>
      </c>
      <c r="AV337"/>
      <c r="AW337"/>
      <c r="FY337" s="213">
        <v>332</v>
      </c>
      <c r="FZ337">
        <v>68.529408829926496</v>
      </c>
      <c r="GA337">
        <v>47.934159029433182</v>
      </c>
      <c r="GB337">
        <v>12.734392931666875</v>
      </c>
      <c r="GC337">
        <v>5.9045510586161072</v>
      </c>
      <c r="GD337">
        <v>5.495131991383567</v>
      </c>
      <c r="GE337">
        <v>4.6275183213535032</v>
      </c>
      <c r="GF337">
        <v>12.316583643594399</v>
      </c>
      <c r="GG337">
        <v>14.535650343960032</v>
      </c>
      <c r="GH337">
        <v>9.5217266929585467</v>
      </c>
      <c r="GI337">
        <v>20.497406904630907</v>
      </c>
      <c r="GJ337"/>
      <c r="GK337"/>
      <c r="GL337"/>
      <c r="GM337"/>
      <c r="GN337" s="208"/>
      <c r="GO337" s="208"/>
      <c r="GP337" s="208"/>
      <c r="GQ337" s="208"/>
      <c r="GR337" s="208"/>
      <c r="GS337" s="208"/>
      <c r="GT337" s="208"/>
      <c r="GU337" s="213">
        <v>332</v>
      </c>
    </row>
    <row r="338" spans="1:203" s="7" customFormat="1">
      <c r="A338" s="1"/>
      <c r="B338" t="s">
        <v>104</v>
      </c>
      <c r="C338" t="s">
        <v>104</v>
      </c>
      <c r="D338" t="s">
        <v>104</v>
      </c>
      <c r="E338" t="s">
        <v>104</v>
      </c>
      <c r="F338" t="s">
        <v>104</v>
      </c>
      <c r="G338" t="s">
        <v>104</v>
      </c>
      <c r="H338" t="s">
        <v>104</v>
      </c>
      <c r="I338" t="s">
        <v>104</v>
      </c>
      <c r="J338" t="s">
        <v>104</v>
      </c>
      <c r="K338" t="s">
        <v>104</v>
      </c>
      <c r="L338" t="s">
        <v>104</v>
      </c>
      <c r="M338" t="s">
        <v>104</v>
      </c>
      <c r="N338" t="s">
        <v>104</v>
      </c>
      <c r="O338" t="s">
        <v>104</v>
      </c>
      <c r="P338" t="s">
        <v>104</v>
      </c>
      <c r="Q338" t="s">
        <v>104</v>
      </c>
      <c r="R338" t="s">
        <v>104</v>
      </c>
      <c r="S338" t="s">
        <v>104</v>
      </c>
      <c r="T338" t="s">
        <v>104</v>
      </c>
      <c r="U338" t="s">
        <v>104</v>
      </c>
      <c r="V338" t="s">
        <v>104</v>
      </c>
      <c r="W338" t="s">
        <v>104</v>
      </c>
      <c r="X338" t="s">
        <v>104</v>
      </c>
      <c r="Y338" t="s">
        <v>104</v>
      </c>
      <c r="Z338" t="s">
        <v>104</v>
      </c>
      <c r="AA338" t="s">
        <v>104</v>
      </c>
      <c r="AB338" t="s">
        <v>104</v>
      </c>
      <c r="AC338" t="s">
        <v>104</v>
      </c>
      <c r="AD338" t="s">
        <v>104</v>
      </c>
      <c r="AE338" t="s">
        <v>104</v>
      </c>
      <c r="AF338" t="s">
        <v>104</v>
      </c>
      <c r="AG338" t="s">
        <v>104</v>
      </c>
      <c r="AH338" t="s">
        <v>104</v>
      </c>
      <c r="AI338" t="s">
        <v>104</v>
      </c>
      <c r="AJ338" s="80"/>
      <c r="AK338" s="81"/>
      <c r="AL338" s="81"/>
      <c r="AM338" s="43">
        <v>322</v>
      </c>
      <c r="AN338">
        <v>303.62537837923327</v>
      </c>
      <c r="AO338">
        <v>33.000528041284888</v>
      </c>
      <c r="AP338">
        <v>79.23426666818068</v>
      </c>
      <c r="AQ338">
        <v>238.54789190047799</v>
      </c>
      <c r="AR338">
        <v>32.799732949672453</v>
      </c>
      <c r="AS338">
        <v>257.79694844206489</v>
      </c>
      <c r="AT338">
        <v>14.753599993263913</v>
      </c>
      <c r="AU338">
        <v>-12.135720011105629</v>
      </c>
      <c r="AV338"/>
      <c r="AW338"/>
      <c r="FY338" s="213">
        <v>333</v>
      </c>
      <c r="FZ338">
        <v>58.643687516737089</v>
      </c>
      <c r="GA338">
        <v>75.170034567570568</v>
      </c>
      <c r="GB338">
        <v>17.82563431799333</v>
      </c>
      <c r="GC338">
        <v>4.8581712807070971</v>
      </c>
      <c r="GD338">
        <v>3.2194359466453788</v>
      </c>
      <c r="GE338">
        <v>2.2580476662528604</v>
      </c>
      <c r="GF338">
        <v>27.072204269767482</v>
      </c>
      <c r="GG338">
        <v>25.552696523895243</v>
      </c>
      <c r="GH338">
        <v>11.789468813725172</v>
      </c>
      <c r="GI338">
        <v>22.386520089122563</v>
      </c>
      <c r="GJ338"/>
      <c r="GK338"/>
      <c r="GL338"/>
      <c r="GM338"/>
      <c r="GN338" s="208"/>
      <c r="GO338" s="208"/>
      <c r="GP338" s="208"/>
      <c r="GQ338" s="208"/>
      <c r="GR338" s="208"/>
      <c r="GS338" s="208"/>
      <c r="GT338" s="208"/>
      <c r="GU338" s="213">
        <v>333</v>
      </c>
    </row>
    <row r="339" spans="1:203" s="7" customFormat="1">
      <c r="A339" s="1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 s="80"/>
      <c r="AK339" s="81"/>
      <c r="AL339" s="81"/>
      <c r="AM339" s="43">
        <v>323</v>
      </c>
      <c r="AN339">
        <v>296.27236729585854</v>
      </c>
      <c r="AO339">
        <v>27.781399686529529</v>
      </c>
      <c r="AP339">
        <v>80.37951726531449</v>
      </c>
      <c r="AQ339">
        <v>194.90819360671253</v>
      </c>
      <c r="AR339">
        <v>28.664905528900217</v>
      </c>
      <c r="AS339">
        <v>246.15316279805978</v>
      </c>
      <c r="AT339">
        <v>11.593808406781859</v>
      </c>
      <c r="AU339">
        <v>-6.0490506343048658</v>
      </c>
      <c r="AV339"/>
      <c r="AW339"/>
      <c r="FY339" s="213">
        <v>334</v>
      </c>
      <c r="FZ339">
        <v>34.023632841706913</v>
      </c>
      <c r="GA339">
        <v>23.847879799446655</v>
      </c>
      <c r="GB339">
        <v>3.7944498526642825</v>
      </c>
      <c r="GC339">
        <v>7.2562962090289176</v>
      </c>
      <c r="GD339">
        <v>5.0528422869369916</v>
      </c>
      <c r="GE339">
        <v>3.0877527989595994</v>
      </c>
      <c r="GF339">
        <v>10.807365778143085</v>
      </c>
      <c r="GG339">
        <v>10.001208022706358</v>
      </c>
      <c r="GH339">
        <v>13.505259326796544</v>
      </c>
      <c r="GI339">
        <v>12.966861780007598</v>
      </c>
      <c r="GJ339"/>
      <c r="GK339"/>
      <c r="GL339"/>
      <c r="GM339"/>
      <c r="GN339" s="208"/>
      <c r="GO339" s="208"/>
      <c r="GP339" s="208"/>
      <c r="GQ339" s="208"/>
      <c r="GR339" s="208"/>
      <c r="GS339" s="208"/>
      <c r="GT339" s="208"/>
      <c r="GU339" s="213">
        <v>334</v>
      </c>
    </row>
    <row r="340" spans="1:203" s="7" customFormat="1">
      <c r="A340" s="1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 s="80"/>
      <c r="AK340" s="81"/>
      <c r="AL340" s="81"/>
      <c r="AM340" s="43">
        <v>324</v>
      </c>
      <c r="AN340">
        <v>233.10847796392986</v>
      </c>
      <c r="AO340">
        <v>19.886273867108422</v>
      </c>
      <c r="AP340">
        <v>81.019838416041736</v>
      </c>
      <c r="AQ340">
        <v>141.34200574159206</v>
      </c>
      <c r="AR340">
        <v>20.504827612831427</v>
      </c>
      <c r="AS340">
        <v>175.32310494350591</v>
      </c>
      <c r="AT340">
        <v>8.988047101487032</v>
      </c>
      <c r="AU340">
        <v>1.996804918300132</v>
      </c>
      <c r="AV340"/>
      <c r="AW340"/>
      <c r="FY340" s="213">
        <v>335</v>
      </c>
      <c r="FZ340">
        <v>38.128165204681906</v>
      </c>
      <c r="GA340">
        <v>68.680677152063438</v>
      </c>
      <c r="GB340">
        <v>16.301544455355135</v>
      </c>
      <c r="GC340">
        <v>8.2415069527553495</v>
      </c>
      <c r="GD340">
        <v>8.1085812758016491</v>
      </c>
      <c r="GE340">
        <v>6.3403606555682526</v>
      </c>
      <c r="GF340">
        <v>18.771657753297958</v>
      </c>
      <c r="GG340">
        <v>18.96715083912715</v>
      </c>
      <c r="GH340">
        <v>9.9755124987616028</v>
      </c>
      <c r="GI340">
        <v>20.015678549290705</v>
      </c>
      <c r="GJ340"/>
      <c r="GK340"/>
      <c r="GL340"/>
      <c r="GM340"/>
      <c r="GN340" s="208"/>
      <c r="GO340" s="208"/>
      <c r="GP340" s="208"/>
      <c r="GQ340" s="208"/>
      <c r="GR340" s="208"/>
      <c r="GS340" s="208"/>
      <c r="GT340" s="208"/>
      <c r="GU340" s="213">
        <v>335</v>
      </c>
    </row>
    <row r="341" spans="1:203" s="7" customFormat="1">
      <c r="A341" s="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 s="80"/>
      <c r="AK341" s="81"/>
      <c r="AL341" s="81"/>
      <c r="AM341" s="43">
        <v>325</v>
      </c>
      <c r="AN341">
        <v>404.91054802481983</v>
      </c>
      <c r="AO341">
        <v>30.519951621854052</v>
      </c>
      <c r="AP341">
        <v>136.33635490307213</v>
      </c>
      <c r="AQ341">
        <v>201.94721602936295</v>
      </c>
      <c r="AR341">
        <v>31.014438327042093</v>
      </c>
      <c r="AS341">
        <v>294.38629972358819</v>
      </c>
      <c r="AT341">
        <v>14.016563826213755</v>
      </c>
      <c r="AU341">
        <v>38.851323575924653</v>
      </c>
      <c r="AV341"/>
      <c r="AW341"/>
      <c r="FY341" s="213">
        <v>336</v>
      </c>
      <c r="FZ341">
        <v>44.649231279448948</v>
      </c>
      <c r="GA341">
        <v>45.710255804266829</v>
      </c>
      <c r="GB341">
        <v>12.639499920295696</v>
      </c>
      <c r="GC341">
        <v>7.7541279210603529</v>
      </c>
      <c r="GD341">
        <v>5.7398074627389732</v>
      </c>
      <c r="GE341">
        <v>4.3731538439956523</v>
      </c>
      <c r="GF341">
        <v>17.248715647572247</v>
      </c>
      <c r="GG341">
        <v>14.368848611780898</v>
      </c>
      <c r="GH341">
        <v>17.32019511741095</v>
      </c>
      <c r="GI341">
        <v>19.352268791494712</v>
      </c>
      <c r="GJ341"/>
      <c r="GK341"/>
      <c r="GL341"/>
      <c r="GM341"/>
      <c r="GN341" s="208"/>
      <c r="GO341" s="208"/>
      <c r="GP341" s="208"/>
      <c r="GQ341" s="208"/>
      <c r="GR341" s="208"/>
      <c r="GS341" s="208"/>
      <c r="GT341" s="208"/>
      <c r="GU341" s="213">
        <v>336</v>
      </c>
    </row>
    <row r="342" spans="1:203" s="7" customFormat="1">
      <c r="A342" s="1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 s="80"/>
      <c r="AK342" s="81"/>
      <c r="AL342" s="81"/>
      <c r="AM342" s="43">
        <v>326</v>
      </c>
      <c r="AN342">
        <v>339.03165343969363</v>
      </c>
      <c r="AO342">
        <v>32.232541311129744</v>
      </c>
      <c r="AP342">
        <v>79.641550900601231</v>
      </c>
      <c r="AQ342">
        <v>248.07558737651141</v>
      </c>
      <c r="AR342">
        <v>31.960928235205266</v>
      </c>
      <c r="AS342">
        <v>274.0703898506888</v>
      </c>
      <c r="AT342">
        <v>15.881064571347666</v>
      </c>
      <c r="AU342">
        <v>-6.6766609314201943</v>
      </c>
      <c r="AV342"/>
      <c r="AW342"/>
      <c r="FY342" s="213">
        <v>337</v>
      </c>
      <c r="FZ342">
        <v>52.80414483074712</v>
      </c>
      <c r="GA342">
        <v>78.018520664325578</v>
      </c>
      <c r="GB342">
        <v>21.870688697087243</v>
      </c>
      <c r="GC342">
        <v>7.816126382063513</v>
      </c>
      <c r="GD342">
        <v>7.3044962304848928</v>
      </c>
      <c r="GE342">
        <v>7.8734688603172103</v>
      </c>
      <c r="GF342">
        <v>7.4947168860258495</v>
      </c>
      <c r="GG342">
        <v>6.9243342947550914</v>
      </c>
      <c r="GH342">
        <v>19.063073228480949</v>
      </c>
      <c r="GI342">
        <v>22.667789229177934</v>
      </c>
      <c r="GJ342"/>
      <c r="GK342"/>
      <c r="GL342"/>
      <c r="GM342"/>
      <c r="GN342" s="208"/>
      <c r="GO342" s="208"/>
      <c r="GP342" s="208"/>
      <c r="GQ342" s="208"/>
      <c r="GR342" s="208"/>
      <c r="GS342" s="208"/>
      <c r="GT342" s="208"/>
      <c r="GU342" s="213">
        <v>337</v>
      </c>
    </row>
    <row r="343" spans="1:203" s="7" customFormat="1">
      <c r="A343" s="1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 s="80"/>
      <c r="AK343" s="81"/>
      <c r="AL343" s="81"/>
      <c r="AM343" s="43">
        <v>327</v>
      </c>
      <c r="AN343">
        <v>303.83378537037777</v>
      </c>
      <c r="AO343">
        <v>21.788672512350512</v>
      </c>
      <c r="AP343">
        <v>115.14811793537363</v>
      </c>
      <c r="AQ343">
        <v>149.95246273493453</v>
      </c>
      <c r="AR343">
        <v>22.534204581119234</v>
      </c>
      <c r="AS343">
        <v>223.6702289237621</v>
      </c>
      <c r="AT343">
        <v>12.059208865999038</v>
      </c>
      <c r="AU343">
        <v>86.452709547983901</v>
      </c>
      <c r="AV343"/>
      <c r="AW343"/>
      <c r="FY343" s="213">
        <v>338</v>
      </c>
      <c r="FZ343">
        <v>66.445631647259489</v>
      </c>
      <c r="GA343">
        <v>51.788419761434831</v>
      </c>
      <c r="GB343">
        <v>10.734235888102718</v>
      </c>
      <c r="GC343">
        <v>3.6301536736118334</v>
      </c>
      <c r="GD343">
        <v>3.9219299710534701</v>
      </c>
      <c r="GE343">
        <v>6.6205417984270163</v>
      </c>
      <c r="GF343">
        <v>10.512565482332477</v>
      </c>
      <c r="GG343">
        <v>11.58606008796807</v>
      </c>
      <c r="GH343">
        <v>11.085831122827244</v>
      </c>
      <c r="GI343">
        <v>18.610102815379111</v>
      </c>
      <c r="GJ343"/>
      <c r="GK343"/>
      <c r="GL343"/>
      <c r="GM343"/>
      <c r="GN343" s="208"/>
      <c r="GO343" s="208"/>
      <c r="GP343" s="208"/>
      <c r="GQ343" s="208"/>
      <c r="GR343" s="208"/>
      <c r="GS343" s="208"/>
      <c r="GT343" s="208"/>
      <c r="GU343" s="213">
        <v>338</v>
      </c>
    </row>
    <row r="344" spans="1:203" s="7" customFormat="1">
      <c r="A344" s="1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 s="80"/>
      <c r="AK344" s="81"/>
      <c r="AL344" s="81"/>
      <c r="AM344" s="43">
        <v>328</v>
      </c>
      <c r="AN344">
        <v>281.50974793261861</v>
      </c>
      <c r="AO344">
        <v>31.685970772363522</v>
      </c>
      <c r="AP344">
        <v>62.713932190914406</v>
      </c>
      <c r="AQ344">
        <v>225.75154754484907</v>
      </c>
      <c r="AR344">
        <v>34.622772593622713</v>
      </c>
      <c r="AS344">
        <v>252.89818579785441</v>
      </c>
      <c r="AT344">
        <v>13.638812130632905</v>
      </c>
      <c r="AU344">
        <v>16.096496420069442</v>
      </c>
      <c r="AV344"/>
      <c r="AW344"/>
      <c r="FY344" s="213">
        <v>339</v>
      </c>
      <c r="FZ344">
        <v>47.021573241037274</v>
      </c>
      <c r="GA344">
        <v>36.067806860642797</v>
      </c>
      <c r="GB344">
        <v>8.2679616432478156</v>
      </c>
      <c r="GC344">
        <v>6.1316523020629541</v>
      </c>
      <c r="GD344">
        <v>4.866306254966541</v>
      </c>
      <c r="GE344">
        <v>3.1021715961260812</v>
      </c>
      <c r="GF344">
        <v>8.5230434828090864</v>
      </c>
      <c r="GG344">
        <v>9.4416934880491912</v>
      </c>
      <c r="GH344">
        <v>18.42994517229689</v>
      </c>
      <c r="GI344">
        <v>16.53236842739603</v>
      </c>
      <c r="GJ344"/>
      <c r="GK344"/>
      <c r="GL344"/>
      <c r="GM344"/>
      <c r="GN344" s="208"/>
      <c r="GO344" s="208"/>
      <c r="GP344" s="208"/>
      <c r="GQ344" s="208"/>
      <c r="GR344" s="208"/>
      <c r="GS344" s="208"/>
      <c r="GT344" s="208"/>
      <c r="GU344" s="213">
        <v>339</v>
      </c>
    </row>
    <row r="345" spans="1:203" s="7" customFormat="1">
      <c r="A345" s="1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 s="80"/>
      <c r="AK345" s="81"/>
      <c r="AL345" s="81"/>
      <c r="AM345" s="43">
        <v>329</v>
      </c>
      <c r="AN345">
        <v>317.67185879829253</v>
      </c>
      <c r="AO345">
        <v>27.423585894490895</v>
      </c>
      <c r="AP345">
        <v>87.693469022873813</v>
      </c>
      <c r="AQ345">
        <v>196.04131093996426</v>
      </c>
      <c r="AR345">
        <v>27.355274552805355</v>
      </c>
      <c r="AS345">
        <v>256.79894846787766</v>
      </c>
      <c r="AT345">
        <v>12.43659459288528</v>
      </c>
      <c r="AU345">
        <v>16.132653654942239</v>
      </c>
      <c r="AV345"/>
      <c r="AW345"/>
      <c r="FY345" s="213">
        <v>340</v>
      </c>
      <c r="FZ345">
        <v>61.390507119774611</v>
      </c>
      <c r="GA345">
        <v>61.631953541809104</v>
      </c>
      <c r="GB345">
        <v>8.6917265713077825</v>
      </c>
      <c r="GC345">
        <v>4.1847969586399696</v>
      </c>
      <c r="GD345">
        <v>3.8392252374068394</v>
      </c>
      <c r="GE345">
        <v>5.6341585701650763</v>
      </c>
      <c r="GF345">
        <v>10.44878756290271</v>
      </c>
      <c r="GG345">
        <v>9.721752015324423</v>
      </c>
      <c r="GH345">
        <v>16.098188000763319</v>
      </c>
      <c r="GI345">
        <v>18.109214473631983</v>
      </c>
      <c r="GJ345"/>
      <c r="GK345"/>
      <c r="GL345"/>
      <c r="GM345"/>
      <c r="GN345" s="208"/>
      <c r="GO345" s="208"/>
      <c r="GP345" s="208"/>
      <c r="GQ345" s="208"/>
      <c r="GR345" s="208"/>
      <c r="GS345" s="208"/>
      <c r="GT345" s="208"/>
      <c r="GU345" s="213">
        <v>340</v>
      </c>
    </row>
    <row r="346" spans="1:203" s="7" customFormat="1">
      <c r="A346" s="1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 s="80"/>
      <c r="AK346" s="81"/>
      <c r="AL346" s="81"/>
      <c r="AM346" s="43">
        <v>330</v>
      </c>
      <c r="AN346">
        <v>275.8732437889895</v>
      </c>
      <c r="AO346">
        <v>23.904641135939389</v>
      </c>
      <c r="AP346">
        <v>56.183934745408024</v>
      </c>
      <c r="AQ346">
        <v>182.58175764855457</v>
      </c>
      <c r="AR346">
        <v>25.883471679237832</v>
      </c>
      <c r="AS346">
        <v>232.94328790732123</v>
      </c>
      <c r="AT346">
        <v>12.82598650387156</v>
      </c>
      <c r="AU346">
        <v>26.500466798968283</v>
      </c>
      <c r="AV346"/>
      <c r="AW346"/>
      <c r="FY346" s="213">
        <v>341</v>
      </c>
      <c r="FZ346">
        <v>88.956122724354529</v>
      </c>
      <c r="GA346">
        <v>72.982986656966574</v>
      </c>
      <c r="GB346">
        <v>9.9694906926766329</v>
      </c>
      <c r="GC346">
        <v>5.5377207316760053</v>
      </c>
      <c r="GD346">
        <v>4.3993554661346534</v>
      </c>
      <c r="GE346">
        <v>7.1899894923722254</v>
      </c>
      <c r="GF346">
        <v>17.950288164948308</v>
      </c>
      <c r="GG346">
        <v>12.096778287658291</v>
      </c>
      <c r="GH346">
        <v>11.850997234621186</v>
      </c>
      <c r="GI346">
        <v>23.362884599033542</v>
      </c>
      <c r="GJ346"/>
      <c r="GK346"/>
      <c r="GL346"/>
      <c r="GM346"/>
      <c r="GN346" s="208"/>
      <c r="GO346" s="208"/>
      <c r="GP346" s="208"/>
      <c r="GQ346" s="208"/>
      <c r="GR346" s="208"/>
      <c r="GS346" s="208"/>
      <c r="GT346" s="208"/>
      <c r="GU346" s="213">
        <v>341</v>
      </c>
    </row>
    <row r="347" spans="1:203" s="7" customFormat="1">
      <c r="A347" s="1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 s="80"/>
      <c r="AK347" s="81"/>
      <c r="AL347" s="81"/>
      <c r="AM347" s="43">
        <v>331</v>
      </c>
      <c r="AN347">
        <v>373.77804669288105</v>
      </c>
      <c r="AO347">
        <v>34.387745233340155</v>
      </c>
      <c r="AP347">
        <v>106.3647796427578</v>
      </c>
      <c r="AQ347">
        <v>252.27000514981157</v>
      </c>
      <c r="AR347">
        <v>35.402313452309308</v>
      </c>
      <c r="AS347">
        <v>306.42662024269754</v>
      </c>
      <c r="AT347">
        <v>14.423266732091301</v>
      </c>
      <c r="AU347">
        <v>14.116136475479895</v>
      </c>
      <c r="AV347"/>
      <c r="AW347"/>
      <c r="FY347" s="213">
        <v>342</v>
      </c>
      <c r="FZ347">
        <v>48.347150773988496</v>
      </c>
      <c r="GA347">
        <v>68.704658982067158</v>
      </c>
      <c r="GB347">
        <v>15.659643306204968</v>
      </c>
      <c r="GC347">
        <v>4.6371281669293385</v>
      </c>
      <c r="GD347">
        <v>4.0531397912232556</v>
      </c>
      <c r="GE347">
        <v>7.9949656190557423</v>
      </c>
      <c r="GF347">
        <v>15.578040245873158</v>
      </c>
      <c r="GG347">
        <v>9.5319976801800657</v>
      </c>
      <c r="GH347">
        <v>13.103270137960326</v>
      </c>
      <c r="GI347">
        <v>18.884436377282231</v>
      </c>
      <c r="GJ347"/>
      <c r="GK347"/>
      <c r="GL347"/>
      <c r="GM347"/>
      <c r="GN347" s="208"/>
      <c r="GO347" s="208"/>
      <c r="GP347" s="208"/>
      <c r="GQ347" s="208"/>
      <c r="GR347" s="208"/>
      <c r="GS347" s="208"/>
      <c r="GT347" s="208"/>
      <c r="GU347" s="213">
        <v>342</v>
      </c>
    </row>
    <row r="348" spans="1:203" s="7" customFormat="1">
      <c r="A348" s="80"/>
      <c r="B348" s="80"/>
      <c r="C348" s="80"/>
      <c r="D348" s="80"/>
      <c r="E348" s="80"/>
      <c r="F348" s="80"/>
      <c r="G348" s="80"/>
      <c r="H348" s="80"/>
      <c r="I348" s="80"/>
      <c r="J348" s="80"/>
      <c r="K348" s="80"/>
      <c r="L348" s="80"/>
      <c r="M348" s="80"/>
      <c r="N348" s="80"/>
      <c r="O348" s="80"/>
      <c r="P348" s="80"/>
      <c r="Q348" s="80"/>
      <c r="R348" s="80"/>
      <c r="S348" s="80"/>
      <c r="T348" s="80"/>
      <c r="U348" s="80"/>
      <c r="V348" s="80"/>
      <c r="W348" s="80"/>
      <c r="X348" s="80"/>
      <c r="Y348" s="80"/>
      <c r="Z348" s="80"/>
      <c r="AA348" s="80"/>
      <c r="AB348" s="80"/>
      <c r="AC348" s="80"/>
      <c r="AD348" s="80"/>
      <c r="AE348" s="80"/>
      <c r="AF348" s="80"/>
      <c r="AG348" s="80"/>
      <c r="AH348" s="80"/>
      <c r="AI348" s="80"/>
      <c r="AJ348" s="80"/>
      <c r="AK348" s="81"/>
      <c r="AL348" s="81"/>
      <c r="AM348" s="43">
        <v>332</v>
      </c>
      <c r="AN348">
        <v>290.63164834642595</v>
      </c>
      <c r="AO348">
        <v>28.09888828318487</v>
      </c>
      <c r="AP348">
        <v>78.669648696080429</v>
      </c>
      <c r="AQ348">
        <v>202.09652974752362</v>
      </c>
      <c r="AR348">
        <v>30.837826969209136</v>
      </c>
      <c r="AS348">
        <v>239.39654593607779</v>
      </c>
      <c r="AT348">
        <v>13.867098269951383</v>
      </c>
      <c r="AU348">
        <v>56.683650731792483</v>
      </c>
      <c r="AV348"/>
      <c r="AW348"/>
      <c r="FY348" s="213">
        <v>343</v>
      </c>
      <c r="FZ348">
        <v>49.90498024506774</v>
      </c>
      <c r="GA348">
        <v>50.724396339776177</v>
      </c>
      <c r="GB348">
        <v>7.7716236678726798</v>
      </c>
      <c r="GC348">
        <v>4.4024927576189485</v>
      </c>
      <c r="GD348">
        <v>5.1170737266225199</v>
      </c>
      <c r="GE348">
        <v>7.280712872930768</v>
      </c>
      <c r="GF348">
        <v>7.5235308568342116</v>
      </c>
      <c r="GG348">
        <v>6.9251819046570713</v>
      </c>
      <c r="GH348">
        <v>8.3546068565213609</v>
      </c>
      <c r="GI348">
        <v>15.13438539887151</v>
      </c>
      <c r="GJ348"/>
      <c r="GK348"/>
      <c r="GL348"/>
      <c r="GM348"/>
      <c r="GN348" s="208"/>
      <c r="GO348" s="208"/>
      <c r="GP348" s="208"/>
      <c r="GQ348" s="208"/>
      <c r="GR348" s="208"/>
      <c r="GS348" s="208"/>
      <c r="GT348" s="208"/>
      <c r="GU348" s="213">
        <v>343</v>
      </c>
    </row>
    <row r="349" spans="1:203" s="7" customFormat="1">
      <c r="A349" s="4"/>
      <c r="B349" s="4"/>
      <c r="C349" s="81"/>
      <c r="D349" s="81"/>
      <c r="E349" s="81"/>
      <c r="F349" s="81"/>
      <c r="G349" s="81"/>
      <c r="H349" s="81"/>
      <c r="I349" s="81"/>
      <c r="J349" s="81"/>
      <c r="K349" s="81"/>
      <c r="L349" s="81"/>
      <c r="M349" s="81"/>
      <c r="N349" s="81"/>
      <c r="O349" s="81"/>
      <c r="P349" s="81"/>
      <c r="Q349" s="81"/>
      <c r="R349" s="81"/>
      <c r="S349" s="81"/>
      <c r="T349" s="81"/>
      <c r="U349" s="81"/>
      <c r="V349" s="81"/>
      <c r="W349" s="81"/>
      <c r="X349" s="81"/>
      <c r="Y349" s="81"/>
      <c r="Z349" s="81"/>
      <c r="AA349" s="81"/>
      <c r="AB349" s="81"/>
      <c r="AC349" s="81"/>
      <c r="AD349" s="4"/>
      <c r="AE349" s="4"/>
      <c r="AF349" s="81"/>
      <c r="AG349" s="81"/>
      <c r="AH349" s="81"/>
      <c r="AI349" s="81"/>
      <c r="AJ349" s="81"/>
      <c r="AK349" s="81"/>
      <c r="AL349" s="81"/>
      <c r="AM349" s="43">
        <v>333</v>
      </c>
      <c r="AN349">
        <v>322.72696110751775</v>
      </c>
      <c r="AO349">
        <v>32.921680390748534</v>
      </c>
      <c r="AP349">
        <v>47.497694318915094</v>
      </c>
      <c r="AQ349">
        <v>248.77590099241672</v>
      </c>
      <c r="AR349">
        <v>33.240702888734084</v>
      </c>
      <c r="AS349">
        <v>298.15721424860004</v>
      </c>
      <c r="AT349">
        <v>14.954606195899986</v>
      </c>
      <c r="AU349">
        <v>-14.632446063693862</v>
      </c>
      <c r="AV349"/>
      <c r="AW349"/>
      <c r="FY349" s="213">
        <v>344</v>
      </c>
      <c r="FZ349">
        <v>56.925236169572216</v>
      </c>
      <c r="GA349">
        <v>42.725577848474387</v>
      </c>
      <c r="GB349">
        <v>4.3706048893275167</v>
      </c>
      <c r="GC349">
        <v>3.6779930670161431</v>
      </c>
      <c r="GD349">
        <v>3.7149206611582946</v>
      </c>
      <c r="GE349">
        <v>6.2279196186376078</v>
      </c>
      <c r="GF349">
        <v>14.152058952509087</v>
      </c>
      <c r="GG349">
        <v>12.859635297935563</v>
      </c>
      <c r="GH349">
        <v>11.415525258358825</v>
      </c>
      <c r="GI349">
        <v>15.920668528755089</v>
      </c>
      <c r="GJ349"/>
      <c r="GK349"/>
      <c r="GL349"/>
      <c r="GM349"/>
      <c r="GN349" s="208"/>
      <c r="GO349" s="208"/>
      <c r="GP349" s="208"/>
      <c r="GQ349" s="208"/>
      <c r="GR349" s="208"/>
      <c r="GS349" s="208"/>
      <c r="GT349" s="208"/>
      <c r="GU349" s="213">
        <v>344</v>
      </c>
    </row>
    <row r="350" spans="1:203" s="7" customFormat="1">
      <c r="A350" s="4"/>
      <c r="B350" s="4"/>
      <c r="C350" s="81"/>
      <c r="D350" s="81"/>
      <c r="E350" s="81"/>
      <c r="F350" s="81"/>
      <c r="G350" s="81"/>
      <c r="H350" s="81"/>
      <c r="I350" s="81"/>
      <c r="J350" s="81"/>
      <c r="K350" s="81"/>
      <c r="L350" s="81"/>
      <c r="M350" s="81"/>
      <c r="N350" s="81"/>
      <c r="O350" s="81"/>
      <c r="P350" s="81"/>
      <c r="Q350" s="81"/>
      <c r="R350" s="81"/>
      <c r="S350" s="81"/>
      <c r="T350" s="81"/>
      <c r="U350" s="81"/>
      <c r="V350" s="81"/>
      <c r="W350" s="81"/>
      <c r="X350" s="81"/>
      <c r="Y350" s="81"/>
      <c r="Z350" s="81"/>
      <c r="AA350" s="81"/>
      <c r="AB350" s="81"/>
      <c r="AC350" s="81"/>
      <c r="AD350" s="4"/>
      <c r="AE350" s="4"/>
      <c r="AF350" s="81"/>
      <c r="AG350" s="81"/>
      <c r="AH350" s="81"/>
      <c r="AI350" s="81"/>
      <c r="AJ350" s="81"/>
      <c r="AK350" s="81"/>
      <c r="AL350" s="81"/>
      <c r="AM350" s="43">
        <v>334</v>
      </c>
      <c r="AN350">
        <v>271.37508047185872</v>
      </c>
      <c r="AO350">
        <v>17.386605876050613</v>
      </c>
      <c r="AP350">
        <v>70.544436292235488</v>
      </c>
      <c r="AQ350">
        <v>124.34354869639694</v>
      </c>
      <c r="AR350">
        <v>18.401115876065855</v>
      </c>
      <c r="AS350">
        <v>197.20482920809559</v>
      </c>
      <c r="AT350">
        <v>9.36523443202233</v>
      </c>
      <c r="AU350">
        <v>20.090383355511516</v>
      </c>
      <c r="AV350"/>
      <c r="AW350"/>
      <c r="FY350" s="213">
        <v>345</v>
      </c>
      <c r="FZ350">
        <v>45.278124954681687</v>
      </c>
      <c r="GA350">
        <v>29.268875600607846</v>
      </c>
      <c r="GB350">
        <v>4.5534156211427614</v>
      </c>
      <c r="GC350">
        <v>8.9709435948304765</v>
      </c>
      <c r="GD350">
        <v>7.6305643909107035</v>
      </c>
      <c r="GE350">
        <v>5.7196811082364345</v>
      </c>
      <c r="GF350">
        <v>7.9490037381914922</v>
      </c>
      <c r="GG350">
        <v>8.3009401346134091</v>
      </c>
      <c r="GH350">
        <v>8.4885778469191582</v>
      </c>
      <c r="GI350">
        <v>14.932286133338813</v>
      </c>
      <c r="GJ350"/>
      <c r="GK350"/>
      <c r="GL350"/>
      <c r="GM350"/>
      <c r="GN350" s="208"/>
      <c r="GO350" s="208"/>
      <c r="GP350" s="208"/>
      <c r="GQ350" s="208"/>
      <c r="GR350" s="208"/>
      <c r="GS350" s="208"/>
      <c r="GT350" s="208"/>
      <c r="GU350" s="213">
        <v>345</v>
      </c>
    </row>
    <row r="351" spans="1:203" s="7" customFormat="1">
      <c r="A351" s="4"/>
      <c r="B351" s="4"/>
      <c r="C351" s="81"/>
      <c r="D351" s="81"/>
      <c r="E351" s="81"/>
      <c r="F351" s="81"/>
      <c r="G351" s="81"/>
      <c r="H351" s="81"/>
      <c r="I351" s="81"/>
      <c r="J351" s="81"/>
      <c r="K351" s="81"/>
      <c r="L351" s="81"/>
      <c r="M351" s="81"/>
      <c r="N351" s="81"/>
      <c r="O351" s="81"/>
      <c r="P351" s="81"/>
      <c r="Q351" s="81"/>
      <c r="R351" s="81"/>
      <c r="S351" s="81"/>
      <c r="T351" s="81"/>
      <c r="U351" s="81"/>
      <c r="V351" s="81"/>
      <c r="W351" s="81"/>
      <c r="X351" s="81"/>
      <c r="Y351" s="81"/>
      <c r="Z351" s="81"/>
      <c r="AA351" s="81"/>
      <c r="AB351" s="81"/>
      <c r="AC351" s="81"/>
      <c r="AD351" s="4"/>
      <c r="AE351" s="4"/>
      <c r="AF351" s="81"/>
      <c r="AG351" s="81"/>
      <c r="AH351" s="81"/>
      <c r="AI351" s="81"/>
      <c r="AJ351" s="81"/>
      <c r="AK351" s="81"/>
      <c r="AL351" s="81"/>
      <c r="AM351" s="43">
        <v>335</v>
      </c>
      <c r="AN351">
        <v>386.88118880339653</v>
      </c>
      <c r="AO351">
        <v>30.695176994841397</v>
      </c>
      <c r="AP351">
        <v>106.08107948915602</v>
      </c>
      <c r="AQ351">
        <v>213.53083533670312</v>
      </c>
      <c r="AR351">
        <v>29.143626400184196</v>
      </c>
      <c r="AS351">
        <v>293.77083670605782</v>
      </c>
      <c r="AT351">
        <v>13.248517409291999</v>
      </c>
      <c r="AU351">
        <v>-17.679747972900437</v>
      </c>
      <c r="AV351"/>
      <c r="AW351"/>
      <c r="FY351" s="213">
        <v>346</v>
      </c>
      <c r="FZ351">
        <v>70.327854442484295</v>
      </c>
      <c r="GA351">
        <v>70.453216149629014</v>
      </c>
      <c r="GB351">
        <v>5.936409084022527</v>
      </c>
      <c r="GC351">
        <v>3.2927361130355091</v>
      </c>
      <c r="GD351">
        <v>5.2067713588258968</v>
      </c>
      <c r="GE351">
        <v>7.1541574623000272</v>
      </c>
      <c r="GF351">
        <v>31.082403196739268</v>
      </c>
      <c r="GG351">
        <v>29.356156521742054</v>
      </c>
      <c r="GH351">
        <v>9.4341732472875215</v>
      </c>
      <c r="GI351">
        <v>22.101912017717229</v>
      </c>
      <c r="GJ351"/>
      <c r="GK351"/>
      <c r="GL351"/>
      <c r="GM351"/>
      <c r="GN351" s="208"/>
      <c r="GO351" s="208"/>
      <c r="GP351" s="208"/>
      <c r="GQ351" s="208"/>
      <c r="GR351" s="208"/>
      <c r="GS351" s="208"/>
      <c r="GT351" s="208"/>
      <c r="GU351" s="213">
        <v>346</v>
      </c>
    </row>
    <row r="352" spans="1:203" s="7" customFormat="1">
      <c r="A352" s="4"/>
      <c r="B352" s="4"/>
      <c r="C352" s="81"/>
      <c r="D352" s="81"/>
      <c r="E352" s="81"/>
      <c r="F352" s="81"/>
      <c r="G352" s="81"/>
      <c r="H352" s="81"/>
      <c r="I352" s="81"/>
      <c r="J352" s="81"/>
      <c r="K352" s="81"/>
      <c r="L352" s="81"/>
      <c r="M352" s="81"/>
      <c r="N352" s="81"/>
      <c r="O352" s="81"/>
      <c r="P352" s="81"/>
      <c r="Q352" s="81"/>
      <c r="R352" s="81"/>
      <c r="S352" s="81"/>
      <c r="T352" s="81"/>
      <c r="U352" s="81"/>
      <c r="V352" s="81"/>
      <c r="W352" s="81"/>
      <c r="X352" s="81"/>
      <c r="Y352" s="81"/>
      <c r="Z352" s="81"/>
      <c r="AA352" s="81"/>
      <c r="AB352" s="81"/>
      <c r="AC352" s="81"/>
      <c r="AD352" s="4"/>
      <c r="AE352" s="4"/>
      <c r="AF352" s="81"/>
      <c r="AG352" s="81"/>
      <c r="AH352" s="81"/>
      <c r="AI352" s="81"/>
      <c r="AJ352" s="81"/>
      <c r="AK352" s="81"/>
      <c r="AL352" s="81"/>
      <c r="AM352" s="43">
        <v>336</v>
      </c>
      <c r="AN352">
        <v>310.68619241432845</v>
      </c>
      <c r="AO352">
        <v>27.00163410040733</v>
      </c>
      <c r="AP352">
        <v>113.52941436153401</v>
      </c>
      <c r="AQ352">
        <v>189.15610440006526</v>
      </c>
      <c r="AR352">
        <v>28.561326713395072</v>
      </c>
      <c r="AS352">
        <v>249.76607659228452</v>
      </c>
      <c r="AT352">
        <v>12.653738868308698</v>
      </c>
      <c r="AU352">
        <v>20.351090483371095</v>
      </c>
      <c r="AV352"/>
      <c r="AW352"/>
      <c r="FY352" s="213">
        <v>347</v>
      </c>
      <c r="FZ352">
        <v>39.528725822712552</v>
      </c>
      <c r="GA352">
        <v>26.466525477141346</v>
      </c>
      <c r="GB352">
        <v>11.521049631415188</v>
      </c>
      <c r="GC352">
        <v>7.4779928682683998</v>
      </c>
      <c r="GD352">
        <v>6.1994298926470623</v>
      </c>
      <c r="GE352">
        <v>4.4217543580207028</v>
      </c>
      <c r="GF352">
        <v>9.4287265471164545</v>
      </c>
      <c r="GG352">
        <v>9.2042966154743233</v>
      </c>
      <c r="GH352">
        <v>8.156702446376821</v>
      </c>
      <c r="GI352">
        <v>15.636560901965236</v>
      </c>
      <c r="GJ352"/>
      <c r="GK352"/>
      <c r="GL352"/>
      <c r="GM352"/>
      <c r="GN352" s="208"/>
      <c r="GO352" s="208"/>
      <c r="GP352" s="208"/>
      <c r="GQ352" s="208"/>
      <c r="GR352" s="208"/>
      <c r="GS352" s="208"/>
      <c r="GT352" s="208"/>
      <c r="GU352" s="213">
        <v>347</v>
      </c>
    </row>
    <row r="353" spans="1:203" s="7" customFormat="1">
      <c r="A353" s="4"/>
      <c r="B353" s="4"/>
      <c r="C353" s="81"/>
      <c r="D353" s="81"/>
      <c r="E353" s="81"/>
      <c r="F353" s="81"/>
      <c r="G353" s="81"/>
      <c r="H353" s="81"/>
      <c r="I353" s="81"/>
      <c r="J353" s="81"/>
      <c r="K353" s="81"/>
      <c r="L353" s="81"/>
      <c r="M353" s="81"/>
      <c r="N353" s="81"/>
      <c r="O353" s="81"/>
      <c r="P353" s="81"/>
      <c r="Q353" s="81"/>
      <c r="R353" s="81"/>
      <c r="S353" s="81"/>
      <c r="T353" s="81"/>
      <c r="U353" s="81"/>
      <c r="V353" s="81"/>
      <c r="W353" s="81"/>
      <c r="X353" s="81"/>
      <c r="Y353" s="81"/>
      <c r="Z353" s="81"/>
      <c r="AA353" s="81"/>
      <c r="AB353" s="81"/>
      <c r="AC353" s="81"/>
      <c r="AD353" s="4"/>
      <c r="AE353" s="4"/>
      <c r="AF353" s="81"/>
      <c r="AG353" s="81"/>
      <c r="AH353" s="81"/>
      <c r="AI353" s="81"/>
      <c r="AJ353" s="81"/>
      <c r="AK353" s="81"/>
      <c r="AL353" s="81"/>
      <c r="AM353" s="43">
        <v>337</v>
      </c>
      <c r="AN353">
        <v>345.51841763536834</v>
      </c>
      <c r="AO353">
        <v>33.207367123609949</v>
      </c>
      <c r="AP353">
        <v>70.618899207927328</v>
      </c>
      <c r="AQ353">
        <v>231.8373593034654</v>
      </c>
      <c r="AR353">
        <v>34.133574847435</v>
      </c>
      <c r="AS353">
        <v>294.49070351128853</v>
      </c>
      <c r="AT353">
        <v>14.351615242543017</v>
      </c>
      <c r="AU353">
        <v>-27.170021678584064</v>
      </c>
      <c r="AV353"/>
      <c r="AW353"/>
      <c r="FY353" s="213">
        <v>348</v>
      </c>
      <c r="FZ353">
        <v>30.903499276178099</v>
      </c>
      <c r="GA353">
        <v>35.56165062425427</v>
      </c>
      <c r="GB353">
        <v>8.2351371800501401</v>
      </c>
      <c r="GC353">
        <v>6.9772766409491256</v>
      </c>
      <c r="GD353">
        <v>6.3502961008146865</v>
      </c>
      <c r="GE353">
        <v>5.8866225968887873</v>
      </c>
      <c r="GF353">
        <v>8.1991076794616777</v>
      </c>
      <c r="GG353">
        <v>8.3381937182032608</v>
      </c>
      <c r="GH353">
        <v>9.7507101822613489</v>
      </c>
      <c r="GI353">
        <v>13.487859422475255</v>
      </c>
      <c r="GJ353"/>
      <c r="GK353"/>
      <c r="GL353"/>
      <c r="GM353"/>
      <c r="GN353" s="208"/>
      <c r="GO353" s="208"/>
      <c r="GP353" s="208"/>
      <c r="GQ353" s="208"/>
      <c r="GR353" s="208"/>
      <c r="GS353" s="208"/>
      <c r="GT353" s="208"/>
      <c r="GU353" s="213">
        <v>348</v>
      </c>
    </row>
    <row r="354" spans="1:203" s="7" customFormat="1">
      <c r="A354" s="4"/>
      <c r="B354" s="4"/>
      <c r="C354" s="81"/>
      <c r="D354" s="81"/>
      <c r="E354" s="81"/>
      <c r="F354" s="81"/>
      <c r="G354" s="81"/>
      <c r="H354" s="81"/>
      <c r="I354" s="81"/>
      <c r="J354" s="81"/>
      <c r="K354" s="81"/>
      <c r="L354" s="81"/>
      <c r="M354" s="81"/>
      <c r="N354" s="81"/>
      <c r="O354" s="81"/>
      <c r="P354" s="81"/>
      <c r="Q354" s="81"/>
      <c r="R354" s="81"/>
      <c r="S354" s="81"/>
      <c r="T354" s="81"/>
      <c r="U354" s="81"/>
      <c r="V354" s="81"/>
      <c r="W354" s="81"/>
      <c r="X354" s="81"/>
      <c r="Y354" s="81"/>
      <c r="Z354" s="81"/>
      <c r="AA354" s="81"/>
      <c r="AB354" s="81"/>
      <c r="AC354" s="81"/>
      <c r="AD354" s="4"/>
      <c r="AE354" s="4"/>
      <c r="AF354" s="81"/>
      <c r="AG354" s="81"/>
      <c r="AH354" s="81"/>
      <c r="AI354" s="81"/>
      <c r="AJ354" s="81"/>
      <c r="AK354" s="81"/>
      <c r="AL354" s="81"/>
      <c r="AM354" s="43">
        <v>338</v>
      </c>
      <c r="AN354">
        <v>268.80259469794584</v>
      </c>
      <c r="AO354">
        <v>25.520888227560341</v>
      </c>
      <c r="AP354">
        <v>47.516694102154268</v>
      </c>
      <c r="AQ354">
        <v>194.93547224839622</v>
      </c>
      <c r="AR354">
        <v>27.585199614514025</v>
      </c>
      <c r="AS354">
        <v>220.92836275939158</v>
      </c>
      <c r="AT354">
        <v>13.168647313750762</v>
      </c>
      <c r="AU354">
        <v>27.201116751626301</v>
      </c>
      <c r="AV354"/>
      <c r="AW354"/>
      <c r="FY354" s="213">
        <v>349</v>
      </c>
      <c r="FZ354">
        <v>36.879694198758962</v>
      </c>
      <c r="GA354">
        <v>41.34509007625195</v>
      </c>
      <c r="GB354">
        <v>12.777462884445431</v>
      </c>
      <c r="GC354">
        <v>5.8490314630412836</v>
      </c>
      <c r="GD354">
        <v>4.4227242942223004</v>
      </c>
      <c r="GE354">
        <v>7.9955463718869169</v>
      </c>
      <c r="GF354">
        <v>27.033461455894628</v>
      </c>
      <c r="GG354">
        <v>18.411374480599388</v>
      </c>
      <c r="GH354">
        <v>13.746902734085083</v>
      </c>
      <c r="GI354">
        <v>18.757049326920747</v>
      </c>
      <c r="GJ354"/>
      <c r="GK354"/>
      <c r="GL354"/>
      <c r="GM354"/>
      <c r="GN354" s="208"/>
      <c r="GO354" s="208"/>
      <c r="GP354" s="208"/>
      <c r="GQ354" s="208"/>
      <c r="GR354" s="208"/>
      <c r="GS354" s="208"/>
      <c r="GT354" s="208"/>
      <c r="GU354" s="213">
        <v>349</v>
      </c>
    </row>
    <row r="355" spans="1:203" s="7" customFormat="1">
      <c r="A355" s="4"/>
      <c r="B355" s="4"/>
      <c r="C355" s="81"/>
      <c r="D355" s="81"/>
      <c r="E355" s="81"/>
      <c r="F355" s="81"/>
      <c r="G355" s="81"/>
      <c r="H355" s="81"/>
      <c r="I355" s="81"/>
      <c r="J355" s="81"/>
      <c r="K355" s="81"/>
      <c r="L355" s="81"/>
      <c r="M355" s="81"/>
      <c r="N355" s="81"/>
      <c r="O355" s="81"/>
      <c r="P355" s="81"/>
      <c r="Q355" s="81"/>
      <c r="R355" s="81"/>
      <c r="S355" s="81"/>
      <c r="T355" s="81"/>
      <c r="U355" s="81"/>
      <c r="V355" s="81"/>
      <c r="W355" s="81"/>
      <c r="X355" s="81"/>
      <c r="Y355" s="81"/>
      <c r="Z355" s="81"/>
      <c r="AA355" s="81"/>
      <c r="AB355" s="81"/>
      <c r="AC355" s="81"/>
      <c r="AD355" s="4"/>
      <c r="AE355" s="4"/>
      <c r="AF355" s="81"/>
      <c r="AG355" s="81"/>
      <c r="AH355" s="81"/>
      <c r="AI355" s="81"/>
      <c r="AJ355" s="81"/>
      <c r="AK355" s="81"/>
      <c r="AL355" s="81"/>
      <c r="AM355" s="43">
        <v>339</v>
      </c>
      <c r="AN355">
        <v>229.41145453890667</v>
      </c>
      <c r="AO355">
        <v>21.95068935146001</v>
      </c>
      <c r="AP355">
        <v>98.655217933785167</v>
      </c>
      <c r="AQ355">
        <v>158.38452246863466</v>
      </c>
      <c r="AR355">
        <v>24.307136016565586</v>
      </c>
      <c r="AS355">
        <v>198.81929712988023</v>
      </c>
      <c r="AT355">
        <v>11.438666706478658</v>
      </c>
      <c r="AU355">
        <v>31.507860954955007</v>
      </c>
      <c r="AV355"/>
      <c r="AW355"/>
      <c r="FY355" s="213">
        <v>350</v>
      </c>
      <c r="FZ355">
        <v>39.259920844655653</v>
      </c>
      <c r="GA355">
        <v>35.062925853199914</v>
      </c>
      <c r="GB355">
        <v>4.3426815241766672</v>
      </c>
      <c r="GC355">
        <v>7.4992436448516351</v>
      </c>
      <c r="GD355">
        <v>5.8542954938014926</v>
      </c>
      <c r="GE355">
        <v>3.3711451488177628</v>
      </c>
      <c r="GF355">
        <v>12.830817624497458</v>
      </c>
      <c r="GG355">
        <v>13.199850088326114</v>
      </c>
      <c r="GH355">
        <v>13.801925408551995</v>
      </c>
      <c r="GI355">
        <v>14.815239108403297</v>
      </c>
      <c r="GJ355"/>
      <c r="GK355"/>
      <c r="GL355"/>
      <c r="GM355"/>
      <c r="GN355" s="208"/>
      <c r="GO355" s="208"/>
      <c r="GP355" s="208"/>
      <c r="GQ355" s="208"/>
      <c r="GR355" s="208"/>
      <c r="GS355" s="208"/>
      <c r="GT355" s="208"/>
      <c r="GU355" s="213">
        <v>350</v>
      </c>
    </row>
    <row r="356" spans="1:203" s="7" customFormat="1">
      <c r="A356" s="4"/>
      <c r="B356" s="4"/>
      <c r="C356" s="81"/>
      <c r="D356" s="81"/>
      <c r="E356" s="81"/>
      <c r="F356" s="81"/>
      <c r="G356" s="81"/>
      <c r="H356" s="81"/>
      <c r="I356" s="81"/>
      <c r="J356" s="81"/>
      <c r="K356" s="81"/>
      <c r="L356" s="81"/>
      <c r="M356" s="81"/>
      <c r="N356" s="81"/>
      <c r="O356" s="81"/>
      <c r="P356" s="81"/>
      <c r="Q356" s="81"/>
      <c r="R356" s="81"/>
      <c r="S356" s="81"/>
      <c r="T356" s="81"/>
      <c r="U356" s="81"/>
      <c r="V356" s="81"/>
      <c r="W356" s="81"/>
      <c r="X356" s="81"/>
      <c r="Y356" s="81"/>
      <c r="Z356" s="81"/>
      <c r="AA356" s="81"/>
      <c r="AB356" s="81"/>
      <c r="AC356" s="81"/>
      <c r="AD356" s="4"/>
      <c r="AE356" s="4"/>
      <c r="AF356" s="81"/>
      <c r="AG356" s="81"/>
      <c r="AH356" s="81"/>
      <c r="AI356" s="81"/>
      <c r="AJ356" s="81"/>
      <c r="AK356" s="81"/>
      <c r="AL356" s="81"/>
      <c r="AM356" s="43">
        <v>340</v>
      </c>
      <c r="AN356">
        <v>240.71647205037243</v>
      </c>
      <c r="AO356">
        <v>25.491935429840243</v>
      </c>
      <c r="AP356">
        <v>98.11531389387784</v>
      </c>
      <c r="AQ356">
        <v>199.75031005172585</v>
      </c>
      <c r="AR356">
        <v>26.432146641610469</v>
      </c>
      <c r="AS356">
        <v>214.26789242644847</v>
      </c>
      <c r="AT356">
        <v>13.427173934398501</v>
      </c>
      <c r="AU356">
        <v>21.295328997780899</v>
      </c>
      <c r="AV356"/>
      <c r="AW356"/>
      <c r="FY356" s="213">
        <v>351</v>
      </c>
      <c r="FZ356">
        <v>63.243359349829561</v>
      </c>
      <c r="GA356">
        <v>71.939154793022354</v>
      </c>
      <c r="GB356">
        <v>16.450294302594134</v>
      </c>
      <c r="GC356">
        <v>7.1229513841303032</v>
      </c>
      <c r="GD356">
        <v>6.3637154306075807</v>
      </c>
      <c r="GE356">
        <v>5.671895432575111</v>
      </c>
      <c r="GF356">
        <v>13.057009011817723</v>
      </c>
      <c r="GG356">
        <v>12.689147415637059</v>
      </c>
      <c r="GH356">
        <v>10.699364620014624</v>
      </c>
      <c r="GI356">
        <v>21.711671124698345</v>
      </c>
      <c r="GJ356"/>
      <c r="GK356"/>
      <c r="GL356"/>
      <c r="GM356"/>
      <c r="GN356" s="208"/>
      <c r="GO356" s="208"/>
      <c r="GP356" s="208"/>
      <c r="GQ356" s="208"/>
      <c r="GR356" s="208"/>
      <c r="GS356" s="208"/>
      <c r="GT356" s="208"/>
      <c r="GU356" s="213">
        <v>351</v>
      </c>
    </row>
    <row r="357" spans="1:203" s="7" customFormat="1">
      <c r="A357" s="4"/>
      <c r="B357" s="4"/>
      <c r="C357" s="81"/>
      <c r="D357" s="81"/>
      <c r="E357" s="81"/>
      <c r="F357" s="81"/>
      <c r="G357" s="81"/>
      <c r="H357" s="81"/>
      <c r="I357" s="81"/>
      <c r="J357" s="81"/>
      <c r="K357" s="81"/>
      <c r="L357" s="81"/>
      <c r="M357" s="81"/>
      <c r="N357" s="81"/>
      <c r="O357" s="81"/>
      <c r="P357" s="81"/>
      <c r="Q357" s="81"/>
      <c r="R357" s="81"/>
      <c r="S357" s="81"/>
      <c r="T357" s="81"/>
      <c r="U357" s="81"/>
      <c r="V357" s="81"/>
      <c r="W357" s="81"/>
      <c r="X357" s="81"/>
      <c r="Y357" s="81"/>
      <c r="Z357" s="81"/>
      <c r="AA357" s="81"/>
      <c r="AB357" s="81"/>
      <c r="AC357" s="81"/>
      <c r="AD357" s="4"/>
      <c r="AE357" s="4"/>
      <c r="AF357" s="81"/>
      <c r="AG357" s="81"/>
      <c r="AH357" s="81"/>
      <c r="AI357" s="81"/>
      <c r="AJ357" s="81"/>
      <c r="AK357" s="81"/>
      <c r="AL357" s="81"/>
      <c r="AM357" s="43">
        <v>341</v>
      </c>
      <c r="AN357">
        <v>332.21279362065673</v>
      </c>
      <c r="AO357">
        <v>32.682694464560726</v>
      </c>
      <c r="AP357">
        <v>89.779202245843862</v>
      </c>
      <c r="AQ357">
        <v>254.29661405044197</v>
      </c>
      <c r="AR357">
        <v>34.91995328996471</v>
      </c>
      <c r="AS357">
        <v>289.02101149278377</v>
      </c>
      <c r="AT357">
        <v>17.220208566877663</v>
      </c>
      <c r="AU357">
        <v>38.292580524595266</v>
      </c>
      <c r="AV357"/>
      <c r="AW357"/>
      <c r="FY357" s="213">
        <v>352</v>
      </c>
      <c r="FZ357">
        <v>48.789039368297651</v>
      </c>
      <c r="GA357">
        <v>85.315133467845016</v>
      </c>
      <c r="GB357">
        <v>19.647034862931168</v>
      </c>
      <c r="GC357">
        <v>6.4482233455182225</v>
      </c>
      <c r="GD357">
        <v>5.1062626343003403</v>
      </c>
      <c r="GE357">
        <v>4.0727396174246904</v>
      </c>
      <c r="GF357">
        <v>17.041155736146965</v>
      </c>
      <c r="GG357">
        <v>14.817683000212641</v>
      </c>
      <c r="GH357">
        <v>20.311811853439462</v>
      </c>
      <c r="GI357">
        <v>22.360304205706971</v>
      </c>
      <c r="GJ357"/>
      <c r="GK357"/>
      <c r="GL357"/>
      <c r="GM357"/>
      <c r="GN357" s="208"/>
      <c r="GO357" s="208"/>
      <c r="GP357" s="208"/>
      <c r="GQ357" s="208"/>
      <c r="GR357" s="208"/>
      <c r="GS357" s="208"/>
      <c r="GT357" s="208"/>
      <c r="GU357" s="213">
        <v>352</v>
      </c>
    </row>
    <row r="358" spans="1:203" s="7" customFormat="1">
      <c r="A358" s="4"/>
      <c r="B358" s="4"/>
      <c r="C358" s="81"/>
      <c r="D358" s="81"/>
      <c r="E358" s="81"/>
      <c r="F358" s="81"/>
      <c r="G358" s="81"/>
      <c r="H358" s="81"/>
      <c r="I358" s="81"/>
      <c r="J358" s="81"/>
      <c r="K358" s="81"/>
      <c r="L358" s="81"/>
      <c r="M358" s="81"/>
      <c r="N358" s="81"/>
      <c r="O358" s="81"/>
      <c r="P358" s="81"/>
      <c r="Q358" s="81"/>
      <c r="R358" s="81"/>
      <c r="S358" s="81"/>
      <c r="T358" s="81"/>
      <c r="U358" s="81"/>
      <c r="V358" s="81"/>
      <c r="W358" s="81"/>
      <c r="X358" s="81"/>
      <c r="Y358" s="81"/>
      <c r="Z358" s="81"/>
      <c r="AA358" s="81"/>
      <c r="AB358" s="81"/>
      <c r="AC358" s="81"/>
      <c r="AD358" s="4"/>
      <c r="AE358" s="4"/>
      <c r="AF358" s="81"/>
      <c r="AG358" s="81"/>
      <c r="AH358" s="81"/>
      <c r="AI358" s="81"/>
      <c r="AJ358" s="81"/>
      <c r="AK358" s="81"/>
      <c r="AL358" s="81"/>
      <c r="AM358" s="43">
        <v>342</v>
      </c>
      <c r="AN358">
        <v>328.46922041169245</v>
      </c>
      <c r="AO358">
        <v>28.058596085132752</v>
      </c>
      <c r="AP358">
        <v>102.89402853474378</v>
      </c>
      <c r="AQ358">
        <v>206.49443108076474</v>
      </c>
      <c r="AR358">
        <v>28.157624462217068</v>
      </c>
      <c r="AS358">
        <v>247.25711871170091</v>
      </c>
      <c r="AT358">
        <v>12.544760656510759</v>
      </c>
      <c r="AU358">
        <v>-10.185933116494937</v>
      </c>
      <c r="AV358"/>
      <c r="AW358"/>
      <c r="FY358" s="213">
        <v>353</v>
      </c>
      <c r="FZ358">
        <v>69.980703353255308</v>
      </c>
      <c r="GA358">
        <v>66.850924006917595</v>
      </c>
      <c r="GB358">
        <v>10.608829976942248</v>
      </c>
      <c r="GC358">
        <v>4.6975364340492876</v>
      </c>
      <c r="GD358">
        <v>4.4061132980533211</v>
      </c>
      <c r="GE358">
        <v>6.1408872418565057</v>
      </c>
      <c r="GF358">
        <v>8.3656156824931927</v>
      </c>
      <c r="GG358">
        <v>6.5866131461257424</v>
      </c>
      <c r="GH358">
        <v>25.104406397081384</v>
      </c>
      <c r="GI358">
        <v>21.324995710118461</v>
      </c>
      <c r="GJ358"/>
      <c r="GK358"/>
      <c r="GL358"/>
      <c r="GM358"/>
      <c r="GN358" s="208"/>
      <c r="GO358" s="208"/>
      <c r="GP358" s="208"/>
      <c r="GQ358" s="208"/>
      <c r="GR358" s="208"/>
      <c r="GS358" s="208"/>
      <c r="GT358" s="208"/>
      <c r="GU358" s="213">
        <v>353</v>
      </c>
    </row>
    <row r="359" spans="1:203" s="7" customFormat="1">
      <c r="A359" s="4"/>
      <c r="B359" s="4"/>
      <c r="C359" s="81"/>
      <c r="D359" s="81"/>
      <c r="E359" s="81"/>
      <c r="F359" s="81"/>
      <c r="G359" s="81"/>
      <c r="H359" s="81"/>
      <c r="I359" s="81"/>
      <c r="J359" s="81"/>
      <c r="K359" s="81"/>
      <c r="L359" s="81"/>
      <c r="M359" s="81"/>
      <c r="N359" s="81"/>
      <c r="O359" s="81"/>
      <c r="P359" s="81"/>
      <c r="Q359" s="81"/>
      <c r="R359" s="81"/>
      <c r="S359" s="81"/>
      <c r="T359" s="81"/>
      <c r="U359" s="81"/>
      <c r="V359" s="81"/>
      <c r="W359" s="81"/>
      <c r="X359" s="81"/>
      <c r="Y359" s="81"/>
      <c r="Z359" s="81"/>
      <c r="AA359" s="81"/>
      <c r="AB359" s="81"/>
      <c r="AC359" s="81"/>
      <c r="AD359" s="4"/>
      <c r="AE359" s="4"/>
      <c r="AF359" s="81"/>
      <c r="AG359" s="81"/>
      <c r="AH359" s="81"/>
      <c r="AI359" s="81"/>
      <c r="AJ359" s="81"/>
      <c r="AK359" s="81"/>
      <c r="AL359" s="81"/>
      <c r="AM359" s="43">
        <v>343</v>
      </c>
      <c r="AN359">
        <v>258.2322162257484</v>
      </c>
      <c r="AO359">
        <v>21.51421405912971</v>
      </c>
      <c r="AP359">
        <v>59.086268819590956</v>
      </c>
      <c r="AQ359">
        <v>163.13898462677298</v>
      </c>
      <c r="AR359">
        <v>21.755154459874209</v>
      </c>
      <c r="AS359">
        <v>208.78835972155039</v>
      </c>
      <c r="AT359">
        <v>11.15745975283634</v>
      </c>
      <c r="AU359">
        <v>7.6495527218415909</v>
      </c>
      <c r="AV359"/>
      <c r="AW359"/>
      <c r="FY359" s="213">
        <v>354</v>
      </c>
      <c r="FZ359">
        <v>46.09016655661587</v>
      </c>
      <c r="GA359">
        <v>55.587242112501237</v>
      </c>
      <c r="GB359">
        <v>11.034951680167673</v>
      </c>
      <c r="GC359">
        <v>8.383782102637964</v>
      </c>
      <c r="GD359">
        <v>7.6124177862003535</v>
      </c>
      <c r="GE359">
        <v>5.9897372388416814</v>
      </c>
      <c r="GF359">
        <v>13.80328630907422</v>
      </c>
      <c r="GG359">
        <v>13.902649556715323</v>
      </c>
      <c r="GH359">
        <v>10.610160078226674</v>
      </c>
      <c r="GI359">
        <v>18.516326210240464</v>
      </c>
      <c r="GJ359"/>
      <c r="GK359"/>
      <c r="GL359"/>
      <c r="GM359"/>
      <c r="GN359" s="208"/>
      <c r="GO359" s="208"/>
      <c r="GP359" s="208"/>
      <c r="GQ359" s="208"/>
      <c r="GR359" s="208"/>
      <c r="GS359" s="208"/>
      <c r="GT359" s="208"/>
      <c r="GU359" s="213">
        <v>354</v>
      </c>
    </row>
    <row r="360" spans="1:203" s="7" customFormat="1">
      <c r="A360" s="4"/>
      <c r="B360" s="4"/>
      <c r="C360" s="81"/>
      <c r="D360" s="81"/>
      <c r="E360" s="81"/>
      <c r="F360" s="81"/>
      <c r="G360" s="81"/>
      <c r="H360" s="81"/>
      <c r="I360" s="81"/>
      <c r="J360" s="81"/>
      <c r="K360" s="81"/>
      <c r="L360" s="81"/>
      <c r="M360" s="81"/>
      <c r="N360" s="81"/>
      <c r="O360" s="81"/>
      <c r="P360" s="81"/>
      <c r="Q360" s="81"/>
      <c r="R360" s="81"/>
      <c r="S360" s="81"/>
      <c r="T360" s="81"/>
      <c r="U360" s="81"/>
      <c r="V360" s="81"/>
      <c r="W360" s="81"/>
      <c r="X360" s="81"/>
      <c r="Y360" s="81"/>
      <c r="Z360" s="81"/>
      <c r="AA360" s="81"/>
      <c r="AB360" s="81"/>
      <c r="AC360" s="81"/>
      <c r="AD360" s="4"/>
      <c r="AE360" s="4"/>
      <c r="AF360" s="81"/>
      <c r="AG360" s="81"/>
      <c r="AH360" s="81"/>
      <c r="AI360" s="81"/>
      <c r="AJ360" s="81"/>
      <c r="AK360" s="81"/>
      <c r="AL360" s="81"/>
      <c r="AM360" s="43">
        <v>344</v>
      </c>
      <c r="AN360">
        <v>265.42536027290436</v>
      </c>
      <c r="AO360">
        <v>22.071270996513551</v>
      </c>
      <c r="AP360">
        <v>78.869411716725267</v>
      </c>
      <c r="AQ360">
        <v>171.99014029174475</v>
      </c>
      <c r="AR360">
        <v>23.311689943354718</v>
      </c>
      <c r="AS360">
        <v>216.53898898859879</v>
      </c>
      <c r="AT360">
        <v>11.928896902067796</v>
      </c>
      <c r="AU360">
        <v>81.58100598407681</v>
      </c>
      <c r="AV360"/>
      <c r="AW360"/>
      <c r="FY360" s="213">
        <v>355</v>
      </c>
      <c r="FZ360">
        <v>39.920881457425814</v>
      </c>
      <c r="GA360">
        <v>67.963840056703802</v>
      </c>
      <c r="GB360">
        <v>19.813509510934196</v>
      </c>
      <c r="GC360">
        <v>6.155302907848049</v>
      </c>
      <c r="GD360">
        <v>6.4768499045519352</v>
      </c>
      <c r="GE360">
        <v>9.8137005184755246</v>
      </c>
      <c r="GF360">
        <v>16.835157420865897</v>
      </c>
      <c r="GG360">
        <v>12.655836400455117</v>
      </c>
      <c r="GH360">
        <v>17.978597903702056</v>
      </c>
      <c r="GI360">
        <v>21.34006125158129</v>
      </c>
      <c r="GJ360"/>
      <c r="GK360"/>
      <c r="GL360"/>
      <c r="GM360"/>
      <c r="GN360" s="208"/>
      <c r="GO360" s="208"/>
      <c r="GP360" s="208"/>
      <c r="GQ360" s="208"/>
      <c r="GR360" s="208"/>
      <c r="GS360" s="208"/>
      <c r="GT360" s="208"/>
      <c r="GU360" s="213">
        <v>355</v>
      </c>
    </row>
    <row r="361" spans="1:203" s="7" customFormat="1">
      <c r="A361" s="4"/>
      <c r="B361" s="4"/>
      <c r="C361" s="81"/>
      <c r="D361" s="81"/>
      <c r="E361" s="81"/>
      <c r="F361" s="81"/>
      <c r="G361" s="81"/>
      <c r="H361" s="81"/>
      <c r="I361" s="81"/>
      <c r="J361" s="81"/>
      <c r="K361" s="81"/>
      <c r="L361" s="81"/>
      <c r="M361" s="81"/>
      <c r="N361" s="81"/>
      <c r="O361" s="81"/>
      <c r="P361" s="81"/>
      <c r="Q361" s="81"/>
      <c r="R361" s="81"/>
      <c r="S361" s="81"/>
      <c r="T361" s="81"/>
      <c r="U361" s="81"/>
      <c r="V361" s="81"/>
      <c r="W361" s="81"/>
      <c r="X361" s="81"/>
      <c r="Y361" s="81"/>
      <c r="Z361" s="81"/>
      <c r="AA361" s="81"/>
      <c r="AB361" s="81"/>
      <c r="AC361" s="81"/>
      <c r="AD361" s="4"/>
      <c r="AE361" s="4"/>
      <c r="AF361" s="81"/>
      <c r="AG361" s="81"/>
      <c r="AH361" s="81"/>
      <c r="AI361" s="81"/>
      <c r="AJ361" s="81"/>
      <c r="AK361" s="81"/>
      <c r="AL361" s="81"/>
      <c r="AM361" s="43">
        <v>345</v>
      </c>
      <c r="AN361">
        <v>301.39431322292722</v>
      </c>
      <c r="AO361">
        <v>20.46358407033815</v>
      </c>
      <c r="AP361">
        <v>59.885282482039841</v>
      </c>
      <c r="AQ361">
        <v>141.09241312347277</v>
      </c>
      <c r="AR361">
        <v>21.335782406862243</v>
      </c>
      <c r="AS361">
        <v>223.17314935260217</v>
      </c>
      <c r="AT361">
        <v>10.961895561442191</v>
      </c>
      <c r="AU361">
        <v>41.072589974026393</v>
      </c>
      <c r="AV361"/>
      <c r="AW361"/>
      <c r="FY361" s="213">
        <v>356</v>
      </c>
      <c r="FZ361">
        <v>46.512446422926679</v>
      </c>
      <c r="GA361">
        <v>33.06558627471879</v>
      </c>
      <c r="GB361">
        <v>7.0673688909810224</v>
      </c>
      <c r="GC361">
        <v>4.0814834636212334</v>
      </c>
      <c r="GD361">
        <v>4.4564496671296139</v>
      </c>
      <c r="GE361">
        <v>4.7976599452051607</v>
      </c>
      <c r="GF361">
        <v>12.432187077348219</v>
      </c>
      <c r="GG361">
        <v>12.671489310639382</v>
      </c>
      <c r="GH361">
        <v>17.953285945877692</v>
      </c>
      <c r="GI361">
        <v>16.498069825945393</v>
      </c>
      <c r="GJ361"/>
      <c r="GK361"/>
      <c r="GL361"/>
      <c r="GM361"/>
      <c r="GN361" s="208"/>
      <c r="GO361" s="208"/>
      <c r="GP361" s="208"/>
      <c r="GQ361" s="208"/>
      <c r="GR361" s="208"/>
      <c r="GS361" s="208"/>
      <c r="GT361" s="208"/>
      <c r="GU361" s="213">
        <v>356</v>
      </c>
    </row>
    <row r="362" spans="1:203" s="7" customFormat="1">
      <c r="A362" s="4"/>
      <c r="B362" s="4"/>
      <c r="C362" s="81"/>
      <c r="D362" s="81"/>
      <c r="E362" s="81"/>
      <c r="F362" s="81"/>
      <c r="G362" s="81"/>
      <c r="H362" s="81"/>
      <c r="I362" s="81"/>
      <c r="J362" s="81"/>
      <c r="K362" s="81"/>
      <c r="L362" s="81"/>
      <c r="M362" s="81"/>
      <c r="N362" s="81"/>
      <c r="O362" s="81"/>
      <c r="P362" s="81"/>
      <c r="Q362" s="81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81"/>
      <c r="AG362" s="81"/>
      <c r="AH362" s="81"/>
      <c r="AI362" s="81"/>
      <c r="AJ362" s="81"/>
      <c r="AK362" s="81"/>
      <c r="AL362" s="81"/>
      <c r="AM362" s="43">
        <v>346</v>
      </c>
      <c r="AN362">
        <v>340.16053670314335</v>
      </c>
      <c r="AO362">
        <v>32.156572038141277</v>
      </c>
      <c r="AP362">
        <v>66.53545675700947</v>
      </c>
      <c r="AQ362">
        <v>254.34578959378339</v>
      </c>
      <c r="AR362">
        <v>31.778586965582651</v>
      </c>
      <c r="AS362">
        <v>307.14320997891792</v>
      </c>
      <c r="AT362">
        <v>16.492039340738618</v>
      </c>
      <c r="AU362">
        <v>-6.4082955016656733</v>
      </c>
      <c r="AV362"/>
      <c r="AW362"/>
      <c r="FY362" s="213">
        <v>357</v>
      </c>
      <c r="FZ362">
        <v>35.724324315358984</v>
      </c>
      <c r="GA362">
        <v>40.712617090723249</v>
      </c>
      <c r="GB362">
        <v>7.7995374828185877</v>
      </c>
      <c r="GC362">
        <v>8.0022610744113027</v>
      </c>
      <c r="GD362">
        <v>7.170524210566243</v>
      </c>
      <c r="GE362">
        <v>4.9037263055115927</v>
      </c>
      <c r="GF362">
        <v>24.785926762936441</v>
      </c>
      <c r="GG362">
        <v>24.846421588324713</v>
      </c>
      <c r="GH362">
        <v>12.908125939865291</v>
      </c>
      <c r="GI362">
        <v>18.100310840112719</v>
      </c>
      <c r="GJ362"/>
      <c r="GK362"/>
      <c r="GL362"/>
      <c r="GM362"/>
      <c r="GN362" s="208"/>
      <c r="GO362" s="208"/>
      <c r="GP362" s="208"/>
      <c r="GQ362" s="208"/>
      <c r="GR362" s="208"/>
      <c r="GS362" s="208"/>
      <c r="GT362" s="208"/>
      <c r="GU362" s="213">
        <v>357</v>
      </c>
    </row>
    <row r="363" spans="1:203" s="7" customFormat="1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81"/>
      <c r="AG363" s="81"/>
      <c r="AH363" s="81"/>
      <c r="AI363" s="81"/>
      <c r="AJ363" s="81"/>
      <c r="AK363" s="81"/>
      <c r="AL363" s="81"/>
      <c r="AM363" s="43">
        <v>347</v>
      </c>
      <c r="AN363">
        <v>274.62919136034191</v>
      </c>
      <c r="AO363">
        <v>21.435516087198401</v>
      </c>
      <c r="AP363">
        <v>57.218095223034553</v>
      </c>
      <c r="AQ363">
        <v>138.04176456113808</v>
      </c>
      <c r="AR363">
        <v>23.652795877913011</v>
      </c>
      <c r="AS363">
        <v>200.6463684614229</v>
      </c>
      <c r="AT363">
        <v>10.343075973629</v>
      </c>
      <c r="AU363">
        <v>55.305384460975233</v>
      </c>
      <c r="AV363"/>
      <c r="AW363"/>
      <c r="FY363" s="213">
        <v>358</v>
      </c>
      <c r="FZ363">
        <v>50.13048539361882</v>
      </c>
      <c r="GA363">
        <v>39.961202325629138</v>
      </c>
      <c r="GB363">
        <v>8.4487012373647108</v>
      </c>
      <c r="GC363">
        <v>7.0456105806879448</v>
      </c>
      <c r="GD363">
        <v>6.0813286985907045</v>
      </c>
      <c r="GE363">
        <v>8.4576583094800544</v>
      </c>
      <c r="GF363">
        <v>15.08733102446479</v>
      </c>
      <c r="GG363">
        <v>10.097364578606049</v>
      </c>
      <c r="GH363">
        <v>12.636032552824426</v>
      </c>
      <c r="GI363">
        <v>17.923001633049843</v>
      </c>
      <c r="GJ363"/>
      <c r="GK363"/>
      <c r="GL363"/>
      <c r="GM363"/>
      <c r="GN363" s="208"/>
      <c r="GO363" s="208"/>
      <c r="GP363" s="208"/>
      <c r="GQ363" s="208"/>
      <c r="GR363" s="208"/>
      <c r="GS363" s="208"/>
      <c r="GT363" s="208"/>
      <c r="GU363" s="213">
        <v>358</v>
      </c>
    </row>
    <row r="364" spans="1:203" s="7" customFormat="1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81"/>
      <c r="AG364" s="81"/>
      <c r="AH364" s="81"/>
      <c r="AI364" s="81"/>
      <c r="AJ364" s="81"/>
      <c r="AK364" s="81"/>
      <c r="AL364" s="81"/>
      <c r="AM364" s="43">
        <v>348</v>
      </c>
      <c r="AN364">
        <v>290.87990816704814</v>
      </c>
      <c r="AO364">
        <v>19.228303661680727</v>
      </c>
      <c r="AP364">
        <v>67.34899753261378</v>
      </c>
      <c r="AQ364">
        <v>133.69035342153666</v>
      </c>
      <c r="AR364">
        <v>19.104866632318039</v>
      </c>
      <c r="AS364">
        <v>203.20204332744285</v>
      </c>
      <c r="AT364">
        <v>9.8077970941110415</v>
      </c>
      <c r="AU364">
        <v>15.120539766539967</v>
      </c>
      <c r="AV364"/>
      <c r="AW364"/>
      <c r="FY364" s="213">
        <v>359</v>
      </c>
      <c r="FZ364">
        <v>33.947960734366674</v>
      </c>
      <c r="GA364">
        <v>41.148036374903768</v>
      </c>
      <c r="GB364">
        <v>8.1655996134570348</v>
      </c>
      <c r="GC364">
        <v>4.2873122700702133</v>
      </c>
      <c r="GD364">
        <v>3.8080971306957427</v>
      </c>
      <c r="GE364">
        <v>4.5075620186713481</v>
      </c>
      <c r="GF364">
        <v>7.0865358615075067</v>
      </c>
      <c r="GG364">
        <v>7.6160091986483298</v>
      </c>
      <c r="GH364">
        <v>16.936941072688608</v>
      </c>
      <c r="GI364">
        <v>13.449142113547779</v>
      </c>
      <c r="GJ364"/>
      <c r="GK364"/>
      <c r="GL364"/>
      <c r="GM364"/>
      <c r="GN364" s="208"/>
      <c r="GO364" s="208"/>
      <c r="GP364" s="208"/>
      <c r="GQ364" s="208"/>
      <c r="GR364" s="208"/>
      <c r="GS364" s="208"/>
      <c r="GT364" s="208"/>
      <c r="GU364" s="213">
        <v>359</v>
      </c>
    </row>
    <row r="365" spans="1:203" s="7" customFormat="1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81"/>
      <c r="AG365" s="81"/>
      <c r="AH365" s="81"/>
      <c r="AI365" s="81"/>
      <c r="AJ365" s="81"/>
      <c r="AK365" s="81"/>
      <c r="AL365" s="81"/>
      <c r="AM365" s="43">
        <v>349</v>
      </c>
      <c r="AN365">
        <v>380.70691432508687</v>
      </c>
      <c r="AO365">
        <v>26.772305493958555</v>
      </c>
      <c r="AP365">
        <v>107.71647095785332</v>
      </c>
      <c r="AQ365">
        <v>187.21833728610667</v>
      </c>
      <c r="AR365">
        <v>27.686165916874774</v>
      </c>
      <c r="AS365">
        <v>264.63315158621822</v>
      </c>
      <c r="AT365">
        <v>12.283925744198541</v>
      </c>
      <c r="AU365">
        <v>21.313649683864288</v>
      </c>
      <c r="AV365"/>
      <c r="AW365"/>
      <c r="FY365" s="213">
        <v>360</v>
      </c>
      <c r="FZ365">
        <v>65.904263617539797</v>
      </c>
      <c r="GA365">
        <v>43.293580999552596</v>
      </c>
      <c r="GB365">
        <v>6.703451888419611</v>
      </c>
      <c r="GC365">
        <v>4.3426430442412176</v>
      </c>
      <c r="GD365">
        <v>4.9561638525766183</v>
      </c>
      <c r="GE365">
        <v>6.8222875005413846</v>
      </c>
      <c r="GF365">
        <v>17.532161399873555</v>
      </c>
      <c r="GG365">
        <v>14.714538020988917</v>
      </c>
      <c r="GH365">
        <v>17.115364647776154</v>
      </c>
      <c r="GI365">
        <v>20.262610721879351</v>
      </c>
      <c r="GJ365"/>
      <c r="GK365"/>
      <c r="GL365"/>
      <c r="GM365"/>
      <c r="GN365" s="208"/>
      <c r="GO365" s="208"/>
      <c r="GP365" s="208"/>
      <c r="GQ365" s="208"/>
      <c r="GR365" s="208"/>
      <c r="GS365" s="208"/>
      <c r="GT365" s="208"/>
      <c r="GU365" s="213">
        <v>360</v>
      </c>
    </row>
    <row r="366" spans="1:203" s="7" customFormat="1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81"/>
      <c r="AG366" s="81"/>
      <c r="AH366" s="81"/>
      <c r="AI366" s="81"/>
      <c r="AJ366" s="81"/>
      <c r="AK366" s="81"/>
      <c r="AL366" s="81"/>
      <c r="AM366" s="43">
        <v>350</v>
      </c>
      <c r="AN366">
        <v>268.056031409208</v>
      </c>
      <c r="AO366">
        <v>20.706881013445695</v>
      </c>
      <c r="AP366">
        <v>90.492361787412719</v>
      </c>
      <c r="AQ366">
        <v>150.03804473928196</v>
      </c>
      <c r="AR366">
        <v>21.136353906411379</v>
      </c>
      <c r="AS366">
        <v>208.46489182377064</v>
      </c>
      <c r="AT366">
        <v>10.65213043612134</v>
      </c>
      <c r="AU366">
        <v>28.78607044078057</v>
      </c>
      <c r="AV366"/>
      <c r="AW366"/>
      <c r="FY366" s="213">
        <v>361</v>
      </c>
      <c r="FZ366">
        <v>51.956969437664689</v>
      </c>
      <c r="GA366">
        <v>49.362970479772912</v>
      </c>
      <c r="GB366">
        <v>12.193804488756562</v>
      </c>
      <c r="GC366">
        <v>8.7484738457172266</v>
      </c>
      <c r="GD366">
        <v>7.6664461468328842</v>
      </c>
      <c r="GE366">
        <v>5.2193977739322612</v>
      </c>
      <c r="GF366">
        <v>8.4406275363893624</v>
      </c>
      <c r="GG366">
        <v>8.3691870203440129</v>
      </c>
      <c r="GH366">
        <v>12.554522208525272</v>
      </c>
      <c r="GI366">
        <v>18.981608017369282</v>
      </c>
      <c r="GJ366"/>
      <c r="GK366"/>
      <c r="GL366"/>
      <c r="GM366"/>
      <c r="GN366" s="208"/>
      <c r="GO366" s="208"/>
      <c r="GP366" s="208"/>
      <c r="GQ366" s="208"/>
      <c r="GR366" s="208"/>
      <c r="GS366" s="208"/>
      <c r="GT366" s="208"/>
      <c r="GU366" s="213">
        <v>361</v>
      </c>
    </row>
    <row r="367" spans="1:203" s="7" customFormat="1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81"/>
      <c r="AG367" s="81"/>
      <c r="AH367" s="81"/>
      <c r="AI367" s="81"/>
      <c r="AJ367" s="81"/>
      <c r="AK367" s="81"/>
      <c r="AL367" s="81"/>
      <c r="AM367" s="43">
        <v>351</v>
      </c>
      <c r="AN367">
        <v>316.05464952466787</v>
      </c>
      <c r="AO367">
        <v>32.336718819975985</v>
      </c>
      <c r="AP367">
        <v>66.293434631078981</v>
      </c>
      <c r="AQ367">
        <v>228.94856286492674</v>
      </c>
      <c r="AR367">
        <v>33.41091708534217</v>
      </c>
      <c r="AS367">
        <v>252.38416576206046</v>
      </c>
      <c r="AT367">
        <v>13.56109856766799</v>
      </c>
      <c r="AU367">
        <v>8.8051133094320981</v>
      </c>
      <c r="AV367"/>
      <c r="AW367"/>
      <c r="FY367" s="213">
        <v>362</v>
      </c>
      <c r="FZ367">
        <v>40.707547281894733</v>
      </c>
      <c r="GA367">
        <v>70.692142465027175</v>
      </c>
      <c r="GB367">
        <v>17.259207523158342</v>
      </c>
      <c r="GC367">
        <v>7.034252635893445</v>
      </c>
      <c r="GD367">
        <v>7.7997236425198144</v>
      </c>
      <c r="GE367">
        <v>8.0674686044100152</v>
      </c>
      <c r="GF367">
        <v>16.203893833017883</v>
      </c>
      <c r="GG367">
        <v>16.115654838539726</v>
      </c>
      <c r="GH367">
        <v>14.581303953952276</v>
      </c>
      <c r="GI367">
        <v>20.83195886492911</v>
      </c>
      <c r="GJ367"/>
      <c r="GK367"/>
      <c r="GL367"/>
      <c r="GM367"/>
      <c r="GN367" s="208"/>
      <c r="GO367" s="208"/>
      <c r="GP367" s="208"/>
      <c r="GQ367" s="208"/>
      <c r="GR367" s="208"/>
      <c r="GS367" s="208"/>
      <c r="GT367" s="208"/>
      <c r="GU367" s="213">
        <v>362</v>
      </c>
    </row>
    <row r="368" spans="1:203" s="7" customFormat="1">
      <c r="A368" s="4"/>
      <c r="B368" s="4"/>
      <c r="C368" s="4"/>
      <c r="D368" s="34"/>
      <c r="E368" s="4"/>
      <c r="F368" s="4"/>
      <c r="G368" s="4"/>
      <c r="H368" s="4" t="s">
        <v>129</v>
      </c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81"/>
      <c r="AG368" s="81"/>
      <c r="AH368" s="81"/>
      <c r="AI368" s="81"/>
      <c r="AJ368" s="81"/>
      <c r="AK368" s="81"/>
      <c r="AL368" s="81"/>
      <c r="AM368" s="43">
        <v>352</v>
      </c>
      <c r="AN368">
        <v>295.86213182998438</v>
      </c>
      <c r="AO368">
        <v>33.706369947230144</v>
      </c>
      <c r="AP368">
        <v>138.99471092028332</v>
      </c>
      <c r="AQ368">
        <v>243.90938809182313</v>
      </c>
      <c r="AR368">
        <v>33.574220284835135</v>
      </c>
      <c r="AS368">
        <v>270.97000247813946</v>
      </c>
      <c r="AT368">
        <v>13.710068339422664</v>
      </c>
      <c r="AU368">
        <v>-12.505516960131768</v>
      </c>
      <c r="AV368"/>
      <c r="AW368"/>
      <c r="FY368" s="213">
        <v>363</v>
      </c>
      <c r="FZ368">
        <v>83.654404215861973</v>
      </c>
      <c r="GA368">
        <v>87.387011661711242</v>
      </c>
      <c r="GB368">
        <v>15.613211884143865</v>
      </c>
      <c r="GC368">
        <v>6.6487844845624515</v>
      </c>
      <c r="GD368">
        <v>4.9628686905846902</v>
      </c>
      <c r="GE368">
        <v>2.4138878387411586</v>
      </c>
      <c r="GF368">
        <v>8.8272356050514649</v>
      </c>
      <c r="GG368">
        <v>10.281268568721066</v>
      </c>
      <c r="GH368">
        <v>14.125373048631907</v>
      </c>
      <c r="GI368">
        <v>23.55598041544064</v>
      </c>
      <c r="GJ368"/>
      <c r="GK368"/>
      <c r="GL368"/>
      <c r="GM368"/>
      <c r="GN368" s="208"/>
      <c r="GO368" s="208"/>
      <c r="GP368" s="208"/>
      <c r="GQ368" s="208"/>
      <c r="GR368" s="208"/>
      <c r="GS368" s="208"/>
      <c r="GT368" s="208"/>
      <c r="GU368" s="213">
        <v>363</v>
      </c>
    </row>
    <row r="369" spans="1:203" s="7" customFormat="1">
      <c r="A369" s="36"/>
      <c r="B369" s="66"/>
      <c r="C369" s="66"/>
      <c r="D369" s="91"/>
      <c r="E369" s="66"/>
      <c r="F369" s="66"/>
      <c r="G369" s="66"/>
      <c r="H369" s="66"/>
      <c r="I369" s="66"/>
      <c r="J369" s="66"/>
      <c r="K369" s="66"/>
      <c r="L369" s="66"/>
      <c r="M369" s="66"/>
      <c r="N369" s="66"/>
      <c r="O369" s="66"/>
      <c r="P369" s="66"/>
      <c r="Q369" s="66"/>
      <c r="R369" s="92"/>
      <c r="S369" s="92"/>
      <c r="T369" s="57"/>
      <c r="U369" s="57"/>
      <c r="V369" s="57"/>
      <c r="W369" s="57"/>
      <c r="X369" s="57"/>
      <c r="Y369" s="57"/>
      <c r="Z369" s="57"/>
      <c r="AA369" s="57"/>
      <c r="AB369" s="57"/>
      <c r="AC369" s="57"/>
      <c r="AD369" s="57"/>
      <c r="AE369" s="57"/>
      <c r="AF369" s="93"/>
      <c r="AG369" s="93"/>
      <c r="AH369" s="93"/>
      <c r="AI369" s="93"/>
      <c r="AJ369" s="93"/>
      <c r="AK369" s="93"/>
      <c r="AL369" s="93"/>
      <c r="AM369" s="43">
        <v>353</v>
      </c>
      <c r="AN369">
        <v>254.86281829991822</v>
      </c>
      <c r="AO369">
        <v>29.264407710594487</v>
      </c>
      <c r="AP369">
        <v>82.201806573938157</v>
      </c>
      <c r="AQ369">
        <v>224.06662524689307</v>
      </c>
      <c r="AR369">
        <v>31.963380276378103</v>
      </c>
      <c r="AS369">
        <v>247.17079508226379</v>
      </c>
      <c r="AT369">
        <v>14.048705147001305</v>
      </c>
      <c r="AU369">
        <v>-8.2220558858271744</v>
      </c>
      <c r="AV369"/>
      <c r="AW369"/>
      <c r="FY369" s="213">
        <v>364</v>
      </c>
      <c r="FZ369">
        <v>70.201674570399419</v>
      </c>
      <c r="GA369">
        <v>82.826185858135432</v>
      </c>
      <c r="GB369">
        <v>13.601068421852514</v>
      </c>
      <c r="GC369">
        <v>8.4110795435091035</v>
      </c>
      <c r="GD369">
        <v>5.9144461676483928</v>
      </c>
      <c r="GE369">
        <v>3.511527397484568</v>
      </c>
      <c r="GF369">
        <v>20.956757587274552</v>
      </c>
      <c r="GG369">
        <v>18.387052669713096</v>
      </c>
      <c r="GH369">
        <v>13.446567003042068</v>
      </c>
      <c r="GI369">
        <v>23.51646089986783</v>
      </c>
      <c r="GJ369"/>
      <c r="GK369"/>
      <c r="GL369"/>
      <c r="GM369"/>
      <c r="GN369" s="208"/>
      <c r="GO369" s="208"/>
      <c r="GP369" s="208"/>
      <c r="GQ369" s="208"/>
      <c r="GR369" s="208"/>
      <c r="GS369" s="208"/>
      <c r="GT369" s="208"/>
      <c r="GU369" s="213">
        <v>364</v>
      </c>
    </row>
    <row r="370" spans="1:203" s="7" customFormat="1">
      <c r="A370" s="9" t="s">
        <v>63</v>
      </c>
      <c r="B370" s="10" t="s">
        <v>64</v>
      </c>
      <c r="C370" s="10"/>
      <c r="D370" s="10"/>
      <c r="E370" s="10"/>
      <c r="F370" s="45"/>
      <c r="G370" s="45"/>
      <c r="H370" s="45"/>
      <c r="I370" s="45"/>
      <c r="J370" s="45"/>
      <c r="K370" s="45"/>
      <c r="L370" s="45"/>
      <c r="M370" s="46"/>
      <c r="N370" s="46"/>
      <c r="O370" s="47"/>
      <c r="P370" s="10"/>
      <c r="Q370" s="11"/>
      <c r="R370" s="10"/>
      <c r="S370" s="11"/>
      <c r="T370" s="11"/>
      <c r="U370" s="11"/>
      <c r="V370" s="10"/>
      <c r="W370" s="10"/>
      <c r="X370" s="10"/>
      <c r="Y370" s="10"/>
      <c r="Z370" s="10"/>
      <c r="AA370" s="10"/>
      <c r="AB370" s="10"/>
      <c r="AC370" s="10"/>
      <c r="AD370" s="10"/>
      <c r="AE370" s="10"/>
      <c r="AF370" s="94"/>
      <c r="AG370" s="94"/>
      <c r="AH370" s="94"/>
      <c r="AI370" s="94"/>
      <c r="AJ370" s="94"/>
      <c r="AK370" s="94"/>
      <c r="AL370" s="78"/>
      <c r="AM370" s="43">
        <v>354</v>
      </c>
      <c r="AN370">
        <v>348.59805237411996</v>
      </c>
      <c r="AO370">
        <v>27.201213395126445</v>
      </c>
      <c r="AP370">
        <v>82.544749737475854</v>
      </c>
      <c r="AQ370">
        <v>191.53071963122144</v>
      </c>
      <c r="AR370">
        <v>26.879841126460796</v>
      </c>
      <c r="AS370">
        <v>269.4692463350371</v>
      </c>
      <c r="AT370">
        <v>12.999246941412729</v>
      </c>
      <c r="AU370">
        <v>16.622155080964419</v>
      </c>
      <c r="AV370"/>
      <c r="AW370"/>
      <c r="FY370" s="213">
        <v>365</v>
      </c>
      <c r="FZ370">
        <v>27.86305765814733</v>
      </c>
      <c r="GA370">
        <v>44.664243832202537</v>
      </c>
      <c r="GB370">
        <v>15.77635754050818</v>
      </c>
      <c r="GC370">
        <v>4.7564911633216242</v>
      </c>
      <c r="GD370">
        <v>4.030727688664216</v>
      </c>
      <c r="GE370">
        <v>5.1017738993929971</v>
      </c>
      <c r="GF370">
        <v>18.147051401234382</v>
      </c>
      <c r="GG370">
        <v>15.311449072364969</v>
      </c>
      <c r="GH370">
        <v>9.2665804059902097</v>
      </c>
      <c r="GI370">
        <v>15.767957965021122</v>
      </c>
      <c r="GJ370"/>
      <c r="GK370"/>
      <c r="GL370"/>
      <c r="GM370"/>
      <c r="GN370" s="208"/>
      <c r="GO370" s="208"/>
      <c r="GP370" s="208"/>
      <c r="GQ370" s="208"/>
      <c r="GR370" s="208"/>
      <c r="GS370" s="208"/>
      <c r="GT370" s="208"/>
      <c r="GU370" s="213">
        <v>365</v>
      </c>
    </row>
    <row r="371" spans="1:203" s="7" customFormat="1">
      <c r="A371" s="9" t="s">
        <v>65</v>
      </c>
      <c r="B371" s="11" t="s">
        <v>66</v>
      </c>
      <c r="C371" s="10"/>
      <c r="D371" s="10"/>
      <c r="E371" s="10"/>
      <c r="F371" s="10"/>
      <c r="G371" s="10">
        <v>0.5</v>
      </c>
      <c r="H371" s="45">
        <v>1</v>
      </c>
      <c r="I371" s="45">
        <v>2</v>
      </c>
      <c r="J371" s="45">
        <v>3</v>
      </c>
      <c r="K371" s="45">
        <v>4</v>
      </c>
      <c r="L371" s="45">
        <v>5</v>
      </c>
      <c r="M371" s="45">
        <v>6</v>
      </c>
      <c r="N371" s="45">
        <v>7</v>
      </c>
      <c r="O371" s="46">
        <v>8</v>
      </c>
      <c r="P371" s="46">
        <v>9</v>
      </c>
      <c r="Q371" s="47">
        <v>10</v>
      </c>
      <c r="R371" s="46">
        <v>11</v>
      </c>
      <c r="S371" s="47">
        <v>12</v>
      </c>
      <c r="T371" s="46">
        <v>13</v>
      </c>
      <c r="U371" s="47">
        <v>14</v>
      </c>
      <c r="V371" s="46">
        <v>15</v>
      </c>
      <c r="W371" s="47">
        <v>16</v>
      </c>
      <c r="X371" s="46">
        <v>17</v>
      </c>
      <c r="Y371" s="47">
        <v>18</v>
      </c>
      <c r="Z371" s="46">
        <v>19</v>
      </c>
      <c r="AA371" s="47">
        <v>20</v>
      </c>
      <c r="AB371" s="46">
        <v>21</v>
      </c>
      <c r="AC371" s="47">
        <v>22</v>
      </c>
      <c r="AD371" s="46">
        <v>23</v>
      </c>
      <c r="AE371" s="47">
        <v>24</v>
      </c>
      <c r="AF371" s="46">
        <v>25</v>
      </c>
      <c r="AG371" s="47">
        <v>26</v>
      </c>
      <c r="AH371" s="46">
        <v>27</v>
      </c>
      <c r="AI371" s="47">
        <v>28</v>
      </c>
      <c r="AJ371" s="46">
        <v>29</v>
      </c>
      <c r="AK371" s="47">
        <v>30</v>
      </c>
      <c r="AL371" s="78"/>
      <c r="AM371" s="43">
        <v>355</v>
      </c>
      <c r="AN371">
        <v>369.71504932390826</v>
      </c>
      <c r="AO371">
        <v>31.805001390811288</v>
      </c>
      <c r="AP371">
        <v>107.62782422816191</v>
      </c>
      <c r="AQ371">
        <v>218.95373733254365</v>
      </c>
      <c r="AR371">
        <v>32.013073041927406</v>
      </c>
      <c r="AS371">
        <v>282.96683688802494</v>
      </c>
      <c r="AT371">
        <v>12.995962958786707</v>
      </c>
      <c r="AU371">
        <v>-35.666259883834655</v>
      </c>
      <c r="AV371"/>
      <c r="AW371"/>
      <c r="FY371" s="213">
        <v>366</v>
      </c>
      <c r="FZ371">
        <v>39.402367689192289</v>
      </c>
      <c r="GA371">
        <v>39.719412285303854</v>
      </c>
      <c r="GB371">
        <v>8.6180491825398899</v>
      </c>
      <c r="GC371">
        <v>4.7452043731372457</v>
      </c>
      <c r="GD371">
        <v>4.0856702690987445</v>
      </c>
      <c r="GE371">
        <v>4.7406720022833273</v>
      </c>
      <c r="GF371">
        <v>15.827856190478448</v>
      </c>
      <c r="GG371">
        <v>15.592646080122014</v>
      </c>
      <c r="GH371">
        <v>10.286252266379488</v>
      </c>
      <c r="GI371">
        <v>15.037829008987986</v>
      </c>
      <c r="GJ371"/>
      <c r="GK371"/>
      <c r="GL371"/>
      <c r="GM371"/>
      <c r="GN371" s="208"/>
      <c r="GO371" s="208"/>
      <c r="GP371" s="208"/>
      <c r="GQ371" s="208"/>
      <c r="GR371" s="208"/>
      <c r="GS371" s="208"/>
      <c r="GT371" s="208"/>
      <c r="GU371" s="213">
        <v>366</v>
      </c>
    </row>
    <row r="372" spans="1:203" s="7" customFormat="1">
      <c r="A372" s="95"/>
      <c r="B372" s="13"/>
      <c r="C372" s="10" t="s">
        <v>35</v>
      </c>
      <c r="D372" s="10" t="s">
        <v>67</v>
      </c>
      <c r="E372" s="10" t="s">
        <v>68</v>
      </c>
      <c r="F372" s="10" t="s">
        <v>69</v>
      </c>
      <c r="G372" s="59">
        <f>+G36</f>
        <v>1.8156463984709309E-3</v>
      </c>
      <c r="H372" s="59">
        <f t="shared" ref="H372:AK372" si="359">+H36</f>
        <v>1.15313E-2</v>
      </c>
      <c r="I372" s="59">
        <f t="shared" si="359"/>
        <v>7.3236110182017297E-2</v>
      </c>
      <c r="J372" s="59">
        <f t="shared" si="359"/>
        <v>0.21595370395129135</v>
      </c>
      <c r="K372" s="59">
        <f t="shared" si="359"/>
        <v>0.46512776829954805</v>
      </c>
      <c r="L372" s="59">
        <f t="shared" si="359"/>
        <v>0.84339548649291773</v>
      </c>
      <c r="M372" s="59">
        <f t="shared" si="359"/>
        <v>1.3715374031368122</v>
      </c>
      <c r="N372" s="59">
        <f t="shared" si="359"/>
        <v>2.0689726212277471</v>
      </c>
      <c r="O372" s="59">
        <f t="shared" si="359"/>
        <v>2.9540596886648949</v>
      </c>
      <c r="P372" s="59">
        <f t="shared" si="359"/>
        <v>4.0442970220427874</v>
      </c>
      <c r="Q372" s="59">
        <f t="shared" si="359"/>
        <v>5.3564649931760897</v>
      </c>
      <c r="R372" s="59">
        <f t="shared" si="359"/>
        <v>6.9067313280301672</v>
      </c>
      <c r="S372" s="59">
        <f t="shared" si="359"/>
        <v>8.7107320401763371</v>
      </c>
      <c r="T372" s="59">
        <f t="shared" si="359"/>
        <v>10.783635296383494</v>
      </c>
      <c r="U372" s="59">
        <f t="shared" si="359"/>
        <v>13.140192940241995</v>
      </c>
      <c r="V372" s="59">
        <f t="shared" si="359"/>
        <v>15.794782826216199</v>
      </c>
      <c r="W372" s="59">
        <f t="shared" si="359"/>
        <v>18.761444142752168</v>
      </c>
      <c r="X372" s="59">
        <f t="shared" si="359"/>
        <v>22.053907275344272</v>
      </c>
      <c r="Y372" s="59">
        <f t="shared" si="359"/>
        <v>25.685619341716023</v>
      </c>
      <c r="Z372" s="59">
        <f t="shared" si="359"/>
        <v>29.669766243653644</v>
      </c>
      <c r="AA372" s="59">
        <f t="shared" si="359"/>
        <v>34.019291877443351</v>
      </c>
      <c r="AB372" s="59">
        <f t="shared" si="359"/>
        <v>38.746914998997923</v>
      </c>
      <c r="AC372" s="59">
        <f t="shared" si="359"/>
        <v>43.865144132683035</v>
      </c>
      <c r="AD372" s="59">
        <f t="shared" si="359"/>
        <v>49.386290832891866</v>
      </c>
      <c r="AE372" s="59">
        <f t="shared" si="359"/>
        <v>55.322481546779947</v>
      </c>
      <c r="AF372" s="59">
        <f t="shared" si="359"/>
        <v>61.685668279953298</v>
      </c>
      <c r="AG372" s="59">
        <f t="shared" si="359"/>
        <v>68.487638230609974</v>
      </c>
      <c r="AH372" s="59">
        <f t="shared" si="359"/>
        <v>75.740022529057185</v>
      </c>
      <c r="AI372" s="59">
        <f t="shared" si="359"/>
        <v>83.454304196797253</v>
      </c>
      <c r="AJ372" s="59">
        <f t="shared" si="359"/>
        <v>91.64182542111466</v>
      </c>
      <c r="AK372" s="59">
        <f t="shared" si="359"/>
        <v>100.31379422630621</v>
      </c>
      <c r="AL372" s="78"/>
      <c r="AM372" s="43">
        <v>356</v>
      </c>
      <c r="AN372">
        <v>240.05362074366468</v>
      </c>
      <c r="AO372">
        <v>21.995607270938585</v>
      </c>
      <c r="AP372">
        <v>94.209453671643132</v>
      </c>
      <c r="AQ372">
        <v>159.53602682439322</v>
      </c>
      <c r="AR372">
        <v>24.576214229775633</v>
      </c>
      <c r="AS372">
        <v>199.79682594888257</v>
      </c>
      <c r="AT372">
        <v>10.839293095583644</v>
      </c>
      <c r="AU372">
        <v>41.014208074003278</v>
      </c>
      <c r="AV372"/>
      <c r="AW372"/>
      <c r="FY372" s="213">
        <v>367</v>
      </c>
      <c r="FZ372">
        <v>68.652620284032793</v>
      </c>
      <c r="GA372">
        <v>58.602735200594019</v>
      </c>
      <c r="GB372">
        <v>8.0371068146681992</v>
      </c>
      <c r="GC372">
        <v>4.1494006835733384</v>
      </c>
      <c r="GD372">
        <v>3.4487748986051434</v>
      </c>
      <c r="GE372">
        <v>4.421730404344216</v>
      </c>
      <c r="GF372">
        <v>14.508961585402508</v>
      </c>
      <c r="GG372">
        <v>13.321821282519187</v>
      </c>
      <c r="GH372">
        <v>11.949313819000414</v>
      </c>
      <c r="GI372">
        <v>18.765482291216056</v>
      </c>
      <c r="GJ372"/>
      <c r="GK372"/>
      <c r="GL372"/>
      <c r="GM372"/>
      <c r="GN372" s="208"/>
      <c r="GO372" s="208"/>
      <c r="GP372" s="208"/>
      <c r="GQ372" s="208"/>
      <c r="GR372" s="208"/>
      <c r="GS372" s="208"/>
      <c r="GT372" s="208"/>
      <c r="GU372" s="213">
        <v>367</v>
      </c>
    </row>
    <row r="373" spans="1:203" s="7" customFormat="1">
      <c r="A373" s="95"/>
      <c r="B373" s="71">
        <f t="shared" ref="B373:B378" si="360">+C4</f>
        <v>39646</v>
      </c>
      <c r="C373" s="18">
        <f t="shared" ref="C373:C382" si="361">+D70</f>
        <v>164.58333333333334</v>
      </c>
      <c r="D373" s="18">
        <f t="shared" ref="D373:D382" si="362">SUM(G373:AK373)</f>
        <v>72.934093710186787</v>
      </c>
      <c r="E373" s="19">
        <f t="shared" ref="E373:E382" si="363">IF(C373&lt;1, 0.000001, D373/C373)</f>
        <v>0.44314386051759058</v>
      </c>
      <c r="F373" s="19"/>
      <c r="G373" s="18">
        <f>AVERAGE(E228:E237)*G$372</f>
        <v>0</v>
      </c>
      <c r="H373" s="18">
        <f t="shared" ref="H373:AK373" si="364">AVERAGE(F228:F237)*H$372</f>
        <v>4.8047083333333324E-2</v>
      </c>
      <c r="I373" s="18">
        <f t="shared" si="364"/>
        <v>4.7298321159219512</v>
      </c>
      <c r="J373" s="18">
        <f t="shared" si="364"/>
        <v>11.922444072310878</v>
      </c>
      <c r="K373" s="18">
        <f t="shared" si="364"/>
        <v>5.3295890117656546</v>
      </c>
      <c r="L373" s="18">
        <f t="shared" si="364"/>
        <v>13.178054476451839</v>
      </c>
      <c r="M373" s="18">
        <f t="shared" si="364"/>
        <v>4.2860543848025383</v>
      </c>
      <c r="N373" s="18">
        <f t="shared" si="364"/>
        <v>15.086258696452321</v>
      </c>
      <c r="O373" s="18">
        <f t="shared" si="364"/>
        <v>0</v>
      </c>
      <c r="P373" s="18">
        <f t="shared" si="364"/>
        <v>0</v>
      </c>
      <c r="Q373" s="18">
        <f t="shared" si="364"/>
        <v>11.159302069116851</v>
      </c>
      <c r="R373" s="18">
        <f t="shared" si="364"/>
        <v>7.1945118000314228</v>
      </c>
      <c r="S373" s="18">
        <f t="shared" si="364"/>
        <v>0</v>
      </c>
      <c r="T373" s="18">
        <f t="shared" si="364"/>
        <v>0</v>
      </c>
      <c r="U373" s="18">
        <f t="shared" si="364"/>
        <v>0</v>
      </c>
      <c r="V373" s="18">
        <f t="shared" si="364"/>
        <v>0</v>
      </c>
      <c r="W373" s="18">
        <f t="shared" si="364"/>
        <v>0</v>
      </c>
      <c r="X373" s="18">
        <f t="shared" si="364"/>
        <v>0</v>
      </c>
      <c r="Y373" s="18">
        <f t="shared" si="364"/>
        <v>0</v>
      </c>
      <c r="Z373" s="18">
        <f t="shared" si="364"/>
        <v>0</v>
      </c>
      <c r="AA373" s="18">
        <f t="shared" si="364"/>
        <v>0</v>
      </c>
      <c r="AB373" s="18">
        <f t="shared" si="364"/>
        <v>0</v>
      </c>
      <c r="AC373" s="18">
        <f t="shared" si="364"/>
        <v>0</v>
      </c>
      <c r="AD373" s="18">
        <f t="shared" si="364"/>
        <v>0</v>
      </c>
      <c r="AE373" s="18">
        <f t="shared" si="364"/>
        <v>0</v>
      </c>
      <c r="AF373" s="18">
        <f t="shared" si="364"/>
        <v>0</v>
      </c>
      <c r="AG373" s="18">
        <f t="shared" si="364"/>
        <v>0</v>
      </c>
      <c r="AH373" s="18">
        <f t="shared" si="364"/>
        <v>0</v>
      </c>
      <c r="AI373" s="18">
        <f t="shared" si="364"/>
        <v>0</v>
      </c>
      <c r="AJ373" s="18">
        <f t="shared" si="364"/>
        <v>0</v>
      </c>
      <c r="AK373" s="18">
        <f t="shared" si="364"/>
        <v>0</v>
      </c>
      <c r="AL373" s="78"/>
      <c r="AM373" s="43">
        <v>357</v>
      </c>
      <c r="AN373">
        <v>353.34868672016307</v>
      </c>
      <c r="AO373">
        <v>26.18418177192159</v>
      </c>
      <c r="AP373">
        <v>121.7093314877564</v>
      </c>
      <c r="AQ373">
        <v>184.95377561062915</v>
      </c>
      <c r="AR373">
        <v>25.640212328756665</v>
      </c>
      <c r="AS373">
        <v>273.20188389272721</v>
      </c>
      <c r="AT373">
        <v>13.463055376627759</v>
      </c>
      <c r="AU373">
        <v>25.887646836113142</v>
      </c>
      <c r="AV373"/>
      <c r="AW373"/>
      <c r="FY373" s="213">
        <v>368</v>
      </c>
      <c r="FZ373">
        <v>31.275869010651348</v>
      </c>
      <c r="GA373">
        <v>32.987878048103823</v>
      </c>
      <c r="GB373">
        <v>8.2059144679284248</v>
      </c>
      <c r="GC373">
        <v>6.0428665413590217</v>
      </c>
      <c r="GD373">
        <v>4.519933995248274</v>
      </c>
      <c r="GE373">
        <v>4.799479223360998</v>
      </c>
      <c r="GF373">
        <v>13.839267878732374</v>
      </c>
      <c r="GG373">
        <v>14.183807260042599</v>
      </c>
      <c r="GH373">
        <v>14.963577043839068</v>
      </c>
      <c r="GI373">
        <v>14.353802207462337</v>
      </c>
      <c r="GJ373"/>
      <c r="GK373"/>
      <c r="GL373"/>
      <c r="GM373"/>
      <c r="GN373" s="208"/>
      <c r="GO373" s="208"/>
      <c r="GP373" s="208"/>
      <c r="GQ373" s="208"/>
      <c r="GR373" s="208"/>
      <c r="GS373" s="208"/>
      <c r="GT373" s="208"/>
      <c r="GU373" s="213">
        <v>368</v>
      </c>
    </row>
    <row r="374" spans="1:203" s="7" customFormat="1">
      <c r="A374" s="95"/>
      <c r="B374" s="71">
        <f t="shared" si="360"/>
        <v>39673</v>
      </c>
      <c r="C374" s="18">
        <f t="shared" si="361"/>
        <v>50.595238095238102</v>
      </c>
      <c r="D374" s="18">
        <f t="shared" si="362"/>
        <v>21.916475509104398</v>
      </c>
      <c r="E374" s="19">
        <f t="shared" si="363"/>
        <v>0.43317269241523981</v>
      </c>
      <c r="F374" s="19">
        <f>IF(F388&lt;0,0,F388)</f>
        <v>0</v>
      </c>
      <c r="G374" s="18">
        <f>AVERAGE(E238:E247)*G$372</f>
        <v>0</v>
      </c>
      <c r="H374" s="18">
        <f t="shared" ref="H374:AK374" si="365">AVERAGE(F238:F247)*H$372</f>
        <v>0</v>
      </c>
      <c r="I374" s="18">
        <f t="shared" si="365"/>
        <v>2.2559337511424977</v>
      </c>
      <c r="J374" s="18">
        <f t="shared" si="365"/>
        <v>0.2249517749492618</v>
      </c>
      <c r="K374" s="18">
        <f t="shared" si="365"/>
        <v>3.8760647358295666</v>
      </c>
      <c r="L374" s="18">
        <f t="shared" si="365"/>
        <v>4.3926848254839461</v>
      </c>
      <c r="M374" s="18">
        <f t="shared" si="365"/>
        <v>2.8573695898683584</v>
      </c>
      <c r="N374" s="18">
        <f t="shared" si="365"/>
        <v>2.1551798137789029</v>
      </c>
      <c r="O374" s="18">
        <f t="shared" si="365"/>
        <v>6.1542910180518637</v>
      </c>
      <c r="P374" s="18">
        <f t="shared" si="365"/>
        <v>0</v>
      </c>
      <c r="Q374" s="18">
        <f t="shared" si="365"/>
        <v>0</v>
      </c>
      <c r="R374" s="18">
        <f t="shared" si="365"/>
        <v>0</v>
      </c>
      <c r="S374" s="18">
        <f t="shared" si="365"/>
        <v>0</v>
      </c>
      <c r="T374" s="18">
        <f t="shared" si="365"/>
        <v>0</v>
      </c>
      <c r="U374" s="18">
        <f t="shared" si="365"/>
        <v>0</v>
      </c>
      <c r="V374" s="18">
        <f t="shared" si="365"/>
        <v>0</v>
      </c>
      <c r="W374" s="18">
        <f t="shared" si="365"/>
        <v>0</v>
      </c>
      <c r="X374" s="18">
        <f t="shared" si="365"/>
        <v>0</v>
      </c>
      <c r="Y374" s="18">
        <f t="shared" si="365"/>
        <v>0</v>
      </c>
      <c r="Z374" s="18">
        <f t="shared" si="365"/>
        <v>0</v>
      </c>
      <c r="AA374" s="18">
        <f t="shared" si="365"/>
        <v>0</v>
      </c>
      <c r="AB374" s="18">
        <f t="shared" si="365"/>
        <v>0</v>
      </c>
      <c r="AC374" s="18">
        <f t="shared" si="365"/>
        <v>0</v>
      </c>
      <c r="AD374" s="18">
        <f t="shared" si="365"/>
        <v>0</v>
      </c>
      <c r="AE374" s="18">
        <f t="shared" si="365"/>
        <v>0</v>
      </c>
      <c r="AF374" s="18">
        <f t="shared" si="365"/>
        <v>0</v>
      </c>
      <c r="AG374" s="18">
        <f t="shared" si="365"/>
        <v>0</v>
      </c>
      <c r="AH374" s="18">
        <f t="shared" si="365"/>
        <v>0</v>
      </c>
      <c r="AI374" s="18">
        <f t="shared" si="365"/>
        <v>0</v>
      </c>
      <c r="AJ374" s="18">
        <f t="shared" si="365"/>
        <v>0</v>
      </c>
      <c r="AK374" s="18">
        <f t="shared" si="365"/>
        <v>0</v>
      </c>
      <c r="AL374" s="78"/>
      <c r="AM374" s="43">
        <v>358</v>
      </c>
      <c r="AN374">
        <v>344.57620817313983</v>
      </c>
      <c r="AO374">
        <v>24.753929188764971</v>
      </c>
      <c r="AP374">
        <v>105.89900030588574</v>
      </c>
      <c r="AQ374">
        <v>175.8687163343165</v>
      </c>
      <c r="AR374">
        <v>26.126417847032574</v>
      </c>
      <c r="AS374">
        <v>244.46454410533985</v>
      </c>
      <c r="AT374">
        <v>13.133519924487787</v>
      </c>
      <c r="AU374">
        <v>64.050295385450568</v>
      </c>
      <c r="AV374"/>
      <c r="AW374"/>
      <c r="FY374" s="213">
        <v>369</v>
      </c>
      <c r="FZ374">
        <v>51.829050735095485</v>
      </c>
      <c r="GA374">
        <v>46.179550265566569</v>
      </c>
      <c r="GB374">
        <v>10.987215353074534</v>
      </c>
      <c r="GC374">
        <v>9.4009495542771138</v>
      </c>
      <c r="GD374">
        <v>7.5676255464535771</v>
      </c>
      <c r="GE374">
        <v>4.020688407014485</v>
      </c>
      <c r="GF374">
        <v>7.3384474903710641</v>
      </c>
      <c r="GG374">
        <v>6.1236356440166286</v>
      </c>
      <c r="GH374">
        <v>15.107525724198648</v>
      </c>
      <c r="GI374">
        <v>18.792581472811801</v>
      </c>
      <c r="GJ374"/>
      <c r="GK374"/>
      <c r="GL374"/>
      <c r="GM374"/>
      <c r="GN374" s="208"/>
      <c r="GO374" s="208"/>
      <c r="GP374" s="208"/>
      <c r="GQ374" s="208"/>
      <c r="GR374" s="208"/>
      <c r="GS374" s="208"/>
      <c r="GT374" s="208"/>
      <c r="GU374" s="213">
        <v>369</v>
      </c>
    </row>
    <row r="375" spans="1:203" s="7" customFormat="1">
      <c r="A375" s="95"/>
      <c r="B375" s="71">
        <f t="shared" si="360"/>
        <v>39714</v>
      </c>
      <c r="C375" s="18">
        <f t="shared" si="361"/>
        <v>131.98924731182794</v>
      </c>
      <c r="D375" s="18">
        <f t="shared" si="362"/>
        <v>29.808202191416107</v>
      </c>
      <c r="E375" s="19">
        <f t="shared" si="363"/>
        <v>0.22583811028934406</v>
      </c>
      <c r="F375" s="19">
        <f>IF(F389&lt;0,0,F389)</f>
        <v>0</v>
      </c>
      <c r="G375" s="18">
        <f>AVERAGE(E248:E257)*G$372</f>
        <v>4.1944116228117105E-2</v>
      </c>
      <c r="H375" s="18">
        <f t="shared" ref="H375:AK375" si="366">AVERAGE(F248:F257)*H$372</f>
        <v>1.0994645077284946</v>
      </c>
      <c r="I375" s="18">
        <f t="shared" si="366"/>
        <v>0</v>
      </c>
      <c r="J375" s="18">
        <f t="shared" si="366"/>
        <v>0.4499035498985236</v>
      </c>
      <c r="K375" s="18">
        <f t="shared" si="366"/>
        <v>0</v>
      </c>
      <c r="L375" s="18">
        <f t="shared" si="366"/>
        <v>2.6356108952903678</v>
      </c>
      <c r="M375" s="18">
        <f t="shared" si="366"/>
        <v>4.2860543848025383</v>
      </c>
      <c r="N375" s="18">
        <f t="shared" si="366"/>
        <v>0</v>
      </c>
      <c r="O375" s="18">
        <f t="shared" si="366"/>
        <v>3.0771455090259319</v>
      </c>
      <c r="P375" s="18">
        <f t="shared" si="366"/>
        <v>12.63842819388371</v>
      </c>
      <c r="Q375" s="18">
        <f t="shared" si="366"/>
        <v>5.5796510345584256</v>
      </c>
      <c r="R375" s="18">
        <f t="shared" si="366"/>
        <v>0</v>
      </c>
      <c r="S375" s="18">
        <f t="shared" si="366"/>
        <v>0</v>
      </c>
      <c r="T375" s="18">
        <f t="shared" si="366"/>
        <v>0</v>
      </c>
      <c r="U375" s="18">
        <f t="shared" si="366"/>
        <v>0</v>
      </c>
      <c r="V375" s="18">
        <f t="shared" si="366"/>
        <v>0</v>
      </c>
      <c r="W375" s="18">
        <f t="shared" si="366"/>
        <v>0</v>
      </c>
      <c r="X375" s="18">
        <f t="shared" si="366"/>
        <v>0</v>
      </c>
      <c r="Y375" s="18">
        <f t="shared" si="366"/>
        <v>0</v>
      </c>
      <c r="Z375" s="18">
        <f t="shared" si="366"/>
        <v>0</v>
      </c>
      <c r="AA375" s="18">
        <f t="shared" si="366"/>
        <v>0</v>
      </c>
      <c r="AB375" s="18">
        <f t="shared" si="366"/>
        <v>0</v>
      </c>
      <c r="AC375" s="18">
        <f t="shared" si="366"/>
        <v>0</v>
      </c>
      <c r="AD375" s="18">
        <f t="shared" si="366"/>
        <v>0</v>
      </c>
      <c r="AE375" s="18">
        <f t="shared" si="366"/>
        <v>0</v>
      </c>
      <c r="AF375" s="18">
        <f t="shared" si="366"/>
        <v>0</v>
      </c>
      <c r="AG375" s="18">
        <f t="shared" si="366"/>
        <v>0</v>
      </c>
      <c r="AH375" s="18">
        <f t="shared" si="366"/>
        <v>0</v>
      </c>
      <c r="AI375" s="18">
        <f t="shared" si="366"/>
        <v>0</v>
      </c>
      <c r="AJ375" s="18">
        <f t="shared" si="366"/>
        <v>0</v>
      </c>
      <c r="AK375" s="18">
        <f t="shared" si="366"/>
        <v>0</v>
      </c>
      <c r="AL375" s="78"/>
      <c r="AM375" s="43">
        <v>359</v>
      </c>
      <c r="AN375">
        <v>242.89030250150495</v>
      </c>
      <c r="AO375">
        <v>19.048076047902665</v>
      </c>
      <c r="AP375">
        <v>72.815978041519386</v>
      </c>
      <c r="AQ375">
        <v>140.95319638855702</v>
      </c>
      <c r="AR375">
        <v>19.733784169418389</v>
      </c>
      <c r="AS375">
        <v>185.80478992874021</v>
      </c>
      <c r="AT375">
        <v>8.2327977667646728</v>
      </c>
      <c r="AU375">
        <v>6.6420174320714391</v>
      </c>
      <c r="AV375"/>
      <c r="AW375"/>
      <c r="FY375" s="213">
        <v>370</v>
      </c>
      <c r="FZ375">
        <v>39.991799110937215</v>
      </c>
      <c r="GA375">
        <v>50.378874016953979</v>
      </c>
      <c r="GB375">
        <v>11.934807861010622</v>
      </c>
      <c r="GC375">
        <v>8.9134142863599326</v>
      </c>
      <c r="GD375">
        <v>6.9303340795718498</v>
      </c>
      <c r="GE375">
        <v>3.6560634415168027</v>
      </c>
      <c r="GF375">
        <v>10.329191787774537</v>
      </c>
      <c r="GG375">
        <v>9.048669015674653</v>
      </c>
      <c r="GH375">
        <v>9.1959656795738702</v>
      </c>
      <c r="GI375">
        <v>16.632129855937251</v>
      </c>
      <c r="GJ375"/>
      <c r="GK375"/>
      <c r="GL375"/>
      <c r="GM375"/>
      <c r="GN375" s="208"/>
      <c r="GO375" s="208"/>
      <c r="GP375" s="208"/>
      <c r="GQ375" s="208"/>
      <c r="GR375" s="208"/>
      <c r="GS375" s="208"/>
      <c r="GT375" s="208"/>
      <c r="GU375" s="213">
        <v>370</v>
      </c>
    </row>
    <row r="376" spans="1:203" s="7" customFormat="1">
      <c r="A376" s="95"/>
      <c r="B376" s="71">
        <f t="shared" si="360"/>
        <v>39747</v>
      </c>
      <c r="C376" s="18">
        <f t="shared" si="361"/>
        <v>487.86257743693085</v>
      </c>
      <c r="D376" s="18">
        <f t="shared" si="362"/>
        <v>8.4759598017833842</v>
      </c>
      <c r="E376" s="19">
        <f t="shared" si="363"/>
        <v>1.7373662571770278E-2</v>
      </c>
      <c r="F376" s="19">
        <f>IF(F390&lt;0,0,F390)</f>
        <v>0</v>
      </c>
      <c r="G376" s="18">
        <f>AVERAGE(E258:E267)*G$372</f>
        <v>2.7581434004549734E-2</v>
      </c>
      <c r="H376" s="18">
        <f t="shared" ref="H376:AK376" si="367">AVERAGE(F258:F267)*H$372</f>
        <v>4.8902825627736721</v>
      </c>
      <c r="I376" s="18">
        <f t="shared" si="367"/>
        <v>3.5580958050051614</v>
      </c>
      <c r="J376" s="18">
        <f t="shared" si="367"/>
        <v>0</v>
      </c>
      <c r="K376" s="18">
        <f t="shared" si="367"/>
        <v>0</v>
      </c>
      <c r="L376" s="18">
        <f t="shared" si="367"/>
        <v>0</v>
      </c>
      <c r="M376" s="18">
        <f t="shared" si="367"/>
        <v>0</v>
      </c>
      <c r="N376" s="18">
        <f t="shared" si="367"/>
        <v>0</v>
      </c>
      <c r="O376" s="18">
        <f t="shared" si="367"/>
        <v>0</v>
      </c>
      <c r="P376" s="18">
        <f t="shared" si="367"/>
        <v>0</v>
      </c>
      <c r="Q376" s="18">
        <f t="shared" si="367"/>
        <v>0</v>
      </c>
      <c r="R376" s="18">
        <f t="shared" si="367"/>
        <v>0</v>
      </c>
      <c r="S376" s="18">
        <f t="shared" si="367"/>
        <v>0</v>
      </c>
      <c r="T376" s="18">
        <f t="shared" si="367"/>
        <v>0</v>
      </c>
      <c r="U376" s="18">
        <f t="shared" si="367"/>
        <v>0</v>
      </c>
      <c r="V376" s="18">
        <f t="shared" si="367"/>
        <v>0</v>
      </c>
      <c r="W376" s="18">
        <f t="shared" si="367"/>
        <v>0</v>
      </c>
      <c r="X376" s="18">
        <f t="shared" si="367"/>
        <v>0</v>
      </c>
      <c r="Y376" s="18">
        <f t="shared" si="367"/>
        <v>0</v>
      </c>
      <c r="Z376" s="18">
        <f t="shared" si="367"/>
        <v>0</v>
      </c>
      <c r="AA376" s="18">
        <f t="shared" si="367"/>
        <v>0</v>
      </c>
      <c r="AB376" s="18">
        <f t="shared" si="367"/>
        <v>0</v>
      </c>
      <c r="AC376" s="18">
        <f t="shared" si="367"/>
        <v>0</v>
      </c>
      <c r="AD376" s="18">
        <f t="shared" si="367"/>
        <v>0</v>
      </c>
      <c r="AE376" s="18">
        <f t="shared" si="367"/>
        <v>0</v>
      </c>
      <c r="AF376" s="18">
        <f t="shared" si="367"/>
        <v>0</v>
      </c>
      <c r="AG376" s="18">
        <f t="shared" si="367"/>
        <v>0</v>
      </c>
      <c r="AH376" s="18">
        <f t="shared" si="367"/>
        <v>0</v>
      </c>
      <c r="AI376" s="18">
        <f t="shared" si="367"/>
        <v>0</v>
      </c>
      <c r="AJ376" s="18">
        <f t="shared" si="367"/>
        <v>0</v>
      </c>
      <c r="AK376" s="18">
        <f t="shared" si="367"/>
        <v>0</v>
      </c>
      <c r="AL376" s="78"/>
      <c r="AM376" s="43">
        <v>360</v>
      </c>
      <c r="AN376">
        <v>308.87918011601511</v>
      </c>
      <c r="AO376">
        <v>26.828785209186833</v>
      </c>
      <c r="AP376">
        <v>68.436550383861928</v>
      </c>
      <c r="AQ376">
        <v>201.64706569338921</v>
      </c>
      <c r="AR376">
        <v>29.925228810592937</v>
      </c>
      <c r="AS376">
        <v>249.40501426788688</v>
      </c>
      <c r="AT376">
        <v>14.326088303618251</v>
      </c>
      <c r="AU376">
        <v>26.789293583097194</v>
      </c>
      <c r="AV376"/>
      <c r="AW376"/>
      <c r="FY376" s="213">
        <v>371</v>
      </c>
      <c r="FZ376">
        <v>47.724633636157826</v>
      </c>
      <c r="GA376">
        <v>65.158717006907054</v>
      </c>
      <c r="GB376">
        <v>14.704551908075151</v>
      </c>
      <c r="GC376">
        <v>5.0952584871732247</v>
      </c>
      <c r="GD376">
        <v>4.9518762020019143</v>
      </c>
      <c r="GE376">
        <v>4.3912725365437852</v>
      </c>
      <c r="GF376">
        <v>18.633264818125497</v>
      </c>
      <c r="GG376">
        <v>17.428189114504214</v>
      </c>
      <c r="GH376">
        <v>12.224544295477957</v>
      </c>
      <c r="GI376">
        <v>19.607351436366578</v>
      </c>
      <c r="GJ376"/>
      <c r="GK376"/>
      <c r="GL376"/>
      <c r="GM376"/>
      <c r="GN376" s="208"/>
      <c r="GO376" s="208"/>
      <c r="GP376" s="208"/>
      <c r="GQ376" s="208"/>
      <c r="GR376" s="208"/>
      <c r="GS376" s="208"/>
      <c r="GT376" s="208"/>
      <c r="GU376" s="213">
        <v>371</v>
      </c>
    </row>
    <row r="377" spans="1:203" s="7" customFormat="1">
      <c r="A377" s="95"/>
      <c r="B377" s="71">
        <f t="shared" si="360"/>
        <v>39775</v>
      </c>
      <c r="C377" s="18">
        <f t="shared" si="361"/>
        <v>750.02848648689269</v>
      </c>
      <c r="D377" s="18">
        <f t="shared" si="362"/>
        <v>33.916708163507458</v>
      </c>
      <c r="E377" s="19">
        <f t="shared" si="363"/>
        <v>4.522055998482423E-2</v>
      </c>
      <c r="F377" s="19">
        <f>IF(F391&lt;0,0,F391)</f>
        <v>3.4164158433460629E-2</v>
      </c>
      <c r="G377" s="18">
        <f>AVERAGE(E268:E277)*G$372</f>
        <v>4.4550519882166413E-2</v>
      </c>
      <c r="H377" s="18">
        <f t="shared" ref="H377:AK377" si="368">AVERAGE(F268:F277)*H$372</f>
        <v>4.3403883918650799</v>
      </c>
      <c r="I377" s="18">
        <f t="shared" si="368"/>
        <v>23.999618715464319</v>
      </c>
      <c r="J377" s="18">
        <f t="shared" si="368"/>
        <v>4.1691054792204021</v>
      </c>
      <c r="K377" s="18">
        <f t="shared" si="368"/>
        <v>0.48450809197869582</v>
      </c>
      <c r="L377" s="18">
        <f t="shared" si="368"/>
        <v>0.87853696509678914</v>
      </c>
      <c r="M377" s="18">
        <f t="shared" si="368"/>
        <v>0</v>
      </c>
      <c r="N377" s="18">
        <f t="shared" si="368"/>
        <v>0</v>
      </c>
      <c r="O377" s="18">
        <f t="shared" si="368"/>
        <v>0</v>
      </c>
      <c r="P377" s="18">
        <f t="shared" si="368"/>
        <v>0</v>
      </c>
      <c r="Q377" s="18">
        <f t="shared" si="368"/>
        <v>0</v>
      </c>
      <c r="R377" s="18">
        <f t="shared" si="368"/>
        <v>0</v>
      </c>
      <c r="S377" s="18">
        <f t="shared" si="368"/>
        <v>0</v>
      </c>
      <c r="T377" s="18">
        <f t="shared" si="368"/>
        <v>0</v>
      </c>
      <c r="U377" s="18">
        <f t="shared" si="368"/>
        <v>0</v>
      </c>
      <c r="V377" s="18">
        <f t="shared" si="368"/>
        <v>0</v>
      </c>
      <c r="W377" s="18">
        <f t="shared" si="368"/>
        <v>0</v>
      </c>
      <c r="X377" s="18">
        <f t="shared" si="368"/>
        <v>0</v>
      </c>
      <c r="Y377" s="18">
        <f t="shared" si="368"/>
        <v>0</v>
      </c>
      <c r="Z377" s="18">
        <f t="shared" si="368"/>
        <v>0</v>
      </c>
      <c r="AA377" s="18">
        <f t="shared" si="368"/>
        <v>0</v>
      </c>
      <c r="AB377" s="18">
        <f t="shared" si="368"/>
        <v>0</v>
      </c>
      <c r="AC377" s="18">
        <f t="shared" si="368"/>
        <v>0</v>
      </c>
      <c r="AD377" s="18">
        <f t="shared" si="368"/>
        <v>0</v>
      </c>
      <c r="AE377" s="18">
        <f t="shared" si="368"/>
        <v>0</v>
      </c>
      <c r="AF377" s="18">
        <f t="shared" si="368"/>
        <v>0</v>
      </c>
      <c r="AG377" s="18">
        <f t="shared" si="368"/>
        <v>0</v>
      </c>
      <c r="AH377" s="18">
        <f t="shared" si="368"/>
        <v>0</v>
      </c>
      <c r="AI377" s="18">
        <f t="shared" si="368"/>
        <v>0</v>
      </c>
      <c r="AJ377" s="18">
        <f t="shared" si="368"/>
        <v>0</v>
      </c>
      <c r="AK377" s="18">
        <f t="shared" si="368"/>
        <v>0</v>
      </c>
      <c r="AL377" s="78"/>
      <c r="AM377" s="43">
        <v>361</v>
      </c>
      <c r="AN377">
        <v>303.04635494494602</v>
      </c>
      <c r="AO377">
        <v>26.564405936233243</v>
      </c>
      <c r="AP377">
        <v>55.3052860807895</v>
      </c>
      <c r="AQ377">
        <v>183.49400695530449</v>
      </c>
      <c r="AR377">
        <v>28.139300148635797</v>
      </c>
      <c r="AS377">
        <v>247.18131364997544</v>
      </c>
      <c r="AT377">
        <v>12.814161438724026</v>
      </c>
      <c r="AU377">
        <v>12.710095086440443</v>
      </c>
      <c r="AV377"/>
      <c r="AW377"/>
      <c r="FY377" s="213">
        <v>372</v>
      </c>
      <c r="FZ377">
        <v>69.1922616301609</v>
      </c>
      <c r="GA377">
        <v>63.834785495635032</v>
      </c>
      <c r="GB377">
        <v>11.101019361427916</v>
      </c>
      <c r="GC377">
        <v>5.824016049918229</v>
      </c>
      <c r="GD377">
        <v>4.7889276238048692</v>
      </c>
      <c r="GE377">
        <v>6.6753890523160084</v>
      </c>
      <c r="GF377">
        <v>20.334548283964835</v>
      </c>
      <c r="GG377">
        <v>14.349059883699073</v>
      </c>
      <c r="GH377">
        <v>7.6926222497311221</v>
      </c>
      <c r="GI377">
        <v>21.025738252195623</v>
      </c>
      <c r="GJ377"/>
      <c r="GK377"/>
      <c r="GL377"/>
      <c r="GM377"/>
      <c r="GN377" s="208"/>
      <c r="GO377" s="208"/>
      <c r="GP377" s="208"/>
      <c r="GQ377" s="208"/>
      <c r="GR377" s="208"/>
      <c r="GS377" s="208"/>
      <c r="GT377" s="208"/>
      <c r="GU377" s="213">
        <v>372</v>
      </c>
    </row>
    <row r="378" spans="1:203" s="7" customFormat="1">
      <c r="A378" s="95"/>
      <c r="B378" s="71">
        <f t="shared" si="360"/>
        <v>39799</v>
      </c>
      <c r="C378" s="18">
        <f t="shared" si="361"/>
        <v>323.69578950461306</v>
      </c>
      <c r="D378" s="18">
        <f t="shared" si="362"/>
        <v>12.946855311548255</v>
      </c>
      <c r="E378" s="19">
        <f t="shared" si="363"/>
        <v>3.9996983993403928E-2</v>
      </c>
      <c r="F378" s="19">
        <f t="shared" ref="F378:F382" si="369">IF(F392&lt;0,0,F392)</f>
        <v>0</v>
      </c>
      <c r="G378" s="18">
        <f>AVERAGE(E278:E287)*G$372</f>
        <v>3.8969059033115788E-2</v>
      </c>
      <c r="H378" s="18">
        <f t="shared" ref="H378:AK378" si="370">AVERAGE(F278:F287)*H$372</f>
        <v>1.9116454110105578</v>
      </c>
      <c r="I378" s="18">
        <f t="shared" si="370"/>
        <v>9.6119256497288372</v>
      </c>
      <c r="J378" s="18">
        <f t="shared" si="370"/>
        <v>0.89980709979704721</v>
      </c>
      <c r="K378" s="18">
        <f t="shared" si="370"/>
        <v>0.48450809197869582</v>
      </c>
      <c r="L378" s="18">
        <f t="shared" si="370"/>
        <v>0</v>
      </c>
      <c r="M378" s="18">
        <f t="shared" si="370"/>
        <v>0</v>
      </c>
      <c r="N378" s="18">
        <f t="shared" si="370"/>
        <v>0</v>
      </c>
      <c r="O378" s="18">
        <f t="shared" si="370"/>
        <v>0</v>
      </c>
      <c r="P378" s="18">
        <f t="shared" si="370"/>
        <v>0</v>
      </c>
      <c r="Q378" s="18">
        <f t="shared" si="370"/>
        <v>0</v>
      </c>
      <c r="R378" s="18">
        <f t="shared" si="370"/>
        <v>0</v>
      </c>
      <c r="S378" s="18">
        <f t="shared" si="370"/>
        <v>0</v>
      </c>
      <c r="T378" s="18">
        <f t="shared" si="370"/>
        <v>0</v>
      </c>
      <c r="U378" s="18">
        <f t="shared" si="370"/>
        <v>0</v>
      </c>
      <c r="V378" s="18">
        <f t="shared" si="370"/>
        <v>0</v>
      </c>
      <c r="W378" s="18">
        <f t="shared" si="370"/>
        <v>0</v>
      </c>
      <c r="X378" s="18">
        <f t="shared" si="370"/>
        <v>0</v>
      </c>
      <c r="Y378" s="18">
        <f t="shared" si="370"/>
        <v>0</v>
      </c>
      <c r="Z378" s="18">
        <f t="shared" si="370"/>
        <v>0</v>
      </c>
      <c r="AA378" s="18">
        <f t="shared" si="370"/>
        <v>0</v>
      </c>
      <c r="AB378" s="18">
        <f t="shared" si="370"/>
        <v>0</v>
      </c>
      <c r="AC378" s="18">
        <f t="shared" si="370"/>
        <v>0</v>
      </c>
      <c r="AD378" s="18">
        <f t="shared" si="370"/>
        <v>0</v>
      </c>
      <c r="AE378" s="18">
        <f t="shared" si="370"/>
        <v>0</v>
      </c>
      <c r="AF378" s="18">
        <f t="shared" si="370"/>
        <v>0</v>
      </c>
      <c r="AG378" s="18">
        <f t="shared" si="370"/>
        <v>0</v>
      </c>
      <c r="AH378" s="18">
        <f t="shared" si="370"/>
        <v>0</v>
      </c>
      <c r="AI378" s="18">
        <f t="shared" si="370"/>
        <v>0</v>
      </c>
      <c r="AJ378" s="18">
        <f t="shared" si="370"/>
        <v>0</v>
      </c>
      <c r="AK378" s="18">
        <f t="shared" si="370"/>
        <v>0</v>
      </c>
      <c r="AL378" s="78"/>
      <c r="AM378" s="43">
        <v>362</v>
      </c>
      <c r="AN378">
        <v>361.90345984471838</v>
      </c>
      <c r="AO378">
        <v>31.314684753200503</v>
      </c>
      <c r="AP378">
        <v>107.16592817311366</v>
      </c>
      <c r="AQ378">
        <v>219.29315364334246</v>
      </c>
      <c r="AR378">
        <v>30.504658340273153</v>
      </c>
      <c r="AS378">
        <v>278.97576526750009</v>
      </c>
      <c r="AT378">
        <v>13.464685814840765</v>
      </c>
      <c r="AU378">
        <v>7.3798694834223912</v>
      </c>
      <c r="AV378"/>
      <c r="AW378"/>
      <c r="FY378" s="213">
        <v>373</v>
      </c>
      <c r="FZ378">
        <v>27.896095799754665</v>
      </c>
      <c r="GA378">
        <v>30.454306636027091</v>
      </c>
      <c r="GB378">
        <v>9.6110371626422371</v>
      </c>
      <c r="GC378">
        <v>7.0228592297603871</v>
      </c>
      <c r="GD378">
        <v>4.9585208543272543</v>
      </c>
      <c r="GE378">
        <v>5.0396839146948631</v>
      </c>
      <c r="GF378">
        <v>19.145574369193117</v>
      </c>
      <c r="GG378">
        <v>14.429919053068685</v>
      </c>
      <c r="GH378">
        <v>9.1951820611349664</v>
      </c>
      <c r="GI378">
        <v>14.63834411685748</v>
      </c>
      <c r="GJ378"/>
      <c r="GK378"/>
      <c r="GL378"/>
      <c r="GM378"/>
      <c r="GN378" s="208"/>
      <c r="GO378" s="208"/>
      <c r="GP378" s="208"/>
      <c r="GQ378" s="208"/>
      <c r="GR378" s="208"/>
      <c r="GS378" s="208"/>
      <c r="GT378" s="208"/>
      <c r="GU378" s="213">
        <v>373</v>
      </c>
    </row>
    <row r="379" spans="1:203" s="7" customFormat="1">
      <c r="A379" s="77" t="s">
        <v>61</v>
      </c>
      <c r="B379" s="71">
        <f t="shared" ref="B379:B382" si="371">+C10</f>
        <v>39847</v>
      </c>
      <c r="C379" s="18">
        <f t="shared" si="361"/>
        <v>750.6076388888888</v>
      </c>
      <c r="D379" s="18">
        <f t="shared" si="362"/>
        <v>18.082619500523734</v>
      </c>
      <c r="E379" s="19">
        <f t="shared" si="363"/>
        <v>2.4090641453224638E-2</v>
      </c>
      <c r="F379" s="19">
        <f t="shared" si="369"/>
        <v>0</v>
      </c>
      <c r="G379" s="18">
        <f>AVERAGE(E288:E297)*G$372</f>
        <v>6.2058226510236895E-2</v>
      </c>
      <c r="H379" s="18">
        <f t="shared" ref="H379:AK379" si="372">AVERAGE(F288:F297)*H$372</f>
        <v>6.4375584309895828</v>
      </c>
      <c r="I379" s="18">
        <f t="shared" si="372"/>
        <v>11.583002843023912</v>
      </c>
      <c r="J379" s="18">
        <f t="shared" si="372"/>
        <v>0</v>
      </c>
      <c r="K379" s="18">
        <f t="shared" si="372"/>
        <v>0</v>
      </c>
      <c r="L379" s="18">
        <f t="shared" si="372"/>
        <v>0</v>
      </c>
      <c r="M379" s="18">
        <f t="shared" si="372"/>
        <v>0</v>
      </c>
      <c r="N379" s="18">
        <f t="shared" si="372"/>
        <v>0</v>
      </c>
      <c r="O379" s="18">
        <f t="shared" si="372"/>
        <v>0</v>
      </c>
      <c r="P379" s="18">
        <f t="shared" si="372"/>
        <v>0</v>
      </c>
      <c r="Q379" s="18">
        <f t="shared" si="372"/>
        <v>0</v>
      </c>
      <c r="R379" s="18">
        <f t="shared" si="372"/>
        <v>0</v>
      </c>
      <c r="S379" s="18">
        <f t="shared" si="372"/>
        <v>0</v>
      </c>
      <c r="T379" s="18">
        <f t="shared" si="372"/>
        <v>0</v>
      </c>
      <c r="U379" s="18">
        <f t="shared" si="372"/>
        <v>0</v>
      </c>
      <c r="V379" s="18">
        <f t="shared" si="372"/>
        <v>0</v>
      </c>
      <c r="W379" s="18">
        <f t="shared" si="372"/>
        <v>0</v>
      </c>
      <c r="X379" s="18">
        <f t="shared" si="372"/>
        <v>0</v>
      </c>
      <c r="Y379" s="18">
        <f t="shared" si="372"/>
        <v>0</v>
      </c>
      <c r="Z379" s="18">
        <f t="shared" si="372"/>
        <v>0</v>
      </c>
      <c r="AA379" s="18">
        <f t="shared" si="372"/>
        <v>0</v>
      </c>
      <c r="AB379" s="18">
        <f t="shared" si="372"/>
        <v>0</v>
      </c>
      <c r="AC379" s="18">
        <f t="shared" si="372"/>
        <v>0</v>
      </c>
      <c r="AD379" s="18">
        <f t="shared" si="372"/>
        <v>0</v>
      </c>
      <c r="AE379" s="18">
        <f t="shared" si="372"/>
        <v>0</v>
      </c>
      <c r="AF379" s="18">
        <f t="shared" si="372"/>
        <v>0</v>
      </c>
      <c r="AG379" s="18">
        <f t="shared" si="372"/>
        <v>0</v>
      </c>
      <c r="AH379" s="18">
        <f t="shared" si="372"/>
        <v>0</v>
      </c>
      <c r="AI379" s="18">
        <f t="shared" si="372"/>
        <v>0</v>
      </c>
      <c r="AJ379" s="18">
        <f t="shared" si="372"/>
        <v>0</v>
      </c>
      <c r="AK379" s="18">
        <f t="shared" si="372"/>
        <v>0</v>
      </c>
      <c r="AL379" s="78"/>
      <c r="AM379" s="43">
        <v>363</v>
      </c>
      <c r="AN379">
        <v>264.29392233917974</v>
      </c>
      <c r="AO379">
        <v>33.572174421217426</v>
      </c>
      <c r="AP379">
        <v>56.495531381369247</v>
      </c>
      <c r="AQ379">
        <v>257.47002641345046</v>
      </c>
      <c r="AR379">
        <v>35.118413546374086</v>
      </c>
      <c r="AS379">
        <v>267.83150230055509</v>
      </c>
      <c r="AT379">
        <v>15.941721718446692</v>
      </c>
      <c r="AU379">
        <v>-9.6881693981697055</v>
      </c>
      <c r="AV379"/>
      <c r="AW379"/>
      <c r="FY379" s="213">
        <v>374</v>
      </c>
      <c r="FZ379">
        <v>27.190261333192279</v>
      </c>
      <c r="GA379">
        <v>39.147296117985825</v>
      </c>
      <c r="GB379">
        <v>11.880702200182423</v>
      </c>
      <c r="GC379">
        <v>9.9767111452211132</v>
      </c>
      <c r="GD379">
        <v>7.4800671813361266</v>
      </c>
      <c r="GE379">
        <v>3.4773227357228209</v>
      </c>
      <c r="GF379">
        <v>16.77859140183568</v>
      </c>
      <c r="GG379">
        <v>16.201449583342463</v>
      </c>
      <c r="GH379">
        <v>8.3957953854231722</v>
      </c>
      <c r="GI379">
        <v>16.099596295677607</v>
      </c>
      <c r="GJ379"/>
      <c r="GK379"/>
      <c r="GL379"/>
      <c r="GM379"/>
      <c r="GN379" s="208"/>
      <c r="GO379" s="208"/>
      <c r="GP379" s="208"/>
      <c r="GQ379" s="208"/>
      <c r="GR379" s="208"/>
      <c r="GS379" s="208"/>
      <c r="GT379" s="208"/>
      <c r="GU379" s="213">
        <v>374</v>
      </c>
    </row>
    <row r="380" spans="1:203" s="7" customFormat="1">
      <c r="A380" s="77" t="s">
        <v>62</v>
      </c>
      <c r="B380" s="71">
        <f t="shared" si="371"/>
        <v>39910</v>
      </c>
      <c r="C380" s="18">
        <f t="shared" si="361"/>
        <v>551.3134057971015</v>
      </c>
      <c r="D380" s="18">
        <f t="shared" si="362"/>
        <v>27.093081434004894</v>
      </c>
      <c r="E380" s="19">
        <f t="shared" si="363"/>
        <v>4.914279455046644E-2</v>
      </c>
      <c r="F380" s="19">
        <f t="shared" si="369"/>
        <v>1.1315980809484965E-2</v>
      </c>
      <c r="G380" s="18">
        <f>AVERAGE(E298:E307)*G$372</f>
        <v>0.14184737488054147</v>
      </c>
      <c r="H380" s="18">
        <f t="shared" ref="H380:AK380" si="373">AVERAGE(F298:F307)*H$372</f>
        <v>2.6897662484903382</v>
      </c>
      <c r="I380" s="18">
        <f t="shared" si="373"/>
        <v>14.138637937917229</v>
      </c>
      <c r="J380" s="18">
        <f t="shared" si="373"/>
        <v>10.122829872716784</v>
      </c>
      <c r="K380" s="18">
        <f t="shared" si="373"/>
        <v>0</v>
      </c>
      <c r="L380" s="18">
        <f t="shared" si="373"/>
        <v>0</v>
      </c>
      <c r="M380" s="18">
        <f t="shared" si="373"/>
        <v>0</v>
      </c>
      <c r="N380" s="18">
        <f t="shared" si="373"/>
        <v>0</v>
      </c>
      <c r="O380" s="18">
        <f t="shared" si="373"/>
        <v>0</v>
      </c>
      <c r="P380" s="18">
        <f t="shared" si="373"/>
        <v>0</v>
      </c>
      <c r="Q380" s="18">
        <f t="shared" si="373"/>
        <v>0</v>
      </c>
      <c r="R380" s="18">
        <f t="shared" si="373"/>
        <v>0</v>
      </c>
      <c r="S380" s="18">
        <f t="shared" si="373"/>
        <v>0</v>
      </c>
      <c r="T380" s="18">
        <f t="shared" si="373"/>
        <v>0</v>
      </c>
      <c r="U380" s="18">
        <f t="shared" si="373"/>
        <v>0</v>
      </c>
      <c r="V380" s="18">
        <f t="shared" si="373"/>
        <v>0</v>
      </c>
      <c r="W380" s="18">
        <f t="shared" si="373"/>
        <v>0</v>
      </c>
      <c r="X380" s="18">
        <f t="shared" si="373"/>
        <v>0</v>
      </c>
      <c r="Y380" s="18">
        <f t="shared" si="373"/>
        <v>0</v>
      </c>
      <c r="Z380" s="18">
        <f t="shared" si="373"/>
        <v>0</v>
      </c>
      <c r="AA380" s="18">
        <f t="shared" si="373"/>
        <v>0</v>
      </c>
      <c r="AB380" s="18">
        <f t="shared" si="373"/>
        <v>0</v>
      </c>
      <c r="AC380" s="18">
        <f t="shared" si="373"/>
        <v>0</v>
      </c>
      <c r="AD380" s="18">
        <f t="shared" si="373"/>
        <v>0</v>
      </c>
      <c r="AE380" s="18">
        <f t="shared" si="373"/>
        <v>0</v>
      </c>
      <c r="AF380" s="18">
        <f t="shared" si="373"/>
        <v>0</v>
      </c>
      <c r="AG380" s="18">
        <f t="shared" si="373"/>
        <v>0</v>
      </c>
      <c r="AH380" s="18">
        <f t="shared" si="373"/>
        <v>0</v>
      </c>
      <c r="AI380" s="18">
        <f t="shared" si="373"/>
        <v>0</v>
      </c>
      <c r="AJ380" s="18">
        <f t="shared" si="373"/>
        <v>0</v>
      </c>
      <c r="AK380" s="18">
        <f t="shared" si="373"/>
        <v>0</v>
      </c>
      <c r="AL380" s="78"/>
      <c r="AM380" s="43">
        <v>364</v>
      </c>
      <c r="AN380">
        <v>357.47276368763704</v>
      </c>
      <c r="AO380">
        <v>34.696081154291456</v>
      </c>
      <c r="AP380">
        <v>98.027648991419667</v>
      </c>
      <c r="AQ380">
        <v>260.77282011892697</v>
      </c>
      <c r="AR380">
        <v>34.703318924879788</v>
      </c>
      <c r="AS380">
        <v>302.93097000544964</v>
      </c>
      <c r="AT380">
        <v>16.384157281169532</v>
      </c>
      <c r="AU380">
        <v>6.3372755162699832</v>
      </c>
      <c r="AV380"/>
      <c r="AW380"/>
      <c r="FY380" s="213">
        <v>375</v>
      </c>
      <c r="FZ380">
        <v>28.978477404045659</v>
      </c>
      <c r="GA380">
        <v>43.740826191642206</v>
      </c>
      <c r="GB380">
        <v>11.745589482295559</v>
      </c>
      <c r="GC380">
        <v>7.7586060547396931</v>
      </c>
      <c r="GD380">
        <v>5.7585980831672314</v>
      </c>
      <c r="GE380">
        <v>4.6502464675801258</v>
      </c>
      <c r="GF380">
        <v>12.207713312353775</v>
      </c>
      <c r="GG380">
        <v>10.6120935298313</v>
      </c>
      <c r="GH380">
        <v>26.70216060479887</v>
      </c>
      <c r="GI380">
        <v>17.48200228183827</v>
      </c>
      <c r="GJ380"/>
      <c r="GK380"/>
      <c r="GL380"/>
      <c r="GM380"/>
      <c r="GN380" s="208"/>
      <c r="GO380" s="208"/>
      <c r="GP380" s="208"/>
      <c r="GQ380" s="208"/>
      <c r="GR380" s="208"/>
      <c r="GS380" s="208"/>
      <c r="GT380" s="208"/>
      <c r="GU380" s="213">
        <v>375</v>
      </c>
    </row>
    <row r="381" spans="1:203" s="7" customFormat="1">
      <c r="A381" s="1"/>
      <c r="B381" s="71">
        <f t="shared" si="371"/>
        <v>39949</v>
      </c>
      <c r="C381" s="18">
        <f t="shared" si="361"/>
        <v>98.846535567557581</v>
      </c>
      <c r="D381" s="18">
        <f t="shared" si="362"/>
        <v>12.399398642070921</v>
      </c>
      <c r="E381" s="19">
        <f t="shared" si="363"/>
        <v>0.1254409026161209</v>
      </c>
      <c r="F381" s="19">
        <f t="shared" si="369"/>
        <v>2.4028320962609182E-2</v>
      </c>
      <c r="G381" s="18">
        <f>AVERAGE(E308:E317)*G$372</f>
        <v>0</v>
      </c>
      <c r="H381" s="18">
        <f t="shared" ref="H381:AK381" si="374">AVERAGE(F308:F317)*H$372</f>
        <v>0.27613266283524901</v>
      </c>
      <c r="I381" s="18">
        <f t="shared" si="374"/>
        <v>2.2123408284151056</v>
      </c>
      <c r="J381" s="18">
        <f t="shared" si="374"/>
        <v>9.426417058841869</v>
      </c>
      <c r="K381" s="18">
        <f t="shared" si="374"/>
        <v>0.48450809197869582</v>
      </c>
      <c r="L381" s="18">
        <f t="shared" si="374"/>
        <v>0</v>
      </c>
      <c r="M381" s="18">
        <f t="shared" si="374"/>
        <v>0</v>
      </c>
      <c r="N381" s="18">
        <f t="shared" si="374"/>
        <v>0</v>
      </c>
      <c r="O381" s="18">
        <f t="shared" si="374"/>
        <v>0</v>
      </c>
      <c r="P381" s="18">
        <f t="shared" si="374"/>
        <v>0</v>
      </c>
      <c r="Q381" s="18">
        <f t="shared" si="374"/>
        <v>0</v>
      </c>
      <c r="R381" s="18">
        <f t="shared" si="374"/>
        <v>0</v>
      </c>
      <c r="S381" s="18">
        <f t="shared" si="374"/>
        <v>0</v>
      </c>
      <c r="T381" s="18">
        <f t="shared" si="374"/>
        <v>0</v>
      </c>
      <c r="U381" s="18">
        <f t="shared" si="374"/>
        <v>0</v>
      </c>
      <c r="V381" s="18">
        <f t="shared" si="374"/>
        <v>0</v>
      </c>
      <c r="W381" s="18">
        <f t="shared" si="374"/>
        <v>0</v>
      </c>
      <c r="X381" s="18">
        <f t="shared" si="374"/>
        <v>0</v>
      </c>
      <c r="Y381" s="18">
        <f t="shared" si="374"/>
        <v>0</v>
      </c>
      <c r="Z381" s="18">
        <f t="shared" si="374"/>
        <v>0</v>
      </c>
      <c r="AA381" s="18">
        <f t="shared" si="374"/>
        <v>0</v>
      </c>
      <c r="AB381" s="18">
        <f t="shared" si="374"/>
        <v>0</v>
      </c>
      <c r="AC381" s="18">
        <f t="shared" si="374"/>
        <v>0</v>
      </c>
      <c r="AD381" s="18">
        <f t="shared" si="374"/>
        <v>0</v>
      </c>
      <c r="AE381" s="18">
        <f t="shared" si="374"/>
        <v>0</v>
      </c>
      <c r="AF381" s="18">
        <f t="shared" si="374"/>
        <v>0</v>
      </c>
      <c r="AG381" s="18">
        <f t="shared" si="374"/>
        <v>0</v>
      </c>
      <c r="AH381" s="18">
        <f t="shared" si="374"/>
        <v>0</v>
      </c>
      <c r="AI381" s="18">
        <f t="shared" si="374"/>
        <v>0</v>
      </c>
      <c r="AJ381" s="18">
        <f t="shared" si="374"/>
        <v>0</v>
      </c>
      <c r="AK381" s="18">
        <f t="shared" si="374"/>
        <v>0</v>
      </c>
      <c r="AL381" s="78"/>
      <c r="AM381" s="43">
        <v>365</v>
      </c>
      <c r="AN381">
        <v>297.80955771772773</v>
      </c>
      <c r="AO381">
        <v>23.226029147799871</v>
      </c>
      <c r="AP381">
        <v>83.566857072909627</v>
      </c>
      <c r="AQ381">
        <v>160.68569062684756</v>
      </c>
      <c r="AR381">
        <v>23.393192100444484</v>
      </c>
      <c r="AS381">
        <v>214.5467998017412</v>
      </c>
      <c r="AT381">
        <v>10.134072843054845</v>
      </c>
      <c r="AU381">
        <v>0.66460530366038739</v>
      </c>
      <c r="AV381"/>
      <c r="AW381"/>
      <c r="FY381" s="213">
        <v>376</v>
      </c>
      <c r="FZ381">
        <v>23.668062904690125</v>
      </c>
      <c r="GA381">
        <v>63.305613378436874</v>
      </c>
      <c r="GB381">
        <v>22.95663055744884</v>
      </c>
      <c r="GC381">
        <v>4.8147812750136332</v>
      </c>
      <c r="GD381">
        <v>3.2676496239172996</v>
      </c>
      <c r="GE381">
        <v>2.9123358444958929</v>
      </c>
      <c r="GF381">
        <v>13.350576993670233</v>
      </c>
      <c r="GG381">
        <v>13.301112109755527</v>
      </c>
      <c r="GH381">
        <v>10.933686403437489</v>
      </c>
      <c r="GI381">
        <v>16.326963624513485</v>
      </c>
      <c r="GJ381"/>
      <c r="GK381"/>
      <c r="GL381"/>
      <c r="GM381"/>
      <c r="GN381" s="208"/>
      <c r="GO381" s="208"/>
      <c r="GP381" s="208"/>
      <c r="GQ381" s="208"/>
      <c r="GR381" s="208"/>
      <c r="GS381" s="208"/>
      <c r="GT381" s="208"/>
      <c r="GU381" s="213">
        <v>376</v>
      </c>
    </row>
    <row r="382" spans="1:203" s="7" customFormat="1">
      <c r="A382" s="1"/>
      <c r="B382" s="71">
        <f t="shared" si="371"/>
        <v>39987</v>
      </c>
      <c r="C382" s="18">
        <f t="shared" si="361"/>
        <v>50.925925925925931</v>
      </c>
      <c r="D382" s="18">
        <f t="shared" si="362"/>
        <v>14.69264451610556</v>
      </c>
      <c r="E382" s="19">
        <f t="shared" si="363"/>
        <v>0.28851011049807279</v>
      </c>
      <c r="F382" s="19">
        <f t="shared" si="369"/>
        <v>2.191829942661595E-2</v>
      </c>
      <c r="G382" s="18">
        <f>AVERAGE(E318:E327)*G$372</f>
        <v>0</v>
      </c>
      <c r="H382" s="18">
        <f t="shared" ref="H382:AK382" si="375">AVERAGE(F318:F327)*H$372</f>
        <v>0.23356221064814814</v>
      </c>
      <c r="I382" s="18">
        <f t="shared" si="375"/>
        <v>1.4833702872515078</v>
      </c>
      <c r="J382" s="18">
        <f t="shared" si="375"/>
        <v>0.4499035498985236</v>
      </c>
      <c r="K382" s="18">
        <f t="shared" si="375"/>
        <v>0</v>
      </c>
      <c r="L382" s="18">
        <f t="shared" si="375"/>
        <v>3.5141478603871565</v>
      </c>
      <c r="M382" s="18">
        <f t="shared" si="375"/>
        <v>2.8573695898683584</v>
      </c>
      <c r="N382" s="18">
        <f t="shared" si="375"/>
        <v>0</v>
      </c>
      <c r="O382" s="18">
        <f t="shared" si="375"/>
        <v>6.1542910180518637</v>
      </c>
      <c r="P382" s="18">
        <f t="shared" si="375"/>
        <v>0</v>
      </c>
      <c r="Q382" s="18">
        <f t="shared" si="375"/>
        <v>0</v>
      </c>
      <c r="R382" s="18">
        <f t="shared" si="375"/>
        <v>0</v>
      </c>
      <c r="S382" s="18">
        <f t="shared" si="375"/>
        <v>0</v>
      </c>
      <c r="T382" s="18">
        <f t="shared" si="375"/>
        <v>0</v>
      </c>
      <c r="U382" s="18">
        <f t="shared" si="375"/>
        <v>0</v>
      </c>
      <c r="V382" s="18">
        <f t="shared" si="375"/>
        <v>0</v>
      </c>
      <c r="W382" s="18">
        <f t="shared" si="375"/>
        <v>0</v>
      </c>
      <c r="X382" s="18">
        <f t="shared" si="375"/>
        <v>0</v>
      </c>
      <c r="Y382" s="18">
        <f t="shared" si="375"/>
        <v>0</v>
      </c>
      <c r="Z382" s="18">
        <f t="shared" si="375"/>
        <v>0</v>
      </c>
      <c r="AA382" s="18">
        <f t="shared" si="375"/>
        <v>0</v>
      </c>
      <c r="AB382" s="18">
        <f t="shared" si="375"/>
        <v>0</v>
      </c>
      <c r="AC382" s="18">
        <f t="shared" si="375"/>
        <v>0</v>
      </c>
      <c r="AD382" s="18">
        <f t="shared" si="375"/>
        <v>0</v>
      </c>
      <c r="AE382" s="18">
        <f t="shared" si="375"/>
        <v>0</v>
      </c>
      <c r="AF382" s="18">
        <f t="shared" si="375"/>
        <v>0</v>
      </c>
      <c r="AG382" s="18">
        <f t="shared" si="375"/>
        <v>0</v>
      </c>
      <c r="AH382" s="18">
        <f t="shared" si="375"/>
        <v>0</v>
      </c>
      <c r="AI382" s="18">
        <f t="shared" si="375"/>
        <v>0</v>
      </c>
      <c r="AJ382" s="18">
        <f t="shared" si="375"/>
        <v>0</v>
      </c>
      <c r="AK382" s="18">
        <f t="shared" si="375"/>
        <v>0</v>
      </c>
      <c r="AL382" s="78"/>
      <c r="AM382" s="43">
        <v>366</v>
      </c>
      <c r="AN382">
        <v>263.54200973683459</v>
      </c>
      <c r="AO382">
        <v>21.407842544485622</v>
      </c>
      <c r="AP382">
        <v>69.748991886408817</v>
      </c>
      <c r="AQ382">
        <v>158.05595934752327</v>
      </c>
      <c r="AR382">
        <v>21.686322652007856</v>
      </c>
      <c r="AS382">
        <v>214.6408656261797</v>
      </c>
      <c r="AT382">
        <v>10.933518801772637</v>
      </c>
      <c r="AU382">
        <v>31.689849636048887</v>
      </c>
      <c r="AV382"/>
      <c r="AW382"/>
      <c r="FY382" s="213">
        <v>377</v>
      </c>
      <c r="FZ382">
        <v>42.081232022316541</v>
      </c>
      <c r="GA382">
        <v>64.123777198072034</v>
      </c>
      <c r="GB382">
        <v>19.52487268402523</v>
      </c>
      <c r="GC382">
        <v>5.4039581822794664</v>
      </c>
      <c r="GD382">
        <v>5.031937058753206</v>
      </c>
      <c r="GE382">
        <v>7.8655280203827962</v>
      </c>
      <c r="GF382">
        <v>26.972766645942393</v>
      </c>
      <c r="GG382">
        <v>20.766784861504771</v>
      </c>
      <c r="GH382">
        <v>10.343455217250575</v>
      </c>
      <c r="GI382">
        <v>21.397474994692491</v>
      </c>
      <c r="GJ382"/>
      <c r="GK382"/>
      <c r="GL382"/>
      <c r="GM382"/>
      <c r="GN382" s="208"/>
      <c r="GO382" s="208"/>
      <c r="GP382" s="208"/>
      <c r="GQ382" s="208"/>
      <c r="GR382" s="208"/>
      <c r="GS382" s="208"/>
      <c r="GT382" s="208"/>
      <c r="GU382" s="213">
        <v>377</v>
      </c>
    </row>
    <row r="383" spans="1:203" s="7" customFormat="1">
      <c r="A383" s="1"/>
      <c r="B383" s="71"/>
      <c r="C383" s="18"/>
      <c r="D383" s="18"/>
      <c r="E383" s="19"/>
      <c r="F383" s="19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8"/>
      <c r="V383" s="18"/>
      <c r="W383" s="18"/>
      <c r="X383" s="18"/>
      <c r="Y383" s="18"/>
      <c r="Z383" s="18"/>
      <c r="AA383" s="18"/>
      <c r="AB383" s="18"/>
      <c r="AC383" s="18"/>
      <c r="AD383" s="18"/>
      <c r="AE383" s="18"/>
      <c r="AF383" s="18"/>
      <c r="AG383" s="18"/>
      <c r="AH383" s="18"/>
      <c r="AI383" s="18"/>
      <c r="AJ383" s="18"/>
      <c r="AK383" s="18"/>
      <c r="AL383" s="78"/>
      <c r="AM383" s="43">
        <v>367</v>
      </c>
      <c r="AN383">
        <v>276.08428785288692</v>
      </c>
      <c r="AO383">
        <v>26.105816879260079</v>
      </c>
      <c r="AP383">
        <v>71.785976337136447</v>
      </c>
      <c r="AQ383">
        <v>205.85794726395585</v>
      </c>
      <c r="AR383">
        <v>27.602989501292758</v>
      </c>
      <c r="AS383">
        <v>226.27410137204683</v>
      </c>
      <c r="AT383">
        <v>13.98658401319863</v>
      </c>
      <c r="AU383">
        <v>37.720632543625932</v>
      </c>
      <c r="AV383"/>
      <c r="AW383"/>
      <c r="FY383" s="213">
        <v>378</v>
      </c>
      <c r="FZ383">
        <v>43.498324190534404</v>
      </c>
      <c r="GA383">
        <v>47.547054922701214</v>
      </c>
      <c r="GB383">
        <v>8.9954977110343108</v>
      </c>
      <c r="GC383">
        <v>5.4634516454621282</v>
      </c>
      <c r="GD383">
        <v>4.4957897796552224</v>
      </c>
      <c r="GE383">
        <v>8.2140009685125381</v>
      </c>
      <c r="GF383">
        <v>17.468437512167714</v>
      </c>
      <c r="GG383">
        <v>12.45432247033631</v>
      </c>
      <c r="GH383">
        <v>11.618071282871227</v>
      </c>
      <c r="GI383">
        <v>16.391563048643651</v>
      </c>
      <c r="GJ383"/>
      <c r="GK383"/>
      <c r="GL383"/>
      <c r="GM383"/>
      <c r="GN383" s="208"/>
      <c r="GO383" s="208"/>
      <c r="GP383" s="208"/>
      <c r="GQ383" s="208"/>
      <c r="GR383" s="208"/>
      <c r="GS383" s="208"/>
      <c r="GT383" s="208"/>
      <c r="GU383" s="213">
        <v>378</v>
      </c>
    </row>
    <row r="384" spans="1:203" s="7" customFormat="1">
      <c r="A384" s="1"/>
      <c r="B384" s="71"/>
      <c r="C384" s="18"/>
      <c r="D384" s="18"/>
      <c r="E384" s="19"/>
      <c r="F384" s="19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8"/>
      <c r="V384" s="18"/>
      <c r="W384" s="18"/>
      <c r="X384" s="18"/>
      <c r="Y384" s="18"/>
      <c r="Z384" s="18"/>
      <c r="AA384" s="18"/>
      <c r="AB384" s="18"/>
      <c r="AC384" s="18"/>
      <c r="AD384" s="18"/>
      <c r="AE384" s="18"/>
      <c r="AF384" s="18"/>
      <c r="AG384" s="18"/>
      <c r="AH384" s="18"/>
      <c r="AI384" s="18"/>
      <c r="AJ384" s="18"/>
      <c r="AK384" s="18"/>
      <c r="AL384" s="78"/>
      <c r="AM384" s="43">
        <v>368</v>
      </c>
      <c r="AN384">
        <v>304.41518155585362</v>
      </c>
      <c r="AO384">
        <v>20.434027333055941</v>
      </c>
      <c r="AP384">
        <v>78.836699923484446</v>
      </c>
      <c r="AQ384">
        <v>145.17239567672829</v>
      </c>
      <c r="AR384">
        <v>20.772594832897273</v>
      </c>
      <c r="AS384">
        <v>206.79624568941171</v>
      </c>
      <c r="AT384">
        <v>9.9508690812424678</v>
      </c>
      <c r="AU384">
        <v>13.852355858458591</v>
      </c>
      <c r="AV384"/>
      <c r="AW384"/>
      <c r="FY384" s="213">
        <v>379</v>
      </c>
      <c r="FZ384">
        <v>44.519854092192588</v>
      </c>
      <c r="GA384">
        <v>52.200008067136274</v>
      </c>
      <c r="GB384">
        <v>15.813117283266861</v>
      </c>
      <c r="GC384">
        <v>9.3228309444345054</v>
      </c>
      <c r="GD384">
        <v>7.5868078117569544</v>
      </c>
      <c r="GE384">
        <v>7.0887448970218978</v>
      </c>
      <c r="GF384">
        <v>13.009407474385174</v>
      </c>
      <c r="GG384">
        <v>9.8502668700800466</v>
      </c>
      <c r="GH384">
        <v>14.134993970798732</v>
      </c>
      <c r="GI384">
        <v>20.087585431528087</v>
      </c>
      <c r="GJ384"/>
      <c r="GK384"/>
      <c r="GL384"/>
      <c r="GM384"/>
      <c r="GN384" s="208"/>
      <c r="GO384" s="208"/>
      <c r="GP384" s="208"/>
      <c r="GQ384" s="208"/>
      <c r="GR384" s="208"/>
      <c r="GS384" s="208"/>
      <c r="GT384" s="208"/>
      <c r="GU384" s="213">
        <v>379</v>
      </c>
    </row>
    <row r="385" spans="1:203" s="7" customFormat="1">
      <c r="A385" s="1"/>
      <c r="B385" s="71"/>
      <c r="C385" s="14"/>
      <c r="D385" s="14"/>
      <c r="E385" s="13"/>
      <c r="F385" s="13"/>
      <c r="G385" s="14"/>
      <c r="H385" s="14"/>
      <c r="I385" s="14"/>
      <c r="J385" s="14"/>
      <c r="K385" s="14"/>
      <c r="L385" s="14"/>
      <c r="M385" s="14"/>
      <c r="N385" s="14"/>
      <c r="O385" s="14"/>
      <c r="P385" s="14"/>
      <c r="Q385" s="14"/>
      <c r="R385" s="13"/>
      <c r="S385" s="13"/>
      <c r="T385" s="13"/>
      <c r="U385" s="13"/>
      <c r="V385" s="13"/>
      <c r="W385" s="13"/>
      <c r="X385" s="13"/>
      <c r="Y385" s="13"/>
      <c r="Z385" s="13"/>
      <c r="AA385" s="13"/>
      <c r="AB385" s="13"/>
      <c r="AC385" s="13"/>
      <c r="AD385" s="13"/>
      <c r="AE385" s="13"/>
      <c r="AF385" s="94"/>
      <c r="AG385" s="94"/>
      <c r="AH385" s="94"/>
      <c r="AI385" s="94"/>
      <c r="AJ385" s="94"/>
      <c r="AK385" s="94"/>
      <c r="AL385" s="78"/>
      <c r="AM385" s="43">
        <v>369</v>
      </c>
      <c r="AN385">
        <v>293.75113805494004</v>
      </c>
      <c r="AO385">
        <v>26.224778320139528</v>
      </c>
      <c r="AP385">
        <v>108.61993352757739</v>
      </c>
      <c r="AQ385">
        <v>177.3472701928799</v>
      </c>
      <c r="AR385">
        <v>28.505138935644304</v>
      </c>
      <c r="AS385">
        <v>230.85073195443638</v>
      </c>
      <c r="AT385">
        <v>12.904674558474317</v>
      </c>
      <c r="AU385">
        <v>9.4080621452996311</v>
      </c>
      <c r="AV385"/>
      <c r="AW385"/>
      <c r="FY385" s="213">
        <v>380</v>
      </c>
      <c r="FZ385">
        <v>68.489689678443099</v>
      </c>
      <c r="GA385">
        <v>89.296344481518489</v>
      </c>
      <c r="GB385">
        <v>15.829063783259576</v>
      </c>
      <c r="GC385">
        <v>6.8604608796071274</v>
      </c>
      <c r="GD385">
        <v>5.6146188508582018</v>
      </c>
      <c r="GE385">
        <v>6.0864008581054625</v>
      </c>
      <c r="GF385">
        <v>13.214540356675709</v>
      </c>
      <c r="GG385">
        <v>9.3903385908238235</v>
      </c>
      <c r="GH385">
        <v>17.253006266992752</v>
      </c>
      <c r="GI385">
        <v>23.029950623728418</v>
      </c>
      <c r="GJ385"/>
      <c r="GK385"/>
      <c r="GL385"/>
      <c r="GM385"/>
      <c r="GN385" s="208"/>
      <c r="GO385" s="208"/>
      <c r="GP385" s="208"/>
      <c r="GQ385" s="208"/>
      <c r="GR385" s="208"/>
      <c r="GS385" s="208"/>
      <c r="GT385" s="208"/>
      <c r="GU385" s="213">
        <v>380</v>
      </c>
    </row>
    <row r="386" spans="1:203" s="7" customFormat="1">
      <c r="A386" s="1"/>
      <c r="B386" s="13"/>
      <c r="C386" s="13"/>
      <c r="D386" s="96"/>
      <c r="E386" s="1"/>
      <c r="F386" s="1"/>
      <c r="G386" s="1"/>
      <c r="H386" s="1"/>
      <c r="I386" s="1"/>
      <c r="J386" s="14"/>
      <c r="K386" s="14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  <c r="AA386" s="13"/>
      <c r="AB386" s="13"/>
      <c r="AC386" s="13"/>
      <c r="AD386" s="13"/>
      <c r="AE386" s="13"/>
      <c r="AF386" s="94"/>
      <c r="AG386" s="94"/>
      <c r="AH386" s="94"/>
      <c r="AI386" s="94"/>
      <c r="AJ386" s="94"/>
      <c r="AK386" s="94"/>
      <c r="AL386" s="78"/>
      <c r="AM386" s="43">
        <v>370</v>
      </c>
      <c r="AN386">
        <v>293.91339203995869</v>
      </c>
      <c r="AO386">
        <v>24.180913740116658</v>
      </c>
      <c r="AP386">
        <v>78.243374721133819</v>
      </c>
      <c r="AQ386">
        <v>167.01124913531072</v>
      </c>
      <c r="AR386">
        <v>24.28897286119766</v>
      </c>
      <c r="AS386">
        <v>226.11250113498491</v>
      </c>
      <c r="AT386">
        <v>11.528027745450585</v>
      </c>
      <c r="AU386">
        <v>44.933792992905865</v>
      </c>
      <c r="AV386"/>
      <c r="AW386"/>
      <c r="FY386" s="213">
        <v>381</v>
      </c>
      <c r="FZ386">
        <v>58.407562469698178</v>
      </c>
      <c r="GA386">
        <v>75.193032119367302</v>
      </c>
      <c r="GB386">
        <v>11.707308974151013</v>
      </c>
      <c r="GC386">
        <v>6.4529796203034735</v>
      </c>
      <c r="GD386">
        <v>5.3857165562947369</v>
      </c>
      <c r="GE386">
        <v>3.3620130419727863</v>
      </c>
      <c r="GF386">
        <v>8.6469985695779918</v>
      </c>
      <c r="GG386">
        <v>11.549098890114058</v>
      </c>
      <c r="GH386">
        <v>19.682622338880989</v>
      </c>
      <c r="GI386">
        <v>19.813363189761539</v>
      </c>
      <c r="GJ386"/>
      <c r="GK386"/>
      <c r="GL386"/>
      <c r="GM386"/>
      <c r="GN386" s="208"/>
      <c r="GO386" s="208"/>
      <c r="GP386" s="208"/>
      <c r="GQ386" s="208"/>
      <c r="GR386" s="208"/>
      <c r="GS386" s="208"/>
      <c r="GT386" s="208"/>
      <c r="GU386" s="213">
        <v>381</v>
      </c>
    </row>
    <row r="387" spans="1:203" s="7" customFormat="1">
      <c r="A387" s="1"/>
      <c r="B387" s="13"/>
      <c r="C387" s="21"/>
      <c r="D387" s="96"/>
      <c r="E387" s="3"/>
      <c r="F387" s="10" t="s">
        <v>70</v>
      </c>
      <c r="G387" s="13"/>
      <c r="H387" s="10" t="s">
        <v>71</v>
      </c>
      <c r="I387" s="1"/>
      <c r="J387" s="14"/>
      <c r="K387" s="14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  <c r="AA387" s="13"/>
      <c r="AB387" s="13"/>
      <c r="AC387" s="13"/>
      <c r="AD387" s="13"/>
      <c r="AE387" s="13"/>
      <c r="AF387" s="94"/>
      <c r="AG387" s="94"/>
      <c r="AH387" s="94"/>
      <c r="AI387" s="94"/>
      <c r="AJ387" s="94"/>
      <c r="AK387" s="94"/>
      <c r="AL387" s="78"/>
      <c r="AM387" s="43">
        <v>371</v>
      </c>
      <c r="AN387">
        <v>285.41916617434487</v>
      </c>
      <c r="AO387">
        <v>28.770015487251509</v>
      </c>
      <c r="AP387">
        <v>69.692256769383093</v>
      </c>
      <c r="AQ387">
        <v>209.91965944133321</v>
      </c>
      <c r="AR387">
        <v>28.977792370115452</v>
      </c>
      <c r="AS387">
        <v>229.64097553946687</v>
      </c>
      <c r="AT387">
        <v>12.595856778853234</v>
      </c>
      <c r="AU387">
        <v>12.700553094823871</v>
      </c>
      <c r="AV387"/>
      <c r="AW387"/>
      <c r="FY387" s="213">
        <v>382</v>
      </c>
      <c r="FZ387">
        <v>56.191776081298116</v>
      </c>
      <c r="GA387">
        <v>82.422129112383786</v>
      </c>
      <c r="GB387">
        <v>23.693385619141424</v>
      </c>
      <c r="GC387">
        <v>8.9319919175656626</v>
      </c>
      <c r="GD387">
        <v>6.9752291127740786</v>
      </c>
      <c r="GE387">
        <v>2.0676002386758623</v>
      </c>
      <c r="GF387">
        <v>30.308905879461673</v>
      </c>
      <c r="GG387">
        <v>30.366211736085958</v>
      </c>
      <c r="GH387">
        <v>16.513381095566015</v>
      </c>
      <c r="GI387">
        <v>27.458658316297704</v>
      </c>
      <c r="GJ387"/>
      <c r="GK387"/>
      <c r="GL387"/>
      <c r="GM387"/>
      <c r="GN387" s="208"/>
      <c r="GO387" s="208"/>
      <c r="GP387" s="208"/>
      <c r="GQ387" s="208"/>
      <c r="GR387" s="208"/>
      <c r="GS387" s="208"/>
      <c r="GT387" s="208"/>
      <c r="GU387" s="213">
        <v>382</v>
      </c>
    </row>
    <row r="388" spans="1:203" s="7" customFormat="1">
      <c r="A388" s="1"/>
      <c r="B388" s="13"/>
      <c r="C388" s="21"/>
      <c r="D388" s="96"/>
      <c r="E388" s="3"/>
      <c r="F388" s="19">
        <f t="shared" ref="F388:F398" si="376">IF(C374&lt;1,0,LN(E374/E373)/E21)</f>
        <v>-8.4288824674202793E-4</v>
      </c>
      <c r="G388" s="13"/>
      <c r="H388" s="19">
        <f>IF(G406&lt;0,0,G406)</f>
        <v>2.9170584359940924E-2</v>
      </c>
      <c r="I388" s="1"/>
      <c r="J388" s="14"/>
      <c r="K388" s="14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  <c r="AA388" s="13"/>
      <c r="AB388" s="13"/>
      <c r="AC388" s="13"/>
      <c r="AD388" s="13"/>
      <c r="AE388" s="13"/>
      <c r="AF388" s="94"/>
      <c r="AG388" s="94"/>
      <c r="AH388" s="94"/>
      <c r="AI388" s="94"/>
      <c r="AJ388" s="94"/>
      <c r="AK388" s="94"/>
      <c r="AL388" s="78"/>
      <c r="AM388" s="43">
        <v>372</v>
      </c>
      <c r="AN388">
        <v>330.57517564608065</v>
      </c>
      <c r="AO388">
        <v>30.067019885422773</v>
      </c>
      <c r="AP388">
        <v>78.217845697984046</v>
      </c>
      <c r="AQ388">
        <v>224.81836788285366</v>
      </c>
      <c r="AR388">
        <v>31.171431769680751</v>
      </c>
      <c r="AS388">
        <v>285.65511309979041</v>
      </c>
      <c r="AT388">
        <v>14.922161619657984</v>
      </c>
      <c r="AU388">
        <v>35.002895243985421</v>
      </c>
      <c r="AV388"/>
      <c r="AW388"/>
      <c r="FY388" s="213">
        <v>383</v>
      </c>
      <c r="FZ388">
        <v>55.716122716310295</v>
      </c>
      <c r="GA388">
        <v>69.049295649983421</v>
      </c>
      <c r="GB388">
        <v>19.876607187606261</v>
      </c>
      <c r="GC388">
        <v>4.2835827433246383</v>
      </c>
      <c r="GD388">
        <v>3.4309400048417782</v>
      </c>
      <c r="GE388">
        <v>3.7188395140152832</v>
      </c>
      <c r="GF388">
        <v>12.991335413920254</v>
      </c>
      <c r="GG388">
        <v>11.878857504104733</v>
      </c>
      <c r="GH388">
        <v>8.6454400094045276</v>
      </c>
      <c r="GI388">
        <v>19.780101088136973</v>
      </c>
      <c r="GJ388"/>
      <c r="GK388"/>
      <c r="GL388"/>
      <c r="GM388"/>
      <c r="GN388" s="208"/>
      <c r="GO388" s="208"/>
      <c r="GP388" s="208"/>
      <c r="GQ388" s="208"/>
      <c r="GR388" s="208"/>
      <c r="GS388" s="208"/>
      <c r="GT388" s="208"/>
      <c r="GU388" s="213">
        <v>383</v>
      </c>
    </row>
    <row r="389" spans="1:203" s="7" customFormat="1">
      <c r="A389" s="1"/>
      <c r="B389" s="13"/>
      <c r="C389" s="21"/>
      <c r="D389" s="96"/>
      <c r="E389" s="3"/>
      <c r="F389" s="19">
        <f t="shared" si="376"/>
        <v>-1.5885806336729022E-2</v>
      </c>
      <c r="G389" s="13"/>
      <c r="H389" s="19">
        <f t="shared" ref="H389:H398" si="377">IF(G407&lt;0,0,G407)</f>
        <v>4.8851679458663116E-2</v>
      </c>
      <c r="I389" s="1"/>
      <c r="J389" s="14"/>
      <c r="K389" s="14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  <c r="AA389" s="13"/>
      <c r="AB389" s="13"/>
      <c r="AC389" s="13"/>
      <c r="AD389" s="13"/>
      <c r="AE389" s="13"/>
      <c r="AF389" s="94"/>
      <c r="AG389" s="94"/>
      <c r="AH389" s="94"/>
      <c r="AI389" s="94"/>
      <c r="AJ389" s="94"/>
      <c r="AK389" s="94"/>
      <c r="AL389" s="78"/>
      <c r="AM389" s="43">
        <v>373</v>
      </c>
      <c r="AN389">
        <v>279.94014979558449</v>
      </c>
      <c r="AO389">
        <v>21.030997340660029</v>
      </c>
      <c r="AP389">
        <v>113.90071132606221</v>
      </c>
      <c r="AQ389">
        <v>142.39152319746074</v>
      </c>
      <c r="AR389">
        <v>21.28668357064338</v>
      </c>
      <c r="AS389">
        <v>197.92047230892217</v>
      </c>
      <c r="AT389">
        <v>10.754832215353</v>
      </c>
      <c r="AU389">
        <v>35.019955969075369</v>
      </c>
      <c r="AV389"/>
      <c r="AW389"/>
      <c r="FY389" s="213">
        <v>384</v>
      </c>
      <c r="FZ389">
        <v>52.947723438604079</v>
      </c>
      <c r="GA389">
        <v>77.575612894529826</v>
      </c>
      <c r="GB389">
        <v>15.333301723910516</v>
      </c>
      <c r="GC389">
        <v>4.2044785708643699</v>
      </c>
      <c r="GD389">
        <v>3.5852375573279605</v>
      </c>
      <c r="GE389">
        <v>3.7925932165593101</v>
      </c>
      <c r="GF389">
        <v>24.760374286281881</v>
      </c>
      <c r="GG389">
        <v>23.010570013399064</v>
      </c>
      <c r="GH389">
        <v>7.7296444064539047</v>
      </c>
      <c r="GI389">
        <v>20.05503351406885</v>
      </c>
      <c r="GJ389"/>
      <c r="GK389"/>
      <c r="GL389"/>
      <c r="GM389"/>
      <c r="GN389" s="208"/>
      <c r="GO389" s="208"/>
      <c r="GP389" s="208"/>
      <c r="GQ389" s="208"/>
      <c r="GR389" s="208"/>
      <c r="GS389" s="208"/>
      <c r="GT389" s="208"/>
      <c r="GU389" s="213">
        <v>384</v>
      </c>
    </row>
    <row r="390" spans="1:203" s="7" customFormat="1">
      <c r="A390" s="1"/>
      <c r="B390" s="13"/>
      <c r="C390" s="21"/>
      <c r="D390" s="96"/>
      <c r="E390" s="3"/>
      <c r="F390" s="19">
        <f t="shared" si="376"/>
        <v>-7.7723121279793764E-2</v>
      </c>
      <c r="G390" s="13"/>
      <c r="H390" s="19">
        <f t="shared" si="377"/>
        <v>5.0194239506641314E-2</v>
      </c>
      <c r="I390" s="1"/>
      <c r="J390" s="14"/>
      <c r="K390" s="14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  <c r="AA390" s="13"/>
      <c r="AB390" s="13"/>
      <c r="AC390" s="13"/>
      <c r="AD390" s="13"/>
      <c r="AE390" s="13"/>
      <c r="AF390" s="94"/>
      <c r="AG390" s="94"/>
      <c r="AH390" s="94"/>
      <c r="AI390" s="94"/>
      <c r="AJ390" s="94"/>
      <c r="AK390" s="94"/>
      <c r="AL390" s="78"/>
      <c r="AM390" s="43">
        <v>374</v>
      </c>
      <c r="AN390">
        <v>325.66381186405073</v>
      </c>
      <c r="AO390">
        <v>23.918983713199445</v>
      </c>
      <c r="AP390">
        <v>113.47659509206451</v>
      </c>
      <c r="AQ390">
        <v>156.62779337991952</v>
      </c>
      <c r="AR390">
        <v>23.227832992439229</v>
      </c>
      <c r="AS390">
        <v>230.92235794036273</v>
      </c>
      <c r="AT390">
        <v>10.73993582860175</v>
      </c>
      <c r="AU390">
        <v>27.515686904038496</v>
      </c>
      <c r="AV390"/>
      <c r="AW390"/>
      <c r="FY390" s="213">
        <v>385</v>
      </c>
      <c r="FZ390">
        <v>37.972398427817488</v>
      </c>
      <c r="GA390">
        <v>53.093572248669894</v>
      </c>
      <c r="GB390">
        <v>15.981888228324063</v>
      </c>
      <c r="GC390">
        <v>6.095560523449727</v>
      </c>
      <c r="GD390">
        <v>5.1392218125166291</v>
      </c>
      <c r="GE390">
        <v>4.6751944441806721</v>
      </c>
      <c r="GF390">
        <v>23.263286696591756</v>
      </c>
      <c r="GG390">
        <v>22.317883826550574</v>
      </c>
      <c r="GH390">
        <v>8.1375640400965956</v>
      </c>
      <c r="GI390">
        <v>18.724382905384815</v>
      </c>
      <c r="GJ390"/>
      <c r="GK390"/>
      <c r="GL390"/>
      <c r="GM390"/>
      <c r="GN390" s="208"/>
      <c r="GO390" s="208"/>
      <c r="GP390" s="208"/>
      <c r="GQ390" s="208"/>
      <c r="GR390" s="208"/>
      <c r="GS390" s="208"/>
      <c r="GT390" s="208"/>
      <c r="GU390" s="213">
        <v>385</v>
      </c>
    </row>
    <row r="391" spans="1:203" s="7" customFormat="1">
      <c r="A391" s="1"/>
      <c r="B391" s="13"/>
      <c r="C391" s="21"/>
      <c r="D391" s="96"/>
      <c r="E391" s="3"/>
      <c r="F391" s="19">
        <f t="shared" si="376"/>
        <v>3.4164158433460629E-2</v>
      </c>
      <c r="G391" s="13"/>
      <c r="H391" s="19">
        <f t="shared" si="377"/>
        <v>2.5100166317117811E-2</v>
      </c>
      <c r="I391" s="1"/>
      <c r="J391" s="14"/>
      <c r="K391" s="14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  <c r="AA391" s="13"/>
      <c r="AB391" s="13"/>
      <c r="AC391" s="13"/>
      <c r="AD391" s="13"/>
      <c r="AE391" s="13"/>
      <c r="AF391" s="94"/>
      <c r="AG391" s="94"/>
      <c r="AH391" s="94"/>
      <c r="AI391" s="94"/>
      <c r="AJ391" s="94"/>
      <c r="AK391" s="94"/>
      <c r="AL391" s="78"/>
      <c r="AM391" s="43">
        <v>375</v>
      </c>
      <c r="AN391">
        <v>339.47331398196587</v>
      </c>
      <c r="AO391">
        <v>24.364419683878573</v>
      </c>
      <c r="AP391">
        <v>128.72232021337823</v>
      </c>
      <c r="AQ391">
        <v>169.63631341229268</v>
      </c>
      <c r="AR391">
        <v>25.517697370750501</v>
      </c>
      <c r="AS391">
        <v>241.3826756005702</v>
      </c>
      <c r="AT391">
        <v>11.087362409776697</v>
      </c>
      <c r="AU391">
        <v>10.352520848833981</v>
      </c>
      <c r="AV391"/>
      <c r="AW391"/>
      <c r="FY391" s="213">
        <v>386</v>
      </c>
      <c r="FZ391">
        <v>42.103560213443373</v>
      </c>
      <c r="GA391">
        <v>57.629446000477621</v>
      </c>
      <c r="GB391">
        <v>16.368119274683785</v>
      </c>
      <c r="GC391">
        <v>7.0528107129179265</v>
      </c>
      <c r="GD391">
        <v>6.1559984662710185</v>
      </c>
      <c r="GE391">
        <v>6.8422103429099241</v>
      </c>
      <c r="GF391">
        <v>22.573556254947398</v>
      </c>
      <c r="GG391">
        <v>18.055903100496018</v>
      </c>
      <c r="GH391">
        <v>17.218474172613906</v>
      </c>
      <c r="GI391">
        <v>21.310824508592557</v>
      </c>
      <c r="GJ391"/>
      <c r="GK391"/>
      <c r="GL391"/>
      <c r="GM391"/>
      <c r="GN391" s="208"/>
      <c r="GO391" s="208"/>
      <c r="GP391" s="208"/>
      <c r="GQ391" s="208"/>
      <c r="GR391" s="208"/>
      <c r="GS391" s="208"/>
      <c r="GT391" s="208"/>
      <c r="GU391" s="213">
        <v>386</v>
      </c>
    </row>
    <row r="392" spans="1:203" s="7" customFormat="1">
      <c r="A392" s="1"/>
      <c r="B392" s="13"/>
      <c r="C392" s="21"/>
      <c r="D392" s="96"/>
      <c r="E392" s="3"/>
      <c r="F392" s="19">
        <f t="shared" si="376"/>
        <v>-5.1144916346741289E-3</v>
      </c>
      <c r="G392" s="13"/>
      <c r="H392" s="19">
        <f t="shared" si="377"/>
        <v>2.9006641205086503E-2</v>
      </c>
      <c r="I392" s="1"/>
      <c r="J392" s="14"/>
      <c r="K392" s="14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  <c r="AA392" s="13"/>
      <c r="AB392" s="13"/>
      <c r="AC392" s="13"/>
      <c r="AD392" s="13"/>
      <c r="AE392" s="13"/>
      <c r="AF392" s="94"/>
      <c r="AG392" s="94"/>
      <c r="AH392" s="94"/>
      <c r="AI392" s="94"/>
      <c r="AJ392" s="94"/>
      <c r="AK392" s="94"/>
      <c r="AL392" s="78"/>
      <c r="AM392" s="43">
        <v>376</v>
      </c>
      <c r="AN392">
        <v>267.11490545006637</v>
      </c>
      <c r="AO392">
        <v>25.469995514922953</v>
      </c>
      <c r="AP392">
        <v>76.117490463555683</v>
      </c>
      <c r="AQ392">
        <v>174.83741271537943</v>
      </c>
      <c r="AR392">
        <v>24.781503348501538</v>
      </c>
      <c r="AS392">
        <v>257.39684115498846</v>
      </c>
      <c r="AT392">
        <v>8.6633442379133694</v>
      </c>
      <c r="AU392">
        <v>-12.644271096600008</v>
      </c>
      <c r="AV392"/>
      <c r="AW392"/>
      <c r="FY392" s="213">
        <v>387</v>
      </c>
      <c r="FZ392">
        <v>20.334189621602928</v>
      </c>
      <c r="GA392">
        <v>38.677307369103495</v>
      </c>
      <c r="GB392">
        <v>12.717220397038659</v>
      </c>
      <c r="GC392">
        <v>9.0279503468189795</v>
      </c>
      <c r="GD392">
        <v>6.8043061021578852</v>
      </c>
      <c r="GE392">
        <v>3.4364873668395148</v>
      </c>
      <c r="GF392">
        <v>2.239629523671212</v>
      </c>
      <c r="GG392">
        <v>4.9926276411082746</v>
      </c>
      <c r="GH392">
        <v>9.7398028776555901</v>
      </c>
      <c r="GI392">
        <v>12.528827882902853</v>
      </c>
      <c r="GJ392"/>
      <c r="GK392"/>
      <c r="GL392"/>
      <c r="GM392"/>
      <c r="GN392" s="208"/>
      <c r="GO392" s="208"/>
      <c r="GP392" s="208"/>
      <c r="GQ392" s="208"/>
      <c r="GR392" s="208"/>
      <c r="GS392" s="208"/>
      <c r="GT392" s="208"/>
      <c r="GU392" s="213">
        <v>387</v>
      </c>
    </row>
    <row r="393" spans="1:203" s="7" customFormat="1">
      <c r="A393" s="1"/>
      <c r="B393" s="13"/>
      <c r="C393" s="21"/>
      <c r="D393" s="96"/>
      <c r="E393" s="3"/>
      <c r="F393" s="19">
        <f t="shared" si="376"/>
        <v>-1.0562095988936397E-2</v>
      </c>
      <c r="G393" s="13"/>
      <c r="H393" s="19">
        <f t="shared" si="377"/>
        <v>4.6968939638909767E-2</v>
      </c>
      <c r="I393" s="1"/>
      <c r="J393" s="14"/>
      <c r="K393" s="14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  <c r="AA393" s="13"/>
      <c r="AB393" s="13"/>
      <c r="AC393" s="13"/>
      <c r="AD393" s="13"/>
      <c r="AE393" s="13"/>
      <c r="AF393" s="94"/>
      <c r="AG393" s="94"/>
      <c r="AH393" s="94"/>
      <c r="AI393" s="94"/>
      <c r="AJ393" s="94"/>
      <c r="AK393" s="94"/>
      <c r="AL393" s="78"/>
      <c r="AM393" s="43">
        <v>377</v>
      </c>
      <c r="AN393">
        <v>376.96303662274863</v>
      </c>
      <c r="AO393">
        <v>31.87153140303128</v>
      </c>
      <c r="AP393">
        <v>87.695594540319064</v>
      </c>
      <c r="AQ393">
        <v>223.51178688521946</v>
      </c>
      <c r="AR393">
        <v>31.990125992231022</v>
      </c>
      <c r="AS393">
        <v>312.452558142383</v>
      </c>
      <c r="AT393">
        <v>13.757028175092012</v>
      </c>
      <c r="AU393">
        <v>1.1213735257414577</v>
      </c>
      <c r="AV393"/>
      <c r="AW393"/>
      <c r="FY393" s="213">
        <v>388</v>
      </c>
      <c r="FZ393">
        <v>54.842548417996447</v>
      </c>
      <c r="GA393">
        <v>56.063328201613309</v>
      </c>
      <c r="GB393">
        <v>8.9996324402583259</v>
      </c>
      <c r="GC393">
        <v>4.9251384194255214</v>
      </c>
      <c r="GD393">
        <v>4.6695408298414947</v>
      </c>
      <c r="GE393">
        <v>7.4420389823382607</v>
      </c>
      <c r="GF393">
        <v>25.827410442214198</v>
      </c>
      <c r="GG393">
        <v>21.294867111297659</v>
      </c>
      <c r="GH393">
        <v>13.970148534986967</v>
      </c>
      <c r="GI393">
        <v>20.196487652163757</v>
      </c>
      <c r="GJ393"/>
      <c r="GK393"/>
      <c r="GL393"/>
      <c r="GM393"/>
      <c r="GN393" s="208"/>
      <c r="GO393" s="208"/>
      <c r="GP393" s="208"/>
      <c r="GQ393" s="208"/>
      <c r="GR393" s="208"/>
      <c r="GS393" s="208"/>
      <c r="GT393" s="208"/>
      <c r="GU393" s="213">
        <v>388</v>
      </c>
    </row>
    <row r="394" spans="1:203" s="7" customFormat="1">
      <c r="A394" s="1"/>
      <c r="B394" s="13"/>
      <c r="C394" s="21"/>
      <c r="D394" s="96"/>
      <c r="E394" s="3"/>
      <c r="F394" s="19">
        <f t="shared" si="376"/>
        <v>1.1315980809484965E-2</v>
      </c>
      <c r="G394" s="13"/>
      <c r="H394" s="19">
        <f t="shared" si="377"/>
        <v>4.9763284692210856E-2</v>
      </c>
      <c r="I394" s="1"/>
      <c r="J394" s="14"/>
      <c r="K394" s="14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  <c r="AA394" s="13"/>
      <c r="AB394" s="13"/>
      <c r="AC394" s="13"/>
      <c r="AD394" s="13"/>
      <c r="AE394" s="13"/>
      <c r="AF394" s="94"/>
      <c r="AG394" s="94"/>
      <c r="AH394" s="94"/>
      <c r="AI394" s="94"/>
      <c r="AJ394" s="94"/>
      <c r="AK394" s="94"/>
      <c r="AL394" s="78"/>
      <c r="AM394" s="43">
        <v>378</v>
      </c>
      <c r="AN394">
        <v>367.1846216755477</v>
      </c>
      <c r="AO394">
        <v>23.844359100614419</v>
      </c>
      <c r="AP394">
        <v>91.471758085273919</v>
      </c>
      <c r="AQ394">
        <v>176.14651353191874</v>
      </c>
      <c r="AR394">
        <v>23.787933071815132</v>
      </c>
      <c r="AS394">
        <v>241.83330154185541</v>
      </c>
      <c r="AT394">
        <v>11.396418339909852</v>
      </c>
      <c r="AU394">
        <v>-2.5656909866144311</v>
      </c>
      <c r="AV394"/>
      <c r="AW394"/>
      <c r="FY394" s="213">
        <v>389</v>
      </c>
      <c r="FZ394">
        <v>39.479826536950554</v>
      </c>
      <c r="GA394">
        <v>40.911501612617677</v>
      </c>
      <c r="GB394">
        <v>7.7297846366990317</v>
      </c>
      <c r="GC394">
        <v>5.954729003007972</v>
      </c>
      <c r="GD394">
        <v>6.0770725536031822</v>
      </c>
      <c r="GE394">
        <v>7.1276603553881559</v>
      </c>
      <c r="GF394">
        <v>16.844287243598561</v>
      </c>
      <c r="GG394">
        <v>13.853147926652127</v>
      </c>
      <c r="GH394">
        <v>7.4691204276711511</v>
      </c>
      <c r="GI394">
        <v>15.724777231486284</v>
      </c>
      <c r="GJ394"/>
      <c r="GK394"/>
      <c r="GL394"/>
      <c r="GM394"/>
      <c r="GN394" s="208"/>
      <c r="GO394" s="208"/>
      <c r="GP394" s="208"/>
      <c r="GQ394" s="208"/>
      <c r="GR394" s="208"/>
      <c r="GS394" s="208"/>
      <c r="GT394" s="208"/>
      <c r="GU394" s="213">
        <v>389</v>
      </c>
    </row>
    <row r="395" spans="1:203" s="7" customFormat="1">
      <c r="A395" s="1"/>
      <c r="B395" s="13"/>
      <c r="C395" s="21"/>
      <c r="D395" s="96"/>
      <c r="E395" s="3"/>
      <c r="F395" s="19">
        <f t="shared" si="376"/>
        <v>2.4028320962609182E-2</v>
      </c>
      <c r="G395" s="13"/>
      <c r="H395" s="19">
        <f t="shared" si="377"/>
        <v>4.0736834404826013E-2</v>
      </c>
      <c r="I395" s="1"/>
      <c r="J395" s="14"/>
      <c r="K395" s="14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  <c r="AA395" s="13"/>
      <c r="AB395" s="13"/>
      <c r="AC395" s="13"/>
      <c r="AD395" s="13"/>
      <c r="AE395" s="13"/>
      <c r="AF395" s="94"/>
      <c r="AG395" s="94"/>
      <c r="AH395" s="94"/>
      <c r="AI395" s="94"/>
      <c r="AJ395" s="94"/>
      <c r="AK395" s="94"/>
      <c r="AL395" s="78"/>
      <c r="AM395" s="43">
        <v>379</v>
      </c>
      <c r="AN395">
        <v>362.48837627866573</v>
      </c>
      <c r="AO395">
        <v>28.886954183142951</v>
      </c>
      <c r="AP395">
        <v>109.82194943506764</v>
      </c>
      <c r="AQ395">
        <v>193.61361684260115</v>
      </c>
      <c r="AR395">
        <v>29.876316918717837</v>
      </c>
      <c r="AS395">
        <v>278.13828755662951</v>
      </c>
      <c r="AT395">
        <v>13.040135964764723</v>
      </c>
      <c r="AU395">
        <v>1.1575157787118329</v>
      </c>
      <c r="AV395"/>
      <c r="AW395"/>
      <c r="FY395" s="213">
        <v>390</v>
      </c>
      <c r="FZ395">
        <v>47.207051850776288</v>
      </c>
      <c r="GA395">
        <v>66.163285167870171</v>
      </c>
      <c r="GB395">
        <v>12.816676975768887</v>
      </c>
      <c r="GC395">
        <v>5.3182607879857358</v>
      </c>
      <c r="GD395">
        <v>4.9811888260944475</v>
      </c>
      <c r="GE395">
        <v>7.1284366248331983</v>
      </c>
      <c r="GF395">
        <v>15.853513923395328</v>
      </c>
      <c r="GG395">
        <v>12.422152624335855</v>
      </c>
      <c r="GH395">
        <v>7.2269292593315502</v>
      </c>
      <c r="GI395">
        <v>17.527846915092301</v>
      </c>
      <c r="GJ395"/>
      <c r="GK395"/>
      <c r="GL395"/>
      <c r="GM395"/>
      <c r="GN395" s="208"/>
      <c r="GO395" s="208"/>
      <c r="GP395" s="208"/>
      <c r="GQ395" s="208"/>
      <c r="GR395" s="208"/>
      <c r="GS395" s="208"/>
      <c r="GT395" s="208"/>
      <c r="GU395" s="213">
        <v>390</v>
      </c>
    </row>
    <row r="396" spans="1:203" s="7" customFormat="1">
      <c r="A396" s="1"/>
      <c r="B396" s="13"/>
      <c r="C396" s="21"/>
      <c r="D396" s="96"/>
      <c r="E396" s="3"/>
      <c r="F396" s="19">
        <f t="shared" si="376"/>
        <v>2.191829942661595E-2</v>
      </c>
      <c r="G396" s="13"/>
      <c r="H396" s="19">
        <f t="shared" si="377"/>
        <v>5.7489406536644819E-2</v>
      </c>
      <c r="I396" s="1"/>
      <c r="J396" s="14"/>
      <c r="K396" s="14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  <c r="AA396" s="13"/>
      <c r="AB396" s="13"/>
      <c r="AC396" s="13"/>
      <c r="AD396" s="13"/>
      <c r="AE396" s="13"/>
      <c r="AF396" s="94"/>
      <c r="AG396" s="94"/>
      <c r="AH396" s="94"/>
      <c r="AI396" s="94"/>
      <c r="AJ396" s="94"/>
      <c r="AK396" s="94"/>
      <c r="AL396" s="78"/>
      <c r="AM396" s="43">
        <v>380</v>
      </c>
      <c r="AN396">
        <v>337.04918190254887</v>
      </c>
      <c r="AO396">
        <v>34.173823696828791</v>
      </c>
      <c r="AP396">
        <v>116.24709924922433</v>
      </c>
      <c r="AQ396">
        <v>255.06441437001266</v>
      </c>
      <c r="AR396">
        <v>34.630554849358433</v>
      </c>
      <c r="AS396">
        <v>269.87198257572157</v>
      </c>
      <c r="AT396">
        <v>15.100879661718563</v>
      </c>
      <c r="AU396">
        <v>-21.781787153063739</v>
      </c>
      <c r="AV396"/>
      <c r="AW396"/>
      <c r="FY396" s="213">
        <v>391</v>
      </c>
      <c r="FZ396">
        <v>49.798924943240657</v>
      </c>
      <c r="GA396">
        <v>37.016399376651329</v>
      </c>
      <c r="GB396">
        <v>5.4696323553431618</v>
      </c>
      <c r="GC396">
        <v>5.4245041542293491</v>
      </c>
      <c r="GD396">
        <v>3.4351942370791777</v>
      </c>
      <c r="GE396">
        <v>2.8646590412749839</v>
      </c>
      <c r="GF396">
        <v>23.003449035119587</v>
      </c>
      <c r="GG396">
        <v>20.959344222539354</v>
      </c>
      <c r="GH396">
        <v>15.71657568312415</v>
      </c>
      <c r="GI396">
        <v>17.332118444163406</v>
      </c>
      <c r="GJ396"/>
      <c r="GK396"/>
      <c r="GL396"/>
      <c r="GM396"/>
      <c r="GN396" s="208"/>
      <c r="GO396" s="208"/>
      <c r="GP396" s="208"/>
      <c r="GQ396" s="208"/>
      <c r="GR396" s="208"/>
      <c r="GS396" s="208"/>
      <c r="GT396" s="208"/>
      <c r="GU396" s="213">
        <v>391</v>
      </c>
    </row>
    <row r="397" spans="1:203" s="7" customFormat="1">
      <c r="A397" s="1"/>
      <c r="B397" s="13"/>
      <c r="C397" s="21"/>
      <c r="D397" s="96"/>
      <c r="E397" s="3"/>
      <c r="F397" s="19">
        <f t="shared" si="376"/>
        <v>0</v>
      </c>
      <c r="G397" s="13"/>
      <c r="H397" s="19">
        <f t="shared" si="377"/>
        <v>0</v>
      </c>
      <c r="I397" s="1"/>
      <c r="J397" s="14"/>
      <c r="K397" s="14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  <c r="AA397" s="13"/>
      <c r="AB397" s="13"/>
      <c r="AC397" s="13"/>
      <c r="AD397" s="13"/>
      <c r="AE397" s="13"/>
      <c r="AF397" s="94"/>
      <c r="AG397" s="94"/>
      <c r="AH397" s="94"/>
      <c r="AI397" s="94"/>
      <c r="AJ397" s="94"/>
      <c r="AK397" s="94"/>
      <c r="AL397" s="78"/>
      <c r="AM397" s="43">
        <v>381</v>
      </c>
      <c r="AN397">
        <v>289.43102457690873</v>
      </c>
      <c r="AO397">
        <v>28.873720307652075</v>
      </c>
      <c r="AP397">
        <v>130.18310017700969</v>
      </c>
      <c r="AQ397">
        <v>220.20069577012205</v>
      </c>
      <c r="AR397">
        <v>28.924861364709876</v>
      </c>
      <c r="AS397">
        <v>237.46281626518496</v>
      </c>
      <c r="AT397">
        <v>13.27045737027283</v>
      </c>
      <c r="AU397">
        <v>8.5090538519453993</v>
      </c>
      <c r="AV397"/>
      <c r="AW397"/>
      <c r="FY397" s="213">
        <v>392</v>
      </c>
      <c r="FZ397">
        <v>56.255372169071421</v>
      </c>
      <c r="GA397">
        <v>48.358892138726254</v>
      </c>
      <c r="GB397">
        <v>9.5169063474709752</v>
      </c>
      <c r="GC397">
        <v>6.3702365721916827</v>
      </c>
      <c r="GD397">
        <v>5.3491061928976951</v>
      </c>
      <c r="GE397">
        <v>6.4116328285843913</v>
      </c>
      <c r="GF397">
        <v>11.114035738443487</v>
      </c>
      <c r="GG397">
        <v>9.7988251094893375</v>
      </c>
      <c r="GH397">
        <v>16.465069122370224</v>
      </c>
      <c r="GI397">
        <v>18.558651748120869</v>
      </c>
      <c r="GJ397"/>
      <c r="GK397"/>
      <c r="GL397"/>
      <c r="GM397"/>
      <c r="GN397" s="208"/>
      <c r="GO397" s="208"/>
      <c r="GP397" s="208"/>
      <c r="GQ397" s="208"/>
      <c r="GR397" s="208"/>
      <c r="GS397" s="208"/>
      <c r="GT397" s="208"/>
      <c r="GU397" s="213">
        <v>392</v>
      </c>
    </row>
    <row r="398" spans="1:203" s="7" customFormat="1">
      <c r="A398" s="1"/>
      <c r="B398" s="13"/>
      <c r="C398" s="21"/>
      <c r="D398" s="96"/>
      <c r="E398" s="3"/>
      <c r="F398" s="19">
        <f t="shared" si="376"/>
        <v>0</v>
      </c>
      <c r="G398" s="13"/>
      <c r="H398" s="19">
        <f t="shared" si="377"/>
        <v>0</v>
      </c>
      <c r="I398" s="1"/>
      <c r="J398" s="14"/>
      <c r="K398" s="14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  <c r="AA398" s="13"/>
      <c r="AB398" s="13"/>
      <c r="AC398" s="13"/>
      <c r="AD398" s="13"/>
      <c r="AE398" s="13"/>
      <c r="AF398" s="94"/>
      <c r="AG398" s="94"/>
      <c r="AH398" s="94"/>
      <c r="AI398" s="94"/>
      <c r="AJ398" s="94"/>
      <c r="AK398" s="94"/>
      <c r="AL398" s="78"/>
      <c r="AM398" s="43">
        <v>382</v>
      </c>
      <c r="AN398">
        <v>397.70613063156571</v>
      </c>
      <c r="AO398">
        <v>40.799814710314813</v>
      </c>
      <c r="AP398">
        <v>485.58324605760589</v>
      </c>
      <c r="AQ398">
        <v>284.92926910925024</v>
      </c>
      <c r="AR398">
        <v>41.409991344782817</v>
      </c>
      <c r="AS398">
        <v>338.92494842208635</v>
      </c>
      <c r="AT398" t="e">
        <v>#DIV/0!</v>
      </c>
      <c r="AU398" t="e">
        <v>#DIV/0!</v>
      </c>
      <c r="AV398"/>
      <c r="AW398"/>
      <c r="FY398" s="213">
        <v>393</v>
      </c>
      <c r="FZ398">
        <v>35.037705109000427</v>
      </c>
      <c r="GA398">
        <v>55.710603245284751</v>
      </c>
      <c r="GB398">
        <v>17.1012435447489</v>
      </c>
      <c r="GC398">
        <v>7.5863956338426686</v>
      </c>
      <c r="GD398">
        <v>5.6972871544442452</v>
      </c>
      <c r="GE398">
        <v>3.2542215959777514</v>
      </c>
      <c r="GF398">
        <v>35.294202784042625</v>
      </c>
      <c r="GG398">
        <v>33.467064771694965</v>
      </c>
      <c r="GH398">
        <v>16.159467654434678</v>
      </c>
      <c r="GI398">
        <v>22.4294375845659</v>
      </c>
      <c r="GJ398"/>
      <c r="GK398"/>
      <c r="GL398"/>
      <c r="GM398"/>
      <c r="GN398" s="208"/>
      <c r="GO398" s="208"/>
      <c r="GP398" s="208"/>
      <c r="GQ398" s="208"/>
      <c r="GR398" s="208"/>
      <c r="GS398" s="208"/>
      <c r="GT398" s="208"/>
      <c r="GU398" s="213">
        <v>393</v>
      </c>
    </row>
    <row r="399" spans="1:203" s="7" customFormat="1">
      <c r="A399" s="1"/>
      <c r="B399" s="1"/>
      <c r="C399" s="3"/>
      <c r="D399" s="3"/>
      <c r="E399" s="1"/>
      <c r="F399" s="1"/>
      <c r="G399" s="2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78"/>
      <c r="AG399" s="78"/>
      <c r="AH399" s="78"/>
      <c r="AI399" s="78"/>
      <c r="AJ399" s="78"/>
      <c r="AK399" s="78"/>
      <c r="AL399" s="78"/>
      <c r="AM399" s="43">
        <v>383</v>
      </c>
      <c r="AN399">
        <v>256.49126933197653</v>
      </c>
      <c r="AO399">
        <v>29.011871577105161</v>
      </c>
      <c r="AP399">
        <v>46.990262626038806</v>
      </c>
      <c r="AQ399">
        <v>209.37112183164814</v>
      </c>
      <c r="AR399">
        <v>30.227146710701895</v>
      </c>
      <c r="AS399">
        <v>216.10323866860676</v>
      </c>
      <c r="AT399">
        <v>11.765918508768101</v>
      </c>
      <c r="AU399">
        <v>2.9514122416188897</v>
      </c>
      <c r="AV399"/>
      <c r="AW399"/>
      <c r="FY399" s="213">
        <v>394</v>
      </c>
      <c r="FZ399">
        <v>39.616419194960201</v>
      </c>
      <c r="GA399">
        <v>57.558867171384215</v>
      </c>
      <c r="GB399">
        <v>20.066670637150455</v>
      </c>
      <c r="GC399">
        <v>7.2801316842202919</v>
      </c>
      <c r="GD399">
        <v>5.7588462312984294</v>
      </c>
      <c r="GE399">
        <v>6.0889791381831309</v>
      </c>
      <c r="GF399">
        <v>32.610110330429357</v>
      </c>
      <c r="GG399">
        <v>26.960472370523849</v>
      </c>
      <c r="GH399">
        <v>10.571318306317915</v>
      </c>
      <c r="GI399">
        <v>22.593844755033015</v>
      </c>
      <c r="GJ399"/>
      <c r="GK399"/>
      <c r="GL399"/>
      <c r="GM399"/>
      <c r="GN399" s="208"/>
      <c r="GO399" s="208"/>
      <c r="GP399" s="208"/>
      <c r="GQ399" s="208"/>
      <c r="GR399" s="208"/>
      <c r="GS399" s="208"/>
      <c r="GT399" s="208"/>
      <c r="GU399" s="213">
        <v>394</v>
      </c>
    </row>
    <row r="400" spans="1:203" s="7" customFormat="1">
      <c r="A400" s="1"/>
      <c r="B400" s="1"/>
      <c r="C400" s="3"/>
      <c r="D400" s="3"/>
      <c r="E400" s="1"/>
      <c r="F400" s="1"/>
      <c r="G400" s="2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78"/>
      <c r="AG400" s="78"/>
      <c r="AH400" s="78"/>
      <c r="AI400" s="78"/>
      <c r="AJ400" s="78"/>
      <c r="AK400" s="78"/>
      <c r="AL400" s="78"/>
      <c r="AM400" s="43">
        <v>384</v>
      </c>
      <c r="AN400">
        <v>297.89255380044358</v>
      </c>
      <c r="AO400">
        <v>30.632738063611828</v>
      </c>
      <c r="AP400">
        <v>104.92790243835366</v>
      </c>
      <c r="AQ400">
        <v>232.99456962199977</v>
      </c>
      <c r="AR400">
        <v>29.429111708342063</v>
      </c>
      <c r="AS400">
        <v>250.84698245231644</v>
      </c>
      <c r="AT400">
        <v>14.059668929252583</v>
      </c>
      <c r="AU400">
        <v>-18.932175980234927</v>
      </c>
      <c r="AV400"/>
      <c r="AW400"/>
      <c r="FY400" s="213">
        <v>395</v>
      </c>
      <c r="FZ400">
        <v>41.001185143376141</v>
      </c>
      <c r="GA400">
        <v>46.699697852861213</v>
      </c>
      <c r="GB400">
        <v>8.6247171518400627</v>
      </c>
      <c r="GC400">
        <v>5.3009268204890603</v>
      </c>
      <c r="GD400">
        <v>3.5954444103469259</v>
      </c>
      <c r="GE400">
        <v>3.0395915768258885</v>
      </c>
      <c r="GF400">
        <v>10.868152643535826</v>
      </c>
      <c r="GG400">
        <v>9.9196053283372496</v>
      </c>
      <c r="GH400">
        <v>13.513891646983106</v>
      </c>
      <c r="GI400">
        <v>14.684319223282211</v>
      </c>
      <c r="GJ400"/>
      <c r="GK400"/>
      <c r="GL400"/>
      <c r="GM400"/>
      <c r="GN400" s="208"/>
      <c r="GO400" s="208"/>
      <c r="GP400" s="208"/>
      <c r="GQ400" s="208"/>
      <c r="GR400" s="208"/>
      <c r="GS400" s="208"/>
      <c r="GT400" s="208"/>
      <c r="GU400" s="213">
        <v>395</v>
      </c>
    </row>
    <row r="401" spans="1:203" s="7" customFormat="1">
      <c r="A401" s="4"/>
      <c r="B401" s="4"/>
      <c r="C401" s="83"/>
      <c r="D401" s="83"/>
      <c r="E401" s="4"/>
      <c r="F401" s="4"/>
      <c r="G401" s="28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81"/>
      <c r="AG401" s="81"/>
      <c r="AH401" s="81"/>
      <c r="AI401" s="81"/>
      <c r="AJ401" s="81"/>
      <c r="AK401" s="81"/>
      <c r="AL401" s="81"/>
      <c r="AM401" s="43">
        <v>385</v>
      </c>
      <c r="AN401">
        <v>341.75323560287188</v>
      </c>
      <c r="AO401">
        <v>28.224029374072927</v>
      </c>
      <c r="AP401">
        <v>90.040826263203257</v>
      </c>
      <c r="AQ401">
        <v>195.40095315358224</v>
      </c>
      <c r="AR401">
        <v>27.98158614164068</v>
      </c>
      <c r="AS401">
        <v>255.02908976764877</v>
      </c>
      <c r="AT401">
        <v>11.491905060431201</v>
      </c>
      <c r="AU401">
        <v>-14.09470635288627</v>
      </c>
      <c r="AV401"/>
      <c r="AW401"/>
      <c r="FY401" s="213">
        <v>396</v>
      </c>
      <c r="FZ401">
        <v>63.145993757724497</v>
      </c>
      <c r="GA401">
        <v>64.873927244344173</v>
      </c>
      <c r="GB401">
        <v>13.480032087981426</v>
      </c>
      <c r="GC401">
        <v>6.0235940503844088</v>
      </c>
      <c r="GD401">
        <v>5.3839162734313604</v>
      </c>
      <c r="GE401">
        <v>4.3806614867406406</v>
      </c>
      <c r="GF401">
        <v>27.849421685178573</v>
      </c>
      <c r="GG401">
        <v>27.526662307489925</v>
      </c>
      <c r="GH401">
        <v>9.6709967456349553</v>
      </c>
      <c r="GI401">
        <v>22.810402488269997</v>
      </c>
      <c r="GJ401"/>
      <c r="GK401"/>
      <c r="GL401"/>
      <c r="GM401"/>
      <c r="GN401" s="208"/>
      <c r="GO401" s="208"/>
      <c r="GP401" s="208"/>
      <c r="GQ401" s="208"/>
      <c r="GR401" s="208"/>
      <c r="GS401" s="208"/>
      <c r="GT401" s="208"/>
      <c r="GU401" s="213">
        <v>396</v>
      </c>
    </row>
    <row r="402" spans="1:203" s="7" customFormat="1">
      <c r="A402" s="4"/>
      <c r="B402" s="4"/>
      <c r="C402" s="83"/>
      <c r="D402" s="83"/>
      <c r="E402" s="4"/>
      <c r="F402" s="4"/>
      <c r="G402" s="28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81"/>
      <c r="AG402" s="81"/>
      <c r="AH402" s="81"/>
      <c r="AI402" s="81"/>
      <c r="AJ402" s="81"/>
      <c r="AK402" s="81"/>
      <c r="AL402" s="81"/>
      <c r="AM402" s="43">
        <v>386</v>
      </c>
      <c r="AN402">
        <v>374.59376119048432</v>
      </c>
      <c r="AO402">
        <v>30.696370763930268</v>
      </c>
      <c r="AP402">
        <v>89.274477400339933</v>
      </c>
      <c r="AQ402">
        <v>215.31090304735352</v>
      </c>
      <c r="AR402">
        <v>31.526240089531825</v>
      </c>
      <c r="AS402">
        <v>286.14799487941201</v>
      </c>
      <c r="AT402">
        <v>13.240001274056249</v>
      </c>
      <c r="AU402">
        <v>16.015445269257885</v>
      </c>
      <c r="AV402"/>
      <c r="AW402"/>
      <c r="FY402" s="213">
        <v>397</v>
      </c>
      <c r="FZ402">
        <v>55.00024368448959</v>
      </c>
      <c r="GA402">
        <v>49.734012669742896</v>
      </c>
      <c r="GB402">
        <v>8.3176906909224044</v>
      </c>
      <c r="GC402">
        <v>5.3646588235293189</v>
      </c>
      <c r="GD402">
        <v>4.3951889114971463</v>
      </c>
      <c r="GE402">
        <v>4.5964108499783869</v>
      </c>
      <c r="GF402">
        <v>10.968920453173041</v>
      </c>
      <c r="GG402">
        <v>9.2940698348715696</v>
      </c>
      <c r="GH402">
        <v>14.475563136186997</v>
      </c>
      <c r="GI402">
        <v>17.200860713973945</v>
      </c>
      <c r="GJ402"/>
      <c r="GK402"/>
      <c r="GL402"/>
      <c r="GM402"/>
      <c r="GN402" s="208"/>
      <c r="GO402" s="208"/>
      <c r="GP402" s="208"/>
      <c r="GQ402" s="208"/>
      <c r="GR402" s="208"/>
      <c r="GS402" s="208"/>
      <c r="GT402" s="208"/>
      <c r="GU402" s="213">
        <v>397</v>
      </c>
    </row>
    <row r="403" spans="1:203" s="7" customFormat="1">
      <c r="A403" s="96"/>
      <c r="B403" s="13" t="s">
        <v>21</v>
      </c>
      <c r="C403" s="21" t="s">
        <v>72</v>
      </c>
      <c r="D403" s="21" t="s">
        <v>73</v>
      </c>
      <c r="E403" s="21" t="s">
        <v>74</v>
      </c>
      <c r="F403" s="10" t="s">
        <v>70</v>
      </c>
      <c r="G403" s="10" t="s">
        <v>71</v>
      </c>
      <c r="H403" s="10" t="s">
        <v>133</v>
      </c>
      <c r="I403" s="13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3">
        <v>387</v>
      </c>
      <c r="AN403">
        <v>275.24753807632919</v>
      </c>
      <c r="AO403">
        <v>19.112487011846845</v>
      </c>
      <c r="AP403">
        <v>68.577240953997105</v>
      </c>
      <c r="AQ403">
        <v>120.49834912889938</v>
      </c>
      <c r="AR403">
        <v>18.42411145311149</v>
      </c>
      <c r="AS403">
        <v>177.30855940445656</v>
      </c>
      <c r="AT403">
        <v>7.9361923857363434</v>
      </c>
      <c r="AU403">
        <v>7.6568538484930038</v>
      </c>
      <c r="AV403"/>
      <c r="AW403"/>
      <c r="FY403" s="213">
        <v>398</v>
      </c>
      <c r="FZ403">
        <v>43.088448647681702</v>
      </c>
      <c r="GA403">
        <v>46.43248111502465</v>
      </c>
      <c r="GB403">
        <v>19.335668622066049</v>
      </c>
      <c r="GC403">
        <v>5.6562138531345232</v>
      </c>
      <c r="GD403">
        <v>4.4905988346124968</v>
      </c>
      <c r="GE403">
        <v>4.9062645584674209</v>
      </c>
      <c r="GF403">
        <v>11.815922997486084</v>
      </c>
      <c r="GG403">
        <v>11.14048819575344</v>
      </c>
      <c r="GH403">
        <v>10.141382602926303</v>
      </c>
      <c r="GI403">
        <v>18.32728327379121</v>
      </c>
      <c r="GJ403"/>
      <c r="GK403"/>
      <c r="GL403"/>
      <c r="GM403"/>
      <c r="GN403" s="208"/>
      <c r="GO403" s="208"/>
      <c r="GP403" s="208"/>
      <c r="GQ403" s="208"/>
      <c r="GR403" s="208"/>
      <c r="GS403" s="208"/>
      <c r="GT403" s="208"/>
      <c r="GU403" s="213">
        <v>398</v>
      </c>
    </row>
    <row r="404" spans="1:203" s="7" customFormat="1">
      <c r="A404" s="9" t="s">
        <v>75</v>
      </c>
      <c r="B404" s="13"/>
      <c r="C404" s="21"/>
      <c r="D404" s="21"/>
      <c r="E404" s="21"/>
      <c r="F404" s="10"/>
      <c r="G404" s="10"/>
      <c r="H404" s="10" t="s">
        <v>132</v>
      </c>
      <c r="I404" s="13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3">
        <v>388</v>
      </c>
      <c r="AN404">
        <v>341.20086265666112</v>
      </c>
      <c r="AO404">
        <v>28.952663977923454</v>
      </c>
      <c r="AP404">
        <v>80.812279367580814</v>
      </c>
      <c r="AQ404">
        <v>218.23114103213595</v>
      </c>
      <c r="AR404">
        <v>29.388590731804221</v>
      </c>
      <c r="AS404">
        <v>264.31921152661567</v>
      </c>
      <c r="AT404">
        <v>14.20089905483529</v>
      </c>
      <c r="AU404">
        <v>16.173742331724412</v>
      </c>
      <c r="AV404"/>
      <c r="AW404"/>
      <c r="FY404" s="213">
        <v>399</v>
      </c>
      <c r="FZ404">
        <v>38.423334598239997</v>
      </c>
      <c r="GA404">
        <v>35.655864911579627</v>
      </c>
      <c r="GB404">
        <v>8.3907154253749692</v>
      </c>
      <c r="GC404">
        <v>5.9590691523405157</v>
      </c>
      <c r="GD404">
        <v>6.0917462008549563</v>
      </c>
      <c r="GE404">
        <v>5.8674886002540596</v>
      </c>
      <c r="GF404">
        <v>1.8354586967625375</v>
      </c>
      <c r="GG404">
        <v>4.5665618004963999</v>
      </c>
      <c r="GH404">
        <v>22.8605646998232</v>
      </c>
      <c r="GI404">
        <v>15.455837179275584</v>
      </c>
      <c r="GJ404"/>
      <c r="GK404"/>
      <c r="GL404"/>
      <c r="GM404"/>
      <c r="GN404" s="208"/>
      <c r="GO404" s="208"/>
      <c r="GP404" s="208"/>
      <c r="GQ404" s="208"/>
      <c r="GR404" s="208"/>
      <c r="GS404" s="208"/>
      <c r="GT404" s="208"/>
      <c r="GU404" s="213">
        <v>399</v>
      </c>
    </row>
    <row r="405" spans="1:203" s="7" customFormat="1">
      <c r="A405" s="189">
        <v>13.69</v>
      </c>
      <c r="B405" s="71">
        <f t="shared" ref="B405:B414" si="378">+C4</f>
        <v>39646</v>
      </c>
      <c r="C405" s="61">
        <v>0</v>
      </c>
      <c r="D405" s="61">
        <f t="shared" ref="D405:D414" si="379">IF(C373&lt;0.0001, 0, (G70*0.5)+(H70*1)+(I70*2)+(J70*3)+(K70*4)+(L70*5)+(M70*6)+(N70*7)+(O70*8)+(P70*9)+(Q70*10)+(R70*11)+(S70*12)+(T70*13)+(U70*14)+(V70*15)+(W70*16)+(X70*17)+(Y70*18)+(Z70*19)+(AA70*20)+(AB70*21)+(AC70*22)+(AD70*23)+(AE70*24)+(AF70*25)+(AG70*26)+(AH70*27)+(AI70*28)+(AJ70*29)+(AK70*30))/(SUM(G70:AI70))</f>
        <v>3.1898734177215196</v>
      </c>
      <c r="E405" s="108">
        <f t="shared" ref="E405:E414" si="380">IF(D405=0,0.00000001,(1-$A$43/100)*($A$39*(D405^($A$41))))</f>
        <v>0.25435604339457835</v>
      </c>
      <c r="F405" s="19"/>
      <c r="G405" s="19"/>
      <c r="H405" s="19"/>
      <c r="I405" s="13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3">
        <v>389</v>
      </c>
      <c r="AN405">
        <v>308.05185684144647</v>
      </c>
      <c r="AO405">
        <v>22.693338934531944</v>
      </c>
      <c r="AP405">
        <v>130.85129891526392</v>
      </c>
      <c r="AQ405">
        <v>161.17190752767473</v>
      </c>
      <c r="AR405">
        <v>22.550256845196817</v>
      </c>
      <c r="AS405">
        <v>237.07499485625451</v>
      </c>
      <c r="AT405">
        <v>12.806877117566742</v>
      </c>
      <c r="AU405">
        <v>58.639975166407297</v>
      </c>
      <c r="AV405"/>
      <c r="AW405"/>
      <c r="FY405" s="213">
        <v>400</v>
      </c>
      <c r="FZ405">
        <v>36.499958899644042</v>
      </c>
      <c r="GA405">
        <v>44.708184574437304</v>
      </c>
      <c r="GB405">
        <v>11.275972700677567</v>
      </c>
      <c r="GC405">
        <v>4.2868534926574053</v>
      </c>
      <c r="GD405">
        <v>3.4826576759784675</v>
      </c>
      <c r="GE405">
        <v>2.4731720050574384</v>
      </c>
      <c r="GF405">
        <v>19.143789108303285</v>
      </c>
      <c r="GG405">
        <v>18.939101241215258</v>
      </c>
      <c r="GH405">
        <v>13.46727222150677</v>
      </c>
      <c r="GI405">
        <v>16.258117266825852</v>
      </c>
      <c r="GJ405"/>
      <c r="GK405"/>
      <c r="GL405"/>
      <c r="GM405"/>
      <c r="GN405" s="208"/>
      <c r="GO405" s="208"/>
      <c r="GP405" s="208"/>
      <c r="GQ405" s="208"/>
      <c r="GR405" s="208"/>
      <c r="GS405" s="208"/>
      <c r="GT405" s="208"/>
      <c r="GU405" s="213">
        <v>400</v>
      </c>
    </row>
    <row r="406" spans="1:203" s="7" customFormat="1">
      <c r="A406" s="189">
        <v>9.4499999999999993</v>
      </c>
      <c r="B406" s="71">
        <f t="shared" si="378"/>
        <v>39673</v>
      </c>
      <c r="C406" s="61">
        <f>B406-B405</f>
        <v>27</v>
      </c>
      <c r="D406" s="61">
        <f t="shared" si="379"/>
        <v>3.1735294117647053</v>
      </c>
      <c r="E406" s="108">
        <f t="shared" si="380"/>
        <v>0.25089510726672953</v>
      </c>
      <c r="F406" s="19">
        <f t="shared" ref="F406:F414" si="381">IF(C374&lt;1,0,LN(E406/E405)/E21)</f>
        <v>-5.0741032171843306E-4</v>
      </c>
      <c r="G406" s="19">
        <f t="shared" ref="G406:G414" si="382">IF(D406=0, 0, 0.051-(0.068*LN(D406))+(0.006*A406))</f>
        <v>2.9170584359940924E-2</v>
      </c>
      <c r="H406" s="19">
        <f t="shared" ref="H406:H414" si="383">+IF((G406&gt;0),G406,0)</f>
        <v>2.9170584359940924E-2</v>
      </c>
      <c r="I406" s="13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3">
        <v>390</v>
      </c>
      <c r="AN406">
        <v>299.28996471233495</v>
      </c>
      <c r="AO406">
        <v>26.49071761204333</v>
      </c>
      <c r="AP406">
        <v>102.08246874729738</v>
      </c>
      <c r="AQ406">
        <v>196.64534295548378</v>
      </c>
      <c r="AR406">
        <v>25.465843756795834</v>
      </c>
      <c r="AS406">
        <v>229.11784335311694</v>
      </c>
      <c r="AT406">
        <v>12.538654530919082</v>
      </c>
      <c r="AU406">
        <v>8.6457442551052832</v>
      </c>
      <c r="AV406"/>
      <c r="AW406"/>
      <c r="FY406" s="213">
        <v>401</v>
      </c>
      <c r="FZ406">
        <v>50.33961326987113</v>
      </c>
      <c r="GA406">
        <v>43.71865593012506</v>
      </c>
      <c r="GB406">
        <v>12.660025105897896</v>
      </c>
      <c r="GC406">
        <v>4.7990225387601839</v>
      </c>
      <c r="GD406">
        <v>3.7550661867107902</v>
      </c>
      <c r="GE406">
        <v>3.3461804983624792</v>
      </c>
      <c r="GF406">
        <v>16.238793639137729</v>
      </c>
      <c r="GG406">
        <v>14.462853853301898</v>
      </c>
      <c r="GH406">
        <v>17.087174436645817</v>
      </c>
      <c r="GI406">
        <v>18.820713290283077</v>
      </c>
      <c r="GJ406"/>
      <c r="GK406"/>
      <c r="GL406"/>
      <c r="GM406"/>
      <c r="GN406" s="208"/>
      <c r="GO406" s="208"/>
      <c r="GP406" s="208"/>
      <c r="GQ406" s="208"/>
      <c r="GR406" s="208"/>
      <c r="GS406" s="208"/>
      <c r="GT406" s="208"/>
      <c r="GU406" s="213">
        <v>401</v>
      </c>
    </row>
    <row r="407" spans="1:203" s="7" customFormat="1">
      <c r="A407" s="189">
        <v>4.03</v>
      </c>
      <c r="B407" s="71">
        <f t="shared" si="378"/>
        <v>39714</v>
      </c>
      <c r="C407" s="61">
        <f>B407-$B$405</f>
        <v>68</v>
      </c>
      <c r="D407" s="61">
        <f t="shared" si="379"/>
        <v>1.4728233197556011</v>
      </c>
      <c r="E407" s="108">
        <f t="shared" si="380"/>
        <v>3.2384415246125606E-2</v>
      </c>
      <c r="F407" s="19">
        <f t="shared" si="381"/>
        <v>-4.9935552592644206E-2</v>
      </c>
      <c r="G407" s="19">
        <f t="shared" si="382"/>
        <v>4.8851679458663116E-2</v>
      </c>
      <c r="H407" s="19">
        <f t="shared" si="383"/>
        <v>4.8851679458663116E-2</v>
      </c>
      <c r="I407" s="13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3">
        <v>391</v>
      </c>
      <c r="AN407">
        <v>290.47752901965299</v>
      </c>
      <c r="AO407">
        <v>23.526825057913268</v>
      </c>
      <c r="AP407">
        <v>90.139569256286563</v>
      </c>
      <c r="AQ407">
        <v>181.02080149276514</v>
      </c>
      <c r="AR407">
        <v>24.916558064950419</v>
      </c>
      <c r="AS407">
        <v>235.9716554126243</v>
      </c>
      <c r="AT407">
        <v>12.614764340194121</v>
      </c>
      <c r="AU407">
        <v>32.735090903226251</v>
      </c>
      <c r="AV407"/>
      <c r="AW407"/>
      <c r="FY407" s="213">
        <v>402</v>
      </c>
      <c r="FZ407">
        <v>19.233346893893152</v>
      </c>
      <c r="GA407">
        <v>13.610746951031505</v>
      </c>
      <c r="GB407">
        <v>5.2586095123444059</v>
      </c>
      <c r="GC407">
        <v>6.4957289045925481</v>
      </c>
      <c r="GD407">
        <v>5.6342757077563412</v>
      </c>
      <c r="GE407">
        <v>7.5657861708737943</v>
      </c>
      <c r="GF407">
        <v>22.83103570203367</v>
      </c>
      <c r="GG407">
        <v>18.732920637236671</v>
      </c>
      <c r="GH407">
        <v>9.4714375829618795</v>
      </c>
      <c r="GI407">
        <v>13.029115994434205</v>
      </c>
      <c r="GJ407"/>
      <c r="GK407"/>
      <c r="GL407"/>
      <c r="GM407"/>
      <c r="GN407" s="208"/>
      <c r="GO407" s="208"/>
      <c r="GP407" s="208"/>
      <c r="GQ407" s="208"/>
      <c r="GR407" s="208"/>
      <c r="GS407" s="208"/>
      <c r="GT407" s="208"/>
      <c r="GU407" s="213">
        <v>402</v>
      </c>
    </row>
    <row r="408" spans="1:203" s="7" customFormat="1">
      <c r="A408" s="189">
        <v>0.78</v>
      </c>
      <c r="B408" s="71">
        <f t="shared" si="378"/>
        <v>39747</v>
      </c>
      <c r="C408" s="61">
        <f t="shared" ref="C408:C414" si="384">B408-$B$405</f>
        <v>101</v>
      </c>
      <c r="D408" s="61">
        <f t="shared" si="379"/>
        <v>1.0840163093517814</v>
      </c>
      <c r="E408" s="108">
        <f t="shared" si="380"/>
        <v>1.4299432207984594E-2</v>
      </c>
      <c r="F408" s="19">
        <f t="shared" si="381"/>
        <v>-2.4771438345792277E-2</v>
      </c>
      <c r="G408" s="19">
        <f t="shared" si="382"/>
        <v>5.0194239506641314E-2</v>
      </c>
      <c r="H408" s="19">
        <f t="shared" si="383"/>
        <v>5.0194239506641314E-2</v>
      </c>
      <c r="I408" s="13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3">
        <v>392</v>
      </c>
      <c r="AN408">
        <v>291.04286284259211</v>
      </c>
      <c r="AO408">
        <v>25.508608324157624</v>
      </c>
      <c r="AP408">
        <v>55.274588458930623</v>
      </c>
      <c r="AQ408">
        <v>188.19872796736635</v>
      </c>
      <c r="AR408">
        <v>27.303301360471519</v>
      </c>
      <c r="AS408">
        <v>238.69211032108413</v>
      </c>
      <c r="AT408">
        <v>13.460415645719285</v>
      </c>
      <c r="AU408">
        <v>23.161406003084693</v>
      </c>
      <c r="AV408"/>
      <c r="AW408"/>
      <c r="FY408" s="213">
        <v>403</v>
      </c>
      <c r="FZ408">
        <v>71.998411589286349</v>
      </c>
      <c r="GA408">
        <v>70.309799679443231</v>
      </c>
      <c r="GB408">
        <v>16.349371792437999</v>
      </c>
      <c r="GC408">
        <v>6.7531673512255539</v>
      </c>
      <c r="GD408">
        <v>5.0016049034994809</v>
      </c>
      <c r="GE408">
        <v>8.2284977421352465</v>
      </c>
      <c r="GF408">
        <v>16.944689520823822</v>
      </c>
      <c r="GG408">
        <v>8.822940633617641</v>
      </c>
      <c r="GH408">
        <v>12.178010677153344</v>
      </c>
      <c r="GI408">
        <v>23.156605219981675</v>
      </c>
      <c r="GJ408"/>
      <c r="GK408"/>
      <c r="GL408"/>
      <c r="GM408"/>
      <c r="GN408" s="208"/>
      <c r="GO408" s="208"/>
      <c r="GP408" s="208"/>
      <c r="GQ408" s="208"/>
      <c r="GR408" s="208"/>
      <c r="GS408" s="208"/>
      <c r="GT408" s="208"/>
      <c r="GU408" s="213">
        <v>403</v>
      </c>
    </row>
    <row r="409" spans="1:203" s="7" customFormat="1">
      <c r="A409" s="189">
        <v>0.14000000000000001</v>
      </c>
      <c r="B409" s="71">
        <f t="shared" si="378"/>
        <v>39775</v>
      </c>
      <c r="C409" s="61">
        <f t="shared" si="384"/>
        <v>129</v>
      </c>
      <c r="D409" s="61">
        <f t="shared" si="379"/>
        <v>1.4817633752128676</v>
      </c>
      <c r="E409" s="108">
        <f t="shared" si="380"/>
        <v>3.2911333562468101E-2</v>
      </c>
      <c r="F409" s="19">
        <f t="shared" si="381"/>
        <v>2.9771330460325197E-2</v>
      </c>
      <c r="G409" s="19">
        <f t="shared" si="382"/>
        <v>2.5100166317117811E-2</v>
      </c>
      <c r="H409" s="19">
        <f t="shared" si="383"/>
        <v>2.5100166317117811E-2</v>
      </c>
      <c r="I409" s="13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3">
        <v>393</v>
      </c>
      <c r="AN409">
        <v>396.93224541509846</v>
      </c>
      <c r="AO409">
        <v>32.921830563842448</v>
      </c>
      <c r="AP409">
        <v>120.80584575148956</v>
      </c>
      <c r="AQ409">
        <v>231.73762907803689</v>
      </c>
      <c r="AR409">
        <v>32.702973224071485</v>
      </c>
      <c r="AS409">
        <v>308.36189884848756</v>
      </c>
      <c r="AT409">
        <v>14.195369342331501</v>
      </c>
      <c r="AU409">
        <v>27.895252442276899</v>
      </c>
      <c r="AV409"/>
      <c r="AW409"/>
      <c r="FY409" s="213">
        <v>404</v>
      </c>
      <c r="FZ409">
        <v>42.546347763386784</v>
      </c>
      <c r="GA409">
        <v>53.586989104211334</v>
      </c>
      <c r="GB409">
        <v>12.975391277651623</v>
      </c>
      <c r="GC409">
        <v>5.5224082379864727</v>
      </c>
      <c r="GD409">
        <v>3.9908981084709203</v>
      </c>
      <c r="GE409">
        <v>2.6632860534685276</v>
      </c>
      <c r="GF409">
        <v>18.736100107907916</v>
      </c>
      <c r="GG409">
        <v>18.079051961941111</v>
      </c>
      <c r="GH409">
        <v>17.635817837337509</v>
      </c>
      <c r="GI409">
        <v>18.517821278065384</v>
      </c>
      <c r="GJ409"/>
      <c r="GK409"/>
      <c r="GL409"/>
      <c r="GM409"/>
      <c r="GN409" s="208"/>
      <c r="GO409" s="208"/>
      <c r="GP409" s="208"/>
      <c r="GQ409" s="208"/>
      <c r="GR409" s="208"/>
      <c r="GS409" s="208"/>
      <c r="GT409" s="208"/>
      <c r="GU409" s="213">
        <v>404</v>
      </c>
    </row>
    <row r="410" spans="1:203" s="7" customFormat="1">
      <c r="A410" s="189">
        <v>0.21</v>
      </c>
      <c r="B410" s="71">
        <f t="shared" si="378"/>
        <v>39799</v>
      </c>
      <c r="C410" s="61">
        <f t="shared" si="384"/>
        <v>153</v>
      </c>
      <c r="D410" s="61">
        <f t="shared" si="379"/>
        <v>1.4077056194045459</v>
      </c>
      <c r="E410" s="108">
        <f t="shared" si="380"/>
        <v>2.8705119528960151E-2</v>
      </c>
      <c r="F410" s="19">
        <f t="shared" si="381"/>
        <v>-5.6975664989047077E-3</v>
      </c>
      <c r="G410" s="19">
        <f t="shared" si="382"/>
        <v>2.9006641205086503E-2</v>
      </c>
      <c r="H410" s="19">
        <f t="shared" si="383"/>
        <v>2.9006641205086503E-2</v>
      </c>
      <c r="I410" s="13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3">
        <v>394</v>
      </c>
      <c r="AN410">
        <v>405.03013243838211</v>
      </c>
      <c r="AO410">
        <v>33.337531364677872</v>
      </c>
      <c r="AP410">
        <v>113.19508525798572</v>
      </c>
      <c r="AQ410">
        <v>229.10565981950089</v>
      </c>
      <c r="AR410">
        <v>33.528413985887994</v>
      </c>
      <c r="AS410">
        <v>298.67651004496025</v>
      </c>
      <c r="AT410">
        <v>13.418702534109832</v>
      </c>
      <c r="AU410">
        <v>-33.892649661264706</v>
      </c>
      <c r="AV410"/>
      <c r="AW410"/>
      <c r="FY410" s="213">
        <v>405</v>
      </c>
      <c r="FZ410">
        <v>74.693768752047504</v>
      </c>
      <c r="GA410">
        <v>96.925899088259712</v>
      </c>
      <c r="GB410">
        <v>17.342383506244786</v>
      </c>
      <c r="GC410">
        <v>4.8661423234516397</v>
      </c>
      <c r="GD410">
        <v>3.9344499687338379</v>
      </c>
      <c r="GE410">
        <v>3.3141828447285695</v>
      </c>
      <c r="GF410">
        <v>24.842118527797261</v>
      </c>
      <c r="GG410">
        <v>23.69740867931138</v>
      </c>
      <c r="GH410">
        <v>8.6717026821403529</v>
      </c>
      <c r="GI410">
        <v>24.131963944683903</v>
      </c>
      <c r="GJ410"/>
      <c r="GK410"/>
      <c r="GL410"/>
      <c r="GM410"/>
      <c r="GN410" s="208"/>
      <c r="GO410" s="208"/>
      <c r="GP410" s="208"/>
      <c r="GQ410" s="208"/>
      <c r="GR410" s="208"/>
      <c r="GS410" s="208"/>
      <c r="GT410" s="208"/>
      <c r="GU410" s="213">
        <v>405</v>
      </c>
    </row>
    <row r="411" spans="1:203" s="7" customFormat="1">
      <c r="A411" s="189">
        <v>1.28</v>
      </c>
      <c r="B411" s="71">
        <f>+C10</f>
        <v>39847</v>
      </c>
      <c r="C411" s="61">
        <f t="shared" si="384"/>
        <v>201</v>
      </c>
      <c r="D411" s="61">
        <f t="shared" si="379"/>
        <v>1.1879409043598936</v>
      </c>
      <c r="E411" s="108">
        <f t="shared" si="380"/>
        <v>1.8253918211330357E-2</v>
      </c>
      <c r="F411" s="19">
        <f t="shared" si="381"/>
        <v>-9.4311611283721328E-3</v>
      </c>
      <c r="G411" s="19">
        <f t="shared" si="382"/>
        <v>4.6968939638909767E-2</v>
      </c>
      <c r="H411" s="19">
        <f t="shared" si="383"/>
        <v>4.6968939638909767E-2</v>
      </c>
      <c r="I411" s="13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3">
        <v>395</v>
      </c>
      <c r="AN411">
        <v>228.42406562770793</v>
      </c>
      <c r="AO411">
        <v>20.78764866570312</v>
      </c>
      <c r="AP411">
        <v>96.567959864195615</v>
      </c>
      <c r="AQ411">
        <v>157.24753179787768</v>
      </c>
      <c r="AR411">
        <v>21.15558970767092</v>
      </c>
      <c r="AS411">
        <v>191.32768097620013</v>
      </c>
      <c r="AT411">
        <v>10.260299957970025</v>
      </c>
      <c r="AU411">
        <v>32.77088744423969</v>
      </c>
      <c r="AV411"/>
      <c r="AW411"/>
      <c r="FY411" s="213">
        <v>406</v>
      </c>
      <c r="FZ411">
        <v>31.198915313202271</v>
      </c>
      <c r="GA411">
        <v>30.776305378007589</v>
      </c>
      <c r="GB411">
        <v>12.529269370228825</v>
      </c>
      <c r="GC411">
        <v>7.4128806583791604</v>
      </c>
      <c r="GD411">
        <v>5.8939575515236537</v>
      </c>
      <c r="GE411">
        <v>4.8571417811881723</v>
      </c>
      <c r="GF411">
        <v>7.4545641401038818</v>
      </c>
      <c r="GG411">
        <v>6.925124272601674</v>
      </c>
      <c r="GH411">
        <v>12.091394306417852</v>
      </c>
      <c r="GI411">
        <v>14.786908703175342</v>
      </c>
      <c r="GJ411"/>
      <c r="GK411"/>
      <c r="GL411"/>
      <c r="GM411"/>
      <c r="GN411" s="208"/>
      <c r="GO411" s="208"/>
      <c r="GP411" s="208"/>
      <c r="GQ411" s="208"/>
      <c r="GR411" s="208"/>
      <c r="GS411" s="208"/>
      <c r="GT411" s="208"/>
      <c r="GU411" s="213">
        <v>406</v>
      </c>
    </row>
    <row r="412" spans="1:203" s="7" customFormat="1">
      <c r="A412" s="189">
        <v>4</v>
      </c>
      <c r="B412" s="71">
        <f t="shared" si="378"/>
        <v>39910</v>
      </c>
      <c r="C412" s="61">
        <f t="shared" si="384"/>
        <v>264</v>
      </c>
      <c r="D412" s="61">
        <f t="shared" si="379"/>
        <v>1.4493688217092473</v>
      </c>
      <c r="E412" s="108">
        <f t="shared" si="380"/>
        <v>3.1027189377537772E-2</v>
      </c>
      <c r="F412" s="19">
        <f t="shared" si="381"/>
        <v>8.4203832266213797E-3</v>
      </c>
      <c r="G412" s="19">
        <f t="shared" si="382"/>
        <v>4.9763284692210856E-2</v>
      </c>
      <c r="H412" s="19">
        <f t="shared" si="383"/>
        <v>4.9763284692210856E-2</v>
      </c>
      <c r="I412" s="13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3">
        <v>396</v>
      </c>
      <c r="AN412">
        <v>350.78295244902199</v>
      </c>
      <c r="AO412">
        <v>32.967552336210737</v>
      </c>
      <c r="AP412">
        <v>43.02778587032077</v>
      </c>
      <c r="AQ412">
        <v>245.14560812717997</v>
      </c>
      <c r="AR412">
        <v>33.460812987202381</v>
      </c>
      <c r="AS412">
        <v>300.4818794417709</v>
      </c>
      <c r="AT412">
        <v>15.887753948597604</v>
      </c>
      <c r="AU412">
        <v>-8.0180467067715284</v>
      </c>
      <c r="AV412"/>
      <c r="AW412"/>
      <c r="FY412" s="213">
        <v>407</v>
      </c>
      <c r="FZ412">
        <v>47.307367932267582</v>
      </c>
      <c r="GA412">
        <v>60.583535794388943</v>
      </c>
      <c r="GB412">
        <v>19.740187251638929</v>
      </c>
      <c r="GC412">
        <v>5.4275094255508938</v>
      </c>
      <c r="GD412">
        <v>3.9621363853859872</v>
      </c>
      <c r="GE412">
        <v>7.050840137431714</v>
      </c>
      <c r="GF412">
        <v>24.59010833599088</v>
      </c>
      <c r="GG412">
        <v>17.993684467494372</v>
      </c>
      <c r="GH412">
        <v>8.649131071157024</v>
      </c>
      <c r="GI412">
        <v>20.860130906988129</v>
      </c>
      <c r="GJ412"/>
      <c r="GK412"/>
      <c r="GL412"/>
      <c r="GM412"/>
      <c r="GN412" s="208"/>
      <c r="GO412" s="208"/>
      <c r="GP412" s="208"/>
      <c r="GQ412" s="208"/>
      <c r="GR412" s="208"/>
      <c r="GS412" s="208"/>
      <c r="GT412" s="208"/>
      <c r="GU412" s="213">
        <v>407</v>
      </c>
    </row>
    <row r="413" spans="1:203" s="7" customFormat="1">
      <c r="A413" s="190">
        <v>7.33</v>
      </c>
      <c r="B413" s="71">
        <f t="shared" si="378"/>
        <v>39949</v>
      </c>
      <c r="C413" s="61">
        <f t="shared" si="384"/>
        <v>303</v>
      </c>
      <c r="D413" s="61">
        <f t="shared" si="379"/>
        <v>2.2204138816730392</v>
      </c>
      <c r="E413" s="108">
        <f t="shared" si="380"/>
        <v>9.678712116954083E-2</v>
      </c>
      <c r="F413" s="19">
        <f t="shared" si="381"/>
        <v>2.9170513920232038E-2</v>
      </c>
      <c r="G413" s="19">
        <f t="shared" si="382"/>
        <v>4.0736834404826013E-2</v>
      </c>
      <c r="H413" s="19">
        <f t="shared" si="383"/>
        <v>4.0736834404826013E-2</v>
      </c>
      <c r="I413" s="13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3">
        <v>397</v>
      </c>
      <c r="AN413">
        <v>267.9831907386889</v>
      </c>
      <c r="AO413">
        <v>23.587703168269819</v>
      </c>
      <c r="AP413">
        <v>54.905196189594562</v>
      </c>
      <c r="AQ413">
        <v>179.34761976836529</v>
      </c>
      <c r="AR413">
        <v>25.125877545692791</v>
      </c>
      <c r="AS413">
        <v>226.59565773493489</v>
      </c>
      <c r="AT413">
        <v>11.938379237941803</v>
      </c>
      <c r="AU413">
        <v>13.665491184696048</v>
      </c>
      <c r="AV413"/>
      <c r="AW413"/>
      <c r="FY413" s="213">
        <v>408</v>
      </c>
      <c r="FZ413">
        <v>32.788133053361577</v>
      </c>
      <c r="GA413">
        <v>69.176414024863888</v>
      </c>
      <c r="GB413">
        <v>27.32732361029003</v>
      </c>
      <c r="GC413">
        <v>4.7949674452785729</v>
      </c>
      <c r="GD413">
        <v>5.1937913542320544</v>
      </c>
      <c r="GE413">
        <v>6.6934559407389758</v>
      </c>
      <c r="GF413">
        <v>27.138435589552643</v>
      </c>
      <c r="GG413">
        <v>23.606023980323656</v>
      </c>
      <c r="GH413">
        <v>9.2554728163378428</v>
      </c>
      <c r="GI413">
        <v>22.392477352195854</v>
      </c>
      <c r="GJ413"/>
      <c r="GK413"/>
      <c r="GL413"/>
      <c r="GM413"/>
      <c r="GN413" s="208"/>
      <c r="GO413" s="208"/>
      <c r="GP413" s="208"/>
      <c r="GQ413" s="208"/>
      <c r="GR413" s="208"/>
      <c r="GS413" s="208"/>
      <c r="GT413" s="208"/>
      <c r="GU413" s="213">
        <v>408</v>
      </c>
    </row>
    <row r="414" spans="1:203" s="7" customFormat="1">
      <c r="A414" s="189">
        <v>10.51</v>
      </c>
      <c r="B414" s="71">
        <f t="shared" si="378"/>
        <v>39987</v>
      </c>
      <c r="C414" s="61">
        <f t="shared" si="384"/>
        <v>341</v>
      </c>
      <c r="D414" s="61">
        <f t="shared" si="379"/>
        <v>2.2977272727272724</v>
      </c>
      <c r="E414" s="108">
        <f t="shared" si="380"/>
        <v>0.10603794796626693</v>
      </c>
      <c r="F414" s="19">
        <f t="shared" si="381"/>
        <v>2.4021865806653437E-3</v>
      </c>
      <c r="G414" s="19">
        <f t="shared" si="382"/>
        <v>5.7489406536644819E-2</v>
      </c>
      <c r="H414" s="19">
        <f t="shared" si="383"/>
        <v>5.7489406536644819E-2</v>
      </c>
      <c r="I414" s="13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3">
        <v>398</v>
      </c>
      <c r="AN414">
        <v>299.47912936150288</v>
      </c>
      <c r="AO414">
        <v>26.40956820062771</v>
      </c>
      <c r="AP414">
        <v>62.226944886998567</v>
      </c>
      <c r="AQ414">
        <v>175.33475270094391</v>
      </c>
      <c r="AR414">
        <v>28.576889822157924</v>
      </c>
      <c r="AS414">
        <v>230.20742063864307</v>
      </c>
      <c r="AT414">
        <v>10.39416876115094</v>
      </c>
      <c r="AU414">
        <v>31.843464590514003</v>
      </c>
      <c r="AV414"/>
      <c r="AW414"/>
      <c r="FY414" s="213">
        <v>409</v>
      </c>
      <c r="FZ414">
        <v>30.509598733374627</v>
      </c>
      <c r="GA414">
        <v>46.387106926463794</v>
      </c>
      <c r="GB414">
        <v>10.625609029923194</v>
      </c>
      <c r="GC414">
        <v>6.2367321184472511</v>
      </c>
      <c r="GD414">
        <v>5.4880459354800886</v>
      </c>
      <c r="GE414">
        <v>4.8019622542015705</v>
      </c>
      <c r="GF414">
        <v>19.915814671381284</v>
      </c>
      <c r="GG414">
        <v>16.997094355256401</v>
      </c>
      <c r="GH414">
        <v>17.482016413868543</v>
      </c>
      <c r="GI414">
        <v>17.164205293937652</v>
      </c>
      <c r="GJ414"/>
      <c r="GK414"/>
      <c r="GL414"/>
      <c r="GM414"/>
      <c r="GN414" s="208"/>
      <c r="GO414" s="208"/>
      <c r="GP414" s="208"/>
      <c r="GQ414" s="208"/>
      <c r="GR414" s="208"/>
      <c r="GS414" s="208"/>
      <c r="GT414" s="208"/>
      <c r="GU414" s="213">
        <v>409</v>
      </c>
    </row>
    <row r="415" spans="1:203" s="7" customFormat="1">
      <c r="A415" s="189"/>
      <c r="B415" s="71"/>
      <c r="C415" s="61"/>
      <c r="D415" s="61"/>
      <c r="E415" s="108"/>
      <c r="F415" s="19"/>
      <c r="G415" s="19"/>
      <c r="H415" s="19"/>
      <c r="I415" s="13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3">
        <v>399</v>
      </c>
      <c r="AN415">
        <v>228.09666922677729</v>
      </c>
      <c r="AO415">
        <v>20.682648228846812</v>
      </c>
      <c r="AP415">
        <v>63.458271991511012</v>
      </c>
      <c r="AQ415">
        <v>145.10664126500188</v>
      </c>
      <c r="AR415">
        <v>22.767738787994375</v>
      </c>
      <c r="AS415">
        <v>187.44755799566741</v>
      </c>
      <c r="AT415">
        <v>10.096890755779755</v>
      </c>
      <c r="AU415">
        <v>-3.8705692609756071</v>
      </c>
      <c r="AV415"/>
      <c r="AW415"/>
      <c r="FY415" s="213">
        <v>410</v>
      </c>
      <c r="FZ415">
        <v>55.067001190096221</v>
      </c>
      <c r="GA415">
        <v>68.867781841974022</v>
      </c>
      <c r="GB415">
        <v>12.99707776186583</v>
      </c>
      <c r="GC415">
        <v>4.8537515305370578</v>
      </c>
      <c r="GD415">
        <v>3.0352793518004546</v>
      </c>
      <c r="GE415">
        <v>1.7170019194164925</v>
      </c>
      <c r="GF415">
        <v>28.449713341598684</v>
      </c>
      <c r="GG415">
        <v>26.672948438444529</v>
      </c>
      <c r="GH415">
        <v>20.231801178928457</v>
      </c>
      <c r="GI415">
        <v>22.000567521293153</v>
      </c>
      <c r="GJ415"/>
      <c r="GK415"/>
      <c r="GL415"/>
      <c r="GM415"/>
      <c r="GN415" s="208"/>
      <c r="GO415" s="208"/>
      <c r="GP415" s="208"/>
      <c r="GQ415" s="208"/>
      <c r="GR415" s="208"/>
      <c r="GS415" s="208"/>
      <c r="GT415" s="208"/>
      <c r="GU415" s="213">
        <v>410</v>
      </c>
    </row>
    <row r="416" spans="1:203" s="7" customFormat="1">
      <c r="A416" s="189"/>
      <c r="B416" s="71"/>
      <c r="C416" s="61"/>
      <c r="D416" s="61"/>
      <c r="E416" s="108"/>
      <c r="F416" s="19"/>
      <c r="G416" s="19"/>
      <c r="H416" s="19"/>
      <c r="I416" s="13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3">
        <v>400</v>
      </c>
      <c r="AN416">
        <v>263.80877544394838</v>
      </c>
      <c r="AO416">
        <v>23.330107311779358</v>
      </c>
      <c r="AP416">
        <v>62.586625370922619</v>
      </c>
      <c r="AQ416">
        <v>170.53507918630336</v>
      </c>
      <c r="AR416">
        <v>24.07086581759356</v>
      </c>
      <c r="AS416">
        <v>209.4687761287297</v>
      </c>
      <c r="AT416">
        <v>9.8924630428711993</v>
      </c>
      <c r="AU416">
        <v>6.793348776402464</v>
      </c>
      <c r="AV416"/>
      <c r="AW416"/>
      <c r="FY416" s="213">
        <v>411</v>
      </c>
      <c r="FZ416">
        <v>56.936024937465397</v>
      </c>
      <c r="GA416">
        <v>48.513952558122583</v>
      </c>
      <c r="GB416">
        <v>8.4316764441402974</v>
      </c>
      <c r="GC416">
        <v>6.1504236410216917</v>
      </c>
      <c r="GD416">
        <v>5.014479919112528</v>
      </c>
      <c r="GE416">
        <v>5.3963500379607785</v>
      </c>
      <c r="GF416">
        <v>15.407680417716584</v>
      </c>
      <c r="GG416">
        <v>13.574496905079023</v>
      </c>
      <c r="GH416">
        <v>18.823012571657845</v>
      </c>
      <c r="GI416">
        <v>19.327045516399089</v>
      </c>
      <c r="GJ416"/>
      <c r="GK416"/>
      <c r="GL416"/>
      <c r="GM416"/>
      <c r="GN416" s="208"/>
      <c r="GO416" s="208"/>
      <c r="GP416" s="208"/>
      <c r="GQ416" s="208"/>
      <c r="GR416" s="208"/>
      <c r="GS416" s="208"/>
      <c r="GT416" s="208"/>
      <c r="GU416" s="213">
        <v>411</v>
      </c>
    </row>
    <row r="417" spans="1:203" s="7" customFormat="1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3">
        <v>401</v>
      </c>
      <c r="AN417">
        <v>270.04223311737394</v>
      </c>
      <c r="AO417">
        <v>25.588989939491142</v>
      </c>
      <c r="AP417">
        <v>65.159293229524366</v>
      </c>
      <c r="AQ417">
        <v>185.22809874909609</v>
      </c>
      <c r="AR417">
        <v>28.414849125173117</v>
      </c>
      <c r="AS417">
        <v>228.63597393656434</v>
      </c>
      <c r="AT417">
        <v>11.871883911218019</v>
      </c>
      <c r="AU417">
        <v>32.314643828658461</v>
      </c>
      <c r="AV417"/>
      <c r="AW417"/>
      <c r="FY417" s="213">
        <v>412</v>
      </c>
      <c r="FZ417">
        <v>65.545026091780684</v>
      </c>
      <c r="GA417">
        <v>108.44680948285034</v>
      </c>
      <c r="GB417">
        <v>28.260707406754463</v>
      </c>
      <c r="GC417">
        <v>5.2338483118104948</v>
      </c>
      <c r="GD417">
        <v>3.3222633999510114</v>
      </c>
      <c r="GE417">
        <v>3.0491847683116728</v>
      </c>
      <c r="GF417">
        <v>7.5079770541202251</v>
      </c>
      <c r="GG417">
        <v>6.5490626596523596</v>
      </c>
      <c r="GH417">
        <v>13.536635178979139</v>
      </c>
      <c r="GI417">
        <v>23.471528279524065</v>
      </c>
      <c r="GJ417"/>
      <c r="GK417"/>
      <c r="GL417"/>
      <c r="GM417"/>
      <c r="GN417" s="208"/>
      <c r="GO417" s="208"/>
      <c r="GP417" s="208"/>
      <c r="GQ417" s="208"/>
      <c r="GR417" s="208"/>
      <c r="GS417" s="208"/>
      <c r="GT417" s="208"/>
      <c r="GU417" s="213">
        <v>412</v>
      </c>
    </row>
    <row r="418" spans="1:203" s="7" customFormat="1">
      <c r="A418" s="4"/>
      <c r="B418" s="128" t="s">
        <v>141</v>
      </c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3">
        <v>402</v>
      </c>
      <c r="AN418">
        <v>331.05960145265152</v>
      </c>
      <c r="AO418">
        <v>18.295372809729422</v>
      </c>
      <c r="AP418">
        <v>93.388184828341608</v>
      </c>
      <c r="AQ418">
        <v>121.86300405715818</v>
      </c>
      <c r="AR418">
        <v>18.320530277969286</v>
      </c>
      <c r="AS418">
        <v>215.02831711686625</v>
      </c>
      <c r="AT418">
        <v>9.7929003413515154</v>
      </c>
      <c r="AU418">
        <v>55.648336214085916</v>
      </c>
      <c r="AV418"/>
      <c r="AW418"/>
      <c r="FY418" s="213">
        <v>413</v>
      </c>
      <c r="FZ418">
        <v>38.436888286053666</v>
      </c>
      <c r="GA418">
        <v>42.865937801657246</v>
      </c>
      <c r="GB418">
        <v>12.938995207365931</v>
      </c>
      <c r="GC418">
        <v>7.2196654862803449</v>
      </c>
      <c r="GD418">
        <v>5.7757360772486734</v>
      </c>
      <c r="GE418">
        <v>6.6538141231286225</v>
      </c>
      <c r="GF418">
        <v>28.453609518355158</v>
      </c>
      <c r="GG418">
        <v>22.584919639687328</v>
      </c>
      <c r="GH418">
        <v>14.171443857994378</v>
      </c>
      <c r="GI418">
        <v>19.961712418908604</v>
      </c>
      <c r="GJ418"/>
      <c r="GK418"/>
      <c r="GL418"/>
      <c r="GM418"/>
      <c r="GN418" s="208"/>
      <c r="GO418" s="208"/>
      <c r="GP418" s="208"/>
      <c r="GQ418" s="208"/>
      <c r="GR418" s="208"/>
      <c r="GS418" s="208"/>
      <c r="GT418" s="208"/>
      <c r="GU418" s="213">
        <v>413</v>
      </c>
    </row>
    <row r="419" spans="1:203" s="7" customFormat="1">
      <c r="A419" s="4"/>
      <c r="B419" s="10" t="s">
        <v>76</v>
      </c>
      <c r="C419" s="21"/>
      <c r="D419" s="13"/>
      <c r="E419" s="21"/>
      <c r="F419" s="13"/>
      <c r="G419" s="13"/>
      <c r="H419" s="94"/>
      <c r="I419" s="94"/>
      <c r="J419" s="94"/>
      <c r="K419" s="94"/>
      <c r="L419" s="94"/>
      <c r="M419" s="94"/>
      <c r="N419" s="94"/>
      <c r="O419" s="94"/>
      <c r="P419" s="94"/>
      <c r="Q419" s="94"/>
      <c r="R419" s="13"/>
      <c r="S419" s="13"/>
      <c r="T419" s="13"/>
      <c r="U419" s="13"/>
      <c r="V419" s="13"/>
      <c r="W419" s="13"/>
      <c r="X419" s="13"/>
      <c r="Y419" s="13"/>
      <c r="Z419" s="13"/>
      <c r="AA419" s="13"/>
      <c r="AB419" s="13"/>
      <c r="AC419" s="13"/>
      <c r="AD419" s="13"/>
      <c r="AE419" s="13"/>
      <c r="AF419" s="13"/>
      <c r="AG419" s="13"/>
      <c r="AH419" s="13"/>
      <c r="AI419" s="13"/>
      <c r="AJ419" s="13"/>
      <c r="AK419" s="13"/>
      <c r="AL419" s="4"/>
      <c r="AM419" s="43">
        <v>403</v>
      </c>
      <c r="AN419">
        <v>367.86485375087375</v>
      </c>
      <c r="AO419">
        <v>32.866611727497926</v>
      </c>
      <c r="AP419">
        <v>67.17521120742299</v>
      </c>
      <c r="AQ419">
        <v>239.74309910960434</v>
      </c>
      <c r="AR419">
        <v>34.885311074566374</v>
      </c>
      <c r="AS419">
        <v>293.14070512024546</v>
      </c>
      <c r="AT419">
        <v>15.58143364556733</v>
      </c>
      <c r="AU419">
        <v>22.078988348903465</v>
      </c>
      <c r="AV419"/>
      <c r="AW419"/>
      <c r="FY419" s="213">
        <v>414</v>
      </c>
      <c r="FZ419">
        <v>60.296972317009782</v>
      </c>
      <c r="GA419">
        <v>46.577968390377158</v>
      </c>
      <c r="GB419">
        <v>7.1351402717247847</v>
      </c>
      <c r="GC419">
        <v>6.3945080604837878</v>
      </c>
      <c r="GD419">
        <v>6.2376551311237387</v>
      </c>
      <c r="GE419">
        <v>6.3007104694126488</v>
      </c>
      <c r="GF419">
        <v>6.6597972907888492</v>
      </c>
      <c r="GG419">
        <v>6.8112162981347941</v>
      </c>
      <c r="GH419">
        <v>16.08201464368592</v>
      </c>
      <c r="GI419">
        <v>18.118907525324182</v>
      </c>
      <c r="GJ419"/>
      <c r="GK419"/>
      <c r="GL419"/>
      <c r="GM419"/>
      <c r="GN419" s="208"/>
      <c r="GO419" s="208"/>
      <c r="GP419" s="208"/>
      <c r="GQ419" s="208"/>
      <c r="GR419" s="208"/>
      <c r="GS419" s="208"/>
      <c r="GT419" s="208"/>
      <c r="GU419" s="213">
        <v>414</v>
      </c>
    </row>
    <row r="420" spans="1:203" s="7" customFormat="1">
      <c r="A420" s="4"/>
      <c r="B420" s="13"/>
      <c r="C420" s="13"/>
      <c r="D420" s="13"/>
      <c r="E420" s="13"/>
      <c r="F420" s="13"/>
      <c r="G420" s="13"/>
      <c r="H420" s="14"/>
      <c r="I420" s="175"/>
      <c r="J420" s="21"/>
      <c r="K420" s="94"/>
      <c r="L420" s="94"/>
      <c r="M420" s="94"/>
      <c r="N420" s="94"/>
      <c r="O420" s="94"/>
      <c r="P420" s="94"/>
      <c r="Q420" s="94"/>
      <c r="R420" s="13"/>
      <c r="S420" s="13"/>
      <c r="T420" s="13"/>
      <c r="U420" s="13"/>
      <c r="V420" s="13"/>
      <c r="W420" s="13"/>
      <c r="X420" s="13"/>
      <c r="Y420" s="13"/>
      <c r="Z420" s="13"/>
      <c r="AA420" s="13"/>
      <c r="AB420" s="13"/>
      <c r="AC420" s="13"/>
      <c r="AD420" s="13"/>
      <c r="AE420" s="13"/>
      <c r="AF420" s="13"/>
      <c r="AG420" s="13"/>
      <c r="AH420" s="13"/>
      <c r="AI420" s="13"/>
      <c r="AJ420" s="13"/>
      <c r="AK420" s="13"/>
      <c r="AL420" s="4"/>
      <c r="AM420" s="43">
        <v>404</v>
      </c>
      <c r="AN420">
        <v>264.42876159439072</v>
      </c>
      <c r="AO420">
        <v>26.465385146527364</v>
      </c>
      <c r="AP420">
        <v>105.57556479536464</v>
      </c>
      <c r="AQ420">
        <v>194.25411173042755</v>
      </c>
      <c r="AR420">
        <v>27.293274371001729</v>
      </c>
      <c r="AS420">
        <v>226.44322167684953</v>
      </c>
      <c r="AT420">
        <v>12.525088345065038</v>
      </c>
      <c r="AU420">
        <v>31.70482938362548</v>
      </c>
      <c r="AV420"/>
      <c r="AW420"/>
      <c r="FY420" s="213">
        <v>415</v>
      </c>
      <c r="FZ420">
        <v>58.074388804609576</v>
      </c>
      <c r="GA420">
        <v>65.327683143277</v>
      </c>
      <c r="GB420">
        <v>8.11680951332084</v>
      </c>
      <c r="GC420">
        <v>7.7550601947256803</v>
      </c>
      <c r="GD420">
        <v>5.3772193042618737</v>
      </c>
      <c r="GE420">
        <v>4.1866717498754973</v>
      </c>
      <c r="GF420">
        <v>15.321025275504367</v>
      </c>
      <c r="GG420">
        <v>13.995812213527474</v>
      </c>
      <c r="GH420">
        <v>11.220648530314387</v>
      </c>
      <c r="GI420">
        <v>18.450885591084003</v>
      </c>
      <c r="GJ420"/>
      <c r="GK420"/>
      <c r="GL420"/>
      <c r="GM420"/>
      <c r="GN420" s="208"/>
      <c r="GO420" s="208"/>
      <c r="GP420" s="208"/>
      <c r="GQ420" s="208"/>
      <c r="GR420" s="208"/>
      <c r="GS420" s="208"/>
      <c r="GT420" s="208"/>
      <c r="GU420" s="213">
        <v>415</v>
      </c>
    </row>
    <row r="421" spans="1:203" s="7" customFormat="1">
      <c r="A421" s="4"/>
      <c r="B421" s="10" t="s">
        <v>51</v>
      </c>
      <c r="C421" s="13"/>
      <c r="D421" s="13"/>
      <c r="E421" s="13"/>
      <c r="F421" s="134"/>
      <c r="G421" s="11" t="s">
        <v>33</v>
      </c>
      <c r="H421" s="13"/>
      <c r="I421" s="14"/>
      <c r="J421" s="13"/>
      <c r="K421" s="21"/>
      <c r="L421" s="13"/>
      <c r="M421" s="14"/>
      <c r="N421" s="13"/>
      <c r="O421" s="13"/>
      <c r="P421" s="13"/>
      <c r="Q421" s="14"/>
      <c r="R421" s="10"/>
      <c r="S421" s="10"/>
      <c r="T421" s="10"/>
      <c r="U421" s="10"/>
      <c r="V421" s="10"/>
      <c r="W421" s="10"/>
      <c r="X421" s="10"/>
      <c r="Y421" s="10"/>
      <c r="Z421" s="10"/>
      <c r="AA421" s="10"/>
      <c r="AB421" s="10"/>
      <c r="AC421" s="10"/>
      <c r="AD421" s="10"/>
      <c r="AE421" s="10"/>
      <c r="AF421" s="10"/>
      <c r="AG421" s="10"/>
      <c r="AH421" s="10"/>
      <c r="AI421" s="10"/>
      <c r="AJ421" s="10"/>
      <c r="AK421" s="10"/>
      <c r="AL421" s="4"/>
      <c r="AM421" s="43">
        <v>405</v>
      </c>
      <c r="AN421">
        <v>337.65437267710047</v>
      </c>
      <c r="AO421">
        <v>35.936385413313566</v>
      </c>
      <c r="AP421">
        <v>93.195802265574613</v>
      </c>
      <c r="AQ421">
        <v>282.42002031739895</v>
      </c>
      <c r="AR421">
        <v>35.218855226547447</v>
      </c>
      <c r="AS421">
        <v>316.70253692378503</v>
      </c>
      <c r="AT421">
        <v>16.869593323316732</v>
      </c>
      <c r="AU421">
        <v>17.453497942515675</v>
      </c>
      <c r="AV421"/>
      <c r="AW421"/>
      <c r="FY421" s="213">
        <v>416</v>
      </c>
      <c r="FZ421">
        <v>70.939095805951311</v>
      </c>
      <c r="GA421">
        <v>52.932594159765053</v>
      </c>
      <c r="GB421">
        <v>6.5079689564706973</v>
      </c>
      <c r="GC421">
        <v>5.8344000335022894</v>
      </c>
      <c r="GD421">
        <v>6.1664339975258207</v>
      </c>
      <c r="GE421">
        <v>5.2459642256534194</v>
      </c>
      <c r="GF421">
        <v>18.784680003686724</v>
      </c>
      <c r="GG421">
        <v>18.955423134246544</v>
      </c>
      <c r="GH421">
        <v>18.751212557917686</v>
      </c>
      <c r="GI421">
        <v>22.21317764400083</v>
      </c>
      <c r="GJ421"/>
      <c r="GK421"/>
      <c r="GL421"/>
      <c r="GM421"/>
      <c r="GN421" s="208"/>
      <c r="GO421" s="208"/>
      <c r="GP421" s="208"/>
      <c r="GQ421" s="208"/>
      <c r="GR421" s="208"/>
      <c r="GS421" s="208"/>
      <c r="GT421" s="208"/>
      <c r="GU421" s="213">
        <v>416</v>
      </c>
    </row>
    <row r="422" spans="1:203" s="7" customFormat="1">
      <c r="A422" s="4"/>
      <c r="B422" s="12" t="s">
        <v>34</v>
      </c>
      <c r="C422" s="10"/>
      <c r="D422" s="10" t="s">
        <v>115</v>
      </c>
      <c r="E422" s="13"/>
      <c r="F422" s="134"/>
      <c r="G422" s="44">
        <f>G372</f>
        <v>1.8156463984709309E-3</v>
      </c>
      <c r="H422" s="44">
        <f t="shared" ref="H422:AK422" si="385">H372</f>
        <v>1.15313E-2</v>
      </c>
      <c r="I422" s="44">
        <f t="shared" si="385"/>
        <v>7.3236110182017297E-2</v>
      </c>
      <c r="J422" s="44">
        <f t="shared" si="385"/>
        <v>0.21595370395129135</v>
      </c>
      <c r="K422" s="44">
        <f t="shared" si="385"/>
        <v>0.46512776829954805</v>
      </c>
      <c r="L422" s="44">
        <f t="shared" si="385"/>
        <v>0.84339548649291773</v>
      </c>
      <c r="M422" s="44">
        <f t="shared" si="385"/>
        <v>1.3715374031368122</v>
      </c>
      <c r="N422" s="44">
        <f t="shared" si="385"/>
        <v>2.0689726212277471</v>
      </c>
      <c r="O422" s="44">
        <f t="shared" si="385"/>
        <v>2.9540596886648949</v>
      </c>
      <c r="P422" s="44">
        <f t="shared" si="385"/>
        <v>4.0442970220427874</v>
      </c>
      <c r="Q422" s="44">
        <f t="shared" si="385"/>
        <v>5.3564649931760897</v>
      </c>
      <c r="R422" s="44">
        <f t="shared" si="385"/>
        <v>6.9067313280301672</v>
      </c>
      <c r="S422" s="44">
        <f t="shared" si="385"/>
        <v>8.7107320401763371</v>
      </c>
      <c r="T422" s="44">
        <f t="shared" si="385"/>
        <v>10.783635296383494</v>
      </c>
      <c r="U422" s="44">
        <f t="shared" si="385"/>
        <v>13.140192940241995</v>
      </c>
      <c r="V422" s="44">
        <f t="shared" si="385"/>
        <v>15.794782826216199</v>
      </c>
      <c r="W422" s="44">
        <f t="shared" si="385"/>
        <v>18.761444142752168</v>
      </c>
      <c r="X422" s="44">
        <f t="shared" si="385"/>
        <v>22.053907275344272</v>
      </c>
      <c r="Y422" s="44">
        <f t="shared" si="385"/>
        <v>25.685619341716023</v>
      </c>
      <c r="Z422" s="44">
        <f t="shared" si="385"/>
        <v>29.669766243653644</v>
      </c>
      <c r="AA422" s="44">
        <f t="shared" si="385"/>
        <v>34.019291877443351</v>
      </c>
      <c r="AB422" s="44">
        <f t="shared" si="385"/>
        <v>38.746914998997923</v>
      </c>
      <c r="AC422" s="44">
        <f t="shared" si="385"/>
        <v>43.865144132683035</v>
      </c>
      <c r="AD422" s="44">
        <f t="shared" si="385"/>
        <v>49.386290832891866</v>
      </c>
      <c r="AE422" s="44">
        <f t="shared" si="385"/>
        <v>55.322481546779947</v>
      </c>
      <c r="AF422" s="44">
        <f t="shared" si="385"/>
        <v>61.685668279953298</v>
      </c>
      <c r="AG422" s="44">
        <f t="shared" si="385"/>
        <v>68.487638230609974</v>
      </c>
      <c r="AH422" s="44">
        <f t="shared" si="385"/>
        <v>75.740022529057185</v>
      </c>
      <c r="AI422" s="44">
        <f t="shared" si="385"/>
        <v>83.454304196797253</v>
      </c>
      <c r="AJ422" s="44">
        <f t="shared" si="385"/>
        <v>91.64182542111466</v>
      </c>
      <c r="AK422" s="44">
        <f t="shared" si="385"/>
        <v>100.31379422630621</v>
      </c>
      <c r="AL422" s="4"/>
      <c r="AM422" s="43">
        <v>406</v>
      </c>
      <c r="AN422">
        <v>263.89696433926918</v>
      </c>
      <c r="AO422">
        <v>20.783858296067315</v>
      </c>
      <c r="AP422">
        <v>80.781459880619849</v>
      </c>
      <c r="AQ422">
        <v>133.92646147482844</v>
      </c>
      <c r="AR422">
        <v>22.370504616551919</v>
      </c>
      <c r="AS422">
        <v>195.82252000010786</v>
      </c>
      <c r="AT422">
        <v>9.8561884019881898</v>
      </c>
      <c r="AU422">
        <v>26.998317709568639</v>
      </c>
      <c r="AV422"/>
      <c r="AW422"/>
      <c r="FY422" s="213">
        <v>417</v>
      </c>
      <c r="FZ422">
        <v>40.253448553041217</v>
      </c>
      <c r="GA422">
        <v>77.525136003696403</v>
      </c>
      <c r="GB422">
        <v>19.212364612576977</v>
      </c>
      <c r="GC422">
        <v>5.2738034876456119</v>
      </c>
      <c r="GD422">
        <v>4.2315155788264391</v>
      </c>
      <c r="GE422">
        <v>4.0500266472058062</v>
      </c>
      <c r="GF422">
        <v>20.567622536755451</v>
      </c>
      <c r="GG422">
        <v>18.249972416952158</v>
      </c>
      <c r="GH422">
        <v>15.144159600852129</v>
      </c>
      <c r="GI422">
        <v>20.228830978887686</v>
      </c>
      <c r="GJ422"/>
      <c r="GK422"/>
      <c r="GL422"/>
      <c r="GM422"/>
      <c r="GN422" s="208"/>
      <c r="GO422" s="208"/>
      <c r="GP422" s="208"/>
      <c r="GQ422" s="208"/>
      <c r="GR422" s="208"/>
      <c r="GS422" s="208"/>
      <c r="GT422" s="208"/>
      <c r="GU422" s="213">
        <v>417</v>
      </c>
    </row>
    <row r="423" spans="1:203" s="7" customFormat="1">
      <c r="A423" s="4"/>
      <c r="B423" s="48" t="s">
        <v>38</v>
      </c>
      <c r="C423" s="107">
        <f t="shared" ref="C423:C432" si="386">SUM(G423:AK423)</f>
        <v>42.67407986046527</v>
      </c>
      <c r="D423" s="191">
        <f>$A$405</f>
        <v>13.69</v>
      </c>
      <c r="E423" s="8"/>
      <c r="F423" s="124"/>
      <c r="G423" s="107">
        <f>(($A$453+$A$455*(G$422)+($A$457*$D423))*($E21*G37))</f>
        <v>0</v>
      </c>
      <c r="H423" s="107">
        <f t="shared" ref="H423:AK431" si="387">(($A$453+$A$455*(H$422)+($A$457*$D423))*($E21*H37))</f>
        <v>2.4126591626465708E-2</v>
      </c>
      <c r="I423" s="107">
        <f t="shared" si="387"/>
        <v>3.49687149308921</v>
      </c>
      <c r="J423" s="107">
        <f t="shared" si="387"/>
        <v>6.0364159198778244</v>
      </c>
      <c r="K423" s="107">
        <f t="shared" si="387"/>
        <v>4.5160685854293003</v>
      </c>
      <c r="L423" s="107">
        <f t="shared" si="387"/>
        <v>8.4502537770064095</v>
      </c>
      <c r="M423" s="107">
        <f t="shared" si="387"/>
        <v>3.3392440173042757</v>
      </c>
      <c r="N423" s="107">
        <f t="shared" si="387"/>
        <v>7.7529334799961953</v>
      </c>
      <c r="O423" s="107">
        <f t="shared" si="387"/>
        <v>2.6284605551732114</v>
      </c>
      <c r="P423" s="107">
        <f t="shared" si="387"/>
        <v>0</v>
      </c>
      <c r="Q423" s="107">
        <f t="shared" si="387"/>
        <v>4.0822880356283173</v>
      </c>
      <c r="R423" s="107">
        <f t="shared" si="387"/>
        <v>2.3474174053340611</v>
      </c>
      <c r="S423" s="107">
        <f t="shared" si="387"/>
        <v>0</v>
      </c>
      <c r="T423" s="107">
        <f t="shared" si="387"/>
        <v>0</v>
      </c>
      <c r="U423" s="107">
        <f t="shared" si="387"/>
        <v>0</v>
      </c>
      <c r="V423" s="107">
        <f t="shared" si="387"/>
        <v>0</v>
      </c>
      <c r="W423" s="107">
        <f t="shared" si="387"/>
        <v>0</v>
      </c>
      <c r="X423" s="107">
        <f t="shared" si="387"/>
        <v>0</v>
      </c>
      <c r="Y423" s="107">
        <f t="shared" si="387"/>
        <v>0</v>
      </c>
      <c r="Z423" s="107">
        <f t="shared" si="387"/>
        <v>0</v>
      </c>
      <c r="AA423" s="107">
        <f t="shared" si="387"/>
        <v>0</v>
      </c>
      <c r="AB423" s="107">
        <f t="shared" si="387"/>
        <v>0</v>
      </c>
      <c r="AC423" s="107">
        <f t="shared" si="387"/>
        <v>0</v>
      </c>
      <c r="AD423" s="107">
        <f t="shared" si="387"/>
        <v>0</v>
      </c>
      <c r="AE423" s="107">
        <f t="shared" si="387"/>
        <v>0</v>
      </c>
      <c r="AF423" s="107">
        <f t="shared" si="387"/>
        <v>0</v>
      </c>
      <c r="AG423" s="107">
        <f t="shared" si="387"/>
        <v>0</v>
      </c>
      <c r="AH423" s="107">
        <f t="shared" si="387"/>
        <v>0</v>
      </c>
      <c r="AI423" s="107">
        <f t="shared" si="387"/>
        <v>0</v>
      </c>
      <c r="AJ423" s="107">
        <f t="shared" si="387"/>
        <v>0</v>
      </c>
      <c r="AK423" s="107">
        <f t="shared" si="387"/>
        <v>0</v>
      </c>
      <c r="AL423" s="4"/>
      <c r="AM423" s="43">
        <v>407</v>
      </c>
      <c r="AN423">
        <v>367.47225513487774</v>
      </c>
      <c r="AO423">
        <v>30.51841918236563</v>
      </c>
      <c r="AP423">
        <v>74.631275476158066</v>
      </c>
      <c r="AQ423">
        <v>216.16463170829445</v>
      </c>
      <c r="AR423">
        <v>31.133036583252082</v>
      </c>
      <c r="AS423">
        <v>279.76659954118685</v>
      </c>
      <c r="AT423">
        <v>12.868815257107356</v>
      </c>
      <c r="AU423">
        <v>0.61366236725849888</v>
      </c>
      <c r="AV423"/>
      <c r="AW423"/>
      <c r="FY423" s="213">
        <v>418</v>
      </c>
      <c r="FZ423">
        <v>62.388792491208385</v>
      </c>
      <c r="GA423">
        <v>107.61089275467833</v>
      </c>
      <c r="GB423">
        <v>28.122210479537472</v>
      </c>
      <c r="GC423">
        <v>9.2833489247939536</v>
      </c>
      <c r="GD423">
        <v>6.9484335466358091</v>
      </c>
      <c r="GE423">
        <v>4.3049689249886738</v>
      </c>
      <c r="GF423">
        <v>27.132292232210915</v>
      </c>
      <c r="GG423">
        <v>25.20423585981008</v>
      </c>
      <c r="GH423">
        <v>20.529591146728539</v>
      </c>
      <c r="GI423">
        <v>29.673339462200314</v>
      </c>
      <c r="GJ423"/>
      <c r="GK423"/>
      <c r="GL423"/>
      <c r="GM423"/>
      <c r="GN423" s="208"/>
      <c r="GO423" s="208"/>
      <c r="GP423" s="208"/>
      <c r="GQ423" s="208"/>
      <c r="GR423" s="208"/>
      <c r="GS423" s="208"/>
      <c r="GT423" s="208"/>
      <c r="GU423" s="213">
        <v>418</v>
      </c>
    </row>
    <row r="424" spans="1:203" s="7" customFormat="1">
      <c r="A424" s="4"/>
      <c r="B424" s="48" t="s">
        <v>39</v>
      </c>
      <c r="C424" s="107">
        <f t="shared" si="386"/>
        <v>25.704657621344477</v>
      </c>
      <c r="D424" s="191">
        <f>$A$406</f>
        <v>9.4499999999999993</v>
      </c>
      <c r="E424" s="8"/>
      <c r="F424" s="124"/>
      <c r="G424" s="107">
        <f t="shared" ref="G424:V432" si="388">(($A$453+$A$455*(G$422)+($A$457*$D424))*($E22*G38))</f>
        <v>2.4942436411216299E-2</v>
      </c>
      <c r="H424" s="107">
        <f t="shared" si="388"/>
        <v>0.65339248635996861</v>
      </c>
      <c r="I424" s="107">
        <f t="shared" si="388"/>
        <v>1.3352705054588787</v>
      </c>
      <c r="J424" s="107">
        <f t="shared" si="388"/>
        <v>0.39571158316450539</v>
      </c>
      <c r="K424" s="107">
        <f t="shared" si="388"/>
        <v>2.2353822969361943</v>
      </c>
      <c r="L424" s="107">
        <f t="shared" si="388"/>
        <v>3.9503508259579134</v>
      </c>
      <c r="M424" s="107">
        <f t="shared" si="388"/>
        <v>3.8689395179380823</v>
      </c>
      <c r="N424" s="107">
        <f t="shared" si="388"/>
        <v>1.1090478447469121</v>
      </c>
      <c r="O424" s="107">
        <f t="shared" si="388"/>
        <v>4.4340106883309938</v>
      </c>
      <c r="P424" s="107">
        <f t="shared" si="388"/>
        <v>5.5367795610922705</v>
      </c>
      <c r="Q424" s="107">
        <f t="shared" si="388"/>
        <v>2.1608298749475421</v>
      </c>
      <c r="R424" s="107">
        <f t="shared" si="388"/>
        <v>0</v>
      </c>
      <c r="S424" s="107">
        <f t="shared" si="388"/>
        <v>0</v>
      </c>
      <c r="T424" s="107">
        <f t="shared" si="388"/>
        <v>0</v>
      </c>
      <c r="U424" s="107">
        <f t="shared" si="388"/>
        <v>0</v>
      </c>
      <c r="V424" s="107">
        <f t="shared" si="388"/>
        <v>0</v>
      </c>
      <c r="W424" s="107">
        <f t="shared" si="387"/>
        <v>0</v>
      </c>
      <c r="X424" s="107">
        <f t="shared" si="387"/>
        <v>0</v>
      </c>
      <c r="Y424" s="107">
        <f t="shared" si="387"/>
        <v>0</v>
      </c>
      <c r="Z424" s="107">
        <f t="shared" si="387"/>
        <v>0</v>
      </c>
      <c r="AA424" s="107">
        <f t="shared" si="387"/>
        <v>0</v>
      </c>
      <c r="AB424" s="107">
        <f t="shared" si="387"/>
        <v>0</v>
      </c>
      <c r="AC424" s="107">
        <f t="shared" si="387"/>
        <v>0</v>
      </c>
      <c r="AD424" s="107">
        <f t="shared" si="387"/>
        <v>0</v>
      </c>
      <c r="AE424" s="107">
        <f t="shared" si="387"/>
        <v>0</v>
      </c>
      <c r="AF424" s="107">
        <f t="shared" si="387"/>
        <v>0</v>
      </c>
      <c r="AG424" s="107">
        <f t="shared" si="387"/>
        <v>0</v>
      </c>
      <c r="AH424" s="107">
        <f t="shared" si="387"/>
        <v>0</v>
      </c>
      <c r="AI424" s="107">
        <f t="shared" si="387"/>
        <v>0</v>
      </c>
      <c r="AJ424" s="107">
        <f t="shared" si="387"/>
        <v>0</v>
      </c>
      <c r="AK424" s="107">
        <f t="shared" si="387"/>
        <v>0</v>
      </c>
      <c r="AL424" s="4"/>
      <c r="AM424" s="43">
        <v>408</v>
      </c>
      <c r="AN424">
        <v>381.38878014863576</v>
      </c>
      <c r="AO424">
        <v>34.128135678551374</v>
      </c>
      <c r="AP424">
        <v>112.58551461346345</v>
      </c>
      <c r="AQ424">
        <v>228.36649516717506</v>
      </c>
      <c r="AR424">
        <v>34.236050954501607</v>
      </c>
      <c r="AS424">
        <v>288.19462417551961</v>
      </c>
      <c r="AT424">
        <v>12.356064350447177</v>
      </c>
      <c r="AU424">
        <v>-21.048485349491749</v>
      </c>
      <c r="AV424"/>
      <c r="AW424"/>
      <c r="FY424" s="213">
        <v>419</v>
      </c>
      <c r="FZ424">
        <v>45.641132874745779</v>
      </c>
      <c r="GA424">
        <v>98.445654184716233</v>
      </c>
      <c r="GB424">
        <v>35.834084223430679</v>
      </c>
      <c r="GC424">
        <v>5.8421976119536625</v>
      </c>
      <c r="GD424">
        <v>4.7381995312847183</v>
      </c>
      <c r="GE424">
        <v>4.0035639140542552</v>
      </c>
      <c r="GF424">
        <v>14.503146838547535</v>
      </c>
      <c r="GG424">
        <v>16.589425710278999</v>
      </c>
      <c r="GH424">
        <v>14.228260849364572</v>
      </c>
      <c r="GI424">
        <v>25.063599071334487</v>
      </c>
      <c r="GJ424"/>
      <c r="GK424"/>
      <c r="GL424"/>
      <c r="GM424"/>
      <c r="GN424" s="208"/>
      <c r="GO424" s="208"/>
      <c r="GP424" s="208"/>
      <c r="GQ424" s="208"/>
      <c r="GR424" s="208"/>
      <c r="GS424" s="208"/>
      <c r="GT424" s="208"/>
      <c r="GU424" s="213">
        <v>419</v>
      </c>
    </row>
    <row r="425" spans="1:203" s="7" customFormat="1">
      <c r="A425" s="4"/>
      <c r="B425" s="48" t="s">
        <v>40</v>
      </c>
      <c r="C425" s="107">
        <f t="shared" si="386"/>
        <v>8.6250593843699797</v>
      </c>
      <c r="D425" s="191">
        <f>A$407</f>
        <v>4.03</v>
      </c>
      <c r="E425" s="8"/>
      <c r="F425" s="124"/>
      <c r="G425" s="107">
        <f t="shared" si="388"/>
        <v>2.1242560082839625E-2</v>
      </c>
      <c r="H425" s="107">
        <f t="shared" si="387"/>
        <v>1.8282693785872481</v>
      </c>
      <c r="I425" s="107">
        <f t="shared" si="387"/>
        <v>1.0792046163777835</v>
      </c>
      <c r="J425" s="107">
        <f t="shared" si="387"/>
        <v>0.13445844509315558</v>
      </c>
      <c r="K425" s="107">
        <f t="shared" si="387"/>
        <v>0</v>
      </c>
      <c r="L425" s="107">
        <f t="shared" si="387"/>
        <v>0.73612895757923291</v>
      </c>
      <c r="M425" s="107">
        <f t="shared" si="387"/>
        <v>1.1265339756771746</v>
      </c>
      <c r="N425" s="107">
        <f t="shared" si="387"/>
        <v>0</v>
      </c>
      <c r="O425" s="107">
        <f t="shared" si="387"/>
        <v>0.65698407637943745</v>
      </c>
      <c r="P425" s="107">
        <f t="shared" si="387"/>
        <v>2.2688244867545388</v>
      </c>
      <c r="Q425" s="107">
        <f t="shared" si="387"/>
        <v>0.77341288783856943</v>
      </c>
      <c r="R425" s="107">
        <f t="shared" si="387"/>
        <v>0</v>
      </c>
      <c r="S425" s="107">
        <f t="shared" si="387"/>
        <v>0</v>
      </c>
      <c r="T425" s="107">
        <f t="shared" si="387"/>
        <v>0</v>
      </c>
      <c r="U425" s="107">
        <f t="shared" si="387"/>
        <v>0</v>
      </c>
      <c r="V425" s="107">
        <f t="shared" si="387"/>
        <v>0</v>
      </c>
      <c r="W425" s="107">
        <f t="shared" si="387"/>
        <v>0</v>
      </c>
      <c r="X425" s="107">
        <f t="shared" si="387"/>
        <v>0</v>
      </c>
      <c r="Y425" s="107">
        <f t="shared" si="387"/>
        <v>0</v>
      </c>
      <c r="Z425" s="107">
        <f t="shared" si="387"/>
        <v>0</v>
      </c>
      <c r="AA425" s="107">
        <f t="shared" si="387"/>
        <v>0</v>
      </c>
      <c r="AB425" s="107">
        <f t="shared" si="387"/>
        <v>0</v>
      </c>
      <c r="AC425" s="107">
        <f t="shared" si="387"/>
        <v>0</v>
      </c>
      <c r="AD425" s="107">
        <f t="shared" si="387"/>
        <v>0</v>
      </c>
      <c r="AE425" s="107">
        <f t="shared" si="387"/>
        <v>0</v>
      </c>
      <c r="AF425" s="107">
        <f t="shared" si="387"/>
        <v>0</v>
      </c>
      <c r="AG425" s="107">
        <f t="shared" si="387"/>
        <v>0</v>
      </c>
      <c r="AH425" s="107">
        <f t="shared" si="387"/>
        <v>0</v>
      </c>
      <c r="AI425" s="107">
        <f t="shared" si="387"/>
        <v>0</v>
      </c>
      <c r="AJ425" s="107">
        <f t="shared" si="387"/>
        <v>0</v>
      </c>
      <c r="AK425" s="107">
        <f t="shared" si="387"/>
        <v>0</v>
      </c>
      <c r="AL425" s="4"/>
      <c r="AM425" s="43">
        <v>409</v>
      </c>
      <c r="AN425">
        <v>283.29464599869641</v>
      </c>
      <c r="AO425">
        <v>24.887752954644171</v>
      </c>
      <c r="AP425">
        <v>127.40897522777014</v>
      </c>
      <c r="AQ425">
        <v>175.60818573233439</v>
      </c>
      <c r="AR425">
        <v>25.024398955232918</v>
      </c>
      <c r="AS425">
        <v>240.40862125668224</v>
      </c>
      <c r="AT425">
        <v>11.623451485245079</v>
      </c>
      <c r="AU425">
        <v>14.426276200046878</v>
      </c>
      <c r="AV425"/>
      <c r="AW425"/>
      <c r="FY425" s="213">
        <v>420</v>
      </c>
      <c r="FZ425">
        <v>50.20020781323641</v>
      </c>
      <c r="GA425">
        <v>33.135931078757679</v>
      </c>
      <c r="GB425">
        <v>7.8270048117467681</v>
      </c>
      <c r="GC425">
        <v>7.6870576367266414</v>
      </c>
      <c r="GD425">
        <v>5.5188743358381993</v>
      </c>
      <c r="GE425">
        <v>5.2874244538882058</v>
      </c>
      <c r="GF425">
        <v>16.992116995363929</v>
      </c>
      <c r="GG425">
        <v>14.361349383029124</v>
      </c>
      <c r="GH425">
        <v>16.597031616522269</v>
      </c>
      <c r="GI425">
        <v>18.348286754596948</v>
      </c>
      <c r="GJ425"/>
      <c r="GK425"/>
      <c r="GL425"/>
      <c r="GM425"/>
      <c r="GN425" s="208"/>
      <c r="GO425" s="208"/>
      <c r="GP425" s="208"/>
      <c r="GQ425" s="208"/>
      <c r="GR425" s="208"/>
      <c r="GS425" s="208"/>
      <c r="GT425" s="208"/>
      <c r="GU425" s="213">
        <v>420</v>
      </c>
    </row>
    <row r="426" spans="1:203" s="7" customFormat="1">
      <c r="A426" s="128" t="s">
        <v>92</v>
      </c>
      <c r="B426" s="48" t="s">
        <v>41</v>
      </c>
      <c r="C426" s="107">
        <f t="shared" si="386"/>
        <v>7.1531297272148935</v>
      </c>
      <c r="D426" s="191">
        <f>A$408</f>
        <v>0.78</v>
      </c>
      <c r="E426" s="8"/>
      <c r="F426" s="124"/>
      <c r="G426" s="107">
        <f t="shared" si="388"/>
        <v>1.2347362904823989E-2</v>
      </c>
      <c r="H426" s="107">
        <f t="shared" si="387"/>
        <v>1.5777104777566815</v>
      </c>
      <c r="I426" s="107">
        <f t="shared" si="387"/>
        <v>4.6652000275128307</v>
      </c>
      <c r="J426" s="107">
        <f t="shared" si="387"/>
        <v>0.69004299517416601</v>
      </c>
      <c r="K426" s="107">
        <f t="shared" si="387"/>
        <v>7.6999352319572487E-2</v>
      </c>
      <c r="L426" s="107">
        <f t="shared" si="387"/>
        <v>0.13082951154681827</v>
      </c>
      <c r="M426" s="107">
        <f t="shared" si="387"/>
        <v>0</v>
      </c>
      <c r="N426" s="107">
        <f t="shared" si="387"/>
        <v>0</v>
      </c>
      <c r="O426" s="107">
        <f t="shared" si="387"/>
        <v>0</v>
      </c>
      <c r="P426" s="107">
        <f t="shared" si="387"/>
        <v>0</v>
      </c>
      <c r="Q426" s="107">
        <f t="shared" si="387"/>
        <v>0</v>
      </c>
      <c r="R426" s="107">
        <f t="shared" si="387"/>
        <v>0</v>
      </c>
      <c r="S426" s="107">
        <f t="shared" si="387"/>
        <v>0</v>
      </c>
      <c r="T426" s="107">
        <f t="shared" si="387"/>
        <v>0</v>
      </c>
      <c r="U426" s="107">
        <f t="shared" si="387"/>
        <v>0</v>
      </c>
      <c r="V426" s="107">
        <f t="shared" si="387"/>
        <v>0</v>
      </c>
      <c r="W426" s="107">
        <f t="shared" si="387"/>
        <v>0</v>
      </c>
      <c r="X426" s="107">
        <f t="shared" si="387"/>
        <v>0</v>
      </c>
      <c r="Y426" s="107">
        <f t="shared" si="387"/>
        <v>0</v>
      </c>
      <c r="Z426" s="107">
        <f t="shared" si="387"/>
        <v>0</v>
      </c>
      <c r="AA426" s="107">
        <f t="shared" si="387"/>
        <v>0</v>
      </c>
      <c r="AB426" s="107">
        <f t="shared" si="387"/>
        <v>0</v>
      </c>
      <c r="AC426" s="107">
        <f t="shared" si="387"/>
        <v>0</v>
      </c>
      <c r="AD426" s="107">
        <f t="shared" si="387"/>
        <v>0</v>
      </c>
      <c r="AE426" s="107">
        <f t="shared" si="387"/>
        <v>0</v>
      </c>
      <c r="AF426" s="107">
        <f t="shared" si="387"/>
        <v>0</v>
      </c>
      <c r="AG426" s="107">
        <f t="shared" si="387"/>
        <v>0</v>
      </c>
      <c r="AH426" s="107">
        <f t="shared" si="387"/>
        <v>0</v>
      </c>
      <c r="AI426" s="107">
        <f t="shared" si="387"/>
        <v>0</v>
      </c>
      <c r="AJ426" s="107">
        <f t="shared" si="387"/>
        <v>0</v>
      </c>
      <c r="AK426" s="107">
        <f t="shared" si="387"/>
        <v>0</v>
      </c>
      <c r="AL426" s="4"/>
      <c r="AM426" s="43">
        <v>410</v>
      </c>
      <c r="AN426">
        <v>313.72983709416337</v>
      </c>
      <c r="AO426">
        <v>31.593754125480746</v>
      </c>
      <c r="AP426">
        <v>92.170342607350634</v>
      </c>
      <c r="AQ426">
        <v>243.89292407595494</v>
      </c>
      <c r="AR426">
        <v>32.197122255856264</v>
      </c>
      <c r="AS426">
        <v>279.69407548843839</v>
      </c>
      <c r="AT426">
        <v>14.446570265823107</v>
      </c>
      <c r="AU426">
        <v>-14.326285797823836</v>
      </c>
      <c r="AV426"/>
      <c r="AW426"/>
      <c r="FY426" s="213">
        <v>421</v>
      </c>
      <c r="FZ426">
        <v>50.740779842000535</v>
      </c>
      <c r="GA426">
        <v>21.449307598030174</v>
      </c>
      <c r="GB426">
        <v>5.1599284407457962</v>
      </c>
      <c r="GC426">
        <v>4.6672534194780031</v>
      </c>
      <c r="GD426">
        <v>3.5398525901349842</v>
      </c>
      <c r="GE426">
        <v>5.5317027142224866</v>
      </c>
      <c r="GF426">
        <v>15.55095990255565</v>
      </c>
      <c r="GG426">
        <v>11.381144325539115</v>
      </c>
      <c r="GH426">
        <v>11.614461737440802</v>
      </c>
      <c r="GI426">
        <v>15.414996744952932</v>
      </c>
      <c r="GJ426"/>
      <c r="GK426"/>
      <c r="GL426"/>
      <c r="GM426"/>
      <c r="GN426" s="208"/>
      <c r="GO426" s="208"/>
      <c r="GP426" s="208"/>
      <c r="GQ426" s="208"/>
      <c r="GR426" s="208"/>
      <c r="GS426" s="208"/>
      <c r="GT426" s="208"/>
      <c r="GU426" s="213">
        <v>421</v>
      </c>
    </row>
    <row r="427" spans="1:203" s="7" customFormat="1">
      <c r="A427" s="128" t="s">
        <v>93</v>
      </c>
      <c r="B427" s="48" t="s">
        <v>42</v>
      </c>
      <c r="C427" s="107">
        <f t="shared" si="386"/>
        <v>6.0720254889381664</v>
      </c>
      <c r="D427" s="191">
        <f>A$409</f>
        <v>0.14000000000000001</v>
      </c>
      <c r="E427" s="8"/>
      <c r="F427" s="124"/>
      <c r="G427" s="107">
        <f t="shared" si="388"/>
        <v>1.1012797832427956E-2</v>
      </c>
      <c r="H427" s="107">
        <f t="shared" si="387"/>
        <v>0.82300902059566872</v>
      </c>
      <c r="I427" s="107">
        <f t="shared" si="387"/>
        <v>4.3775561170677841</v>
      </c>
      <c r="J427" s="107">
        <f t="shared" si="387"/>
        <v>0.64377229486730236</v>
      </c>
      <c r="K427" s="107">
        <f t="shared" si="387"/>
        <v>0.11759481296199531</v>
      </c>
      <c r="L427" s="107">
        <f t="shared" si="387"/>
        <v>9.90804456129879E-2</v>
      </c>
      <c r="M427" s="107">
        <f t="shared" si="387"/>
        <v>0</v>
      </c>
      <c r="N427" s="107">
        <f t="shared" si="387"/>
        <v>0</v>
      </c>
      <c r="O427" s="107">
        <f t="shared" si="387"/>
        <v>0</v>
      </c>
      <c r="P427" s="107">
        <f t="shared" si="387"/>
        <v>0</v>
      </c>
      <c r="Q427" s="107">
        <f t="shared" si="387"/>
        <v>0</v>
      </c>
      <c r="R427" s="107">
        <f t="shared" si="387"/>
        <v>0</v>
      </c>
      <c r="S427" s="107">
        <f t="shared" si="387"/>
        <v>0</v>
      </c>
      <c r="T427" s="107">
        <f t="shared" si="387"/>
        <v>0</v>
      </c>
      <c r="U427" s="107">
        <f t="shared" si="387"/>
        <v>0</v>
      </c>
      <c r="V427" s="107">
        <f t="shared" si="387"/>
        <v>0</v>
      </c>
      <c r="W427" s="107">
        <f t="shared" si="387"/>
        <v>0</v>
      </c>
      <c r="X427" s="107">
        <f t="shared" si="387"/>
        <v>0</v>
      </c>
      <c r="Y427" s="107">
        <f t="shared" si="387"/>
        <v>0</v>
      </c>
      <c r="Z427" s="107">
        <f t="shared" si="387"/>
        <v>0</v>
      </c>
      <c r="AA427" s="107">
        <f t="shared" si="387"/>
        <v>0</v>
      </c>
      <c r="AB427" s="107">
        <f t="shared" si="387"/>
        <v>0</v>
      </c>
      <c r="AC427" s="107">
        <f t="shared" si="387"/>
        <v>0</v>
      </c>
      <c r="AD427" s="107">
        <f t="shared" si="387"/>
        <v>0</v>
      </c>
      <c r="AE427" s="107">
        <f t="shared" si="387"/>
        <v>0</v>
      </c>
      <c r="AF427" s="107">
        <f t="shared" si="387"/>
        <v>0</v>
      </c>
      <c r="AG427" s="107">
        <f t="shared" si="387"/>
        <v>0</v>
      </c>
      <c r="AH427" s="107">
        <f t="shared" si="387"/>
        <v>0</v>
      </c>
      <c r="AI427" s="107">
        <f t="shared" si="387"/>
        <v>0</v>
      </c>
      <c r="AJ427" s="107">
        <f t="shared" si="387"/>
        <v>0</v>
      </c>
      <c r="AK427" s="107">
        <f t="shared" si="387"/>
        <v>0</v>
      </c>
      <c r="AL427" s="4"/>
      <c r="AM427" s="43">
        <v>411</v>
      </c>
      <c r="AN427">
        <v>318.52882210493237</v>
      </c>
      <c r="AO427">
        <v>26.439214538690305</v>
      </c>
      <c r="AP427">
        <v>63.543413650634648</v>
      </c>
      <c r="AQ427">
        <v>197.57514294867582</v>
      </c>
      <c r="AR427">
        <v>28.392404550490681</v>
      </c>
      <c r="AS427">
        <v>250.20187928535543</v>
      </c>
      <c r="AT427">
        <v>12.905325660224321</v>
      </c>
      <c r="AU427">
        <v>22.224236198589672</v>
      </c>
      <c r="AV427"/>
      <c r="AW427"/>
      <c r="FY427" s="213">
        <v>422</v>
      </c>
      <c r="FZ427">
        <v>30.511252163650173</v>
      </c>
      <c r="GA427">
        <v>30.225087389804756</v>
      </c>
      <c r="GB427">
        <v>8.8688215557097578</v>
      </c>
      <c r="GC427">
        <v>4.9251229636414271</v>
      </c>
      <c r="GD427">
        <v>4.2070155421366593</v>
      </c>
      <c r="GE427">
        <v>5.4977494429803651</v>
      </c>
      <c r="GF427">
        <v>17.625622123141731</v>
      </c>
      <c r="GG427">
        <v>14.673628947997544</v>
      </c>
      <c r="GH427">
        <v>15.640546050124366</v>
      </c>
      <c r="GI427">
        <v>15.043830587863393</v>
      </c>
      <c r="GJ427"/>
      <c r="GK427"/>
      <c r="GL427"/>
      <c r="GM427"/>
      <c r="GN427" s="208"/>
      <c r="GO427" s="208"/>
      <c r="GP427" s="208"/>
      <c r="GQ427" s="208"/>
      <c r="GR427" s="208"/>
      <c r="GS427" s="208"/>
      <c r="GT427" s="208"/>
      <c r="GU427" s="213">
        <v>422</v>
      </c>
    </row>
    <row r="428" spans="1:203" s="7" customFormat="1">
      <c r="A428" s="138" t="s">
        <v>95</v>
      </c>
      <c r="B428" s="48" t="s">
        <v>118</v>
      </c>
      <c r="C428" s="107">
        <f t="shared" si="386"/>
        <v>8.192688124352113</v>
      </c>
      <c r="D428" s="191">
        <f>A$410</f>
        <v>0.21</v>
      </c>
      <c r="E428" s="8"/>
      <c r="F428" s="124"/>
      <c r="G428" s="107">
        <f t="shared" si="388"/>
        <v>2.697119307594531E-2</v>
      </c>
      <c r="H428" s="107">
        <f t="shared" si="387"/>
        <v>2.2253037314686916</v>
      </c>
      <c r="I428" s="107">
        <f t="shared" si="387"/>
        <v>5.5897588471894117</v>
      </c>
      <c r="J428" s="107">
        <f t="shared" si="387"/>
        <v>0.23148409376386733</v>
      </c>
      <c r="K428" s="107">
        <f t="shared" si="387"/>
        <v>0.11917025885419691</v>
      </c>
      <c r="L428" s="107">
        <f t="shared" si="387"/>
        <v>0</v>
      </c>
      <c r="M428" s="107">
        <f t="shared" si="387"/>
        <v>0</v>
      </c>
      <c r="N428" s="107">
        <f t="shared" si="387"/>
        <v>0</v>
      </c>
      <c r="O428" s="107">
        <f t="shared" si="387"/>
        <v>0</v>
      </c>
      <c r="P428" s="107">
        <f t="shared" si="387"/>
        <v>0</v>
      </c>
      <c r="Q428" s="107">
        <f t="shared" si="387"/>
        <v>0</v>
      </c>
      <c r="R428" s="107">
        <f t="shared" si="387"/>
        <v>0</v>
      </c>
      <c r="S428" s="107">
        <f t="shared" si="387"/>
        <v>0</v>
      </c>
      <c r="T428" s="107">
        <f t="shared" si="387"/>
        <v>0</v>
      </c>
      <c r="U428" s="107">
        <f t="shared" si="387"/>
        <v>0</v>
      </c>
      <c r="V428" s="107">
        <f t="shared" si="387"/>
        <v>0</v>
      </c>
      <c r="W428" s="107">
        <f t="shared" si="387"/>
        <v>0</v>
      </c>
      <c r="X428" s="107">
        <f t="shared" si="387"/>
        <v>0</v>
      </c>
      <c r="Y428" s="107">
        <f t="shared" si="387"/>
        <v>0</v>
      </c>
      <c r="Z428" s="107">
        <f t="shared" si="387"/>
        <v>0</v>
      </c>
      <c r="AA428" s="107">
        <f t="shared" si="387"/>
        <v>0</v>
      </c>
      <c r="AB428" s="107">
        <f t="shared" si="387"/>
        <v>0</v>
      </c>
      <c r="AC428" s="107">
        <f t="shared" si="387"/>
        <v>0</v>
      </c>
      <c r="AD428" s="107">
        <f t="shared" si="387"/>
        <v>0</v>
      </c>
      <c r="AE428" s="107">
        <f t="shared" si="387"/>
        <v>0</v>
      </c>
      <c r="AF428" s="107">
        <f t="shared" si="387"/>
        <v>0</v>
      </c>
      <c r="AG428" s="107">
        <f t="shared" si="387"/>
        <v>0</v>
      </c>
      <c r="AH428" s="107">
        <f t="shared" si="387"/>
        <v>0</v>
      </c>
      <c r="AI428" s="107">
        <f t="shared" si="387"/>
        <v>0</v>
      </c>
      <c r="AJ428" s="107">
        <f t="shared" si="387"/>
        <v>0</v>
      </c>
      <c r="AK428" s="107">
        <f t="shared" si="387"/>
        <v>0</v>
      </c>
      <c r="AL428" s="4"/>
      <c r="AM428" s="43">
        <v>412</v>
      </c>
      <c r="AN428">
        <v>255.97802318205481</v>
      </c>
      <c r="AO428">
        <v>36.197238451522949</v>
      </c>
      <c r="AP428">
        <v>80.506257452181572</v>
      </c>
      <c r="AQ428">
        <v>264.92304263373444</v>
      </c>
      <c r="AR428">
        <v>36.422509886943381</v>
      </c>
      <c r="AS428">
        <v>238.23141603418841</v>
      </c>
      <c r="AT428">
        <v>12.962383483727942</v>
      </c>
      <c r="AU428">
        <v>-42.654990628104301</v>
      </c>
      <c r="AV428"/>
      <c r="AW428"/>
      <c r="FY428" s="213">
        <v>423</v>
      </c>
      <c r="FZ428">
        <v>62.635654565134843</v>
      </c>
      <c r="GA428">
        <v>75.043173705915308</v>
      </c>
      <c r="GB428">
        <v>8.9230648569785807</v>
      </c>
      <c r="GC428">
        <v>5.3960953258136408</v>
      </c>
      <c r="GD428">
        <v>6.0953267142973688</v>
      </c>
      <c r="GE428">
        <v>8.0473743584540376</v>
      </c>
      <c r="GF428">
        <v>22.853354305196323</v>
      </c>
      <c r="GG428">
        <v>20.382440602375887</v>
      </c>
      <c r="GH428">
        <v>14.684214534680688</v>
      </c>
      <c r="GI428">
        <v>21.686796442184203</v>
      </c>
      <c r="GJ428"/>
      <c r="GK428"/>
      <c r="GL428"/>
      <c r="GM428"/>
      <c r="GN428" s="208"/>
      <c r="GO428" s="208"/>
      <c r="GP428" s="208"/>
      <c r="GQ428" s="208"/>
      <c r="GR428" s="208"/>
      <c r="GS428" s="208"/>
      <c r="GT428" s="208"/>
      <c r="GU428" s="213">
        <v>423</v>
      </c>
    </row>
    <row r="429" spans="1:203" s="7" customFormat="1">
      <c r="A429" s="138" t="s">
        <v>94</v>
      </c>
      <c r="B429" s="48" t="s">
        <v>119</v>
      </c>
      <c r="C429" s="107">
        <f t="shared" si="386"/>
        <v>18.532917110399598</v>
      </c>
      <c r="D429" s="191">
        <f>A$411</f>
        <v>1.28</v>
      </c>
      <c r="E429" s="8"/>
      <c r="F429" s="124"/>
      <c r="G429" s="107">
        <f t="shared" si="388"/>
        <v>8.474996931673287E-2</v>
      </c>
      <c r="H429" s="107">
        <f t="shared" si="387"/>
        <v>3.7883430986032778</v>
      </c>
      <c r="I429" s="107">
        <f t="shared" si="387"/>
        <v>10.581443512543109</v>
      </c>
      <c r="J429" s="107">
        <f t="shared" si="387"/>
        <v>4.078380529936477</v>
      </c>
      <c r="K429" s="107">
        <f t="shared" si="387"/>
        <v>0</v>
      </c>
      <c r="L429" s="107">
        <f t="shared" si="387"/>
        <v>0</v>
      </c>
      <c r="M429" s="107">
        <f t="shared" si="387"/>
        <v>0</v>
      </c>
      <c r="N429" s="107">
        <f t="shared" si="387"/>
        <v>0</v>
      </c>
      <c r="O429" s="107">
        <f t="shared" si="387"/>
        <v>0</v>
      </c>
      <c r="P429" s="107">
        <f t="shared" si="387"/>
        <v>0</v>
      </c>
      <c r="Q429" s="107">
        <f t="shared" si="387"/>
        <v>0</v>
      </c>
      <c r="R429" s="107">
        <f t="shared" si="387"/>
        <v>0</v>
      </c>
      <c r="S429" s="107">
        <f t="shared" si="387"/>
        <v>0</v>
      </c>
      <c r="T429" s="107">
        <f t="shared" si="387"/>
        <v>0</v>
      </c>
      <c r="U429" s="107">
        <f t="shared" si="387"/>
        <v>0</v>
      </c>
      <c r="V429" s="107">
        <f t="shared" si="387"/>
        <v>0</v>
      </c>
      <c r="W429" s="107">
        <f t="shared" si="387"/>
        <v>0</v>
      </c>
      <c r="X429" s="107">
        <f t="shared" si="387"/>
        <v>0</v>
      </c>
      <c r="Y429" s="107">
        <f t="shared" si="387"/>
        <v>0</v>
      </c>
      <c r="Z429" s="107">
        <f t="shared" si="387"/>
        <v>0</v>
      </c>
      <c r="AA429" s="107">
        <f t="shared" si="387"/>
        <v>0</v>
      </c>
      <c r="AB429" s="107">
        <f t="shared" si="387"/>
        <v>0</v>
      </c>
      <c r="AC429" s="107">
        <f t="shared" si="387"/>
        <v>0</v>
      </c>
      <c r="AD429" s="107">
        <f t="shared" si="387"/>
        <v>0</v>
      </c>
      <c r="AE429" s="107">
        <f t="shared" si="387"/>
        <v>0</v>
      </c>
      <c r="AF429" s="107">
        <f t="shared" si="387"/>
        <v>0</v>
      </c>
      <c r="AG429" s="107">
        <f t="shared" si="387"/>
        <v>0</v>
      </c>
      <c r="AH429" s="107">
        <f t="shared" si="387"/>
        <v>0</v>
      </c>
      <c r="AI429" s="107">
        <f t="shared" si="387"/>
        <v>0</v>
      </c>
      <c r="AJ429" s="107">
        <f t="shared" si="387"/>
        <v>0</v>
      </c>
      <c r="AK429" s="107">
        <f t="shared" si="387"/>
        <v>0</v>
      </c>
      <c r="AL429" s="4"/>
      <c r="AM429" s="43">
        <v>413</v>
      </c>
      <c r="AN429">
        <v>403.7201262696363</v>
      </c>
      <c r="AO429">
        <v>28.53972913901891</v>
      </c>
      <c r="AP429">
        <v>84.96352019265484</v>
      </c>
      <c r="AQ429">
        <v>199.06272241667995</v>
      </c>
      <c r="AR429">
        <v>29.447957227943775</v>
      </c>
      <c r="AS429">
        <v>282.69031456407146</v>
      </c>
      <c r="AT429">
        <v>12.82242561621227</v>
      </c>
      <c r="AU429">
        <v>10.254486529652572</v>
      </c>
      <c r="AV429"/>
      <c r="AW429"/>
      <c r="FY429" s="213">
        <v>424</v>
      </c>
      <c r="FZ429">
        <v>42.557724037912621</v>
      </c>
      <c r="GA429">
        <v>37.795783521400615</v>
      </c>
      <c r="GB429">
        <v>8.2816889654099608</v>
      </c>
      <c r="GC429">
        <v>4.0023678481639351</v>
      </c>
      <c r="GD429">
        <v>3.219051810596353</v>
      </c>
      <c r="GE429">
        <v>4.1201184249548835</v>
      </c>
      <c r="GF429">
        <v>13.384768823374184</v>
      </c>
      <c r="GG429">
        <v>11.184120777071088</v>
      </c>
      <c r="GH429">
        <v>13.739533763202777</v>
      </c>
      <c r="GI429">
        <v>15.007366115783245</v>
      </c>
      <c r="GJ429"/>
      <c r="GK429"/>
      <c r="GL429"/>
      <c r="GM429"/>
      <c r="GN429" s="208"/>
      <c r="GO429" s="208"/>
      <c r="GP429" s="208"/>
      <c r="GQ429" s="208"/>
      <c r="GR429" s="208"/>
      <c r="GS429" s="208"/>
      <c r="GT429" s="208"/>
      <c r="GU429" s="213">
        <v>424</v>
      </c>
    </row>
    <row r="430" spans="1:203" s="7" customFormat="1">
      <c r="A430" s="128" t="s">
        <v>18</v>
      </c>
      <c r="B430" s="48" t="s">
        <v>120</v>
      </c>
      <c r="C430" s="107">
        <f t="shared" si="386"/>
        <v>14.008964172569712</v>
      </c>
      <c r="D430" s="191">
        <f>A$412</f>
        <v>4</v>
      </c>
      <c r="E430" s="8"/>
      <c r="F430" s="124"/>
      <c r="G430" s="107">
        <f t="shared" si="388"/>
        <v>5.1058779506511345E-2</v>
      </c>
      <c r="H430" s="107">
        <f t="shared" si="387"/>
        <v>1.0665307868295686</v>
      </c>
      <c r="I430" s="107">
        <f t="shared" si="387"/>
        <v>5.8426058490280361</v>
      </c>
      <c r="J430" s="107">
        <f t="shared" si="387"/>
        <v>6.8826373691108689</v>
      </c>
      <c r="K430" s="107">
        <f t="shared" si="387"/>
        <v>0.1661313880947253</v>
      </c>
      <c r="L430" s="107">
        <f t="shared" si="387"/>
        <v>0</v>
      </c>
      <c r="M430" s="107">
        <f t="shared" si="387"/>
        <v>0</v>
      </c>
      <c r="N430" s="107">
        <f t="shared" si="387"/>
        <v>0</v>
      </c>
      <c r="O430" s="107">
        <f t="shared" si="387"/>
        <v>0</v>
      </c>
      <c r="P430" s="107">
        <f t="shared" si="387"/>
        <v>0</v>
      </c>
      <c r="Q430" s="107">
        <f t="shared" si="387"/>
        <v>0</v>
      </c>
      <c r="R430" s="107">
        <f t="shared" si="387"/>
        <v>0</v>
      </c>
      <c r="S430" s="107">
        <f t="shared" si="387"/>
        <v>0</v>
      </c>
      <c r="T430" s="107">
        <f t="shared" si="387"/>
        <v>0</v>
      </c>
      <c r="U430" s="107">
        <f t="shared" si="387"/>
        <v>0</v>
      </c>
      <c r="V430" s="107">
        <f t="shared" si="387"/>
        <v>0</v>
      </c>
      <c r="W430" s="107">
        <f t="shared" si="387"/>
        <v>0</v>
      </c>
      <c r="X430" s="107">
        <f t="shared" si="387"/>
        <v>0</v>
      </c>
      <c r="Y430" s="107">
        <f t="shared" si="387"/>
        <v>0</v>
      </c>
      <c r="Z430" s="107">
        <f t="shared" si="387"/>
        <v>0</v>
      </c>
      <c r="AA430" s="107">
        <f t="shared" si="387"/>
        <v>0</v>
      </c>
      <c r="AB430" s="107">
        <f t="shared" si="387"/>
        <v>0</v>
      </c>
      <c r="AC430" s="107">
        <f t="shared" si="387"/>
        <v>0</v>
      </c>
      <c r="AD430" s="107">
        <f t="shared" si="387"/>
        <v>0</v>
      </c>
      <c r="AE430" s="107">
        <f t="shared" si="387"/>
        <v>0</v>
      </c>
      <c r="AF430" s="107">
        <f t="shared" si="387"/>
        <v>0</v>
      </c>
      <c r="AG430" s="107">
        <f t="shared" si="387"/>
        <v>0</v>
      </c>
      <c r="AH430" s="107">
        <f t="shared" si="387"/>
        <v>0</v>
      </c>
      <c r="AI430" s="107">
        <f t="shared" si="387"/>
        <v>0</v>
      </c>
      <c r="AJ430" s="107">
        <f t="shared" si="387"/>
        <v>0</v>
      </c>
      <c r="AK430" s="107">
        <f t="shared" si="387"/>
        <v>0</v>
      </c>
      <c r="AL430" s="4"/>
      <c r="AM430" s="43">
        <v>414</v>
      </c>
      <c r="AN430">
        <v>275.75292819138542</v>
      </c>
      <c r="AO430">
        <v>24.564172476486171</v>
      </c>
      <c r="AP430">
        <v>83.694097061428849</v>
      </c>
      <c r="AQ430">
        <v>180.6148903980656</v>
      </c>
      <c r="AR430">
        <v>26.694175309457748</v>
      </c>
      <c r="AS430">
        <v>221.58802897640024</v>
      </c>
      <c r="AT430">
        <v>13.282671941937346</v>
      </c>
      <c r="AU430">
        <v>13.539375746280658</v>
      </c>
      <c r="AV430"/>
      <c r="AW430"/>
      <c r="FY430" s="213">
        <v>425</v>
      </c>
      <c r="FZ430">
        <v>35.225193960083438</v>
      </c>
      <c r="GA430">
        <v>32.450519270199969</v>
      </c>
      <c r="GB430">
        <v>7.5322405190068267</v>
      </c>
      <c r="GC430">
        <v>5.7944392099155477</v>
      </c>
      <c r="GD430">
        <v>4.5424898530046809</v>
      </c>
      <c r="GE430">
        <v>4.9386779658106175</v>
      </c>
      <c r="GF430">
        <v>21.59296643807426</v>
      </c>
      <c r="GG430">
        <v>18.730921504844435</v>
      </c>
      <c r="GH430">
        <v>5.2741807476368372</v>
      </c>
      <c r="GI430">
        <v>14.592644807571682</v>
      </c>
      <c r="GJ430"/>
      <c r="GK430"/>
      <c r="GL430"/>
      <c r="GM430"/>
      <c r="GN430" s="208"/>
      <c r="GO430" s="208"/>
      <c r="GP430" s="208"/>
      <c r="GQ430" s="208"/>
      <c r="GR430" s="208"/>
      <c r="GS430" s="208"/>
      <c r="GT430" s="208"/>
      <c r="GU430" s="213">
        <v>425</v>
      </c>
    </row>
    <row r="431" spans="1:203" s="7" customFormat="1">
      <c r="A431" s="128" t="s">
        <v>17</v>
      </c>
      <c r="B431" s="48" t="s">
        <v>121</v>
      </c>
      <c r="C431" s="107">
        <f t="shared" si="386"/>
        <v>11.827064837747431</v>
      </c>
      <c r="D431" s="191">
        <f>A$413</f>
        <v>7.33</v>
      </c>
      <c r="E431" s="8"/>
      <c r="F431" s="124"/>
      <c r="G431" s="107">
        <f t="shared" si="388"/>
        <v>0</v>
      </c>
      <c r="H431" s="107">
        <f t="shared" si="387"/>
        <v>0.24100231424675472</v>
      </c>
      <c r="I431" s="107">
        <f t="shared" si="387"/>
        <v>1.739280925232179</v>
      </c>
      <c r="J431" s="107">
        <f t="shared" si="387"/>
        <v>4.597411042996721</v>
      </c>
      <c r="K431" s="107">
        <f t="shared" si="387"/>
        <v>0.22120402653161619</v>
      </c>
      <c r="L431" s="107">
        <f t="shared" si="387"/>
        <v>1.5566805981183525</v>
      </c>
      <c r="M431" s="107">
        <f t="shared" si="387"/>
        <v>1.2115724764685378</v>
      </c>
      <c r="N431" s="107">
        <f t="shared" si="387"/>
        <v>0</v>
      </c>
      <c r="O431" s="107">
        <f t="shared" si="387"/>
        <v>2.2599134541532693</v>
      </c>
      <c r="P431" s="107">
        <f t="shared" si="387"/>
        <v>0</v>
      </c>
      <c r="Q431" s="107">
        <f t="shared" si="387"/>
        <v>0</v>
      </c>
      <c r="R431" s="107">
        <f t="shared" si="387"/>
        <v>0</v>
      </c>
      <c r="S431" s="107">
        <f t="shared" si="387"/>
        <v>0</v>
      </c>
      <c r="T431" s="107">
        <f t="shared" si="387"/>
        <v>0</v>
      </c>
      <c r="U431" s="107">
        <f t="shared" si="387"/>
        <v>0</v>
      </c>
      <c r="V431" s="107">
        <f t="shared" si="387"/>
        <v>0</v>
      </c>
      <c r="W431" s="107">
        <f t="shared" si="387"/>
        <v>0</v>
      </c>
      <c r="X431" s="107">
        <f t="shared" si="387"/>
        <v>0</v>
      </c>
      <c r="Y431" s="107">
        <f t="shared" si="387"/>
        <v>0</v>
      </c>
      <c r="Z431" s="107">
        <f t="shared" si="387"/>
        <v>0</v>
      </c>
      <c r="AA431" s="107">
        <f t="shared" si="387"/>
        <v>0</v>
      </c>
      <c r="AB431" s="107">
        <f t="shared" si="387"/>
        <v>0</v>
      </c>
      <c r="AC431" s="107">
        <f t="shared" si="387"/>
        <v>0</v>
      </c>
      <c r="AD431" s="107">
        <f t="shared" si="387"/>
        <v>0</v>
      </c>
      <c r="AE431" s="107">
        <f t="shared" si="387"/>
        <v>0</v>
      </c>
      <c r="AF431" s="107">
        <f t="shared" si="387"/>
        <v>0</v>
      </c>
      <c r="AG431" s="107">
        <f t="shared" si="387"/>
        <v>0</v>
      </c>
      <c r="AH431" s="107">
        <f t="shared" si="387"/>
        <v>0</v>
      </c>
      <c r="AI431" s="107">
        <f t="shared" si="387"/>
        <v>0</v>
      </c>
      <c r="AJ431" s="107">
        <f t="shared" si="387"/>
        <v>0</v>
      </c>
      <c r="AK431" s="107">
        <f t="shared" si="387"/>
        <v>0</v>
      </c>
      <c r="AL431" s="4"/>
      <c r="AM431" s="43">
        <v>415</v>
      </c>
      <c r="AN431">
        <v>322.72667776831599</v>
      </c>
      <c r="AO431">
        <v>27.082645125928309</v>
      </c>
      <c r="AP431">
        <v>139.41824051834502</v>
      </c>
      <c r="AQ431">
        <v>207.82620432050066</v>
      </c>
      <c r="AR431">
        <v>26.307926854838737</v>
      </c>
      <c r="AS431">
        <v>247.23363465306699</v>
      </c>
      <c r="AT431">
        <v>14.491544003905801</v>
      </c>
      <c r="AU431">
        <v>80.231685306804451</v>
      </c>
      <c r="AV431"/>
      <c r="AW431"/>
      <c r="FY431" s="213">
        <v>426</v>
      </c>
      <c r="FZ431">
        <v>46.690863498847861</v>
      </c>
      <c r="GA431">
        <v>63.669647172396431</v>
      </c>
      <c r="GB431">
        <v>20.683746559241829</v>
      </c>
      <c r="GC431">
        <v>4.3014954367592191</v>
      </c>
      <c r="GD431">
        <v>4.4521638941951815</v>
      </c>
      <c r="GE431">
        <v>5.8198111166394089</v>
      </c>
      <c r="GF431">
        <v>6.603781436782894</v>
      </c>
      <c r="GG431">
        <v>6.8983081296684645</v>
      </c>
      <c r="GH431">
        <v>16.859711477329181</v>
      </c>
      <c r="GI431">
        <v>19.338047541204993</v>
      </c>
      <c r="GJ431"/>
      <c r="GK431"/>
      <c r="GL431"/>
      <c r="GM431"/>
      <c r="GN431" s="208"/>
      <c r="GO431" s="208"/>
      <c r="GP431" s="208"/>
      <c r="GQ431" s="208"/>
      <c r="GR431" s="208"/>
      <c r="GS431" s="208"/>
      <c r="GT431" s="208"/>
      <c r="GU431" s="213">
        <v>426</v>
      </c>
    </row>
    <row r="432" spans="1:203" s="7" customFormat="1">
      <c r="A432" s="4"/>
      <c r="B432" s="48" t="s">
        <v>122</v>
      </c>
      <c r="C432" s="107">
        <f t="shared" si="386"/>
        <v>17.30728442204029</v>
      </c>
      <c r="D432" s="191">
        <f>A$414</f>
        <v>10.51</v>
      </c>
      <c r="E432" s="8"/>
      <c r="F432" s="124"/>
      <c r="G432" s="107">
        <f t="shared" si="388"/>
        <v>2.6607999573544077E-2</v>
      </c>
      <c r="H432" s="107">
        <f t="shared" ref="H432:AK432" si="389">(($A$453+$A$455*(H$422)+($A$457*$D432))*($E30*H46))</f>
        <v>1.6335160519011647</v>
      </c>
      <c r="I432" s="107">
        <f t="shared" si="389"/>
        <v>5.4604712150728227</v>
      </c>
      <c r="J432" s="107">
        <f t="shared" si="389"/>
        <v>2.7710982988556223</v>
      </c>
      <c r="K432" s="107">
        <f t="shared" si="389"/>
        <v>0.77216891115478192</v>
      </c>
      <c r="L432" s="107">
        <f t="shared" si="389"/>
        <v>1.7398038221780341</v>
      </c>
      <c r="M432" s="107">
        <f t="shared" si="389"/>
        <v>0.9762452155283684</v>
      </c>
      <c r="N432" s="107">
        <f t="shared" si="389"/>
        <v>1.1236133073992882</v>
      </c>
      <c r="O432" s="107">
        <f t="shared" si="389"/>
        <v>0.94093078572351041</v>
      </c>
      <c r="P432" s="107">
        <f t="shared" si="389"/>
        <v>0.71043884710458527</v>
      </c>
      <c r="Q432" s="107">
        <f t="shared" si="389"/>
        <v>0.84134674667034604</v>
      </c>
      <c r="R432" s="107">
        <f t="shared" si="389"/>
        <v>0.31104322087821734</v>
      </c>
      <c r="S432" s="107">
        <f t="shared" si="389"/>
        <v>0</v>
      </c>
      <c r="T432" s="107">
        <f t="shared" si="389"/>
        <v>0</v>
      </c>
      <c r="U432" s="107">
        <f t="shared" si="389"/>
        <v>0</v>
      </c>
      <c r="V432" s="107">
        <f t="shared" si="389"/>
        <v>0</v>
      </c>
      <c r="W432" s="107">
        <f t="shared" si="389"/>
        <v>0</v>
      </c>
      <c r="X432" s="107">
        <f t="shared" si="389"/>
        <v>0</v>
      </c>
      <c r="Y432" s="107">
        <f t="shared" si="389"/>
        <v>0</v>
      </c>
      <c r="Z432" s="107">
        <f t="shared" si="389"/>
        <v>0</v>
      </c>
      <c r="AA432" s="107">
        <f t="shared" si="389"/>
        <v>0</v>
      </c>
      <c r="AB432" s="107">
        <f t="shared" si="389"/>
        <v>0</v>
      </c>
      <c r="AC432" s="107">
        <f t="shared" si="389"/>
        <v>0</v>
      </c>
      <c r="AD432" s="107">
        <f t="shared" si="389"/>
        <v>0</v>
      </c>
      <c r="AE432" s="107">
        <f t="shared" si="389"/>
        <v>0</v>
      </c>
      <c r="AF432" s="107">
        <f t="shared" si="389"/>
        <v>0</v>
      </c>
      <c r="AG432" s="107">
        <f t="shared" si="389"/>
        <v>0</v>
      </c>
      <c r="AH432" s="107">
        <f t="shared" si="389"/>
        <v>0</v>
      </c>
      <c r="AI432" s="107">
        <f t="shared" si="389"/>
        <v>0</v>
      </c>
      <c r="AJ432" s="107">
        <f t="shared" si="389"/>
        <v>0</v>
      </c>
      <c r="AK432" s="107">
        <f t="shared" si="389"/>
        <v>0</v>
      </c>
      <c r="AL432" s="4"/>
      <c r="AM432" s="43">
        <v>416</v>
      </c>
      <c r="AN432">
        <v>314.21152214077586</v>
      </c>
      <c r="AO432">
        <v>29.84592648867196</v>
      </c>
      <c r="AP432">
        <v>89.134484240726152</v>
      </c>
      <c r="AQ432">
        <v>226.33095051872036</v>
      </c>
      <c r="AR432">
        <v>32.303521616949986</v>
      </c>
      <c r="AS432">
        <v>300.76532873512497</v>
      </c>
      <c r="AT432">
        <v>16.396689305420878</v>
      </c>
      <c r="AU432">
        <v>46.048887891790471</v>
      </c>
      <c r="AV432"/>
      <c r="AW432"/>
      <c r="FY432" s="213">
        <v>427</v>
      </c>
      <c r="FZ432">
        <v>30.942510413345747</v>
      </c>
      <c r="GA432">
        <v>30.414377062927279</v>
      </c>
      <c r="GB432">
        <v>8.7693422458059604</v>
      </c>
      <c r="GC432">
        <v>10.044288074694052</v>
      </c>
      <c r="GD432">
        <v>8.2899190035197972</v>
      </c>
      <c r="GE432">
        <v>4.8891025569038753</v>
      </c>
      <c r="GF432">
        <v>12.917356018997147</v>
      </c>
      <c r="GG432">
        <v>14.018209451636215</v>
      </c>
      <c r="GH432">
        <v>22.501089356891789</v>
      </c>
      <c r="GI432">
        <v>17.621379642318029</v>
      </c>
      <c r="GJ432"/>
      <c r="GK432"/>
      <c r="GL432"/>
      <c r="GM432"/>
      <c r="GN432" s="208"/>
      <c r="GO432" s="208"/>
      <c r="GP432" s="208"/>
      <c r="GQ432" s="208"/>
      <c r="GR432" s="208"/>
      <c r="GS432" s="208"/>
      <c r="GT432" s="208"/>
      <c r="GU432" s="213">
        <v>427</v>
      </c>
    </row>
    <row r="433" spans="1:203" s="7" customFormat="1">
      <c r="A433" s="4"/>
      <c r="B433" s="48"/>
      <c r="C433" s="107"/>
      <c r="D433" s="19"/>
      <c r="E433" s="8"/>
      <c r="F433" s="124"/>
      <c r="G433" s="107"/>
      <c r="H433" s="107"/>
      <c r="I433" s="107"/>
      <c r="J433" s="107"/>
      <c r="K433" s="107"/>
      <c r="L433" s="107"/>
      <c r="M433" s="107"/>
      <c r="N433" s="107"/>
      <c r="O433" s="107"/>
      <c r="P433" s="107"/>
      <c r="Q433" s="107"/>
      <c r="R433" s="107"/>
      <c r="S433" s="107"/>
      <c r="T433" s="107"/>
      <c r="U433" s="107"/>
      <c r="V433" s="107"/>
      <c r="W433" s="107"/>
      <c r="X433" s="107"/>
      <c r="Y433" s="107"/>
      <c r="Z433" s="107"/>
      <c r="AA433" s="107"/>
      <c r="AB433" s="107"/>
      <c r="AC433" s="107"/>
      <c r="AD433" s="107"/>
      <c r="AE433" s="107"/>
      <c r="AF433" s="107"/>
      <c r="AG433" s="107"/>
      <c r="AH433" s="107"/>
      <c r="AI433" s="107"/>
      <c r="AJ433" s="107"/>
      <c r="AK433" s="107"/>
      <c r="AL433" s="4"/>
      <c r="AM433" s="43">
        <v>417</v>
      </c>
      <c r="AN433">
        <v>302.8921868326496</v>
      </c>
      <c r="AO433">
        <v>30.777288642817844</v>
      </c>
      <c r="AP433">
        <v>117.0884433633486</v>
      </c>
      <c r="AQ433">
        <v>224.73688041643987</v>
      </c>
      <c r="AR433">
        <v>30.028097336189997</v>
      </c>
      <c r="AS433">
        <v>272.92739563494666</v>
      </c>
      <c r="AT433">
        <v>12.872582529600963</v>
      </c>
      <c r="AU433">
        <v>1.4128498888569201</v>
      </c>
      <c r="AV433"/>
      <c r="AW433"/>
      <c r="FY433" s="213">
        <v>428</v>
      </c>
      <c r="FZ433">
        <v>80.780848328596349</v>
      </c>
      <c r="GA433">
        <v>69.678543043131171</v>
      </c>
      <c r="GB433">
        <v>11.385590291304103</v>
      </c>
      <c r="GC433">
        <v>5.2981439001451189</v>
      </c>
      <c r="GD433">
        <v>4.2436353445014365</v>
      </c>
      <c r="GE433">
        <v>3.364478629982687</v>
      </c>
      <c r="GF433">
        <v>3.1270430295009546</v>
      </c>
      <c r="GG433">
        <v>3.8458589248515054</v>
      </c>
      <c r="GH433">
        <v>14.267201101243536</v>
      </c>
      <c r="GI433">
        <v>20.291430476497833</v>
      </c>
      <c r="GJ433"/>
      <c r="GK433"/>
      <c r="GL433"/>
      <c r="GM433"/>
      <c r="GN433" s="208"/>
      <c r="GO433" s="208"/>
      <c r="GP433" s="208"/>
      <c r="GQ433" s="208"/>
      <c r="GR433" s="208"/>
      <c r="GS433" s="208"/>
      <c r="GT433" s="208"/>
      <c r="GU433" s="213">
        <v>428</v>
      </c>
    </row>
    <row r="434" spans="1:203" s="7" customFormat="1">
      <c r="A434" s="4"/>
      <c r="B434" s="48"/>
      <c r="C434" s="107"/>
      <c r="D434" s="18"/>
      <c r="E434" s="8"/>
      <c r="F434" s="174"/>
      <c r="G434" s="107"/>
      <c r="H434" s="107"/>
      <c r="I434" s="107"/>
      <c r="J434" s="107"/>
      <c r="K434" s="107"/>
      <c r="L434" s="107"/>
      <c r="M434" s="107"/>
      <c r="N434" s="107"/>
      <c r="O434" s="107"/>
      <c r="P434" s="107"/>
      <c r="Q434" s="107"/>
      <c r="R434" s="107"/>
      <c r="S434" s="107"/>
      <c r="T434" s="107"/>
      <c r="U434" s="107"/>
      <c r="V434" s="107"/>
      <c r="W434" s="107"/>
      <c r="X434" s="107"/>
      <c r="Y434" s="107"/>
      <c r="Z434" s="107"/>
      <c r="AA434" s="107"/>
      <c r="AB434" s="107"/>
      <c r="AC434" s="107"/>
      <c r="AD434" s="107"/>
      <c r="AE434" s="107"/>
      <c r="AF434" s="107"/>
      <c r="AG434" s="107"/>
      <c r="AH434" s="107"/>
      <c r="AI434" s="107"/>
      <c r="AJ434" s="107"/>
      <c r="AK434" s="107"/>
      <c r="AL434" s="4"/>
      <c r="AM434" s="43">
        <v>418</v>
      </c>
      <c r="AN434">
        <v>425.48673604041687</v>
      </c>
      <c r="AO434">
        <v>45.273921657989831</v>
      </c>
      <c r="AP434">
        <v>116.14043279536828</v>
      </c>
      <c r="AQ434">
        <v>321.19810582279251</v>
      </c>
      <c r="AR434">
        <v>45.124491466708768</v>
      </c>
      <c r="AS434">
        <v>377.65741283837673</v>
      </c>
      <c r="AT434">
        <v>17.747948124085159</v>
      </c>
      <c r="AU434">
        <v>-32.13255075880781</v>
      </c>
      <c r="AV434"/>
      <c r="AW434"/>
      <c r="FY434" s="213">
        <v>429</v>
      </c>
      <c r="FZ434">
        <v>39.821467638642261</v>
      </c>
      <c r="GA434">
        <v>45.372986896271797</v>
      </c>
      <c r="GB434">
        <v>7.717119288349334</v>
      </c>
      <c r="GC434">
        <v>4.2421934062691671</v>
      </c>
      <c r="GD434">
        <v>4.3155666293151125</v>
      </c>
      <c r="GE434">
        <v>8.2756495197926174</v>
      </c>
      <c r="GF434">
        <v>17.755442117923501</v>
      </c>
      <c r="GG434">
        <v>13.099893039014651</v>
      </c>
      <c r="GH434">
        <v>10.421443286761557</v>
      </c>
      <c r="GI434">
        <v>15.395802607411692</v>
      </c>
      <c r="GJ434"/>
      <c r="GK434"/>
      <c r="GL434"/>
      <c r="GM434"/>
      <c r="GN434" s="208"/>
      <c r="GO434" s="208"/>
      <c r="GP434" s="208"/>
      <c r="GQ434" s="208"/>
      <c r="GR434" s="208"/>
      <c r="GS434" s="208"/>
      <c r="GT434" s="208"/>
      <c r="GU434" s="213">
        <v>429</v>
      </c>
    </row>
    <row r="435" spans="1:203" s="7" customFormat="1">
      <c r="A435" s="4"/>
      <c r="B435" s="52" t="s">
        <v>53</v>
      </c>
      <c r="C435" s="53">
        <f>SUM(C423:C434)</f>
        <v>160.09787074944191</v>
      </c>
      <c r="D435" s="13"/>
      <c r="E435" s="13"/>
      <c r="F435" s="96"/>
      <c r="G435" s="13"/>
      <c r="H435" s="13"/>
      <c r="I435" s="14"/>
      <c r="J435" s="13"/>
      <c r="K435" s="21"/>
      <c r="L435" s="13"/>
      <c r="M435" s="14"/>
      <c r="N435" s="13"/>
      <c r="O435" s="13"/>
      <c r="P435" s="13"/>
      <c r="Q435" s="14"/>
      <c r="R435" s="14"/>
      <c r="S435" s="14"/>
      <c r="T435" s="14"/>
      <c r="U435" s="14"/>
      <c r="V435" s="13"/>
      <c r="W435" s="13"/>
      <c r="X435" s="13"/>
      <c r="Y435" s="13"/>
      <c r="Z435" s="13"/>
      <c r="AA435" s="13"/>
      <c r="AB435" s="13"/>
      <c r="AC435" s="13"/>
      <c r="AD435" s="13"/>
      <c r="AE435" s="13"/>
      <c r="AF435" s="13"/>
      <c r="AG435" s="94"/>
      <c r="AH435" s="94"/>
      <c r="AI435" s="94"/>
      <c r="AJ435" s="94"/>
      <c r="AK435" s="94"/>
      <c r="AL435" s="4"/>
      <c r="AM435" s="43">
        <v>419</v>
      </c>
      <c r="AN435">
        <v>329.72921453008536</v>
      </c>
      <c r="AO435">
        <v>38.70602524859946</v>
      </c>
      <c r="AP435">
        <v>66.55696124818526</v>
      </c>
      <c r="AQ435">
        <v>264.88926480971088</v>
      </c>
      <c r="AR435">
        <v>38.832161865936506</v>
      </c>
      <c r="AS435">
        <v>363.50080996155481</v>
      </c>
      <c r="AT435">
        <v>13.129801313023137</v>
      </c>
      <c r="AU435">
        <v>-38.433791950130548</v>
      </c>
      <c r="AV435"/>
      <c r="AW435"/>
      <c r="FY435" s="213">
        <v>430</v>
      </c>
      <c r="FZ435">
        <v>38.643623920863476</v>
      </c>
      <c r="GA435">
        <v>51.117259033068017</v>
      </c>
      <c r="GB435">
        <v>12.333452326658872</v>
      </c>
      <c r="GC435">
        <v>6.9603589487398505</v>
      </c>
      <c r="GD435">
        <v>7.2579143241816748</v>
      </c>
      <c r="GE435">
        <v>9.3361283837823734</v>
      </c>
      <c r="GF435">
        <v>19.217085327697976</v>
      </c>
      <c r="GG435">
        <v>16.323684574485132</v>
      </c>
      <c r="GH435">
        <v>12.186991537425111</v>
      </c>
      <c r="GI435">
        <v>18.867479538665325</v>
      </c>
      <c r="GJ435"/>
      <c r="GK435"/>
      <c r="GL435"/>
      <c r="GM435"/>
      <c r="GN435" s="208"/>
      <c r="GO435" s="208"/>
      <c r="GP435" s="208"/>
      <c r="GQ435" s="208"/>
      <c r="GR435" s="208"/>
      <c r="GS435" s="208"/>
      <c r="GT435" s="208"/>
      <c r="GU435" s="213">
        <v>430</v>
      </c>
    </row>
    <row r="436" spans="1:203" s="7" customFormat="1">
      <c r="A436" s="4"/>
      <c r="B436" s="4"/>
      <c r="C436" s="4"/>
      <c r="D436" s="4"/>
      <c r="E436" s="4"/>
      <c r="F436" s="4"/>
      <c r="G436" s="4"/>
      <c r="H436" s="4"/>
      <c r="I436" s="83"/>
      <c r="J436" s="4"/>
      <c r="K436" s="4"/>
      <c r="L436" s="28"/>
      <c r="M436" s="4"/>
      <c r="N436" s="4"/>
      <c r="O436" s="4"/>
      <c r="P436" s="28"/>
      <c r="Q436" s="4"/>
      <c r="R436" s="28"/>
      <c r="S436" s="28"/>
      <c r="T436" s="28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81"/>
      <c r="AG436" s="81"/>
      <c r="AH436" s="81"/>
      <c r="AI436" s="81"/>
      <c r="AJ436" s="81"/>
      <c r="AK436" s="81"/>
      <c r="AL436" s="81"/>
      <c r="AM436" s="43">
        <v>420</v>
      </c>
      <c r="AN436">
        <v>330.11190642783379</v>
      </c>
      <c r="AO436">
        <v>24.869395539273018</v>
      </c>
      <c r="AP436">
        <v>84.951236091004674</v>
      </c>
      <c r="AQ436">
        <v>175.9552848797062</v>
      </c>
      <c r="AR436">
        <v>27.200366456883891</v>
      </c>
      <c r="AS436">
        <v>262.60268683824938</v>
      </c>
      <c r="AT436">
        <v>12.67590541625173</v>
      </c>
      <c r="AU436">
        <v>42.348675422919854</v>
      </c>
      <c r="AV436"/>
      <c r="AW436"/>
      <c r="FY436" s="213">
        <v>431</v>
      </c>
      <c r="FZ436">
        <v>31.786439486537361</v>
      </c>
      <c r="GA436">
        <v>37.843219071380169</v>
      </c>
      <c r="GB436">
        <v>10.966428911403895</v>
      </c>
      <c r="GC436">
        <v>6.2253899888071693</v>
      </c>
      <c r="GD436">
        <v>5.8447051930301139</v>
      </c>
      <c r="GE436">
        <v>5.7843296680100176</v>
      </c>
      <c r="GF436">
        <v>14.026829083253547</v>
      </c>
      <c r="GG436">
        <v>11.705886531958784</v>
      </c>
      <c r="GH436">
        <v>7.5638853640036752</v>
      </c>
      <c r="GI436">
        <v>14.940904069168319</v>
      </c>
      <c r="GJ436"/>
      <c r="GK436"/>
      <c r="GL436"/>
      <c r="GM436"/>
      <c r="GN436" s="208"/>
      <c r="GO436" s="208"/>
      <c r="GP436" s="208"/>
      <c r="GQ436" s="208"/>
      <c r="GR436" s="208"/>
      <c r="GS436" s="208"/>
      <c r="GT436" s="208"/>
      <c r="GU436" s="213">
        <v>431</v>
      </c>
    </row>
    <row r="437" spans="1:203" s="7" customFormat="1">
      <c r="A437" s="13" t="s">
        <v>77</v>
      </c>
      <c r="B437" s="10" t="s">
        <v>76</v>
      </c>
      <c r="C437" s="21"/>
      <c r="D437" s="13"/>
      <c r="E437" s="21"/>
      <c r="F437" s="13"/>
      <c r="G437" s="13"/>
      <c r="H437" s="94"/>
      <c r="I437" s="94"/>
      <c r="J437" s="94"/>
      <c r="K437" s="94"/>
      <c r="L437" s="94"/>
      <c r="M437" s="94"/>
      <c r="N437" s="94"/>
      <c r="O437" s="94"/>
      <c r="P437" s="94"/>
      <c r="Q437" s="94"/>
      <c r="R437" s="13"/>
      <c r="S437" s="13"/>
      <c r="T437" s="13"/>
      <c r="U437" s="13"/>
      <c r="V437" s="13"/>
      <c r="W437" s="13"/>
      <c r="X437" s="13"/>
      <c r="Y437" s="13"/>
      <c r="Z437" s="13"/>
      <c r="AA437" s="13"/>
      <c r="AB437" s="13"/>
      <c r="AC437" s="13"/>
      <c r="AD437" s="13"/>
      <c r="AE437" s="13"/>
      <c r="AF437" s="13"/>
      <c r="AG437" s="13"/>
      <c r="AH437" s="13"/>
      <c r="AI437" s="13"/>
      <c r="AJ437" s="13"/>
      <c r="AK437" s="13"/>
      <c r="AL437" s="81"/>
      <c r="AM437" s="43">
        <v>421</v>
      </c>
      <c r="AN437">
        <v>254.81372140761181</v>
      </c>
      <c r="AO437">
        <v>19.737582725569219</v>
      </c>
      <c r="AP437">
        <v>84.386603552569497</v>
      </c>
      <c r="AQ437">
        <v>145.05038731510047</v>
      </c>
      <c r="AR437">
        <v>22.689587804391039</v>
      </c>
      <c r="AS437">
        <v>204.44631912326204</v>
      </c>
      <c r="AT437">
        <v>11.759036645990214</v>
      </c>
      <c r="AU437">
        <v>-390.64536702218629</v>
      </c>
      <c r="AV437"/>
      <c r="AW437"/>
      <c r="FY437" s="213">
        <v>432</v>
      </c>
      <c r="FZ437">
        <v>54.190508677100787</v>
      </c>
      <c r="GA437">
        <v>42.454254840814755</v>
      </c>
      <c r="GB437">
        <v>4.1008858983390741</v>
      </c>
      <c r="GC437">
        <v>6.8918079662422391</v>
      </c>
      <c r="GD437">
        <v>4.6161265262195812</v>
      </c>
      <c r="GE437">
        <v>3.2516303045155217</v>
      </c>
      <c r="GF437">
        <v>17.621690848410271</v>
      </c>
      <c r="GG437">
        <v>16.333054553078689</v>
      </c>
      <c r="GH437">
        <v>13.271649724669446</v>
      </c>
      <c r="GI437">
        <v>16.896696910364629</v>
      </c>
      <c r="GJ437"/>
      <c r="GK437"/>
      <c r="GL437"/>
      <c r="GM437"/>
      <c r="GN437" s="208"/>
      <c r="GO437" s="208"/>
      <c r="GP437" s="208"/>
      <c r="GQ437" s="208"/>
      <c r="GR437" s="208"/>
      <c r="GS437" s="208"/>
      <c r="GT437" s="208"/>
      <c r="GU437" s="213">
        <v>432</v>
      </c>
    </row>
    <row r="438" spans="1:203" s="7" customFormat="1">
      <c r="A438" s="1">
        <f>SUM(E4:E15)</f>
        <v>100</v>
      </c>
      <c r="B438" s="13"/>
      <c r="C438" s="13"/>
      <c r="D438" s="13"/>
      <c r="E438" s="13"/>
      <c r="F438" s="13"/>
      <c r="G438" s="13"/>
      <c r="H438" s="14"/>
      <c r="I438" s="13"/>
      <c r="J438" s="21"/>
      <c r="K438" s="94"/>
      <c r="L438" s="94"/>
      <c r="M438" s="94"/>
      <c r="N438" s="94"/>
      <c r="O438" s="94"/>
      <c r="P438" s="94"/>
      <c r="Q438" s="94"/>
      <c r="R438" s="13"/>
      <c r="S438" s="13"/>
      <c r="T438" s="13"/>
      <c r="U438" s="13"/>
      <c r="V438" s="13"/>
      <c r="W438" s="13"/>
      <c r="X438" s="13"/>
      <c r="Y438" s="13"/>
      <c r="Z438" s="13"/>
      <c r="AA438" s="13"/>
      <c r="AB438" s="13"/>
      <c r="AC438" s="13"/>
      <c r="AD438" s="13"/>
      <c r="AE438" s="13"/>
      <c r="AF438" s="13"/>
      <c r="AG438" s="13"/>
      <c r="AH438" s="13"/>
      <c r="AI438" s="13"/>
      <c r="AJ438" s="13"/>
      <c r="AK438" s="13"/>
      <c r="AL438" s="81"/>
      <c r="AM438" s="43">
        <v>422</v>
      </c>
      <c r="AN438">
        <v>280.72395720893013</v>
      </c>
      <c r="AO438">
        <v>20.89612013333673</v>
      </c>
      <c r="AP438">
        <v>82.230143009700399</v>
      </c>
      <c r="AQ438">
        <v>147.21867676705017</v>
      </c>
      <c r="AR438">
        <v>22.150407946456681</v>
      </c>
      <c r="AS438">
        <v>209.27074481288076</v>
      </c>
      <c r="AT438">
        <v>10.480293441729101</v>
      </c>
      <c r="AU438">
        <v>17.759449707837774</v>
      </c>
      <c r="AV438"/>
      <c r="AW438"/>
      <c r="FY438" s="213">
        <v>433</v>
      </c>
      <c r="FZ438">
        <v>34.980053433816458</v>
      </c>
      <c r="GA438">
        <v>29.282012750208153</v>
      </c>
      <c r="GB438">
        <v>8.5156979417137695</v>
      </c>
      <c r="GC438">
        <v>7.2585550731788597</v>
      </c>
      <c r="GD438">
        <v>5.3417276168214993</v>
      </c>
      <c r="GE438">
        <v>5.2834836924643307</v>
      </c>
      <c r="GF438">
        <v>15.489935119457298</v>
      </c>
      <c r="GG438">
        <v>11.862300639847636</v>
      </c>
      <c r="GH438">
        <v>14.698479142887543</v>
      </c>
      <c r="GI438">
        <v>15.698219867653133</v>
      </c>
      <c r="GJ438"/>
      <c r="GK438"/>
      <c r="GL438"/>
      <c r="GM438"/>
      <c r="GN438" s="208"/>
      <c r="GO438" s="208"/>
      <c r="GP438" s="208"/>
      <c r="GQ438" s="208"/>
      <c r="GR438" s="208"/>
      <c r="GS438" s="208"/>
      <c r="GT438" s="208"/>
      <c r="GU438" s="213">
        <v>433</v>
      </c>
    </row>
    <row r="439" spans="1:203" s="7" customFormat="1">
      <c r="A439" s="13" t="s">
        <v>78</v>
      </c>
      <c r="B439" s="10" t="s">
        <v>51</v>
      </c>
      <c r="C439" s="13"/>
      <c r="D439" s="13"/>
      <c r="E439" s="13"/>
      <c r="F439" s="134"/>
      <c r="G439" s="11" t="s">
        <v>33</v>
      </c>
      <c r="H439" s="13"/>
      <c r="I439" s="14"/>
      <c r="J439" s="13"/>
      <c r="K439" s="21"/>
      <c r="L439" s="13"/>
      <c r="M439" s="14"/>
      <c r="N439" s="13"/>
      <c r="O439" s="13"/>
      <c r="P439" s="13"/>
      <c r="Q439" s="14"/>
      <c r="R439" s="10"/>
      <c r="S439" s="10"/>
      <c r="T439" s="10"/>
      <c r="U439" s="10"/>
      <c r="V439" s="10"/>
      <c r="W439" s="10"/>
      <c r="X439" s="10"/>
      <c r="Y439" s="10"/>
      <c r="Z439" s="10"/>
      <c r="AA439" s="10"/>
      <c r="AB439" s="10"/>
      <c r="AC439" s="10"/>
      <c r="AD439" s="10"/>
      <c r="AE439" s="10"/>
      <c r="AF439" s="10"/>
      <c r="AG439" s="10"/>
      <c r="AH439" s="10"/>
      <c r="AI439" s="10"/>
      <c r="AJ439" s="10"/>
      <c r="AK439" s="10"/>
      <c r="AL439" s="4"/>
      <c r="AM439" s="43">
        <v>423</v>
      </c>
      <c r="AN439">
        <v>368.36891632536026</v>
      </c>
      <c r="AO439">
        <v>31.527484143631682</v>
      </c>
      <c r="AP439">
        <v>121.05928912570519</v>
      </c>
      <c r="AQ439">
        <v>245.74749541103085</v>
      </c>
      <c r="AR439">
        <v>30.841651666640779</v>
      </c>
      <c r="AS439">
        <v>293.11798906392806</v>
      </c>
      <c r="AT439">
        <v>16.596920027064119</v>
      </c>
      <c r="AU439">
        <v>16.714915376167248</v>
      </c>
      <c r="AV439"/>
      <c r="AW439"/>
      <c r="FY439" s="213">
        <v>434</v>
      </c>
      <c r="FZ439">
        <v>51.499228501576816</v>
      </c>
      <c r="GA439">
        <v>70.80631362993735</v>
      </c>
      <c r="GB439">
        <v>16.725856001991978</v>
      </c>
      <c r="GC439">
        <v>6.0728577692571406</v>
      </c>
      <c r="GD439">
        <v>4.0543827233734469</v>
      </c>
      <c r="GE439">
        <v>4.3541313127602717</v>
      </c>
      <c r="GF439">
        <v>21.494452753674462</v>
      </c>
      <c r="GG439">
        <v>17.096000989360174</v>
      </c>
      <c r="GH439">
        <v>17.026663603831814</v>
      </c>
      <c r="GI439">
        <v>21.376755243867713</v>
      </c>
      <c r="GJ439"/>
      <c r="GK439"/>
      <c r="GL439"/>
      <c r="GM439"/>
      <c r="GN439" s="208"/>
      <c r="GO439" s="208"/>
      <c r="GP439" s="208"/>
      <c r="GQ439" s="208"/>
      <c r="GR439" s="208"/>
      <c r="GS439" s="208"/>
      <c r="GT439" s="208"/>
      <c r="GU439" s="213">
        <v>434</v>
      </c>
    </row>
    <row r="440" spans="1:203" s="7" customFormat="1">
      <c r="A440" s="1">
        <v>11</v>
      </c>
      <c r="B440" s="12" t="s">
        <v>34</v>
      </c>
      <c r="C440" s="10"/>
      <c r="D440" s="10" t="s">
        <v>115</v>
      </c>
      <c r="E440" s="13"/>
      <c r="F440" s="134"/>
      <c r="G440" s="44">
        <v>0.5</v>
      </c>
      <c r="H440" s="45">
        <v>1</v>
      </c>
      <c r="I440" s="45">
        <v>2</v>
      </c>
      <c r="J440" s="45">
        <v>3</v>
      </c>
      <c r="K440" s="45">
        <v>4</v>
      </c>
      <c r="L440" s="45">
        <v>5</v>
      </c>
      <c r="M440" s="45">
        <v>6</v>
      </c>
      <c r="N440" s="45">
        <v>7</v>
      </c>
      <c r="O440" s="46">
        <v>8</v>
      </c>
      <c r="P440" s="46">
        <v>9</v>
      </c>
      <c r="Q440" s="47">
        <v>10</v>
      </c>
      <c r="R440" s="46">
        <v>11</v>
      </c>
      <c r="S440" s="47">
        <v>12</v>
      </c>
      <c r="T440" s="46">
        <v>13</v>
      </c>
      <c r="U440" s="47">
        <v>14</v>
      </c>
      <c r="V440" s="46">
        <v>15</v>
      </c>
      <c r="W440" s="47">
        <v>16</v>
      </c>
      <c r="X440" s="46">
        <v>17</v>
      </c>
      <c r="Y440" s="47">
        <v>18</v>
      </c>
      <c r="Z440" s="46">
        <v>19</v>
      </c>
      <c r="AA440" s="47">
        <v>20</v>
      </c>
      <c r="AB440" s="46">
        <v>21</v>
      </c>
      <c r="AC440" s="47">
        <v>22</v>
      </c>
      <c r="AD440" s="46">
        <v>23</v>
      </c>
      <c r="AE440" s="47">
        <v>24</v>
      </c>
      <c r="AF440" s="46">
        <v>25</v>
      </c>
      <c r="AG440" s="47">
        <v>26</v>
      </c>
      <c r="AH440" s="46">
        <v>27</v>
      </c>
      <c r="AI440" s="47">
        <v>28</v>
      </c>
      <c r="AJ440" s="46">
        <v>29</v>
      </c>
      <c r="AK440" s="47">
        <v>30</v>
      </c>
      <c r="AL440" s="4"/>
      <c r="AM440" s="43">
        <v>424</v>
      </c>
      <c r="AN440">
        <v>255.38924055260654</v>
      </c>
      <c r="AO440">
        <v>20.592227572049609</v>
      </c>
      <c r="AP440">
        <v>63.608755379643071</v>
      </c>
      <c r="AQ440">
        <v>153.29252408786968</v>
      </c>
      <c r="AR440">
        <v>22.186849621110198</v>
      </c>
      <c r="AS440">
        <v>198.22699271020625</v>
      </c>
      <c r="AT440">
        <v>10.006594982566975</v>
      </c>
      <c r="AU440">
        <v>2.7840489008015901</v>
      </c>
      <c r="AV440"/>
      <c r="AW440"/>
      <c r="FY440" s="213">
        <v>435</v>
      </c>
      <c r="FZ440">
        <v>46.1021052129773</v>
      </c>
      <c r="GA440">
        <v>61.100588989465109</v>
      </c>
      <c r="GB440">
        <v>11.544677891964866</v>
      </c>
      <c r="GC440">
        <v>3.8830708811187371</v>
      </c>
      <c r="GD440">
        <v>3.5177293987391787</v>
      </c>
      <c r="GE440">
        <v>6.3775441864967997</v>
      </c>
      <c r="GF440">
        <v>13.241628962808429</v>
      </c>
      <c r="GG440">
        <v>9.4390889509425158</v>
      </c>
      <c r="GH440">
        <v>15.007597746573587</v>
      </c>
      <c r="GI440">
        <v>16.93015500924643</v>
      </c>
      <c r="GJ440"/>
      <c r="GK440"/>
      <c r="GL440"/>
      <c r="GM440"/>
      <c r="GN440" s="208"/>
      <c r="GO440" s="208"/>
      <c r="GP440" s="208"/>
      <c r="GQ440" s="208"/>
      <c r="GR440" s="208"/>
      <c r="GS440" s="208"/>
      <c r="GT440" s="208"/>
      <c r="GU440" s="213">
        <v>435</v>
      </c>
    </row>
    <row r="441" spans="1:203" s="7" customFormat="1">
      <c r="A441" s="21" t="s">
        <v>97</v>
      </c>
      <c r="B441" s="48" t="s">
        <v>38</v>
      </c>
      <c r="C441" s="107">
        <f t="shared" ref="C441:C450" si="390">SUM(G441:AK441)</f>
        <v>42.67407986046527</v>
      </c>
      <c r="D441" s="191">
        <f>$A$405</f>
        <v>13.69</v>
      </c>
      <c r="E441" s="8"/>
      <c r="F441" s="124"/>
      <c r="G441" s="107" t="str">
        <f t="shared" ref="G441:G450" si="391">IF(G423&lt;=0, "0.000", G423)</f>
        <v>0.000</v>
      </c>
      <c r="H441" s="107">
        <f t="shared" ref="H441:AK441" si="392">IF(H423&lt;=0, "0.000", H423)</f>
        <v>2.4126591626465708E-2</v>
      </c>
      <c r="I441" s="107">
        <f t="shared" si="392"/>
        <v>3.49687149308921</v>
      </c>
      <c r="J441" s="107">
        <f t="shared" si="392"/>
        <v>6.0364159198778244</v>
      </c>
      <c r="K441" s="107">
        <f t="shared" si="392"/>
        <v>4.5160685854293003</v>
      </c>
      <c r="L441" s="107">
        <f t="shared" si="392"/>
        <v>8.4502537770064095</v>
      </c>
      <c r="M441" s="107">
        <f t="shared" si="392"/>
        <v>3.3392440173042757</v>
      </c>
      <c r="N441" s="107">
        <f t="shared" si="392"/>
        <v>7.7529334799961953</v>
      </c>
      <c r="O441" s="107">
        <f t="shared" si="392"/>
        <v>2.6284605551732114</v>
      </c>
      <c r="P441" s="107" t="str">
        <f t="shared" si="392"/>
        <v>0.000</v>
      </c>
      <c r="Q441" s="107">
        <f t="shared" si="392"/>
        <v>4.0822880356283173</v>
      </c>
      <c r="R441" s="107">
        <f t="shared" si="392"/>
        <v>2.3474174053340611</v>
      </c>
      <c r="S441" s="107" t="str">
        <f t="shared" si="392"/>
        <v>0.000</v>
      </c>
      <c r="T441" s="107" t="str">
        <f t="shared" si="392"/>
        <v>0.000</v>
      </c>
      <c r="U441" s="107" t="str">
        <f t="shared" si="392"/>
        <v>0.000</v>
      </c>
      <c r="V441" s="107" t="str">
        <f t="shared" si="392"/>
        <v>0.000</v>
      </c>
      <c r="W441" s="107" t="str">
        <f t="shared" si="392"/>
        <v>0.000</v>
      </c>
      <c r="X441" s="107" t="str">
        <f t="shared" si="392"/>
        <v>0.000</v>
      </c>
      <c r="Y441" s="107" t="str">
        <f t="shared" si="392"/>
        <v>0.000</v>
      </c>
      <c r="Z441" s="107" t="str">
        <f t="shared" si="392"/>
        <v>0.000</v>
      </c>
      <c r="AA441" s="107" t="str">
        <f t="shared" si="392"/>
        <v>0.000</v>
      </c>
      <c r="AB441" s="107" t="str">
        <f t="shared" si="392"/>
        <v>0.000</v>
      </c>
      <c r="AC441" s="107" t="str">
        <f t="shared" si="392"/>
        <v>0.000</v>
      </c>
      <c r="AD441" s="107" t="str">
        <f t="shared" si="392"/>
        <v>0.000</v>
      </c>
      <c r="AE441" s="107" t="str">
        <f t="shared" si="392"/>
        <v>0.000</v>
      </c>
      <c r="AF441" s="107" t="str">
        <f t="shared" si="392"/>
        <v>0.000</v>
      </c>
      <c r="AG441" s="107" t="str">
        <f t="shared" si="392"/>
        <v>0.000</v>
      </c>
      <c r="AH441" s="107" t="str">
        <f t="shared" si="392"/>
        <v>0.000</v>
      </c>
      <c r="AI441" s="107" t="str">
        <f t="shared" si="392"/>
        <v>0.000</v>
      </c>
      <c r="AJ441" s="107" t="str">
        <f t="shared" si="392"/>
        <v>0.000</v>
      </c>
      <c r="AK441" s="107" t="str">
        <f t="shared" si="392"/>
        <v>0.000</v>
      </c>
      <c r="AL441" s="4"/>
      <c r="AM441" s="43">
        <v>425</v>
      </c>
      <c r="AN441">
        <v>303.76707958355462</v>
      </c>
      <c r="AO441">
        <v>20.957582124142125</v>
      </c>
      <c r="AP441">
        <v>66.259567527299438</v>
      </c>
      <c r="AQ441">
        <v>150.67427427614828</v>
      </c>
      <c r="AR441">
        <v>20.811666221470567</v>
      </c>
      <c r="AS441">
        <v>207.80027675190431</v>
      </c>
      <c r="AT441">
        <v>10.61291831219415</v>
      </c>
      <c r="AU441">
        <v>16.08337819651522</v>
      </c>
      <c r="AV441"/>
      <c r="AW441"/>
      <c r="FY441" s="213">
        <v>436</v>
      </c>
      <c r="FZ441">
        <v>34.05326582288496</v>
      </c>
      <c r="GA441">
        <v>49.425719031847869</v>
      </c>
      <c r="GB441">
        <v>12.717854112756058</v>
      </c>
      <c r="GC441">
        <v>6.8695883601670218</v>
      </c>
      <c r="GD441">
        <v>4.7118714394325245</v>
      </c>
      <c r="GE441">
        <v>4.2049254015878441</v>
      </c>
      <c r="GF441">
        <v>11.400120723072092</v>
      </c>
      <c r="GG441">
        <v>10.596285423034001</v>
      </c>
      <c r="GH441">
        <v>17.231500130423701</v>
      </c>
      <c r="GI441">
        <v>16.204864341567784</v>
      </c>
      <c r="GJ441"/>
      <c r="GK441"/>
      <c r="GL441"/>
      <c r="GM441"/>
      <c r="GN441" s="208"/>
      <c r="GO441" s="208"/>
      <c r="GP441" s="208"/>
      <c r="GQ441" s="208"/>
      <c r="GR441" s="208"/>
      <c r="GS441" s="208"/>
      <c r="GT441" s="208"/>
      <c r="GU441" s="213">
        <v>436</v>
      </c>
    </row>
    <row r="442" spans="1:203" s="7" customFormat="1">
      <c r="A442" s="1">
        <v>385</v>
      </c>
      <c r="B442" s="48" t="s">
        <v>39</v>
      </c>
      <c r="C442" s="107">
        <f t="shared" si="390"/>
        <v>25.704657621344477</v>
      </c>
      <c r="D442" s="191">
        <f>$A$406</f>
        <v>9.4499999999999993</v>
      </c>
      <c r="E442" s="8"/>
      <c r="F442" s="124"/>
      <c r="G442" s="173">
        <f t="shared" si="391"/>
        <v>2.4942436411216299E-2</v>
      </c>
      <c r="H442" s="173">
        <f t="shared" ref="H442:V442" si="393">IF(H424&lt;=0, "0.000", H424)</f>
        <v>0.65339248635996861</v>
      </c>
      <c r="I442" s="173">
        <f t="shared" si="393"/>
        <v>1.3352705054588787</v>
      </c>
      <c r="J442" s="173">
        <f t="shared" si="393"/>
        <v>0.39571158316450539</v>
      </c>
      <c r="K442" s="173">
        <f t="shared" si="393"/>
        <v>2.2353822969361943</v>
      </c>
      <c r="L442" s="173">
        <f t="shared" si="393"/>
        <v>3.9503508259579134</v>
      </c>
      <c r="M442" s="173">
        <f t="shared" si="393"/>
        <v>3.8689395179380823</v>
      </c>
      <c r="N442" s="173">
        <f t="shared" si="393"/>
        <v>1.1090478447469121</v>
      </c>
      <c r="O442" s="173">
        <f t="shared" si="393"/>
        <v>4.4340106883309938</v>
      </c>
      <c r="P442" s="173">
        <f t="shared" si="393"/>
        <v>5.5367795610922705</v>
      </c>
      <c r="Q442" s="173">
        <f t="shared" si="393"/>
        <v>2.1608298749475421</v>
      </c>
      <c r="R442" s="173" t="str">
        <f t="shared" si="393"/>
        <v>0.000</v>
      </c>
      <c r="S442" s="173" t="str">
        <f t="shared" si="393"/>
        <v>0.000</v>
      </c>
      <c r="T442" s="173" t="str">
        <f t="shared" si="393"/>
        <v>0.000</v>
      </c>
      <c r="U442" s="173" t="str">
        <f t="shared" si="393"/>
        <v>0.000</v>
      </c>
      <c r="V442" s="173" t="str">
        <f t="shared" si="393"/>
        <v>0.000</v>
      </c>
      <c r="W442" s="173" t="str">
        <f t="shared" ref="W442:AK442" si="394">IF(W424&lt;=0, "0.000", W424)</f>
        <v>0.000</v>
      </c>
      <c r="X442" s="173" t="str">
        <f t="shared" si="394"/>
        <v>0.000</v>
      </c>
      <c r="Y442" s="173" t="str">
        <f t="shared" si="394"/>
        <v>0.000</v>
      </c>
      <c r="Z442" s="173" t="str">
        <f t="shared" si="394"/>
        <v>0.000</v>
      </c>
      <c r="AA442" s="173" t="str">
        <f t="shared" si="394"/>
        <v>0.000</v>
      </c>
      <c r="AB442" s="173" t="str">
        <f t="shared" si="394"/>
        <v>0.000</v>
      </c>
      <c r="AC442" s="173" t="str">
        <f t="shared" si="394"/>
        <v>0.000</v>
      </c>
      <c r="AD442" s="173" t="str">
        <f t="shared" si="394"/>
        <v>0.000</v>
      </c>
      <c r="AE442" s="173" t="str">
        <f t="shared" si="394"/>
        <v>0.000</v>
      </c>
      <c r="AF442" s="173" t="str">
        <f t="shared" si="394"/>
        <v>0.000</v>
      </c>
      <c r="AG442" s="173" t="str">
        <f t="shared" si="394"/>
        <v>0.000</v>
      </c>
      <c r="AH442" s="173" t="str">
        <f t="shared" si="394"/>
        <v>0.000</v>
      </c>
      <c r="AI442" s="173" t="str">
        <f t="shared" si="394"/>
        <v>0.000</v>
      </c>
      <c r="AJ442" s="173" t="str">
        <f t="shared" si="394"/>
        <v>0.000</v>
      </c>
      <c r="AK442" s="173" t="str">
        <f t="shared" si="394"/>
        <v>0.000</v>
      </c>
      <c r="AL442" s="4"/>
      <c r="AM442" s="43">
        <v>426</v>
      </c>
      <c r="AN442">
        <v>257.23427104926742</v>
      </c>
      <c r="AO442">
        <v>27.726523242929478</v>
      </c>
      <c r="AP442">
        <v>48.261400487765258</v>
      </c>
      <c r="AQ442">
        <v>195.31757626306546</v>
      </c>
      <c r="AR442">
        <v>29.602891467181781</v>
      </c>
      <c r="AS442">
        <v>224.86936342653033</v>
      </c>
      <c r="AT442">
        <v>10.818185714049791</v>
      </c>
      <c r="AU442">
        <v>-5.1925748147753268</v>
      </c>
      <c r="AV442"/>
      <c r="AW442"/>
      <c r="FY442" s="213">
        <v>437</v>
      </c>
      <c r="FZ442">
        <v>62.344344295290135</v>
      </c>
      <c r="GA442">
        <v>82.469370901860344</v>
      </c>
      <c r="GB442">
        <v>17.904061196636377</v>
      </c>
      <c r="GC442">
        <v>8.7468999490421346</v>
      </c>
      <c r="GD442">
        <v>7.0909590426253803</v>
      </c>
      <c r="GE442">
        <v>4.6632856460512571</v>
      </c>
      <c r="GF442">
        <v>9.7619542241733868</v>
      </c>
      <c r="GG442">
        <v>11.093170123993335</v>
      </c>
      <c r="GH442">
        <v>15.474166732944402</v>
      </c>
      <c r="GI442">
        <v>22.620471970302802</v>
      </c>
      <c r="GJ442"/>
      <c r="GK442"/>
      <c r="GL442"/>
      <c r="GM442"/>
      <c r="GN442" s="208"/>
      <c r="GO442" s="208"/>
      <c r="GP442" s="208"/>
      <c r="GQ442" s="208"/>
      <c r="GR442" s="208"/>
      <c r="GS442" s="208"/>
      <c r="GT442" s="208"/>
      <c r="GU442" s="213">
        <v>437</v>
      </c>
    </row>
    <row r="443" spans="1:203" s="7" customFormat="1">
      <c r="A443" s="103" t="s">
        <v>98</v>
      </c>
      <c r="B443" s="48" t="s">
        <v>40</v>
      </c>
      <c r="C443" s="107">
        <f t="shared" si="390"/>
        <v>8.6250593843699797</v>
      </c>
      <c r="D443" s="191">
        <f>A$407</f>
        <v>4.03</v>
      </c>
      <c r="E443" s="8"/>
      <c r="F443" s="124"/>
      <c r="G443" s="173">
        <f t="shared" si="391"/>
        <v>2.1242560082839625E-2</v>
      </c>
      <c r="H443" s="173">
        <f t="shared" ref="H443:V443" si="395">IF(H425&lt;=0, "0.000", H425)</f>
        <v>1.8282693785872481</v>
      </c>
      <c r="I443" s="173">
        <f t="shared" si="395"/>
        <v>1.0792046163777835</v>
      </c>
      <c r="J443" s="173">
        <f t="shared" si="395"/>
        <v>0.13445844509315558</v>
      </c>
      <c r="K443" s="173" t="str">
        <f t="shared" si="395"/>
        <v>0.000</v>
      </c>
      <c r="L443" s="173">
        <f t="shared" si="395"/>
        <v>0.73612895757923291</v>
      </c>
      <c r="M443" s="173">
        <f t="shared" si="395"/>
        <v>1.1265339756771746</v>
      </c>
      <c r="N443" s="173" t="str">
        <f t="shared" si="395"/>
        <v>0.000</v>
      </c>
      <c r="O443" s="173">
        <f t="shared" si="395"/>
        <v>0.65698407637943745</v>
      </c>
      <c r="P443" s="173">
        <f t="shared" si="395"/>
        <v>2.2688244867545388</v>
      </c>
      <c r="Q443" s="173">
        <f t="shared" si="395"/>
        <v>0.77341288783856943</v>
      </c>
      <c r="R443" s="173" t="str">
        <f t="shared" si="395"/>
        <v>0.000</v>
      </c>
      <c r="S443" s="173" t="str">
        <f t="shared" si="395"/>
        <v>0.000</v>
      </c>
      <c r="T443" s="173" t="str">
        <f t="shared" si="395"/>
        <v>0.000</v>
      </c>
      <c r="U443" s="173" t="str">
        <f t="shared" si="395"/>
        <v>0.000</v>
      </c>
      <c r="V443" s="173" t="str">
        <f t="shared" si="395"/>
        <v>0.000</v>
      </c>
      <c r="W443" s="173" t="str">
        <f t="shared" ref="W443:AK443" si="396">IF(W425&lt;=0, "0.000", W425)</f>
        <v>0.000</v>
      </c>
      <c r="X443" s="173" t="str">
        <f t="shared" si="396"/>
        <v>0.000</v>
      </c>
      <c r="Y443" s="173" t="str">
        <f t="shared" si="396"/>
        <v>0.000</v>
      </c>
      <c r="Z443" s="173" t="str">
        <f t="shared" si="396"/>
        <v>0.000</v>
      </c>
      <c r="AA443" s="173" t="str">
        <f t="shared" si="396"/>
        <v>0.000</v>
      </c>
      <c r="AB443" s="173" t="str">
        <f t="shared" si="396"/>
        <v>0.000</v>
      </c>
      <c r="AC443" s="173" t="str">
        <f t="shared" si="396"/>
        <v>0.000</v>
      </c>
      <c r="AD443" s="173" t="str">
        <f t="shared" si="396"/>
        <v>0.000</v>
      </c>
      <c r="AE443" s="173" t="str">
        <f t="shared" si="396"/>
        <v>0.000</v>
      </c>
      <c r="AF443" s="173" t="str">
        <f t="shared" si="396"/>
        <v>0.000</v>
      </c>
      <c r="AG443" s="173" t="str">
        <f t="shared" si="396"/>
        <v>0.000</v>
      </c>
      <c r="AH443" s="173" t="str">
        <f t="shared" si="396"/>
        <v>0.000</v>
      </c>
      <c r="AI443" s="173" t="str">
        <f t="shared" si="396"/>
        <v>0.000</v>
      </c>
      <c r="AJ443" s="173" t="str">
        <f t="shared" si="396"/>
        <v>0.000</v>
      </c>
      <c r="AK443" s="173" t="str">
        <f t="shared" si="396"/>
        <v>0.000</v>
      </c>
      <c r="AL443" s="4"/>
      <c r="AM443" s="43">
        <v>427</v>
      </c>
      <c r="AN443">
        <v>352.52701283743511</v>
      </c>
      <c r="AO443">
        <v>24.143745425756961</v>
      </c>
      <c r="AP443">
        <v>104.39152416144086</v>
      </c>
      <c r="AQ443">
        <v>160.4075738270399</v>
      </c>
      <c r="AR443">
        <v>25.367517564858812</v>
      </c>
      <c r="AS443">
        <v>261.04253985644527</v>
      </c>
      <c r="AT443">
        <v>12.021485453123503</v>
      </c>
      <c r="AU443">
        <v>11.969793868046889</v>
      </c>
      <c r="AV443"/>
      <c r="AW443"/>
      <c r="FY443" s="213">
        <v>438</v>
      </c>
      <c r="FZ443">
        <v>54.337404485125617</v>
      </c>
      <c r="GA443">
        <v>65.97389210124733</v>
      </c>
      <c r="GB443">
        <v>15.654835248728919</v>
      </c>
      <c r="GC443">
        <v>5.9928060615662337</v>
      </c>
      <c r="GD443">
        <v>4.3474488883852231</v>
      </c>
      <c r="GE443">
        <v>5.1618274842778522</v>
      </c>
      <c r="GF443">
        <v>19.586130811715979</v>
      </c>
      <c r="GG443">
        <v>16.029267390935026</v>
      </c>
      <c r="GH443">
        <v>16.469037793263144</v>
      </c>
      <c r="GI443">
        <v>21.210109877219036</v>
      </c>
      <c r="GJ443"/>
      <c r="GK443"/>
      <c r="GL443"/>
      <c r="GM443"/>
      <c r="GN443" s="208"/>
      <c r="GO443" s="208"/>
      <c r="GP443" s="208"/>
      <c r="GQ443" s="208"/>
      <c r="GR443" s="208"/>
      <c r="GS443" s="208"/>
      <c r="GT443" s="208"/>
      <c r="GU443" s="213">
        <v>438</v>
      </c>
    </row>
    <row r="444" spans="1:203" s="7" customFormat="1">
      <c r="A444" s="1">
        <v>345</v>
      </c>
      <c r="B444" s="48" t="s">
        <v>41</v>
      </c>
      <c r="C444" s="107">
        <f t="shared" si="390"/>
        <v>7.1531297272148935</v>
      </c>
      <c r="D444" s="191">
        <f>A$408</f>
        <v>0.78</v>
      </c>
      <c r="E444" s="8"/>
      <c r="F444" s="124"/>
      <c r="G444" s="173">
        <f t="shared" si="391"/>
        <v>1.2347362904823989E-2</v>
      </c>
      <c r="H444" s="173">
        <f t="shared" ref="H444:V444" si="397">IF(H426&lt;=0, "0.000", H426)</f>
        <v>1.5777104777566815</v>
      </c>
      <c r="I444" s="173">
        <f t="shared" si="397"/>
        <v>4.6652000275128307</v>
      </c>
      <c r="J444" s="173">
        <f t="shared" si="397"/>
        <v>0.69004299517416601</v>
      </c>
      <c r="K444" s="173">
        <f t="shared" si="397"/>
        <v>7.6999352319572487E-2</v>
      </c>
      <c r="L444" s="173">
        <f t="shared" si="397"/>
        <v>0.13082951154681827</v>
      </c>
      <c r="M444" s="173" t="str">
        <f t="shared" si="397"/>
        <v>0.000</v>
      </c>
      <c r="N444" s="173" t="str">
        <f t="shared" si="397"/>
        <v>0.000</v>
      </c>
      <c r="O444" s="173" t="str">
        <f t="shared" si="397"/>
        <v>0.000</v>
      </c>
      <c r="P444" s="173" t="str">
        <f t="shared" si="397"/>
        <v>0.000</v>
      </c>
      <c r="Q444" s="173" t="str">
        <f t="shared" si="397"/>
        <v>0.000</v>
      </c>
      <c r="R444" s="173" t="str">
        <f t="shared" si="397"/>
        <v>0.000</v>
      </c>
      <c r="S444" s="173" t="str">
        <f t="shared" si="397"/>
        <v>0.000</v>
      </c>
      <c r="T444" s="173" t="str">
        <f t="shared" si="397"/>
        <v>0.000</v>
      </c>
      <c r="U444" s="173" t="str">
        <f t="shared" si="397"/>
        <v>0.000</v>
      </c>
      <c r="V444" s="173" t="str">
        <f t="shared" si="397"/>
        <v>0.000</v>
      </c>
      <c r="W444" s="173" t="str">
        <f t="shared" ref="W444:AK444" si="398">IF(W426&lt;=0, "0.000", W426)</f>
        <v>0.000</v>
      </c>
      <c r="X444" s="173" t="str">
        <f t="shared" si="398"/>
        <v>0.000</v>
      </c>
      <c r="Y444" s="173" t="str">
        <f t="shared" si="398"/>
        <v>0.000</v>
      </c>
      <c r="Z444" s="173" t="str">
        <f t="shared" si="398"/>
        <v>0.000</v>
      </c>
      <c r="AA444" s="173" t="str">
        <f t="shared" si="398"/>
        <v>0.000</v>
      </c>
      <c r="AB444" s="173" t="str">
        <f t="shared" si="398"/>
        <v>0.000</v>
      </c>
      <c r="AC444" s="173" t="str">
        <f t="shared" si="398"/>
        <v>0.000</v>
      </c>
      <c r="AD444" s="173" t="str">
        <f t="shared" si="398"/>
        <v>0.000</v>
      </c>
      <c r="AE444" s="173" t="str">
        <f t="shared" si="398"/>
        <v>0.000</v>
      </c>
      <c r="AF444" s="173" t="str">
        <f t="shared" si="398"/>
        <v>0.000</v>
      </c>
      <c r="AG444" s="173" t="str">
        <f t="shared" si="398"/>
        <v>0.000</v>
      </c>
      <c r="AH444" s="173" t="str">
        <f t="shared" si="398"/>
        <v>0.000</v>
      </c>
      <c r="AI444" s="173" t="str">
        <f t="shared" si="398"/>
        <v>0.000</v>
      </c>
      <c r="AJ444" s="173" t="str">
        <f t="shared" si="398"/>
        <v>0.000</v>
      </c>
      <c r="AK444" s="173" t="str">
        <f t="shared" si="398"/>
        <v>0.000</v>
      </c>
      <c r="AL444" s="4"/>
      <c r="AM444" s="43">
        <v>428</v>
      </c>
      <c r="AN444">
        <v>234.85895394803168</v>
      </c>
      <c r="AO444">
        <v>28.033591346128969</v>
      </c>
      <c r="AP444">
        <v>70.384081636069979</v>
      </c>
      <c r="AQ444">
        <v>216.28277306975468</v>
      </c>
      <c r="AR444">
        <v>30.689468370989712</v>
      </c>
      <c r="AS444">
        <v>220.7553166182521</v>
      </c>
      <c r="AT444">
        <v>13.677434675986703</v>
      </c>
      <c r="AU444">
        <v>6.942818985640443</v>
      </c>
      <c r="AV444"/>
      <c r="AW444"/>
      <c r="FY444" s="213">
        <v>439</v>
      </c>
      <c r="FZ444">
        <v>58.390236530882497</v>
      </c>
      <c r="GA444">
        <v>64.793609327902573</v>
      </c>
      <c r="GB444">
        <v>12.672144959851394</v>
      </c>
      <c r="GC444">
        <v>5.8562612607166642</v>
      </c>
      <c r="GD444">
        <v>6.2499174093976215</v>
      </c>
      <c r="GE444">
        <v>8.7441210389742015</v>
      </c>
      <c r="GF444">
        <v>13.187869362854308</v>
      </c>
      <c r="GG444">
        <v>8.236147343656171</v>
      </c>
      <c r="GH444">
        <v>6.9751832414755164</v>
      </c>
      <c r="GI444">
        <v>19.368217338724147</v>
      </c>
      <c r="GJ444"/>
      <c r="GK444"/>
      <c r="GL444"/>
      <c r="GM444"/>
      <c r="GN444" s="208"/>
      <c r="GO444" s="208"/>
      <c r="GP444" s="208"/>
      <c r="GQ444" s="208"/>
      <c r="GR444" s="208"/>
      <c r="GS444" s="208"/>
      <c r="GT444" s="208"/>
      <c r="GU444" s="213">
        <v>439</v>
      </c>
    </row>
    <row r="445" spans="1:203" s="7" customFormat="1">
      <c r="A445" s="4"/>
      <c r="B445" s="48" t="s">
        <v>42</v>
      </c>
      <c r="C445" s="107">
        <f t="shared" si="390"/>
        <v>6.0720254889381664</v>
      </c>
      <c r="D445" s="191">
        <f>A$409</f>
        <v>0.14000000000000001</v>
      </c>
      <c r="E445" s="8"/>
      <c r="F445" s="124"/>
      <c r="G445" s="173">
        <f t="shared" si="391"/>
        <v>1.1012797832427956E-2</v>
      </c>
      <c r="H445" s="173">
        <f t="shared" ref="H445:V445" si="399">IF(H427&lt;=0, "0.000", H427)</f>
        <v>0.82300902059566872</v>
      </c>
      <c r="I445" s="173">
        <f t="shared" si="399"/>
        <v>4.3775561170677841</v>
      </c>
      <c r="J445" s="173">
        <f t="shared" si="399"/>
        <v>0.64377229486730236</v>
      </c>
      <c r="K445" s="173">
        <f t="shared" si="399"/>
        <v>0.11759481296199531</v>
      </c>
      <c r="L445" s="173">
        <f t="shared" si="399"/>
        <v>9.90804456129879E-2</v>
      </c>
      <c r="M445" s="173" t="str">
        <f t="shared" si="399"/>
        <v>0.000</v>
      </c>
      <c r="N445" s="173" t="str">
        <f t="shared" si="399"/>
        <v>0.000</v>
      </c>
      <c r="O445" s="173" t="str">
        <f t="shared" si="399"/>
        <v>0.000</v>
      </c>
      <c r="P445" s="173" t="str">
        <f t="shared" si="399"/>
        <v>0.000</v>
      </c>
      <c r="Q445" s="173" t="str">
        <f t="shared" si="399"/>
        <v>0.000</v>
      </c>
      <c r="R445" s="173" t="str">
        <f t="shared" si="399"/>
        <v>0.000</v>
      </c>
      <c r="S445" s="173" t="str">
        <f t="shared" si="399"/>
        <v>0.000</v>
      </c>
      <c r="T445" s="173" t="str">
        <f t="shared" si="399"/>
        <v>0.000</v>
      </c>
      <c r="U445" s="173" t="str">
        <f t="shared" si="399"/>
        <v>0.000</v>
      </c>
      <c r="V445" s="173" t="str">
        <f t="shared" si="399"/>
        <v>0.000</v>
      </c>
      <c r="W445" s="173" t="str">
        <f t="shared" ref="W445:AK445" si="400">IF(W427&lt;=0, "0.000", W427)</f>
        <v>0.000</v>
      </c>
      <c r="X445" s="173" t="str">
        <f t="shared" si="400"/>
        <v>0.000</v>
      </c>
      <c r="Y445" s="173" t="str">
        <f t="shared" si="400"/>
        <v>0.000</v>
      </c>
      <c r="Z445" s="173" t="str">
        <f t="shared" si="400"/>
        <v>0.000</v>
      </c>
      <c r="AA445" s="173" t="str">
        <f t="shared" si="400"/>
        <v>0.000</v>
      </c>
      <c r="AB445" s="173" t="str">
        <f t="shared" si="400"/>
        <v>0.000</v>
      </c>
      <c r="AC445" s="173" t="str">
        <f t="shared" si="400"/>
        <v>0.000</v>
      </c>
      <c r="AD445" s="173" t="str">
        <f t="shared" si="400"/>
        <v>0.000</v>
      </c>
      <c r="AE445" s="173" t="str">
        <f t="shared" si="400"/>
        <v>0.000</v>
      </c>
      <c r="AF445" s="173" t="str">
        <f t="shared" si="400"/>
        <v>0.000</v>
      </c>
      <c r="AG445" s="173" t="str">
        <f t="shared" si="400"/>
        <v>0.000</v>
      </c>
      <c r="AH445" s="173" t="str">
        <f t="shared" si="400"/>
        <v>0.000</v>
      </c>
      <c r="AI445" s="173" t="str">
        <f t="shared" si="400"/>
        <v>0.000</v>
      </c>
      <c r="AJ445" s="173" t="str">
        <f t="shared" si="400"/>
        <v>0.000</v>
      </c>
      <c r="AK445" s="173" t="str">
        <f t="shared" si="400"/>
        <v>0.000</v>
      </c>
      <c r="AL445" s="4"/>
      <c r="AM445" s="43">
        <v>429</v>
      </c>
      <c r="AN445">
        <v>322.21210234248827</v>
      </c>
      <c r="AO445">
        <v>22.182648195622669</v>
      </c>
      <c r="AP445">
        <v>100.10059701697587</v>
      </c>
      <c r="AQ445">
        <v>166.41756442975171</v>
      </c>
      <c r="AR445">
        <v>21.906565161307689</v>
      </c>
      <c r="AS445">
        <v>236.06533703721749</v>
      </c>
      <c r="AT445">
        <v>11.453784241922023</v>
      </c>
      <c r="AU445">
        <v>26.778337898026713</v>
      </c>
      <c r="AV445"/>
      <c r="AW445"/>
      <c r="FY445" s="213">
        <v>440</v>
      </c>
      <c r="FZ445">
        <v>79.385166381754146</v>
      </c>
      <c r="GA445">
        <v>80.275698684750395</v>
      </c>
      <c r="GB445">
        <v>12.488837601789095</v>
      </c>
      <c r="GC445">
        <v>6.0883213992719165</v>
      </c>
      <c r="GD445">
        <v>4.3970894506335458</v>
      </c>
      <c r="GE445">
        <v>4.226249795729764</v>
      </c>
      <c r="GF445">
        <v>20.288154459652642</v>
      </c>
      <c r="GG445">
        <v>18.013636369948177</v>
      </c>
      <c r="GH445">
        <v>14.583862726141469</v>
      </c>
      <c r="GI445">
        <v>23.694032779843806</v>
      </c>
      <c r="GJ445"/>
      <c r="GK445"/>
      <c r="GL445"/>
      <c r="GM445"/>
      <c r="GN445" s="208"/>
      <c r="GO445" s="208"/>
      <c r="GP445" s="208"/>
      <c r="GQ445" s="208"/>
      <c r="GR445" s="208"/>
      <c r="GS445" s="208"/>
      <c r="GT445" s="208"/>
      <c r="GU445" s="213">
        <v>440</v>
      </c>
    </row>
    <row r="446" spans="1:203" s="7" customFormat="1">
      <c r="A446" s="4"/>
      <c r="B446" s="48" t="s">
        <v>118</v>
      </c>
      <c r="C446" s="107">
        <f t="shared" si="390"/>
        <v>8.192688124352113</v>
      </c>
      <c r="D446" s="191">
        <f>A$410</f>
        <v>0.21</v>
      </c>
      <c r="E446" s="8"/>
      <c r="F446" s="124"/>
      <c r="G446" s="173">
        <f t="shared" si="391"/>
        <v>2.697119307594531E-2</v>
      </c>
      <c r="H446" s="173">
        <f t="shared" ref="H446:V446" si="401">IF(H428&lt;=0, "0.000", H428)</f>
        <v>2.2253037314686916</v>
      </c>
      <c r="I446" s="173">
        <f t="shared" si="401"/>
        <v>5.5897588471894117</v>
      </c>
      <c r="J446" s="173">
        <f t="shared" si="401"/>
        <v>0.23148409376386733</v>
      </c>
      <c r="K446" s="173">
        <f t="shared" si="401"/>
        <v>0.11917025885419691</v>
      </c>
      <c r="L446" s="173" t="str">
        <f t="shared" si="401"/>
        <v>0.000</v>
      </c>
      <c r="M446" s="173" t="str">
        <f t="shared" si="401"/>
        <v>0.000</v>
      </c>
      <c r="N446" s="173" t="str">
        <f t="shared" si="401"/>
        <v>0.000</v>
      </c>
      <c r="O446" s="173" t="str">
        <f t="shared" si="401"/>
        <v>0.000</v>
      </c>
      <c r="P446" s="173" t="str">
        <f t="shared" si="401"/>
        <v>0.000</v>
      </c>
      <c r="Q446" s="173" t="str">
        <f t="shared" si="401"/>
        <v>0.000</v>
      </c>
      <c r="R446" s="173" t="str">
        <f t="shared" si="401"/>
        <v>0.000</v>
      </c>
      <c r="S446" s="173" t="str">
        <f t="shared" si="401"/>
        <v>0.000</v>
      </c>
      <c r="T446" s="173" t="str">
        <f t="shared" si="401"/>
        <v>0.000</v>
      </c>
      <c r="U446" s="173" t="str">
        <f t="shared" si="401"/>
        <v>0.000</v>
      </c>
      <c r="V446" s="173" t="str">
        <f t="shared" si="401"/>
        <v>0.000</v>
      </c>
      <c r="W446" s="173" t="str">
        <f t="shared" ref="W446:AK446" si="402">IF(W428&lt;=0, "0.000", W428)</f>
        <v>0.000</v>
      </c>
      <c r="X446" s="173" t="str">
        <f t="shared" si="402"/>
        <v>0.000</v>
      </c>
      <c r="Y446" s="173" t="str">
        <f t="shared" si="402"/>
        <v>0.000</v>
      </c>
      <c r="Z446" s="173" t="str">
        <f t="shared" si="402"/>
        <v>0.000</v>
      </c>
      <c r="AA446" s="173" t="str">
        <f t="shared" si="402"/>
        <v>0.000</v>
      </c>
      <c r="AB446" s="173" t="str">
        <f t="shared" si="402"/>
        <v>0.000</v>
      </c>
      <c r="AC446" s="173" t="str">
        <f t="shared" si="402"/>
        <v>0.000</v>
      </c>
      <c r="AD446" s="173" t="str">
        <f t="shared" si="402"/>
        <v>0.000</v>
      </c>
      <c r="AE446" s="173" t="str">
        <f t="shared" si="402"/>
        <v>0.000</v>
      </c>
      <c r="AF446" s="173" t="str">
        <f t="shared" si="402"/>
        <v>0.000</v>
      </c>
      <c r="AG446" s="173" t="str">
        <f t="shared" si="402"/>
        <v>0.000</v>
      </c>
      <c r="AH446" s="173" t="str">
        <f t="shared" si="402"/>
        <v>0.000</v>
      </c>
      <c r="AI446" s="173" t="str">
        <f t="shared" si="402"/>
        <v>0.000</v>
      </c>
      <c r="AJ446" s="173" t="str">
        <f t="shared" si="402"/>
        <v>0.000</v>
      </c>
      <c r="AK446" s="173" t="str">
        <f t="shared" si="402"/>
        <v>0.000</v>
      </c>
      <c r="AL446" s="4"/>
      <c r="AM446" s="43">
        <v>430</v>
      </c>
      <c r="AN446">
        <v>364.2978037123699</v>
      </c>
      <c r="AO446">
        <v>27.946417964407949</v>
      </c>
      <c r="AP446">
        <v>97.427446339650814</v>
      </c>
      <c r="AQ446">
        <v>192.2439779155678</v>
      </c>
      <c r="AR446">
        <v>27.620845143605955</v>
      </c>
      <c r="AS446">
        <v>266.93652958423547</v>
      </c>
      <c r="AT446">
        <v>12.987689330290026</v>
      </c>
      <c r="AU446">
        <v>1.4687926964219145</v>
      </c>
      <c r="AV446"/>
      <c r="AW446"/>
      <c r="FY446" s="213">
        <v>441</v>
      </c>
      <c r="FZ446">
        <v>51.983137984199949</v>
      </c>
      <c r="GA446">
        <v>79.50680297426679</v>
      </c>
      <c r="GB446">
        <v>23.402320176169329</v>
      </c>
      <c r="GC446">
        <v>7.5336076814697126</v>
      </c>
      <c r="GD446">
        <v>7.3153808594647618</v>
      </c>
      <c r="GE446">
        <v>6.6485677119653621</v>
      </c>
      <c r="GF446">
        <v>18.977745910523641</v>
      </c>
      <c r="GG446">
        <v>18.065339225935297</v>
      </c>
      <c r="GH446">
        <v>8.0706877734127875</v>
      </c>
      <c r="GI446">
        <v>23.487559122974385</v>
      </c>
      <c r="GJ446"/>
      <c r="GK446"/>
      <c r="GL446"/>
      <c r="GM446"/>
      <c r="GN446" s="208"/>
      <c r="GO446" s="208"/>
      <c r="GP446" s="208"/>
      <c r="GQ446" s="208"/>
      <c r="GR446" s="208"/>
      <c r="GS446" s="208"/>
      <c r="GT446" s="208"/>
      <c r="GU446" s="213">
        <v>441</v>
      </c>
    </row>
    <row r="447" spans="1:203" s="7" customFormat="1">
      <c r="A447" s="4"/>
      <c r="B447" s="48" t="s">
        <v>119</v>
      </c>
      <c r="C447" s="107">
        <f t="shared" si="390"/>
        <v>18.532917110399598</v>
      </c>
      <c r="D447" s="191">
        <f>A$411</f>
        <v>1.28</v>
      </c>
      <c r="E447" s="8"/>
      <c r="F447" s="124"/>
      <c r="G447" s="173">
        <f t="shared" si="391"/>
        <v>8.474996931673287E-2</v>
      </c>
      <c r="H447" s="173">
        <f t="shared" ref="H447:V447" si="403">IF(H429&lt;=0, "0.000", H429)</f>
        <v>3.7883430986032778</v>
      </c>
      <c r="I447" s="173">
        <f t="shared" si="403"/>
        <v>10.581443512543109</v>
      </c>
      <c r="J447" s="173">
        <f t="shared" si="403"/>
        <v>4.078380529936477</v>
      </c>
      <c r="K447" s="173" t="str">
        <f t="shared" si="403"/>
        <v>0.000</v>
      </c>
      <c r="L447" s="173" t="str">
        <f t="shared" si="403"/>
        <v>0.000</v>
      </c>
      <c r="M447" s="173" t="str">
        <f t="shared" si="403"/>
        <v>0.000</v>
      </c>
      <c r="N447" s="173" t="str">
        <f t="shared" si="403"/>
        <v>0.000</v>
      </c>
      <c r="O447" s="173" t="str">
        <f t="shared" si="403"/>
        <v>0.000</v>
      </c>
      <c r="P447" s="173" t="str">
        <f t="shared" si="403"/>
        <v>0.000</v>
      </c>
      <c r="Q447" s="173" t="str">
        <f t="shared" si="403"/>
        <v>0.000</v>
      </c>
      <c r="R447" s="173" t="str">
        <f t="shared" si="403"/>
        <v>0.000</v>
      </c>
      <c r="S447" s="173" t="str">
        <f t="shared" si="403"/>
        <v>0.000</v>
      </c>
      <c r="T447" s="173" t="str">
        <f t="shared" si="403"/>
        <v>0.000</v>
      </c>
      <c r="U447" s="173" t="str">
        <f t="shared" si="403"/>
        <v>0.000</v>
      </c>
      <c r="V447" s="173" t="str">
        <f t="shared" si="403"/>
        <v>0.000</v>
      </c>
      <c r="W447" s="173" t="str">
        <f t="shared" ref="W447:AK447" si="404">IF(W429&lt;=0, "0.000", W429)</f>
        <v>0.000</v>
      </c>
      <c r="X447" s="173" t="str">
        <f t="shared" si="404"/>
        <v>0.000</v>
      </c>
      <c r="Y447" s="173" t="str">
        <f t="shared" si="404"/>
        <v>0.000</v>
      </c>
      <c r="Z447" s="173" t="str">
        <f t="shared" si="404"/>
        <v>0.000</v>
      </c>
      <c r="AA447" s="173" t="str">
        <f t="shared" si="404"/>
        <v>0.000</v>
      </c>
      <c r="AB447" s="173" t="str">
        <f t="shared" si="404"/>
        <v>0.000</v>
      </c>
      <c r="AC447" s="173" t="str">
        <f t="shared" si="404"/>
        <v>0.000</v>
      </c>
      <c r="AD447" s="173" t="str">
        <f t="shared" si="404"/>
        <v>0.000</v>
      </c>
      <c r="AE447" s="173" t="str">
        <f t="shared" si="404"/>
        <v>0.000</v>
      </c>
      <c r="AF447" s="173" t="str">
        <f t="shared" si="404"/>
        <v>0.000</v>
      </c>
      <c r="AG447" s="173" t="str">
        <f t="shared" si="404"/>
        <v>0.000</v>
      </c>
      <c r="AH447" s="173" t="str">
        <f t="shared" si="404"/>
        <v>0.000</v>
      </c>
      <c r="AI447" s="173" t="str">
        <f t="shared" si="404"/>
        <v>0.000</v>
      </c>
      <c r="AJ447" s="173" t="str">
        <f t="shared" si="404"/>
        <v>0.000</v>
      </c>
      <c r="AK447" s="173" t="str">
        <f t="shared" si="404"/>
        <v>0.000</v>
      </c>
      <c r="AL447" s="4"/>
      <c r="AM447" s="43">
        <v>431</v>
      </c>
      <c r="AN447">
        <v>272.68032179321557</v>
      </c>
      <c r="AO447">
        <v>21.861001135172508</v>
      </c>
      <c r="AP447">
        <v>77.86331373097731</v>
      </c>
      <c r="AQ447">
        <v>146.68801736755304</v>
      </c>
      <c r="AR447">
        <v>22.224424224236724</v>
      </c>
      <c r="AS447">
        <v>198.78319709245602</v>
      </c>
      <c r="AT447">
        <v>9.6234942317575385</v>
      </c>
      <c r="AU447">
        <v>6.7469798235453453</v>
      </c>
      <c r="AV447"/>
      <c r="AW447"/>
      <c r="FY447" s="213">
        <v>442</v>
      </c>
      <c r="FZ447">
        <v>65.295782582094816</v>
      </c>
      <c r="GA447">
        <v>90.267786106697798</v>
      </c>
      <c r="GB447">
        <v>20.283771334855007</v>
      </c>
      <c r="GC447">
        <v>5.0825732822093155</v>
      </c>
      <c r="GD447">
        <v>3.7379588936316486</v>
      </c>
      <c r="GE447">
        <v>2.1299748376249141</v>
      </c>
      <c r="GF447">
        <v>16.987404860298902</v>
      </c>
      <c r="GG447">
        <v>19.083007587811132</v>
      </c>
      <c r="GH447">
        <v>19.26639801864064</v>
      </c>
      <c r="GI447">
        <v>23.861729493562677</v>
      </c>
      <c r="GJ447"/>
      <c r="GK447"/>
      <c r="GL447"/>
      <c r="GM447"/>
      <c r="GN447" s="208"/>
      <c r="GO447" s="208"/>
      <c r="GP447" s="208"/>
      <c r="GQ447" s="208"/>
      <c r="GR447" s="208"/>
      <c r="GS447" s="208"/>
      <c r="GT447" s="208"/>
      <c r="GU447" s="213">
        <v>442</v>
      </c>
    </row>
    <row r="448" spans="1:203" s="7" customFormat="1">
      <c r="A448" s="4"/>
      <c r="B448" s="48" t="s">
        <v>120</v>
      </c>
      <c r="C448" s="107">
        <f t="shared" si="390"/>
        <v>14.008964172569712</v>
      </c>
      <c r="D448" s="191">
        <f>A$412</f>
        <v>4</v>
      </c>
      <c r="E448" s="8"/>
      <c r="F448" s="124"/>
      <c r="G448" s="173">
        <f t="shared" si="391"/>
        <v>5.1058779506511345E-2</v>
      </c>
      <c r="H448" s="173">
        <f t="shared" ref="H448:V448" si="405">IF(H430&lt;=0, "0.000", H430)</f>
        <v>1.0665307868295686</v>
      </c>
      <c r="I448" s="173">
        <f t="shared" si="405"/>
        <v>5.8426058490280361</v>
      </c>
      <c r="J448" s="173">
        <f t="shared" si="405"/>
        <v>6.8826373691108689</v>
      </c>
      <c r="K448" s="173">
        <f t="shared" si="405"/>
        <v>0.1661313880947253</v>
      </c>
      <c r="L448" s="173" t="str">
        <f t="shared" si="405"/>
        <v>0.000</v>
      </c>
      <c r="M448" s="173" t="str">
        <f t="shared" si="405"/>
        <v>0.000</v>
      </c>
      <c r="N448" s="173" t="str">
        <f t="shared" si="405"/>
        <v>0.000</v>
      </c>
      <c r="O448" s="173" t="str">
        <f t="shared" si="405"/>
        <v>0.000</v>
      </c>
      <c r="P448" s="173" t="str">
        <f t="shared" si="405"/>
        <v>0.000</v>
      </c>
      <c r="Q448" s="173" t="str">
        <f t="shared" si="405"/>
        <v>0.000</v>
      </c>
      <c r="R448" s="173" t="str">
        <f t="shared" si="405"/>
        <v>0.000</v>
      </c>
      <c r="S448" s="173" t="str">
        <f t="shared" si="405"/>
        <v>0.000</v>
      </c>
      <c r="T448" s="173" t="str">
        <f t="shared" si="405"/>
        <v>0.000</v>
      </c>
      <c r="U448" s="173" t="str">
        <f t="shared" si="405"/>
        <v>0.000</v>
      </c>
      <c r="V448" s="173" t="str">
        <f t="shared" si="405"/>
        <v>0.000</v>
      </c>
      <c r="W448" s="173" t="str">
        <f t="shared" ref="W448:AK448" si="406">IF(W430&lt;=0, "0.000", W430)</f>
        <v>0.000</v>
      </c>
      <c r="X448" s="173" t="str">
        <f t="shared" si="406"/>
        <v>0.000</v>
      </c>
      <c r="Y448" s="173" t="str">
        <f t="shared" si="406"/>
        <v>0.000</v>
      </c>
      <c r="Z448" s="173" t="str">
        <f t="shared" si="406"/>
        <v>0.000</v>
      </c>
      <c r="AA448" s="173" t="str">
        <f t="shared" si="406"/>
        <v>0.000</v>
      </c>
      <c r="AB448" s="173" t="str">
        <f t="shared" si="406"/>
        <v>0.000</v>
      </c>
      <c r="AC448" s="173" t="str">
        <f t="shared" si="406"/>
        <v>0.000</v>
      </c>
      <c r="AD448" s="173" t="str">
        <f t="shared" si="406"/>
        <v>0.000</v>
      </c>
      <c r="AE448" s="173" t="str">
        <f t="shared" si="406"/>
        <v>0.000</v>
      </c>
      <c r="AF448" s="173" t="str">
        <f t="shared" si="406"/>
        <v>0.000</v>
      </c>
      <c r="AG448" s="173" t="str">
        <f t="shared" si="406"/>
        <v>0.000</v>
      </c>
      <c r="AH448" s="173" t="str">
        <f t="shared" si="406"/>
        <v>0.000</v>
      </c>
      <c r="AI448" s="173" t="str">
        <f t="shared" si="406"/>
        <v>0.000</v>
      </c>
      <c r="AJ448" s="173" t="str">
        <f t="shared" si="406"/>
        <v>0.000</v>
      </c>
      <c r="AK448" s="173" t="str">
        <f t="shared" si="406"/>
        <v>0.000</v>
      </c>
      <c r="AL448" s="4"/>
      <c r="AM448" s="43">
        <v>432</v>
      </c>
      <c r="AN448">
        <v>291.92097591694039</v>
      </c>
      <c r="AO448">
        <v>23.505747852355178</v>
      </c>
      <c r="AP448">
        <v>102.90188981827565</v>
      </c>
      <c r="AQ448">
        <v>179.62830624975501</v>
      </c>
      <c r="AR448">
        <v>24.316461448200965</v>
      </c>
      <c r="AS448">
        <v>226.97436953186653</v>
      </c>
      <c r="AT448">
        <v>12.831019300825972</v>
      </c>
      <c r="AU448">
        <v>39.923179166662194</v>
      </c>
      <c r="AV448"/>
      <c r="AW448"/>
      <c r="FY448" s="213">
        <v>443</v>
      </c>
      <c r="FZ448">
        <v>54.669857945112028</v>
      </c>
      <c r="GA448">
        <v>48.239680427638419</v>
      </c>
      <c r="GB448">
        <v>16.687152811932165</v>
      </c>
      <c r="GC448">
        <v>6.6158386048795439</v>
      </c>
      <c r="GD448">
        <v>4.9163391626647588</v>
      </c>
      <c r="GE448">
        <v>3.7949083544767985</v>
      </c>
      <c r="GF448">
        <v>21.365064722141202</v>
      </c>
      <c r="GG448">
        <v>20.593831394282223</v>
      </c>
      <c r="GH448">
        <v>7.6913101028779645</v>
      </c>
      <c r="GI448">
        <v>20.588529060616889</v>
      </c>
      <c r="GJ448"/>
      <c r="GK448"/>
      <c r="GL448"/>
      <c r="GM448"/>
      <c r="GN448" s="208"/>
      <c r="GO448" s="208"/>
      <c r="GP448" s="208"/>
      <c r="GQ448" s="208"/>
      <c r="GR448" s="208"/>
      <c r="GS448" s="208"/>
      <c r="GT448" s="208"/>
      <c r="GU448" s="213">
        <v>443</v>
      </c>
    </row>
    <row r="449" spans="1:203" s="7" customFormat="1">
      <c r="A449" s="4"/>
      <c r="B449" s="48" t="s">
        <v>121</v>
      </c>
      <c r="C449" s="107">
        <f t="shared" si="390"/>
        <v>11.827064837747431</v>
      </c>
      <c r="D449" s="191">
        <f>A$413</f>
        <v>7.33</v>
      </c>
      <c r="E449" s="8"/>
      <c r="F449" s="124"/>
      <c r="G449" s="173" t="str">
        <f t="shared" si="391"/>
        <v>0.000</v>
      </c>
      <c r="H449" s="173">
        <f t="shared" ref="H449:V449" si="407">IF(H431&lt;=0, "0.000", H431)</f>
        <v>0.24100231424675472</v>
      </c>
      <c r="I449" s="173">
        <f t="shared" si="407"/>
        <v>1.739280925232179</v>
      </c>
      <c r="J449" s="173">
        <f t="shared" si="407"/>
        <v>4.597411042996721</v>
      </c>
      <c r="K449" s="173">
        <f t="shared" si="407"/>
        <v>0.22120402653161619</v>
      </c>
      <c r="L449" s="173">
        <f t="shared" si="407"/>
        <v>1.5566805981183525</v>
      </c>
      <c r="M449" s="173">
        <f t="shared" si="407"/>
        <v>1.2115724764685378</v>
      </c>
      <c r="N449" s="173" t="str">
        <f t="shared" si="407"/>
        <v>0.000</v>
      </c>
      <c r="O449" s="173">
        <f t="shared" si="407"/>
        <v>2.2599134541532693</v>
      </c>
      <c r="P449" s="173" t="str">
        <f t="shared" si="407"/>
        <v>0.000</v>
      </c>
      <c r="Q449" s="173" t="str">
        <f t="shared" si="407"/>
        <v>0.000</v>
      </c>
      <c r="R449" s="173" t="str">
        <f t="shared" si="407"/>
        <v>0.000</v>
      </c>
      <c r="S449" s="173" t="str">
        <f t="shared" si="407"/>
        <v>0.000</v>
      </c>
      <c r="T449" s="173" t="str">
        <f t="shared" si="407"/>
        <v>0.000</v>
      </c>
      <c r="U449" s="173" t="str">
        <f t="shared" si="407"/>
        <v>0.000</v>
      </c>
      <c r="V449" s="173" t="str">
        <f t="shared" si="407"/>
        <v>0.000</v>
      </c>
      <c r="W449" s="173" t="str">
        <f t="shared" ref="W449:AK449" si="408">IF(W431&lt;=0, "0.000", W431)</f>
        <v>0.000</v>
      </c>
      <c r="X449" s="173" t="str">
        <f t="shared" si="408"/>
        <v>0.000</v>
      </c>
      <c r="Y449" s="173" t="str">
        <f t="shared" si="408"/>
        <v>0.000</v>
      </c>
      <c r="Z449" s="173" t="str">
        <f t="shared" si="408"/>
        <v>0.000</v>
      </c>
      <c r="AA449" s="173" t="str">
        <f t="shared" si="408"/>
        <v>0.000</v>
      </c>
      <c r="AB449" s="173" t="str">
        <f t="shared" si="408"/>
        <v>0.000</v>
      </c>
      <c r="AC449" s="173" t="str">
        <f t="shared" si="408"/>
        <v>0.000</v>
      </c>
      <c r="AD449" s="173" t="str">
        <f t="shared" si="408"/>
        <v>0.000</v>
      </c>
      <c r="AE449" s="173" t="str">
        <f t="shared" si="408"/>
        <v>0.000</v>
      </c>
      <c r="AF449" s="173" t="str">
        <f t="shared" si="408"/>
        <v>0.000</v>
      </c>
      <c r="AG449" s="173" t="str">
        <f t="shared" si="408"/>
        <v>0.000</v>
      </c>
      <c r="AH449" s="173" t="str">
        <f t="shared" si="408"/>
        <v>0.000</v>
      </c>
      <c r="AI449" s="173" t="str">
        <f t="shared" si="408"/>
        <v>0.000</v>
      </c>
      <c r="AJ449" s="173" t="str">
        <f t="shared" si="408"/>
        <v>0.000</v>
      </c>
      <c r="AK449" s="173" t="str">
        <f t="shared" si="408"/>
        <v>0.000</v>
      </c>
      <c r="AL449" s="4"/>
      <c r="AM449" s="43">
        <v>433</v>
      </c>
      <c r="AN449">
        <v>309.90462818536309</v>
      </c>
      <c r="AO449">
        <v>21.525949866601994</v>
      </c>
      <c r="AP449">
        <v>68.746248955032186</v>
      </c>
      <c r="AQ449">
        <v>148.41046527804866</v>
      </c>
      <c r="AR449">
        <v>22.945563515016243</v>
      </c>
      <c r="AS449">
        <v>229.42205322075887</v>
      </c>
      <c r="AT449">
        <v>10.61515475495524</v>
      </c>
      <c r="AU449">
        <v>26.186791735201279</v>
      </c>
      <c r="AV449"/>
      <c r="AW449"/>
      <c r="FY449" s="213">
        <v>444</v>
      </c>
      <c r="FZ449">
        <v>57.971292677198548</v>
      </c>
      <c r="GA449">
        <v>47.527554339608791</v>
      </c>
      <c r="GB449">
        <v>8.6104372320326981</v>
      </c>
      <c r="GC449">
        <v>4.1947609574725293</v>
      </c>
      <c r="GD449">
        <v>5.6720390566207755</v>
      </c>
      <c r="GE449">
        <v>7.708523296453726</v>
      </c>
      <c r="GF449">
        <v>8.9363550677037651</v>
      </c>
      <c r="GG449">
        <v>10.653624806976394</v>
      </c>
      <c r="GH449">
        <v>11.797920163627062</v>
      </c>
      <c r="GI449">
        <v>17.604788072645349</v>
      </c>
      <c r="GJ449"/>
      <c r="GK449"/>
      <c r="GL449"/>
      <c r="GM449"/>
      <c r="GN449" s="208"/>
      <c r="GO449" s="208"/>
      <c r="GP449" s="208"/>
      <c r="GQ449" s="208"/>
      <c r="GR449" s="208"/>
      <c r="GS449" s="208"/>
      <c r="GT449" s="208"/>
      <c r="GU449" s="213">
        <v>444</v>
      </c>
    </row>
    <row r="450" spans="1:203" s="7" customFormat="1">
      <c r="A450" s="13" t="s">
        <v>12</v>
      </c>
      <c r="B450" s="48" t="s">
        <v>122</v>
      </c>
      <c r="C450" s="107">
        <f t="shared" si="390"/>
        <v>17.30728442204029</v>
      </c>
      <c r="D450" s="191">
        <f>A$414</f>
        <v>10.51</v>
      </c>
      <c r="E450" s="8"/>
      <c r="F450" s="124"/>
      <c r="G450" s="173">
        <f t="shared" si="391"/>
        <v>2.6607999573544077E-2</v>
      </c>
      <c r="H450" s="173">
        <f t="shared" ref="H450:V450" si="409">IF(H432&lt;=0, "0.000", H432)</f>
        <v>1.6335160519011647</v>
      </c>
      <c r="I450" s="173">
        <f t="shared" si="409"/>
        <v>5.4604712150728227</v>
      </c>
      <c r="J450" s="173">
        <f t="shared" si="409"/>
        <v>2.7710982988556223</v>
      </c>
      <c r="K450" s="173">
        <f t="shared" si="409"/>
        <v>0.77216891115478192</v>
      </c>
      <c r="L450" s="173">
        <f t="shared" si="409"/>
        <v>1.7398038221780341</v>
      </c>
      <c r="M450" s="173">
        <f t="shared" si="409"/>
        <v>0.9762452155283684</v>
      </c>
      <c r="N450" s="173">
        <f t="shared" si="409"/>
        <v>1.1236133073992882</v>
      </c>
      <c r="O450" s="173">
        <f t="shared" si="409"/>
        <v>0.94093078572351041</v>
      </c>
      <c r="P450" s="173">
        <f t="shared" si="409"/>
        <v>0.71043884710458527</v>
      </c>
      <c r="Q450" s="173">
        <f t="shared" si="409"/>
        <v>0.84134674667034604</v>
      </c>
      <c r="R450" s="173">
        <f t="shared" si="409"/>
        <v>0.31104322087821734</v>
      </c>
      <c r="S450" s="173" t="str">
        <f t="shared" si="409"/>
        <v>0.000</v>
      </c>
      <c r="T450" s="173" t="str">
        <f t="shared" si="409"/>
        <v>0.000</v>
      </c>
      <c r="U450" s="173" t="str">
        <f t="shared" si="409"/>
        <v>0.000</v>
      </c>
      <c r="V450" s="173" t="str">
        <f t="shared" si="409"/>
        <v>0.000</v>
      </c>
      <c r="W450" s="173" t="str">
        <f t="shared" ref="W450:AK450" si="410">IF(W432&lt;=0, "0.000", W432)</f>
        <v>0.000</v>
      </c>
      <c r="X450" s="173" t="str">
        <f t="shared" si="410"/>
        <v>0.000</v>
      </c>
      <c r="Y450" s="173" t="str">
        <f t="shared" si="410"/>
        <v>0.000</v>
      </c>
      <c r="Z450" s="173" t="str">
        <f t="shared" si="410"/>
        <v>0.000</v>
      </c>
      <c r="AA450" s="173" t="str">
        <f t="shared" si="410"/>
        <v>0.000</v>
      </c>
      <c r="AB450" s="173" t="str">
        <f t="shared" si="410"/>
        <v>0.000</v>
      </c>
      <c r="AC450" s="173" t="str">
        <f t="shared" si="410"/>
        <v>0.000</v>
      </c>
      <c r="AD450" s="173" t="str">
        <f t="shared" si="410"/>
        <v>0.000</v>
      </c>
      <c r="AE450" s="173" t="str">
        <f t="shared" si="410"/>
        <v>0.000</v>
      </c>
      <c r="AF450" s="173" t="str">
        <f t="shared" si="410"/>
        <v>0.000</v>
      </c>
      <c r="AG450" s="173" t="str">
        <f t="shared" si="410"/>
        <v>0.000</v>
      </c>
      <c r="AH450" s="173" t="str">
        <f t="shared" si="410"/>
        <v>0.000</v>
      </c>
      <c r="AI450" s="173" t="str">
        <f t="shared" si="410"/>
        <v>0.000</v>
      </c>
      <c r="AJ450" s="173" t="str">
        <f t="shared" si="410"/>
        <v>0.000</v>
      </c>
      <c r="AK450" s="173" t="str">
        <f t="shared" si="410"/>
        <v>0.000</v>
      </c>
      <c r="AL450" s="4"/>
      <c r="AM450" s="43">
        <v>434</v>
      </c>
      <c r="AN450">
        <v>309.46437729330694</v>
      </c>
      <c r="AO450">
        <v>31.460278461086908</v>
      </c>
      <c r="AP450">
        <v>118.42100189693645</v>
      </c>
      <c r="AQ450">
        <v>230.50664252963114</v>
      </c>
      <c r="AR450">
        <v>32.108746722185543</v>
      </c>
      <c r="AS450">
        <v>265.77402589007318</v>
      </c>
      <c r="AT450">
        <v>14.168709991960357</v>
      </c>
      <c r="AU450">
        <v>21.930350158724643</v>
      </c>
      <c r="AV450"/>
      <c r="AW450"/>
      <c r="FY450" s="213">
        <v>445</v>
      </c>
      <c r="FZ450">
        <v>37.102755758037063</v>
      </c>
      <c r="GA450">
        <v>46.678949191083014</v>
      </c>
      <c r="GB450">
        <v>17.80610939089572</v>
      </c>
      <c r="GC450">
        <v>5.5966209080859581</v>
      </c>
      <c r="GD450">
        <v>4.0279337617112683</v>
      </c>
      <c r="GE450">
        <v>5.3485541958028113</v>
      </c>
      <c r="GF450">
        <v>14.911643398194053</v>
      </c>
      <c r="GG450">
        <v>12.609846189890341</v>
      </c>
      <c r="GH450">
        <v>15.87052852617833</v>
      </c>
      <c r="GI450">
        <v>18.122338030924901</v>
      </c>
      <c r="GJ450"/>
      <c r="GK450"/>
      <c r="GL450"/>
      <c r="GM450"/>
      <c r="GN450" s="208"/>
      <c r="GO450" s="208"/>
      <c r="GP450" s="208"/>
      <c r="GQ450" s="208"/>
      <c r="GR450" s="208"/>
      <c r="GS450" s="208"/>
      <c r="GT450" s="208"/>
      <c r="GU450" s="213">
        <v>445</v>
      </c>
    </row>
    <row r="451" spans="1:203" s="7" customFormat="1">
      <c r="A451" s="135"/>
      <c r="B451" s="48"/>
      <c r="C451" s="107"/>
      <c r="D451" s="19"/>
      <c r="E451" s="8"/>
      <c r="F451" s="124"/>
      <c r="G451" s="173"/>
      <c r="H451" s="173"/>
      <c r="I451" s="173"/>
      <c r="J451" s="173"/>
      <c r="K451" s="173"/>
      <c r="L451" s="173"/>
      <c r="M451" s="173"/>
      <c r="N451" s="173"/>
      <c r="O451" s="173"/>
      <c r="P451" s="173"/>
      <c r="Q451" s="173"/>
      <c r="R451" s="173"/>
      <c r="S451" s="173"/>
      <c r="T451" s="173"/>
      <c r="U451" s="173"/>
      <c r="V451" s="173"/>
      <c r="W451" s="173"/>
      <c r="X451" s="173"/>
      <c r="Y451" s="173"/>
      <c r="Z451" s="173"/>
      <c r="AA451" s="173"/>
      <c r="AB451" s="173"/>
      <c r="AC451" s="173"/>
      <c r="AD451" s="173"/>
      <c r="AE451" s="173"/>
      <c r="AF451" s="173"/>
      <c r="AG451" s="173"/>
      <c r="AH451" s="173"/>
      <c r="AI451" s="173"/>
      <c r="AJ451" s="173"/>
      <c r="AK451" s="173"/>
      <c r="AL451" s="4"/>
      <c r="AM451" s="43">
        <v>435</v>
      </c>
      <c r="AN451">
        <v>286.05775834987799</v>
      </c>
      <c r="AO451">
        <v>24.595058300161813</v>
      </c>
      <c r="AP451">
        <v>115.15339762788551</v>
      </c>
      <c r="AQ451">
        <v>187.14418723033293</v>
      </c>
      <c r="AR451">
        <v>24.786103109545113</v>
      </c>
      <c r="AS451">
        <v>211.00243700139268</v>
      </c>
      <c r="AT451">
        <v>11.437158778808262</v>
      </c>
      <c r="AU451">
        <v>-6.7958264278928127</v>
      </c>
      <c r="AV451"/>
      <c r="AW451"/>
      <c r="FY451" s="213">
        <v>446</v>
      </c>
      <c r="FZ451">
        <v>62.127114436309263</v>
      </c>
      <c r="GA451">
        <v>60.13017454248844</v>
      </c>
      <c r="GB451">
        <v>7.8895063232065361</v>
      </c>
      <c r="GC451">
        <v>4.8053034661228349</v>
      </c>
      <c r="GD451">
        <v>3.6442196354296676</v>
      </c>
      <c r="GE451">
        <v>2.8721482101138447</v>
      </c>
      <c r="GF451">
        <v>15.304143119870673</v>
      </c>
      <c r="GG451">
        <v>15.185361915468354</v>
      </c>
      <c r="GH451">
        <v>15.355641230180705</v>
      </c>
      <c r="GI451">
        <v>18.630941939295958</v>
      </c>
      <c r="GJ451"/>
      <c r="GK451"/>
      <c r="GL451"/>
      <c r="GM451"/>
      <c r="GN451" s="208"/>
      <c r="GO451" s="208"/>
      <c r="GP451" s="208"/>
      <c r="GQ451" s="208"/>
      <c r="GR451" s="208"/>
      <c r="GS451" s="208"/>
      <c r="GT451" s="208"/>
      <c r="GU451" s="213">
        <v>446</v>
      </c>
    </row>
    <row r="452" spans="1:203" s="7" customFormat="1">
      <c r="A452" s="13" t="s">
        <v>47</v>
      </c>
      <c r="B452" s="48"/>
      <c r="C452" s="107"/>
      <c r="D452" s="18"/>
      <c r="E452" s="8"/>
      <c r="F452" s="124"/>
      <c r="G452" s="173"/>
      <c r="H452" s="173"/>
      <c r="I452" s="173"/>
      <c r="J452" s="173"/>
      <c r="K452" s="173"/>
      <c r="L452" s="173"/>
      <c r="M452" s="173"/>
      <c r="N452" s="173"/>
      <c r="O452" s="173"/>
      <c r="P452" s="173"/>
      <c r="Q452" s="173"/>
      <c r="R452" s="173"/>
      <c r="S452" s="173"/>
      <c r="T452" s="173"/>
      <c r="U452" s="173"/>
      <c r="V452" s="173"/>
      <c r="W452" s="173"/>
      <c r="X452" s="173"/>
      <c r="Y452" s="173"/>
      <c r="Z452" s="173"/>
      <c r="AA452" s="173"/>
      <c r="AB452" s="173"/>
      <c r="AC452" s="173"/>
      <c r="AD452" s="173"/>
      <c r="AE452" s="173"/>
      <c r="AF452" s="173"/>
      <c r="AG452" s="173"/>
      <c r="AH452" s="173"/>
      <c r="AI452" s="173"/>
      <c r="AJ452" s="173"/>
      <c r="AK452" s="173"/>
      <c r="AL452" s="4"/>
      <c r="AM452" s="43">
        <v>436</v>
      </c>
      <c r="AN452">
        <v>282.08606191275823</v>
      </c>
      <c r="AO452">
        <v>23.641916408482313</v>
      </c>
      <c r="AP452">
        <v>113.05382573259615</v>
      </c>
      <c r="AQ452">
        <v>167.41599478677387</v>
      </c>
      <c r="AR452">
        <v>23.766478421117007</v>
      </c>
      <c r="AS452">
        <v>212.34941530838316</v>
      </c>
      <c r="AT452">
        <v>10.520339928914883</v>
      </c>
      <c r="AU452">
        <v>7.1275676212602157</v>
      </c>
      <c r="AV452"/>
      <c r="AW452"/>
      <c r="FY452" s="213">
        <v>447</v>
      </c>
      <c r="FZ452">
        <v>79.944203842354256</v>
      </c>
      <c r="GA452">
        <v>77.608987535438558</v>
      </c>
      <c r="GB452">
        <v>12.279780999419584</v>
      </c>
      <c r="GC452">
        <v>7.450067392540797</v>
      </c>
      <c r="GD452">
        <v>6.5827910768982854</v>
      </c>
      <c r="GE452">
        <v>7.8793924889446139</v>
      </c>
      <c r="GF452">
        <v>28.879365990569369</v>
      </c>
      <c r="GG452">
        <v>23.315024539168729</v>
      </c>
      <c r="GH452">
        <v>17.18779677049222</v>
      </c>
      <c r="GI452">
        <v>26.946618931278028</v>
      </c>
      <c r="GJ452"/>
      <c r="GK452"/>
      <c r="GL452"/>
      <c r="GM452"/>
      <c r="GN452" s="208"/>
      <c r="GO452" s="208"/>
      <c r="GP452" s="208"/>
      <c r="GQ452" s="208"/>
      <c r="GR452" s="208"/>
      <c r="GS452" s="208"/>
      <c r="GT452" s="208"/>
      <c r="GU452" s="213">
        <v>447</v>
      </c>
    </row>
    <row r="453" spans="1:203" s="7" customFormat="1">
      <c r="A453" s="1">
        <v>1.07207E-2</v>
      </c>
      <c r="B453" s="52" t="s">
        <v>53</v>
      </c>
      <c r="C453" s="53">
        <f>SUM(C441:C452)</f>
        <v>160.09787074944191</v>
      </c>
      <c r="D453" s="13"/>
      <c r="E453" s="13"/>
      <c r="F453" s="96"/>
      <c r="G453" s="13"/>
      <c r="H453" s="13"/>
      <c r="I453" s="14"/>
      <c r="J453" s="13"/>
      <c r="K453" s="21"/>
      <c r="L453" s="13"/>
      <c r="M453" s="14"/>
      <c r="N453" s="13"/>
      <c r="O453" s="13"/>
      <c r="P453" s="13"/>
      <c r="Q453" s="14"/>
      <c r="R453" s="14"/>
      <c r="S453" s="14"/>
      <c r="T453" s="14"/>
      <c r="U453" s="14"/>
      <c r="V453" s="13"/>
      <c r="W453" s="13"/>
      <c r="X453" s="13"/>
      <c r="Y453" s="13"/>
      <c r="Z453" s="13"/>
      <c r="AA453" s="13"/>
      <c r="AB453" s="13"/>
      <c r="AC453" s="13"/>
      <c r="AD453" s="13"/>
      <c r="AE453" s="13"/>
      <c r="AF453" s="13"/>
      <c r="AG453" s="94"/>
      <c r="AH453" s="94"/>
      <c r="AI453" s="94"/>
      <c r="AJ453" s="94"/>
      <c r="AK453" s="94"/>
      <c r="AL453" s="4"/>
      <c r="AM453" s="43">
        <v>437</v>
      </c>
      <c r="AN453">
        <v>339.63192528951146</v>
      </c>
      <c r="AO453">
        <v>33.093812670591703</v>
      </c>
      <c r="AP453">
        <v>98.002282462550681</v>
      </c>
      <c r="AQ453">
        <v>242.16868408291958</v>
      </c>
      <c r="AR453">
        <v>33.219459934870493</v>
      </c>
      <c r="AS453">
        <v>284.000808758375</v>
      </c>
      <c r="AT453">
        <v>15.187929400666128</v>
      </c>
      <c r="AU453">
        <v>-8.8139842574872205</v>
      </c>
      <c r="AV453"/>
      <c r="AW453"/>
      <c r="FY453" s="213">
        <v>448</v>
      </c>
      <c r="FZ453">
        <v>47.503166724147881</v>
      </c>
      <c r="GA453">
        <v>43.916247482532732</v>
      </c>
      <c r="GB453">
        <v>4.163135846439908</v>
      </c>
      <c r="GC453">
        <v>4.2726530712645587</v>
      </c>
      <c r="GD453">
        <v>3.234758622391392</v>
      </c>
      <c r="GE453">
        <v>5.1698685172636685</v>
      </c>
      <c r="GF453">
        <v>13.36521575830386</v>
      </c>
      <c r="GG453">
        <v>9.9468764336967297</v>
      </c>
      <c r="GH453">
        <v>14.226606784713159</v>
      </c>
      <c r="GI453">
        <v>14.586180766309736</v>
      </c>
      <c r="GJ453"/>
      <c r="GK453"/>
      <c r="GL453"/>
      <c r="GM453"/>
      <c r="GN453" s="208"/>
      <c r="GO453" s="208"/>
      <c r="GP453" s="208"/>
      <c r="GQ453" s="208"/>
      <c r="GR453" s="208"/>
      <c r="GS453" s="208"/>
      <c r="GT453" s="208"/>
      <c r="GU453" s="213">
        <v>448</v>
      </c>
    </row>
    <row r="454" spans="1:203" s="7" customFormat="1">
      <c r="A454" s="13" t="s">
        <v>48</v>
      </c>
      <c r="B454" s="4"/>
      <c r="C454" s="83"/>
      <c r="F454" s="28"/>
      <c r="G454" s="28"/>
      <c r="H454" s="83"/>
      <c r="I454" s="4"/>
      <c r="J454" s="98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3">
        <v>438</v>
      </c>
      <c r="AN454">
        <v>318.67778301113066</v>
      </c>
      <c r="AO454">
        <v>30.68306529990333</v>
      </c>
      <c r="AP454">
        <v>106.70053122265367</v>
      </c>
      <c r="AQ454">
        <v>224.76276014246434</v>
      </c>
      <c r="AR454">
        <v>31.613550032272443</v>
      </c>
      <c r="AS454">
        <v>266.59515704572448</v>
      </c>
      <c r="AT454">
        <v>14.025560444605263</v>
      </c>
      <c r="AU454">
        <v>7.4716215201829428</v>
      </c>
      <c r="AV454"/>
      <c r="AW454"/>
      <c r="FY454" s="213">
        <v>449</v>
      </c>
      <c r="FZ454">
        <v>45.478741373614881</v>
      </c>
      <c r="GA454">
        <v>44.395010136983778</v>
      </c>
      <c r="GB454">
        <v>7.9027484418347047</v>
      </c>
      <c r="GC454">
        <v>7.3006777719642866</v>
      </c>
      <c r="GD454">
        <v>5.1841404348112281</v>
      </c>
      <c r="GE454">
        <v>3.0205144038951137</v>
      </c>
      <c r="GF454">
        <v>20.670447730830233</v>
      </c>
      <c r="GG454">
        <v>17.891784420398988</v>
      </c>
      <c r="GH454">
        <v>13.425033120234191</v>
      </c>
      <c r="GI454">
        <v>17.681073580512319</v>
      </c>
      <c r="GJ454"/>
      <c r="GK454"/>
      <c r="GL454"/>
      <c r="GM454"/>
      <c r="GN454" s="208"/>
      <c r="GO454" s="208"/>
      <c r="GP454" s="208"/>
      <c r="GQ454" s="208"/>
      <c r="GR454" s="208"/>
      <c r="GS454" s="208"/>
      <c r="GT454" s="208"/>
      <c r="GU454" s="213">
        <v>449</v>
      </c>
    </row>
    <row r="455" spans="1:203" s="7" customFormat="1" ht="15.75">
      <c r="A455" s="1">
        <v>-1.8893E-3</v>
      </c>
      <c r="B455" s="4"/>
      <c r="C455" s="125" t="s">
        <v>137</v>
      </c>
      <c r="D455" s="126"/>
      <c r="E455" s="81"/>
      <c r="F455" s="81"/>
      <c r="G455" s="81"/>
      <c r="H455" s="81"/>
      <c r="I455" s="81"/>
      <c r="J455" s="81"/>
      <c r="K455" s="98"/>
      <c r="L455" s="4"/>
      <c r="M455" s="4"/>
      <c r="N455" s="4"/>
      <c r="O455" s="219"/>
      <c r="P455" s="219"/>
      <c r="Q455" s="219"/>
      <c r="R455" s="219"/>
      <c r="S455" s="201"/>
      <c r="T455" s="201"/>
      <c r="U455" s="201"/>
      <c r="V455" s="201"/>
      <c r="W455" s="202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3">
        <v>439</v>
      </c>
      <c r="AN455">
        <v>304.57564970066187</v>
      </c>
      <c r="AO455">
        <v>28.009549847055702</v>
      </c>
      <c r="AP455">
        <v>57.682025636763079</v>
      </c>
      <c r="AQ455">
        <v>204.47370781443516</v>
      </c>
      <c r="AR455">
        <v>28.459913463731116</v>
      </c>
      <c r="AS455">
        <v>241.82843819038919</v>
      </c>
      <c r="AT455">
        <v>13.605598274841386</v>
      </c>
      <c r="AU455">
        <v>9.3544155558497302</v>
      </c>
      <c r="AV455"/>
      <c r="AW455"/>
      <c r="FY455" s="213">
        <v>450</v>
      </c>
      <c r="FZ455">
        <v>31.462600038990246</v>
      </c>
      <c r="GA455">
        <v>27.337968631184506</v>
      </c>
      <c r="GB455">
        <v>2.9839229824458475</v>
      </c>
      <c r="GC455">
        <v>4.8499510163160791</v>
      </c>
      <c r="GD455">
        <v>4.2445953985780491</v>
      </c>
      <c r="GE455">
        <v>3.2674669960734422</v>
      </c>
      <c r="GF455">
        <v>15.217241406454919</v>
      </c>
      <c r="GG455">
        <v>15.177967619654515</v>
      </c>
      <c r="GH455">
        <v>12.109177689250082</v>
      </c>
      <c r="GI455">
        <v>12.506093484007224</v>
      </c>
      <c r="GJ455"/>
      <c r="GK455"/>
      <c r="GL455"/>
      <c r="GM455"/>
      <c r="GN455" s="208"/>
      <c r="GO455" s="208"/>
      <c r="GP455" s="208"/>
      <c r="GQ455" s="208"/>
      <c r="GR455" s="208"/>
      <c r="GS455" s="208"/>
      <c r="GT455" s="208"/>
      <c r="GU455" s="213">
        <v>450</v>
      </c>
    </row>
    <row r="456" spans="1:203" s="7" customFormat="1">
      <c r="A456" s="13" t="s">
        <v>116</v>
      </c>
      <c r="B456" s="4"/>
      <c r="C456" s="99" t="s">
        <v>79</v>
      </c>
      <c r="D456" s="99" t="s">
        <v>23</v>
      </c>
      <c r="E456" s="99" t="s">
        <v>80</v>
      </c>
      <c r="F456" s="99" t="s">
        <v>81</v>
      </c>
      <c r="G456" s="99" t="s">
        <v>82</v>
      </c>
      <c r="H456" s="99" t="s">
        <v>96</v>
      </c>
      <c r="I456" s="99" t="s">
        <v>134</v>
      </c>
      <c r="J456" s="99" t="s">
        <v>135</v>
      </c>
      <c r="K456" s="203" t="s">
        <v>136</v>
      </c>
      <c r="L456" s="206"/>
      <c r="M456" s="206"/>
      <c r="N456" s="206"/>
      <c r="O456" s="206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3">
        <v>440</v>
      </c>
      <c r="AN456">
        <v>322.02187479284942</v>
      </c>
      <c r="AO456">
        <v>33.807802655701572</v>
      </c>
      <c r="AP456">
        <v>73.021585376045593</v>
      </c>
      <c r="AQ456">
        <v>263.44104964951492</v>
      </c>
      <c r="AR456">
        <v>34.894037136873791</v>
      </c>
      <c r="AS456">
        <v>287.27780145625741</v>
      </c>
      <c r="AT456">
        <v>16.663788892693184</v>
      </c>
      <c r="AU456">
        <v>-0.91651067390203877</v>
      </c>
      <c r="AV456"/>
      <c r="AW456"/>
      <c r="FY456" s="213">
        <v>451</v>
      </c>
      <c r="FZ456">
        <v>23.359394694934</v>
      </c>
      <c r="GA456">
        <v>40.689806189438237</v>
      </c>
      <c r="GB456">
        <v>16.28010861638306</v>
      </c>
      <c r="GC456">
        <v>6.7511963469911844</v>
      </c>
      <c r="GD456">
        <v>5.5545729235765613</v>
      </c>
      <c r="GE456">
        <v>3.7584163092173561</v>
      </c>
      <c r="GF456">
        <v>7.9284911586008047</v>
      </c>
      <c r="GG456">
        <v>10.752779229048331</v>
      </c>
      <c r="GH456">
        <v>21.586075605400602</v>
      </c>
      <c r="GI456">
        <v>16.278275170499239</v>
      </c>
      <c r="GJ456"/>
      <c r="GK456"/>
      <c r="GL456"/>
      <c r="GM456"/>
      <c r="GN456" s="208"/>
      <c r="GO456" s="208"/>
      <c r="GP456" s="208"/>
      <c r="GQ456" s="208"/>
      <c r="GR456" s="208"/>
      <c r="GS456" s="208"/>
      <c r="GT456" s="208"/>
      <c r="GU456" s="213">
        <v>451</v>
      </c>
    </row>
    <row r="457" spans="1:203" s="7" customFormat="1">
      <c r="A457" s="1">
        <v>1.9354999999999999E-3</v>
      </c>
      <c r="B457" s="4"/>
      <c r="C457" s="100">
        <v>0.5</v>
      </c>
      <c r="D457" s="101">
        <f>SUM($E$228:$E$347)/$A$438</f>
        <v>19.659705261957278</v>
      </c>
      <c r="E457" s="97">
        <f>+G36</f>
        <v>1.8156463984709309E-3</v>
      </c>
      <c r="F457" s="102">
        <f>+D457-D459</f>
        <v>-170.49099335549656</v>
      </c>
      <c r="G457" s="101">
        <f>+D457*E457</f>
        <v>3.569507305387274E-2</v>
      </c>
      <c r="H457" s="101"/>
      <c r="I457" s="101"/>
      <c r="J457" s="101"/>
      <c r="K457" s="101"/>
      <c r="L457" s="206"/>
      <c r="M457" s="206"/>
      <c r="N457" s="206"/>
      <c r="O457" s="206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3">
        <v>441</v>
      </c>
      <c r="AN457">
        <v>359.70029006995969</v>
      </c>
      <c r="AO457">
        <v>35.738666760409416</v>
      </c>
      <c r="AP457">
        <v>77.669925610398977</v>
      </c>
      <c r="AQ457">
        <v>244.99114942038204</v>
      </c>
      <c r="AR457">
        <v>35.64596684838871</v>
      </c>
      <c r="AS457">
        <v>318.63928337758995</v>
      </c>
      <c r="AT457">
        <v>14.422720654727444</v>
      </c>
      <c r="AU457">
        <v>19.433249102084559</v>
      </c>
      <c r="AV457"/>
      <c r="AW457"/>
      <c r="FY457" s="213">
        <v>452</v>
      </c>
      <c r="FZ457">
        <v>65.492738172757541</v>
      </c>
      <c r="GA457">
        <v>56.785251624935349</v>
      </c>
      <c r="GB457">
        <v>11.78944201114656</v>
      </c>
      <c r="GC457">
        <v>4.8478060052349621</v>
      </c>
      <c r="GD457">
        <v>4.5977689342670036</v>
      </c>
      <c r="GE457">
        <v>4.5939699382032186</v>
      </c>
      <c r="GF457">
        <v>12.547259621725852</v>
      </c>
      <c r="GG457">
        <v>13.891380577293436</v>
      </c>
      <c r="GH457">
        <v>12.562227691520556</v>
      </c>
      <c r="GI457">
        <v>19.857136817697032</v>
      </c>
      <c r="GJ457"/>
      <c r="GK457"/>
      <c r="GL457"/>
      <c r="GM457"/>
      <c r="GN457" s="208"/>
      <c r="GO457" s="208"/>
      <c r="GP457" s="208"/>
      <c r="GQ457" s="208"/>
      <c r="GR457" s="208"/>
      <c r="GS457" s="208"/>
      <c r="GT457" s="208"/>
      <c r="GU457" s="213">
        <v>452</v>
      </c>
    </row>
    <row r="458" spans="1:203" s="7" customFormat="1">
      <c r="A458" s="4"/>
      <c r="B458" s="4"/>
      <c r="C458" s="63"/>
      <c r="D458" s="101"/>
      <c r="E458" s="63"/>
      <c r="F458" s="63"/>
      <c r="G458" s="101"/>
      <c r="H458" s="101">
        <f>+SQRT(E457*E459)</f>
        <v>4.5756708048861911E-3</v>
      </c>
      <c r="I458" s="101">
        <f>+H458*F457</f>
        <v>-0.78011066079279123</v>
      </c>
      <c r="J458" s="101">
        <f>+I458*$A$440</f>
        <v>-8.5812172687207031</v>
      </c>
      <c r="K458" s="61">
        <f>IF(J458&lt;0,0,J458)</f>
        <v>0</v>
      </c>
      <c r="L458" s="206"/>
      <c r="M458" s="206"/>
      <c r="N458" s="206"/>
      <c r="O458" s="206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3">
        <v>442</v>
      </c>
      <c r="AN458">
        <v>313.86155459346526</v>
      </c>
      <c r="AO458">
        <v>35.135119072297073</v>
      </c>
      <c r="AP458">
        <v>65.485396341813711</v>
      </c>
      <c r="AQ458">
        <v>265.99638699742684</v>
      </c>
      <c r="AR458">
        <v>35.81438030513506</v>
      </c>
      <c r="AS458">
        <v>299.75963508515861</v>
      </c>
      <c r="AT458">
        <v>14.781552662230403</v>
      </c>
      <c r="AU458">
        <v>-31.829899177430569</v>
      </c>
      <c r="AV458"/>
      <c r="AW458"/>
      <c r="FY458" s="213">
        <v>453</v>
      </c>
      <c r="FZ458">
        <v>41.127387243808073</v>
      </c>
      <c r="GA458">
        <v>56.73190755286943</v>
      </c>
      <c r="GB458">
        <v>13.473593119743015</v>
      </c>
      <c r="GC458">
        <v>5.5942685993848471</v>
      </c>
      <c r="GD458">
        <v>5.4613995130398756</v>
      </c>
      <c r="GE458">
        <v>8.0982506600209412</v>
      </c>
      <c r="GF458">
        <v>13.047613271625307</v>
      </c>
      <c r="GG458">
        <v>11.015379309489839</v>
      </c>
      <c r="GH458">
        <v>14.948682700573277</v>
      </c>
      <c r="GI458">
        <v>17.839146925256518</v>
      </c>
      <c r="GJ458"/>
      <c r="GK458"/>
      <c r="GL458"/>
      <c r="GM458"/>
      <c r="GN458" s="208"/>
      <c r="GO458" s="208"/>
      <c r="GP458" s="208"/>
      <c r="GQ458" s="208"/>
      <c r="GR458" s="208"/>
      <c r="GS458" s="208"/>
      <c r="GT458" s="208"/>
      <c r="GU458" s="213">
        <v>453</v>
      </c>
    </row>
    <row r="459" spans="1:203" s="7" customFormat="1">
      <c r="A459" s="4"/>
      <c r="B459" s="4"/>
      <c r="C459" s="63">
        <v>1</v>
      </c>
      <c r="D459" s="101">
        <f>SUM($F$228:$F$347)/$A$438</f>
        <v>190.15069861745383</v>
      </c>
      <c r="E459" s="97">
        <f>+H36</f>
        <v>1.15313E-2</v>
      </c>
      <c r="F459" s="102">
        <f>+D459-D461</f>
        <v>89.691024078464082</v>
      </c>
      <c r="G459" s="101">
        <f>+D459*E459</f>
        <v>2.1926847509674454</v>
      </c>
      <c r="H459" s="101"/>
      <c r="I459" s="101"/>
      <c r="J459" s="101"/>
      <c r="K459" s="101"/>
      <c r="L459" s="206"/>
      <c r="M459" s="206"/>
      <c r="N459" s="206"/>
      <c r="O459" s="206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3">
        <v>443</v>
      </c>
      <c r="AN459">
        <v>331.51321930991048</v>
      </c>
      <c r="AO459">
        <v>29.267004419276759</v>
      </c>
      <c r="AP459">
        <v>52.557854266840415</v>
      </c>
      <c r="AQ459">
        <v>205.162512586622</v>
      </c>
      <c r="AR459">
        <v>31.163758327947711</v>
      </c>
      <c r="AS459">
        <v>269.77673692271946</v>
      </c>
      <c r="AT459">
        <v>13.181546481405059</v>
      </c>
      <c r="AU459">
        <v>27.309639427631577</v>
      </c>
      <c r="AV459"/>
      <c r="AW459"/>
      <c r="FY459" s="213">
        <v>454</v>
      </c>
      <c r="FZ459">
        <v>44.376565721176576</v>
      </c>
      <c r="GA459">
        <v>70.576131481670345</v>
      </c>
      <c r="GB459">
        <v>19.197049671468523</v>
      </c>
      <c r="GC459">
        <v>8.0385022702722573</v>
      </c>
      <c r="GD459">
        <v>8.5371015612899459</v>
      </c>
      <c r="GE459">
        <v>9.2006555765866818</v>
      </c>
      <c r="GF459">
        <v>17.487622285964566</v>
      </c>
      <c r="GG459">
        <v>14.192966387311445</v>
      </c>
      <c r="GH459">
        <v>11.047845998943583</v>
      </c>
      <c r="GI459">
        <v>22.036841606836198</v>
      </c>
      <c r="GJ459"/>
      <c r="GK459"/>
      <c r="GL459"/>
      <c r="GM459"/>
      <c r="GN459" s="208"/>
      <c r="GO459" s="208"/>
      <c r="GP459" s="208"/>
      <c r="GQ459" s="208"/>
      <c r="GR459" s="208"/>
      <c r="GS459" s="208"/>
      <c r="GT459" s="208"/>
      <c r="GU459" s="213">
        <v>454</v>
      </c>
    </row>
    <row r="460" spans="1:203" s="7" customFormat="1">
      <c r="A460" s="4"/>
      <c r="B460" s="4"/>
      <c r="C460" s="63" t="s">
        <v>99</v>
      </c>
      <c r="D460" s="101"/>
      <c r="E460" s="63"/>
      <c r="F460" s="63"/>
      <c r="G460" s="101"/>
      <c r="H460" s="101">
        <f>+SQRT(E459*E461)</f>
        <v>2.9060412201857979E-2</v>
      </c>
      <c r="I460" s="101">
        <f>+H460*F459</f>
        <v>2.6064581305269354</v>
      </c>
      <c r="J460" s="101">
        <f>+I460*$A$440</f>
        <v>28.671039435796288</v>
      </c>
      <c r="K460" s="61">
        <f>IF(AND(J460&lt;0, J458&lt;0), 0, J460)</f>
        <v>28.671039435796288</v>
      </c>
      <c r="L460" s="206"/>
      <c r="M460" s="206"/>
      <c r="N460" s="206"/>
      <c r="O460" s="206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3">
        <v>444</v>
      </c>
      <c r="AN460">
        <v>267.37926005796567</v>
      </c>
      <c r="AO460">
        <v>24.259213458543705</v>
      </c>
      <c r="AP460">
        <v>50.963285783283368</v>
      </c>
      <c r="AQ460">
        <v>180.67729567033962</v>
      </c>
      <c r="AR460">
        <v>25.835068365236609</v>
      </c>
      <c r="AS460">
        <v>232.90689109954369</v>
      </c>
      <c r="AT460">
        <v>12.544891847799683</v>
      </c>
      <c r="AU460">
        <v>11.088215326755385</v>
      </c>
      <c r="AV460"/>
      <c r="AW460"/>
      <c r="FY460" s="213">
        <v>455</v>
      </c>
      <c r="FZ460">
        <v>53.962075482665789</v>
      </c>
      <c r="GA460">
        <v>68.884157746293823</v>
      </c>
      <c r="GB460">
        <v>16.536509414955425</v>
      </c>
      <c r="GC460">
        <v>7.1676671925811979</v>
      </c>
      <c r="GD460">
        <v>6.2385695369479066</v>
      </c>
      <c r="GE460">
        <v>7.205871590096006</v>
      </c>
      <c r="GF460">
        <v>23.466585537378336</v>
      </c>
      <c r="GG460">
        <v>18.113688443024337</v>
      </c>
      <c r="GH460">
        <v>16.459162740370417</v>
      </c>
      <c r="GI460">
        <v>23.287398089161101</v>
      </c>
      <c r="GJ460"/>
      <c r="GK460"/>
      <c r="GL460"/>
      <c r="GM460"/>
      <c r="GN460" s="208"/>
      <c r="GO460" s="208"/>
      <c r="GP460" s="208"/>
      <c r="GQ460" s="208"/>
      <c r="GR460" s="208"/>
      <c r="GS460" s="208"/>
      <c r="GT460" s="208"/>
      <c r="GU460" s="213">
        <v>455</v>
      </c>
    </row>
    <row r="461" spans="1:203" s="7" customFormat="1">
      <c r="A461" s="4"/>
      <c r="B461" s="4"/>
      <c r="C461" s="63">
        <v>2</v>
      </c>
      <c r="D461" s="101">
        <f>SUM($G$228:$G$347)/$A$438</f>
        <v>100.45967453898974</v>
      </c>
      <c r="E461" s="97">
        <f>+I36</f>
        <v>7.3236110182017297E-2</v>
      </c>
      <c r="F461" s="102">
        <f>+D461-D463</f>
        <v>83.018268455892994</v>
      </c>
      <c r="G461" s="101">
        <f>+D461*E461</f>
        <v>7.3572757933870507</v>
      </c>
      <c r="H461" s="101"/>
      <c r="I461" s="101"/>
      <c r="J461" s="101"/>
      <c r="K461" s="101"/>
      <c r="L461" s="206"/>
      <c r="M461" s="206"/>
      <c r="N461" s="206"/>
      <c r="O461" s="206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3">
        <v>445</v>
      </c>
      <c r="AN461">
        <v>313.99007391763354</v>
      </c>
      <c r="AO461">
        <v>25.697881802832448</v>
      </c>
      <c r="AP461">
        <v>106.41692391406036</v>
      </c>
      <c r="AQ461">
        <v>178.07527935080344</v>
      </c>
      <c r="AR461">
        <v>27.236355847152058</v>
      </c>
      <c r="AS461">
        <v>246.69588763874907</v>
      </c>
      <c r="AT461">
        <v>11.892633301732788</v>
      </c>
      <c r="AU461">
        <v>70.940462832777484</v>
      </c>
      <c r="AV461"/>
      <c r="AW461"/>
      <c r="FY461" s="213">
        <v>456</v>
      </c>
      <c r="FZ461">
        <v>46.411559263487405</v>
      </c>
      <c r="GA461">
        <v>20.369366327811544</v>
      </c>
      <c r="GB461">
        <v>8.5789270990654938</v>
      </c>
      <c r="GC461">
        <v>5.1297619212217924</v>
      </c>
      <c r="GD461">
        <v>5.7590947916582351</v>
      </c>
      <c r="GE461">
        <v>9.1985233554839922</v>
      </c>
      <c r="GF461">
        <v>10.22158714589529</v>
      </c>
      <c r="GG461">
        <v>7.5360388317014104</v>
      </c>
      <c r="GH461">
        <v>13.225212392777348</v>
      </c>
      <c r="GI461">
        <v>16.400986199001025</v>
      </c>
      <c r="GJ461"/>
      <c r="GK461"/>
      <c r="GL461"/>
      <c r="GM461"/>
      <c r="GN461" s="208"/>
      <c r="GO461" s="208"/>
      <c r="GP461" s="208"/>
      <c r="GQ461" s="208"/>
      <c r="GR461" s="208"/>
      <c r="GS461" s="208"/>
      <c r="GT461" s="208"/>
      <c r="GU461" s="213">
        <v>456</v>
      </c>
    </row>
    <row r="462" spans="1:203" s="7" customFormat="1">
      <c r="A462" s="4"/>
      <c r="B462" s="4"/>
      <c r="C462" s="63"/>
      <c r="D462" s="101"/>
      <c r="E462" s="63"/>
      <c r="F462" s="63"/>
      <c r="G462" s="101"/>
      <c r="H462" s="101">
        <f>+SQRT(E461*E463)</f>
        <v>0.12576012586186258</v>
      </c>
      <c r="I462" s="101">
        <f>+H462*F461</f>
        <v>10.440387889846999</v>
      </c>
      <c r="J462" s="101">
        <f>+I462*$A$440</f>
        <v>114.84426678831699</v>
      </c>
      <c r="K462" s="61">
        <f>IF(AND(J462&lt;0, J460&lt;0), 0, J462)</f>
        <v>114.84426678831699</v>
      </c>
      <c r="L462" s="206"/>
      <c r="M462" s="206"/>
      <c r="N462" s="206"/>
      <c r="O462" s="206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3">
        <v>446</v>
      </c>
      <c r="AN462">
        <v>247.15400983297496</v>
      </c>
      <c r="AO462">
        <v>26.31669277887433</v>
      </c>
      <c r="AP462">
        <v>89.833117401709842</v>
      </c>
      <c r="AQ462">
        <v>205.94455481848627</v>
      </c>
      <c r="AR462">
        <v>27.361038856620755</v>
      </c>
      <c r="AS462">
        <v>224.90393527147768</v>
      </c>
      <c r="AT462">
        <v>13.215624993556304</v>
      </c>
      <c r="AU462">
        <v>22.904987931307531</v>
      </c>
      <c r="AV462"/>
      <c r="AW462"/>
      <c r="FY462" s="213">
        <v>457</v>
      </c>
      <c r="FZ462">
        <v>59.739839585851399</v>
      </c>
      <c r="GA462">
        <v>66.124498604256402</v>
      </c>
      <c r="GB462">
        <v>12.329567213297555</v>
      </c>
      <c r="GC462">
        <v>7.608150950284208</v>
      </c>
      <c r="GD462">
        <v>7.3089823500774527</v>
      </c>
      <c r="GE462">
        <v>6.7735997662777567</v>
      </c>
      <c r="GF462">
        <v>20.802983451607307</v>
      </c>
      <c r="GG462">
        <v>18.878050840304503</v>
      </c>
      <c r="GH462">
        <v>16.520027237604214</v>
      </c>
      <c r="GI462">
        <v>22.895129538749512</v>
      </c>
      <c r="GJ462"/>
      <c r="GK462"/>
      <c r="GL462"/>
      <c r="GM462"/>
      <c r="GN462" s="208"/>
      <c r="GO462" s="208"/>
      <c r="GP462" s="208"/>
      <c r="GQ462" s="208"/>
      <c r="GR462" s="208"/>
      <c r="GS462" s="208"/>
      <c r="GT462" s="208"/>
      <c r="GU462" s="213">
        <v>457</v>
      </c>
    </row>
    <row r="463" spans="1:203" s="7" customFormat="1">
      <c r="A463" s="4"/>
      <c r="B463" s="4"/>
      <c r="C463" s="63">
        <v>3</v>
      </c>
      <c r="D463" s="101">
        <f>SUM($H$228:$H$347)/$A$438</f>
        <v>17.441406083096755</v>
      </c>
      <c r="E463" s="97">
        <f>+J36</f>
        <v>0.21595370395129135</v>
      </c>
      <c r="F463" s="102">
        <f>+D463-D465</f>
        <v>15.149739416430089</v>
      </c>
      <c r="G463" s="101">
        <f>+D463*E463</f>
        <v>3.7665362457633287</v>
      </c>
      <c r="H463" s="101"/>
      <c r="I463" s="101"/>
      <c r="J463" s="101"/>
      <c r="K463" s="101"/>
      <c r="L463" s="206"/>
      <c r="M463" s="206"/>
      <c r="N463" s="206"/>
      <c r="O463" s="206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3">
        <v>447</v>
      </c>
      <c r="AN463">
        <v>419.32709421902774</v>
      </c>
      <c r="AO463">
        <v>38.392306923606419</v>
      </c>
      <c r="AP463">
        <v>125.44884947860614</v>
      </c>
      <c r="AQ463">
        <v>288.07402956710439</v>
      </c>
      <c r="AR463">
        <v>39.621008069411225</v>
      </c>
      <c r="AS463">
        <v>328.08497275165172</v>
      </c>
      <c r="AT463">
        <v>19.073577516112028</v>
      </c>
      <c r="AU463">
        <v>17.50943916510267</v>
      </c>
      <c r="AV463"/>
      <c r="AW463"/>
      <c r="FY463" s="213">
        <v>458</v>
      </c>
      <c r="FZ463">
        <v>60.17941163298206</v>
      </c>
      <c r="GA463">
        <v>45.446402349054488</v>
      </c>
      <c r="GB463">
        <v>8.1133702177251674</v>
      </c>
      <c r="GC463">
        <v>8.0278174216451283</v>
      </c>
      <c r="GD463">
        <v>7.4494001690412368</v>
      </c>
      <c r="GE463">
        <v>4.9481280681651318</v>
      </c>
      <c r="GF463">
        <v>7.7399784282448589</v>
      </c>
      <c r="GG463">
        <v>9.2862296596818918</v>
      </c>
      <c r="GH463">
        <v>8.3871090694788162</v>
      </c>
      <c r="GI463">
        <v>17.986996363545693</v>
      </c>
      <c r="GJ463"/>
      <c r="GK463"/>
      <c r="GL463"/>
      <c r="GM463"/>
      <c r="GN463" s="208"/>
      <c r="GO463" s="208"/>
      <c r="GP463" s="208"/>
      <c r="GQ463" s="208"/>
      <c r="GR463" s="208"/>
      <c r="GS463" s="208"/>
      <c r="GT463" s="208"/>
      <c r="GU463" s="213">
        <v>458</v>
      </c>
    </row>
    <row r="464" spans="1:203" s="7" customFormat="1">
      <c r="A464" s="4"/>
      <c r="B464" s="4"/>
      <c r="C464" s="63"/>
      <c r="D464" s="101"/>
      <c r="E464" s="63"/>
      <c r="F464" s="63"/>
      <c r="G464" s="101"/>
      <c r="H464" s="101">
        <f>+SQRT(E463*E465)</f>
        <v>0.316932270958458</v>
      </c>
      <c r="I464" s="101">
        <f>+H464*F463</f>
        <v>4.8014413176780524</v>
      </c>
      <c r="J464" s="101">
        <f>+I464*$A$440</f>
        <v>52.815854494458577</v>
      </c>
      <c r="K464" s="61">
        <f>IF(AND(J464&lt;0, J462&lt;0), 0, J464)</f>
        <v>52.815854494458577</v>
      </c>
      <c r="L464" s="206"/>
      <c r="M464" s="206"/>
      <c r="N464" s="206"/>
      <c r="O464" s="206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3">
        <v>448</v>
      </c>
      <c r="AN464">
        <v>247.46421263078727</v>
      </c>
      <c r="AO464">
        <v>20.259005988102722</v>
      </c>
      <c r="AP464">
        <v>91.513507427682839</v>
      </c>
      <c r="AQ464">
        <v>160.38471000706363</v>
      </c>
      <c r="AR464">
        <v>20.897856721493692</v>
      </c>
      <c r="AS464">
        <v>195.54723617662435</v>
      </c>
      <c r="AT464">
        <v>11.389953687758009</v>
      </c>
      <c r="AU464">
        <v>20.974771150824807</v>
      </c>
      <c r="AV464"/>
      <c r="AW464"/>
      <c r="FY464" s="213">
        <v>459</v>
      </c>
      <c r="FZ464">
        <v>40.333109001377785</v>
      </c>
      <c r="GA464">
        <v>68.981348961392925</v>
      </c>
      <c r="GB464">
        <v>19.093926006175327</v>
      </c>
      <c r="GC464">
        <v>3.6840892743270897</v>
      </c>
      <c r="GD464">
        <v>2.9180291713546289</v>
      </c>
      <c r="GE464">
        <v>6.6608141989677225</v>
      </c>
      <c r="GF464">
        <v>18.432312360155958</v>
      </c>
      <c r="GG464">
        <v>12.83100360030109</v>
      </c>
      <c r="GH464">
        <v>12.696490721317627</v>
      </c>
      <c r="GI464">
        <v>18.640167768869361</v>
      </c>
      <c r="GJ464"/>
      <c r="GK464"/>
      <c r="GL464"/>
      <c r="GM464"/>
      <c r="GN464" s="208"/>
      <c r="GO464" s="208"/>
      <c r="GP464" s="208"/>
      <c r="GQ464" s="208"/>
      <c r="GR464" s="208"/>
      <c r="GS464" s="208"/>
      <c r="GT464" s="208"/>
      <c r="GU464" s="213">
        <v>459</v>
      </c>
    </row>
    <row r="465" spans="1:203" s="7" customFormat="1">
      <c r="A465" s="4"/>
      <c r="B465" s="4"/>
      <c r="C465" s="63">
        <v>4</v>
      </c>
      <c r="D465" s="101">
        <f>SUM($I$228:$I$347)/$A$438</f>
        <v>2.2916666666666665</v>
      </c>
      <c r="E465" s="97">
        <f>+K36</f>
        <v>0.46512776829954805</v>
      </c>
      <c r="F465" s="102">
        <f>+D465-D467</f>
        <v>-0.62499999999999911</v>
      </c>
      <c r="G465" s="101">
        <f>+D465*E465</f>
        <v>1.0659178023531308</v>
      </c>
      <c r="H465" s="101"/>
      <c r="I465" s="101"/>
      <c r="J465" s="101"/>
      <c r="K465" s="101"/>
      <c r="L465" s="206"/>
      <c r="M465" s="206"/>
      <c r="N465" s="206"/>
      <c r="O465" s="206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3">
        <v>449</v>
      </c>
      <c r="AN465">
        <v>311.14274884662433</v>
      </c>
      <c r="AO465">
        <v>25.050985886716628</v>
      </c>
      <c r="AP465">
        <v>91.75511888702664</v>
      </c>
      <c r="AQ465">
        <v>182.95017141507969</v>
      </c>
      <c r="AR465">
        <v>25.828362321131891</v>
      </c>
      <c r="AS465">
        <v>231.73716358310185</v>
      </c>
      <c r="AT465">
        <v>12.570886062828277</v>
      </c>
      <c r="AU465">
        <v>21.554047775407689</v>
      </c>
      <c r="AV465"/>
      <c r="AW465"/>
      <c r="FY465" s="213">
        <v>460</v>
      </c>
      <c r="FZ465">
        <v>70.484043273685856</v>
      </c>
      <c r="GA465">
        <v>61.762354009798706</v>
      </c>
      <c r="GB465">
        <v>12.006728745642302</v>
      </c>
      <c r="GC465">
        <v>4.2642796167302821</v>
      </c>
      <c r="GD465">
        <v>4.5409634415386018</v>
      </c>
      <c r="GE465">
        <v>6.4926872941455329</v>
      </c>
      <c r="GF465">
        <v>24.270605765036663</v>
      </c>
      <c r="GG465">
        <v>21.029508178617565</v>
      </c>
      <c r="GH465">
        <v>11.139825386194785</v>
      </c>
      <c r="GI465">
        <v>22.498564418753457</v>
      </c>
      <c r="GJ465"/>
      <c r="GK465"/>
      <c r="GL465"/>
      <c r="GM465"/>
      <c r="GN465" s="208"/>
      <c r="GO465" s="208"/>
      <c r="GP465" s="208"/>
      <c r="GQ465" s="208"/>
      <c r="GR465" s="208"/>
      <c r="GS465" s="208"/>
      <c r="GT465" s="208"/>
      <c r="GU465" s="213">
        <v>460</v>
      </c>
    </row>
    <row r="466" spans="1:203" s="7" customFormat="1">
      <c r="A466" s="4"/>
      <c r="B466" s="4"/>
      <c r="C466" s="63"/>
      <c r="D466" s="101"/>
      <c r="E466" s="63"/>
      <c r="F466" s="63"/>
      <c r="G466" s="101"/>
      <c r="H466" s="101">
        <f>+SQRT(E465*E467)</f>
        <v>0.6263279176488642</v>
      </c>
      <c r="I466" s="101">
        <f>+H466*F465</f>
        <v>-0.39145494853053958</v>
      </c>
      <c r="J466" s="101">
        <f>+I466*$A$440</f>
        <v>-4.3060044338359358</v>
      </c>
      <c r="K466" s="61">
        <f>IF(AND(J466&lt;0, J464&lt;0), 0, J466)</f>
        <v>-4.3060044338359358</v>
      </c>
      <c r="L466" s="206"/>
      <c r="M466" s="206"/>
      <c r="N466" s="206"/>
      <c r="O466" s="206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3">
        <v>450</v>
      </c>
      <c r="AN466">
        <v>255.98143524302765</v>
      </c>
      <c r="AO466">
        <v>17.229006664082355</v>
      </c>
      <c r="AP466">
        <v>90.789387892688936</v>
      </c>
      <c r="AQ466">
        <v>129.15698526295489</v>
      </c>
      <c r="AR466">
        <v>17.517584522549221</v>
      </c>
      <c r="AS466">
        <v>172.11498583251088</v>
      </c>
      <c r="AT466">
        <v>9.1444463824600177</v>
      </c>
      <c r="AU466">
        <v>37.454752460991706</v>
      </c>
      <c r="AV466"/>
      <c r="AW466"/>
      <c r="FY466" s="213">
        <v>461</v>
      </c>
      <c r="FZ466">
        <v>65.088729981169365</v>
      </c>
      <c r="GA466">
        <v>75.683236218345996</v>
      </c>
      <c r="GB466">
        <v>14.783661493667593</v>
      </c>
      <c r="GC466">
        <v>7.1989870453516751</v>
      </c>
      <c r="GD466">
        <v>5.3771070540688974</v>
      </c>
      <c r="GE466">
        <v>3.3215669022680938</v>
      </c>
      <c r="GF466">
        <v>28.85741243770169</v>
      </c>
      <c r="GG466">
        <v>27.014636849215233</v>
      </c>
      <c r="GH466">
        <v>11.816655240364835</v>
      </c>
      <c r="GI466">
        <v>24.054357224871154</v>
      </c>
      <c r="GJ466"/>
      <c r="GK466"/>
      <c r="GL466"/>
      <c r="GM466"/>
      <c r="GN466" s="208"/>
      <c r="GO466" s="208"/>
      <c r="GP466" s="208"/>
      <c r="GQ466" s="208"/>
      <c r="GR466" s="208"/>
      <c r="GS466" s="208"/>
      <c r="GT466" s="208"/>
      <c r="GU466" s="213">
        <v>461</v>
      </c>
    </row>
    <row r="467" spans="1:203" s="7" customFormat="1">
      <c r="A467" s="4"/>
      <c r="B467" s="4"/>
      <c r="C467" s="63">
        <v>5</v>
      </c>
      <c r="D467" s="101">
        <f>SUM($J$228:$J$347)/$A$438</f>
        <v>2.9166666666666656</v>
      </c>
      <c r="E467" s="97">
        <f>L36</f>
        <v>0.84339548649291773</v>
      </c>
      <c r="F467" s="102">
        <f>+D467-D469</f>
        <v>1.8749999999999989</v>
      </c>
      <c r="G467" s="101">
        <f>+D467*E467</f>
        <v>2.4599035022710094</v>
      </c>
      <c r="H467" s="101"/>
      <c r="I467" s="101"/>
      <c r="J467" s="101"/>
      <c r="K467" s="101"/>
      <c r="L467" s="206"/>
      <c r="M467" s="206"/>
      <c r="N467" s="206"/>
      <c r="O467" s="206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3">
        <v>451</v>
      </c>
      <c r="AN467">
        <v>253.23708910512838</v>
      </c>
      <c r="AO467">
        <v>23.170912917604735</v>
      </c>
      <c r="AP467">
        <v>68.821534568782511</v>
      </c>
      <c r="AQ467">
        <v>152.93911624408935</v>
      </c>
      <c r="AR467">
        <v>24.325675214073229</v>
      </c>
      <c r="AS467">
        <v>209.01055467613557</v>
      </c>
      <c r="AT467">
        <v>9.2831323228017446</v>
      </c>
      <c r="AU467">
        <v>5.581649095018733</v>
      </c>
      <c r="AV467"/>
      <c r="AW467"/>
      <c r="FY467" s="213">
        <v>462</v>
      </c>
      <c r="FZ467">
        <v>35.137735497157571</v>
      </c>
      <c r="GA467">
        <v>53.25293777790511</v>
      </c>
      <c r="GB467">
        <v>12.54405759436057</v>
      </c>
      <c r="GC467">
        <v>4.7620799154711921</v>
      </c>
      <c r="GD467">
        <v>4.2555210042375231</v>
      </c>
      <c r="GE467">
        <v>4.8710915306172078</v>
      </c>
      <c r="GF467">
        <v>25.814480247265944</v>
      </c>
      <c r="GG467">
        <v>24.202764130113099</v>
      </c>
      <c r="GH467">
        <v>17.749088190709138</v>
      </c>
      <c r="GI467">
        <v>18.737185026758368</v>
      </c>
      <c r="GJ467"/>
      <c r="GK467"/>
      <c r="GL467"/>
      <c r="GM467"/>
      <c r="GN467" s="208"/>
      <c r="GO467" s="208"/>
      <c r="GP467" s="208"/>
      <c r="GQ467" s="208"/>
      <c r="GR467" s="208"/>
      <c r="GS467" s="208"/>
      <c r="GT467" s="208"/>
      <c r="GU467" s="213">
        <v>462</v>
      </c>
    </row>
    <row r="468" spans="1:203" s="7" customFormat="1">
      <c r="A468" s="4"/>
      <c r="B468" s="4"/>
      <c r="C468" s="63"/>
      <c r="D468" s="101"/>
      <c r="E468" s="63"/>
      <c r="F468" s="63"/>
      <c r="G468" s="101"/>
      <c r="H468" s="101">
        <f>+SQRT(E467*E469)</f>
        <v>1.0755224104414585</v>
      </c>
      <c r="I468" s="101">
        <f>+H468*F467</f>
        <v>2.0166045195777333</v>
      </c>
      <c r="J468" s="101">
        <f>+I468*$A$440</f>
        <v>22.182649715355065</v>
      </c>
      <c r="K468" s="61">
        <f>IF(AND(J468&lt;0, J466&lt;0), 0, J468)</f>
        <v>22.182649715355065</v>
      </c>
      <c r="L468" s="206"/>
      <c r="M468" s="206"/>
      <c r="N468" s="206"/>
      <c r="O468" s="206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3">
        <v>452</v>
      </c>
      <c r="AN468">
        <v>279.67257617574359</v>
      </c>
      <c r="AO468">
        <v>28.01123896844237</v>
      </c>
      <c r="AP468">
        <v>73.982717418631751</v>
      </c>
      <c r="AQ468">
        <v>206.96498139478152</v>
      </c>
      <c r="AR468">
        <v>30.151171873800308</v>
      </c>
      <c r="AS468">
        <v>235.09937092353624</v>
      </c>
      <c r="AT468">
        <v>13.784575327027065</v>
      </c>
      <c r="AU468">
        <v>106.45367062755122</v>
      </c>
      <c r="AV468"/>
      <c r="AW468"/>
      <c r="FY468" s="213">
        <v>463</v>
      </c>
      <c r="FZ468">
        <v>51.077701478125633</v>
      </c>
      <c r="GA468">
        <v>54.279504513691371</v>
      </c>
      <c r="GB468">
        <v>12.022765941295663</v>
      </c>
      <c r="GC468">
        <v>5.9758211591025781</v>
      </c>
      <c r="GD468">
        <v>4.8928091882969476</v>
      </c>
      <c r="GE468">
        <v>5.0602402105245332</v>
      </c>
      <c r="GF468">
        <v>21.90477981021229</v>
      </c>
      <c r="GG468">
        <v>18.545904333868005</v>
      </c>
      <c r="GH468">
        <v>13.852056775746128</v>
      </c>
      <c r="GI468">
        <v>19.919183080401393</v>
      </c>
      <c r="GJ468"/>
      <c r="GK468"/>
      <c r="GL468"/>
      <c r="GM468"/>
      <c r="GN468" s="208"/>
      <c r="GO468" s="208"/>
      <c r="GP468" s="208"/>
      <c r="GQ468" s="208"/>
      <c r="GR468" s="208"/>
      <c r="GS468" s="208"/>
      <c r="GT468" s="208"/>
      <c r="GU468" s="213">
        <v>463</v>
      </c>
    </row>
    <row r="469" spans="1:203" s="7" customFormat="1">
      <c r="A469" s="4"/>
      <c r="B469" s="4"/>
      <c r="C469" s="63">
        <v>6</v>
      </c>
      <c r="D469" s="101">
        <f>SUM($K$228:$K$347)/$A$438</f>
        <v>1.0416666666666667</v>
      </c>
      <c r="E469" s="97">
        <f>M36</f>
        <v>1.3715374031368122</v>
      </c>
      <c r="F469" s="102">
        <f>+D469-D471</f>
        <v>0.20833333333333348</v>
      </c>
      <c r="G469" s="101">
        <f>+D469*E469</f>
        <v>1.4286847949341794</v>
      </c>
      <c r="H469" s="101"/>
      <c r="I469" s="101"/>
      <c r="J469" s="101"/>
      <c r="K469" s="101"/>
      <c r="L469" s="206"/>
      <c r="M469" s="206"/>
      <c r="N469" s="206"/>
      <c r="O469" s="206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3">
        <v>453</v>
      </c>
      <c r="AN469">
        <v>326.36574520269454</v>
      </c>
      <c r="AO469">
        <v>26.393819868236545</v>
      </c>
      <c r="AP469">
        <v>97.880541400066136</v>
      </c>
      <c r="AQ469">
        <v>187.33762889581112</v>
      </c>
      <c r="AR469">
        <v>26.445228907777917</v>
      </c>
      <c r="AS469">
        <v>228.93058867011428</v>
      </c>
      <c r="AT469">
        <v>11.981295523591273</v>
      </c>
      <c r="AU469">
        <v>6.33441832512346</v>
      </c>
      <c r="AV469"/>
      <c r="AW469"/>
      <c r="FY469" s="213">
        <v>464</v>
      </c>
      <c r="FZ469">
        <v>44.016047359697843</v>
      </c>
      <c r="GA469">
        <v>60.290435096072578</v>
      </c>
      <c r="GB469">
        <v>16.685265211175199</v>
      </c>
      <c r="GC469">
        <v>9.3387232445224519</v>
      </c>
      <c r="GD469">
        <v>7.7789277693941168</v>
      </c>
      <c r="GE469">
        <v>4.4244983529644832</v>
      </c>
      <c r="GF469">
        <v>21.259337765740291</v>
      </c>
      <c r="GG469">
        <v>22.97171530267412</v>
      </c>
      <c r="GH469">
        <v>16.575155648165797</v>
      </c>
      <c r="GI469">
        <v>22.24415115785564</v>
      </c>
      <c r="GJ469"/>
      <c r="GK469"/>
      <c r="GL469"/>
      <c r="GM469"/>
      <c r="GN469" s="208"/>
      <c r="GO469" s="208"/>
      <c r="GP469" s="208"/>
      <c r="GQ469" s="208"/>
      <c r="GR469" s="208"/>
      <c r="GS469" s="208"/>
      <c r="GT469" s="208"/>
      <c r="GU469" s="213">
        <v>464</v>
      </c>
    </row>
    <row r="470" spans="1:203" s="7" customFormat="1">
      <c r="A470" s="4"/>
      <c r="B470" s="4"/>
      <c r="C470" s="63"/>
      <c r="D470" s="101"/>
      <c r="E470" s="63"/>
      <c r="F470" s="63"/>
      <c r="G470" s="101"/>
      <c r="H470" s="101">
        <f>+SQRT(E469*E471)</f>
        <v>1.6845395026771761</v>
      </c>
      <c r="I470" s="101">
        <f>+H470*F469</f>
        <v>0.35094572972441196</v>
      </c>
      <c r="J470" s="101">
        <f>+I470*$A$440</f>
        <v>3.8604030269685317</v>
      </c>
      <c r="K470" s="61">
        <f>IF(AND(J470&lt;0, J468&lt;0), 0, J470)</f>
        <v>3.8604030269685317</v>
      </c>
      <c r="L470" s="206"/>
      <c r="M470" s="206"/>
      <c r="N470" s="206"/>
      <c r="O470" s="206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3">
        <v>454</v>
      </c>
      <c r="AN470">
        <v>391.48279300330285</v>
      </c>
      <c r="AO470">
        <v>33.039895645176955</v>
      </c>
      <c r="AP470">
        <v>115.11632757557999</v>
      </c>
      <c r="AQ470">
        <v>224.69128256152013</v>
      </c>
      <c r="AR470">
        <v>32.723551379490161</v>
      </c>
      <c r="AS470">
        <v>321.42766592992712</v>
      </c>
      <c r="AT470">
        <v>15.359832332007372</v>
      </c>
      <c r="AU470">
        <v>10.395860887599589</v>
      </c>
      <c r="AV470"/>
      <c r="AW470"/>
      <c r="FY470" s="213">
        <v>465</v>
      </c>
      <c r="FZ470">
        <v>43.899660323087723</v>
      </c>
      <c r="GA470">
        <v>49.562115025406335</v>
      </c>
      <c r="GB470">
        <v>12.27873442862167</v>
      </c>
      <c r="GC470">
        <v>7.9938057911426652</v>
      </c>
      <c r="GD470">
        <v>6.5030622122213373</v>
      </c>
      <c r="GE470">
        <v>3.5062355743080236</v>
      </c>
      <c r="GF470">
        <v>4.0799222262618651</v>
      </c>
      <c r="GG470">
        <v>7.8799545751896689</v>
      </c>
      <c r="GH470">
        <v>10.973251505279036</v>
      </c>
      <c r="GI470">
        <v>16.175906754101735</v>
      </c>
      <c r="GJ470"/>
      <c r="GK470"/>
      <c r="GL470"/>
      <c r="GM470"/>
      <c r="GN470" s="208"/>
      <c r="GO470" s="208"/>
      <c r="GP470" s="208"/>
      <c r="GQ470" s="208"/>
      <c r="GR470" s="208"/>
      <c r="GS470" s="208"/>
      <c r="GT470" s="208"/>
      <c r="GU470" s="213">
        <v>465</v>
      </c>
    </row>
    <row r="471" spans="1:203" s="7" customFormat="1">
      <c r="A471" s="4"/>
      <c r="B471" s="4"/>
      <c r="C471" s="63">
        <v>7</v>
      </c>
      <c r="D471" s="101">
        <f>SUM($L$228:$L$347)/$A$438</f>
        <v>0.83333333333333326</v>
      </c>
      <c r="E471" s="97">
        <f>+N36</f>
        <v>2.0689726212277471</v>
      </c>
      <c r="F471" s="102">
        <f>+D471-D473</f>
        <v>0.3125</v>
      </c>
      <c r="G471" s="101">
        <f>+D471*E471</f>
        <v>1.7241438510231224</v>
      </c>
      <c r="H471" s="101"/>
      <c r="I471" s="101"/>
      <c r="J471" s="101"/>
      <c r="K471" s="101"/>
      <c r="L471" s="206"/>
      <c r="M471" s="206"/>
      <c r="N471" s="206"/>
      <c r="O471" s="206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3">
        <v>455</v>
      </c>
      <c r="AN471">
        <v>376.77847353859613</v>
      </c>
      <c r="AO471">
        <v>33.990045100309338</v>
      </c>
      <c r="AP471">
        <v>118.6991107550428</v>
      </c>
      <c r="AQ471">
        <v>241.32168577347431</v>
      </c>
      <c r="AR471">
        <v>34.740534188837216</v>
      </c>
      <c r="AS471">
        <v>301.974311538552</v>
      </c>
      <c r="AT471">
        <v>15.212024761111051</v>
      </c>
      <c r="AU471">
        <v>27.625270678172726</v>
      </c>
      <c r="AV471"/>
      <c r="AW471"/>
      <c r="FY471" s="213">
        <v>466</v>
      </c>
      <c r="FZ471">
        <v>50.631264333979225</v>
      </c>
      <c r="GA471">
        <v>87.331494723601992</v>
      </c>
      <c r="GB471">
        <v>24.112794609492468</v>
      </c>
      <c r="GC471">
        <v>5.6718032899966735</v>
      </c>
      <c r="GD471">
        <v>5.5094412682126377</v>
      </c>
      <c r="GE471">
        <v>5.0858907808367517</v>
      </c>
      <c r="GF471">
        <v>7.5483272980548897</v>
      </c>
      <c r="GG471">
        <v>9.2889472527814423</v>
      </c>
      <c r="GH471">
        <v>18.678144325146135</v>
      </c>
      <c r="GI471">
        <v>22.175948035537196</v>
      </c>
      <c r="GJ471"/>
      <c r="GK471"/>
      <c r="GL471"/>
      <c r="GM471"/>
      <c r="GN471" s="208"/>
      <c r="GO471" s="208"/>
      <c r="GP471" s="208"/>
      <c r="GQ471" s="208"/>
      <c r="GR471" s="208"/>
      <c r="GS471" s="208"/>
      <c r="GT471" s="208"/>
      <c r="GU471" s="213">
        <v>466</v>
      </c>
    </row>
    <row r="472" spans="1:203" s="7" customFormat="1">
      <c r="A472" s="4"/>
      <c r="B472" s="4"/>
      <c r="C472" s="63"/>
      <c r="D472" s="101"/>
      <c r="E472" s="63"/>
      <c r="F472" s="63"/>
      <c r="G472" s="101"/>
      <c r="H472" s="101">
        <f>+SQRT(E471*E473)</f>
        <v>2.4722193707922098</v>
      </c>
      <c r="I472" s="101">
        <f>+H472*F471</f>
        <v>0.77256855337256558</v>
      </c>
      <c r="J472" s="101">
        <f>+I472*$A$440</f>
        <v>8.4982540870982213</v>
      </c>
      <c r="K472" s="61">
        <f>IF(AND(J472&lt;0, J470&lt;0), 0, J472)</f>
        <v>8.4982540870982213</v>
      </c>
      <c r="L472" s="206"/>
      <c r="M472" s="206"/>
      <c r="N472" s="206"/>
      <c r="O472" s="206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4"/>
      <c r="AB472" s="4"/>
      <c r="AC472" s="4"/>
      <c r="AD472" s="4"/>
      <c r="AE472" s="4"/>
      <c r="AF472" s="81"/>
      <c r="AG472" s="81"/>
      <c r="AH472" s="81"/>
      <c r="AI472" s="81"/>
      <c r="AJ472" s="81"/>
      <c r="AK472" s="81"/>
      <c r="AL472" s="81"/>
      <c r="AM472" s="43">
        <v>456</v>
      </c>
      <c r="AN472">
        <v>297.87222664320177</v>
      </c>
      <c r="AO472">
        <v>21.253585283246004</v>
      </c>
      <c r="AP472">
        <v>45.892784002302882</v>
      </c>
      <c r="AQ472">
        <v>142.83105732810353</v>
      </c>
      <c r="AR472">
        <v>24.645885350455146</v>
      </c>
      <c r="AS472">
        <v>222.62560463430026</v>
      </c>
      <c r="AT472">
        <v>11.04916133834473</v>
      </c>
      <c r="AU472">
        <v>32.976344579538363</v>
      </c>
      <c r="AV472"/>
      <c r="AW472"/>
      <c r="FY472" s="213">
        <v>467</v>
      </c>
      <c r="FZ472">
        <v>65.460147703554938</v>
      </c>
      <c r="GA472">
        <v>61.483104094749017</v>
      </c>
      <c r="GB472">
        <v>8.6108121497656764</v>
      </c>
      <c r="GC472">
        <v>3.9998521163089893</v>
      </c>
      <c r="GD472">
        <v>4.0487899437908093</v>
      </c>
      <c r="GE472">
        <v>7.1577318451238288</v>
      </c>
      <c r="GF472">
        <v>22.338083089625243</v>
      </c>
      <c r="GG472">
        <v>19.145863802939889</v>
      </c>
      <c r="GH472">
        <v>14.644359045900712</v>
      </c>
      <c r="GI472">
        <v>20.714559540125578</v>
      </c>
      <c r="GJ472"/>
      <c r="GK472"/>
      <c r="GL472"/>
      <c r="GM472"/>
      <c r="GN472" s="208"/>
      <c r="GO472" s="208"/>
      <c r="GP472" s="208"/>
      <c r="GQ472" s="208"/>
      <c r="GR472" s="208"/>
      <c r="GS472" s="208"/>
      <c r="GT472" s="208"/>
      <c r="GU472" s="213">
        <v>467</v>
      </c>
    </row>
    <row r="473" spans="1:203" s="7" customFormat="1">
      <c r="A473" s="4"/>
      <c r="B473" s="16"/>
      <c r="C473" s="63">
        <v>8</v>
      </c>
      <c r="D473" s="101">
        <f>SUM($M$228:$M$347)/$A$438</f>
        <v>0.52083333333333326</v>
      </c>
      <c r="E473" s="97">
        <f>O36</f>
        <v>2.9540596886648949</v>
      </c>
      <c r="F473" s="102">
        <f>+D473-D475</f>
        <v>0.20833333333333326</v>
      </c>
      <c r="G473" s="101">
        <f>+D473*E473</f>
        <v>1.5385727545129659</v>
      </c>
      <c r="H473" s="101"/>
      <c r="I473" s="101"/>
      <c r="J473" s="101"/>
      <c r="K473" s="101"/>
      <c r="L473" s="206"/>
      <c r="M473" s="206"/>
      <c r="N473" s="206"/>
      <c r="O473" s="206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4"/>
      <c r="AB473" s="4"/>
      <c r="AC473" s="4"/>
      <c r="AD473" s="4"/>
      <c r="AE473" s="4"/>
      <c r="AF473" s="81"/>
      <c r="AG473" s="81"/>
      <c r="AH473" s="81"/>
      <c r="AI473" s="81"/>
      <c r="AJ473" s="81"/>
      <c r="AK473" s="81"/>
      <c r="AL473" s="81"/>
      <c r="AM473" s="43">
        <v>457</v>
      </c>
      <c r="AN473">
        <v>381.93838820292098</v>
      </c>
      <c r="AO473">
        <v>33.082749410491715</v>
      </c>
      <c r="AP473">
        <v>104.6493995313359</v>
      </c>
      <c r="AQ473">
        <v>238.98082953831027</v>
      </c>
      <c r="AR473">
        <v>33.944098826178418</v>
      </c>
      <c r="AS473">
        <v>320.10417639480676</v>
      </c>
      <c r="AT473">
        <v>15.367695033272406</v>
      </c>
      <c r="AU473">
        <v>48.895002991226548</v>
      </c>
      <c r="AV473"/>
      <c r="AW473"/>
      <c r="FY473" s="213">
        <v>468</v>
      </c>
      <c r="FZ473">
        <v>51.983738434953239</v>
      </c>
      <c r="GA473">
        <v>71.73020979022391</v>
      </c>
      <c r="GB473">
        <v>17.121364734194632</v>
      </c>
      <c r="GC473">
        <v>4.6609616349168927</v>
      </c>
      <c r="GD473">
        <v>3.7049697245131075</v>
      </c>
      <c r="GE473">
        <v>3.4671385234882113</v>
      </c>
      <c r="GF473">
        <v>2.256173717473188</v>
      </c>
      <c r="GG473">
        <v>4.7658208936122115</v>
      </c>
      <c r="GH473">
        <v>8.6548902296027261</v>
      </c>
      <c r="GI473">
        <v>16.55006588735036</v>
      </c>
      <c r="GJ473"/>
      <c r="GK473"/>
      <c r="GL473"/>
      <c r="GM473"/>
      <c r="GN473" s="208"/>
      <c r="GO473" s="208"/>
      <c r="GP473" s="208"/>
      <c r="GQ473" s="208"/>
      <c r="GR473" s="208"/>
      <c r="GS473" s="208"/>
      <c r="GT473" s="208"/>
      <c r="GU473" s="213">
        <v>468</v>
      </c>
    </row>
    <row r="474" spans="1:203" s="7" customFormat="1">
      <c r="A474" s="4"/>
      <c r="B474" s="16"/>
      <c r="C474" s="63"/>
      <c r="D474" s="101"/>
      <c r="E474" s="63"/>
      <c r="F474" s="63"/>
      <c r="G474" s="101"/>
      <c r="H474" s="101">
        <f>+SQRT(E473*E475)</f>
        <v>3.456456972364053</v>
      </c>
      <c r="I474" s="101">
        <f>+H474*F473</f>
        <v>0.72009520257584414</v>
      </c>
      <c r="J474" s="101">
        <f>+I474*$A$440</f>
        <v>7.9210472283342854</v>
      </c>
      <c r="K474" s="61">
        <f>IF(AND(J474&lt;0, J472&lt;0), 0, J474)</f>
        <v>7.9210472283342854</v>
      </c>
      <c r="L474" s="206"/>
      <c r="M474" s="206"/>
      <c r="N474" s="206"/>
      <c r="O474" s="206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4"/>
      <c r="AB474" s="4"/>
      <c r="AC474" s="4"/>
      <c r="AD474" s="4"/>
      <c r="AE474" s="4"/>
      <c r="AF474" s="81"/>
      <c r="AG474" s="81"/>
      <c r="AH474" s="81"/>
      <c r="AI474" s="81"/>
      <c r="AJ474" s="81"/>
      <c r="AK474" s="81"/>
      <c r="AL474" s="81"/>
      <c r="AM474" s="43">
        <v>458</v>
      </c>
      <c r="AN474">
        <v>279.80252607588102</v>
      </c>
      <c r="AO474">
        <v>24.917386089140884</v>
      </c>
      <c r="AP474">
        <v>52.63441359853099</v>
      </c>
      <c r="AQ474">
        <v>177.56484337956442</v>
      </c>
      <c r="AR474">
        <v>26.568612898897076</v>
      </c>
      <c r="AS474">
        <v>227.1155478990153</v>
      </c>
      <c r="AT474">
        <v>13.223274715367419</v>
      </c>
      <c r="AU474">
        <v>28.145880986717454</v>
      </c>
      <c r="AV474"/>
      <c r="AW474"/>
      <c r="FY474" s="213">
        <v>469</v>
      </c>
      <c r="FZ474">
        <v>36.03660340256102</v>
      </c>
      <c r="GA474">
        <v>39.574557158711038</v>
      </c>
      <c r="GB474">
        <v>11.381668932042526</v>
      </c>
      <c r="GC474">
        <v>6.3128293894474297</v>
      </c>
      <c r="GD474">
        <v>4.9294550673213511</v>
      </c>
      <c r="GE474">
        <v>5.5432719071455372</v>
      </c>
      <c r="GF474">
        <v>19.040274392092833</v>
      </c>
      <c r="GG474">
        <v>16.090819375766149</v>
      </c>
      <c r="GH474">
        <v>8.7221468927452275</v>
      </c>
      <c r="GI474">
        <v>16.201279641548215</v>
      </c>
      <c r="GJ474"/>
      <c r="GK474"/>
      <c r="GL474"/>
      <c r="GM474"/>
      <c r="GN474" s="208"/>
      <c r="GO474" s="208"/>
      <c r="GP474" s="208"/>
      <c r="GQ474" s="208"/>
      <c r="GR474" s="208"/>
      <c r="GS474" s="208"/>
      <c r="GT474" s="208"/>
      <c r="GU474" s="213">
        <v>469</v>
      </c>
    </row>
    <row r="475" spans="1:203" s="7" customFormat="1">
      <c r="A475" s="4"/>
      <c r="B475" s="16"/>
      <c r="C475" s="63">
        <v>9</v>
      </c>
      <c r="D475" s="101">
        <f>SUM($N$228:$N$347)/$A$438</f>
        <v>0.3125</v>
      </c>
      <c r="E475" s="97">
        <f>P36</f>
        <v>4.0442970220427874</v>
      </c>
      <c r="F475" s="102">
        <f>+D475-D477</f>
        <v>0</v>
      </c>
      <c r="G475" s="101">
        <f>+D475*E475</f>
        <v>1.2638428193883711</v>
      </c>
      <c r="H475" s="101"/>
      <c r="I475" s="101"/>
      <c r="J475" s="101"/>
      <c r="K475" s="101"/>
      <c r="L475" s="206"/>
      <c r="M475" s="206"/>
      <c r="N475" s="206"/>
      <c r="O475" s="206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4"/>
      <c r="AB475" s="4"/>
      <c r="AC475" s="4"/>
      <c r="AD475" s="4"/>
      <c r="AE475" s="4"/>
      <c r="AF475" s="81"/>
      <c r="AG475" s="81"/>
      <c r="AH475" s="81"/>
      <c r="AI475" s="4"/>
      <c r="AJ475" s="81"/>
      <c r="AK475" s="81"/>
      <c r="AL475" s="81"/>
      <c r="AM475" s="43">
        <v>459</v>
      </c>
      <c r="AN475">
        <v>311.38646618320274</v>
      </c>
      <c r="AO475">
        <v>28.19556037842138</v>
      </c>
      <c r="AP475">
        <v>96.724521697754909</v>
      </c>
      <c r="AQ475">
        <v>204.27129106423951</v>
      </c>
      <c r="AR475">
        <v>28.135090176585052</v>
      </c>
      <c r="AS475">
        <v>259.23214132682921</v>
      </c>
      <c r="AT475">
        <v>10.936704648877216</v>
      </c>
      <c r="AU475">
        <v>-19.907382652948275</v>
      </c>
      <c r="AV475"/>
      <c r="AW475"/>
      <c r="FY475" s="213">
        <v>470</v>
      </c>
      <c r="FZ475">
        <v>56.945386201711536</v>
      </c>
      <c r="GA475">
        <v>50.944116297068994</v>
      </c>
      <c r="GB475">
        <v>13.518807987264104</v>
      </c>
      <c r="GC475">
        <v>5.7187805984461688</v>
      </c>
      <c r="GD475">
        <v>4.0177988298029792</v>
      </c>
      <c r="GE475">
        <v>2.6323987231776389</v>
      </c>
      <c r="GF475">
        <v>5.2961805118091645</v>
      </c>
      <c r="GG475">
        <v>6.9565788066718994</v>
      </c>
      <c r="GH475">
        <v>11.644453613076031</v>
      </c>
      <c r="GI475">
        <v>17.307321983080652</v>
      </c>
      <c r="GJ475"/>
      <c r="GK475"/>
      <c r="GL475"/>
      <c r="GM475"/>
      <c r="GN475" s="208"/>
      <c r="GO475" s="208"/>
      <c r="GP475" s="208"/>
      <c r="GQ475" s="208"/>
      <c r="GR475" s="208"/>
      <c r="GS475" s="208"/>
      <c r="GT475" s="208"/>
      <c r="GU475" s="213">
        <v>470</v>
      </c>
    </row>
    <row r="476" spans="1:203" s="7" customFormat="1">
      <c r="A476" s="4"/>
      <c r="B476" s="16"/>
      <c r="C476" s="63"/>
      <c r="D476" s="101"/>
      <c r="E476" s="63"/>
      <c r="F476" s="63"/>
      <c r="G476" s="101"/>
      <c r="H476" s="101">
        <f>+SQRT(E475*E477)</f>
        <v>4.6543673491225954</v>
      </c>
      <c r="I476" s="101">
        <f>+H476*F475</f>
        <v>0</v>
      </c>
      <c r="J476" s="101">
        <f>+I476*$A$440</f>
        <v>0</v>
      </c>
      <c r="K476" s="61">
        <f>IF(AND(J476&lt;0, J474&lt;0), 0, J476)</f>
        <v>0</v>
      </c>
      <c r="L476" s="206"/>
      <c r="M476" s="206"/>
      <c r="N476" s="206"/>
      <c r="O476" s="206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4"/>
      <c r="AB476" s="4"/>
      <c r="AC476" s="4"/>
      <c r="AD476" s="4"/>
      <c r="AE476" s="4"/>
      <c r="AF476" s="81"/>
      <c r="AG476" s="81"/>
      <c r="AH476" s="81"/>
      <c r="AI476" s="4"/>
      <c r="AJ476" s="81"/>
      <c r="AK476" s="81"/>
      <c r="AL476" s="81"/>
      <c r="AM476" s="43">
        <v>460</v>
      </c>
      <c r="AN476">
        <v>341.61431255796072</v>
      </c>
      <c r="AO476">
        <v>31.440337434756607</v>
      </c>
      <c r="AP476">
        <v>60.568627059920821</v>
      </c>
      <c r="AQ476">
        <v>238.48956013014373</v>
      </c>
      <c r="AR476">
        <v>33.240330681728651</v>
      </c>
      <c r="AS476">
        <v>298.52100462030103</v>
      </c>
      <c r="AT476">
        <v>15.315576690786742</v>
      </c>
      <c r="AU476">
        <v>4.2418629086691979</v>
      </c>
      <c r="AV476"/>
      <c r="AW476"/>
      <c r="FY476" s="213">
        <v>471</v>
      </c>
      <c r="FZ476">
        <v>48.492000727224116</v>
      </c>
      <c r="GA476">
        <v>73.161472567770019</v>
      </c>
      <c r="GB476">
        <v>17.474354508567981</v>
      </c>
      <c r="GC476">
        <v>6.0357733625541528</v>
      </c>
      <c r="GD476">
        <v>4.3391332546198473</v>
      </c>
      <c r="GE476">
        <v>6.1025119040895541</v>
      </c>
      <c r="GF476">
        <v>22.885568679537815</v>
      </c>
      <c r="GG476">
        <v>17.338363176327441</v>
      </c>
      <c r="GH476">
        <v>8.8939007353061346</v>
      </c>
      <c r="GI476">
        <v>20.260856861052606</v>
      </c>
      <c r="GJ476"/>
      <c r="GK476"/>
      <c r="GL476"/>
      <c r="GM476"/>
      <c r="GN476" s="208"/>
      <c r="GO476" s="208"/>
      <c r="GP476" s="208"/>
      <c r="GQ476" s="208"/>
      <c r="GR476" s="208"/>
      <c r="GS476" s="208"/>
      <c r="GT476" s="208"/>
      <c r="GU476" s="213">
        <v>471</v>
      </c>
    </row>
    <row r="477" spans="1:203" s="7" customFormat="1">
      <c r="A477" s="4"/>
      <c r="B477" s="16"/>
      <c r="C477" s="63">
        <v>10</v>
      </c>
      <c r="D477" s="101">
        <f>SUM($O$228:$O$347)/$A$438</f>
        <v>0.3125</v>
      </c>
      <c r="E477" s="97">
        <f>Q36</f>
        <v>5.3564649931760897</v>
      </c>
      <c r="F477" s="102">
        <f>+D477-D479</f>
        <v>0.20833333333333334</v>
      </c>
      <c r="G477" s="101">
        <f>+D477*E477</f>
        <v>1.673895310367528</v>
      </c>
      <c r="H477" s="101"/>
      <c r="I477" s="101"/>
      <c r="J477" s="101"/>
      <c r="K477" s="101"/>
      <c r="L477" s="206"/>
      <c r="M477" s="206"/>
      <c r="N477" s="206"/>
      <c r="O477" s="206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4"/>
      <c r="AB477" s="4"/>
      <c r="AC477" s="4"/>
      <c r="AD477" s="4"/>
      <c r="AE477" s="4"/>
      <c r="AF477" s="81"/>
      <c r="AG477" s="81"/>
      <c r="AH477" s="81"/>
      <c r="AI477" s="4"/>
      <c r="AJ477" s="81"/>
      <c r="AK477" s="81"/>
      <c r="AL477" s="81"/>
      <c r="AM477" s="43">
        <v>461</v>
      </c>
      <c r="AN477">
        <v>366.26383675527859</v>
      </c>
      <c r="AO477">
        <v>35.467129336338658</v>
      </c>
      <c r="AP477">
        <v>125.97331899006072</v>
      </c>
      <c r="AQ477">
        <v>263.19635044702454</v>
      </c>
      <c r="AR477">
        <v>35.480306431781031</v>
      </c>
      <c r="AS477">
        <v>316.00730985656372</v>
      </c>
      <c r="AT477">
        <v>17.11015504715531</v>
      </c>
      <c r="AU477">
        <v>18.103406661786408</v>
      </c>
      <c r="AV477"/>
      <c r="AW477"/>
      <c r="FY477" s="213">
        <v>472</v>
      </c>
      <c r="FZ477">
        <v>59.796502514940499</v>
      </c>
      <c r="GA477">
        <v>71.721226319094058</v>
      </c>
      <c r="GB477">
        <v>15.196927899510454</v>
      </c>
      <c r="GC477">
        <v>4.8843488998268496</v>
      </c>
      <c r="GD477">
        <v>4.8691546035437527</v>
      </c>
      <c r="GE477">
        <v>9.1157971397480377</v>
      </c>
      <c r="GF477">
        <v>16.584119627158135</v>
      </c>
      <c r="GG477">
        <v>9.4539267006544758</v>
      </c>
      <c r="GH477">
        <v>19.767552796446534</v>
      </c>
      <c r="GI477">
        <v>22.073252137473389</v>
      </c>
      <c r="GJ477"/>
      <c r="GK477"/>
      <c r="GL477"/>
      <c r="GM477"/>
      <c r="GN477" s="208"/>
      <c r="GO477" s="208"/>
      <c r="GP477" s="208"/>
      <c r="GQ477" s="208"/>
      <c r="GR477" s="208"/>
      <c r="GS477" s="208"/>
      <c r="GT477" s="208"/>
      <c r="GU477" s="213">
        <v>472</v>
      </c>
    </row>
    <row r="478" spans="1:203" s="7" customFormat="1">
      <c r="A478" s="4"/>
      <c r="B478" s="4"/>
      <c r="C478" s="63"/>
      <c r="D478" s="101"/>
      <c r="E478" s="63"/>
      <c r="F478" s="63"/>
      <c r="G478" s="101"/>
      <c r="H478" s="101">
        <f>+SQRT(E477*E479)</f>
        <v>6.0824061501897582</v>
      </c>
      <c r="I478" s="101">
        <f>+H478*F477</f>
        <v>1.2671679479561997</v>
      </c>
      <c r="J478" s="101">
        <f>+I478*$A$440</f>
        <v>13.938847427518196</v>
      </c>
      <c r="K478" s="61">
        <f>IF(AND(J478&lt;0, J476&lt;0), 0, J478)</f>
        <v>13.938847427518196</v>
      </c>
      <c r="L478" s="206"/>
      <c r="M478" s="206"/>
      <c r="N478" s="206"/>
      <c r="O478" s="206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4"/>
      <c r="AB478" s="4"/>
      <c r="AC478" s="4"/>
      <c r="AD478" s="4"/>
      <c r="AE478" s="4"/>
      <c r="AF478" s="81"/>
      <c r="AG478" s="81"/>
      <c r="AH478" s="81"/>
      <c r="AI478" s="4"/>
      <c r="AJ478" s="81"/>
      <c r="AK478" s="81"/>
      <c r="AL478" s="81"/>
      <c r="AM478" s="43">
        <v>462</v>
      </c>
      <c r="AN478">
        <v>317.88814440534554</v>
      </c>
      <c r="AO478">
        <v>27.364701034243986</v>
      </c>
      <c r="AP478">
        <v>124.85442161514335</v>
      </c>
      <c r="AQ478">
        <v>201.32694091459572</v>
      </c>
      <c r="AR478">
        <v>27.164200427129355</v>
      </c>
      <c r="AS478">
        <v>253.75259180770288</v>
      </c>
      <c r="AT478">
        <v>12.749536195194985</v>
      </c>
      <c r="AU478">
        <v>0.15530501514942152</v>
      </c>
      <c r="AV478"/>
      <c r="AW478"/>
      <c r="FY478" s="213">
        <v>473</v>
      </c>
      <c r="FZ478">
        <v>46.803205397785817</v>
      </c>
      <c r="GA478">
        <v>43.280978242532051</v>
      </c>
      <c r="GB478">
        <v>8.4084276786359826</v>
      </c>
      <c r="GC478">
        <v>5.9999626392948269</v>
      </c>
      <c r="GD478">
        <v>5.0090308330292794</v>
      </c>
      <c r="GE478">
        <v>4.2450980289936942</v>
      </c>
      <c r="GF478">
        <v>9.9724555845458642</v>
      </c>
      <c r="GG478">
        <v>10.070686868187225</v>
      </c>
      <c r="GH478">
        <v>9.4401764454945845</v>
      </c>
      <c r="GI478">
        <v>15.408976402606758</v>
      </c>
      <c r="GJ478"/>
      <c r="GK478"/>
      <c r="GL478"/>
      <c r="GM478"/>
      <c r="GN478" s="208"/>
      <c r="GO478" s="208"/>
      <c r="GP478" s="208"/>
      <c r="GQ478" s="208"/>
      <c r="GR478" s="208"/>
      <c r="GS478" s="208"/>
      <c r="GT478" s="208"/>
      <c r="GU478" s="213">
        <v>473</v>
      </c>
    </row>
    <row r="479" spans="1:203" s="7" customFormat="1">
      <c r="A479" s="4"/>
      <c r="B479" s="4"/>
      <c r="C479" s="100">
        <v>11</v>
      </c>
      <c r="D479" s="101">
        <f>SUM($P$228:$P$347)/$A$438</f>
        <v>0.10416666666666666</v>
      </c>
      <c r="E479" s="97">
        <f>R36</f>
        <v>6.9067313280301672</v>
      </c>
      <c r="F479" s="102">
        <f>+D479-D481</f>
        <v>0.10416666666666666</v>
      </c>
      <c r="G479" s="101">
        <f>+D479*E479</f>
        <v>0.71945118000314234</v>
      </c>
      <c r="H479" s="101"/>
      <c r="I479" s="101"/>
      <c r="J479" s="101"/>
      <c r="K479" s="101"/>
      <c r="L479" s="206"/>
      <c r="M479" s="206"/>
      <c r="N479" s="206"/>
      <c r="O479" s="206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4"/>
      <c r="AB479" s="4"/>
      <c r="AC479" s="4"/>
      <c r="AD479" s="4"/>
      <c r="AE479" s="4"/>
      <c r="AF479" s="81"/>
      <c r="AG479" s="81"/>
      <c r="AH479" s="81"/>
      <c r="AI479" s="4"/>
      <c r="AJ479" s="81"/>
      <c r="AK479" s="81"/>
      <c r="AL479" s="81"/>
      <c r="AM479" s="43">
        <v>463</v>
      </c>
      <c r="AN479">
        <v>330.98355184517561</v>
      </c>
      <c r="AO479">
        <v>28.41165180898501</v>
      </c>
      <c r="AP479">
        <v>108.03392517841566</v>
      </c>
      <c r="AQ479">
        <v>207.53076649126453</v>
      </c>
      <c r="AR479">
        <v>29.377477768242485</v>
      </c>
      <c r="AS479">
        <v>258.94510709152587</v>
      </c>
      <c r="AT479">
        <v>13.380643450463623</v>
      </c>
      <c r="AU479">
        <v>28.976347565356139</v>
      </c>
      <c r="AV479"/>
      <c r="AW479"/>
      <c r="FY479" s="213">
        <v>474</v>
      </c>
      <c r="FZ479">
        <v>31.670826278459838</v>
      </c>
      <c r="GA479">
        <v>57.719705530755043</v>
      </c>
      <c r="GB479">
        <v>15.553138357552564</v>
      </c>
      <c r="GC479">
        <v>9.484077497087231</v>
      </c>
      <c r="GD479">
        <v>8.1521411467410552</v>
      </c>
      <c r="GE479">
        <v>4.0595445250530728</v>
      </c>
      <c r="GF479">
        <v>7.9196396023588651</v>
      </c>
      <c r="GG479">
        <v>10.686869929747978</v>
      </c>
      <c r="GH479">
        <v>12.656189175491539</v>
      </c>
      <c r="GI479">
        <v>17.374881654671103</v>
      </c>
      <c r="GJ479"/>
      <c r="GK479"/>
      <c r="GL479"/>
      <c r="GM479"/>
      <c r="GN479" s="208"/>
      <c r="GO479" s="208"/>
      <c r="GP479" s="208"/>
      <c r="GQ479" s="208"/>
      <c r="GR479" s="208"/>
      <c r="GS479" s="208"/>
      <c r="GT479" s="208"/>
      <c r="GU479" s="213">
        <v>474</v>
      </c>
    </row>
    <row r="480" spans="1:203" s="7" customFormat="1">
      <c r="A480" s="4"/>
      <c r="B480" s="4"/>
      <c r="C480" s="104"/>
      <c r="D480" s="101"/>
      <c r="E480" s="63"/>
      <c r="F480" s="63"/>
      <c r="G480" s="101"/>
      <c r="H480" s="101">
        <f>+SQRT(E479*E481)</f>
        <v>7.7564609115215708</v>
      </c>
      <c r="I480" s="101">
        <f>+H480*F479</f>
        <v>0.80796467828349694</v>
      </c>
      <c r="J480" s="101">
        <f>+I480*$A$440</f>
        <v>8.8876114611184658</v>
      </c>
      <c r="K480" s="61">
        <f>IF(AND(J480&lt;0, J478&lt;0), 0, J480)</f>
        <v>8.8876114611184658</v>
      </c>
      <c r="L480" s="206"/>
      <c r="M480" s="206"/>
      <c r="N480" s="206"/>
      <c r="O480" s="206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4"/>
      <c r="AB480" s="4"/>
      <c r="AC480" s="4"/>
      <c r="AD480" s="4"/>
      <c r="AE480" s="4"/>
      <c r="AF480" s="81"/>
      <c r="AG480" s="81"/>
      <c r="AH480" s="81"/>
      <c r="AI480" s="4"/>
      <c r="AJ480" s="81"/>
      <c r="AK480" s="81"/>
      <c r="AL480" s="81"/>
      <c r="AM480" s="43">
        <v>464</v>
      </c>
      <c r="AN480">
        <v>384.75772040490449</v>
      </c>
      <c r="AO480">
        <v>32.984951262800195</v>
      </c>
      <c r="AP480">
        <v>101.1634353175868</v>
      </c>
      <c r="AQ480">
        <v>225.58425690826255</v>
      </c>
      <c r="AR480">
        <v>33.104512794095228</v>
      </c>
      <c r="AS480">
        <v>295.36392651410114</v>
      </c>
      <c r="AT480">
        <v>13.771967101755726</v>
      </c>
      <c r="AU480">
        <v>-9.0774687093206339</v>
      </c>
      <c r="AV480"/>
      <c r="AW480"/>
      <c r="FY480" s="213">
        <v>475</v>
      </c>
      <c r="FZ480">
        <v>42.753241077561256</v>
      </c>
      <c r="GA480">
        <v>69.041346653202211</v>
      </c>
      <c r="GB480">
        <v>24.402939173804132</v>
      </c>
      <c r="GC480">
        <v>5.4415337789552476</v>
      </c>
      <c r="GD480">
        <v>4.980330978012959</v>
      </c>
      <c r="GE480">
        <v>6.5635774994430749</v>
      </c>
      <c r="GF480">
        <v>15.26596469643356</v>
      </c>
      <c r="GG480">
        <v>14.230926025268467</v>
      </c>
      <c r="GH480">
        <v>21.294581299578304</v>
      </c>
      <c r="GI480">
        <v>22.55512392368837</v>
      </c>
      <c r="GJ480"/>
      <c r="GK480"/>
      <c r="GL480"/>
      <c r="GM480"/>
      <c r="GN480" s="208"/>
      <c r="GO480" s="208"/>
      <c r="GP480" s="208"/>
      <c r="GQ480" s="208"/>
      <c r="GR480" s="208"/>
      <c r="GS480" s="208"/>
      <c r="GT480" s="208"/>
      <c r="GU480" s="213">
        <v>475</v>
      </c>
    </row>
    <row r="481" spans="1:203" s="7" customFormat="1">
      <c r="A481" s="4"/>
      <c r="B481" s="4"/>
      <c r="C481" s="63">
        <v>12</v>
      </c>
      <c r="D481" s="101">
        <f>SUM($Q$228:$Q$347)/$A$438</f>
        <v>0</v>
      </c>
      <c r="E481" s="97">
        <f>+S36</f>
        <v>8.7107320401763371</v>
      </c>
      <c r="F481" s="102">
        <f>+D481-D483</f>
        <v>0</v>
      </c>
      <c r="G481" s="101">
        <f>+D481*E481</f>
        <v>0</v>
      </c>
      <c r="H481" s="101"/>
      <c r="I481" s="101"/>
      <c r="J481" s="101"/>
      <c r="K481" s="101"/>
      <c r="L481" s="206"/>
      <c r="M481" s="206"/>
      <c r="N481" s="206"/>
      <c r="O481" s="206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4"/>
      <c r="AB481" s="4"/>
      <c r="AC481" s="4"/>
      <c r="AD481" s="4"/>
      <c r="AE481" s="4"/>
      <c r="AF481" s="81"/>
      <c r="AG481" s="81"/>
      <c r="AH481" s="81"/>
      <c r="AI481" s="4"/>
      <c r="AJ481" s="81"/>
      <c r="AK481" s="81"/>
      <c r="AL481" s="81"/>
      <c r="AM481" s="43">
        <v>465</v>
      </c>
      <c r="AN481">
        <v>276.36393316797569</v>
      </c>
      <c r="AO481">
        <v>23.320770164626747</v>
      </c>
      <c r="AP481">
        <v>124.7437233684236</v>
      </c>
      <c r="AQ481">
        <v>162.85264841562005</v>
      </c>
      <c r="AR481">
        <v>23.695832659748454</v>
      </c>
      <c r="AS481">
        <v>218.05560535692382</v>
      </c>
      <c r="AT481" t="e">
        <v>#DIV/0!</v>
      </c>
      <c r="AU481" t="e">
        <v>#DIV/0!</v>
      </c>
      <c r="AV481"/>
      <c r="AW481"/>
      <c r="FY481" s="213">
        <v>476</v>
      </c>
      <c r="FZ481">
        <v>49.914138974552507</v>
      </c>
      <c r="GA481">
        <v>49.738321799315223</v>
      </c>
      <c r="GB481">
        <v>13.994487772915511</v>
      </c>
      <c r="GC481">
        <v>6.03842509086512</v>
      </c>
      <c r="GD481">
        <v>5.7125606341354453</v>
      </c>
      <c r="GE481">
        <v>5.3367202783257719</v>
      </c>
      <c r="GF481">
        <v>11.167385988901502</v>
      </c>
      <c r="GG481">
        <v>12.396689719119482</v>
      </c>
      <c r="GH481">
        <v>8.8217576434667127</v>
      </c>
      <c r="GI481">
        <v>18.006959484091023</v>
      </c>
      <c r="GJ481"/>
      <c r="GK481"/>
      <c r="GL481"/>
      <c r="GM481"/>
      <c r="GN481" s="208"/>
      <c r="GO481" s="208"/>
      <c r="GP481" s="208"/>
      <c r="GQ481" s="208"/>
      <c r="GR481" s="208"/>
      <c r="GS481" s="208"/>
      <c r="GT481" s="208"/>
      <c r="GU481" s="213">
        <v>476</v>
      </c>
    </row>
    <row r="482" spans="1:203" s="7" customFormat="1">
      <c r="A482" s="4"/>
      <c r="B482" s="4"/>
      <c r="C482" s="63" t="s">
        <v>99</v>
      </c>
      <c r="D482" s="101"/>
      <c r="E482" s="63"/>
      <c r="F482" s="63"/>
      <c r="G482" s="101"/>
      <c r="H482" s="101">
        <f>+SQRT(E481*E483)</f>
        <v>9.6919222802179004</v>
      </c>
      <c r="I482" s="101">
        <f>+H482*F481</f>
        <v>0</v>
      </c>
      <c r="J482" s="101">
        <f>+I482*$A$440</f>
        <v>0</v>
      </c>
      <c r="K482" s="61">
        <f>IF(AND(J482&lt;0, J480&lt;0), 0, J482)</f>
        <v>0</v>
      </c>
      <c r="L482" s="206"/>
      <c r="M482" s="206"/>
      <c r="N482" s="206"/>
      <c r="O482" s="206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4"/>
      <c r="AB482" s="4"/>
      <c r="AC482" s="4"/>
      <c r="AD482" s="4"/>
      <c r="AE482" s="4"/>
      <c r="AF482" s="81"/>
      <c r="AG482" s="81"/>
      <c r="AH482" s="81"/>
      <c r="AI482" s="4"/>
      <c r="AJ482" s="81"/>
      <c r="AK482" s="81"/>
      <c r="AL482" s="81"/>
      <c r="AM482" s="43">
        <v>466</v>
      </c>
      <c r="AN482">
        <v>284.14195782620493</v>
      </c>
      <c r="AO482">
        <v>33.447029813957215</v>
      </c>
      <c r="AP482">
        <v>112.3423942313887</v>
      </c>
      <c r="AQ482">
        <v>236.03405591763942</v>
      </c>
      <c r="AR482">
        <v>33.899465975406912</v>
      </c>
      <c r="AS482">
        <v>264.57976867509007</v>
      </c>
      <c r="AT482">
        <v>13.376815494038228</v>
      </c>
      <c r="AU482">
        <v>-30.334771147094383</v>
      </c>
      <c r="AV482"/>
      <c r="AW482"/>
      <c r="FY482" s="213">
        <v>477</v>
      </c>
      <c r="FZ482">
        <v>24.016454381289162</v>
      </c>
      <c r="GA482">
        <v>27.863271401628037</v>
      </c>
      <c r="GB482">
        <v>7.5156146255306471</v>
      </c>
      <c r="GC482">
        <v>5.6858085223010022</v>
      </c>
      <c r="GD482">
        <v>5.3442291645556335</v>
      </c>
      <c r="GE482">
        <v>6.3351714639772805</v>
      </c>
      <c r="GF482">
        <v>16.535536313161948</v>
      </c>
      <c r="GG482">
        <v>16.400651275924584</v>
      </c>
      <c r="GH482">
        <v>20.068252622391764</v>
      </c>
      <c r="GI482">
        <v>14.918418814577059</v>
      </c>
      <c r="GJ482"/>
      <c r="GK482"/>
      <c r="GL482"/>
      <c r="GM482"/>
      <c r="GN482" s="208"/>
      <c r="GO482" s="208"/>
      <c r="GP482" s="208"/>
      <c r="GQ482" s="208"/>
      <c r="GR482" s="208"/>
      <c r="GS482" s="208"/>
      <c r="GT482" s="208"/>
      <c r="GU482" s="213">
        <v>477</v>
      </c>
    </row>
    <row r="483" spans="1:203" s="7" customFormat="1">
      <c r="A483" s="4"/>
      <c r="B483" s="4"/>
      <c r="C483" s="63">
        <v>13</v>
      </c>
      <c r="D483" s="101">
        <f>SUM($R$228:$R$347)/$A$438</f>
        <v>0</v>
      </c>
      <c r="E483" s="97">
        <f>+T36</f>
        <v>10.783635296383494</v>
      </c>
      <c r="F483" s="102">
        <f>+D483-D485</f>
        <v>0</v>
      </c>
      <c r="G483" s="101">
        <f>+D483*E483</f>
        <v>0</v>
      </c>
      <c r="H483" s="101"/>
      <c r="I483" s="101"/>
      <c r="J483" s="101"/>
      <c r="K483" s="101"/>
      <c r="L483" s="206"/>
      <c r="M483" s="206"/>
      <c r="N483" s="206"/>
      <c r="O483" s="206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4"/>
      <c r="AB483" s="4"/>
      <c r="AC483" s="4"/>
      <c r="AD483" s="4"/>
      <c r="AE483" s="4"/>
      <c r="AF483" s="81"/>
      <c r="AG483" s="81"/>
      <c r="AH483" s="81"/>
      <c r="AI483" s="4"/>
      <c r="AJ483" s="81"/>
      <c r="AK483" s="81"/>
      <c r="AL483" s="81"/>
      <c r="AM483" s="43">
        <v>467</v>
      </c>
      <c r="AN483">
        <v>310.721601619436</v>
      </c>
      <c r="AO483">
        <v>29.174643526539079</v>
      </c>
      <c r="AP483">
        <v>96.314494611386579</v>
      </c>
      <c r="AQ483">
        <v>227.60330333188469</v>
      </c>
      <c r="AR483">
        <v>30.085097204541707</v>
      </c>
      <c r="AS483">
        <v>257.86682682497508</v>
      </c>
      <c r="AT483">
        <v>15.147958456406732</v>
      </c>
      <c r="AU483">
        <v>26.084632872443635</v>
      </c>
      <c r="AV483"/>
      <c r="AW483"/>
      <c r="FY483" s="213">
        <v>478</v>
      </c>
      <c r="FZ483">
        <v>31.885785952804948</v>
      </c>
      <c r="GA483">
        <v>40.123805253119556</v>
      </c>
      <c r="GB483">
        <v>13.069179939339882</v>
      </c>
      <c r="GC483">
        <v>4.9264602484973832</v>
      </c>
      <c r="GD483">
        <v>3.0861503345952843</v>
      </c>
      <c r="GE483">
        <v>4.9415538553861769</v>
      </c>
      <c r="GF483">
        <v>23.693542443970877</v>
      </c>
      <c r="GG483">
        <v>17.733753084658755</v>
      </c>
      <c r="GH483">
        <v>7.4001209569132449</v>
      </c>
      <c r="GI483">
        <v>15.727573923699264</v>
      </c>
      <c r="GJ483"/>
      <c r="GK483"/>
      <c r="GL483"/>
      <c r="GM483"/>
      <c r="GN483" s="208"/>
      <c r="GO483" s="208"/>
      <c r="GP483" s="208"/>
      <c r="GQ483" s="208"/>
      <c r="GR483" s="208"/>
      <c r="GS483" s="208"/>
      <c r="GT483" s="208"/>
      <c r="GU483" s="213">
        <v>478</v>
      </c>
    </row>
    <row r="484" spans="1:203" s="7" customFormat="1">
      <c r="A484" s="4"/>
      <c r="B484" s="4"/>
      <c r="C484" s="63"/>
      <c r="D484" s="101"/>
      <c r="E484" s="63"/>
      <c r="F484" s="63"/>
      <c r="G484" s="101"/>
      <c r="H484" s="101">
        <f>+SQRT(E483*E485)</f>
        <v>11.90374094105222</v>
      </c>
      <c r="I484" s="101">
        <f>+H484*F483</f>
        <v>0</v>
      </c>
      <c r="J484" s="101">
        <f>+I484*$A$440</f>
        <v>0</v>
      </c>
      <c r="K484" s="61">
        <f>IF(AND(J484&lt;0, J482&lt;0), 0, J484)</f>
        <v>0</v>
      </c>
      <c r="L484" s="206"/>
      <c r="M484" s="206"/>
      <c r="N484" s="206"/>
      <c r="O484" s="206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4"/>
      <c r="AB484" s="4"/>
      <c r="AC484" s="4"/>
      <c r="AD484" s="4"/>
      <c r="AE484" s="4"/>
      <c r="AF484" s="81"/>
      <c r="AG484" s="81"/>
      <c r="AH484" s="81"/>
      <c r="AI484" s="4"/>
      <c r="AJ484" s="81"/>
      <c r="AK484" s="81"/>
      <c r="AL484" s="81"/>
      <c r="AM484" s="43">
        <v>468</v>
      </c>
      <c r="AN484">
        <v>225.95895297650469</v>
      </c>
      <c r="AO484">
        <v>25.13790609412824</v>
      </c>
      <c r="AP484">
        <v>59.703923281450173</v>
      </c>
      <c r="AQ484">
        <v>184.89533357032852</v>
      </c>
      <c r="AR484">
        <v>25.299722701901111</v>
      </c>
      <c r="AS484">
        <v>192.36834430441721</v>
      </c>
      <c r="AT484">
        <v>10.469244605413836</v>
      </c>
      <c r="AU484">
        <v>36.157399462014936</v>
      </c>
      <c r="AV484"/>
      <c r="AW484"/>
      <c r="FY484" s="213">
        <v>479</v>
      </c>
      <c r="FZ484">
        <v>33.628093888265376</v>
      </c>
      <c r="GA484">
        <v>50.180699252244153</v>
      </c>
      <c r="GB484">
        <v>15.580967360405666</v>
      </c>
      <c r="GC484">
        <v>8.2193444182438604</v>
      </c>
      <c r="GD484">
        <v>6.5364235631394978</v>
      </c>
      <c r="GE484">
        <v>2.7218448643997202</v>
      </c>
      <c r="GF484">
        <v>25.027693918383385</v>
      </c>
      <c r="GG484">
        <v>25.227710691273934</v>
      </c>
      <c r="GH484">
        <v>21.984689919875741</v>
      </c>
      <c r="GI484">
        <v>21.379363434578817</v>
      </c>
      <c r="GJ484"/>
      <c r="GK484"/>
      <c r="GL484"/>
      <c r="GM484"/>
      <c r="GN484" s="208"/>
      <c r="GO484" s="208"/>
      <c r="GP484" s="208"/>
      <c r="GQ484" s="208"/>
      <c r="GR484" s="208"/>
      <c r="GS484" s="208"/>
      <c r="GT484" s="208"/>
      <c r="GU484" s="213">
        <v>479</v>
      </c>
    </row>
    <row r="485" spans="1:203" s="7" customFormat="1">
      <c r="A485" s="4"/>
      <c r="B485" s="4"/>
      <c r="C485" s="63">
        <v>14</v>
      </c>
      <c r="D485" s="101">
        <f>SUM($S$228:$S$347)/$A$438</f>
        <v>0</v>
      </c>
      <c r="E485" s="97">
        <f>+U36</f>
        <v>13.140192940241995</v>
      </c>
      <c r="F485" s="102">
        <f>+D485-D487</f>
        <v>0</v>
      </c>
      <c r="G485" s="101">
        <f>+D485*E485</f>
        <v>0</v>
      </c>
      <c r="H485" s="101"/>
      <c r="I485" s="101"/>
      <c r="J485" s="101"/>
      <c r="K485" s="101"/>
      <c r="L485" s="206"/>
      <c r="M485" s="206"/>
      <c r="N485" s="206"/>
      <c r="O485" s="206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4"/>
      <c r="AB485" s="4"/>
      <c r="AC485" s="4"/>
      <c r="AD485" s="4"/>
      <c r="AE485" s="4"/>
      <c r="AF485" s="81"/>
      <c r="AG485" s="81"/>
      <c r="AH485" s="81"/>
      <c r="AI485" s="4"/>
      <c r="AJ485" s="81"/>
      <c r="AK485" s="81"/>
      <c r="AL485" s="81"/>
      <c r="AM485" s="43">
        <v>469</v>
      </c>
      <c r="AN485">
        <v>317.06848019300156</v>
      </c>
      <c r="AO485">
        <v>23.683153058201956</v>
      </c>
      <c r="AP485">
        <v>79.680082002053254</v>
      </c>
      <c r="AQ485">
        <v>163.83290615938134</v>
      </c>
      <c r="AR485">
        <v>23.986161816135645</v>
      </c>
      <c r="AS485">
        <v>228.86961344415508</v>
      </c>
      <c r="AT485">
        <v>10.391170451150028</v>
      </c>
      <c r="AU485">
        <v>10.031900156594633</v>
      </c>
      <c r="AV485"/>
      <c r="AW485"/>
      <c r="FY485" s="213">
        <v>480</v>
      </c>
      <c r="FZ485">
        <v>40.52983442975912</v>
      </c>
      <c r="GA485">
        <v>61.930612818012037</v>
      </c>
      <c r="GB485">
        <v>19.273389279229665</v>
      </c>
      <c r="GC485">
        <v>4.479643353391614</v>
      </c>
      <c r="GD485">
        <v>3.5014823085135909</v>
      </c>
      <c r="GE485">
        <v>3.1379890324022135</v>
      </c>
      <c r="GF485">
        <v>15.914699367691105</v>
      </c>
      <c r="GG485">
        <v>14.630095693680353</v>
      </c>
      <c r="GH485">
        <v>11.275740827188073</v>
      </c>
      <c r="GI485">
        <v>18.469414888730572</v>
      </c>
      <c r="GJ485"/>
      <c r="GK485"/>
      <c r="GL485"/>
      <c r="GM485"/>
      <c r="GN485" s="208"/>
      <c r="GO485" s="208"/>
      <c r="GP485" s="208"/>
      <c r="GQ485" s="208"/>
      <c r="GR485" s="208"/>
      <c r="GS485" s="208"/>
      <c r="GT485" s="208"/>
      <c r="GU485" s="213">
        <v>480</v>
      </c>
    </row>
    <row r="486" spans="1:203" s="7" customFormat="1">
      <c r="A486" s="4"/>
      <c r="B486" s="4"/>
      <c r="C486" s="63"/>
      <c r="D486" s="101"/>
      <c r="E486" s="63"/>
      <c r="F486" s="63"/>
      <c r="G486" s="101"/>
      <c r="H486" s="101">
        <f>+SQRT(E485*E487)</f>
        <v>14.406474023358443</v>
      </c>
      <c r="I486" s="101">
        <f>+H486*F485</f>
        <v>0</v>
      </c>
      <c r="J486" s="101">
        <f>+I486*$A$440</f>
        <v>0</v>
      </c>
      <c r="K486" s="61">
        <f>IF(AND(J486&lt;0, J484&lt;0), 0, J486)</f>
        <v>0</v>
      </c>
      <c r="L486" s="206"/>
      <c r="M486" s="206"/>
      <c r="N486" s="206"/>
      <c r="O486" s="206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4"/>
      <c r="AB486" s="4"/>
      <c r="AC486" s="4"/>
      <c r="AD486" s="4"/>
      <c r="AE486" s="4"/>
      <c r="AF486" s="81"/>
      <c r="AG486" s="81"/>
      <c r="AH486" s="81"/>
      <c r="AI486" s="4"/>
      <c r="AJ486" s="81"/>
      <c r="AK486" s="81"/>
      <c r="AL486" s="81"/>
      <c r="AM486" s="43">
        <v>470</v>
      </c>
      <c r="AN486">
        <v>220.81353868289389</v>
      </c>
      <c r="AO486">
        <v>24.093493934137701</v>
      </c>
      <c r="AP486">
        <v>34.509263374577316</v>
      </c>
      <c r="AQ486">
        <v>174.98182355210912</v>
      </c>
      <c r="AR486">
        <v>26.300777831006581</v>
      </c>
      <c r="AS486">
        <v>207.58335155325886</v>
      </c>
      <c r="AT486">
        <v>11.616377753528688</v>
      </c>
      <c r="AU486">
        <v>12.150792622295267</v>
      </c>
      <c r="AV486"/>
      <c r="AW486"/>
      <c r="FY486" s="213">
        <v>481</v>
      </c>
      <c r="FZ486">
        <v>37.140033903900253</v>
      </c>
      <c r="GA486">
        <v>45.703820389582532</v>
      </c>
      <c r="GB486">
        <v>13.142376874149184</v>
      </c>
      <c r="GC486">
        <v>4.9727094253483788</v>
      </c>
      <c r="GD486">
        <v>3.4354260788086002</v>
      </c>
      <c r="GE486">
        <v>1.6428718888996003</v>
      </c>
      <c r="GF486">
        <v>7.766411043069799</v>
      </c>
      <c r="GG486">
        <v>9.6411353949968213</v>
      </c>
      <c r="GH486">
        <v>18.474043855259403</v>
      </c>
      <c r="GI486">
        <v>15.546943258977118</v>
      </c>
      <c r="GJ486"/>
      <c r="GK486"/>
      <c r="GL486"/>
      <c r="GM486"/>
      <c r="GN486" s="208"/>
      <c r="GO486" s="208"/>
      <c r="GP486" s="208"/>
      <c r="GQ486" s="208"/>
      <c r="GR486" s="208"/>
      <c r="GS486" s="208"/>
      <c r="GT486" s="208"/>
      <c r="GU486" s="213">
        <v>481</v>
      </c>
    </row>
    <row r="487" spans="1:203" s="7" customFormat="1">
      <c r="A487" s="4"/>
      <c r="B487" s="4"/>
      <c r="C487" s="63">
        <v>15</v>
      </c>
      <c r="D487" s="101">
        <f>SUM($T$228:$T$347)/$A$438</f>
        <v>0</v>
      </c>
      <c r="E487" s="97">
        <f>V36</f>
        <v>15.794782826216199</v>
      </c>
      <c r="F487" s="102">
        <f>+D487-D489</f>
        <v>0</v>
      </c>
      <c r="G487" s="101">
        <f>+D487*E487</f>
        <v>0</v>
      </c>
      <c r="H487" s="101"/>
      <c r="I487" s="101"/>
      <c r="J487" s="101"/>
      <c r="K487" s="101"/>
      <c r="L487" s="206"/>
      <c r="M487" s="206"/>
      <c r="N487" s="206"/>
      <c r="O487" s="206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4"/>
      <c r="AB487" s="4"/>
      <c r="AC487" s="4"/>
      <c r="AD487" s="4"/>
      <c r="AE487" s="4"/>
      <c r="AF487" s="81"/>
      <c r="AG487" s="81"/>
      <c r="AH487" s="81"/>
      <c r="AI487" s="4"/>
      <c r="AJ487" s="81"/>
      <c r="AK487" s="81"/>
      <c r="AL487" s="81"/>
      <c r="AM487" s="43">
        <v>471</v>
      </c>
      <c r="AN487">
        <v>353.10013139658815</v>
      </c>
      <c r="AO487">
        <v>30.750290686475996</v>
      </c>
      <c r="AP487">
        <v>98.478883269604353</v>
      </c>
      <c r="AQ487">
        <v>224.98393577704971</v>
      </c>
      <c r="AR487">
        <v>30.002300160634029</v>
      </c>
      <c r="AS487">
        <v>274.62243811157276</v>
      </c>
      <c r="AT487">
        <v>13.302309646722234</v>
      </c>
      <c r="AU487">
        <v>15.130978174962081</v>
      </c>
      <c r="AV487"/>
      <c r="AW487"/>
      <c r="FY487" s="213">
        <v>482</v>
      </c>
      <c r="FZ487">
        <v>33.881485697714702</v>
      </c>
      <c r="GA487">
        <v>25.606392597669515</v>
      </c>
      <c r="GB487">
        <v>8.850675290742581</v>
      </c>
      <c r="GC487">
        <v>9.3703464695818006</v>
      </c>
      <c r="GD487">
        <v>6.6698741491442313</v>
      </c>
      <c r="GE487">
        <v>4.0628877365941589</v>
      </c>
      <c r="GF487">
        <v>13.312442584094491</v>
      </c>
      <c r="GG487">
        <v>11.015599610577361</v>
      </c>
      <c r="GH487">
        <v>12.696212662893153</v>
      </c>
      <c r="GI487">
        <v>15.691302631434567</v>
      </c>
      <c r="GJ487"/>
      <c r="GK487"/>
      <c r="GL487"/>
      <c r="GM487"/>
      <c r="GN487" s="208"/>
      <c r="GO487" s="208"/>
      <c r="GP487" s="208"/>
      <c r="GQ487" s="208"/>
      <c r="GR487" s="208"/>
      <c r="GS487" s="208"/>
      <c r="GT487" s="208"/>
      <c r="GU487" s="213">
        <v>482</v>
      </c>
    </row>
    <row r="488" spans="1:203" s="7" customFormat="1">
      <c r="A488" s="4"/>
      <c r="B488" s="4"/>
      <c r="C488" s="63"/>
      <c r="D488" s="101"/>
      <c r="E488" s="63"/>
      <c r="F488" s="63"/>
      <c r="G488" s="101"/>
      <c r="H488" s="101">
        <f>+SQRT(E487*E489)</f>
        <v>17.214323563270106</v>
      </c>
      <c r="I488" s="101">
        <f>+H488*F487</f>
        <v>0</v>
      </c>
      <c r="J488" s="101">
        <f>+I488*$A$440</f>
        <v>0</v>
      </c>
      <c r="K488" s="61">
        <f>IF(AND(J488&lt;0, J486&lt;0), 0, J488)</f>
        <v>0</v>
      </c>
      <c r="L488" s="206"/>
      <c r="M488" s="206"/>
      <c r="N488" s="206"/>
      <c r="O488" s="206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4"/>
      <c r="AB488" s="4"/>
      <c r="AC488" s="4"/>
      <c r="AD488" s="4"/>
      <c r="AE488" s="4"/>
      <c r="AF488" s="81"/>
      <c r="AG488" s="81"/>
      <c r="AH488" s="81"/>
      <c r="AI488" s="4"/>
      <c r="AJ488" s="81"/>
      <c r="AK488" s="81"/>
      <c r="AL488" s="81"/>
      <c r="AM488" s="43">
        <v>472</v>
      </c>
      <c r="AN488">
        <v>331.7255428894411</v>
      </c>
      <c r="AO488">
        <v>31.808574325258768</v>
      </c>
      <c r="AP488">
        <v>72.04374199618735</v>
      </c>
      <c r="AQ488">
        <v>233.46280863839618</v>
      </c>
      <c r="AR488">
        <v>33.572455290913105</v>
      </c>
      <c r="AS488">
        <v>266.73016620455712</v>
      </c>
      <c r="AT488">
        <v>13.428760653130455</v>
      </c>
      <c r="AU488">
        <v>-1.4433306858495563</v>
      </c>
      <c r="AV488"/>
      <c r="AW488"/>
      <c r="FY488" s="213">
        <v>483</v>
      </c>
      <c r="FZ488">
        <v>48.881745468114971</v>
      </c>
      <c r="GA488">
        <v>48.443461387222321</v>
      </c>
      <c r="GB488">
        <v>7.3663677342242853</v>
      </c>
      <c r="GC488">
        <v>7.99235829990225</v>
      </c>
      <c r="GD488">
        <v>6.6941746412454552</v>
      </c>
      <c r="GE488">
        <v>5.7802079861232123</v>
      </c>
      <c r="GF488">
        <v>27.966800284114587</v>
      </c>
      <c r="GG488">
        <v>24.526212605640822</v>
      </c>
      <c r="GH488">
        <v>20.858157432828126</v>
      </c>
      <c r="GI488">
        <v>21.427324238694847</v>
      </c>
      <c r="GJ488"/>
      <c r="GK488"/>
      <c r="GL488"/>
      <c r="GM488"/>
      <c r="GN488" s="208"/>
      <c r="GO488" s="208"/>
      <c r="GP488" s="208"/>
      <c r="GQ488" s="208"/>
      <c r="GR488" s="208"/>
      <c r="GS488" s="208"/>
      <c r="GT488" s="208"/>
      <c r="GU488" s="213">
        <v>483</v>
      </c>
    </row>
    <row r="489" spans="1:203" s="7" customFormat="1">
      <c r="A489" s="4"/>
      <c r="B489" s="4"/>
      <c r="C489" s="63">
        <v>16</v>
      </c>
      <c r="D489" s="101">
        <f>SUM($U$228:$U$347)/$A$438</f>
        <v>0</v>
      </c>
      <c r="E489" s="97">
        <f>W36</f>
        <v>18.761444142752168</v>
      </c>
      <c r="F489" s="102">
        <f>+D489-D491</f>
        <v>0</v>
      </c>
      <c r="G489" s="101">
        <f>+D489*E489</f>
        <v>0</v>
      </c>
      <c r="H489" s="101"/>
      <c r="I489" s="101"/>
      <c r="J489" s="101"/>
      <c r="K489" s="101"/>
      <c r="L489" s="206"/>
      <c r="M489" s="206"/>
      <c r="N489" s="206"/>
      <c r="O489" s="206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4"/>
      <c r="AB489" s="4"/>
      <c r="AC489" s="4"/>
      <c r="AD489" s="4"/>
      <c r="AE489" s="4"/>
      <c r="AF489" s="81"/>
      <c r="AG489" s="81"/>
      <c r="AH489" s="81"/>
      <c r="AI489" s="4"/>
      <c r="AJ489" s="81"/>
      <c r="AK489" s="81"/>
      <c r="AL489" s="81"/>
      <c r="AM489" s="43">
        <v>473</v>
      </c>
      <c r="AN489">
        <v>249.53649178059854</v>
      </c>
      <c r="AO489">
        <v>21.851976659655993</v>
      </c>
      <c r="AP489">
        <v>54.053699586305122</v>
      </c>
      <c r="AQ489">
        <v>158.63899812110608</v>
      </c>
      <c r="AR489">
        <v>22.642114239408418</v>
      </c>
      <c r="AS489">
        <v>206.99995759784014</v>
      </c>
      <c r="AT489">
        <v>10.739756113486338</v>
      </c>
      <c r="AU489">
        <v>13.349059160793962</v>
      </c>
      <c r="AV489"/>
      <c r="AW489"/>
      <c r="FY489" s="213">
        <v>484</v>
      </c>
      <c r="FZ489">
        <v>40.810802191261544</v>
      </c>
      <c r="GA489">
        <v>43.882199457394456</v>
      </c>
      <c r="GB489">
        <v>11.198740098054973</v>
      </c>
      <c r="GC489">
        <v>9.3762051124277725</v>
      </c>
      <c r="GD489">
        <v>7.9057023527808861</v>
      </c>
      <c r="GE489">
        <v>5.692826443633499</v>
      </c>
      <c r="GF489">
        <v>26.993382311132937</v>
      </c>
      <c r="GG489">
        <v>23.343091897076462</v>
      </c>
      <c r="GH489">
        <v>8.730750321764388</v>
      </c>
      <c r="GI489">
        <v>20.043322139144813</v>
      </c>
      <c r="GJ489"/>
      <c r="GK489"/>
      <c r="GL489"/>
      <c r="GM489"/>
      <c r="GN489" s="208"/>
      <c r="GO489" s="208"/>
      <c r="GP489" s="208"/>
      <c r="GQ489" s="208"/>
      <c r="GR489" s="208"/>
      <c r="GS489" s="208"/>
      <c r="GT489" s="208"/>
      <c r="GU489" s="213">
        <v>484</v>
      </c>
    </row>
    <row r="490" spans="1:203" s="7" customFormat="1">
      <c r="A490" s="4"/>
      <c r="B490" s="4"/>
      <c r="C490" s="63"/>
      <c r="D490" s="101"/>
      <c r="E490" s="63"/>
      <c r="F490" s="63"/>
      <c r="G490" s="101"/>
      <c r="H490" s="101">
        <f>+SQRT(E489*E491)</f>
        <v>20.341168832586963</v>
      </c>
      <c r="I490" s="101">
        <f>+H490*F489</f>
        <v>0</v>
      </c>
      <c r="J490" s="101">
        <f>+I490*$A$440</f>
        <v>0</v>
      </c>
      <c r="K490" s="61">
        <f>IF(AND(J490&lt;0, J488&lt;0), 0, J490)</f>
        <v>0</v>
      </c>
      <c r="L490" s="206"/>
      <c r="M490" s="206"/>
      <c r="N490" s="206"/>
      <c r="O490" s="206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4"/>
      <c r="AB490" s="4"/>
      <c r="AC490" s="4"/>
      <c r="AD490" s="4"/>
      <c r="AE490" s="4"/>
      <c r="AF490" s="81"/>
      <c r="AG490" s="81"/>
      <c r="AH490" s="81"/>
      <c r="AI490" s="4"/>
      <c r="AJ490" s="81"/>
      <c r="AK490" s="81"/>
      <c r="AL490" s="81"/>
      <c r="AM490" s="43">
        <v>474</v>
      </c>
      <c r="AN490">
        <v>329.02495308211542</v>
      </c>
      <c r="AO490">
        <v>26.150807919134206</v>
      </c>
      <c r="AP490">
        <v>91.953511829485848</v>
      </c>
      <c r="AQ490">
        <v>175.27701369791828</v>
      </c>
      <c r="AR490">
        <v>25.384150728468803</v>
      </c>
      <c r="AS490">
        <v>270.26957409236581</v>
      </c>
      <c r="AT490">
        <v>11.267322517665606</v>
      </c>
      <c r="AU490">
        <v>-0.79512742680462978</v>
      </c>
      <c r="AV490"/>
      <c r="AW490"/>
      <c r="FY490" s="213">
        <v>485</v>
      </c>
      <c r="FZ490">
        <v>51.827926275964664</v>
      </c>
      <c r="GA490">
        <v>40.907461914084358</v>
      </c>
      <c r="GB490">
        <v>7.0619366080869126</v>
      </c>
      <c r="GC490">
        <v>7.4280030579770502</v>
      </c>
      <c r="GD490">
        <v>5.4331041987342621</v>
      </c>
      <c r="GE490">
        <v>4.2068581185236003</v>
      </c>
      <c r="GF490">
        <v>15.62434854653884</v>
      </c>
      <c r="GG490">
        <v>14.344009627541769</v>
      </c>
      <c r="GH490">
        <v>15.251753412905217</v>
      </c>
      <c r="GI490">
        <v>17.858283899725954</v>
      </c>
      <c r="GJ490"/>
      <c r="GK490"/>
      <c r="GL490"/>
      <c r="GM490"/>
      <c r="GN490" s="208"/>
      <c r="GO490" s="208"/>
      <c r="GP490" s="208"/>
      <c r="GQ490" s="208"/>
      <c r="GR490" s="208"/>
      <c r="GS490" s="208"/>
      <c r="GT490" s="208"/>
      <c r="GU490" s="213">
        <v>485</v>
      </c>
    </row>
    <row r="491" spans="1:203" s="7" customFormat="1">
      <c r="A491" s="4"/>
      <c r="B491" s="4"/>
      <c r="C491" s="63">
        <v>17</v>
      </c>
      <c r="D491" s="101">
        <f>SUM($V$228:$V$347)/$A$438</f>
        <v>0</v>
      </c>
      <c r="E491" s="97">
        <f>X36</f>
        <v>22.053907275344272</v>
      </c>
      <c r="F491" s="102">
        <f>+D491-D493</f>
        <v>0</v>
      </c>
      <c r="G491" s="101">
        <f>+D491*E491</f>
        <v>0</v>
      </c>
      <c r="H491" s="101"/>
      <c r="I491" s="101"/>
      <c r="J491" s="101"/>
      <c r="K491" s="101"/>
      <c r="L491" s="206"/>
      <c r="M491" s="206"/>
      <c r="N491" s="206"/>
      <c r="O491" s="206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4"/>
      <c r="AB491" s="4"/>
      <c r="AC491" s="4"/>
      <c r="AD491" s="4"/>
      <c r="AE491" s="4"/>
      <c r="AF491" s="81"/>
      <c r="AG491" s="81"/>
      <c r="AH491" s="81"/>
      <c r="AI491" s="4"/>
      <c r="AJ491" s="81"/>
      <c r="AK491" s="81"/>
      <c r="AL491" s="81"/>
      <c r="AM491" s="43">
        <v>475</v>
      </c>
      <c r="AN491">
        <v>322.11063584344635</v>
      </c>
      <c r="AO491">
        <v>33.096405279935517</v>
      </c>
      <c r="AP491">
        <v>83.49790785985769</v>
      </c>
      <c r="AQ491">
        <v>226.52956510594765</v>
      </c>
      <c r="AR491">
        <v>34.682801960783287</v>
      </c>
      <c r="AS491">
        <v>266.66339531162157</v>
      </c>
      <c r="AT491">
        <v>12.404754536885898</v>
      </c>
      <c r="AU491">
        <v>-1.301057878339094</v>
      </c>
      <c r="AV491"/>
      <c r="AW491"/>
      <c r="FY491" s="213">
        <v>486</v>
      </c>
      <c r="FZ491">
        <v>41.821525479717167</v>
      </c>
      <c r="GA491">
        <v>59.377485038629771</v>
      </c>
      <c r="GB491">
        <v>14.676932646941095</v>
      </c>
      <c r="GC491">
        <v>5.9746063218606089</v>
      </c>
      <c r="GD491">
        <v>4.8805767288649315</v>
      </c>
      <c r="GE491">
        <v>2.3983869517270651</v>
      </c>
      <c r="GF491">
        <v>9.1536492464569008</v>
      </c>
      <c r="GG491">
        <v>10.364065743388641</v>
      </c>
      <c r="GH491">
        <v>15.743746905102482</v>
      </c>
      <c r="GI491">
        <v>17.484322040104285</v>
      </c>
      <c r="GJ491"/>
      <c r="GK491"/>
      <c r="GL491"/>
      <c r="GM491"/>
      <c r="GN491" s="208"/>
      <c r="GO491" s="208"/>
      <c r="GP491" s="208"/>
      <c r="GQ491" s="208"/>
      <c r="GR491" s="208"/>
      <c r="GS491" s="208"/>
      <c r="GT491" s="208"/>
      <c r="GU491" s="213">
        <v>486</v>
      </c>
    </row>
    <row r="492" spans="1:203" s="7" customFormat="1">
      <c r="A492" s="4"/>
      <c r="B492" s="4"/>
      <c r="C492" s="63"/>
      <c r="D492" s="101"/>
      <c r="E492" s="63"/>
      <c r="F492" s="63"/>
      <c r="G492" s="101"/>
      <c r="H492" s="101">
        <f>+SQRT(E491*E493)</f>
        <v>23.800593842843387</v>
      </c>
      <c r="I492" s="101">
        <f>+H492*F491</f>
        <v>0</v>
      </c>
      <c r="J492" s="101">
        <f>+I492*$A$440</f>
        <v>0</v>
      </c>
      <c r="K492" s="61">
        <f>IF(AND(J492&lt;0, J490&lt;0), 0, J492)</f>
        <v>0</v>
      </c>
      <c r="L492" s="206"/>
      <c r="M492" s="206"/>
      <c r="N492" s="206"/>
      <c r="O492" s="206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4"/>
      <c r="AB492" s="4"/>
      <c r="AC492" s="4"/>
      <c r="AD492" s="4"/>
      <c r="AE492" s="4"/>
      <c r="AF492" s="81"/>
      <c r="AG492" s="81"/>
      <c r="AH492" s="81"/>
      <c r="AI492" s="4"/>
      <c r="AJ492" s="81"/>
      <c r="AK492" s="81"/>
      <c r="AL492" s="81"/>
      <c r="AM492" s="43">
        <v>476</v>
      </c>
      <c r="AN492">
        <v>296.95818011500353</v>
      </c>
      <c r="AO492">
        <v>25.430745187556376</v>
      </c>
      <c r="AP492">
        <v>48.06881657180881</v>
      </c>
      <c r="AQ492">
        <v>181.12744738568833</v>
      </c>
      <c r="AR492">
        <v>26.479556098708706</v>
      </c>
      <c r="AS492">
        <v>235.18399763950566</v>
      </c>
      <c r="AT492">
        <v>11.931913108381634</v>
      </c>
      <c r="AU492">
        <v>25.461140239316716</v>
      </c>
      <c r="AV492"/>
      <c r="AW492"/>
      <c r="FY492" s="213">
        <v>487</v>
      </c>
      <c r="FZ492">
        <v>50.960109984466619</v>
      </c>
      <c r="GA492">
        <v>62.502089659261358</v>
      </c>
      <c r="GB492">
        <v>8.9814878442561152</v>
      </c>
      <c r="GC492">
        <v>5.9873983341951771</v>
      </c>
      <c r="GD492">
        <v>4.5587290667245597</v>
      </c>
      <c r="GE492">
        <v>3.3941325170032424</v>
      </c>
      <c r="GF492">
        <v>3.0099521487770984</v>
      </c>
      <c r="GG492">
        <v>4.5932413907730938</v>
      </c>
      <c r="GH492">
        <v>12.718087241142202</v>
      </c>
      <c r="GI492">
        <v>15.151474676390105</v>
      </c>
      <c r="GJ492"/>
      <c r="GK492"/>
      <c r="GL492"/>
      <c r="GM492"/>
      <c r="GN492" s="208"/>
      <c r="GO492" s="208"/>
      <c r="GP492" s="208"/>
      <c r="GQ492" s="208"/>
      <c r="GR492" s="208"/>
      <c r="GS492" s="208"/>
      <c r="GT492" s="208"/>
      <c r="GU492" s="213">
        <v>487</v>
      </c>
    </row>
    <row r="493" spans="1:203" s="7" customFormat="1">
      <c r="A493" s="4"/>
      <c r="B493" s="4"/>
      <c r="C493" s="63">
        <v>18</v>
      </c>
      <c r="D493" s="101">
        <f>SUM($W$228:$W$347)/$A$438</f>
        <v>0</v>
      </c>
      <c r="E493" s="97">
        <f>+Y36</f>
        <v>25.685619341716023</v>
      </c>
      <c r="F493" s="102">
        <f>+D493-D495</f>
        <v>0</v>
      </c>
      <c r="G493" s="101">
        <f>+D493*E493</f>
        <v>0</v>
      </c>
      <c r="H493" s="101"/>
      <c r="I493" s="101"/>
      <c r="J493" s="101"/>
      <c r="K493" s="101"/>
      <c r="L493" s="206"/>
      <c r="M493" s="206"/>
      <c r="N493" s="206"/>
      <c r="O493" s="206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4"/>
      <c r="AB493" s="4"/>
      <c r="AC493" s="4"/>
      <c r="AD493" s="4"/>
      <c r="AE493" s="4"/>
      <c r="AF493" s="81"/>
      <c r="AG493" s="81"/>
      <c r="AH493" s="81"/>
      <c r="AI493" s="4"/>
      <c r="AJ493" s="81"/>
      <c r="AK493" s="81"/>
      <c r="AL493" s="81"/>
      <c r="AM493" s="43">
        <v>477</v>
      </c>
      <c r="AN493">
        <v>291.85946103564481</v>
      </c>
      <c r="AO493">
        <v>20.961534572628512</v>
      </c>
      <c r="AP493">
        <v>85.530158953471542</v>
      </c>
      <c r="AQ493">
        <v>144.68340858533708</v>
      </c>
      <c r="AR493">
        <v>21.60816568632157</v>
      </c>
      <c r="AS493">
        <v>218.39937322748017</v>
      </c>
      <c r="AT493">
        <v>10.013213855480656</v>
      </c>
      <c r="AU493">
        <v>18.412288362321441</v>
      </c>
      <c r="AV493"/>
      <c r="AW493"/>
      <c r="FY493" s="213">
        <v>488</v>
      </c>
      <c r="FZ493">
        <v>50.951699544396959</v>
      </c>
      <c r="GA493">
        <v>46.97189614877388</v>
      </c>
      <c r="GB493">
        <v>12.479570989033416</v>
      </c>
      <c r="GC493">
        <v>4.4849803123267904</v>
      </c>
      <c r="GD493">
        <v>3.5664382264614893</v>
      </c>
      <c r="GE493">
        <v>3.4917870058918323</v>
      </c>
      <c r="GF493">
        <v>19.252753390665898</v>
      </c>
      <c r="GG493">
        <v>19.550588588181459</v>
      </c>
      <c r="GH493">
        <v>15.007448306239864</v>
      </c>
      <c r="GI493">
        <v>18.946063923836984</v>
      </c>
      <c r="GJ493"/>
      <c r="GK493"/>
      <c r="GL493"/>
      <c r="GM493"/>
      <c r="GN493" s="208"/>
      <c r="GO493" s="208"/>
      <c r="GP493" s="208"/>
      <c r="GQ493" s="208"/>
      <c r="GR493" s="208"/>
      <c r="GS493" s="208"/>
      <c r="GT493" s="208"/>
      <c r="GU493" s="213">
        <v>488</v>
      </c>
    </row>
    <row r="494" spans="1:203" s="7" customFormat="1">
      <c r="A494" s="4"/>
      <c r="B494" s="4"/>
      <c r="C494" s="63"/>
      <c r="D494" s="101"/>
      <c r="E494" s="63"/>
      <c r="F494" s="63"/>
      <c r="G494" s="101"/>
      <c r="H494" s="101">
        <f>+SQRT(E493*E495)</f>
        <v>27.605910991890546</v>
      </c>
      <c r="I494" s="101">
        <f>+H494*F493</f>
        <v>0</v>
      </c>
      <c r="J494" s="101">
        <f>+I494*$A$440</f>
        <v>0</v>
      </c>
      <c r="K494" s="61">
        <f>IF(AND(J494&lt;0, J492&lt;0), 0, J494)</f>
        <v>0</v>
      </c>
      <c r="L494" s="206"/>
      <c r="M494" s="206"/>
      <c r="N494" s="206"/>
      <c r="O494" s="206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4"/>
      <c r="AB494" s="4"/>
      <c r="AC494" s="4"/>
      <c r="AD494" s="4"/>
      <c r="AE494" s="4"/>
      <c r="AF494" s="81"/>
      <c r="AG494" s="81"/>
      <c r="AH494" s="81"/>
      <c r="AI494" s="4"/>
      <c r="AJ494" s="81"/>
      <c r="AK494" s="81"/>
      <c r="AL494" s="81"/>
      <c r="AM494" s="43">
        <v>478</v>
      </c>
      <c r="AN494">
        <v>331.88188579794758</v>
      </c>
      <c r="AO494">
        <v>22.732584004420492</v>
      </c>
      <c r="AP494">
        <v>61.807721883353551</v>
      </c>
      <c r="AQ494">
        <v>162.58792599298536</v>
      </c>
      <c r="AR494">
        <v>22.908785754182727</v>
      </c>
      <c r="AS494">
        <v>241.2450127210596</v>
      </c>
      <c r="AT494">
        <v>10.256121469396527</v>
      </c>
      <c r="AU494">
        <v>32.908924693270748</v>
      </c>
      <c r="AV494"/>
      <c r="AW494"/>
      <c r="FY494" s="213">
        <v>489</v>
      </c>
      <c r="FZ494">
        <v>59.385310197506449</v>
      </c>
      <c r="GA494">
        <v>73.316422430150212</v>
      </c>
      <c r="GB494">
        <v>17.349666664102553</v>
      </c>
      <c r="GC494">
        <v>7.8606363478879446</v>
      </c>
      <c r="GD494">
        <v>5.9231200908852033</v>
      </c>
      <c r="GE494">
        <v>2.6453816426821501</v>
      </c>
      <c r="GF494">
        <v>17.712369320794455</v>
      </c>
      <c r="GG494">
        <v>19.469423284168379</v>
      </c>
      <c r="GH494">
        <v>8.2031471471746862</v>
      </c>
      <c r="GI494">
        <v>21.683040831905718</v>
      </c>
      <c r="GJ494"/>
      <c r="GK494"/>
      <c r="GL494"/>
      <c r="GM494"/>
      <c r="GN494" s="208"/>
      <c r="GO494" s="208"/>
      <c r="GP494" s="208"/>
      <c r="GQ494" s="208"/>
      <c r="GR494" s="208"/>
      <c r="GS494" s="208"/>
      <c r="GT494" s="208"/>
      <c r="GU494" s="213">
        <v>489</v>
      </c>
    </row>
    <row r="495" spans="1:203" s="7" customFormat="1">
      <c r="A495" s="4"/>
      <c r="B495" s="4"/>
      <c r="C495" s="63">
        <v>19</v>
      </c>
      <c r="D495" s="101">
        <f>SUM($X$228:$X$347)/$A$438</f>
        <v>0</v>
      </c>
      <c r="E495" s="97">
        <f>Z36</f>
        <v>29.669766243653644</v>
      </c>
      <c r="F495" s="102">
        <f>+D495-D497</f>
        <v>0</v>
      </c>
      <c r="G495" s="101">
        <f>+D495*E495</f>
        <v>0</v>
      </c>
      <c r="H495" s="101"/>
      <c r="I495" s="101"/>
      <c r="J495" s="101"/>
      <c r="K495" s="101"/>
      <c r="L495" s="206"/>
      <c r="M495" s="206"/>
      <c r="N495" s="206"/>
      <c r="O495" s="206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4"/>
      <c r="AB495" s="4"/>
      <c r="AC495" s="4"/>
      <c r="AD495" s="4"/>
      <c r="AE495" s="4"/>
      <c r="AF495" s="81"/>
      <c r="AG495" s="81"/>
      <c r="AH495" s="81"/>
      <c r="AI495" s="4"/>
      <c r="AJ495" s="81"/>
      <c r="AK495" s="81"/>
      <c r="AL495" s="81"/>
      <c r="AM495" s="43">
        <v>479</v>
      </c>
      <c r="AN495">
        <v>355.44889964595285</v>
      </c>
      <c r="AO495">
        <v>30.657102674374613</v>
      </c>
      <c r="AP495">
        <v>86.613495576969001</v>
      </c>
      <c r="AQ495">
        <v>210.48683131081012</v>
      </c>
      <c r="AR495">
        <v>31.46259069419591</v>
      </c>
      <c r="AS495">
        <v>283.94279708565551</v>
      </c>
      <c r="AT495">
        <v>13.130493368162712</v>
      </c>
      <c r="AU495">
        <v>-10.609216539718261</v>
      </c>
      <c r="AV495"/>
      <c r="AW495"/>
      <c r="FY495" s="213">
        <v>490</v>
      </c>
      <c r="FZ495">
        <v>35.93203178832006</v>
      </c>
      <c r="GA495">
        <v>39.489892360638613</v>
      </c>
      <c r="GB495">
        <v>11.942378976882942</v>
      </c>
      <c r="GC495">
        <v>4.9222232846182798</v>
      </c>
      <c r="GD495">
        <v>4.3974718138661979</v>
      </c>
      <c r="GE495">
        <v>6.6860780164636004</v>
      </c>
      <c r="GF495">
        <v>24.734113103247438</v>
      </c>
      <c r="GG495">
        <v>20.124356568886061</v>
      </c>
      <c r="GH495">
        <v>6.7186222932279192</v>
      </c>
      <c r="GI495">
        <v>16.773661244188276</v>
      </c>
      <c r="GJ495"/>
      <c r="GK495"/>
      <c r="GL495"/>
      <c r="GM495"/>
      <c r="GN495" s="208"/>
      <c r="GO495" s="208"/>
      <c r="GP495" s="208"/>
      <c r="GQ495" s="208"/>
      <c r="GR495" s="208"/>
      <c r="GS495" s="208"/>
      <c r="GT495" s="208"/>
      <c r="GU495" s="213">
        <v>490</v>
      </c>
    </row>
    <row r="496" spans="1:203" s="7" customFormat="1">
      <c r="A496" s="4"/>
      <c r="B496" s="4"/>
      <c r="C496" s="63"/>
      <c r="D496" s="101"/>
      <c r="E496" s="63"/>
      <c r="F496" s="63"/>
      <c r="G496" s="101"/>
      <c r="H496" s="101">
        <f>+SQRT(E495*E497)</f>
        <v>31.770181582395296</v>
      </c>
      <c r="I496" s="101">
        <f>+H496*F495</f>
        <v>0</v>
      </c>
      <c r="J496" s="101">
        <f>+I496*$A$440</f>
        <v>0</v>
      </c>
      <c r="K496" s="61">
        <f>IF(AND(J496&lt;0, J494&lt;0), 0, J496)</f>
        <v>0</v>
      </c>
      <c r="L496" s="206"/>
      <c r="M496" s="206"/>
      <c r="N496" s="206"/>
      <c r="O496" s="206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4"/>
      <c r="AB496" s="4"/>
      <c r="AC496" s="4"/>
      <c r="AD496" s="4"/>
      <c r="AE496" s="4"/>
      <c r="AF496" s="81"/>
      <c r="AG496" s="81"/>
      <c r="AH496" s="81"/>
      <c r="AI496" s="4"/>
      <c r="AJ496" s="81"/>
      <c r="AK496" s="81"/>
      <c r="AL496" s="81"/>
      <c r="AM496" s="43">
        <v>480</v>
      </c>
      <c r="AN496">
        <v>234.70446573368923</v>
      </c>
      <c r="AO496">
        <v>27.373167250538938</v>
      </c>
      <c r="AP496">
        <v>61.358261186927301</v>
      </c>
      <c r="AQ496">
        <v>193.14290199859829</v>
      </c>
      <c r="AR496">
        <v>27.955732151718706</v>
      </c>
      <c r="AS496">
        <v>223.49770836817331</v>
      </c>
      <c r="AT496">
        <v>9.9674617231338942</v>
      </c>
      <c r="AU496">
        <v>26.155325039637123</v>
      </c>
      <c r="AV496"/>
      <c r="AW496"/>
      <c r="FY496" s="213">
        <v>491</v>
      </c>
      <c r="FZ496">
        <v>39.05356804189735</v>
      </c>
      <c r="GA496">
        <v>46.136669083217747</v>
      </c>
      <c r="GB496">
        <v>8.3488302209135199</v>
      </c>
      <c r="GC496">
        <v>4.0420534005229412</v>
      </c>
      <c r="GD496">
        <v>4.1006065220956893</v>
      </c>
      <c r="GE496">
        <v>5.6058066762076502</v>
      </c>
      <c r="GF496">
        <v>13.08548567750195</v>
      </c>
      <c r="GG496">
        <v>12.578055058008893</v>
      </c>
      <c r="GH496">
        <v>11.018967431950148</v>
      </c>
      <c r="GI496">
        <v>14.559137328621031</v>
      </c>
      <c r="GJ496"/>
      <c r="GK496"/>
      <c r="GL496"/>
      <c r="GM496"/>
      <c r="GN496" s="208"/>
      <c r="GO496" s="208"/>
      <c r="GP496" s="208"/>
      <c r="GQ496" s="208"/>
      <c r="GR496" s="208"/>
      <c r="GS496" s="208"/>
      <c r="GT496" s="208"/>
      <c r="GU496" s="213">
        <v>491</v>
      </c>
    </row>
    <row r="497" spans="1:203" s="7" customFormat="1">
      <c r="A497" s="4"/>
      <c r="B497" s="4"/>
      <c r="C497" s="63">
        <v>20</v>
      </c>
      <c r="D497" s="101">
        <f>SUM($Y$228:$Y$347)/$A$438</f>
        <v>0</v>
      </c>
      <c r="E497" s="97">
        <f>AA36</f>
        <v>34.019291877443351</v>
      </c>
      <c r="F497" s="102">
        <f>+D497-D499</f>
        <v>0</v>
      </c>
      <c r="G497" s="101">
        <f>+D497*E497</f>
        <v>0</v>
      </c>
      <c r="H497" s="101"/>
      <c r="I497" s="101"/>
      <c r="J497" s="101"/>
      <c r="K497" s="101"/>
      <c r="L497" s="206"/>
      <c r="M497" s="206"/>
      <c r="N497" s="206"/>
      <c r="O497" s="206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4"/>
      <c r="AB497" s="4"/>
      <c r="AC497" s="4"/>
      <c r="AD497" s="4"/>
      <c r="AE497" s="4"/>
      <c r="AF497" s="81"/>
      <c r="AG497" s="81"/>
      <c r="AH497" s="81"/>
      <c r="AI497" s="4"/>
      <c r="AJ497" s="81"/>
      <c r="AK497" s="81"/>
      <c r="AL497" s="81"/>
      <c r="AM497" s="43">
        <v>481</v>
      </c>
      <c r="AN497">
        <v>218.9660935752508</v>
      </c>
      <c r="AO497">
        <v>21.80701908542013</v>
      </c>
      <c r="AP497">
        <v>155.65965940813217</v>
      </c>
      <c r="AQ497">
        <v>157.46577211299169</v>
      </c>
      <c r="AR497">
        <v>23.41574075962188</v>
      </c>
      <c r="AS497">
        <v>197.33375645354261</v>
      </c>
      <c r="AT497" t="e">
        <v>#DIV/0!</v>
      </c>
      <c r="AU497" t="e">
        <v>#DIV/0!</v>
      </c>
      <c r="AV497"/>
      <c r="AW497"/>
      <c r="FY497" s="213">
        <v>492</v>
      </c>
      <c r="FZ497">
        <v>61.551676811660542</v>
      </c>
      <c r="GA497">
        <v>54.003176370776551</v>
      </c>
      <c r="GB497">
        <v>7.6637259369474986</v>
      </c>
      <c r="GC497">
        <v>6.0496481138528777</v>
      </c>
      <c r="GD497">
        <v>5.5292296865274437</v>
      </c>
      <c r="GE497">
        <v>5.3849555228331347</v>
      </c>
      <c r="GF497">
        <v>13.510139508157881</v>
      </c>
      <c r="GG497">
        <v>11.609345211976013</v>
      </c>
      <c r="GH497">
        <v>19.225999756235009</v>
      </c>
      <c r="GI497">
        <v>19.87690512989683</v>
      </c>
      <c r="GJ497"/>
      <c r="GK497"/>
      <c r="GL497"/>
      <c r="GM497"/>
      <c r="GN497" s="208"/>
      <c r="GO497" s="208"/>
      <c r="GP497" s="208"/>
      <c r="GQ497" s="208"/>
      <c r="GR497" s="208"/>
      <c r="GS497" s="208"/>
      <c r="GT497" s="208"/>
      <c r="GU497" s="213">
        <v>492</v>
      </c>
    </row>
    <row r="498" spans="1:203" s="7" customFormat="1">
      <c r="A498" s="4"/>
      <c r="B498" s="4"/>
      <c r="C498" s="63"/>
      <c r="D498" s="101"/>
      <c r="E498" s="63"/>
      <c r="F498" s="63"/>
      <c r="G498" s="101"/>
      <c r="H498" s="101">
        <f>+SQRT(E497*E499)</f>
        <v>36.306233771921285</v>
      </c>
      <c r="I498" s="101">
        <f>+H498*F497</f>
        <v>0</v>
      </c>
      <c r="J498" s="101">
        <f>+I498*$A$440</f>
        <v>0</v>
      </c>
      <c r="K498" s="61">
        <f>IF(AND(J498&lt;0, J496&lt;0), 0, J498)</f>
        <v>0</v>
      </c>
      <c r="L498" s="206"/>
      <c r="M498" s="206"/>
      <c r="N498" s="206"/>
      <c r="O498" s="206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4"/>
      <c r="AB498" s="4"/>
      <c r="AC498" s="4"/>
      <c r="AD498" s="4"/>
      <c r="AE498" s="4"/>
      <c r="AF498" s="81"/>
      <c r="AG498" s="81"/>
      <c r="AH498" s="81"/>
      <c r="AI498" s="4"/>
      <c r="AJ498" s="81"/>
      <c r="AK498" s="81"/>
      <c r="AL498" s="81"/>
      <c r="AM498" s="43">
        <v>482</v>
      </c>
      <c r="AN498">
        <v>299.7417785145181</v>
      </c>
      <c r="AO498">
        <v>21.27634339157364</v>
      </c>
      <c r="AP498">
        <v>75.522508577250605</v>
      </c>
      <c r="AQ498">
        <v>141.15721943044656</v>
      </c>
      <c r="AR498">
        <v>22.730955794610228</v>
      </c>
      <c r="AS498">
        <v>222.36585736113636</v>
      </c>
      <c r="AT498">
        <v>10.843098844506043</v>
      </c>
      <c r="AU498">
        <v>30.335230881196058</v>
      </c>
      <c r="AV498"/>
      <c r="AW498"/>
      <c r="FY498" s="213">
        <v>493</v>
      </c>
      <c r="FZ498">
        <v>40.812852372075611</v>
      </c>
      <c r="GA498">
        <v>51.325608066754519</v>
      </c>
      <c r="GB498">
        <v>15.529444093569285</v>
      </c>
      <c r="GC498">
        <v>6.1167352680202587</v>
      </c>
      <c r="GD498">
        <v>4.6733424744649525</v>
      </c>
      <c r="GE498">
        <v>6.5702882074330899</v>
      </c>
      <c r="GF498">
        <v>19.412230492950879</v>
      </c>
      <c r="GG498">
        <v>15.275568360510119</v>
      </c>
      <c r="GH498">
        <v>18.356945975092778</v>
      </c>
      <c r="GI498">
        <v>19.642580437626844</v>
      </c>
      <c r="GJ498"/>
      <c r="GK498"/>
      <c r="GL498"/>
      <c r="GM498"/>
      <c r="GN498" s="208"/>
      <c r="GO498" s="208"/>
      <c r="GP498" s="208"/>
      <c r="GQ498" s="208"/>
      <c r="GR498" s="208"/>
      <c r="GS498" s="208"/>
      <c r="GT498" s="208"/>
      <c r="GU498" s="213">
        <v>493</v>
      </c>
    </row>
    <row r="499" spans="1:203" s="7" customFormat="1">
      <c r="A499" s="4"/>
      <c r="B499" s="4"/>
      <c r="C499" s="63">
        <v>21</v>
      </c>
      <c r="D499" s="101">
        <f>SUM($Z$228:$Z$347)/$A$438</f>
        <v>0</v>
      </c>
      <c r="E499" s="97">
        <f>AB36</f>
        <v>38.746914998997923</v>
      </c>
      <c r="F499" s="102">
        <f>+D499-D501</f>
        <v>0</v>
      </c>
      <c r="G499" s="101">
        <f>+D499*E499</f>
        <v>0</v>
      </c>
      <c r="H499" s="101"/>
      <c r="I499" s="101"/>
      <c r="J499" s="101"/>
      <c r="K499" s="101"/>
      <c r="L499" s="206"/>
      <c r="M499" s="206"/>
      <c r="N499" s="206"/>
      <c r="O499" s="206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4"/>
      <c r="AB499" s="4"/>
      <c r="AC499" s="4"/>
      <c r="AD499" s="4"/>
      <c r="AE499" s="4"/>
      <c r="AF499" s="81"/>
      <c r="AG499" s="81"/>
      <c r="AH499" s="81"/>
      <c r="AI499" s="4"/>
      <c r="AJ499" s="81"/>
      <c r="AK499" s="81"/>
      <c r="AL499" s="81"/>
      <c r="AM499" s="43">
        <v>483</v>
      </c>
      <c r="AN499">
        <v>401.88940297525181</v>
      </c>
      <c r="AO499">
        <v>30.103162153989917</v>
      </c>
      <c r="AP499">
        <v>145.00498089910067</v>
      </c>
      <c r="AQ499">
        <v>219.93681007811085</v>
      </c>
      <c r="AR499">
        <v>30.815791315059304</v>
      </c>
      <c r="AS499">
        <v>299.5947012484981</v>
      </c>
      <c r="AT499">
        <v>15.797604254271967</v>
      </c>
      <c r="AU499">
        <v>41.50554717018268</v>
      </c>
      <c r="AV499"/>
      <c r="AW499"/>
      <c r="FY499" s="213">
        <v>494</v>
      </c>
      <c r="FZ499">
        <v>33.943503964825226</v>
      </c>
      <c r="GA499">
        <v>48.538617549569736</v>
      </c>
      <c r="GB499">
        <v>12.059638774883741</v>
      </c>
      <c r="GC499">
        <v>5.570152139682409</v>
      </c>
      <c r="GD499">
        <v>5.0777439877888808</v>
      </c>
      <c r="GE499">
        <v>5.3672406619292437</v>
      </c>
      <c r="GF499">
        <v>3.3896368482518158</v>
      </c>
      <c r="GG499">
        <v>4.4492870397741209</v>
      </c>
      <c r="GH499">
        <v>15.337815767622461</v>
      </c>
      <c r="GI499">
        <v>14.529935427141499</v>
      </c>
      <c r="GJ499"/>
      <c r="GK499"/>
      <c r="GL499"/>
      <c r="GM499"/>
      <c r="GN499" s="208"/>
      <c r="GO499" s="208"/>
      <c r="GP499" s="208"/>
      <c r="GQ499" s="208"/>
      <c r="GR499" s="208"/>
      <c r="GS499" s="208"/>
      <c r="GT499" s="208"/>
      <c r="GU499" s="213">
        <v>494</v>
      </c>
    </row>
    <row r="500" spans="1:203" s="7" customFormat="1">
      <c r="A500" s="4"/>
      <c r="B500" s="4"/>
      <c r="C500" s="63"/>
      <c r="D500" s="101"/>
      <c r="E500" s="106"/>
      <c r="F500" s="63"/>
      <c r="G500" s="101"/>
      <c r="H500" s="101">
        <f>+SQRT(E499*E501)</f>
        <v>41.226678390671516</v>
      </c>
      <c r="I500" s="101">
        <f>+H500*F499</f>
        <v>0</v>
      </c>
      <c r="J500" s="101">
        <f>+I500*$A$440</f>
        <v>0</v>
      </c>
      <c r="K500" s="61">
        <f>IF(AND(J500&lt;0, J498&lt;0), 0, J500)</f>
        <v>0</v>
      </c>
      <c r="L500" s="206"/>
      <c r="M500" s="206"/>
      <c r="N500" s="206"/>
      <c r="O500" s="206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4"/>
      <c r="AB500" s="4"/>
      <c r="AC500" s="4"/>
      <c r="AD500" s="4"/>
      <c r="AE500" s="4"/>
      <c r="AF500" s="81"/>
      <c r="AG500" s="81"/>
      <c r="AH500" s="81"/>
      <c r="AI500" s="4"/>
      <c r="AJ500" s="81"/>
      <c r="AK500" s="81"/>
      <c r="AL500" s="81"/>
      <c r="AM500" s="43">
        <v>484</v>
      </c>
      <c r="AN500">
        <v>401.16362914985154</v>
      </c>
      <c r="AO500">
        <v>28.762098674633553</v>
      </c>
      <c r="AP500">
        <v>113.41547681187762</v>
      </c>
      <c r="AQ500">
        <v>197.97702232467171</v>
      </c>
      <c r="AR500">
        <v>28.749496786367651</v>
      </c>
      <c r="AS500">
        <v>310.26886800374416</v>
      </c>
      <c r="AT500">
        <v>14.968017841705295</v>
      </c>
      <c r="AU500">
        <v>68.620278177839623</v>
      </c>
      <c r="AV500"/>
      <c r="AW500"/>
      <c r="FY500" s="213">
        <v>495</v>
      </c>
      <c r="FZ500">
        <v>51.75381134856876</v>
      </c>
      <c r="GA500">
        <v>43.479489184603572</v>
      </c>
      <c r="GB500">
        <v>6.679139691740156</v>
      </c>
      <c r="GC500">
        <v>6.5525828805084867</v>
      </c>
      <c r="GD500">
        <v>5.314736455626786</v>
      </c>
      <c r="GE500">
        <v>7.1856465860132133</v>
      </c>
      <c r="GF500">
        <v>15.462198433122873</v>
      </c>
      <c r="GG500">
        <v>12.137111322174942</v>
      </c>
      <c r="GH500">
        <v>15.811361958586824</v>
      </c>
      <c r="GI500">
        <v>17.812739066997302</v>
      </c>
      <c r="GJ500"/>
      <c r="GK500"/>
      <c r="GL500"/>
      <c r="GM500"/>
      <c r="GN500" s="208"/>
      <c r="GO500" s="208"/>
      <c r="GP500" s="208"/>
      <c r="GQ500" s="208"/>
      <c r="GR500" s="208"/>
      <c r="GS500" s="208"/>
      <c r="GT500" s="208"/>
      <c r="GU500" s="213">
        <v>495</v>
      </c>
    </row>
    <row r="501" spans="1:203" s="7" customFormat="1">
      <c r="A501" s="4"/>
      <c r="B501" s="4"/>
      <c r="C501" s="63">
        <v>22</v>
      </c>
      <c r="D501" s="101">
        <f>SUM($AA$228:$AA$347)/$A$438</f>
        <v>0</v>
      </c>
      <c r="E501" s="97">
        <f>AC36</f>
        <v>43.865144132683035</v>
      </c>
      <c r="F501" s="102">
        <f>+D501-D503</f>
        <v>0</v>
      </c>
      <c r="G501" s="101">
        <f>+D501*E501</f>
        <v>0</v>
      </c>
      <c r="H501" s="101"/>
      <c r="I501" s="101"/>
      <c r="J501" s="101"/>
      <c r="K501" s="101"/>
      <c r="L501" s="206"/>
      <c r="M501" s="206"/>
      <c r="N501" s="206"/>
      <c r="O501" s="206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4"/>
      <c r="AB501" s="4"/>
      <c r="AC501" s="4"/>
      <c r="AD501" s="4"/>
      <c r="AE501" s="4"/>
      <c r="AF501" s="81"/>
      <c r="AG501" s="81"/>
      <c r="AH501" s="81"/>
      <c r="AI501" s="4"/>
      <c r="AJ501" s="81"/>
      <c r="AK501" s="81"/>
      <c r="AL501" s="81"/>
      <c r="AM501" s="43">
        <v>485</v>
      </c>
      <c r="AN501">
        <v>285.95841635720438</v>
      </c>
      <c r="AO501">
        <v>24.378534386046756</v>
      </c>
      <c r="AP501">
        <v>87.750491090606488</v>
      </c>
      <c r="AQ501">
        <v>179.94368566008262</v>
      </c>
      <c r="AR501">
        <v>25.799034393996696</v>
      </c>
      <c r="AS501">
        <v>244.79841299177389</v>
      </c>
      <c r="AT501">
        <v>13.333974203877787</v>
      </c>
      <c r="AU501">
        <v>28.532192660628187</v>
      </c>
      <c r="AV501"/>
      <c r="AW501"/>
      <c r="FY501" s="213">
        <v>496</v>
      </c>
      <c r="FZ501">
        <v>32.283757916793022</v>
      </c>
      <c r="GA501">
        <v>46.135630735614519</v>
      </c>
      <c r="GB501">
        <v>15.267608613857201</v>
      </c>
      <c r="GC501">
        <v>6.6305699900468946</v>
      </c>
      <c r="GD501">
        <v>5.0945803507197702</v>
      </c>
      <c r="GE501">
        <v>2.8220833778750198</v>
      </c>
      <c r="GF501">
        <v>7.8145843508622992</v>
      </c>
      <c r="GG501">
        <v>8.8133824425916334</v>
      </c>
      <c r="GH501">
        <v>12.373897078733807</v>
      </c>
      <c r="GI501">
        <v>15.438710038491413</v>
      </c>
      <c r="GJ501"/>
      <c r="GK501"/>
      <c r="GL501"/>
      <c r="GM501"/>
      <c r="GN501" s="208"/>
      <c r="GO501" s="208"/>
      <c r="GP501" s="208"/>
      <c r="GQ501" s="208"/>
      <c r="GR501" s="208"/>
      <c r="GS501" s="208"/>
      <c r="GT501" s="208"/>
      <c r="GU501" s="213">
        <v>496</v>
      </c>
    </row>
    <row r="502" spans="1:203" s="7" customFormat="1">
      <c r="A502" s="4"/>
      <c r="B502" s="4"/>
      <c r="C502" s="63"/>
      <c r="D502" s="101"/>
      <c r="E502" s="63"/>
      <c r="F502" s="63"/>
      <c r="G502" s="101"/>
      <c r="H502" s="101">
        <f>+SQRT(E501*E503)</f>
        <v>46.543922971354753</v>
      </c>
      <c r="I502" s="101">
        <f>+H502*F501</f>
        <v>0</v>
      </c>
      <c r="J502" s="101">
        <f>+I502*$A$440</f>
        <v>0</v>
      </c>
      <c r="K502" s="61">
        <f>IF(AND(J502&lt;0, J500&lt;0), 0, J502)</f>
        <v>0</v>
      </c>
      <c r="L502" s="206"/>
      <c r="M502" s="206"/>
      <c r="N502" s="206"/>
      <c r="O502" s="206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4"/>
      <c r="AB502" s="4"/>
      <c r="AC502" s="4"/>
      <c r="AD502" s="4"/>
      <c r="AE502" s="4"/>
      <c r="AF502" s="81"/>
      <c r="AG502" s="81"/>
      <c r="AH502" s="81"/>
      <c r="AI502" s="4"/>
      <c r="AJ502" s="81"/>
      <c r="AK502" s="81"/>
      <c r="AL502" s="81"/>
      <c r="AM502" s="43">
        <v>486</v>
      </c>
      <c r="AN502">
        <v>242.80731894847537</v>
      </c>
      <c r="AO502">
        <v>25.728934884689142</v>
      </c>
      <c r="AP502">
        <v>77.315702132922297</v>
      </c>
      <c r="AQ502">
        <v>181.87529710279293</v>
      </c>
      <c r="AR502">
        <v>26.554859246910713</v>
      </c>
      <c r="AS502">
        <v>208.84335839375689</v>
      </c>
      <c r="AT502">
        <v>10.794678912737902</v>
      </c>
      <c r="AU502">
        <v>-3.7923711690707584</v>
      </c>
      <c r="AV502"/>
      <c r="AW502"/>
      <c r="FY502" s="213">
        <v>497</v>
      </c>
      <c r="FZ502">
        <v>27.302126800677289</v>
      </c>
      <c r="GA502">
        <v>20.003159636505192</v>
      </c>
      <c r="GB502">
        <v>7.7428445248671469</v>
      </c>
      <c r="GC502">
        <v>5.5632307738788027</v>
      </c>
      <c r="GD502">
        <v>5.4680301062040098</v>
      </c>
      <c r="GE502">
        <v>4.4728256764884451</v>
      </c>
      <c r="GF502">
        <v>5.3690287209422589</v>
      </c>
      <c r="GG502">
        <v>7.4082519008077279</v>
      </c>
      <c r="GH502">
        <v>17.104399590284995</v>
      </c>
      <c r="GI502">
        <v>13.037710789873222</v>
      </c>
      <c r="GJ502"/>
      <c r="GK502"/>
      <c r="GL502"/>
      <c r="GM502"/>
      <c r="GN502" s="208"/>
      <c r="GO502" s="208"/>
      <c r="GP502" s="208"/>
      <c r="GQ502" s="208"/>
      <c r="GR502" s="208"/>
      <c r="GS502" s="208"/>
      <c r="GT502" s="208"/>
      <c r="GU502" s="213">
        <v>497</v>
      </c>
    </row>
    <row r="503" spans="1:203" s="7" customFormat="1">
      <c r="A503" s="4"/>
      <c r="B503" s="4"/>
      <c r="C503" s="100">
        <v>23</v>
      </c>
      <c r="D503" s="101">
        <f>SUM($AB$228:$AB$347)/$A$438</f>
        <v>0</v>
      </c>
      <c r="E503" s="97">
        <f>+AD36</f>
        <v>49.386290832891866</v>
      </c>
      <c r="F503" s="102">
        <f>+D503-D505</f>
        <v>0</v>
      </c>
      <c r="G503" s="101">
        <f>+D503*E503</f>
        <v>0</v>
      </c>
      <c r="H503" s="101"/>
      <c r="I503" s="101"/>
      <c r="J503" s="101"/>
      <c r="K503" s="101"/>
      <c r="L503" s="206"/>
      <c r="M503" s="206"/>
      <c r="N503" s="206"/>
      <c r="O503" s="206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4"/>
      <c r="AB503" s="4"/>
      <c r="AC503" s="4"/>
      <c r="AD503" s="4"/>
      <c r="AE503" s="4"/>
      <c r="AF503" s="81"/>
      <c r="AG503" s="81"/>
      <c r="AH503" s="81"/>
      <c r="AI503" s="4"/>
      <c r="AJ503" s="81"/>
      <c r="AK503" s="81"/>
      <c r="AL503" s="81"/>
      <c r="AM503" s="43">
        <v>487</v>
      </c>
      <c r="AN503">
        <v>227.34307553224329</v>
      </c>
      <c r="AO503">
        <v>22.198030443084626</v>
      </c>
      <c r="AP503">
        <v>124.58272733423006</v>
      </c>
      <c r="AQ503">
        <v>171.85670286298961</v>
      </c>
      <c r="AR503">
        <v>21.9476842497881</v>
      </c>
      <c r="AS503">
        <v>187.84341208601921</v>
      </c>
      <c r="AT503">
        <v>12.080646256146162</v>
      </c>
      <c r="AU503">
        <v>29.155926654822935</v>
      </c>
      <c r="AV503"/>
      <c r="AW503"/>
      <c r="FY503" s="213">
        <v>498</v>
      </c>
      <c r="FZ503">
        <v>17.67504506633631</v>
      </c>
      <c r="GA503">
        <v>50.293788527635755</v>
      </c>
      <c r="GB503">
        <v>20.547491395793713</v>
      </c>
      <c r="GC503">
        <v>7.1974818353992189</v>
      </c>
      <c r="GD503">
        <v>5.8446343323508412</v>
      </c>
      <c r="GE503">
        <v>6.1893946552863799</v>
      </c>
      <c r="GF503">
        <v>26.388970222363412</v>
      </c>
      <c r="GG503">
        <v>23.321426436558774</v>
      </c>
      <c r="GH503">
        <v>14.511154644004989</v>
      </c>
      <c r="GI503">
        <v>19.189779527582068</v>
      </c>
      <c r="GJ503"/>
      <c r="GK503"/>
      <c r="GL503"/>
      <c r="GM503"/>
      <c r="GN503" s="208"/>
      <c r="GO503" s="208"/>
      <c r="GP503" s="208"/>
      <c r="GQ503" s="208"/>
      <c r="GR503" s="208"/>
      <c r="GS503" s="208"/>
      <c r="GT503" s="208"/>
      <c r="GU503" s="213">
        <v>498</v>
      </c>
    </row>
    <row r="504" spans="1:203" s="7" customFormat="1">
      <c r="A504" s="4"/>
      <c r="B504" s="4"/>
      <c r="C504" s="104"/>
      <c r="D504" s="101"/>
      <c r="E504" s="63"/>
      <c r="F504" s="63"/>
      <c r="G504" s="101"/>
      <c r="H504" s="101">
        <f>+SQRT(E503*E505)</f>
        <v>52.27018426662152</v>
      </c>
      <c r="I504" s="101">
        <f>+H504*F503</f>
        <v>0</v>
      </c>
      <c r="J504" s="101">
        <f>+I504*$A$440</f>
        <v>0</v>
      </c>
      <c r="K504" s="61">
        <f>IF(AND(J504&lt;0, J502&lt;0), 0, J504)</f>
        <v>0</v>
      </c>
      <c r="L504" s="206"/>
      <c r="M504" s="206"/>
      <c r="N504" s="206"/>
      <c r="O504" s="206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4"/>
      <c r="AB504" s="4"/>
      <c r="AC504" s="4"/>
      <c r="AD504" s="4"/>
      <c r="AE504" s="4"/>
      <c r="AF504" s="81"/>
      <c r="AG504" s="81"/>
      <c r="AH504" s="81"/>
      <c r="AI504" s="4"/>
      <c r="AJ504" s="81"/>
      <c r="AK504" s="81"/>
      <c r="AL504" s="81"/>
      <c r="AM504" s="43">
        <v>488</v>
      </c>
      <c r="AN504">
        <v>286.41599703407599</v>
      </c>
      <c r="AO504">
        <v>26.504973697720931</v>
      </c>
      <c r="AP504">
        <v>54.760419099042153</v>
      </c>
      <c r="AQ504">
        <v>194.70322643580857</v>
      </c>
      <c r="AR504">
        <v>28.26359927427464</v>
      </c>
      <c r="AS504">
        <v>230.8100527320513</v>
      </c>
      <c r="AT504">
        <v>11.507678078711535</v>
      </c>
      <c r="AU504">
        <v>9.6928775972707086</v>
      </c>
      <c r="AV504"/>
      <c r="AW504"/>
      <c r="FY504" s="213">
        <v>499</v>
      </c>
      <c r="FZ504">
        <v>51.889049335057621</v>
      </c>
      <c r="GA504">
        <v>55.760877478674772</v>
      </c>
      <c r="GB504">
        <v>12.599034445143758</v>
      </c>
      <c r="GC504">
        <v>5.0867511431322026</v>
      </c>
      <c r="GD504">
        <v>4.2166091681040534</v>
      </c>
      <c r="GE504">
        <v>3.3484805916107669</v>
      </c>
      <c r="GF504">
        <v>20.875964117695961</v>
      </c>
      <c r="GG504">
        <v>21.802032330446192</v>
      </c>
      <c r="GH504">
        <v>17.447203716079073</v>
      </c>
      <c r="GI504">
        <v>20.172182026970368</v>
      </c>
      <c r="GJ504"/>
      <c r="GK504"/>
      <c r="GL504"/>
      <c r="GM504"/>
      <c r="GN504" s="208"/>
      <c r="GO504" s="208"/>
      <c r="GP504" s="208"/>
      <c r="GQ504" s="208"/>
      <c r="GR504" s="208"/>
      <c r="GS504" s="208"/>
      <c r="GT504" s="208"/>
      <c r="GU504" s="213">
        <v>499</v>
      </c>
    </row>
    <row r="505" spans="1:203" s="7" customFormat="1">
      <c r="A505" s="4"/>
      <c r="B505" s="4"/>
      <c r="C505" s="63">
        <v>24</v>
      </c>
      <c r="D505" s="101">
        <f>SUM($AC$228:$AC$347)/$A$438</f>
        <v>0</v>
      </c>
      <c r="E505" s="97">
        <f>+AE36</f>
        <v>55.322481546779947</v>
      </c>
      <c r="F505" s="102">
        <f>+D505-D507</f>
        <v>0</v>
      </c>
      <c r="G505" s="101">
        <f>+D505*E505</f>
        <v>0</v>
      </c>
      <c r="H505" s="101"/>
      <c r="I505" s="101"/>
      <c r="J505" s="101"/>
      <c r="K505" s="101"/>
      <c r="L505" s="206"/>
      <c r="M505" s="206"/>
      <c r="N505" s="206"/>
      <c r="O505" s="206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4"/>
      <c r="AB505" s="4"/>
      <c r="AC505" s="4"/>
      <c r="AD505" s="4"/>
      <c r="AE505" s="4"/>
      <c r="AF505" s="81"/>
      <c r="AG505" s="81"/>
      <c r="AH505" s="81"/>
      <c r="AI505" s="4"/>
      <c r="AJ505" s="81"/>
      <c r="AK505" s="81"/>
      <c r="AL505" s="81"/>
      <c r="AM505" s="43">
        <v>489</v>
      </c>
      <c r="AN505">
        <v>327.55239408464007</v>
      </c>
      <c r="AO505">
        <v>32.173141180324578</v>
      </c>
      <c r="AP505">
        <v>50.810035962984152</v>
      </c>
      <c r="AQ505">
        <v>233.54851795725776</v>
      </c>
      <c r="AR505">
        <v>32.089482374657386</v>
      </c>
      <c r="AS505">
        <v>287.89380782071021</v>
      </c>
      <c r="AT505">
        <v>14.513195348836556</v>
      </c>
      <c r="AU505">
        <v>-2.4787566950330273</v>
      </c>
      <c r="AV505"/>
      <c r="AW505"/>
      <c r="FY505" s="213">
        <v>500</v>
      </c>
      <c r="FZ505">
        <v>69.645718614279545</v>
      </c>
      <c r="GA505">
        <v>59.594585576660229</v>
      </c>
      <c r="GB505">
        <v>8.6367669239096081</v>
      </c>
      <c r="GC505">
        <v>5.3986510933123082</v>
      </c>
      <c r="GD505">
        <v>4.9001236300383173</v>
      </c>
      <c r="GE505">
        <v>8.0858089774705508</v>
      </c>
      <c r="GF505">
        <v>18.594451638829298</v>
      </c>
      <c r="GG505">
        <v>13.968177315561638</v>
      </c>
      <c r="GH505">
        <v>23.381258149438739</v>
      </c>
      <c r="GI505">
        <v>22.575203942659961</v>
      </c>
      <c r="GJ505"/>
      <c r="GK505"/>
      <c r="GL505"/>
      <c r="GM505"/>
      <c r="GN505" s="208"/>
      <c r="GO505" s="208"/>
      <c r="GP505" s="208"/>
      <c r="GQ505" s="208"/>
      <c r="GR505" s="208"/>
      <c r="GS505" s="208"/>
      <c r="GT505" s="208"/>
      <c r="GU505" s="213">
        <v>500</v>
      </c>
    </row>
    <row r="506" spans="1:203" s="7" customFormat="1">
      <c r="A506" s="4"/>
      <c r="B506" s="4"/>
      <c r="C506" s="63" t="s">
        <v>99</v>
      </c>
      <c r="D506" s="101"/>
      <c r="E506" s="63"/>
      <c r="F506" s="63"/>
      <c r="G506" s="101"/>
      <c r="H506" s="101">
        <f>+SQRT(E505*E507)</f>
        <v>58.417499476770701</v>
      </c>
      <c r="I506" s="101">
        <f>+H506*F505</f>
        <v>0</v>
      </c>
      <c r="J506" s="101">
        <f>+I506*$A$440</f>
        <v>0</v>
      </c>
      <c r="K506" s="61">
        <f>IF(AND(J506&lt;0, J504&lt;0), 0, J506)</f>
        <v>0</v>
      </c>
      <c r="L506" s="206"/>
      <c r="M506" s="206"/>
      <c r="N506" s="206"/>
      <c r="O506" s="206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4"/>
      <c r="AB506" s="4"/>
      <c r="AC506" s="4"/>
      <c r="AD506" s="4"/>
      <c r="AE506" s="4"/>
      <c r="AF506" s="81"/>
      <c r="AG506" s="81"/>
      <c r="AH506" s="81"/>
      <c r="AI506" s="4"/>
      <c r="AJ506" s="81"/>
      <c r="AK506" s="81"/>
      <c r="AL506" s="81"/>
      <c r="AM506" s="43">
        <v>490</v>
      </c>
      <c r="AN506">
        <v>324.46823850977853</v>
      </c>
      <c r="AO506">
        <v>24.381251239723252</v>
      </c>
      <c r="AP506">
        <v>97.719495398465696</v>
      </c>
      <c r="AQ506">
        <v>171.72082945033941</v>
      </c>
      <c r="AR506">
        <v>24.518456934427185</v>
      </c>
      <c r="AS506">
        <v>243.51802164034186</v>
      </c>
      <c r="AT506">
        <v>11.451216229538309</v>
      </c>
      <c r="AU506">
        <v>35.522816568378062</v>
      </c>
      <c r="AV506"/>
      <c r="AW506"/>
      <c r="FY506" s="213">
        <v>501</v>
      </c>
      <c r="FZ506">
        <v>39.239340293747219</v>
      </c>
      <c r="GA506">
        <v>25.91884373414047</v>
      </c>
      <c r="GB506">
        <v>1.3654733957551923</v>
      </c>
      <c r="GC506">
        <v>6.2855470817321999</v>
      </c>
      <c r="GD506">
        <v>6.8406436145877123</v>
      </c>
      <c r="GE506">
        <v>8.5059359076184613</v>
      </c>
      <c r="GF506">
        <v>28.848282614969019</v>
      </c>
      <c r="GG506">
        <v>23.454139025233481</v>
      </c>
      <c r="GH506">
        <v>13.675837066091452</v>
      </c>
      <c r="GI506">
        <v>17.434385632053122</v>
      </c>
      <c r="GJ506"/>
      <c r="GK506"/>
      <c r="GL506"/>
      <c r="GM506"/>
      <c r="GN506" s="208"/>
      <c r="GO506" s="208"/>
      <c r="GP506" s="208"/>
      <c r="GQ506" s="208"/>
      <c r="GR506" s="208"/>
      <c r="GS506" s="208"/>
      <c r="GT506" s="208"/>
      <c r="GU506" s="213">
        <v>501</v>
      </c>
    </row>
    <row r="507" spans="1:203" s="7" customFormat="1">
      <c r="A507" s="4"/>
      <c r="B507" s="4"/>
      <c r="C507" s="63">
        <v>25</v>
      </c>
      <c r="D507" s="101">
        <f>SUM($AD$228:$AD$347)/$A$438</f>
        <v>0</v>
      </c>
      <c r="E507" s="97">
        <f>+AF36</f>
        <v>61.685668279953298</v>
      </c>
      <c r="F507" s="102">
        <f>+D507-D509</f>
        <v>0</v>
      </c>
      <c r="G507" s="101">
        <f>+D507*E507</f>
        <v>0</v>
      </c>
      <c r="H507" s="101"/>
      <c r="I507" s="101"/>
      <c r="J507" s="101"/>
      <c r="K507" s="101"/>
      <c r="L507" s="206"/>
      <c r="M507" s="206"/>
      <c r="N507" s="206"/>
      <c r="O507" s="206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4"/>
      <c r="AB507" s="4"/>
      <c r="AC507" s="4"/>
      <c r="AD507" s="4"/>
      <c r="AE507" s="4"/>
      <c r="AF507" s="81"/>
      <c r="AG507" s="81"/>
      <c r="AH507" s="81"/>
      <c r="AI507" s="4"/>
      <c r="AJ507" s="81"/>
      <c r="AK507" s="81"/>
      <c r="AL507" s="81"/>
      <c r="AM507" s="43">
        <v>491</v>
      </c>
      <c r="AN507">
        <v>261.01217128995467</v>
      </c>
      <c r="AO507">
        <v>21.244047260478901</v>
      </c>
      <c r="AP507">
        <v>77.937174584499658</v>
      </c>
      <c r="AQ507">
        <v>158.52917944093693</v>
      </c>
      <c r="AR507">
        <v>21.210741957524657</v>
      </c>
      <c r="AS507">
        <v>203.3468360869839</v>
      </c>
      <c r="AT507">
        <v>10.024897548732293</v>
      </c>
      <c r="AU507">
        <v>8.0566438014941504</v>
      </c>
      <c r="AV507"/>
      <c r="AW507"/>
      <c r="FY507" s="213">
        <v>502</v>
      </c>
      <c r="FZ507">
        <v>46.878465414659111</v>
      </c>
      <c r="GA507">
        <v>48.082393807546957</v>
      </c>
      <c r="GB507">
        <v>8.6293195624658825</v>
      </c>
      <c r="GC507">
        <v>6.7436109162397324</v>
      </c>
      <c r="GD507">
        <v>4.9170338036221759</v>
      </c>
      <c r="GE507">
        <v>3.6674589228644474</v>
      </c>
      <c r="GF507">
        <v>21.312061157620963</v>
      </c>
      <c r="GG507">
        <v>18.599544172344043</v>
      </c>
      <c r="GH507">
        <v>14.160000018758753</v>
      </c>
      <c r="GI507">
        <v>18.277630400567446</v>
      </c>
      <c r="GJ507"/>
      <c r="GK507"/>
      <c r="GL507"/>
      <c r="GM507"/>
      <c r="GN507" s="208"/>
      <c r="GO507" s="208"/>
      <c r="GP507" s="208"/>
      <c r="GQ507" s="208"/>
      <c r="GR507" s="208"/>
      <c r="GS507" s="208"/>
      <c r="GT507" s="208"/>
      <c r="GU507" s="213">
        <v>502</v>
      </c>
    </row>
    <row r="508" spans="1:203" s="7" customFormat="1">
      <c r="A508" s="4"/>
      <c r="B508" s="4"/>
      <c r="C508" s="63"/>
      <c r="D508" s="101"/>
      <c r="E508" s="63"/>
      <c r="F508" s="63"/>
      <c r="G508" s="101"/>
      <c r="H508" s="101">
        <f>+SQRT(E507*E509)</f>
        <v>64.99773636959101</v>
      </c>
      <c r="I508" s="101">
        <f>+H508*F507</f>
        <v>0</v>
      </c>
      <c r="J508" s="101">
        <f>+I508*$A$440</f>
        <v>0</v>
      </c>
      <c r="K508" s="61">
        <f>IF(AND(J508&lt;0, J506&lt;0), 0, J508)</f>
        <v>0</v>
      </c>
      <c r="L508" s="206"/>
      <c r="M508" s="206"/>
      <c r="N508" s="206"/>
      <c r="O508" s="206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4"/>
      <c r="AB508" s="4"/>
      <c r="AC508" s="4"/>
      <c r="AD508" s="4"/>
      <c r="AE508" s="4"/>
      <c r="AF508" s="81"/>
      <c r="AG508" s="81"/>
      <c r="AH508" s="81"/>
      <c r="AI508" s="4"/>
      <c r="AJ508" s="81"/>
      <c r="AK508" s="81"/>
      <c r="AL508" s="81"/>
      <c r="AM508" s="43">
        <v>492</v>
      </c>
      <c r="AN508">
        <v>291.86007661258384</v>
      </c>
      <c r="AO508">
        <v>27.253888285428665</v>
      </c>
      <c r="AP508">
        <v>111.90760426549191</v>
      </c>
      <c r="AQ508">
        <v>204.40480204886379</v>
      </c>
      <c r="AR508">
        <v>29.193295089763023</v>
      </c>
      <c r="AS508">
        <v>252.16096579124931</v>
      </c>
      <c r="AT508">
        <v>14.116506416794929</v>
      </c>
      <c r="AU508">
        <v>33.848545523701354</v>
      </c>
      <c r="AV508"/>
      <c r="AW508"/>
      <c r="FY508" s="213">
        <v>503</v>
      </c>
      <c r="FZ508">
        <v>37.944979709384384</v>
      </c>
      <c r="GA508">
        <v>31.097646895339842</v>
      </c>
      <c r="GB508">
        <v>8.6749995546709648</v>
      </c>
      <c r="GC508">
        <v>7.4875554928745158</v>
      </c>
      <c r="GD508">
        <v>6.1987771397070475</v>
      </c>
      <c r="GE508">
        <v>6.4216990549865738</v>
      </c>
      <c r="GF508">
        <v>19.183288142310282</v>
      </c>
      <c r="GG508">
        <v>16.260644082413211</v>
      </c>
      <c r="GH508">
        <v>19.397943414316522</v>
      </c>
      <c r="GI508">
        <v>18.097997803954325</v>
      </c>
      <c r="GJ508"/>
      <c r="GK508"/>
      <c r="GL508"/>
      <c r="GM508"/>
      <c r="GN508" s="208"/>
      <c r="GO508" s="208"/>
      <c r="GP508" s="208"/>
      <c r="GQ508" s="208"/>
      <c r="GR508" s="208"/>
      <c r="GS508" s="208"/>
      <c r="GT508" s="208"/>
      <c r="GU508" s="213">
        <v>503</v>
      </c>
    </row>
    <row r="509" spans="1:203" s="7" customFormat="1">
      <c r="A509" s="4"/>
      <c r="B509" s="4"/>
      <c r="C509" s="63">
        <v>26</v>
      </c>
      <c r="D509" s="101">
        <f>SUM($AE$228:$AE$347)/$A$438</f>
        <v>0</v>
      </c>
      <c r="E509" s="97">
        <f>AG36</f>
        <v>68.487638230609974</v>
      </c>
      <c r="F509" s="102">
        <f>+D509-D511</f>
        <v>0</v>
      </c>
      <c r="G509" s="101">
        <f>+D509*E509</f>
        <v>0</v>
      </c>
      <c r="H509" s="101"/>
      <c r="I509" s="119">
        <v>0</v>
      </c>
      <c r="J509" s="101"/>
      <c r="K509" s="101"/>
      <c r="L509" s="206"/>
      <c r="M509" s="206"/>
      <c r="N509" s="206"/>
      <c r="O509" s="206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4"/>
      <c r="AB509" s="4"/>
      <c r="AC509" s="4"/>
      <c r="AD509" s="4"/>
      <c r="AE509" s="4"/>
      <c r="AF509" s="81"/>
      <c r="AG509" s="81"/>
      <c r="AH509" s="81"/>
      <c r="AI509" s="4"/>
      <c r="AJ509" s="81"/>
      <c r="AK509" s="81"/>
      <c r="AL509" s="81"/>
      <c r="AM509" s="43">
        <v>493</v>
      </c>
      <c r="AN509">
        <v>370.79093062140282</v>
      </c>
      <c r="AO509">
        <v>28.394634490091363</v>
      </c>
      <c r="AP509">
        <v>74.204135568976511</v>
      </c>
      <c r="AQ509">
        <v>197.71559574849829</v>
      </c>
      <c r="AR509">
        <v>29.689891739531852</v>
      </c>
      <c r="AS509">
        <v>273.46853619216398</v>
      </c>
      <c r="AT509">
        <v>11.682228613827682</v>
      </c>
      <c r="AU509">
        <v>12.586177825202821</v>
      </c>
      <c r="AV509"/>
      <c r="AW509"/>
      <c r="FY509" s="213">
        <v>504</v>
      </c>
      <c r="FZ509">
        <v>45.332872301624157</v>
      </c>
      <c r="GA509">
        <v>77.235998512927139</v>
      </c>
      <c r="GB509">
        <v>22.563173137235619</v>
      </c>
      <c r="GC509">
        <v>4.9453169427426484</v>
      </c>
      <c r="GD509">
        <v>4.0523707017692381</v>
      </c>
      <c r="GE509">
        <v>4.5768000873821064</v>
      </c>
      <c r="GF509">
        <v>4.5344710821266112</v>
      </c>
      <c r="GG509">
        <v>5.7246004816949592</v>
      </c>
      <c r="GH509">
        <v>9.3126726714184791</v>
      </c>
      <c r="GI509">
        <v>17.959422449775172</v>
      </c>
      <c r="GJ509"/>
      <c r="GK509"/>
      <c r="GL509"/>
      <c r="GM509"/>
      <c r="GN509" s="208"/>
      <c r="GO509" s="208"/>
      <c r="GP509" s="208"/>
      <c r="GQ509" s="208"/>
      <c r="GR509" s="208"/>
      <c r="GS509" s="208"/>
      <c r="GT509" s="208"/>
      <c r="GU509" s="213">
        <v>504</v>
      </c>
    </row>
    <row r="510" spans="1:203" s="7" customFormat="1">
      <c r="A510" s="4"/>
      <c r="B510" s="4"/>
      <c r="C510" s="63"/>
      <c r="D510" s="101"/>
      <c r="E510" s="63"/>
      <c r="F510" s="63"/>
      <c r="G510" s="101"/>
      <c r="H510" s="101">
        <f>+SQRT(E509*E511)</f>
        <v>72.022602442207798</v>
      </c>
      <c r="I510" s="101">
        <f>+H510*F509</f>
        <v>0</v>
      </c>
      <c r="J510" s="101">
        <f>+I510*$A$440</f>
        <v>0</v>
      </c>
      <c r="K510" s="61">
        <f>IF(AND(J510&lt;0, J508&lt;0), 0, J510)</f>
        <v>0</v>
      </c>
      <c r="L510" s="206"/>
      <c r="M510" s="206"/>
      <c r="N510" s="206"/>
      <c r="O510" s="206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4"/>
      <c r="AB510" s="4"/>
      <c r="AC510" s="4"/>
      <c r="AD510" s="4"/>
      <c r="AE510" s="4"/>
      <c r="AF510" s="81"/>
      <c r="AG510" s="81"/>
      <c r="AH510" s="81"/>
      <c r="AI510" s="4"/>
      <c r="AJ510" s="81"/>
      <c r="AK510" s="81"/>
      <c r="AL510" s="81"/>
      <c r="AM510" s="43">
        <v>494</v>
      </c>
      <c r="AN510">
        <v>224.21607189581124</v>
      </c>
      <c r="AO510">
        <v>20.983230961826067</v>
      </c>
      <c r="AP510">
        <v>70.904883220645317</v>
      </c>
      <c r="AQ510">
        <v>148.26357216146914</v>
      </c>
      <c r="AR510">
        <v>21.31608410700354</v>
      </c>
      <c r="AS510">
        <v>192.99090332871455</v>
      </c>
      <c r="AT510">
        <v>9.5110681940523776</v>
      </c>
      <c r="AU510">
        <v>4.832746240721665</v>
      </c>
      <c r="AV510"/>
      <c r="AW510"/>
      <c r="FY510" s="213">
        <v>505</v>
      </c>
      <c r="FZ510">
        <v>52.300082535160328</v>
      </c>
      <c r="GA510">
        <v>46.668664574121557</v>
      </c>
      <c r="GB510">
        <v>11.103242634079823</v>
      </c>
      <c r="GC510">
        <v>8.8512110684766157</v>
      </c>
      <c r="GD510">
        <v>8.2997390446890194</v>
      </c>
      <c r="GE510">
        <v>8.1148406136204585</v>
      </c>
      <c r="GF510">
        <v>29.478467742158259</v>
      </c>
      <c r="GG510">
        <v>23.990445513118285</v>
      </c>
      <c r="GH510">
        <v>18.343133351823173</v>
      </c>
      <c r="GI510">
        <v>23.915900905162193</v>
      </c>
      <c r="GJ510"/>
      <c r="GK510"/>
      <c r="GL510"/>
      <c r="GM510"/>
      <c r="GN510" s="208"/>
      <c r="GO510" s="208"/>
      <c r="GP510" s="208"/>
      <c r="GQ510" s="208"/>
      <c r="GR510" s="208"/>
      <c r="GS510" s="208"/>
      <c r="GT510" s="208"/>
      <c r="GU510" s="213">
        <v>505</v>
      </c>
    </row>
    <row r="511" spans="1:203" s="7" customFormat="1">
      <c r="A511" s="4"/>
      <c r="B511" s="4"/>
      <c r="C511" s="63">
        <v>27</v>
      </c>
      <c r="D511" s="101">
        <f>SUM($AF$228:$AF$347)/$A$438</f>
        <v>0</v>
      </c>
      <c r="E511" s="97">
        <f>+AH36</f>
        <v>75.740022529057185</v>
      </c>
      <c r="F511" s="102">
        <f>+D511-D513</f>
        <v>0</v>
      </c>
      <c r="G511" s="101">
        <f>+D511*E511</f>
        <v>0</v>
      </c>
      <c r="H511" s="101"/>
      <c r="I511" s="101"/>
      <c r="J511" s="101"/>
      <c r="K511" s="101"/>
      <c r="L511" s="206"/>
      <c r="M511" s="206"/>
      <c r="N511" s="206"/>
      <c r="O511" s="206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4"/>
      <c r="AB511" s="4"/>
      <c r="AC511" s="4"/>
      <c r="AD511" s="4"/>
      <c r="AE511" s="4"/>
      <c r="AF511" s="81"/>
      <c r="AG511" s="81"/>
      <c r="AH511" s="81"/>
      <c r="AI511" s="4"/>
      <c r="AJ511" s="81"/>
      <c r="AK511" s="81"/>
      <c r="AL511" s="81"/>
      <c r="AM511" s="43">
        <v>495</v>
      </c>
      <c r="AN511">
        <v>327.13430241267503</v>
      </c>
      <c r="AO511">
        <v>24.777698570837405</v>
      </c>
      <c r="AP511">
        <v>95.60847208600768</v>
      </c>
      <c r="AQ511">
        <v>182.1888169279429</v>
      </c>
      <c r="AR511">
        <v>25.913505765378556</v>
      </c>
      <c r="AS511">
        <v>245.36236970869587</v>
      </c>
      <c r="AT511">
        <v>12.856159283048109</v>
      </c>
      <c r="AU511">
        <v>34.092788167910804</v>
      </c>
      <c r="AV511"/>
      <c r="AW511"/>
      <c r="FY511" s="213">
        <v>506</v>
      </c>
      <c r="FZ511">
        <v>48.39312321301928</v>
      </c>
      <c r="GA511">
        <v>63.316287585367554</v>
      </c>
      <c r="GB511">
        <v>11.501613617406363</v>
      </c>
      <c r="GC511">
        <v>5.9624735285213122</v>
      </c>
      <c r="GD511">
        <v>5.7233626464486127</v>
      </c>
      <c r="GE511">
        <v>7.2063925478136976</v>
      </c>
      <c r="GF511">
        <v>29.049685120580314</v>
      </c>
      <c r="GG511">
        <v>23.653272430639699</v>
      </c>
      <c r="GH511">
        <v>7.0400338087373004</v>
      </c>
      <c r="GI511">
        <v>20.12435593352598</v>
      </c>
      <c r="GJ511"/>
      <c r="GK511"/>
      <c r="GL511"/>
      <c r="GM511"/>
      <c r="GN511" s="208"/>
      <c r="GO511" s="208"/>
      <c r="GP511" s="208"/>
      <c r="GQ511" s="208"/>
      <c r="GR511" s="208"/>
      <c r="GS511" s="208"/>
      <c r="GT511" s="208"/>
      <c r="GU511" s="213">
        <v>506</v>
      </c>
    </row>
    <row r="512" spans="1:203" s="7" customFormat="1">
      <c r="A512" s="4"/>
      <c r="B512" s="4"/>
      <c r="C512" s="63"/>
      <c r="D512" s="101"/>
      <c r="E512" s="63"/>
      <c r="F512" s="63"/>
      <c r="G512" s="101"/>
      <c r="H512" s="101">
        <f>+SQRT(E511*E513)</f>
        <v>79.503653249471597</v>
      </c>
      <c r="I512" s="101">
        <f>+H512*F511</f>
        <v>0</v>
      </c>
      <c r="J512" s="101">
        <f>+I512*$A$440</f>
        <v>0</v>
      </c>
      <c r="K512" s="61">
        <f>IF(AND(J512&lt;0, J510&lt;0), 0, J512)</f>
        <v>0</v>
      </c>
      <c r="L512" s="206"/>
      <c r="M512" s="206"/>
      <c r="N512" s="206"/>
      <c r="O512" s="206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4"/>
      <c r="AB512" s="4"/>
      <c r="AC512" s="4"/>
      <c r="AD512" s="4"/>
      <c r="AE512" s="4"/>
      <c r="AF512" s="81"/>
      <c r="AG512" s="81"/>
      <c r="AH512" s="81"/>
      <c r="AI512" s="4"/>
      <c r="AJ512" s="81"/>
      <c r="AK512" s="81"/>
      <c r="AL512" s="81"/>
      <c r="AM512" s="43">
        <v>496</v>
      </c>
      <c r="AN512">
        <v>247.27929719725299</v>
      </c>
      <c r="AO512">
        <v>22.633924036759701</v>
      </c>
      <c r="AP512">
        <v>64.832324672397604</v>
      </c>
      <c r="AQ512">
        <v>152.67480489558559</v>
      </c>
      <c r="AR512">
        <v>23.453116157229683</v>
      </c>
      <c r="AS512">
        <v>199.69392372115502</v>
      </c>
      <c r="AT512">
        <v>9.004656879463667</v>
      </c>
      <c r="AU512">
        <v>4.5125145459832474</v>
      </c>
      <c r="AV512"/>
      <c r="AW512"/>
      <c r="FY512" s="213">
        <v>507</v>
      </c>
      <c r="FZ512">
        <v>44.523845259837167</v>
      </c>
      <c r="GA512">
        <v>68.74201218076827</v>
      </c>
      <c r="GB512">
        <v>19.855229543392927</v>
      </c>
      <c r="GC512">
        <v>7.8477604110625157</v>
      </c>
      <c r="GD512">
        <v>6.7868887192853204</v>
      </c>
      <c r="GE512">
        <v>4.0800218547830216</v>
      </c>
      <c r="GF512">
        <v>16.154057628691334</v>
      </c>
      <c r="GG512">
        <v>16.373473709096604</v>
      </c>
      <c r="GH512">
        <v>13.912751773981448</v>
      </c>
      <c r="GI512">
        <v>21.503154254880602</v>
      </c>
      <c r="GJ512"/>
      <c r="GK512"/>
      <c r="GL512"/>
      <c r="GM512"/>
      <c r="GN512" s="208"/>
      <c r="GO512" s="208"/>
      <c r="GP512" s="208"/>
      <c r="GQ512" s="208"/>
      <c r="GR512" s="208"/>
      <c r="GS512" s="208"/>
      <c r="GT512" s="208"/>
      <c r="GU512" s="213">
        <v>507</v>
      </c>
    </row>
    <row r="513" spans="1:203" s="7" customFormat="1">
      <c r="A513" s="4"/>
      <c r="B513" s="4"/>
      <c r="C513" s="63">
        <v>28</v>
      </c>
      <c r="D513" s="101">
        <f>SUM($AG$228:$AG$347)/$A$438</f>
        <v>0</v>
      </c>
      <c r="E513" s="97">
        <f>AI36</f>
        <v>83.454304196797253</v>
      </c>
      <c r="F513" s="102">
        <f>+D513-D515</f>
        <v>0</v>
      </c>
      <c r="G513" s="101">
        <f>+D513*E513</f>
        <v>0</v>
      </c>
      <c r="H513" s="101"/>
      <c r="I513" s="101"/>
      <c r="J513" s="101"/>
      <c r="K513" s="101"/>
      <c r="L513" s="206"/>
      <c r="M513" s="206"/>
      <c r="N513" s="206"/>
      <c r="O513" s="206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4"/>
      <c r="AB513" s="4"/>
      <c r="AC513" s="4"/>
      <c r="AD513" s="4"/>
      <c r="AE513" s="4"/>
      <c r="AF513" s="81"/>
      <c r="AG513" s="81"/>
      <c r="AH513" s="81"/>
      <c r="AI513" s="4"/>
      <c r="AJ513" s="81"/>
      <c r="AK513" s="81"/>
      <c r="AL513" s="81"/>
      <c r="AM513" s="43">
        <v>497</v>
      </c>
      <c r="AN513">
        <v>234.21458505626279</v>
      </c>
      <c r="AO513">
        <v>17.136804064185938</v>
      </c>
      <c r="AP513">
        <v>70.933181702455698</v>
      </c>
      <c r="AQ513">
        <v>113.47160852052907</v>
      </c>
      <c r="AR513">
        <v>19.191925127334308</v>
      </c>
      <c r="AS513">
        <v>188.28502540086461</v>
      </c>
      <c r="AT513">
        <v>8.5415053215020595</v>
      </c>
      <c r="AU513">
        <v>22.736008939287743</v>
      </c>
      <c r="AV513"/>
      <c r="AW513"/>
      <c r="FY513" s="213">
        <v>508</v>
      </c>
      <c r="FZ513">
        <v>19.153900285074794</v>
      </c>
      <c r="GA513">
        <v>24.500313860922752</v>
      </c>
      <c r="GB513">
        <v>11.942722204347145</v>
      </c>
      <c r="GC513">
        <v>6.2375135269228004</v>
      </c>
      <c r="GD513">
        <v>5.2340678936662908</v>
      </c>
      <c r="GE513">
        <v>6.0074294094092142</v>
      </c>
      <c r="GF513">
        <v>14.275816523087434</v>
      </c>
      <c r="GG513">
        <v>12.520984139420515</v>
      </c>
      <c r="GH513">
        <v>25.487362538154994</v>
      </c>
      <c r="GI513">
        <v>15.9027934693584</v>
      </c>
      <c r="GJ513"/>
      <c r="GK513"/>
      <c r="GL513"/>
      <c r="GM513"/>
      <c r="GN513" s="208"/>
      <c r="GO513" s="208"/>
      <c r="GP513" s="208"/>
      <c r="GQ513" s="208"/>
      <c r="GR513" s="208"/>
      <c r="GS513" s="208"/>
      <c r="GT513" s="208"/>
      <c r="GU513" s="213">
        <v>508</v>
      </c>
    </row>
    <row r="514" spans="1:203" s="7" customFormat="1">
      <c r="A514" s="4"/>
      <c r="B514" s="4"/>
      <c r="C514" s="63"/>
      <c r="D514" s="101"/>
      <c r="E514" s="63"/>
      <c r="F514" s="63"/>
      <c r="G514" s="101"/>
      <c r="H514" s="101">
        <f>+SQRT(E513*E515)</f>
        <v>87.452300003164524</v>
      </c>
      <c r="I514" s="101">
        <f>+H514*F513</f>
        <v>0</v>
      </c>
      <c r="J514" s="101">
        <f>+I514*$A$440</f>
        <v>0</v>
      </c>
      <c r="K514" s="61">
        <f>IF(AND(J514&lt;0, J512&lt;0), 0, J514)</f>
        <v>0</v>
      </c>
      <c r="L514" s="206"/>
      <c r="M514" s="206"/>
      <c r="N514" s="206"/>
      <c r="O514" s="206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4"/>
      <c r="AB514" s="4"/>
      <c r="AC514" s="4"/>
      <c r="AD514" s="4"/>
      <c r="AE514" s="4"/>
      <c r="AF514" s="81"/>
      <c r="AG514" s="81"/>
      <c r="AH514" s="81"/>
      <c r="AI514" s="4"/>
      <c r="AJ514" s="81"/>
      <c r="AK514" s="81"/>
      <c r="AL514" s="81"/>
      <c r="AM514" s="43">
        <v>498</v>
      </c>
      <c r="AN514">
        <v>381.94002577019592</v>
      </c>
      <c r="AO514">
        <v>29.18208378722515</v>
      </c>
      <c r="AP514">
        <v>121.4747049385721</v>
      </c>
      <c r="AQ514">
        <v>191.15916664331144</v>
      </c>
      <c r="AR514">
        <v>28.448274073229104</v>
      </c>
      <c r="AS514">
        <v>254.50778072495922</v>
      </c>
      <c r="AT514">
        <v>11.28249832406938</v>
      </c>
      <c r="AU514">
        <v>-77.99003246309374</v>
      </c>
      <c r="AV514"/>
      <c r="AW514"/>
      <c r="FY514" s="213">
        <v>509</v>
      </c>
      <c r="FZ514">
        <v>22.964126214496687</v>
      </c>
      <c r="GA514">
        <v>56.651799677642927</v>
      </c>
      <c r="GB514">
        <v>20.572081345741047</v>
      </c>
      <c r="GC514">
        <v>5.151215042158813</v>
      </c>
      <c r="GD514">
        <v>3.1693662350469296</v>
      </c>
      <c r="GE514">
        <v>3.7677825969806475</v>
      </c>
      <c r="GF514">
        <v>13.670782420338398</v>
      </c>
      <c r="GG514">
        <v>10.355635652566452</v>
      </c>
      <c r="GH514">
        <v>3.5382359484448678</v>
      </c>
      <c r="GI514">
        <v>14.23732731563493</v>
      </c>
      <c r="GJ514"/>
      <c r="GK514"/>
      <c r="GL514"/>
      <c r="GM514"/>
      <c r="GN514" s="208"/>
      <c r="GO514" s="208"/>
      <c r="GP514" s="208"/>
      <c r="GQ514" s="208"/>
      <c r="GR514" s="208"/>
      <c r="GS514" s="208"/>
      <c r="GT514" s="208"/>
      <c r="GU514" s="213">
        <v>509</v>
      </c>
    </row>
    <row r="515" spans="1:203" s="7" customFormat="1">
      <c r="A515" s="4"/>
      <c r="B515" s="4"/>
      <c r="C515" s="63">
        <v>29</v>
      </c>
      <c r="D515" s="101">
        <f>SUM($AH$228:$AH$347)/$A$438</f>
        <v>0</v>
      </c>
      <c r="E515" s="97">
        <f>AJ36</f>
        <v>91.64182542111466</v>
      </c>
      <c r="F515" s="102">
        <f>+D515-D517</f>
        <v>0</v>
      </c>
      <c r="G515" s="101">
        <f>+D515*E515</f>
        <v>0</v>
      </c>
      <c r="H515" s="101"/>
      <c r="I515" s="101"/>
      <c r="J515" s="101"/>
      <c r="K515" s="101"/>
      <c r="L515" s="206"/>
      <c r="M515" s="206"/>
      <c r="N515" s="206"/>
      <c r="O515" s="206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4"/>
      <c r="AB515" s="4"/>
      <c r="AC515" s="4"/>
      <c r="AD515" s="4"/>
      <c r="AE515" s="4"/>
      <c r="AF515" s="81"/>
      <c r="AG515" s="81"/>
      <c r="AH515" s="81"/>
      <c r="AI515" s="4"/>
      <c r="AJ515" s="81"/>
      <c r="AK515" s="81"/>
      <c r="AL515" s="81"/>
      <c r="AM515" s="43">
        <v>499</v>
      </c>
      <c r="AN515">
        <v>304.02587055963301</v>
      </c>
      <c r="AO515">
        <v>28.682478744135473</v>
      </c>
      <c r="AP515">
        <v>81.86897685406376</v>
      </c>
      <c r="AQ515">
        <v>213.19818435291481</v>
      </c>
      <c r="AR515">
        <v>29.7594637799094</v>
      </c>
      <c r="AS515">
        <v>256.89072409734598</v>
      </c>
      <c r="AT515">
        <v>13.019455224478881</v>
      </c>
      <c r="AU515">
        <v>-13.892434135988186</v>
      </c>
      <c r="AV515"/>
      <c r="AW515"/>
      <c r="FY515" s="213">
        <v>510</v>
      </c>
      <c r="FZ515">
        <v>71.017448668775188</v>
      </c>
      <c r="GA515">
        <v>62.958060401805227</v>
      </c>
      <c r="GB515">
        <v>7.9061015214416575</v>
      </c>
      <c r="GC515">
        <v>5.7299540616825801</v>
      </c>
      <c r="GD515">
        <v>4.00289494406264</v>
      </c>
      <c r="GE515">
        <v>4.7043513580439136</v>
      </c>
      <c r="GF515">
        <v>24.679299822695882</v>
      </c>
      <c r="GG515">
        <v>20.997803919220406</v>
      </c>
      <c r="GH515">
        <v>17.485823079335042</v>
      </c>
      <c r="GI515">
        <v>22.12389287540492</v>
      </c>
      <c r="GJ515"/>
      <c r="GK515"/>
      <c r="GL515"/>
      <c r="GM515"/>
      <c r="GN515" s="208"/>
      <c r="GO515" s="208"/>
      <c r="GP515" s="208"/>
      <c r="GQ515" s="208"/>
      <c r="GR515" s="208"/>
      <c r="GS515" s="208"/>
      <c r="GT515" s="208"/>
      <c r="GU515" s="213">
        <v>510</v>
      </c>
    </row>
    <row r="516" spans="1:203" s="7" customFormat="1">
      <c r="A516" s="4"/>
      <c r="B516" s="4"/>
      <c r="C516" s="63"/>
      <c r="D516" s="101"/>
      <c r="E516" s="63"/>
      <c r="F516" s="63"/>
      <c r="G516" s="101"/>
      <c r="H516" s="101">
        <f>+SQRT(E515*E517)</f>
        <v>95.87981652994948</v>
      </c>
      <c r="I516" s="101">
        <f>+H516*F515</f>
        <v>0</v>
      </c>
      <c r="J516" s="101">
        <f>+I516*$A$440</f>
        <v>0</v>
      </c>
      <c r="K516" s="61">
        <f>IF(AND(J516&lt;0, J514&lt;0), 0, J516)</f>
        <v>0</v>
      </c>
      <c r="L516" s="206"/>
      <c r="M516" s="206"/>
      <c r="N516" s="206"/>
      <c r="O516" s="206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4"/>
      <c r="AB516" s="4"/>
      <c r="AC516" s="4"/>
      <c r="AD516" s="4"/>
      <c r="AE516" s="4"/>
      <c r="AF516" s="81"/>
      <c r="AG516" s="81"/>
      <c r="AH516" s="81"/>
      <c r="AI516" s="4"/>
      <c r="AJ516" s="81"/>
      <c r="AK516" s="81"/>
      <c r="AL516" s="81"/>
      <c r="AM516" s="43">
        <v>500</v>
      </c>
      <c r="AN516">
        <v>346.74711380501662</v>
      </c>
      <c r="AO516">
        <v>30.746407001384124</v>
      </c>
      <c r="AP516">
        <v>101.9752183020056</v>
      </c>
      <c r="AQ516">
        <v>234.78074586216019</v>
      </c>
      <c r="AR516">
        <v>33.146106163760294</v>
      </c>
      <c r="AS516">
        <v>290.71444841688884</v>
      </c>
      <c r="AT516">
        <v>15.795876228955388</v>
      </c>
      <c r="AU516">
        <v>27.903382758309633</v>
      </c>
      <c r="AV516"/>
      <c r="AW516"/>
      <c r="FY516" s="213">
        <v>511</v>
      </c>
      <c r="FZ516">
        <v>27.236492992254409</v>
      </c>
      <c r="GA516">
        <v>36.706080924131733</v>
      </c>
      <c r="GB516">
        <v>13.934640415617242</v>
      </c>
      <c r="GC516">
        <v>9.1367383475918036</v>
      </c>
      <c r="GD516">
        <v>7.3588919889971081</v>
      </c>
      <c r="GE516">
        <v>9.0055098869766628</v>
      </c>
      <c r="GF516">
        <v>36.158738934333449</v>
      </c>
      <c r="GG516">
        <v>25.013372135948654</v>
      </c>
      <c r="GH516">
        <v>12.072878345410183</v>
      </c>
      <c r="GI516">
        <v>20.687197365872567</v>
      </c>
      <c r="GJ516"/>
      <c r="GK516"/>
      <c r="GL516"/>
      <c r="GM516"/>
      <c r="GN516" s="208"/>
      <c r="GO516" s="208"/>
      <c r="GP516" s="208"/>
      <c r="GQ516" s="208"/>
      <c r="GR516" s="208"/>
      <c r="GS516" s="208"/>
      <c r="GT516" s="208"/>
      <c r="GU516" s="213">
        <v>511</v>
      </c>
    </row>
    <row r="517" spans="1:203" s="7" customFormat="1">
      <c r="A517" s="4"/>
      <c r="B517" s="4"/>
      <c r="C517" s="63">
        <v>30</v>
      </c>
      <c r="D517" s="101">
        <f>SUM($AI$228:$AI$347)/$A$438</f>
        <v>0</v>
      </c>
      <c r="E517" s="97">
        <f>AK36</f>
        <v>100.31379422630621</v>
      </c>
      <c r="F517" s="102">
        <f>+D517-D517</f>
        <v>0</v>
      </c>
      <c r="G517" s="101">
        <f>+D517*E517</f>
        <v>0</v>
      </c>
      <c r="H517" s="101"/>
      <c r="I517" s="101"/>
      <c r="J517" s="101"/>
      <c r="K517" s="101"/>
      <c r="L517" s="206"/>
      <c r="M517" s="206"/>
      <c r="N517" s="206"/>
      <c r="O517" s="206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4"/>
      <c r="AB517" s="4"/>
      <c r="AC517" s="4"/>
      <c r="AD517" s="4"/>
      <c r="AE517" s="4"/>
      <c r="AF517" s="81"/>
      <c r="AG517" s="81"/>
      <c r="AH517" s="81"/>
      <c r="AI517" s="4"/>
      <c r="AJ517" s="81"/>
      <c r="AK517" s="81"/>
      <c r="AL517" s="81"/>
      <c r="AM517" s="43">
        <v>501</v>
      </c>
      <c r="AN517">
        <v>369.49068794321624</v>
      </c>
      <c r="AO517">
        <v>23.743031836823405</v>
      </c>
      <c r="AP517">
        <v>92.260478540777513</v>
      </c>
      <c r="AQ517">
        <v>171.56842836592836</v>
      </c>
      <c r="AR517">
        <v>24.347698266737755</v>
      </c>
      <c r="AS517">
        <v>279.72967282813471</v>
      </c>
      <c r="AT517">
        <v>13.662726144055712</v>
      </c>
      <c r="AU517">
        <v>44.097735798303844</v>
      </c>
      <c r="AV517"/>
      <c r="AW517"/>
      <c r="FY517" s="213">
        <v>512</v>
      </c>
      <c r="FZ517">
        <v>51.569559166659737</v>
      </c>
      <c r="GA517">
        <v>74.051712207783865</v>
      </c>
      <c r="GB517">
        <v>17.010339379496589</v>
      </c>
      <c r="GC517">
        <v>10.346967866364633</v>
      </c>
      <c r="GD517">
        <v>9.2864168597115686</v>
      </c>
      <c r="GE517">
        <v>7.4667400647750428</v>
      </c>
      <c r="GF517">
        <v>27.588844719242037</v>
      </c>
      <c r="GG517">
        <v>26.008936284632334</v>
      </c>
      <c r="GH517">
        <v>16.624821742985219</v>
      </c>
      <c r="GI517">
        <v>25.46795653121206</v>
      </c>
      <c r="GJ517"/>
      <c r="GK517"/>
      <c r="GL517"/>
      <c r="GM517"/>
      <c r="GN517" s="208"/>
      <c r="GO517" s="208"/>
      <c r="GP517" s="208"/>
      <c r="GQ517" s="208"/>
      <c r="GR517" s="208"/>
      <c r="GS517" s="208"/>
      <c r="GT517" s="208"/>
      <c r="GU517" s="213">
        <v>512</v>
      </c>
    </row>
    <row r="518" spans="1:203" s="7" customFormat="1">
      <c r="A518" s="4"/>
      <c r="B518" s="4"/>
      <c r="C518" s="63"/>
      <c r="D518" s="63"/>
      <c r="E518" s="63"/>
      <c r="F518" s="63"/>
      <c r="G518" s="101"/>
      <c r="H518" s="101">
        <f>+SQRT(E517*E517)</f>
        <v>100.31379422630621</v>
      </c>
      <c r="I518" s="101">
        <f>+H518*F517</f>
        <v>0</v>
      </c>
      <c r="J518" s="101">
        <f>+I518*$A$440</f>
        <v>0</v>
      </c>
      <c r="K518" s="61">
        <f>IF(AND(J518&lt;0, J516&lt;0), 0, J518)</f>
        <v>0</v>
      </c>
      <c r="L518" s="206"/>
      <c r="M518" s="206"/>
      <c r="N518" s="206"/>
      <c r="O518" s="206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4"/>
      <c r="AB518" s="4"/>
      <c r="AC518" s="4"/>
      <c r="AD518" s="4"/>
      <c r="AE518" s="4"/>
      <c r="AF518" s="81"/>
      <c r="AG518" s="81"/>
      <c r="AH518" s="81"/>
      <c r="AI518" s="4"/>
      <c r="AJ518" s="81"/>
      <c r="AK518" s="81"/>
      <c r="AL518" s="81"/>
      <c r="AM518" s="43">
        <v>502</v>
      </c>
      <c r="AN518">
        <v>320.38661071699136</v>
      </c>
      <c r="AO518">
        <v>25.84800957203899</v>
      </c>
      <c r="AP518">
        <v>100.96962718214709</v>
      </c>
      <c r="AQ518">
        <v>191.26751817668952</v>
      </c>
      <c r="AR518">
        <v>26.385816976745918</v>
      </c>
      <c r="AS518">
        <v>252.86979273377554</v>
      </c>
      <c r="AT518">
        <v>12.645481419252206</v>
      </c>
      <c r="AU518">
        <v>15.626986579753305</v>
      </c>
      <c r="AV518"/>
      <c r="AW518"/>
      <c r="FY518" s="213">
        <v>513</v>
      </c>
      <c r="FZ518">
        <v>34.967913992813898</v>
      </c>
      <c r="GA518">
        <v>18.232341422075223</v>
      </c>
      <c r="GB518">
        <v>7.1094117088259718</v>
      </c>
      <c r="GC518">
        <v>5.7923829458643077</v>
      </c>
      <c r="GD518">
        <v>5.1196540936286006</v>
      </c>
      <c r="GE518">
        <v>4.3517736463147685</v>
      </c>
      <c r="GF518">
        <v>11.913591416376624</v>
      </c>
      <c r="GG518">
        <v>12.494381488222928</v>
      </c>
      <c r="GH518">
        <v>11.204432436511494</v>
      </c>
      <c r="GI518">
        <v>13.899626882481826</v>
      </c>
      <c r="GJ518"/>
      <c r="GK518"/>
      <c r="GL518"/>
      <c r="GM518"/>
      <c r="GN518" s="208"/>
      <c r="GO518" s="208"/>
      <c r="GP518" s="208"/>
      <c r="GQ518" s="208"/>
      <c r="GR518" s="208"/>
      <c r="GS518" s="208"/>
      <c r="GT518" s="208"/>
      <c r="GU518" s="213">
        <v>513</v>
      </c>
    </row>
    <row r="519" spans="1:203" s="7" customFormat="1">
      <c r="A519" s="4"/>
      <c r="B519" s="4"/>
      <c r="C519" s="8"/>
      <c r="D519" s="8"/>
      <c r="E519" s="8"/>
      <c r="F519" s="8"/>
      <c r="G519" s="8"/>
      <c r="H519" s="8"/>
      <c r="I519" s="8"/>
      <c r="J519" s="8"/>
      <c r="K519" s="19"/>
      <c r="L519" s="206"/>
      <c r="M519" s="206"/>
      <c r="N519" s="206"/>
      <c r="O519" s="206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4"/>
      <c r="AB519" s="4"/>
      <c r="AC519" s="4"/>
      <c r="AD519" s="4"/>
      <c r="AE519" s="4"/>
      <c r="AF519" s="81"/>
      <c r="AG519" s="81"/>
      <c r="AH519" s="81"/>
      <c r="AI519" s="4"/>
      <c r="AJ519" s="81"/>
      <c r="AK519" s="81"/>
      <c r="AL519" s="81"/>
      <c r="AM519" s="43">
        <v>503</v>
      </c>
      <c r="AN519">
        <v>379.26561510849626</v>
      </c>
      <c r="AO519">
        <v>24.641471180321059</v>
      </c>
      <c r="AP519">
        <v>86.934176997344679</v>
      </c>
      <c r="AQ519">
        <v>170.76553128995769</v>
      </c>
      <c r="AR519">
        <v>26.33503335736334</v>
      </c>
      <c r="AS519">
        <v>257.72852598104981</v>
      </c>
      <c r="AT519">
        <v>12.169590492702815</v>
      </c>
      <c r="AU519">
        <v>23.564943671495008</v>
      </c>
      <c r="AV519"/>
      <c r="AW519"/>
      <c r="FY519" s="213">
        <v>514</v>
      </c>
      <c r="FZ519">
        <v>50.576008209854855</v>
      </c>
      <c r="GA519">
        <v>28.170180847852858</v>
      </c>
      <c r="GB519">
        <v>11.396957058350877</v>
      </c>
      <c r="GC519">
        <v>7.5849261622351376</v>
      </c>
      <c r="GD519">
        <v>5.5396823564025146</v>
      </c>
      <c r="GE519">
        <v>2.2415978372163052</v>
      </c>
      <c r="GF519">
        <v>12.238346270425387</v>
      </c>
      <c r="GG519">
        <v>12.795360775837855</v>
      </c>
      <c r="GH519">
        <v>10.697110678591878</v>
      </c>
      <c r="GI519">
        <v>17.746798443045602</v>
      </c>
      <c r="GJ519"/>
      <c r="GK519"/>
      <c r="GL519"/>
      <c r="GM519"/>
      <c r="GN519" s="208"/>
      <c r="GO519" s="208"/>
      <c r="GP519" s="208"/>
      <c r="GQ519" s="208"/>
      <c r="GR519" s="208"/>
      <c r="GS519" s="208"/>
      <c r="GT519" s="208"/>
      <c r="GU519" s="213">
        <v>514</v>
      </c>
    </row>
    <row r="520" spans="1:203" s="7" customFormat="1">
      <c r="A520" s="4"/>
      <c r="B520" s="4"/>
      <c r="C520" s="63"/>
      <c r="D520" s="63"/>
      <c r="E520" s="63" t="s">
        <v>24</v>
      </c>
      <c r="F520" s="18"/>
      <c r="G520" s="123">
        <f>SUM(G457:G517)</f>
        <v>25.226603878025141</v>
      </c>
      <c r="H520" s="63" t="s">
        <v>30</v>
      </c>
      <c r="I520" s="101">
        <f>SUM(K458:K518)</f>
        <v>257.31396923112862</v>
      </c>
      <c r="J520" s="63"/>
      <c r="K520" s="19"/>
      <c r="L520" s="206"/>
      <c r="M520" s="206"/>
      <c r="N520" s="206"/>
      <c r="O520" s="206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4"/>
      <c r="AB520" s="4"/>
      <c r="AC520" s="4"/>
      <c r="AD520" s="4"/>
      <c r="AE520" s="4"/>
      <c r="AF520" s="81"/>
      <c r="AG520" s="81"/>
      <c r="AH520" s="81"/>
      <c r="AI520" s="4"/>
      <c r="AJ520" s="81"/>
      <c r="AK520" s="81"/>
      <c r="AL520" s="81"/>
      <c r="AM520" s="43">
        <v>504</v>
      </c>
      <c r="AN520">
        <v>239.75985685239175</v>
      </c>
      <c r="AO520">
        <v>27.891091422989224</v>
      </c>
      <c r="AP520">
        <v>65.456938763382936</v>
      </c>
      <c r="AQ520">
        <v>196.2376983686961</v>
      </c>
      <c r="AR520">
        <v>27.817950874468583</v>
      </c>
      <c r="AS520">
        <v>243.44216075984252</v>
      </c>
      <c r="AT520">
        <v>10.565763971231876</v>
      </c>
      <c r="AU520">
        <v>-0.55565246188076856</v>
      </c>
      <c r="AV520"/>
      <c r="AW520"/>
      <c r="FY520" s="213">
        <v>515</v>
      </c>
      <c r="FZ520">
        <v>28.187139252566528</v>
      </c>
      <c r="GA520">
        <v>43.779265382793682</v>
      </c>
      <c r="GB520">
        <v>13.253375992347184</v>
      </c>
      <c r="GC520">
        <v>8.5223764946264318</v>
      </c>
      <c r="GD520">
        <v>7.3789873097933532</v>
      </c>
      <c r="GE520">
        <v>5.6212895099385536</v>
      </c>
      <c r="GF520">
        <v>6.6979317003645926</v>
      </c>
      <c r="GG520">
        <v>6.4516711097359662</v>
      </c>
      <c r="GH520">
        <v>13.047053341121568</v>
      </c>
      <c r="GI520">
        <v>15.525504469388679</v>
      </c>
      <c r="GJ520"/>
      <c r="GK520"/>
      <c r="GL520"/>
      <c r="GM520"/>
      <c r="GN520" s="208"/>
      <c r="GO520" s="208"/>
      <c r="GP520" s="208"/>
      <c r="GQ520" s="208"/>
      <c r="GR520" s="208"/>
      <c r="GS520" s="208"/>
      <c r="GT520" s="208"/>
      <c r="GU520" s="213">
        <v>515</v>
      </c>
    </row>
    <row r="521" spans="1:203" s="7" customFormat="1">
      <c r="A521" s="4"/>
      <c r="B521" s="4"/>
      <c r="C521" s="63"/>
      <c r="D521" s="63"/>
      <c r="E521" s="63"/>
      <c r="F521" s="63"/>
      <c r="G521" s="63"/>
      <c r="H521" s="8"/>
      <c r="I521"/>
      <c r="J521" s="19"/>
      <c r="K521" s="19"/>
      <c r="L521" s="206"/>
      <c r="M521" s="206"/>
      <c r="N521" s="206"/>
      <c r="O521" s="206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4"/>
      <c r="AB521" s="4"/>
      <c r="AC521" s="4"/>
      <c r="AD521" s="4"/>
      <c r="AE521" s="4"/>
      <c r="AF521" s="81"/>
      <c r="AG521" s="81"/>
      <c r="AH521" s="81"/>
      <c r="AI521" s="4"/>
      <c r="AJ521" s="81"/>
      <c r="AK521" s="81"/>
      <c r="AL521" s="81"/>
      <c r="AM521" s="43">
        <v>505</v>
      </c>
      <c r="AN521">
        <v>418.98539994829406</v>
      </c>
      <c r="AO521">
        <v>33.357066919948878</v>
      </c>
      <c r="AP521">
        <v>112.00470272076234</v>
      </c>
      <c r="AQ521">
        <v>231.06572798240973</v>
      </c>
      <c r="AR521">
        <v>35.085628095068273</v>
      </c>
      <c r="AS521">
        <v>340.05673223567135</v>
      </c>
      <c r="AT521">
        <v>16.076232347678687</v>
      </c>
      <c r="AU521">
        <v>35.063486022447719</v>
      </c>
      <c r="AV521"/>
      <c r="AW521"/>
      <c r="FY521" s="213">
        <v>516</v>
      </c>
      <c r="FZ521">
        <v>30.396466921824839</v>
      </c>
      <c r="GA521">
        <v>31.349740394070736</v>
      </c>
      <c r="GB521">
        <v>8.9032274217745879</v>
      </c>
      <c r="GC521">
        <v>11.307848802319464</v>
      </c>
      <c r="GD521">
        <v>10.364273756782627</v>
      </c>
      <c r="GE521">
        <v>8.0382754890046186</v>
      </c>
      <c r="GF521">
        <v>7.66775177180042</v>
      </c>
      <c r="GG521">
        <v>7.2631931460164578</v>
      </c>
      <c r="GH521">
        <v>11.261760892103583</v>
      </c>
      <c r="GI521">
        <v>15.998273424118025</v>
      </c>
      <c r="GJ521"/>
      <c r="GK521"/>
      <c r="GL521"/>
      <c r="GM521"/>
      <c r="GN521" s="208"/>
      <c r="GO521" s="208"/>
      <c r="GP521" s="208"/>
      <c r="GQ521" s="208"/>
      <c r="GR521" s="208"/>
      <c r="GS521" s="208"/>
      <c r="GT521" s="208"/>
      <c r="GU521" s="213">
        <v>516</v>
      </c>
    </row>
    <row r="522" spans="1:203" s="7" customFormat="1">
      <c r="A522" s="4"/>
      <c r="B522" s="4"/>
      <c r="C522" s="63"/>
      <c r="D522" s="63"/>
      <c r="E522" s="63" t="s">
        <v>100</v>
      </c>
      <c r="F522" s="101">
        <f>+I520/G520</f>
        <v>10.200103449330111</v>
      </c>
      <c r="G522" s="63"/>
      <c r="H522" s="63" t="s">
        <v>101</v>
      </c>
      <c r="I522">
        <v>354.82888793945312</v>
      </c>
      <c r="J522" s="19"/>
      <c r="K522" s="19"/>
      <c r="L522" s="206"/>
      <c r="M522" s="206"/>
      <c r="N522" s="206"/>
      <c r="O522" s="206"/>
      <c r="P522" s="206"/>
      <c r="Q522" s="206"/>
      <c r="R522" s="206"/>
      <c r="S522" s="206"/>
      <c r="T522">
        <v>0</v>
      </c>
      <c r="U522" s="206"/>
      <c r="V522" s="206"/>
      <c r="W522" s="206"/>
      <c r="X522" s="206"/>
      <c r="Y522" s="206"/>
      <c r="Z522" s="206"/>
      <c r="AA522" s="4"/>
      <c r="AB522">
        <v>0</v>
      </c>
      <c r="AC522" s="4"/>
      <c r="AD522" s="4"/>
      <c r="AE522" s="4"/>
      <c r="AF522" s="81"/>
      <c r="AG522" s="81"/>
      <c r="AH522" s="81"/>
      <c r="AI522" s="4"/>
      <c r="AJ522" s="81"/>
      <c r="AK522" s="81"/>
      <c r="AL522" s="81"/>
      <c r="AM522" s="43">
        <v>506</v>
      </c>
      <c r="AN522">
        <v>370.54454289227078</v>
      </c>
      <c r="AO522">
        <v>30.250101984410115</v>
      </c>
      <c r="AP522">
        <v>97.486827374217455</v>
      </c>
      <c r="AQ522">
        <v>221.97060043206008</v>
      </c>
      <c r="AR522">
        <v>29.216610222030216</v>
      </c>
      <c r="AS522">
        <v>295.61993684056353</v>
      </c>
      <c r="AT522">
        <v>14.608696215443331</v>
      </c>
      <c r="AU522">
        <v>34.095087388586691</v>
      </c>
      <c r="AV522"/>
      <c r="AW522"/>
      <c r="FY522" s="213">
        <v>517</v>
      </c>
      <c r="FZ522">
        <v>44.554933053711238</v>
      </c>
      <c r="GA522">
        <v>43.444698861765723</v>
      </c>
      <c r="GB522">
        <v>7.8117892171695651</v>
      </c>
      <c r="GC522">
        <v>5.0263981623468688</v>
      </c>
      <c r="GD522">
        <v>4.3142132870179646</v>
      </c>
      <c r="GE522">
        <v>6.6130289916025955</v>
      </c>
      <c r="GF522">
        <v>32.110527320504126</v>
      </c>
      <c r="GG522">
        <v>25.87998290173185</v>
      </c>
      <c r="GH522">
        <v>12.703536758617622</v>
      </c>
      <c r="GI522">
        <v>19.099376874436107</v>
      </c>
      <c r="GJ522"/>
      <c r="GK522"/>
      <c r="GL522"/>
      <c r="GM522"/>
      <c r="GN522" s="208"/>
      <c r="GO522" s="208"/>
      <c r="GP522" s="208"/>
      <c r="GQ522" s="208"/>
      <c r="GR522" s="208"/>
      <c r="GS522" s="208"/>
      <c r="GT522" s="208"/>
      <c r="GU522" s="213">
        <v>517</v>
      </c>
    </row>
    <row r="523" spans="1:203" s="7" customFormat="1">
      <c r="A523" s="4"/>
      <c r="B523" s="4"/>
      <c r="C523" s="63"/>
      <c r="D523" s="63"/>
      <c r="E523" s="63" t="s">
        <v>102</v>
      </c>
      <c r="F523" s="101">
        <f>+I523/G520</f>
        <v>10.49248774705395</v>
      </c>
      <c r="G523" s="63"/>
      <c r="H523" s="63" t="s">
        <v>103</v>
      </c>
      <c r="I523" s="123">
        <f>+I520*(365/I522)</f>
        <v>264.68983208996247</v>
      </c>
      <c r="J523" s="19"/>
      <c r="K523" s="19"/>
      <c r="L523" s="206"/>
      <c r="M523" s="206"/>
      <c r="N523" s="206"/>
      <c r="O523" s="206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4"/>
      <c r="AB523" s="4"/>
      <c r="AC523" s="4"/>
      <c r="AD523" s="4"/>
      <c r="AE523" s="4"/>
      <c r="AF523" s="81"/>
      <c r="AG523" s="81"/>
      <c r="AH523" s="81"/>
      <c r="AI523" s="4"/>
      <c r="AJ523" s="81"/>
      <c r="AK523" s="81"/>
      <c r="AL523" s="81"/>
      <c r="AM523" s="43">
        <v>507</v>
      </c>
      <c r="AN523">
        <v>342.19615765872834</v>
      </c>
      <c r="AO523">
        <v>31.850183144726692</v>
      </c>
      <c r="AP523">
        <v>102.41669584743352</v>
      </c>
      <c r="AQ523">
        <v>219.77919533577921</v>
      </c>
      <c r="AR523">
        <v>32.089915171768759</v>
      </c>
      <c r="AS523">
        <v>286.40671801244241</v>
      </c>
      <c r="AT523">
        <v>13.003239099055271</v>
      </c>
      <c r="AU523">
        <v>3.8595495708636491</v>
      </c>
      <c r="AV523"/>
      <c r="AW523"/>
      <c r="FY523" s="213">
        <v>518</v>
      </c>
      <c r="FZ523">
        <v>44.987337928884259</v>
      </c>
      <c r="GA523">
        <v>18.894807945210935</v>
      </c>
      <c r="GB523">
        <v>5.1195897067901832</v>
      </c>
      <c r="GC523">
        <v>4.904380741976011</v>
      </c>
      <c r="GD523">
        <v>4.4724322709309803</v>
      </c>
      <c r="GE523">
        <v>10.856596094278618</v>
      </c>
      <c r="GF523">
        <v>20.82610411271569</v>
      </c>
      <c r="GG523">
        <v>13.874578156342972</v>
      </c>
      <c r="GH523">
        <v>15.531027996883022</v>
      </c>
      <c r="GI523">
        <v>16.674371370678777</v>
      </c>
      <c r="GJ523"/>
      <c r="GK523"/>
      <c r="GL523"/>
      <c r="GM523"/>
      <c r="GN523" s="208"/>
      <c r="GO523" s="208"/>
      <c r="GP523" s="208"/>
      <c r="GQ523" s="208"/>
      <c r="GR523" s="208"/>
      <c r="GS523" s="208"/>
      <c r="GT523" s="208"/>
      <c r="GU523" s="213">
        <v>518</v>
      </c>
    </row>
    <row r="524" spans="1:203" s="7" customFormat="1">
      <c r="A524" s="4"/>
      <c r="B524" s="4"/>
      <c r="C524" s="83"/>
      <c r="D524" s="83"/>
      <c r="E524" s="83"/>
      <c r="F524" s="4"/>
      <c r="G524" s="4"/>
      <c r="H524" s="4"/>
      <c r="I524" s="4"/>
      <c r="J524" s="4"/>
      <c r="K524" s="4"/>
      <c r="L524" s="206"/>
      <c r="M524" s="206"/>
      <c r="N524" s="206"/>
      <c r="O524" s="206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4"/>
      <c r="AB524" s="4"/>
      <c r="AC524" s="4"/>
      <c r="AD524" s="4"/>
      <c r="AE524" s="4"/>
      <c r="AF524" s="81"/>
      <c r="AG524" s="81"/>
      <c r="AH524" s="81"/>
      <c r="AI524" s="4"/>
      <c r="AJ524" s="81"/>
      <c r="AK524" s="81"/>
      <c r="AL524" s="81"/>
      <c r="AM524" s="43">
        <v>508</v>
      </c>
      <c r="AN524">
        <v>310.71914504432141</v>
      </c>
      <c r="AO524">
        <v>21.293793217708306</v>
      </c>
      <c r="AP524">
        <v>71.34009807782283</v>
      </c>
      <c r="AQ524">
        <v>141.26290385036435</v>
      </c>
      <c r="AR524">
        <v>23.241221876393965</v>
      </c>
      <c r="AS524">
        <v>227.20382854899648</v>
      </c>
      <c r="AT524">
        <v>9.8403727437048989</v>
      </c>
      <c r="AU524">
        <v>12.619475240288493</v>
      </c>
      <c r="AV524"/>
      <c r="AW524"/>
      <c r="FY524" s="213">
        <v>519</v>
      </c>
      <c r="FZ524">
        <v>56.652404679642892</v>
      </c>
      <c r="GA524">
        <v>48.088896363908177</v>
      </c>
      <c r="GB524">
        <v>4.1875687633880876</v>
      </c>
      <c r="GC524">
        <v>6.9178767370534366</v>
      </c>
      <c r="GD524">
        <v>6.1582643761309468</v>
      </c>
      <c r="GE524">
        <v>6.2142106152216483</v>
      </c>
      <c r="GF524">
        <v>17.925298367009258</v>
      </c>
      <c r="GG524">
        <v>15.544074887338038</v>
      </c>
      <c r="GH524">
        <v>15.357444961988223</v>
      </c>
      <c r="GI524">
        <v>18.570679286089433</v>
      </c>
      <c r="GJ524"/>
      <c r="GK524"/>
      <c r="GL524"/>
      <c r="GM524"/>
      <c r="GN524" s="208"/>
      <c r="GO524" s="208"/>
      <c r="GP524" s="208"/>
      <c r="GQ524" s="208"/>
      <c r="GR524" s="208"/>
      <c r="GS524" s="208"/>
      <c r="GT524" s="208"/>
      <c r="GU524" s="213">
        <v>519</v>
      </c>
    </row>
    <row r="525" spans="1:203" s="7" customFormat="1">
      <c r="A525" s="4"/>
      <c r="B525" s="4"/>
      <c r="C525" s="83"/>
      <c r="D525" s="83"/>
      <c r="E525" s="83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81"/>
      <c r="AG525" s="81"/>
      <c r="AH525" s="81"/>
      <c r="AI525" s="4"/>
      <c r="AJ525" s="81"/>
      <c r="AK525" s="81"/>
      <c r="AL525" s="81"/>
      <c r="AM525" s="43">
        <v>509</v>
      </c>
      <c r="AN525">
        <v>280.35684748252135</v>
      </c>
      <c r="AO525">
        <v>22.394952954356178</v>
      </c>
      <c r="AP525">
        <v>54.689006517301088</v>
      </c>
      <c r="AQ525">
        <v>154.07835244905172</v>
      </c>
      <c r="AR525">
        <v>21.317291471816421</v>
      </c>
      <c r="AS525">
        <v>228.66673276721946</v>
      </c>
      <c r="AT525">
        <v>8.089084450903286</v>
      </c>
      <c r="AU525">
        <v>-0.88248282894945795</v>
      </c>
      <c r="AV525"/>
      <c r="AW525"/>
      <c r="FY525" s="213">
        <v>520</v>
      </c>
      <c r="FZ525">
        <v>59.282814650098885</v>
      </c>
      <c r="GA525">
        <v>75.422546945683578</v>
      </c>
      <c r="GB525">
        <v>12.714417443850774</v>
      </c>
      <c r="GC525">
        <v>4.6808136653737149</v>
      </c>
      <c r="GD525">
        <v>3.5573795855920647</v>
      </c>
      <c r="GE525">
        <v>2.3986961904483408</v>
      </c>
      <c r="GF525">
        <v>17.900749576016977</v>
      </c>
      <c r="GG525">
        <v>18.501489521627622</v>
      </c>
      <c r="GH525">
        <v>9.4716325709385192</v>
      </c>
      <c r="GI525">
        <v>19.123389802319426</v>
      </c>
      <c r="GJ525"/>
      <c r="GK525"/>
      <c r="GL525"/>
      <c r="GM525"/>
      <c r="GN525" s="208"/>
      <c r="GO525" s="208"/>
      <c r="GP525" s="208"/>
      <c r="GQ525" s="208"/>
      <c r="GR525" s="208"/>
      <c r="GS525" s="208"/>
      <c r="GT525" s="208"/>
      <c r="GU525" s="213">
        <v>520</v>
      </c>
    </row>
    <row r="526" spans="1:203" s="7" customFormat="1">
      <c r="A526" s="4"/>
      <c r="B526" s="4"/>
      <c r="C526" s="83"/>
      <c r="D526" s="83"/>
      <c r="E526" s="83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81"/>
      <c r="AG526" s="81"/>
      <c r="AH526" s="81"/>
      <c r="AI526" s="4"/>
      <c r="AJ526" s="81"/>
      <c r="AK526" s="81"/>
      <c r="AL526" s="81"/>
      <c r="AM526" s="43">
        <v>510</v>
      </c>
      <c r="AN526">
        <v>349.93684603807628</v>
      </c>
      <c r="AO526">
        <v>30.737539726682428</v>
      </c>
      <c r="AP526">
        <v>102.65472101492763</v>
      </c>
      <c r="AQ526">
        <v>241.60563065246743</v>
      </c>
      <c r="AR526">
        <v>32.008873427128144</v>
      </c>
      <c r="AS526">
        <v>288.18558886581826</v>
      </c>
      <c r="AT526">
        <v>15.489221602585198</v>
      </c>
      <c r="AU526">
        <v>22.669803891031155</v>
      </c>
      <c r="AV526"/>
      <c r="AW526"/>
      <c r="FY526" s="213">
        <v>521</v>
      </c>
      <c r="FZ526">
        <v>70.591690361510643</v>
      </c>
      <c r="GA526">
        <v>70.160342611722456</v>
      </c>
      <c r="GB526">
        <v>7.4382250968049473</v>
      </c>
      <c r="GC526">
        <v>4.8327626939140886</v>
      </c>
      <c r="GD526">
        <v>4.6922458102121416</v>
      </c>
      <c r="GE526">
        <v>6.9175645876484193</v>
      </c>
      <c r="GF526">
        <v>15.309526282306329</v>
      </c>
      <c r="GG526">
        <v>10.938837237271565</v>
      </c>
      <c r="GH526">
        <v>12.974368921759337</v>
      </c>
      <c r="GI526">
        <v>20.010389907902749</v>
      </c>
      <c r="GJ526"/>
      <c r="GK526"/>
      <c r="GL526"/>
      <c r="GM526"/>
      <c r="GN526" s="208"/>
      <c r="GO526" s="208"/>
      <c r="GP526" s="208"/>
      <c r="GQ526" s="208"/>
      <c r="GR526" s="208"/>
      <c r="GS526" s="208"/>
      <c r="GT526" s="208"/>
      <c r="GU526" s="213">
        <v>521</v>
      </c>
    </row>
    <row r="527" spans="1:203" s="7" customFormat="1">
      <c r="A527" s="4"/>
      <c r="B527" s="4"/>
      <c r="C527" s="83"/>
      <c r="D527" s="83"/>
      <c r="E527" s="83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81"/>
      <c r="AG527" s="81"/>
      <c r="AH527" s="81"/>
      <c r="AI527" s="4"/>
      <c r="AJ527" s="81"/>
      <c r="AK527" s="81"/>
      <c r="AL527" s="81"/>
      <c r="AM527" s="43">
        <v>511</v>
      </c>
      <c r="AN527">
        <v>473.86815513660105</v>
      </c>
      <c r="AO527">
        <v>29.681731018378191</v>
      </c>
      <c r="AP527">
        <v>117.7199490337542</v>
      </c>
      <c r="AQ527">
        <v>197.3105413371338</v>
      </c>
      <c r="AR527">
        <v>29.842662674074838</v>
      </c>
      <c r="AS527">
        <v>316.79841819787981</v>
      </c>
      <c r="AT527">
        <v>13.753746347149907</v>
      </c>
      <c r="AU527">
        <v>44.567955675827577</v>
      </c>
      <c r="AV527"/>
      <c r="AW527"/>
      <c r="FY527" s="213">
        <v>522</v>
      </c>
      <c r="FZ527">
        <v>39.692342390829154</v>
      </c>
      <c r="GA527">
        <v>30.442487597501263</v>
      </c>
      <c r="GB527">
        <v>7.9415955356508139</v>
      </c>
      <c r="GC527">
        <v>4.4357478875144691</v>
      </c>
      <c r="GD527">
        <v>4.4628432225604193</v>
      </c>
      <c r="GE527">
        <v>8.2686941755730601</v>
      </c>
      <c r="GF527">
        <v>18.341406795737786</v>
      </c>
      <c r="GG527">
        <v>13.29429453457854</v>
      </c>
      <c r="GH527">
        <v>17.696287555271645</v>
      </c>
      <c r="GI527">
        <v>16.726597719807966</v>
      </c>
      <c r="GJ527"/>
      <c r="GK527"/>
      <c r="GL527"/>
      <c r="GM527"/>
      <c r="GN527" s="208"/>
      <c r="GO527" s="208"/>
      <c r="GP527" s="208"/>
      <c r="GQ527" s="208"/>
      <c r="GR527" s="208"/>
      <c r="GS527" s="208"/>
      <c r="GT527" s="208"/>
      <c r="GU527" s="213">
        <v>522</v>
      </c>
    </row>
    <row r="528" spans="1:203" s="7" customFormat="1">
      <c r="A528" s="4"/>
      <c r="B528" s="4"/>
      <c r="C528" s="83"/>
      <c r="F528" s="28"/>
      <c r="G528" s="28"/>
      <c r="H528" s="83"/>
      <c r="I528" s="4"/>
      <c r="J528" s="98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4"/>
      <c r="AB528" s="4"/>
      <c r="AC528" s="4"/>
      <c r="AD528" s="4"/>
      <c r="AE528" s="4"/>
      <c r="AF528" s="81"/>
      <c r="AG528" s="81"/>
      <c r="AH528" s="81"/>
      <c r="AI528" s="4"/>
      <c r="AJ528" s="81"/>
      <c r="AK528" s="81"/>
      <c r="AL528" s="81"/>
      <c r="AM528" s="43">
        <v>512</v>
      </c>
      <c r="AN528">
        <v>451.45771823408006</v>
      </c>
      <c r="AO528">
        <v>38.072589675218133</v>
      </c>
      <c r="AP528">
        <v>171.46259630939778</v>
      </c>
      <c r="AQ528">
        <v>265.42229482286314</v>
      </c>
      <c r="AR528">
        <v>37.340081512491075</v>
      </c>
      <c r="AS528">
        <v>348.12175155609407</v>
      </c>
      <c r="AT528">
        <v>18.080904759854558</v>
      </c>
      <c r="AU528">
        <v>84.999788367610037</v>
      </c>
      <c r="AV528"/>
      <c r="AW528"/>
      <c r="FY528" s="213">
        <v>523</v>
      </c>
      <c r="FZ528">
        <v>30.993951592811573</v>
      </c>
      <c r="GA528">
        <v>16.483946834608972</v>
      </c>
      <c r="GB528">
        <v>4.5691118308013614</v>
      </c>
      <c r="GC528">
        <v>6.8870271325616219</v>
      </c>
      <c r="GD528">
        <v>6.094890159286785</v>
      </c>
      <c r="GE528">
        <v>4.7187565021014999</v>
      </c>
      <c r="GF528">
        <v>12.79161686570111</v>
      </c>
      <c r="GG528">
        <v>13.217438038442062</v>
      </c>
      <c r="GH528">
        <v>20.295245447310673</v>
      </c>
      <c r="GI528">
        <v>14.792403815843564</v>
      </c>
      <c r="GJ528"/>
      <c r="GK528"/>
      <c r="GL528"/>
      <c r="GM528"/>
      <c r="GN528" s="208"/>
      <c r="GO528" s="208"/>
      <c r="GP528" s="208"/>
      <c r="GQ528" s="208"/>
      <c r="GR528" s="208"/>
      <c r="GS528" s="208"/>
      <c r="GT528" s="208"/>
      <c r="GU528" s="213">
        <v>523</v>
      </c>
    </row>
    <row r="529" spans="1:203" s="7" customFormat="1" ht="15.75">
      <c r="A529" s="4"/>
      <c r="B529" s="4"/>
      <c r="C529" s="125" t="s">
        <v>138</v>
      </c>
      <c r="D529" s="126"/>
      <c r="E529" s="81"/>
      <c r="F529" s="81"/>
      <c r="G529" s="81"/>
      <c r="H529" s="81"/>
      <c r="I529" s="81"/>
      <c r="J529" s="81"/>
      <c r="K529" s="98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81"/>
      <c r="AG529" s="81"/>
      <c r="AH529" s="81"/>
      <c r="AI529" s="4"/>
      <c r="AJ529" s="81"/>
      <c r="AK529" s="81"/>
      <c r="AL529" s="81"/>
      <c r="AM529" s="43">
        <v>513</v>
      </c>
      <c r="AN529">
        <v>277.54636978010666</v>
      </c>
      <c r="AO529">
        <v>18.445820218274584</v>
      </c>
      <c r="AP529">
        <v>47.903248340598054</v>
      </c>
      <c r="AQ529">
        <v>125.08551003311564</v>
      </c>
      <c r="AR529">
        <v>20.484447662217097</v>
      </c>
      <c r="AS529">
        <v>199.16153844232949</v>
      </c>
      <c r="AT529">
        <v>9.4987891658169179</v>
      </c>
      <c r="AU529">
        <v>29.168945652642101</v>
      </c>
      <c r="AV529"/>
      <c r="AW529"/>
      <c r="FY529" s="213">
        <v>524</v>
      </c>
      <c r="FZ529">
        <v>60.437092269907055</v>
      </c>
      <c r="GA529">
        <v>63.703805026060287</v>
      </c>
      <c r="GB529">
        <v>12.345221209802189</v>
      </c>
      <c r="GC529">
        <v>5.1791573020896378</v>
      </c>
      <c r="GD529">
        <v>6.0102509696215494</v>
      </c>
      <c r="GE529">
        <v>12.155180356628057</v>
      </c>
      <c r="GF529">
        <v>23.959308844256881</v>
      </c>
      <c r="GG529">
        <v>15.269325427011305</v>
      </c>
      <c r="GH529">
        <v>10.524780745576702</v>
      </c>
      <c r="GI529">
        <v>21.828258699920145</v>
      </c>
      <c r="GJ529"/>
      <c r="GK529"/>
      <c r="GL529"/>
      <c r="GM529"/>
      <c r="GN529" s="208"/>
      <c r="GO529" s="208"/>
      <c r="GP529" s="208"/>
      <c r="GQ529" s="208"/>
      <c r="GR529" s="208"/>
      <c r="GS529" s="208"/>
      <c r="GT529" s="208"/>
      <c r="GU529" s="213">
        <v>524</v>
      </c>
    </row>
    <row r="530" spans="1:203" s="7" customFormat="1">
      <c r="A530" s="4"/>
      <c r="B530" s="4"/>
      <c r="C530" s="99" t="s">
        <v>139</v>
      </c>
      <c r="D530" s="99" t="s">
        <v>23</v>
      </c>
      <c r="E530" s="99" t="s">
        <v>80</v>
      </c>
      <c r="F530" s="99"/>
      <c r="G530" s="99" t="s">
        <v>82</v>
      </c>
      <c r="H530" s="99" t="s">
        <v>140</v>
      </c>
      <c r="I530" s="99" t="s">
        <v>0</v>
      </c>
      <c r="J530" s="99" t="s">
        <v>1</v>
      </c>
      <c r="K530" s="106" t="s">
        <v>2</v>
      </c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4"/>
      <c r="AB530" s="4"/>
      <c r="AC530" s="4"/>
      <c r="AD530" s="4"/>
      <c r="AE530" s="4"/>
      <c r="AF530" s="81"/>
      <c r="AG530" s="81"/>
      <c r="AH530" s="81"/>
      <c r="AI530" s="4"/>
      <c r="AJ530" s="81"/>
      <c r="AK530" s="81"/>
      <c r="AL530" s="81"/>
      <c r="AM530" s="43">
        <v>514</v>
      </c>
      <c r="AN530">
        <v>271.23742967074821</v>
      </c>
      <c r="AO530">
        <v>23.582621020382998</v>
      </c>
      <c r="AP530">
        <v>65.363630735631631</v>
      </c>
      <c r="AQ530">
        <v>158.98696863981326</v>
      </c>
      <c r="AR530">
        <v>26.792172722447859</v>
      </c>
      <c r="AS530">
        <v>229.72113518161939</v>
      </c>
      <c r="AT530">
        <v>11.602290214037998</v>
      </c>
      <c r="AU530">
        <v>87.692788677232045</v>
      </c>
      <c r="AV530"/>
      <c r="AW530"/>
      <c r="FY530" s="213">
        <v>525</v>
      </c>
      <c r="FZ530">
        <v>77.669476057817633</v>
      </c>
      <c r="GA530">
        <v>49.661446434571616</v>
      </c>
      <c r="GB530">
        <v>7.9754025900383514</v>
      </c>
      <c r="GC530">
        <v>4.6135894431245124</v>
      </c>
      <c r="GD530">
        <v>4.1804707274312314</v>
      </c>
      <c r="GE530">
        <v>5.7584253307800317</v>
      </c>
      <c r="GF530">
        <v>20.639898993706446</v>
      </c>
      <c r="GG530">
        <v>17.743090926725046</v>
      </c>
      <c r="GH530">
        <v>12.569032265930034</v>
      </c>
      <c r="GI530">
        <v>21.66481474407696</v>
      </c>
      <c r="GJ530"/>
      <c r="GK530"/>
      <c r="GL530"/>
      <c r="GM530"/>
      <c r="GN530" s="208"/>
      <c r="GO530" s="208"/>
      <c r="GP530" s="208"/>
      <c r="GQ530" s="208"/>
      <c r="GR530" s="208"/>
      <c r="GS530" s="208"/>
      <c r="GT530" s="208"/>
      <c r="GU530" s="213">
        <v>525</v>
      </c>
    </row>
    <row r="531" spans="1:203" s="7" customFormat="1">
      <c r="A531" s="4"/>
      <c r="B531" s="4"/>
      <c r="C531" s="116">
        <f>C4</f>
        <v>39646</v>
      </c>
      <c r="D531" s="101">
        <f>D70</f>
        <v>164.58333333333334</v>
      </c>
      <c r="E531" s="108">
        <f>E405</f>
        <v>0.25435604339457835</v>
      </c>
      <c r="F531" s="102"/>
      <c r="G531" s="101">
        <f>D531*E531</f>
        <v>41.862765475357691</v>
      </c>
      <c r="H531" s="101"/>
      <c r="I531" s="101"/>
      <c r="J531" s="101"/>
      <c r="K531" s="101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4"/>
      <c r="AB531" s="4"/>
      <c r="AC531" s="4"/>
      <c r="AD531" s="4"/>
      <c r="AE531" s="4"/>
      <c r="AF531" s="81"/>
      <c r="AG531" s="81"/>
      <c r="AH531" s="81"/>
      <c r="AI531" s="4"/>
      <c r="AJ531" s="81"/>
      <c r="AK531" s="81"/>
      <c r="AL531" s="81"/>
      <c r="AM531" s="43">
        <v>515</v>
      </c>
      <c r="AN531">
        <v>317.8567347993768</v>
      </c>
      <c r="AO531">
        <v>22.542569197889467</v>
      </c>
      <c r="AP531">
        <v>74.564320755787463</v>
      </c>
      <c r="AQ531">
        <v>148.46459456267655</v>
      </c>
      <c r="AR531">
        <v>22.619816666966162</v>
      </c>
      <c r="AS531">
        <v>224.31174324828535</v>
      </c>
      <c r="AT531">
        <v>10.257509742068414</v>
      </c>
      <c r="AU531">
        <v>10.176678620531421</v>
      </c>
      <c r="AV531"/>
      <c r="AW531"/>
      <c r="FY531" s="213">
        <v>526</v>
      </c>
      <c r="FZ531">
        <v>46.948143416057114</v>
      </c>
      <c r="GA531">
        <v>52.749218773634709</v>
      </c>
      <c r="GB531">
        <v>15.439489610360372</v>
      </c>
      <c r="GC531">
        <v>7.5756949696535418</v>
      </c>
      <c r="GD531">
        <v>5.5008208809081403</v>
      </c>
      <c r="GE531">
        <v>3.5166354256052688</v>
      </c>
      <c r="GF531">
        <v>13.483221215817226</v>
      </c>
      <c r="GG531">
        <v>12.477380476812957</v>
      </c>
      <c r="GH531">
        <v>18.101528052131254</v>
      </c>
      <c r="GI531">
        <v>19.866326167048669</v>
      </c>
      <c r="GJ531"/>
      <c r="GK531"/>
      <c r="GL531"/>
      <c r="GM531"/>
      <c r="GN531" s="208"/>
      <c r="GO531" s="208"/>
      <c r="GP531" s="208"/>
      <c r="GQ531" s="208"/>
      <c r="GR531" s="208"/>
      <c r="GS531" s="208"/>
      <c r="GT531" s="208"/>
      <c r="GU531" s="213">
        <v>526</v>
      </c>
    </row>
    <row r="532" spans="1:203" s="7" customFormat="1">
      <c r="A532" s="4"/>
      <c r="B532" s="4"/>
      <c r="C532" s="63"/>
      <c r="D532" s="101"/>
      <c r="E532" s="63"/>
      <c r="F532" s="63"/>
      <c r="G532" s="101"/>
      <c r="H532" s="101">
        <f>E533-E531</f>
        <v>-3.4609361278488127E-3</v>
      </c>
      <c r="I532" s="101">
        <f>AVERAGE(D531:D533)</f>
        <v>107.58928571428572</v>
      </c>
      <c r="J532" s="101">
        <f>I532*H532</f>
        <v>-0.37235964589801962</v>
      </c>
      <c r="K532" s="61">
        <f>J532/(C533-C531)</f>
        <v>-1.3791097996222948E-2</v>
      </c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4"/>
      <c r="AB532" s="4"/>
      <c r="AC532" s="4"/>
      <c r="AD532" s="4"/>
      <c r="AE532" s="4"/>
      <c r="AF532" s="81"/>
      <c r="AG532" s="81"/>
      <c r="AH532" s="81"/>
      <c r="AI532" s="4"/>
      <c r="AJ532" s="81"/>
      <c r="AK532" s="81"/>
      <c r="AL532" s="81"/>
      <c r="AM532" s="43">
        <v>516</v>
      </c>
      <c r="AN532">
        <v>371.88758124191185</v>
      </c>
      <c r="AO532">
        <v>23.021259635850594</v>
      </c>
      <c r="AP532">
        <v>71.223778669955948</v>
      </c>
      <c r="AQ532">
        <v>142.55081201981537</v>
      </c>
      <c r="AR532">
        <v>23.316573096176985</v>
      </c>
      <c r="AS532">
        <v>266.25686196374215</v>
      </c>
      <c r="AT532">
        <v>11.195366651808493</v>
      </c>
      <c r="AU532">
        <v>5.1434580952229609</v>
      </c>
      <c r="AV532"/>
      <c r="AW532"/>
      <c r="FY532" s="213">
        <v>527</v>
      </c>
      <c r="FZ532">
        <v>45.597712204621139</v>
      </c>
      <c r="GA532">
        <v>46.849962287012659</v>
      </c>
      <c r="GB532">
        <v>16.190357929351126</v>
      </c>
      <c r="GC532">
        <v>5.2259613658933333</v>
      </c>
      <c r="GD532">
        <v>4.4421972423719369</v>
      </c>
      <c r="GE532">
        <v>4.3634145422298456</v>
      </c>
      <c r="GF532">
        <v>22.460573599240643</v>
      </c>
      <c r="GG532">
        <v>20.877778681020484</v>
      </c>
      <c r="GH532">
        <v>17.730423957058857</v>
      </c>
      <c r="GI532">
        <v>20.902958144841154</v>
      </c>
      <c r="GJ532"/>
      <c r="GK532"/>
      <c r="GL532"/>
      <c r="GM532"/>
      <c r="GN532" s="208"/>
      <c r="GO532" s="208"/>
      <c r="GP532" s="208"/>
      <c r="GQ532" s="208"/>
      <c r="GR532" s="208"/>
      <c r="GS532" s="208"/>
      <c r="GT532" s="208"/>
      <c r="GU532" s="213">
        <v>527</v>
      </c>
    </row>
    <row r="533" spans="1:203" s="7" customFormat="1">
      <c r="A533" s="4"/>
      <c r="B533" s="4"/>
      <c r="C533" s="117">
        <f>C5</f>
        <v>39673</v>
      </c>
      <c r="D533" s="101">
        <f>D71</f>
        <v>50.595238095238102</v>
      </c>
      <c r="E533" s="108">
        <f>E406</f>
        <v>0.25089510726672953</v>
      </c>
      <c r="F533" s="102"/>
      <c r="G533" s="101">
        <f>D533*E533</f>
        <v>12.694097689090484</v>
      </c>
      <c r="H533" s="101"/>
      <c r="I533" s="101"/>
      <c r="J533" s="101"/>
      <c r="K533" s="101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4"/>
      <c r="AB533" s="4"/>
      <c r="AC533" s="4"/>
      <c r="AD533" s="4"/>
      <c r="AE533" s="4"/>
      <c r="AF533" s="81"/>
      <c r="AG533" s="81"/>
      <c r="AH533" s="81"/>
      <c r="AI533" s="4"/>
      <c r="AJ533" s="81"/>
      <c r="AK533" s="81"/>
      <c r="AL533" s="81"/>
      <c r="AM533" s="43">
        <v>517</v>
      </c>
      <c r="AN533">
        <v>347.13697468432758</v>
      </c>
      <c r="AO533">
        <v>26.965460697618727</v>
      </c>
      <c r="AP533">
        <v>105.90679592120725</v>
      </c>
      <c r="AQ533">
        <v>201.55848542890362</v>
      </c>
      <c r="AR533">
        <v>27.280002499807981</v>
      </c>
      <c r="AS533">
        <v>287.72152540727393</v>
      </c>
      <c r="AT533">
        <v>13.601282979102569</v>
      </c>
      <c r="AU533">
        <v>45.156980377581554</v>
      </c>
      <c r="AV533"/>
      <c r="AW533"/>
      <c r="FY533" s="213">
        <v>528</v>
      </c>
      <c r="FZ533">
        <v>29.196117942512316</v>
      </c>
      <c r="GA533">
        <v>34.612261526706909</v>
      </c>
      <c r="GB533">
        <v>7.2438883850902442</v>
      </c>
      <c r="GC533">
        <v>4.0024772742408121</v>
      </c>
      <c r="GD533">
        <v>3.8091720849120785</v>
      </c>
      <c r="GE533">
        <v>6.7448853416453671</v>
      </c>
      <c r="GF533">
        <v>33.087383011597638</v>
      </c>
      <c r="GG533">
        <v>25.981511485054618</v>
      </c>
      <c r="GH533">
        <v>18.90252895638211</v>
      </c>
      <c r="GI533">
        <v>17.626618280379127</v>
      </c>
      <c r="GJ533"/>
      <c r="GK533"/>
      <c r="GL533"/>
      <c r="GM533"/>
      <c r="GN533" s="208"/>
      <c r="GO533" s="208"/>
      <c r="GP533" s="208"/>
      <c r="GQ533" s="208"/>
      <c r="GR533" s="208"/>
      <c r="GS533" s="208"/>
      <c r="GT533" s="208"/>
      <c r="GU533" s="213">
        <v>528</v>
      </c>
    </row>
    <row r="534" spans="1:203" s="7" customFormat="1">
      <c r="A534" s="4"/>
      <c r="B534" s="4"/>
      <c r="C534" s="63" t="s">
        <v>99</v>
      </c>
      <c r="D534" s="101"/>
      <c r="E534" s="63"/>
      <c r="F534" s="63"/>
      <c r="G534" s="101"/>
      <c r="H534" s="101">
        <f>E535-E533</f>
        <v>-0.21851069202060391</v>
      </c>
      <c r="I534" s="101">
        <f>AVERAGE(D533:D535)</f>
        <v>91.29224270353302</v>
      </c>
      <c r="J534" s="101">
        <f>I534*H534</f>
        <v>-19.948331129261927</v>
      </c>
      <c r="K534" s="61">
        <f>J534/(C535-C533)</f>
        <v>-0.48654466168931532</v>
      </c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4"/>
      <c r="AB534" s="4"/>
      <c r="AC534" s="4"/>
      <c r="AD534" s="4"/>
      <c r="AE534" s="4"/>
      <c r="AF534" s="81"/>
      <c r="AG534" s="81"/>
      <c r="AH534" s="81"/>
      <c r="AI534" s="4"/>
      <c r="AJ534" s="81"/>
      <c r="AK534" s="81"/>
      <c r="AL534" s="81"/>
      <c r="AM534" s="43">
        <v>518</v>
      </c>
      <c r="AN534">
        <v>358.09818679834524</v>
      </c>
      <c r="AO534">
        <v>21.660131334046323</v>
      </c>
      <c r="AP534">
        <v>73.992579512112286</v>
      </c>
      <c r="AQ534">
        <v>156.14122632469144</v>
      </c>
      <c r="AR534">
        <v>23.998494491004664</v>
      </c>
      <c r="AS534">
        <v>249.63932883747378</v>
      </c>
      <c r="AT534">
        <v>12.325425089395706</v>
      </c>
      <c r="AU534">
        <v>57.755298786804204</v>
      </c>
      <c r="AV534"/>
      <c r="AW534"/>
      <c r="FY534" s="213">
        <v>529</v>
      </c>
      <c r="FZ534">
        <v>51.664265532569566</v>
      </c>
      <c r="GA534">
        <v>64.016090215854376</v>
      </c>
      <c r="GB534">
        <v>14.698958426967902</v>
      </c>
      <c r="GC534">
        <v>7.2087964283698893</v>
      </c>
      <c r="GD534">
        <v>7.5351974099319357</v>
      </c>
      <c r="GE534">
        <v>6.6298350505892376</v>
      </c>
      <c r="GF534">
        <v>31.406573447144645</v>
      </c>
      <c r="GG534">
        <v>29.637781608696987</v>
      </c>
      <c r="GH534">
        <v>8.5128981626234985</v>
      </c>
      <c r="GI534">
        <v>23.152735854702424</v>
      </c>
      <c r="GJ534"/>
      <c r="GK534"/>
      <c r="GL534"/>
      <c r="GM534"/>
      <c r="GN534" s="208"/>
      <c r="GO534" s="208"/>
      <c r="GP534" s="208"/>
      <c r="GQ534" s="208"/>
      <c r="GR534" s="208"/>
      <c r="GS534" s="208"/>
      <c r="GT534" s="208"/>
      <c r="GU534" s="213">
        <v>529</v>
      </c>
    </row>
    <row r="535" spans="1:203" s="7" customFormat="1">
      <c r="A535" s="4"/>
      <c r="B535" s="4"/>
      <c r="C535" s="117">
        <f>C6</f>
        <v>39714</v>
      </c>
      <c r="D535" s="101">
        <f>D72</f>
        <v>131.98924731182794</v>
      </c>
      <c r="E535" s="108">
        <f>E407</f>
        <v>3.2384415246125606E-2</v>
      </c>
      <c r="F535" s="102"/>
      <c r="G535" s="101">
        <f>D535*E535</f>
        <v>4.274394592969804</v>
      </c>
      <c r="H535" s="101"/>
      <c r="I535" s="101"/>
      <c r="J535" s="101"/>
      <c r="K535" s="101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4"/>
      <c r="AB535" s="4"/>
      <c r="AC535" s="4"/>
      <c r="AD535" s="4"/>
      <c r="AE535" s="4"/>
      <c r="AF535" s="81"/>
      <c r="AG535" s="81"/>
      <c r="AH535" s="81"/>
      <c r="AI535" s="4"/>
      <c r="AJ535" s="81"/>
      <c r="AK535" s="81"/>
      <c r="AL535" s="81"/>
      <c r="AM535" s="43">
        <v>519</v>
      </c>
      <c r="AN535">
        <v>321.23298393997277</v>
      </c>
      <c r="AO535">
        <v>25.88686080330487</v>
      </c>
      <c r="AP535">
        <v>77.49665618696794</v>
      </c>
      <c r="AQ535">
        <v>195.61671903777014</v>
      </c>
      <c r="AR535">
        <v>26.701161596486958</v>
      </c>
      <c r="AS535">
        <v>265.01782838201916</v>
      </c>
      <c r="AT535">
        <v>14.308626875795992</v>
      </c>
      <c r="AU535">
        <v>18.934691011673166</v>
      </c>
      <c r="AV535"/>
      <c r="AW535"/>
      <c r="FY535" s="213">
        <v>530</v>
      </c>
      <c r="FZ535">
        <v>36.063239496397401</v>
      </c>
      <c r="GA535">
        <v>51.126379104174966</v>
      </c>
      <c r="GB535">
        <v>12.537132342147419</v>
      </c>
      <c r="GC535">
        <v>4.2001460405107709</v>
      </c>
      <c r="GD535">
        <v>3.2462828523639802</v>
      </c>
      <c r="GE535">
        <v>4.7727795941509275</v>
      </c>
      <c r="GF535">
        <v>24.326600013706926</v>
      </c>
      <c r="GG535">
        <v>21.945909735593538</v>
      </c>
      <c r="GH535">
        <v>12.014535889746368</v>
      </c>
      <c r="GI535">
        <v>17.170933482838617</v>
      </c>
      <c r="GJ535"/>
      <c r="GK535"/>
      <c r="GL535"/>
      <c r="GM535"/>
      <c r="GN535" s="208"/>
      <c r="GO535" s="208"/>
      <c r="GP535" s="208"/>
      <c r="GQ535" s="208"/>
      <c r="GR535" s="208"/>
      <c r="GS535" s="208"/>
      <c r="GT535" s="208"/>
      <c r="GU535" s="213">
        <v>530</v>
      </c>
    </row>
    <row r="536" spans="1:203" s="7" customFormat="1">
      <c r="A536" s="4"/>
      <c r="B536" s="4"/>
      <c r="C536" s="63"/>
      <c r="D536" s="101"/>
      <c r="E536" s="63"/>
      <c r="F536" s="63"/>
      <c r="G536" s="101"/>
      <c r="H536" s="101">
        <f>E537-E535</f>
        <v>-1.808498303814101E-2</v>
      </c>
      <c r="I536" s="101">
        <f>AVERAGE(D535:D537)</f>
        <v>309.92591237437938</v>
      </c>
      <c r="J536" s="101">
        <f>I536*H536</f>
        <v>-5.6050048683710276</v>
      </c>
      <c r="K536" s="61">
        <f>J536/(C537-C535)</f>
        <v>-0.16984863237487963</v>
      </c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4"/>
      <c r="AB536" s="4"/>
      <c r="AC536" s="4"/>
      <c r="AD536" s="4"/>
      <c r="AE536" s="4"/>
      <c r="AF536" s="81"/>
      <c r="AG536" s="81"/>
      <c r="AH536" s="81"/>
      <c r="AI536" s="4"/>
      <c r="AJ536" s="81"/>
      <c r="AK536" s="81"/>
      <c r="AL536" s="81"/>
      <c r="AM536" s="43">
        <v>520</v>
      </c>
      <c r="AN536">
        <v>266.12932754411202</v>
      </c>
      <c r="AO536">
        <v>28.406764146748145</v>
      </c>
      <c r="AP536">
        <v>65.458692657852708</v>
      </c>
      <c r="AQ536">
        <v>223.05392995194987</v>
      </c>
      <c r="AR536">
        <v>27.838240966410044</v>
      </c>
      <c r="AS536">
        <v>230.40832418738614</v>
      </c>
      <c r="AT536">
        <v>13.362355306292629</v>
      </c>
      <c r="AU536">
        <v>-1.9645850846162993</v>
      </c>
      <c r="AV536"/>
      <c r="AW536"/>
      <c r="FY536" s="213">
        <v>531</v>
      </c>
      <c r="FZ536">
        <v>49.105398617038489</v>
      </c>
      <c r="GA536">
        <v>46.746861555116887</v>
      </c>
      <c r="GB536">
        <v>5.2609115595338931</v>
      </c>
      <c r="GC536">
        <v>7.981022394989437</v>
      </c>
      <c r="GD536">
        <v>6.5327241976659476</v>
      </c>
      <c r="GE536">
        <v>4.628665061203268</v>
      </c>
      <c r="GF536">
        <v>5.6781799899483341</v>
      </c>
      <c r="GG536">
        <v>6.7752860621697391</v>
      </c>
      <c r="GH536">
        <v>17.629472934175404</v>
      </c>
      <c r="GI536">
        <v>16.188534597356785</v>
      </c>
      <c r="GJ536"/>
      <c r="GK536"/>
      <c r="GL536"/>
      <c r="GM536"/>
      <c r="GN536" s="208"/>
      <c r="GO536" s="208"/>
      <c r="GP536" s="208"/>
      <c r="GQ536" s="208"/>
      <c r="GR536" s="208"/>
      <c r="GS536" s="208"/>
      <c r="GT536" s="208"/>
      <c r="GU536" s="213">
        <v>531</v>
      </c>
    </row>
    <row r="537" spans="1:203" s="7" customFormat="1">
      <c r="A537" s="4"/>
      <c r="B537" s="4"/>
      <c r="C537" s="117">
        <f>C7</f>
        <v>39747</v>
      </c>
      <c r="D537" s="101">
        <f>D73</f>
        <v>487.86257743693085</v>
      </c>
      <c r="E537" s="108">
        <f>E408</f>
        <v>1.4299432207984594E-2</v>
      </c>
      <c r="F537" s="102"/>
      <c r="G537" s="101">
        <f>D537*E537</f>
        <v>6.9761578528720269</v>
      </c>
      <c r="H537" s="101"/>
      <c r="I537" s="101"/>
      <c r="J537" s="101"/>
      <c r="K537" s="101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4"/>
      <c r="AB537" s="4"/>
      <c r="AC537" s="4"/>
      <c r="AD537" s="4"/>
      <c r="AE537" s="4"/>
      <c r="AF537" s="81"/>
      <c r="AG537" s="81"/>
      <c r="AH537" s="81"/>
      <c r="AI537" s="4"/>
      <c r="AJ537" s="81"/>
      <c r="AK537" s="81"/>
      <c r="AL537" s="81"/>
      <c r="AM537" s="43">
        <v>521</v>
      </c>
      <c r="AN537">
        <v>282.20915485281063</v>
      </c>
      <c r="AO537">
        <v>28.480490728848178</v>
      </c>
      <c r="AP537">
        <v>82.836874995865884</v>
      </c>
      <c r="AQ537">
        <v>223.86595351105271</v>
      </c>
      <c r="AR537">
        <v>29.215096701156657</v>
      </c>
      <c r="AS537">
        <v>263.79666436934417</v>
      </c>
      <c r="AT537">
        <v>15.164136682928891</v>
      </c>
      <c r="AU537">
        <v>12.14746257260126</v>
      </c>
      <c r="AV537"/>
      <c r="AW537"/>
      <c r="FY537" s="213">
        <v>532</v>
      </c>
      <c r="FZ537">
        <v>62.560931900287116</v>
      </c>
      <c r="GA537">
        <v>60.463279273425975</v>
      </c>
      <c r="GB537">
        <v>16.885123738647568</v>
      </c>
      <c r="GC537">
        <v>4.6200016052196302</v>
      </c>
      <c r="GD537">
        <v>4.2526576232133513</v>
      </c>
      <c r="GE537">
        <v>4.0350034473482257</v>
      </c>
      <c r="GF537">
        <v>17.836651434141736</v>
      </c>
      <c r="GG537">
        <v>19.849552623896432</v>
      </c>
      <c r="GH537">
        <v>17.087996700747532</v>
      </c>
      <c r="GI537">
        <v>22.476650696949452</v>
      </c>
      <c r="GJ537"/>
      <c r="GK537"/>
      <c r="GL537"/>
      <c r="GM537"/>
      <c r="GN537" s="208"/>
      <c r="GO537" s="208"/>
      <c r="GP537" s="208"/>
      <c r="GQ537" s="208"/>
      <c r="GR537" s="208"/>
      <c r="GS537" s="208"/>
      <c r="GT537" s="208"/>
      <c r="GU537" s="213">
        <v>532</v>
      </c>
    </row>
    <row r="538" spans="1:203" s="7" customFormat="1">
      <c r="A538" s="4"/>
      <c r="B538" s="4"/>
      <c r="C538" s="63"/>
      <c r="D538" s="101"/>
      <c r="E538" s="63"/>
      <c r="F538" s="63"/>
      <c r="G538" s="101"/>
      <c r="H538" s="101">
        <f>E539-E537</f>
        <v>1.8611901354483505E-2</v>
      </c>
      <c r="I538" s="101">
        <f>AVERAGE(D537:D539)</f>
        <v>618.9455319619118</v>
      </c>
      <c r="J538" s="101">
        <f>I538*H538</f>
        <v>11.519753184673419</v>
      </c>
      <c r="K538" s="61">
        <f>J538/(C539-C537)</f>
        <v>0.41141975659547925</v>
      </c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4"/>
      <c r="AB538" s="4"/>
      <c r="AC538" s="4"/>
      <c r="AD538" s="4"/>
      <c r="AE538" s="4"/>
      <c r="AF538" s="81"/>
      <c r="AG538" s="81"/>
      <c r="AH538" s="81"/>
      <c r="AI538" s="4"/>
      <c r="AJ538" s="81"/>
      <c r="AK538" s="81"/>
      <c r="AL538" s="81"/>
      <c r="AM538" s="43">
        <v>522</v>
      </c>
      <c r="AN538">
        <v>316.1577050168363</v>
      </c>
      <c r="AO538">
        <v>22.490610925990502</v>
      </c>
      <c r="AP538">
        <v>89.19633291077615</v>
      </c>
      <c r="AQ538">
        <v>161.30229741502509</v>
      </c>
      <c r="AR538">
        <v>24.431752162893936</v>
      </c>
      <c r="AS538">
        <v>227.71321105362418</v>
      </c>
      <c r="AT538">
        <v>11.058712053366241</v>
      </c>
      <c r="AU538">
        <v>29.24123294437231</v>
      </c>
      <c r="AV538"/>
      <c r="AW538"/>
      <c r="FY538" s="213">
        <v>533</v>
      </c>
      <c r="FZ538">
        <v>36.366193167094579</v>
      </c>
      <c r="GA538">
        <v>63.415612085696239</v>
      </c>
      <c r="GB538">
        <v>20.116815408393343</v>
      </c>
      <c r="GC538">
        <v>5.7538241791028826</v>
      </c>
      <c r="GD538">
        <v>5.4281082932808697</v>
      </c>
      <c r="GE538">
        <v>5.0991957751995836</v>
      </c>
      <c r="GF538">
        <v>16.333217397868729</v>
      </c>
      <c r="GG538">
        <v>16.705345625058538</v>
      </c>
      <c r="GH538">
        <v>11.687126041405623</v>
      </c>
      <c r="GI538">
        <v>19.191842213945563</v>
      </c>
      <c r="GJ538"/>
      <c r="GK538"/>
      <c r="GL538"/>
      <c r="GM538"/>
      <c r="GN538" s="208"/>
      <c r="GO538" s="208"/>
      <c r="GP538" s="208"/>
      <c r="GQ538" s="208"/>
      <c r="GR538" s="208"/>
      <c r="GS538" s="208"/>
      <c r="GT538" s="208"/>
      <c r="GU538" s="213">
        <v>533</v>
      </c>
    </row>
    <row r="539" spans="1:203" s="7" customFormat="1">
      <c r="A539" s="4"/>
      <c r="B539" s="4"/>
      <c r="C539" s="117">
        <f>C8</f>
        <v>39775</v>
      </c>
      <c r="D539" s="101">
        <f>D74</f>
        <v>750.02848648689269</v>
      </c>
      <c r="E539" s="108">
        <f>E409</f>
        <v>3.2911333562468101E-2</v>
      </c>
      <c r="F539" s="102"/>
      <c r="G539" s="101">
        <f>D539*E539</f>
        <v>24.684437700123222</v>
      </c>
      <c r="H539" s="101"/>
      <c r="I539" s="101"/>
      <c r="J539" s="101"/>
      <c r="K539" s="101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4"/>
      <c r="AB539" s="4"/>
      <c r="AC539" s="4"/>
      <c r="AD539" s="4"/>
      <c r="AE539" s="4"/>
      <c r="AF539" s="81"/>
      <c r="AG539" s="81"/>
      <c r="AH539" s="81"/>
      <c r="AI539" s="4"/>
      <c r="AJ539" s="81"/>
      <c r="AK539" s="81"/>
      <c r="AL539" s="81"/>
      <c r="AM539" s="43">
        <v>523</v>
      </c>
      <c r="AN539">
        <v>256.33813035839518</v>
      </c>
      <c r="AO539">
        <v>19.280743367075491</v>
      </c>
      <c r="AP539">
        <v>112.01805080383838</v>
      </c>
      <c r="AQ539">
        <v>130.84438821946924</v>
      </c>
      <c r="AR539">
        <v>21.410187820126271</v>
      </c>
      <c r="AS539">
        <v>201.17474043670816</v>
      </c>
      <c r="AT539">
        <v>10.454062330568537</v>
      </c>
      <c r="AU539">
        <v>51.308734610646724</v>
      </c>
      <c r="AV539"/>
      <c r="AW539"/>
      <c r="FY539" s="213">
        <v>534</v>
      </c>
      <c r="FZ539">
        <v>43.195250319031715</v>
      </c>
      <c r="GA539">
        <v>71.078706111617137</v>
      </c>
      <c r="GB539">
        <v>22.272871848685742</v>
      </c>
      <c r="GC539">
        <v>5.01643765288404</v>
      </c>
      <c r="GD539">
        <v>4.9034754254805621</v>
      </c>
      <c r="GE539">
        <v>6.5445571847653774</v>
      </c>
      <c r="GF539">
        <v>15.128757896165816</v>
      </c>
      <c r="GG539">
        <v>14.05554033341471</v>
      </c>
      <c r="GH539">
        <v>13.763406053175647</v>
      </c>
      <c r="GI539">
        <v>20.786947115646377</v>
      </c>
      <c r="GJ539"/>
      <c r="GK539"/>
      <c r="GL539"/>
      <c r="GM539"/>
      <c r="GN539" s="208"/>
      <c r="GO539" s="208"/>
      <c r="GP539" s="208"/>
      <c r="GQ539" s="208"/>
      <c r="GR539" s="208"/>
      <c r="GS539" s="208"/>
      <c r="GT539" s="208"/>
      <c r="GU539" s="213">
        <v>534</v>
      </c>
    </row>
    <row r="540" spans="1:203" s="7" customFormat="1">
      <c r="A540" s="4"/>
      <c r="B540" s="4"/>
      <c r="C540" s="63"/>
      <c r="D540" s="101"/>
      <c r="E540" s="63"/>
      <c r="F540" s="63"/>
      <c r="G540" s="101"/>
      <c r="H540" s="101">
        <f>E541-E539</f>
        <v>-4.2062140335079497E-3</v>
      </c>
      <c r="I540" s="101">
        <f>AVERAGE(D539:D541)</f>
        <v>536.86213799575285</v>
      </c>
      <c r="J540" s="101">
        <f>I540*H540</f>
        <v>-2.2581570588968169</v>
      </c>
      <c r="K540" s="61">
        <f>J540/(C541-C539)</f>
        <v>-9.4089877454034035E-2</v>
      </c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4"/>
      <c r="AB540" s="4"/>
      <c r="AC540" s="4"/>
      <c r="AD540" s="4"/>
      <c r="AE540" s="4"/>
      <c r="AF540" s="81"/>
      <c r="AG540" s="81"/>
      <c r="AH540" s="81"/>
      <c r="AI540" s="4"/>
      <c r="AJ540" s="81"/>
      <c r="AK540" s="81"/>
      <c r="AL540" s="81"/>
      <c r="AM540" s="43">
        <v>524</v>
      </c>
      <c r="AN540">
        <v>401.31807202365223</v>
      </c>
      <c r="AO540">
        <v>31.667008917312131</v>
      </c>
      <c r="AP540">
        <v>77.441174015364652</v>
      </c>
      <c r="AQ540">
        <v>231.4123808508738</v>
      </c>
      <c r="AR540">
        <v>32.287616875433635</v>
      </c>
      <c r="AS540">
        <v>289.82027978691673</v>
      </c>
      <c r="AT540">
        <v>15.482153583464898</v>
      </c>
      <c r="AU540">
        <v>21.661111407151704</v>
      </c>
      <c r="AV540"/>
      <c r="AW540"/>
      <c r="FY540" s="213">
        <v>535</v>
      </c>
      <c r="FZ540">
        <v>41.042031917749021</v>
      </c>
      <c r="GA540">
        <v>64.353193733016667</v>
      </c>
      <c r="GB540">
        <v>19.011120109857583</v>
      </c>
      <c r="GC540">
        <v>5.1790069654606334</v>
      </c>
      <c r="GD540">
        <v>4.7578457430028873</v>
      </c>
      <c r="GE540">
        <v>6.0360110226586343</v>
      </c>
      <c r="GF540">
        <v>14.496403820673432</v>
      </c>
      <c r="GG540">
        <v>11.955042530681011</v>
      </c>
      <c r="GH540">
        <v>12.760976163983736</v>
      </c>
      <c r="GI540">
        <v>19.039046596046347</v>
      </c>
      <c r="GJ540"/>
      <c r="GK540"/>
      <c r="GL540"/>
      <c r="GM540"/>
      <c r="GN540" s="208"/>
      <c r="GO540" s="208"/>
      <c r="GP540" s="208"/>
      <c r="GQ540" s="208"/>
      <c r="GR540" s="208"/>
      <c r="GS540" s="208"/>
      <c r="GT540" s="208"/>
      <c r="GU540" s="213">
        <v>535</v>
      </c>
    </row>
    <row r="541" spans="1:203" s="7" customFormat="1">
      <c r="A541" s="4"/>
      <c r="B541" s="4"/>
      <c r="C541" s="117">
        <f>C9</f>
        <v>39799</v>
      </c>
      <c r="D541" s="101">
        <f>D75</f>
        <v>323.69578950461306</v>
      </c>
      <c r="E541" s="108">
        <f>E410</f>
        <v>2.8705119528960151E-2</v>
      </c>
      <c r="F541" s="102"/>
      <c r="G541" s="101">
        <f>D541*E541</f>
        <v>9.291726328751043</v>
      </c>
      <c r="H541" s="101"/>
      <c r="I541" s="101"/>
      <c r="J541" s="101"/>
      <c r="K541" s="101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4"/>
      <c r="AB541" s="4"/>
      <c r="AC541" s="4"/>
      <c r="AD541" s="4"/>
      <c r="AE541" s="4"/>
      <c r="AF541" s="81"/>
      <c r="AG541" s="81"/>
      <c r="AH541" s="81"/>
      <c r="AI541" s="4"/>
      <c r="AJ541" s="81"/>
      <c r="AK541" s="81"/>
      <c r="AL541" s="81"/>
      <c r="AM541" s="43">
        <v>525</v>
      </c>
      <c r="AN541">
        <v>324.31546141595697</v>
      </c>
      <c r="AO541">
        <v>28.830962276640843</v>
      </c>
      <c r="AP541">
        <v>62.378481794096516</v>
      </c>
      <c r="AQ541">
        <v>222.47564751420188</v>
      </c>
      <c r="AR541">
        <v>31.954347741303696</v>
      </c>
      <c r="AS541">
        <v>271.20834610092169</v>
      </c>
      <c r="AT541">
        <v>15.597367828844604</v>
      </c>
      <c r="AU541">
        <v>36.37692614867602</v>
      </c>
      <c r="AV541"/>
      <c r="AW541"/>
      <c r="FY541" s="213">
        <v>536</v>
      </c>
      <c r="FZ541">
        <v>76.160685125290144</v>
      </c>
      <c r="GA541">
        <v>71.842602672216287</v>
      </c>
      <c r="GB541">
        <v>7.096495128712851</v>
      </c>
      <c r="GC541">
        <v>5.2136235330899181</v>
      </c>
      <c r="GD541">
        <v>3.6272455883026797</v>
      </c>
      <c r="GE541">
        <v>3.3561895262514922</v>
      </c>
      <c r="GF541">
        <v>10.046107952890587</v>
      </c>
      <c r="GG541">
        <v>10.144727267783532</v>
      </c>
      <c r="GH541">
        <v>14.93437660903478</v>
      </c>
      <c r="GI541">
        <v>19.450931246614648</v>
      </c>
      <c r="GJ541"/>
      <c r="GK541"/>
      <c r="GL541"/>
      <c r="GM541"/>
      <c r="GN541" s="208"/>
      <c r="GO541" s="208"/>
      <c r="GP541" s="208"/>
      <c r="GQ541" s="208"/>
      <c r="GR541" s="208"/>
      <c r="GS541" s="208"/>
      <c r="GT541" s="208"/>
      <c r="GU541" s="213">
        <v>536</v>
      </c>
    </row>
    <row r="542" spans="1:203" s="7" customFormat="1">
      <c r="A542" s="4"/>
      <c r="B542" s="4"/>
      <c r="C542" s="63"/>
      <c r="D542" s="101"/>
      <c r="E542" s="63"/>
      <c r="F542" s="63"/>
      <c r="G542" s="101"/>
      <c r="H542" s="101">
        <f>E543-E541</f>
        <v>-1.0451201317629794E-2</v>
      </c>
      <c r="I542" s="101">
        <f>AVERAGE(D541:D543)</f>
        <v>537.15171419675096</v>
      </c>
      <c r="J542" s="101">
        <f>I542*H542</f>
        <v>-5.6138807031801861</v>
      </c>
      <c r="K542" s="61">
        <f>J542/(C543-C541)</f>
        <v>-0.11695584798292054</v>
      </c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4"/>
      <c r="AB542" s="4"/>
      <c r="AC542" s="4"/>
      <c r="AD542" s="4"/>
      <c r="AE542" s="4"/>
      <c r="AF542" s="81"/>
      <c r="AG542" s="81"/>
      <c r="AH542" s="81"/>
      <c r="AI542" s="4"/>
      <c r="AJ542" s="81"/>
      <c r="AK542" s="81"/>
      <c r="AL542" s="81"/>
      <c r="AM542" s="43">
        <v>526</v>
      </c>
      <c r="AN542">
        <v>288.65856655572645</v>
      </c>
      <c r="AO542">
        <v>28.280442285388812</v>
      </c>
      <c r="AP542">
        <v>64.60147160028572</v>
      </c>
      <c r="AQ542">
        <v>195.65845898802925</v>
      </c>
      <c r="AR542">
        <v>30.253351896199447</v>
      </c>
      <c r="AS542">
        <v>243.60935250130655</v>
      </c>
      <c r="AT542">
        <v>12.228970463144419</v>
      </c>
      <c r="AU542">
        <v>7.2778215569591609</v>
      </c>
      <c r="AV542"/>
      <c r="AW542"/>
      <c r="FY542" s="213">
        <v>537</v>
      </c>
      <c r="FZ542">
        <v>39.018447771910076</v>
      </c>
      <c r="GA542">
        <v>41.821152149484497</v>
      </c>
      <c r="GB542">
        <v>11.209192820843603</v>
      </c>
      <c r="GC542">
        <v>11.089745380596712</v>
      </c>
      <c r="GD542">
        <v>10.269502228022128</v>
      </c>
      <c r="GE542">
        <v>7.6132259158865212</v>
      </c>
      <c r="GF542">
        <v>18.282141836760342</v>
      </c>
      <c r="GG542">
        <v>15.982225667154276</v>
      </c>
      <c r="GH542">
        <v>10.567242040529692</v>
      </c>
      <c r="GI542">
        <v>19.869502350516282</v>
      </c>
      <c r="GJ542"/>
      <c r="GK542"/>
      <c r="GL542"/>
      <c r="GM542"/>
      <c r="GN542" s="208"/>
      <c r="GO542" s="208"/>
      <c r="GP542" s="208"/>
      <c r="GQ542" s="208"/>
      <c r="GR542" s="208"/>
      <c r="GS542" s="208"/>
      <c r="GT542" s="208"/>
      <c r="GU542" s="213">
        <v>537</v>
      </c>
    </row>
    <row r="543" spans="1:203" s="7" customFormat="1">
      <c r="A543" s="4"/>
      <c r="B543" s="4"/>
      <c r="C543" s="117">
        <f>C10</f>
        <v>39847</v>
      </c>
      <c r="D543" s="101">
        <f>D76</f>
        <v>750.6076388888888</v>
      </c>
      <c r="E543" s="108">
        <f>E411</f>
        <v>1.8253918211330357E-2</v>
      </c>
      <c r="F543" s="102"/>
      <c r="G543" s="101">
        <f>D543*E543</f>
        <v>13.701530449077568</v>
      </c>
      <c r="H543" s="101"/>
      <c r="I543" s="101"/>
      <c r="J543" s="101"/>
      <c r="K543" s="101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81"/>
      <c r="AG543" s="81"/>
      <c r="AH543" s="81"/>
      <c r="AI543" s="4"/>
      <c r="AJ543" s="81"/>
      <c r="AK543" s="81"/>
      <c r="AL543" s="81"/>
      <c r="AM543" s="43">
        <v>527</v>
      </c>
      <c r="AN543">
        <v>314.12713912938847</v>
      </c>
      <c r="AO543">
        <v>28.975878055413681</v>
      </c>
      <c r="AP543">
        <v>75.67611396663024</v>
      </c>
      <c r="AQ543">
        <v>204.64133995364116</v>
      </c>
      <c r="AR543">
        <v>31.20931836769326</v>
      </c>
      <c r="AS543">
        <v>259.94523492333968</v>
      </c>
      <c r="AT543">
        <v>12.84184875787787</v>
      </c>
      <c r="AU543">
        <v>21.343916603347239</v>
      </c>
      <c r="AV543"/>
      <c r="AW543"/>
      <c r="FY543" s="213">
        <v>538</v>
      </c>
      <c r="FZ543">
        <v>36.849195354912673</v>
      </c>
      <c r="GA543">
        <v>50.483051817625231</v>
      </c>
      <c r="GB543">
        <v>11.773742759591819</v>
      </c>
      <c r="GC543">
        <v>5.0412092363527723</v>
      </c>
      <c r="GD543">
        <v>3.9333245785497546</v>
      </c>
      <c r="GE543">
        <v>4.1630294722757366</v>
      </c>
      <c r="GF543">
        <v>15.334953839867428</v>
      </c>
      <c r="GG543">
        <v>12.950513869996287</v>
      </c>
      <c r="GH543">
        <v>11.760942957362701</v>
      </c>
      <c r="GI543">
        <v>15.751377323176468</v>
      </c>
      <c r="GJ543"/>
      <c r="GK543"/>
      <c r="GL543"/>
      <c r="GM543"/>
      <c r="GN543" s="208"/>
      <c r="GO543" s="208"/>
      <c r="GP543" s="208"/>
      <c r="GQ543" s="208"/>
      <c r="GR543" s="208"/>
      <c r="GS543" s="208"/>
      <c r="GT543" s="208"/>
      <c r="GU543" s="213">
        <v>538</v>
      </c>
    </row>
    <row r="544" spans="1:203" s="7" customFormat="1">
      <c r="A544" s="4"/>
      <c r="B544" s="4"/>
      <c r="C544" s="63"/>
      <c r="D544" s="101"/>
      <c r="E544" s="63"/>
      <c r="F544" s="63"/>
      <c r="G544" s="101"/>
      <c r="H544" s="101">
        <f>E545-E543</f>
        <v>1.2773271166207415E-2</v>
      </c>
      <c r="I544" s="101">
        <f>AVERAGE(D543:D545)</f>
        <v>650.96052234299509</v>
      </c>
      <c r="J544" s="101">
        <f>I544*H544</f>
        <v>8.3148952703830972</v>
      </c>
      <c r="K544" s="61">
        <f>J544/(C545-C543)</f>
        <v>0.1319824646092555</v>
      </c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81"/>
      <c r="AG544" s="81"/>
      <c r="AH544" s="81"/>
      <c r="AI544" s="4"/>
      <c r="AJ544" s="81"/>
      <c r="AK544" s="81"/>
      <c r="AL544" s="81"/>
      <c r="AM544" s="43">
        <v>528</v>
      </c>
      <c r="AN544">
        <v>338.96447711683902</v>
      </c>
      <c r="AO544">
        <v>24.583873890751683</v>
      </c>
      <c r="AP544">
        <v>119.27765451309881</v>
      </c>
      <c r="AQ544">
        <v>181.20684428852121</v>
      </c>
      <c r="AR544">
        <v>25.095987478274971</v>
      </c>
      <c r="AS544">
        <v>269.46027136099008</v>
      </c>
      <c r="AT544">
        <v>12.427314220432791</v>
      </c>
      <c r="AU544">
        <v>40.844249404569055</v>
      </c>
      <c r="AV544"/>
      <c r="AW544"/>
      <c r="FY544" s="213">
        <v>539</v>
      </c>
      <c r="FZ544">
        <v>51.229483558785432</v>
      </c>
      <c r="GA544">
        <v>34.255051995314453</v>
      </c>
      <c r="GB544">
        <v>7.4194808631360498</v>
      </c>
      <c r="GC544">
        <v>5.1005381980622921</v>
      </c>
      <c r="GD544">
        <v>3.7444396191934244</v>
      </c>
      <c r="GE544">
        <v>5.5316627120177913</v>
      </c>
      <c r="GF544">
        <v>12.433592564585378</v>
      </c>
      <c r="GG544">
        <v>8.0587521911186002</v>
      </c>
      <c r="GH544">
        <v>9.0073938185150251</v>
      </c>
      <c r="GI544">
        <v>15.385754607832869</v>
      </c>
      <c r="GJ544"/>
      <c r="GK544"/>
      <c r="GL544"/>
      <c r="GM544"/>
      <c r="GN544" s="208"/>
      <c r="GO544" s="208"/>
      <c r="GP544" s="208"/>
      <c r="GQ544" s="208"/>
      <c r="GR544" s="208"/>
      <c r="GS544" s="208"/>
      <c r="GT544" s="208"/>
      <c r="GU544" s="213">
        <v>539</v>
      </c>
    </row>
    <row r="545" spans="1:203" s="7" customFormat="1">
      <c r="A545" s="4"/>
      <c r="B545" s="4"/>
      <c r="C545" s="117">
        <f>C11</f>
        <v>39910</v>
      </c>
      <c r="D545" s="101">
        <f>D77</f>
        <v>551.3134057971015</v>
      </c>
      <c r="E545" s="108">
        <f>E412</f>
        <v>3.1027189377537772E-2</v>
      </c>
      <c r="F545" s="102"/>
      <c r="G545" s="101">
        <f>D545*E545</f>
        <v>17.105705448041999</v>
      </c>
      <c r="H545" s="101"/>
      <c r="I545" s="101"/>
      <c r="J545" s="101"/>
      <c r="K545" s="101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81"/>
      <c r="AG545" s="81"/>
      <c r="AH545" s="81"/>
      <c r="AI545" s="4"/>
      <c r="AJ545" s="81"/>
      <c r="AK545" s="81"/>
      <c r="AL545" s="81"/>
      <c r="AM545" s="43">
        <v>529</v>
      </c>
      <c r="AN545">
        <v>392.35967919057538</v>
      </c>
      <c r="AO545">
        <v>34.563436675703493</v>
      </c>
      <c r="AP545">
        <v>109.11633578991487</v>
      </c>
      <c r="AQ545">
        <v>244.46313213745043</v>
      </c>
      <c r="AR545">
        <v>34.248416160717099</v>
      </c>
      <c r="AS545">
        <v>334.85525187533165</v>
      </c>
      <c r="AT545">
        <v>16.20679425147263</v>
      </c>
      <c r="AU545">
        <v>28.129677238448728</v>
      </c>
      <c r="AV545"/>
      <c r="AW545"/>
      <c r="FY545" s="213">
        <v>540</v>
      </c>
      <c r="FZ545">
        <v>27.280482077806823</v>
      </c>
      <c r="GA545">
        <v>31.184187872443751</v>
      </c>
      <c r="GB545">
        <v>11.849552833450723</v>
      </c>
      <c r="GC545">
        <v>3.9212215779868926</v>
      </c>
      <c r="GD545">
        <v>2.6721771483857366</v>
      </c>
      <c r="GE545">
        <v>1.5801883790759041</v>
      </c>
      <c r="GF545">
        <v>8.2573453191320034</v>
      </c>
      <c r="GG545">
        <v>9.9300218602647394</v>
      </c>
      <c r="GH545">
        <v>16.703193805510093</v>
      </c>
      <c r="GI545">
        <v>13.177757269785053</v>
      </c>
      <c r="GJ545"/>
      <c r="GK545"/>
      <c r="GL545"/>
      <c r="GM545"/>
      <c r="GN545" s="208"/>
      <c r="GO545" s="208"/>
      <c r="GP545" s="208"/>
      <c r="GQ545" s="208"/>
      <c r="GR545" s="208"/>
      <c r="GS545" s="208"/>
      <c r="GT545" s="208"/>
      <c r="GU545" s="213">
        <v>540</v>
      </c>
    </row>
    <row r="546" spans="1:203" s="7" customFormat="1">
      <c r="A546" s="4"/>
      <c r="B546" s="4"/>
      <c r="C546" s="63"/>
      <c r="D546" s="101"/>
      <c r="E546" s="63"/>
      <c r="F546" s="63"/>
      <c r="G546" s="101"/>
      <c r="H546" s="101">
        <f>E547-E545</f>
        <v>6.5759931792003054E-2</v>
      </c>
      <c r="I546" s="101">
        <f>AVERAGE(D545:D547)</f>
        <v>325.07997068232953</v>
      </c>
      <c r="J546" s="101">
        <f>I546*H546</f>
        <v>21.377236699016343</v>
      </c>
      <c r="K546" s="61">
        <f>J546/(C547-C545)</f>
        <v>0.54813427433375239</v>
      </c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4"/>
      <c r="AB546" s="4"/>
      <c r="AC546" s="4"/>
      <c r="AD546" s="4"/>
      <c r="AE546" s="4"/>
      <c r="AF546" s="81"/>
      <c r="AG546" s="81"/>
      <c r="AH546" s="81"/>
      <c r="AI546" s="4"/>
      <c r="AJ546" s="81"/>
      <c r="AK546" s="81"/>
      <c r="AL546" s="81"/>
      <c r="AM546" s="43">
        <v>530</v>
      </c>
      <c r="AN546">
        <v>301.8578260844601</v>
      </c>
      <c r="AO546">
        <v>25.437799751250431</v>
      </c>
      <c r="AP546">
        <v>107.55322892600783</v>
      </c>
      <c r="AQ546">
        <v>187.40393855163092</v>
      </c>
      <c r="AR546">
        <v>25.001585721066789</v>
      </c>
      <c r="AS546">
        <v>225.12415646052264</v>
      </c>
      <c r="AT546">
        <v>11.530112413337465</v>
      </c>
      <c r="AU546">
        <v>23.660287138660422</v>
      </c>
      <c r="AV546"/>
      <c r="AW546"/>
      <c r="FY546" s="213">
        <v>541</v>
      </c>
      <c r="FZ546">
        <v>75.033297840968189</v>
      </c>
      <c r="GA546">
        <v>131.96104082443262</v>
      </c>
      <c r="GB546">
        <v>30.90538855688882</v>
      </c>
      <c r="GC546">
        <v>5.3539876715597883</v>
      </c>
      <c r="GD546">
        <v>4.6513648515486405</v>
      </c>
      <c r="GE546">
        <v>5.0831125851675978</v>
      </c>
      <c r="GF546">
        <v>34.578807615273405</v>
      </c>
      <c r="GG546">
        <v>29.263261495610713</v>
      </c>
      <c r="GH546">
        <v>12.090472641303503</v>
      </c>
      <c r="GI546">
        <v>31.300293893071185</v>
      </c>
      <c r="GJ546"/>
      <c r="GK546"/>
      <c r="GL546"/>
      <c r="GM546"/>
      <c r="GN546" s="208"/>
      <c r="GO546" s="208"/>
      <c r="GP546" s="208"/>
      <c r="GQ546" s="208"/>
      <c r="GR546" s="208"/>
      <c r="GS546" s="208"/>
      <c r="GT546" s="208"/>
      <c r="GU546" s="213">
        <v>541</v>
      </c>
    </row>
    <row r="547" spans="1:203" s="7" customFormat="1">
      <c r="A547" s="4"/>
      <c r="B547" s="4"/>
      <c r="C547" s="117">
        <f>C12</f>
        <v>39949</v>
      </c>
      <c r="D547" s="101">
        <f>D78</f>
        <v>98.846535567557581</v>
      </c>
      <c r="E547" s="108">
        <f>E413</f>
        <v>9.678712116954083E-2</v>
      </c>
      <c r="F547" s="102"/>
      <c r="G547" s="101">
        <f>D547*E547</f>
        <v>9.5670716151665225</v>
      </c>
      <c r="H547" s="101"/>
      <c r="I547" s="101"/>
      <c r="J547" s="101"/>
      <c r="K547" s="101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81"/>
      <c r="AG547" s="81"/>
      <c r="AH547" s="81"/>
      <c r="AI547" s="4"/>
      <c r="AJ547" s="81"/>
      <c r="AK547" s="81"/>
      <c r="AL547" s="81"/>
      <c r="AM547" s="43">
        <v>531</v>
      </c>
      <c r="AN547">
        <v>257.93504929522942</v>
      </c>
      <c r="AO547">
        <v>22.393976912290348</v>
      </c>
      <c r="AP547">
        <v>83.390575638977168</v>
      </c>
      <c r="AQ547">
        <v>166.52705696919816</v>
      </c>
      <c r="AR547">
        <v>23.140550318074975</v>
      </c>
      <c r="AS547">
        <v>207.37193023268918</v>
      </c>
      <c r="AT547">
        <v>11.892901577769321</v>
      </c>
      <c r="AU547">
        <v>14.639098885920449</v>
      </c>
      <c r="AV547"/>
      <c r="AW547"/>
      <c r="FY547" s="213">
        <v>542</v>
      </c>
      <c r="FZ547">
        <v>30.911976810361089</v>
      </c>
      <c r="GA547">
        <v>26.406213431604051</v>
      </c>
      <c r="GB547">
        <v>7.2826624610765958</v>
      </c>
      <c r="GC547">
        <v>4.8548567362669868</v>
      </c>
      <c r="GD547">
        <v>4.7501322359398355</v>
      </c>
      <c r="GE547">
        <v>4.581207483719048</v>
      </c>
      <c r="GF547">
        <v>11.711733178980049</v>
      </c>
      <c r="GG547">
        <v>12.384774655777855</v>
      </c>
      <c r="GH547">
        <v>10.428641113906918</v>
      </c>
      <c r="GI547">
        <v>13.134583586355776</v>
      </c>
      <c r="GJ547"/>
      <c r="GK547"/>
      <c r="GL547"/>
      <c r="GM547"/>
      <c r="GN547" s="208"/>
      <c r="GO547" s="208"/>
      <c r="GP547" s="208"/>
      <c r="GQ547" s="208"/>
      <c r="GR547" s="208"/>
      <c r="GS547" s="208"/>
      <c r="GT547" s="208"/>
      <c r="GU547" s="213">
        <v>542</v>
      </c>
    </row>
    <row r="548" spans="1:203" s="7" customFormat="1">
      <c r="A548" s="4"/>
      <c r="B548" s="4"/>
      <c r="C548" s="63"/>
      <c r="D548" s="101"/>
      <c r="E548" s="63"/>
      <c r="F548" s="63"/>
      <c r="G548" s="101"/>
      <c r="H548" s="101">
        <f>E549-E547</f>
        <v>9.2508267967261054E-3</v>
      </c>
      <c r="I548" s="101">
        <f>AVERAGE(D547:D549)</f>
        <v>74.886230746741759</v>
      </c>
      <c r="J548" s="101">
        <f>I548*H548</f>
        <v>0.69275955009777301</v>
      </c>
      <c r="K548" s="61">
        <f>J548/(C549-C547)</f>
        <v>1.8230514476257186E-2</v>
      </c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4"/>
      <c r="AB548" s="4"/>
      <c r="AC548" s="4"/>
      <c r="AD548" s="4"/>
      <c r="AE548" s="4"/>
      <c r="AF548" s="81"/>
      <c r="AG548" s="81"/>
      <c r="AH548" s="81"/>
      <c r="AI548" s="4"/>
      <c r="AJ548" s="81"/>
      <c r="AK548" s="81"/>
      <c r="AL548" s="81"/>
      <c r="AM548" s="43">
        <v>532</v>
      </c>
      <c r="AN548">
        <v>306.22906072263413</v>
      </c>
      <c r="AO548">
        <v>31.526570168671942</v>
      </c>
      <c r="AP548">
        <v>93.452752323449545</v>
      </c>
      <c r="AQ548">
        <v>230.06784904387706</v>
      </c>
      <c r="AR548">
        <v>33.930020953180424</v>
      </c>
      <c r="AS548">
        <v>266.86403546036973</v>
      </c>
      <c r="AT548">
        <v>14.080160421128326</v>
      </c>
      <c r="AU548">
        <v>30.198757252045649</v>
      </c>
      <c r="AV548"/>
      <c r="AW548"/>
      <c r="FY548" s="213">
        <v>543</v>
      </c>
      <c r="FZ548">
        <v>68.227897446591584</v>
      </c>
      <c r="GA548">
        <v>77.81047326208315</v>
      </c>
      <c r="GB548">
        <v>7.7981578435466243</v>
      </c>
      <c r="GC548">
        <v>6.2027777558819164</v>
      </c>
      <c r="GD548">
        <v>4.800674273674213</v>
      </c>
      <c r="GE548">
        <v>5.3798841206472661</v>
      </c>
      <c r="GF548">
        <v>11.602862847739427</v>
      </c>
      <c r="GG548">
        <v>9.5437264613234518</v>
      </c>
      <c r="GH548">
        <v>14.75728680800932</v>
      </c>
      <c r="GI548">
        <v>19.372055511604557</v>
      </c>
      <c r="GJ548"/>
      <c r="GK548"/>
      <c r="GL548"/>
      <c r="GM548"/>
      <c r="GN548" s="208"/>
      <c r="GO548" s="208"/>
      <c r="GP548" s="208"/>
      <c r="GQ548" s="208"/>
      <c r="GR548" s="208"/>
      <c r="GS548" s="208"/>
      <c r="GT548" s="208"/>
      <c r="GU548" s="213">
        <v>543</v>
      </c>
    </row>
    <row r="549" spans="1:203" s="7" customFormat="1">
      <c r="A549" s="4"/>
      <c r="B549" s="4"/>
      <c r="C549" s="117">
        <f>C13</f>
        <v>39987</v>
      </c>
      <c r="D549" s="101">
        <f>D79</f>
        <v>50.925925925925931</v>
      </c>
      <c r="E549" s="108">
        <f>E414</f>
        <v>0.10603794796626693</v>
      </c>
      <c r="F549" s="102"/>
      <c r="G549" s="101">
        <f>D549*E549</f>
        <v>5.4000806834672979</v>
      </c>
      <c r="H549" s="101"/>
      <c r="I549" s="101"/>
      <c r="J549" s="101"/>
      <c r="K549" s="101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81"/>
      <c r="AG549" s="81"/>
      <c r="AH549" s="81"/>
      <c r="AI549" s="4"/>
      <c r="AJ549" s="81"/>
      <c r="AK549" s="81"/>
      <c r="AL549" s="81"/>
      <c r="AM549" s="43">
        <v>533</v>
      </c>
      <c r="AN549">
        <v>306.12539580050509</v>
      </c>
      <c r="AO549">
        <v>28.968833220511083</v>
      </c>
      <c r="AP549">
        <v>102.96205709230881</v>
      </c>
      <c r="AQ549">
        <v>200.09728018704595</v>
      </c>
      <c r="AR549">
        <v>28.782486444940343</v>
      </c>
      <c r="AS549">
        <v>270.40551357987954</v>
      </c>
      <c r="AT549">
        <v>11.280534268885075</v>
      </c>
      <c r="AU549">
        <v>68.043323396520179</v>
      </c>
      <c r="AV549"/>
      <c r="AW549"/>
      <c r="FY549" s="213">
        <v>544</v>
      </c>
      <c r="FZ549">
        <v>72.273203479381237</v>
      </c>
      <c r="GA549">
        <v>68.359543985207594</v>
      </c>
      <c r="GB549">
        <v>12.51252849521587</v>
      </c>
      <c r="GC549">
        <v>3.8489926810052224</v>
      </c>
      <c r="GD549">
        <v>2.8751010584888066</v>
      </c>
      <c r="GE549">
        <v>5.1351430467242691</v>
      </c>
      <c r="GF549">
        <v>23.213540694286817</v>
      </c>
      <c r="GG549">
        <v>17.188193804887597</v>
      </c>
      <c r="GH549">
        <v>11.209423250432174</v>
      </c>
      <c r="GI549">
        <v>21.845172658211332</v>
      </c>
      <c r="GJ549"/>
      <c r="GK549"/>
      <c r="GL549"/>
      <c r="GM549"/>
      <c r="GN549" s="208"/>
      <c r="GO549" s="208"/>
      <c r="GP549" s="208"/>
      <c r="GQ549" s="208"/>
      <c r="GR549" s="208"/>
      <c r="GS549" s="208"/>
      <c r="GT549" s="208"/>
      <c r="GU549" s="213">
        <v>544</v>
      </c>
    </row>
    <row r="550" spans="1:203" s="7" customFormat="1">
      <c r="A550" s="4"/>
      <c r="B550" s="4"/>
      <c r="C550" s="63"/>
      <c r="D550" s="101"/>
      <c r="E550" s="63"/>
      <c r="F550" s="63"/>
      <c r="G550" s="101"/>
      <c r="H550" s="101">
        <f>E551-E549</f>
        <v>-0.10603794796626693</v>
      </c>
      <c r="I550" s="101">
        <f>AVERAGE(D549:D551)</f>
        <v>25.462962962962965</v>
      </c>
      <c r="J550" s="101">
        <f>I550*H550</f>
        <v>-2.7000403417336489</v>
      </c>
      <c r="K550" s="61">
        <f>J550/(C551-C549)</f>
        <v>6.7522953503229777E-5</v>
      </c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81"/>
      <c r="AG550" s="81"/>
      <c r="AH550" s="81"/>
      <c r="AI550" s="4"/>
      <c r="AJ550" s="81"/>
      <c r="AK550" s="81"/>
      <c r="AL550" s="81"/>
      <c r="AM550" s="43">
        <v>534</v>
      </c>
      <c r="AN550">
        <v>308.46357336759075</v>
      </c>
      <c r="AO550">
        <v>31.462372683298231</v>
      </c>
      <c r="AP550">
        <v>101.86321768764792</v>
      </c>
      <c r="AQ550">
        <v>216.74594994086712</v>
      </c>
      <c r="AR550">
        <v>31.862520687123169</v>
      </c>
      <c r="AS550">
        <v>243.35045095057205</v>
      </c>
      <c r="AT550">
        <v>12.203946702501121</v>
      </c>
      <c r="AU550">
        <v>-37.461756990278033</v>
      </c>
      <c r="AV550"/>
      <c r="AW550"/>
      <c r="FY550" s="213">
        <v>545</v>
      </c>
      <c r="FZ550">
        <v>46.005480154695277</v>
      </c>
      <c r="GA550">
        <v>55.1620983135223</v>
      </c>
      <c r="GB550">
        <v>16.455663558959966</v>
      </c>
      <c r="GC550">
        <v>9.4302660925628476</v>
      </c>
      <c r="GD550">
        <v>9.2546934827283884</v>
      </c>
      <c r="GE550">
        <v>8.878481049143975</v>
      </c>
      <c r="GF550">
        <v>10.726449968142699</v>
      </c>
      <c r="GG550">
        <v>10.137592716782192</v>
      </c>
      <c r="GH550">
        <v>13.296480129142935</v>
      </c>
      <c r="GI550">
        <v>20.894849511936012</v>
      </c>
      <c r="GJ550"/>
      <c r="GK550"/>
      <c r="GL550"/>
      <c r="GM550"/>
      <c r="GN550" s="208"/>
      <c r="GO550" s="208"/>
      <c r="GP550" s="208"/>
      <c r="GQ550" s="208"/>
      <c r="GR550" s="208"/>
      <c r="GS550" s="208"/>
      <c r="GT550" s="208"/>
      <c r="GU550" s="213">
        <v>545</v>
      </c>
    </row>
    <row r="551" spans="1:203" s="7" customFormat="1">
      <c r="A551" s="4"/>
      <c r="B551" s="4"/>
      <c r="C551" s="117">
        <f>C14</f>
        <v>0</v>
      </c>
      <c r="D551" s="101">
        <f>D80</f>
        <v>0</v>
      </c>
      <c r="E551" s="108">
        <f>E415</f>
        <v>0</v>
      </c>
      <c r="F551" s="102"/>
      <c r="G551" s="101">
        <f>D551*E551</f>
        <v>0</v>
      </c>
      <c r="H551" s="101"/>
      <c r="I551" s="101"/>
      <c r="J551" s="101"/>
      <c r="K551" s="101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81"/>
      <c r="AG551" s="81"/>
      <c r="AH551" s="81"/>
      <c r="AI551" s="4"/>
      <c r="AJ551" s="81"/>
      <c r="AK551" s="81"/>
      <c r="AL551" s="81"/>
      <c r="AM551" s="43">
        <v>535</v>
      </c>
      <c r="AN551">
        <v>302.2492405072901</v>
      </c>
      <c r="AO551">
        <v>28.396059013389618</v>
      </c>
      <c r="AP551">
        <v>73.46388643694614</v>
      </c>
      <c r="AQ551">
        <v>198.63067860312998</v>
      </c>
      <c r="AR551">
        <v>28.878529345367532</v>
      </c>
      <c r="AS551">
        <v>262.0120331853243</v>
      </c>
      <c r="AT551">
        <v>10.937679062425465</v>
      </c>
      <c r="AU551">
        <v>-14.220068200201492</v>
      </c>
      <c r="AV551"/>
      <c r="AW551"/>
      <c r="FY551" s="213">
        <v>546</v>
      </c>
      <c r="FZ551">
        <v>60.572692729488054</v>
      </c>
      <c r="GA551">
        <v>89.687690333400482</v>
      </c>
      <c r="GB551">
        <v>20.056097685675049</v>
      </c>
      <c r="GC551">
        <v>7.4658813772587012</v>
      </c>
      <c r="GD551">
        <v>6.5545642973491258</v>
      </c>
      <c r="GE551">
        <v>6.5412425086711039</v>
      </c>
      <c r="GF551">
        <v>16.009558264396279</v>
      </c>
      <c r="GG551">
        <v>11.094907960306555</v>
      </c>
      <c r="GH551">
        <v>16.137209047670105</v>
      </c>
      <c r="GI551">
        <v>24.04005985976066</v>
      </c>
      <c r="GJ551"/>
      <c r="GK551"/>
      <c r="GL551"/>
      <c r="GM551"/>
      <c r="GN551" s="208"/>
      <c r="GO551" s="208"/>
      <c r="GP551" s="208"/>
      <c r="GQ551" s="208"/>
      <c r="GR551" s="208"/>
      <c r="GS551" s="208"/>
      <c r="GT551" s="208"/>
      <c r="GU551" s="213">
        <v>546</v>
      </c>
    </row>
    <row r="552" spans="1:203" s="7" customFormat="1">
      <c r="A552" s="4"/>
      <c r="B552" s="4"/>
      <c r="C552" s="63"/>
      <c r="D552" s="101"/>
      <c r="E552" s="63"/>
      <c r="F552" s="63"/>
      <c r="G552" s="101"/>
      <c r="H552" s="101">
        <f>E553-E551</f>
        <v>0</v>
      </c>
      <c r="I552" s="101">
        <f>AVERAGE(D551:D553)</f>
        <v>0</v>
      </c>
      <c r="J552" s="101">
        <f>I552*H552</f>
        <v>0</v>
      </c>
      <c r="K552" s="61" t="e">
        <f>J552/(C553-C551)</f>
        <v>#DIV/0!</v>
      </c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4"/>
      <c r="AB552" s="4"/>
      <c r="AC552" s="4"/>
      <c r="AD552" s="4"/>
      <c r="AE552" s="4"/>
      <c r="AF552" s="81"/>
      <c r="AG552" s="81"/>
      <c r="AH552" s="81"/>
      <c r="AI552" s="4"/>
      <c r="AJ552" s="81"/>
      <c r="AK552" s="81"/>
      <c r="AL552" s="81"/>
      <c r="AM552" s="43">
        <v>536</v>
      </c>
      <c r="AN552">
        <v>273.15542463658494</v>
      </c>
      <c r="AO552">
        <v>27.450297413296237</v>
      </c>
      <c r="AP552">
        <v>85.959767588641114</v>
      </c>
      <c r="AQ552">
        <v>221.87298465018696</v>
      </c>
      <c r="AR552">
        <v>28.451665559900498</v>
      </c>
      <c r="AS552">
        <v>243.48676337517415</v>
      </c>
      <c r="AT552">
        <v>14.378400648010681</v>
      </c>
      <c r="AU552">
        <v>14.584258005612918</v>
      </c>
      <c r="AV552"/>
      <c r="AW552"/>
      <c r="FY552" s="213">
        <v>547</v>
      </c>
      <c r="FZ552">
        <v>62.838134865822461</v>
      </c>
      <c r="GA552">
        <v>63.44974782816093</v>
      </c>
      <c r="GB552">
        <v>8.053129221585019</v>
      </c>
      <c r="GC552">
        <v>6.3276599121007626</v>
      </c>
      <c r="GD552">
        <v>4.9512149586026863</v>
      </c>
      <c r="GE552">
        <v>3.5068642309254026</v>
      </c>
      <c r="GF552">
        <v>27.08592440086451</v>
      </c>
      <c r="GG552">
        <v>26.511792626316122</v>
      </c>
      <c r="GH552">
        <v>9.4877416527975242</v>
      </c>
      <c r="GI552">
        <v>20.686169055169437</v>
      </c>
      <c r="GJ552"/>
      <c r="GK552"/>
      <c r="GL552"/>
      <c r="GM552"/>
      <c r="GN552" s="208"/>
      <c r="GO552" s="208"/>
      <c r="GP552" s="208"/>
      <c r="GQ552" s="208"/>
      <c r="GR552" s="208"/>
      <c r="GS552" s="208"/>
      <c r="GT552" s="208"/>
      <c r="GU552" s="213">
        <v>547</v>
      </c>
    </row>
    <row r="553" spans="1:203" s="7" customFormat="1">
      <c r="A553" s="4"/>
      <c r="B553" s="4"/>
      <c r="C553" s="116">
        <f>C15</f>
        <v>0</v>
      </c>
      <c r="D553" s="101">
        <f>D81</f>
        <v>0</v>
      </c>
      <c r="E553" s="108">
        <f>E416</f>
        <v>0</v>
      </c>
      <c r="F553" s="102"/>
      <c r="G553" s="101">
        <f>D553*E553</f>
        <v>0</v>
      </c>
      <c r="H553" s="101"/>
      <c r="I553" s="101"/>
      <c r="J553" s="101"/>
      <c r="K553" s="101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4"/>
      <c r="AB553" s="4"/>
      <c r="AC553" s="4"/>
      <c r="AD553" s="4"/>
      <c r="AE553" s="4"/>
      <c r="AF553" s="81"/>
      <c r="AG553" s="81"/>
      <c r="AH553" s="81"/>
      <c r="AI553" s="4"/>
      <c r="AJ553" s="81"/>
      <c r="AK553" s="81"/>
      <c r="AL553" s="81"/>
      <c r="AM553" s="43">
        <v>537</v>
      </c>
      <c r="AN553">
        <v>368.91997654497601</v>
      </c>
      <c r="AO553">
        <v>28.690060259390016</v>
      </c>
      <c r="AP553">
        <v>90.395318301161581</v>
      </c>
      <c r="AQ553">
        <v>185.72237816170411</v>
      </c>
      <c r="AR553">
        <v>29.000781478387434</v>
      </c>
      <c r="AS553">
        <v>292.25494731777468</v>
      </c>
      <c r="AT553">
        <v>13.723907068300875</v>
      </c>
      <c r="AU553">
        <v>37.747724225708836</v>
      </c>
      <c r="AV553"/>
      <c r="AW553"/>
      <c r="FY553" s="213">
        <v>548</v>
      </c>
      <c r="FZ553">
        <v>48.737167498962641</v>
      </c>
      <c r="GA553">
        <v>68.249809555911114</v>
      </c>
      <c r="GB553">
        <v>17.8551899346485</v>
      </c>
      <c r="GC553">
        <v>7.8090965072445631</v>
      </c>
      <c r="GD553">
        <v>6.0926951287996829</v>
      </c>
      <c r="GE553">
        <v>7.9225584678488694</v>
      </c>
      <c r="GF553">
        <v>34.367444748249639</v>
      </c>
      <c r="GG553">
        <v>27.013448845726391</v>
      </c>
      <c r="GH553">
        <v>8.94170938629372</v>
      </c>
      <c r="GI553">
        <v>23.459513244335565</v>
      </c>
      <c r="GJ553"/>
      <c r="GK553"/>
      <c r="GL553"/>
      <c r="GM553"/>
      <c r="GN553" s="208"/>
      <c r="GO553" s="208"/>
      <c r="GP553" s="208"/>
      <c r="GQ553" s="208"/>
      <c r="GR553" s="208"/>
      <c r="GS553" s="208"/>
      <c r="GT553" s="208"/>
      <c r="GU553" s="213">
        <v>548</v>
      </c>
    </row>
    <row r="554" spans="1:203" s="7" customFormat="1">
      <c r="A554" s="4"/>
      <c r="B554" s="4"/>
      <c r="C554" s="104"/>
      <c r="D554" s="101"/>
      <c r="E554" s="63"/>
      <c r="F554" s="63"/>
      <c r="G554" s="63"/>
      <c r="H554" s="63"/>
      <c r="I554" s="63"/>
      <c r="J554" s="63"/>
      <c r="K554" s="19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4"/>
      <c r="AB554" s="4"/>
      <c r="AC554" s="4"/>
      <c r="AD554" s="4"/>
      <c r="AE554" s="4"/>
      <c r="AF554" s="81"/>
      <c r="AG554" s="81"/>
      <c r="AH554" s="81"/>
      <c r="AI554" s="4"/>
      <c r="AJ554" s="81"/>
      <c r="AK554" s="81"/>
      <c r="AL554" s="81"/>
      <c r="AM554" s="43">
        <v>538</v>
      </c>
      <c r="AN554">
        <v>273.66546368533881</v>
      </c>
      <c r="AO554">
        <v>23.187252677166107</v>
      </c>
      <c r="AP554">
        <v>86.977436180920179</v>
      </c>
      <c r="AQ554">
        <v>168.04134120971085</v>
      </c>
      <c r="AR554">
        <v>23.295945424276468</v>
      </c>
      <c r="AS554">
        <v>213.82755354138624</v>
      </c>
      <c r="AT554">
        <v>10.399125524878889</v>
      </c>
      <c r="AU554">
        <v>6.8301345176825183</v>
      </c>
      <c r="AV554"/>
      <c r="AW554"/>
      <c r="FY554" s="213">
        <v>549</v>
      </c>
      <c r="FZ554">
        <v>36.726823094862375</v>
      </c>
      <c r="GA554">
        <v>56.150619556645871</v>
      </c>
      <c r="GB554">
        <v>13.474465795570449</v>
      </c>
      <c r="GC554">
        <v>6.3083820301639868</v>
      </c>
      <c r="GD554">
        <v>5.6635652195624884</v>
      </c>
      <c r="GE554">
        <v>4.0871133352938607</v>
      </c>
      <c r="GF554">
        <v>24.981308269805663</v>
      </c>
      <c r="GG554">
        <v>24.452406677987202</v>
      </c>
      <c r="GH554">
        <v>11.63313761831669</v>
      </c>
      <c r="GI554">
        <v>18.892655544070987</v>
      </c>
      <c r="GJ554"/>
      <c r="GK554"/>
      <c r="GL554"/>
      <c r="GM554"/>
      <c r="GN554" s="208"/>
      <c r="GO554" s="208"/>
      <c r="GP554" s="208"/>
      <c r="GQ554" s="208"/>
      <c r="GR554" s="208"/>
      <c r="GS554" s="208"/>
      <c r="GT554" s="208"/>
      <c r="GU554" s="213">
        <v>549</v>
      </c>
    </row>
    <row r="555" spans="1:203" s="7" customFormat="1">
      <c r="A555" s="4"/>
      <c r="B555" s="4"/>
      <c r="C555" s="8"/>
      <c r="D555" s="8"/>
      <c r="E555" s="8"/>
      <c r="F555" s="8"/>
      <c r="G555" s="8"/>
      <c r="H555" s="8"/>
      <c r="I555" s="8"/>
      <c r="J555" s="8"/>
      <c r="K555" s="19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4"/>
      <c r="AB555" s="4"/>
      <c r="AC555" s="4"/>
      <c r="AD555" s="4"/>
      <c r="AE555" s="4"/>
      <c r="AF555" s="81"/>
      <c r="AG555" s="81"/>
      <c r="AH555" s="81"/>
      <c r="AI555" s="4"/>
      <c r="AJ555" s="81"/>
      <c r="AK555" s="81"/>
      <c r="AL555" s="81"/>
      <c r="AM555" s="43">
        <v>539</v>
      </c>
      <c r="AN555">
        <v>285.05483015426131</v>
      </c>
      <c r="AO555">
        <v>20.58148115517805</v>
      </c>
      <c r="AP555">
        <v>59.997963275001482</v>
      </c>
      <c r="AQ555">
        <v>152.16615012856133</v>
      </c>
      <c r="AR555">
        <v>22.609355082602015</v>
      </c>
      <c r="AS555">
        <v>212.85344517442581</v>
      </c>
      <c r="AT555">
        <v>12.033289135735936</v>
      </c>
      <c r="AU555">
        <v>51.538185834680043</v>
      </c>
      <c r="AV555"/>
      <c r="AW555"/>
      <c r="FY555" s="213">
        <v>550</v>
      </c>
      <c r="FZ555">
        <v>82.782508862102461</v>
      </c>
      <c r="GA555">
        <v>54.24099307207527</v>
      </c>
      <c r="GB555">
        <v>6.0664355593533301</v>
      </c>
      <c r="GC555">
        <v>5.8773024349124654</v>
      </c>
      <c r="GD555">
        <v>3.7256174277606098</v>
      </c>
      <c r="GE555">
        <v>3.2506626074291125</v>
      </c>
      <c r="GF555">
        <v>20.283856100717809</v>
      </c>
      <c r="GG555">
        <v>16.914238243471726</v>
      </c>
      <c r="GH555">
        <v>7.8724043501229746</v>
      </c>
      <c r="GI555">
        <v>20.66131684392597</v>
      </c>
      <c r="GJ555"/>
      <c r="GK555"/>
      <c r="GL555"/>
      <c r="GM555"/>
      <c r="GN555" s="208"/>
      <c r="GO555" s="208"/>
      <c r="GP555" s="208"/>
      <c r="GQ555" s="208"/>
      <c r="GR555" s="208"/>
      <c r="GS555" s="208"/>
      <c r="GT555" s="208"/>
      <c r="GU555" s="213">
        <v>550</v>
      </c>
    </row>
    <row r="556" spans="1:203" s="7" customFormat="1">
      <c r="A556" s="4"/>
      <c r="B556" s="4"/>
      <c r="C556" s="63"/>
      <c r="D556" s="63"/>
      <c r="E556" s="63" t="s">
        <v>24</v>
      </c>
      <c r="F556" s="18"/>
      <c r="G556" s="123">
        <f>AVERAGE(G531:G553)</f>
        <v>12.129830652909805</v>
      </c>
      <c r="H556" s="63" t="s">
        <v>103</v>
      </c>
      <c r="I556" s="123">
        <f>SUM(J532:J552)+G531</f>
        <v>47.269636432186701</v>
      </c>
      <c r="J556" s="63"/>
      <c r="K556" s="19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4"/>
      <c r="AB556" s="4"/>
      <c r="AC556" s="4"/>
      <c r="AD556" s="4"/>
      <c r="AE556" s="4"/>
      <c r="AF556" s="81"/>
      <c r="AG556" s="81"/>
      <c r="AH556" s="81"/>
      <c r="AI556" s="4"/>
      <c r="AJ556" s="81"/>
      <c r="AK556" s="81"/>
      <c r="AL556" s="81"/>
      <c r="AM556" s="43">
        <v>540</v>
      </c>
      <c r="AN556">
        <v>198.02071045962418</v>
      </c>
      <c r="AO556">
        <v>17.948504664770002</v>
      </c>
      <c r="AP556">
        <v>45.871038489765787</v>
      </c>
      <c r="AQ556">
        <v>126.55612814384173</v>
      </c>
      <c r="AR556">
        <v>19.641333138852868</v>
      </c>
      <c r="AS556">
        <v>168.78620080304586</v>
      </c>
      <c r="AT556">
        <v>7.7946831948217898</v>
      </c>
      <c r="AU556">
        <v>6.1207550881226247</v>
      </c>
      <c r="AV556"/>
      <c r="AW556"/>
      <c r="FY556" s="213">
        <v>551</v>
      </c>
      <c r="FZ556">
        <v>74.639249700718707</v>
      </c>
      <c r="GA556">
        <v>75.007762935932263</v>
      </c>
      <c r="GB556">
        <v>6.2420415605783077</v>
      </c>
      <c r="GC556">
        <v>8.6147499243883381</v>
      </c>
      <c r="GD556">
        <v>7.4689850271389115</v>
      </c>
      <c r="GE556">
        <v>3.7684697726965433</v>
      </c>
      <c r="GF556">
        <v>7.952755702028572</v>
      </c>
      <c r="GG556">
        <v>9.0578242908302791</v>
      </c>
      <c r="GH556">
        <v>10.409946473730049</v>
      </c>
      <c r="GI556">
        <v>20.07106802099954</v>
      </c>
      <c r="GJ556"/>
      <c r="GK556"/>
      <c r="GL556"/>
      <c r="GM556"/>
      <c r="GN556" s="208"/>
      <c r="GO556" s="208"/>
      <c r="GP556" s="208"/>
      <c r="GQ556" s="208"/>
      <c r="GR556" s="208"/>
      <c r="GS556" s="208"/>
      <c r="GT556" s="208"/>
      <c r="GU556" s="213">
        <v>551</v>
      </c>
    </row>
    <row r="557" spans="1:203" s="7" customFormat="1">
      <c r="A557" s="4"/>
      <c r="B557" s="4"/>
      <c r="C557" s="63"/>
      <c r="D557" s="63"/>
      <c r="E557" s="63"/>
      <c r="F557" s="63"/>
      <c r="G557" s="63"/>
      <c r="H557" s="8"/>
      <c r="I557" s="8"/>
      <c r="J557" s="19"/>
      <c r="K557" s="19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4"/>
      <c r="AB557" s="4"/>
      <c r="AC557" s="4"/>
      <c r="AD557" s="4"/>
      <c r="AE557" s="4"/>
      <c r="AF557" s="81"/>
      <c r="AG557" s="81"/>
      <c r="AH557" s="81"/>
      <c r="AI557" s="4"/>
      <c r="AJ557" s="81"/>
      <c r="AK557" s="81"/>
      <c r="AL557" s="81"/>
      <c r="AM557" s="43">
        <v>541</v>
      </c>
      <c r="AN557">
        <v>394.28121010307069</v>
      </c>
      <c r="AO557">
        <v>48.74765601341597</v>
      </c>
      <c r="AP557">
        <v>130.42357369743289</v>
      </c>
      <c r="AQ557">
        <v>360.22102797582443</v>
      </c>
      <c r="AR557">
        <v>47.569587374995393</v>
      </c>
      <c r="AS557">
        <v>396.44575695584672</v>
      </c>
      <c r="AT557">
        <v>19.220821163417778</v>
      </c>
      <c r="AU557">
        <v>29.721523742817539</v>
      </c>
      <c r="AV557"/>
      <c r="AW557"/>
      <c r="FY557" s="213">
        <v>552</v>
      </c>
      <c r="FZ557">
        <v>62.469384259563164</v>
      </c>
      <c r="GA557">
        <v>77.138688335073908</v>
      </c>
      <c r="GB557">
        <v>12.083611727065186</v>
      </c>
      <c r="GC557">
        <v>9.5851008924370351</v>
      </c>
      <c r="GD557">
        <v>7.0746444779237443</v>
      </c>
      <c r="GE557">
        <v>2.5715885839131505</v>
      </c>
      <c r="GF557">
        <v>9.3753850207644991</v>
      </c>
      <c r="GG557">
        <v>11.500768770011797</v>
      </c>
      <c r="GH557">
        <v>12.585761223108999</v>
      </c>
      <c r="GI557">
        <v>20.450728010710844</v>
      </c>
      <c r="GJ557"/>
      <c r="GK557"/>
      <c r="GL557"/>
      <c r="GM557"/>
      <c r="GN557" s="208"/>
      <c r="GO557" s="208"/>
      <c r="GP557" s="208"/>
      <c r="GQ557" s="208"/>
      <c r="GR557" s="208"/>
      <c r="GS557" s="208"/>
      <c r="GT557" s="208"/>
      <c r="GU557" s="213">
        <v>552</v>
      </c>
    </row>
    <row r="558" spans="1:203" s="7" customFormat="1">
      <c r="A558" s="4"/>
      <c r="B558" s="4"/>
      <c r="C558" s="63"/>
      <c r="D558" s="63"/>
      <c r="E558" s="63"/>
      <c r="F558" s="101"/>
      <c r="G558" s="63"/>
      <c r="H558" s="63"/>
      <c r="I558" s="119"/>
      <c r="J558" s="19"/>
      <c r="K558" s="19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4"/>
      <c r="AB558" s="4"/>
      <c r="AC558" s="4"/>
      <c r="AD558" s="4"/>
      <c r="AE558" s="4"/>
      <c r="AF558" s="81"/>
      <c r="AG558" s="81"/>
      <c r="AH558" s="81"/>
      <c r="AI558" s="4"/>
      <c r="AJ558" s="81"/>
      <c r="AK558" s="81"/>
      <c r="AL558" s="81"/>
      <c r="AM558" s="43">
        <v>542</v>
      </c>
      <c r="AN558">
        <v>212.47570235397444</v>
      </c>
      <c r="AO558">
        <v>18.269722732649381</v>
      </c>
      <c r="AP558">
        <v>47.825640105766396</v>
      </c>
      <c r="AQ558">
        <v>126.4467816939882</v>
      </c>
      <c r="AR558">
        <v>19.25572043994049</v>
      </c>
      <c r="AS558">
        <v>181.5027459088459</v>
      </c>
      <c r="AT558">
        <v>8.6888147356714818</v>
      </c>
      <c r="AU558">
        <v>20.181965558941858</v>
      </c>
      <c r="AV558"/>
      <c r="AW558"/>
      <c r="FY558" s="213">
        <v>553</v>
      </c>
      <c r="FZ558">
        <v>34.851076753593631</v>
      </c>
      <c r="GA558">
        <v>31.725872152282751</v>
      </c>
      <c r="GB558">
        <v>7.187219465674163</v>
      </c>
      <c r="GC558">
        <v>5.5083128789801714</v>
      </c>
      <c r="GD558">
        <v>5.0806066561128151</v>
      </c>
      <c r="GE558">
        <v>7.4365314976091117</v>
      </c>
      <c r="GF558">
        <v>23.072369369560739</v>
      </c>
      <c r="GG558">
        <v>18.133540518336289</v>
      </c>
      <c r="GH558">
        <v>14.425881978608087</v>
      </c>
      <c r="GI558">
        <v>16.519883344344816</v>
      </c>
      <c r="GJ558"/>
      <c r="GK558"/>
      <c r="GL558"/>
      <c r="GM558"/>
      <c r="GN558" s="208"/>
      <c r="GO558" s="208"/>
      <c r="GP558" s="208"/>
      <c r="GQ558" s="208"/>
      <c r="GR558" s="208"/>
      <c r="GS558" s="208"/>
      <c r="GT558" s="208"/>
      <c r="GU558" s="213">
        <v>553</v>
      </c>
    </row>
    <row r="559" spans="1:203" s="7" customFormat="1">
      <c r="A559" s="4"/>
      <c r="B559" s="4"/>
      <c r="C559" s="63"/>
      <c r="D559" s="63"/>
      <c r="E559" s="63" t="s">
        <v>102</v>
      </c>
      <c r="F559" s="101">
        <f>I556/G556</f>
        <v>3.8969741445522379</v>
      </c>
      <c r="G559" s="63"/>
      <c r="H559" s="63"/>
      <c r="I559" s="101"/>
      <c r="J559" s="19"/>
      <c r="K559" s="19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4"/>
      <c r="AB559" s="4"/>
      <c r="AC559" s="4"/>
      <c r="AD559" s="4"/>
      <c r="AE559" s="4"/>
      <c r="AF559" s="81"/>
      <c r="AG559" s="81"/>
      <c r="AH559" s="81"/>
      <c r="AI559" s="4"/>
      <c r="AJ559" s="81"/>
      <c r="AK559" s="81"/>
      <c r="AL559" s="81"/>
      <c r="AM559" s="43">
        <v>543</v>
      </c>
      <c r="AN559">
        <v>284.10250327148941</v>
      </c>
      <c r="AO559">
        <v>28.534597108068152</v>
      </c>
      <c r="AP559">
        <v>123.14295183330239</v>
      </c>
      <c r="AQ559">
        <v>225.49579633110153</v>
      </c>
      <c r="AR559">
        <v>28.213814022424067</v>
      </c>
      <c r="AS559">
        <v>259.31506510859447</v>
      </c>
      <c r="AT559">
        <v>14.369754594832612</v>
      </c>
      <c r="AU559">
        <v>10.877635700627941</v>
      </c>
      <c r="AV559"/>
      <c r="AW559"/>
      <c r="FY559" s="213">
        <v>554</v>
      </c>
      <c r="FZ559">
        <v>25.544208680717102</v>
      </c>
      <c r="GA559">
        <v>20.67352682332297</v>
      </c>
      <c r="GB559">
        <v>7.3735690855347684</v>
      </c>
      <c r="GC559">
        <v>7.509604058109927</v>
      </c>
      <c r="GD559">
        <v>6.4530279376761106</v>
      </c>
      <c r="GE559">
        <v>5.6373028526056324</v>
      </c>
      <c r="GF559">
        <v>17.225725886631114</v>
      </c>
      <c r="GG559">
        <v>14.950343007239191</v>
      </c>
      <c r="GH559">
        <v>10.366179271215501</v>
      </c>
      <c r="GI559">
        <v>14.295093898157111</v>
      </c>
      <c r="GJ559"/>
      <c r="GK559"/>
      <c r="GL559"/>
      <c r="GM559"/>
      <c r="GN559" s="208"/>
      <c r="GO559" s="208"/>
      <c r="GP559" s="208"/>
      <c r="GQ559" s="208"/>
      <c r="GR559" s="208"/>
      <c r="GS559" s="208"/>
      <c r="GT559" s="208"/>
      <c r="GU559" s="213">
        <v>554</v>
      </c>
    </row>
    <row r="560" spans="1:203" s="7" customFormat="1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4"/>
      <c r="AB560" s="4"/>
      <c r="AC560" s="4"/>
      <c r="AD560" s="4"/>
      <c r="AE560" s="4"/>
      <c r="AF560" s="81"/>
      <c r="AG560" s="81"/>
      <c r="AH560" s="81"/>
      <c r="AI560" s="4"/>
      <c r="AJ560" s="81"/>
      <c r="AK560" s="81"/>
      <c r="AL560" s="81"/>
      <c r="AM560" s="43">
        <v>544</v>
      </c>
      <c r="AN560">
        <v>285.31039472886596</v>
      </c>
      <c r="AO560">
        <v>30.880902629850443</v>
      </c>
      <c r="AP560">
        <v>73.44175584898484</v>
      </c>
      <c r="AQ560">
        <v>238.4608431538409</v>
      </c>
      <c r="AR560">
        <v>32.680152507368007</v>
      </c>
      <c r="AS560">
        <v>270.95769570422675</v>
      </c>
      <c r="AT560">
        <v>15.060025839384608</v>
      </c>
      <c r="AU560">
        <v>45.248161780501363</v>
      </c>
      <c r="AV560"/>
      <c r="AW560"/>
      <c r="FY560" s="213">
        <v>555</v>
      </c>
      <c r="FZ560">
        <v>50.139681209804031</v>
      </c>
      <c r="GA560">
        <v>69.013480263069795</v>
      </c>
      <c r="GB560">
        <v>16.587136550111715</v>
      </c>
      <c r="GC560">
        <v>7.7500387869073988</v>
      </c>
      <c r="GD560">
        <v>6.1382020073820884</v>
      </c>
      <c r="GE560">
        <v>2.5770458529598224</v>
      </c>
      <c r="GF560">
        <v>18.287106576233313</v>
      </c>
      <c r="GG560">
        <v>19.752444358917643</v>
      </c>
      <c r="GH560">
        <v>11.708819731688804</v>
      </c>
      <c r="GI560">
        <v>20.923534082878778</v>
      </c>
      <c r="GJ560"/>
      <c r="GK560"/>
      <c r="GL560"/>
      <c r="GM560"/>
      <c r="GN560" s="208"/>
      <c r="GO560" s="208"/>
      <c r="GP560" s="208"/>
      <c r="GQ560" s="208"/>
      <c r="GR560" s="208"/>
      <c r="GS560" s="208"/>
      <c r="GT560" s="208"/>
      <c r="GU560" s="213">
        <v>555</v>
      </c>
    </row>
    <row r="561" spans="1:203" s="7" customFormat="1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4"/>
      <c r="AB561" s="4"/>
      <c r="AC561" s="4"/>
      <c r="AD561" s="4"/>
      <c r="AE561" s="4"/>
      <c r="AF561" s="81"/>
      <c r="AG561" s="81"/>
      <c r="AH561" s="81"/>
      <c r="AI561" s="4"/>
      <c r="AJ561" s="81"/>
      <c r="AK561" s="81"/>
      <c r="AL561" s="81"/>
      <c r="AM561" s="43">
        <v>545</v>
      </c>
      <c r="AN561">
        <v>371.52093503063281</v>
      </c>
      <c r="AO561">
        <v>30.303072733714338</v>
      </c>
      <c r="AP561">
        <v>101.84664013378999</v>
      </c>
      <c r="AQ561">
        <v>200.24205497761659</v>
      </c>
      <c r="AR561">
        <v>31.02102598154092</v>
      </c>
      <c r="AS561">
        <v>274.99010948864554</v>
      </c>
      <c r="AT561">
        <v>13.376132904470127</v>
      </c>
      <c r="AU561">
        <v>-4.0050985565712836</v>
      </c>
      <c r="AV561"/>
      <c r="AW561"/>
      <c r="FY561" s="213">
        <v>556</v>
      </c>
      <c r="FZ561">
        <v>45.306126862950563</v>
      </c>
      <c r="GA561">
        <v>37.319764480672056</v>
      </c>
      <c r="GB561">
        <v>7.9248334385345007</v>
      </c>
      <c r="GC561">
        <v>5.8548809530363721</v>
      </c>
      <c r="GD561">
        <v>4.2458550109223312</v>
      </c>
      <c r="GE561">
        <v>3.0293489837755181</v>
      </c>
      <c r="GF561">
        <v>20.547027282537893</v>
      </c>
      <c r="GG561">
        <v>20.411181825833577</v>
      </c>
      <c r="GH561">
        <v>19.99836771528377</v>
      </c>
      <c r="GI561">
        <v>18.200996046961944</v>
      </c>
      <c r="GJ561"/>
      <c r="GK561"/>
      <c r="GL561"/>
      <c r="GM561"/>
      <c r="GN561" s="208"/>
      <c r="GO561" s="208"/>
      <c r="GP561" s="208"/>
      <c r="GQ561" s="208"/>
      <c r="GR561" s="208"/>
      <c r="GS561" s="208"/>
      <c r="GT561" s="208"/>
      <c r="GU561" s="213">
        <v>556</v>
      </c>
    </row>
    <row r="562" spans="1:203" s="7" customFormat="1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4"/>
      <c r="AB562" s="4"/>
      <c r="AC562" s="4"/>
      <c r="AD562" s="4"/>
      <c r="AE562" s="4"/>
      <c r="AF562" s="81"/>
      <c r="AG562" s="81"/>
      <c r="AH562" s="81"/>
      <c r="AI562" s="4"/>
      <c r="AJ562" s="81"/>
      <c r="AK562" s="81"/>
      <c r="AL562" s="81"/>
      <c r="AM562" s="43">
        <v>546</v>
      </c>
      <c r="AN562">
        <v>338.03559881018856</v>
      </c>
      <c r="AO562">
        <v>36.109822362280269</v>
      </c>
      <c r="AP562">
        <v>103.43800393709162</v>
      </c>
      <c r="AQ562">
        <v>258.15990406397611</v>
      </c>
      <c r="AR562">
        <v>36.658475610667182</v>
      </c>
      <c r="AS562">
        <v>285.09325133340286</v>
      </c>
      <c r="AT562">
        <v>15.124644651283093</v>
      </c>
      <c r="AU562">
        <v>-5.574456201635023</v>
      </c>
      <c r="AV562"/>
      <c r="AW562"/>
      <c r="FY562" s="213">
        <v>557</v>
      </c>
      <c r="FZ562">
        <v>59.4962966962458</v>
      </c>
      <c r="GA562">
        <v>83.632053103884175</v>
      </c>
      <c r="GB562">
        <v>23.82990569044804</v>
      </c>
      <c r="GC562">
        <v>7.7272507456222481</v>
      </c>
      <c r="GD562">
        <v>6.608908528856059</v>
      </c>
      <c r="GE562">
        <v>5.8894649244864574</v>
      </c>
      <c r="GF562">
        <v>7.6372292313066827</v>
      </c>
      <c r="GG562">
        <v>6.5091723891733526</v>
      </c>
      <c r="GH562">
        <v>13.084635032261897</v>
      </c>
      <c r="GI562">
        <v>23.065363572773173</v>
      </c>
      <c r="GJ562"/>
      <c r="GK562"/>
      <c r="GL562"/>
      <c r="GM562"/>
      <c r="GN562" s="208"/>
      <c r="GO562" s="208"/>
      <c r="GP562" s="208"/>
      <c r="GQ562" s="208"/>
      <c r="GR562" s="208"/>
      <c r="GS562" s="208"/>
      <c r="GT562" s="208"/>
      <c r="GU562" s="213">
        <v>557</v>
      </c>
    </row>
    <row r="563" spans="1:203" s="7" customFormat="1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4"/>
      <c r="AB563" s="4"/>
      <c r="AC563" s="4"/>
      <c r="AD563" s="4"/>
      <c r="AE563" s="4"/>
      <c r="AF563" s="81"/>
      <c r="AG563" s="81"/>
      <c r="AH563" s="81"/>
      <c r="AI563" s="4"/>
      <c r="AJ563" s="81"/>
      <c r="AK563" s="81"/>
      <c r="AL563" s="81"/>
      <c r="AM563" s="43">
        <v>547</v>
      </c>
      <c r="AN563">
        <v>342.64019556345272</v>
      </c>
      <c r="AO563">
        <v>30.034935034918583</v>
      </c>
      <c r="AP563">
        <v>130.56083698971014</v>
      </c>
      <c r="AQ563">
        <v>232.89837875234485</v>
      </c>
      <c r="AR563">
        <v>29.553310669594175</v>
      </c>
      <c r="AS563">
        <v>279.81439919925424</v>
      </c>
      <c r="AT563">
        <v>16.180680018174936</v>
      </c>
      <c r="AU563">
        <v>70.752674494140294</v>
      </c>
      <c r="AV563"/>
      <c r="AW563"/>
      <c r="FY563" s="213">
        <v>558</v>
      </c>
      <c r="FZ563">
        <v>41.497565137045342</v>
      </c>
      <c r="GA563">
        <v>51.884917481936718</v>
      </c>
      <c r="GB563">
        <v>15.513381169938935</v>
      </c>
      <c r="GC563">
        <v>8.0862852892236994</v>
      </c>
      <c r="GD563">
        <v>5.8797182646467014</v>
      </c>
      <c r="GE563">
        <v>3.3163702629119607</v>
      </c>
      <c r="GF563">
        <v>10.242379898125542</v>
      </c>
      <c r="GG563">
        <v>9.6321976251390851</v>
      </c>
      <c r="GH563">
        <v>18.360976207532321</v>
      </c>
      <c r="GI563">
        <v>18.878108465424862</v>
      </c>
      <c r="GJ563"/>
      <c r="GK563"/>
      <c r="GL563"/>
      <c r="GM563"/>
      <c r="GN563" s="208"/>
      <c r="GO563" s="208"/>
      <c r="GP563" s="208"/>
      <c r="GQ563" s="208"/>
      <c r="GR563" s="208"/>
      <c r="GS563" s="208"/>
      <c r="GT563" s="208"/>
      <c r="GU563" s="213">
        <v>558</v>
      </c>
    </row>
    <row r="564" spans="1:203" s="7" customFormat="1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4"/>
      <c r="AB564" s="4"/>
      <c r="AC564" s="4"/>
      <c r="AD564" s="4"/>
      <c r="AE564" s="4"/>
      <c r="AF564" s="81"/>
      <c r="AG564" s="81"/>
      <c r="AH564" s="81"/>
      <c r="AI564" s="4"/>
      <c r="AJ564" s="81"/>
      <c r="AK564" s="81"/>
      <c r="AL564" s="81"/>
      <c r="AM564" s="43">
        <v>548</v>
      </c>
      <c r="AN564">
        <v>459.9818094267913</v>
      </c>
      <c r="AO564">
        <v>34.971240309178185</v>
      </c>
      <c r="AP564">
        <v>107.11990448193471</v>
      </c>
      <c r="AQ564">
        <v>250.44863331802071</v>
      </c>
      <c r="AR564">
        <v>34.102905904813667</v>
      </c>
      <c r="AS564">
        <v>352.28741496680612</v>
      </c>
      <c r="AT564">
        <v>16.183954803876059</v>
      </c>
      <c r="AU564">
        <v>-1.3805436741776091</v>
      </c>
      <c r="AV564"/>
      <c r="AW564"/>
      <c r="FY564" s="213">
        <v>559</v>
      </c>
      <c r="FZ564">
        <v>44.356021476288781</v>
      </c>
      <c r="GA564">
        <v>63.443915574241757</v>
      </c>
      <c r="GB564">
        <v>15.25459025427646</v>
      </c>
      <c r="GC564">
        <v>5.6652720597174104</v>
      </c>
      <c r="GD564">
        <v>7.2886102488476672</v>
      </c>
      <c r="GE564">
        <v>11.142419295511885</v>
      </c>
      <c r="GF564">
        <v>13.81490340076021</v>
      </c>
      <c r="GG564">
        <v>10.68268287700554</v>
      </c>
      <c r="GH564">
        <v>9.5192954706550736</v>
      </c>
      <c r="GI564">
        <v>19.244688050113751</v>
      </c>
      <c r="GJ564"/>
      <c r="GK564"/>
      <c r="GL564"/>
      <c r="GM564"/>
      <c r="GN564" s="208"/>
      <c r="GO564" s="208"/>
      <c r="GP564" s="208"/>
      <c r="GQ564" s="208"/>
      <c r="GR564" s="208"/>
      <c r="GS564" s="208"/>
      <c r="GT564" s="208"/>
      <c r="GU564" s="213">
        <v>559</v>
      </c>
    </row>
    <row r="565" spans="1:203" s="7" customFormat="1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4"/>
      <c r="AB565" s="4"/>
      <c r="AC565" s="4"/>
      <c r="AD565" s="4"/>
      <c r="AE565" s="4"/>
      <c r="AF565" s="81"/>
      <c r="AG565" s="81"/>
      <c r="AH565" s="81"/>
      <c r="AI565" s="4"/>
      <c r="AJ565" s="81"/>
      <c r="AK565" s="81"/>
      <c r="AL565" s="81"/>
      <c r="AM565" s="43">
        <v>549</v>
      </c>
      <c r="AN565">
        <v>334.76579849492288</v>
      </c>
      <c r="AO565">
        <v>28.246364796320059</v>
      </c>
      <c r="AP565">
        <v>117.66671289920211</v>
      </c>
      <c r="AQ565">
        <v>202.37047714227955</v>
      </c>
      <c r="AR565">
        <v>27.432966032208963</v>
      </c>
      <c r="AS565">
        <v>260.5725858791584</v>
      </c>
      <c r="AT565">
        <v>12.631637786474258</v>
      </c>
      <c r="AU565">
        <v>-0.20006431300249972</v>
      </c>
      <c r="AV565"/>
      <c r="AW565"/>
      <c r="FY565" s="213">
        <v>560</v>
      </c>
      <c r="FZ565">
        <v>30.469102255468975</v>
      </c>
      <c r="GA565">
        <v>34.600366459062336</v>
      </c>
      <c r="GB565">
        <v>12.457689539646752</v>
      </c>
      <c r="GC565">
        <v>4.834714266130872</v>
      </c>
      <c r="GD565">
        <v>5.0407685258328243</v>
      </c>
      <c r="GE565">
        <v>7.5081811233718243</v>
      </c>
      <c r="GF565">
        <v>25.370011366018446</v>
      </c>
      <c r="GG565">
        <v>21.651455653273949</v>
      </c>
      <c r="GH565">
        <v>11.868113094393429</v>
      </c>
      <c r="GI565">
        <v>17.514626574313169</v>
      </c>
      <c r="GJ565"/>
      <c r="GK565"/>
      <c r="GL565"/>
      <c r="GM565"/>
      <c r="GN565" s="208"/>
      <c r="GO565" s="208"/>
      <c r="GP565" s="208"/>
      <c r="GQ565" s="208"/>
      <c r="GR565" s="208"/>
      <c r="GS565" s="208"/>
      <c r="GT565" s="208"/>
      <c r="GU565" s="213">
        <v>560</v>
      </c>
    </row>
    <row r="566" spans="1:203" s="7" customFormat="1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4"/>
      <c r="AB566" s="4"/>
      <c r="AC566" s="4"/>
      <c r="AD566" s="4"/>
      <c r="AE566" s="4"/>
      <c r="AF566" s="81"/>
      <c r="AG566" s="81"/>
      <c r="AH566" s="81"/>
      <c r="AI566" s="4"/>
      <c r="AJ566" s="81"/>
      <c r="AK566" s="81"/>
      <c r="AL566" s="81"/>
      <c r="AM566" s="43">
        <v>550</v>
      </c>
      <c r="AN566">
        <v>297.34935826358725</v>
      </c>
      <c r="AO566">
        <v>27.902565833426326</v>
      </c>
      <c r="AP566">
        <v>67.62933522262388</v>
      </c>
      <c r="AQ566">
        <v>221.67533550187167</v>
      </c>
      <c r="AR566">
        <v>30.297750324777848</v>
      </c>
      <c r="AS566">
        <v>254.2271966561421</v>
      </c>
      <c r="AT566">
        <v>15.618583122169701</v>
      </c>
      <c r="AU566">
        <v>53.307275381773003</v>
      </c>
      <c r="AV566"/>
      <c r="AW566"/>
      <c r="FY566" s="213">
        <v>561</v>
      </c>
      <c r="FZ566">
        <v>45.103601444969136</v>
      </c>
      <c r="GA566">
        <v>53.618020995125967</v>
      </c>
      <c r="GB566">
        <v>11.713342420007393</v>
      </c>
      <c r="GC566">
        <v>6.1915470040910341</v>
      </c>
      <c r="GD566">
        <v>4.3442406593962577</v>
      </c>
      <c r="GE566">
        <v>4.8659998303701739</v>
      </c>
      <c r="GF566">
        <v>20.791434327019708</v>
      </c>
      <c r="GG566">
        <v>16.484711148718638</v>
      </c>
      <c r="GH566">
        <v>25.465241352490761</v>
      </c>
      <c r="GI566">
        <v>20.375570505952862</v>
      </c>
      <c r="GJ566"/>
      <c r="GK566"/>
      <c r="GL566"/>
      <c r="GM566"/>
      <c r="GN566" s="208"/>
      <c r="GO566" s="208"/>
      <c r="GP566" s="208"/>
      <c r="GQ566" s="208"/>
      <c r="GR566" s="208"/>
      <c r="GS566" s="208"/>
      <c r="GT566" s="208"/>
      <c r="GU566" s="213">
        <v>561</v>
      </c>
    </row>
    <row r="567" spans="1:203" s="7" customFormat="1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4"/>
      <c r="AB567" s="4"/>
      <c r="AC567" s="4"/>
      <c r="AD567" s="4"/>
      <c r="AE567" s="4"/>
      <c r="AF567" s="81"/>
      <c r="AG567" s="81"/>
      <c r="AH567" s="81"/>
      <c r="AI567" s="4"/>
      <c r="AJ567" s="81"/>
      <c r="AK567" s="81"/>
      <c r="AL567" s="81"/>
      <c r="AM567" s="43">
        <v>551</v>
      </c>
      <c r="AN567">
        <v>270.63394906333281</v>
      </c>
      <c r="AO567">
        <v>29.22559710025407</v>
      </c>
      <c r="AP567">
        <v>134.01770952035255</v>
      </c>
      <c r="AQ567">
        <v>223.23285340904152</v>
      </c>
      <c r="AR567">
        <v>29.147264789869219</v>
      </c>
      <c r="AS567">
        <v>248.74818899558838</v>
      </c>
      <c r="AT567">
        <v>15.715236475046916</v>
      </c>
      <c r="AU567">
        <v>15.875409294498381</v>
      </c>
      <c r="AV567"/>
      <c r="AW567"/>
      <c r="FY567" s="213">
        <v>562</v>
      </c>
      <c r="FZ567">
        <v>32.55951105070875</v>
      </c>
      <c r="GA567">
        <v>25.445763535823119</v>
      </c>
      <c r="GB567">
        <v>4.6167257673613769</v>
      </c>
      <c r="GC567">
        <v>4.7959265927447454</v>
      </c>
      <c r="GD567">
        <v>4.7804406566631563</v>
      </c>
      <c r="GE567">
        <v>6.1644095867120079</v>
      </c>
      <c r="GF567">
        <v>27.138188291033391</v>
      </c>
      <c r="GG567">
        <v>24.522613575186671</v>
      </c>
      <c r="GH567">
        <v>21.960256152515925</v>
      </c>
      <c r="GI567">
        <v>17.152317397547396</v>
      </c>
      <c r="GJ567"/>
      <c r="GK567"/>
      <c r="GL567"/>
      <c r="GM567"/>
      <c r="GN567" s="208"/>
      <c r="GO567" s="208"/>
      <c r="GP567" s="208"/>
      <c r="GQ567" s="208"/>
      <c r="GR567" s="208"/>
      <c r="GS567" s="208"/>
      <c r="GT567" s="208"/>
      <c r="GU567" s="213">
        <v>562</v>
      </c>
    </row>
    <row r="568" spans="1:203" s="7" customFormat="1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4"/>
      <c r="AB568" s="4"/>
      <c r="AC568" s="4"/>
      <c r="AD568" s="4"/>
      <c r="AE568" s="4"/>
      <c r="AF568" s="81"/>
      <c r="AG568" s="81"/>
      <c r="AH568" s="81"/>
      <c r="AI568" s="4"/>
      <c r="AJ568" s="81"/>
      <c r="AK568" s="81"/>
      <c r="AL568" s="81"/>
      <c r="AM568" s="43">
        <v>552</v>
      </c>
      <c r="AN568">
        <v>315.53215698013776</v>
      </c>
      <c r="AO568">
        <v>30.368986405531917</v>
      </c>
      <c r="AP568">
        <v>100.43195527213618</v>
      </c>
      <c r="AQ568">
        <v>224.8356613005723</v>
      </c>
      <c r="AR568">
        <v>29.846848377120715</v>
      </c>
      <c r="AS568">
        <v>269.87860151496432</v>
      </c>
      <c r="AT568">
        <v>13.905726975026775</v>
      </c>
      <c r="AU568">
        <v>21.454210789555031</v>
      </c>
      <c r="AV568"/>
      <c r="AW568"/>
      <c r="FY568" s="213">
        <v>563</v>
      </c>
      <c r="FZ568">
        <v>39.732564312213526</v>
      </c>
      <c r="GA568">
        <v>45.220657004956259</v>
      </c>
      <c r="GB568">
        <v>7.9986129803431236</v>
      </c>
      <c r="GC568">
        <v>8.2796740806795146</v>
      </c>
      <c r="GD568">
        <v>7.1556682076202511</v>
      </c>
      <c r="GE568">
        <v>5.3344051404082826</v>
      </c>
      <c r="GF568">
        <v>18.71571328695639</v>
      </c>
      <c r="GG568">
        <v>18.910740481994118</v>
      </c>
      <c r="GH568">
        <v>14.805594920304351</v>
      </c>
      <c r="GI568">
        <v>17.896305632647771</v>
      </c>
      <c r="GJ568"/>
      <c r="GK568"/>
      <c r="GL568"/>
      <c r="GM568"/>
      <c r="GN568" s="208"/>
      <c r="GO568" s="208"/>
      <c r="GP568" s="208"/>
      <c r="GQ568" s="208"/>
      <c r="GR568" s="208"/>
      <c r="GS568" s="208"/>
      <c r="GT568" s="208"/>
      <c r="GU568" s="213">
        <v>563</v>
      </c>
    </row>
    <row r="569" spans="1:203" s="7" customFormat="1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4"/>
      <c r="AB569" s="4"/>
      <c r="AC569" s="4"/>
      <c r="AD569" s="4"/>
      <c r="AE569" s="4"/>
      <c r="AF569" s="81"/>
      <c r="AG569" s="81"/>
      <c r="AH569" s="81"/>
      <c r="AI569" s="4"/>
      <c r="AJ569" s="81"/>
      <c r="AK569" s="81"/>
      <c r="AL569" s="81"/>
      <c r="AM569" s="43">
        <v>553</v>
      </c>
      <c r="AN569">
        <v>324.16391650487537</v>
      </c>
      <c r="AO569">
        <v>23.223219183285622</v>
      </c>
      <c r="AP569">
        <v>108.39961691214135</v>
      </c>
      <c r="AQ569">
        <v>163.94129461510258</v>
      </c>
      <c r="AR569">
        <v>24.106076520937467</v>
      </c>
      <c r="AS569">
        <v>241.88345489754192</v>
      </c>
      <c r="AT569">
        <v>12.069306799619548</v>
      </c>
      <c r="AU569">
        <v>36.166101773596793</v>
      </c>
      <c r="AV569"/>
      <c r="AW569"/>
      <c r="FY569" s="213">
        <v>564</v>
      </c>
      <c r="FZ569">
        <v>60.909413690433482</v>
      </c>
      <c r="GA569">
        <v>45.758865747906789</v>
      </c>
      <c r="GB569">
        <v>8.1662540411702729</v>
      </c>
      <c r="GC569">
        <v>6.3712485513675707</v>
      </c>
      <c r="GD569">
        <v>6.124047952765709</v>
      </c>
      <c r="GE569">
        <v>6.8009507364201243</v>
      </c>
      <c r="GF569">
        <v>7.4656813312112966</v>
      </c>
      <c r="GG569">
        <v>7.7466950192614066</v>
      </c>
      <c r="GH569">
        <v>10.042342880961746</v>
      </c>
      <c r="GI569">
        <v>17.610847168992869</v>
      </c>
      <c r="GJ569"/>
      <c r="GK569"/>
      <c r="GL569"/>
      <c r="GM569"/>
      <c r="GN569" s="208"/>
      <c r="GO569" s="208"/>
      <c r="GP569" s="208"/>
      <c r="GQ569" s="208"/>
      <c r="GR569" s="208"/>
      <c r="GS569" s="208"/>
      <c r="GT569" s="208"/>
      <c r="GU569" s="213">
        <v>564</v>
      </c>
    </row>
    <row r="570" spans="1:203" s="7" customFormat="1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4"/>
      <c r="AB570" s="4"/>
      <c r="AC570" s="4"/>
      <c r="AD570" s="4"/>
      <c r="AE570" s="4"/>
      <c r="AF570" s="81"/>
      <c r="AG570" s="81"/>
      <c r="AH570" s="81"/>
      <c r="AI570" s="4"/>
      <c r="AJ570" s="81"/>
      <c r="AK570" s="81"/>
      <c r="AL570" s="81"/>
      <c r="AM570" s="43">
        <v>554</v>
      </c>
      <c r="AN570">
        <v>298.02766063654019</v>
      </c>
      <c r="AO570">
        <v>19.662756188110301</v>
      </c>
      <c r="AP570">
        <v>73.277419878786262</v>
      </c>
      <c r="AQ570">
        <v>130.0285815012094</v>
      </c>
      <c r="AR570">
        <v>20.314003751865812</v>
      </c>
      <c r="AS570">
        <v>216.8195143647817</v>
      </c>
      <c r="AT570">
        <v>10.261108029343763</v>
      </c>
      <c r="AU570">
        <v>35.538973844763611</v>
      </c>
      <c r="AV570"/>
      <c r="AW570"/>
      <c r="FY570" s="213">
        <v>565</v>
      </c>
      <c r="FZ570">
        <v>26.820567067463177</v>
      </c>
      <c r="GA570">
        <v>10.631896093381904</v>
      </c>
      <c r="GB570">
        <v>4.0615749369298024</v>
      </c>
      <c r="GC570">
        <v>4.8669659937370664</v>
      </c>
      <c r="GD570">
        <v>3.3273799900691801</v>
      </c>
      <c r="GE570">
        <v>3.7978188059202203</v>
      </c>
      <c r="GF570">
        <v>7.8054767719950489</v>
      </c>
      <c r="GG570">
        <v>5.9279872037568504</v>
      </c>
      <c r="GH570">
        <v>9.1677304032065479</v>
      </c>
      <c r="GI570">
        <v>9.7364025683471151</v>
      </c>
      <c r="GJ570"/>
      <c r="GK570"/>
      <c r="GL570"/>
      <c r="GM570"/>
      <c r="GN570" s="208"/>
      <c r="GO570" s="208"/>
      <c r="GP570" s="208"/>
      <c r="GQ570" s="208"/>
      <c r="GR570" s="208"/>
      <c r="GS570" s="208"/>
      <c r="GT570" s="208"/>
      <c r="GU570" s="213">
        <v>565</v>
      </c>
    </row>
    <row r="571" spans="1:203" s="7" customFormat="1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4"/>
      <c r="AB571" s="4"/>
      <c r="AC571" s="4"/>
      <c r="AD571" s="4"/>
      <c r="AE571" s="4"/>
      <c r="AF571" s="81"/>
      <c r="AG571" s="81"/>
      <c r="AH571" s="81"/>
      <c r="AI571" s="4"/>
      <c r="AJ571" s="81"/>
      <c r="AK571" s="81"/>
      <c r="AL571" s="81"/>
      <c r="AM571" s="43">
        <v>555</v>
      </c>
      <c r="AN571">
        <v>335.53635612214669</v>
      </c>
      <c r="AO571">
        <v>30.915102475073763</v>
      </c>
      <c r="AP571">
        <v>59.698588698627745</v>
      </c>
      <c r="AQ571">
        <v>222.87748941995338</v>
      </c>
      <c r="AR571">
        <v>30.706368241547466</v>
      </c>
      <c r="AS571">
        <v>284.18056919436577</v>
      </c>
      <c r="AT571">
        <v>13.847975034365637</v>
      </c>
      <c r="AU571">
        <v>-22.959055382042024</v>
      </c>
      <c r="AV571"/>
      <c r="AW571"/>
      <c r="FY571" s="213">
        <v>566</v>
      </c>
      <c r="FZ571">
        <v>48.438209428128886</v>
      </c>
      <c r="GA571">
        <v>70.945014707012206</v>
      </c>
      <c r="GB571">
        <v>17.745271910142009</v>
      </c>
      <c r="GC571">
        <v>8.1527232961878173</v>
      </c>
      <c r="GD571">
        <v>5.9315785723277843</v>
      </c>
      <c r="GE571">
        <v>8.5084113195100368</v>
      </c>
      <c r="GF571">
        <v>19.558199719761653</v>
      </c>
      <c r="GG571">
        <v>13.588268982198301</v>
      </c>
      <c r="GH571">
        <v>20.635425049377044</v>
      </c>
      <c r="GI571">
        <v>22.473045740156309</v>
      </c>
      <c r="GJ571"/>
      <c r="GK571"/>
      <c r="GL571"/>
      <c r="GM571"/>
      <c r="GN571" s="208"/>
      <c r="GO571" s="208"/>
      <c r="GP571" s="208"/>
      <c r="GQ571" s="208"/>
      <c r="GR571" s="208"/>
      <c r="GS571" s="208"/>
      <c r="GT571" s="208"/>
      <c r="GU571" s="213">
        <v>566</v>
      </c>
    </row>
    <row r="572" spans="1:203" s="7" customFormat="1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4"/>
      <c r="AB572" s="4"/>
      <c r="AC572" s="4"/>
      <c r="AD572" s="4"/>
      <c r="AE572" s="4"/>
      <c r="AF572" s="81"/>
      <c r="AG572" s="81"/>
      <c r="AH572" s="81"/>
      <c r="AI572" s="4"/>
      <c r="AJ572" s="81"/>
      <c r="AK572" s="81"/>
      <c r="AL572" s="81"/>
      <c r="AM572" s="43">
        <v>556</v>
      </c>
      <c r="AN572">
        <v>302.42779975068868</v>
      </c>
      <c r="AO572">
        <v>24.841296512698317</v>
      </c>
      <c r="AP572">
        <v>109.63975284503888</v>
      </c>
      <c r="AQ572">
        <v>182.83838260050851</v>
      </c>
      <c r="AR572">
        <v>26.556910639275909</v>
      </c>
      <c r="AS572">
        <v>245.85625534021995</v>
      </c>
      <c r="AT572">
        <v>12.487184714846</v>
      </c>
      <c r="AU572">
        <v>25.812201140111313</v>
      </c>
      <c r="AV572"/>
      <c r="AW572"/>
      <c r="FY572" s="213">
        <v>567</v>
      </c>
      <c r="FZ572">
        <v>62.757529433208234</v>
      </c>
      <c r="GA572">
        <v>50.747771705268306</v>
      </c>
      <c r="GB572">
        <v>8.4596089105848424</v>
      </c>
      <c r="GC572">
        <v>4.5838458182843596</v>
      </c>
      <c r="GD572">
        <v>5.4684039592297244</v>
      </c>
      <c r="GE572">
        <v>7.8951383334971581</v>
      </c>
      <c r="GF572">
        <v>19.846388452939149</v>
      </c>
      <c r="GG572">
        <v>18.288927758299398</v>
      </c>
      <c r="GH572">
        <v>10.590586841321528</v>
      </c>
      <c r="GI572">
        <v>19.977023703351446</v>
      </c>
      <c r="GJ572"/>
      <c r="GK572"/>
      <c r="GL572"/>
      <c r="GM572"/>
      <c r="GN572" s="208"/>
      <c r="GO572" s="208"/>
      <c r="GP572" s="208"/>
      <c r="GQ572" s="208"/>
      <c r="GR572" s="208"/>
      <c r="GS572" s="208"/>
      <c r="GT572" s="208"/>
      <c r="GU572" s="213">
        <v>567</v>
      </c>
    </row>
    <row r="573" spans="1:203" s="7" customFormat="1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4"/>
      <c r="AB573" s="4"/>
      <c r="AC573" s="4"/>
      <c r="AD573" s="4"/>
      <c r="AE573" s="4"/>
      <c r="AF573" s="81"/>
      <c r="AG573" s="81"/>
      <c r="AH573" s="81"/>
      <c r="AI573" s="4"/>
      <c r="AJ573" s="81"/>
      <c r="AK573" s="81"/>
      <c r="AL573" s="81"/>
      <c r="AM573" s="43">
        <v>557</v>
      </c>
      <c r="AN573">
        <v>308.37533099093372</v>
      </c>
      <c r="AO573">
        <v>34.111740868236858</v>
      </c>
      <c r="AP573">
        <v>75.966406399582425</v>
      </c>
      <c r="AQ573">
        <v>237.48027991505791</v>
      </c>
      <c r="AR573">
        <v>35.22300242805759</v>
      </c>
      <c r="AS573">
        <v>287.17875109332346</v>
      </c>
      <c r="AT573">
        <v>14.504164600085497</v>
      </c>
      <c r="AU573">
        <v>19.694456007478628</v>
      </c>
      <c r="AV573"/>
      <c r="AW573"/>
      <c r="FY573" s="213">
        <v>568</v>
      </c>
      <c r="FZ573">
        <v>53.630557674701606</v>
      </c>
      <c r="GA573">
        <v>52.40158468199094</v>
      </c>
      <c r="GB573">
        <v>15.663036038273782</v>
      </c>
      <c r="GC573">
        <v>7.8067462432307932</v>
      </c>
      <c r="GD573">
        <v>5.762032423121636</v>
      </c>
      <c r="GE573">
        <v>2.428123145979193</v>
      </c>
      <c r="GF573">
        <v>15.204790908248253</v>
      </c>
      <c r="GG573">
        <v>15.343872262687515</v>
      </c>
      <c r="GH573">
        <v>12.82057560467304</v>
      </c>
      <c r="GI573">
        <v>20.592942744142121</v>
      </c>
      <c r="GJ573"/>
      <c r="GK573"/>
      <c r="GL573"/>
      <c r="GM573"/>
      <c r="GN573" s="208"/>
      <c r="GO573" s="208"/>
      <c r="GP573" s="208"/>
      <c r="GQ573" s="208"/>
      <c r="GR573" s="208"/>
      <c r="GS573" s="208"/>
      <c r="GT573" s="208"/>
      <c r="GU573" s="213">
        <v>568</v>
      </c>
    </row>
    <row r="574" spans="1:203" s="7" customFormat="1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4"/>
      <c r="AB574" s="4"/>
      <c r="AC574" s="4"/>
      <c r="AD574" s="4"/>
      <c r="AE574" s="4"/>
      <c r="AF574" s="81"/>
      <c r="AG574" s="81"/>
      <c r="AH574" s="81"/>
      <c r="AI574" s="4"/>
      <c r="AJ574" s="81"/>
      <c r="AK574" s="81"/>
      <c r="AL574" s="81"/>
      <c r="AM574" s="43">
        <v>558</v>
      </c>
      <c r="AN574">
        <v>273.23603989076844</v>
      </c>
      <c r="AO574">
        <v>26.695059902320928</v>
      </c>
      <c r="AP574">
        <v>65.315460247813093</v>
      </c>
      <c r="AQ574">
        <v>183.29189980192521</v>
      </c>
      <c r="AR574">
        <v>28.209381035838248</v>
      </c>
      <c r="AS574">
        <v>250.8135123671467</v>
      </c>
      <c r="AT574">
        <v>11.508455376852302</v>
      </c>
      <c r="AU574">
        <v>11.101322641309313</v>
      </c>
      <c r="AV574"/>
      <c r="AW574"/>
      <c r="FY574" s="213">
        <v>569</v>
      </c>
      <c r="FZ574">
        <v>58.874901953288798</v>
      </c>
      <c r="GA574">
        <v>74.534697856590626</v>
      </c>
      <c r="GB574">
        <v>15.796937256215967</v>
      </c>
      <c r="GC574">
        <v>5.5476557731045757</v>
      </c>
      <c r="GD574">
        <v>4.9884869022077307</v>
      </c>
      <c r="GE574">
        <v>6.8920105432461991</v>
      </c>
      <c r="GF574">
        <v>16.832554480876286</v>
      </c>
      <c r="GG574">
        <v>13.905141348008742</v>
      </c>
      <c r="GH574">
        <v>14.077651405478148</v>
      </c>
      <c r="GI574">
        <v>21.408509874156614</v>
      </c>
      <c r="GJ574"/>
      <c r="GK574"/>
      <c r="GL574"/>
      <c r="GM574"/>
      <c r="GN574" s="208"/>
      <c r="GO574" s="208"/>
      <c r="GP574" s="208"/>
      <c r="GQ574" s="208"/>
      <c r="GR574" s="208"/>
      <c r="GS574" s="208"/>
      <c r="GT574" s="208"/>
      <c r="GU574" s="213">
        <v>569</v>
      </c>
    </row>
    <row r="575" spans="1:203" s="7" customFormat="1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4"/>
      <c r="AB575" s="4"/>
      <c r="AC575" s="4"/>
      <c r="AD575" s="4"/>
      <c r="AE575" s="4"/>
      <c r="AF575" s="81"/>
      <c r="AG575" s="81"/>
      <c r="AH575" s="81"/>
      <c r="AI575" s="4"/>
      <c r="AJ575" s="81"/>
      <c r="AK575" s="81"/>
      <c r="AL575" s="81"/>
      <c r="AM575" s="43">
        <v>559</v>
      </c>
      <c r="AN575">
        <v>352.70154959576513</v>
      </c>
      <c r="AO575">
        <v>29.17516137088278</v>
      </c>
      <c r="AP575">
        <v>65.197997414020705</v>
      </c>
      <c r="AQ575">
        <v>200.41239870741853</v>
      </c>
      <c r="AR575">
        <v>28.896663509785395</v>
      </c>
      <c r="AS575">
        <v>259.80631187251544</v>
      </c>
      <c r="AT575">
        <v>12.411499543561149</v>
      </c>
      <c r="AU575">
        <v>10.940743652859158</v>
      </c>
      <c r="AV575"/>
      <c r="AW575"/>
      <c r="FY575" s="213">
        <v>570</v>
      </c>
      <c r="FZ575">
        <v>46.691101142625406</v>
      </c>
      <c r="GA575">
        <v>48.294835403898652</v>
      </c>
      <c r="GB575">
        <v>8.9839413598072007</v>
      </c>
      <c r="GC575">
        <v>4.1018382681547338</v>
      </c>
      <c r="GD575">
        <v>4.4679270515775151</v>
      </c>
      <c r="GE575">
        <v>8.8433498100040229</v>
      </c>
      <c r="GF575">
        <v>14.873558789124866</v>
      </c>
      <c r="GG575">
        <v>9.9478174467819986</v>
      </c>
      <c r="GH575">
        <v>9.8681679174696555</v>
      </c>
      <c r="GI575">
        <v>16.184321583582655</v>
      </c>
      <c r="GJ575"/>
      <c r="GK575"/>
      <c r="GL575"/>
      <c r="GM575"/>
      <c r="GN575" s="208"/>
      <c r="GO575" s="208"/>
      <c r="GP575" s="208"/>
      <c r="GQ575" s="208"/>
      <c r="GR575" s="208"/>
      <c r="GS575" s="208"/>
      <c r="GT575" s="208"/>
      <c r="GU575" s="213">
        <v>570</v>
      </c>
    </row>
    <row r="576" spans="1:203" s="7" customFormat="1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4"/>
      <c r="AB576" s="4"/>
      <c r="AC576" s="4"/>
      <c r="AD576" s="4"/>
      <c r="AE576" s="4"/>
      <c r="AF576" s="81"/>
      <c r="AG576" s="81"/>
      <c r="AH576" s="81"/>
      <c r="AI576" s="4"/>
      <c r="AJ576" s="81"/>
      <c r="AK576" s="81"/>
      <c r="AL576" s="81"/>
      <c r="AM576" s="43">
        <v>560</v>
      </c>
      <c r="AN576">
        <v>333.56022591648434</v>
      </c>
      <c r="AO576">
        <v>25.043434247716078</v>
      </c>
      <c r="AP576">
        <v>92.69580454266351</v>
      </c>
      <c r="AQ576">
        <v>171.31502885751257</v>
      </c>
      <c r="AR576">
        <v>25.764937931528955</v>
      </c>
      <c r="AS576">
        <v>246.09501048153817</v>
      </c>
      <c r="AT576">
        <v>11.319270641805232</v>
      </c>
      <c r="AU576">
        <v>31.758159850838435</v>
      </c>
      <c r="AV576"/>
      <c r="AW576"/>
      <c r="FY576" s="213">
        <v>571</v>
      </c>
      <c r="FZ576">
        <v>45.542620085064939</v>
      </c>
      <c r="GA576">
        <v>70.318896707895064</v>
      </c>
      <c r="GB576">
        <v>20.913894031158485</v>
      </c>
      <c r="GC576">
        <v>7.4883001063242336</v>
      </c>
      <c r="GD576">
        <v>6.4938972655740042</v>
      </c>
      <c r="GE576">
        <v>6.8316062088247405</v>
      </c>
      <c r="GF576">
        <v>17.627059326492216</v>
      </c>
      <c r="GG576">
        <v>16.552671818930353</v>
      </c>
      <c r="GH576">
        <v>15.215318174615623</v>
      </c>
      <c r="GI576">
        <v>22.120576562908447</v>
      </c>
      <c r="GJ576"/>
      <c r="GK576"/>
      <c r="GL576"/>
      <c r="GM576"/>
      <c r="GN576" s="208"/>
      <c r="GO576" s="208"/>
      <c r="GP576" s="208"/>
      <c r="GQ576" s="208"/>
      <c r="GR576" s="208"/>
      <c r="GS576" s="208"/>
      <c r="GT576" s="208"/>
      <c r="GU576" s="213">
        <v>571</v>
      </c>
    </row>
    <row r="577" spans="1:203" s="7" customFormat="1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4"/>
      <c r="AB577" s="4"/>
      <c r="AC577" s="4"/>
      <c r="AD577" s="4"/>
      <c r="AE577" s="4"/>
      <c r="AF577" s="81"/>
      <c r="AG577" s="81"/>
      <c r="AH577" s="81"/>
      <c r="AI577" s="4"/>
      <c r="AJ577" s="81"/>
      <c r="AK577" s="81"/>
      <c r="AL577" s="81"/>
      <c r="AM577" s="43">
        <v>561</v>
      </c>
      <c r="AN577">
        <v>328.65607663718828</v>
      </c>
      <c r="AO577">
        <v>28.39115772994133</v>
      </c>
      <c r="AP577">
        <v>124.41636428843086</v>
      </c>
      <c r="AQ577">
        <v>208.95370968814191</v>
      </c>
      <c r="AR577">
        <v>29.929442098142815</v>
      </c>
      <c r="AS577">
        <v>271.88403535977261</v>
      </c>
      <c r="AT577">
        <v>13.579821284636681</v>
      </c>
      <c r="AU577">
        <v>19.038774041755929</v>
      </c>
      <c r="AV577"/>
      <c r="AW577"/>
      <c r="FY577" s="213">
        <v>572</v>
      </c>
      <c r="FZ577">
        <v>73.722186217950991</v>
      </c>
      <c r="GA577">
        <v>55.383614254267918</v>
      </c>
      <c r="GB577">
        <v>3.6230414524159378</v>
      </c>
      <c r="GC577">
        <v>6.4115275793853774</v>
      </c>
      <c r="GD577">
        <v>5.5351041345606102</v>
      </c>
      <c r="GE577">
        <v>6.9316298761449451</v>
      </c>
      <c r="GF577">
        <v>32.801248244640334</v>
      </c>
      <c r="GG577">
        <v>27.58003727970717</v>
      </c>
      <c r="GH577">
        <v>17.367045640104511</v>
      </c>
      <c r="GI577">
        <v>23.569858130372584</v>
      </c>
      <c r="GJ577"/>
      <c r="GK577"/>
      <c r="GL577"/>
      <c r="GM577"/>
      <c r="GN577" s="208"/>
      <c r="GO577" s="208"/>
      <c r="GP577" s="208"/>
      <c r="GQ577" s="208"/>
      <c r="GR577" s="208"/>
      <c r="GS577" s="208"/>
      <c r="GT577" s="208"/>
      <c r="GU577" s="213">
        <v>572</v>
      </c>
    </row>
    <row r="578" spans="1:203" s="7" customFormat="1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4"/>
      <c r="AB578" s="4"/>
      <c r="AC578" s="4"/>
      <c r="AD578" s="4"/>
      <c r="AE578" s="4"/>
      <c r="AF578" s="81"/>
      <c r="AG578" s="81"/>
      <c r="AH578" s="81"/>
      <c r="AI578" s="4"/>
      <c r="AJ578" s="81"/>
      <c r="AK578" s="81"/>
      <c r="AL578" s="81"/>
      <c r="AM578" s="43">
        <v>562</v>
      </c>
      <c r="AN578">
        <v>338.89744377518281</v>
      </c>
      <c r="AO578">
        <v>23.00779530755478</v>
      </c>
      <c r="AP578">
        <v>105.36062136773307</v>
      </c>
      <c r="AQ578">
        <v>169.13615260629655</v>
      </c>
      <c r="AR578">
        <v>24.349311845950922</v>
      </c>
      <c r="AS578">
        <v>252.8581524092327</v>
      </c>
      <c r="AT578">
        <v>11.91306399422391</v>
      </c>
      <c r="AU578">
        <v>31.839907806795576</v>
      </c>
      <c r="AV578"/>
      <c r="AW578"/>
      <c r="FY578" s="213">
        <v>573</v>
      </c>
      <c r="FZ578">
        <v>48.00907418767838</v>
      </c>
      <c r="GA578">
        <v>45.578858654699943</v>
      </c>
      <c r="GB578">
        <v>9.702529149792035</v>
      </c>
      <c r="GC578">
        <v>5.1660999268320333</v>
      </c>
      <c r="GD578">
        <v>3.9725367493475217</v>
      </c>
      <c r="GE578">
        <v>4.892879494355677</v>
      </c>
      <c r="GF578">
        <v>14.346362805017367</v>
      </c>
      <c r="GG578">
        <v>13.916491903555185</v>
      </c>
      <c r="GH578">
        <v>17.351452711009145</v>
      </c>
      <c r="GI578">
        <v>17.353704848179959</v>
      </c>
      <c r="GJ578"/>
      <c r="GK578"/>
      <c r="GL578"/>
      <c r="GM578"/>
      <c r="GN578" s="208"/>
      <c r="GO578" s="208"/>
      <c r="GP578" s="208"/>
      <c r="GQ578" s="208"/>
      <c r="GR578" s="208"/>
      <c r="GS578" s="208"/>
      <c r="GT578" s="208"/>
      <c r="GU578" s="213">
        <v>573</v>
      </c>
    </row>
    <row r="579" spans="1:203" s="7" customFormat="1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4"/>
      <c r="AB579" s="4"/>
      <c r="AC579" s="4"/>
      <c r="AD579" s="4"/>
      <c r="AE579" s="4"/>
      <c r="AF579" s="81"/>
      <c r="AG579" s="81"/>
      <c r="AH579" s="81"/>
      <c r="AI579" s="4"/>
      <c r="AJ579" s="81"/>
      <c r="AK579" s="81"/>
      <c r="AL579" s="81"/>
      <c r="AM579" s="43">
        <v>563</v>
      </c>
      <c r="AN579">
        <v>360.87034501186633</v>
      </c>
      <c r="AO579">
        <v>25.718464166830081</v>
      </c>
      <c r="AP579">
        <v>112.26916835982226</v>
      </c>
      <c r="AQ579">
        <v>184.04993604812356</v>
      </c>
      <c r="AR579">
        <v>25.393179244374831</v>
      </c>
      <c r="AS579">
        <v>267.96023342999951</v>
      </c>
      <c r="AT579">
        <v>13.462198197463787</v>
      </c>
      <c r="AU579">
        <v>22.041539419202472</v>
      </c>
      <c r="AV579"/>
      <c r="AW579"/>
      <c r="FY579" s="213">
        <v>574</v>
      </c>
      <c r="FZ579">
        <v>47.016257710460216</v>
      </c>
      <c r="GA579">
        <v>33.291111807045077</v>
      </c>
      <c r="GB579">
        <v>8.2561832828866901</v>
      </c>
      <c r="GC579">
        <v>6.0826276400710864</v>
      </c>
      <c r="GD579">
        <v>6.0319423163570614</v>
      </c>
      <c r="GE579">
        <v>7.9156055853510239</v>
      </c>
      <c r="GF579">
        <v>24.885460188953797</v>
      </c>
      <c r="GG579">
        <v>22.220851756853676</v>
      </c>
      <c r="GH579">
        <v>9.7152440645838904</v>
      </c>
      <c r="GI579">
        <v>18.627348273353693</v>
      </c>
      <c r="GJ579"/>
      <c r="GK579"/>
      <c r="GL579"/>
      <c r="GM579"/>
      <c r="GN579" s="208"/>
      <c r="GO579" s="208"/>
      <c r="GP579" s="208"/>
      <c r="GQ579" s="208"/>
      <c r="GR579" s="208"/>
      <c r="GS579" s="208"/>
      <c r="GT579" s="208"/>
      <c r="GU579" s="213">
        <v>574</v>
      </c>
    </row>
    <row r="580" spans="1:203" s="7" customFormat="1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4"/>
      <c r="AB580" s="4"/>
      <c r="AC580" s="4"/>
      <c r="AD580" s="4"/>
      <c r="AE580" s="4"/>
      <c r="AF580" s="81"/>
      <c r="AG580" s="81"/>
      <c r="AH580" s="81"/>
      <c r="AI580" s="4"/>
      <c r="AJ580" s="81"/>
      <c r="AK580" s="81"/>
      <c r="AL580" s="81"/>
      <c r="AM580" s="43">
        <v>564</v>
      </c>
      <c r="AN580">
        <v>267.18297314065524</v>
      </c>
      <c r="AO580">
        <v>24.378524634533299</v>
      </c>
      <c r="AP580">
        <v>39.382984660105613</v>
      </c>
      <c r="AQ580">
        <v>176.99634712049129</v>
      </c>
      <c r="AR580">
        <v>26.116252913022389</v>
      </c>
      <c r="AS580">
        <v>226.54941502828063</v>
      </c>
      <c r="AT580">
        <v>12.94236195584614</v>
      </c>
      <c r="AU580">
        <v>22.414247475951207</v>
      </c>
      <c r="AV580"/>
      <c r="AW580"/>
      <c r="FY580" s="213">
        <v>575</v>
      </c>
      <c r="FZ580">
        <v>47.107752641239166</v>
      </c>
      <c r="GA580">
        <v>50.288391203936165</v>
      </c>
      <c r="GB580">
        <v>16.714784016247688</v>
      </c>
      <c r="GC580">
        <v>7.2110840459442747</v>
      </c>
      <c r="GD580">
        <v>5.0554715004410538</v>
      </c>
      <c r="GE580">
        <v>3.7962579617964494</v>
      </c>
      <c r="GF580">
        <v>14.443658841634925</v>
      </c>
      <c r="GG580">
        <v>15.321420496007937</v>
      </c>
      <c r="GH580">
        <v>15.745434407295765</v>
      </c>
      <c r="GI580">
        <v>19.755788123610543</v>
      </c>
      <c r="GJ580"/>
      <c r="GK580"/>
      <c r="GL580"/>
      <c r="GM580"/>
      <c r="GN580" s="208"/>
      <c r="GO580" s="208"/>
      <c r="GP580" s="208"/>
      <c r="GQ580" s="208"/>
      <c r="GR580" s="208"/>
      <c r="GS580" s="208"/>
      <c r="GT580" s="208"/>
      <c r="GU580" s="213">
        <v>575</v>
      </c>
    </row>
    <row r="581" spans="1:203" s="7" customFormat="1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4"/>
      <c r="AB581" s="4"/>
      <c r="AC581" s="4"/>
      <c r="AD581" s="4"/>
      <c r="AE581" s="4"/>
      <c r="AF581" s="81"/>
      <c r="AG581" s="81"/>
      <c r="AH581" s="81"/>
      <c r="AI581" s="4"/>
      <c r="AJ581" s="81"/>
      <c r="AK581" s="81"/>
      <c r="AL581" s="81"/>
      <c r="AM581" s="43">
        <v>565</v>
      </c>
      <c r="AN581">
        <v>211.68908337600851</v>
      </c>
      <c r="AO581">
        <v>12.597486384191178</v>
      </c>
      <c r="AP581">
        <v>56.693600441566318</v>
      </c>
      <c r="AQ581">
        <v>86.143799834806927</v>
      </c>
      <c r="AR581">
        <v>14.262345825372806</v>
      </c>
      <c r="AS581">
        <v>143.59571006876521</v>
      </c>
      <c r="AT581">
        <v>7.7420742319693732</v>
      </c>
      <c r="AU581">
        <v>82.186884079978569</v>
      </c>
      <c r="AV581"/>
      <c r="AW581"/>
      <c r="FY581" s="213">
        <v>576</v>
      </c>
      <c r="FZ581">
        <v>48.656557221649905</v>
      </c>
      <c r="GA581">
        <v>50.002194556018594</v>
      </c>
      <c r="GB581">
        <v>7.1943874234208174</v>
      </c>
      <c r="GC581">
        <v>9.2445980889286581</v>
      </c>
      <c r="GD581">
        <v>8.2553705977732008</v>
      </c>
      <c r="GE581">
        <v>8.9543891983135282</v>
      </c>
      <c r="GF581">
        <v>34.938588034081178</v>
      </c>
      <c r="GG581">
        <v>26.890702895761557</v>
      </c>
      <c r="GH581">
        <v>5.7370243243617631</v>
      </c>
      <c r="GI581">
        <v>21.074220393819349</v>
      </c>
      <c r="GJ581"/>
      <c r="GK581"/>
      <c r="GL581"/>
      <c r="GM581"/>
      <c r="GN581" s="208"/>
      <c r="GO581" s="208"/>
      <c r="GP581" s="208"/>
      <c r="GQ581" s="208"/>
      <c r="GR581" s="208"/>
      <c r="GS581" s="208"/>
      <c r="GT581" s="208"/>
      <c r="GU581" s="213">
        <v>576</v>
      </c>
    </row>
    <row r="582" spans="1:203" s="7" customFormat="1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4"/>
      <c r="AB582" s="4"/>
      <c r="AC582" s="4"/>
      <c r="AD582" s="4"/>
      <c r="AE582" s="4"/>
      <c r="AF582" s="81"/>
      <c r="AG582" s="81"/>
      <c r="AH582" s="81"/>
      <c r="AI582" s="4"/>
      <c r="AJ582" s="81"/>
      <c r="AK582" s="81"/>
      <c r="AL582" s="81"/>
      <c r="AM582" s="43">
        <v>566</v>
      </c>
      <c r="AN582">
        <v>419.32929296180976</v>
      </c>
      <c r="AO582">
        <v>32.836903860013038</v>
      </c>
      <c r="AP582">
        <v>115.49394007081929</v>
      </c>
      <c r="AQ582">
        <v>235.97614872480204</v>
      </c>
      <c r="AR582">
        <v>33.054669592110891</v>
      </c>
      <c r="AS582">
        <v>317.4890648290916</v>
      </c>
      <c r="AT582">
        <v>15.089150438995171</v>
      </c>
      <c r="AU582">
        <v>-2.1210852241896632</v>
      </c>
      <c r="AV582"/>
      <c r="AW582"/>
      <c r="FY582" s="213">
        <v>577</v>
      </c>
      <c r="FZ582">
        <v>49.988879199723783</v>
      </c>
      <c r="GA582">
        <v>69.253756685163538</v>
      </c>
      <c r="GB582">
        <v>13.471522072246305</v>
      </c>
      <c r="GC582">
        <v>4.8068918878073719</v>
      </c>
      <c r="GD582">
        <v>3.6816139252361206</v>
      </c>
      <c r="GE582">
        <v>4.8730754431989141</v>
      </c>
      <c r="GF582">
        <v>25.271001908395299</v>
      </c>
      <c r="GG582">
        <v>20.520710698301041</v>
      </c>
      <c r="GH582">
        <v>23.284897841652803</v>
      </c>
      <c r="GI582">
        <v>21.690990993938986</v>
      </c>
      <c r="GJ582"/>
      <c r="GK582"/>
      <c r="GL582"/>
      <c r="GM582"/>
      <c r="GN582" s="208"/>
      <c r="GO582" s="208"/>
      <c r="GP582" s="208"/>
      <c r="GQ582" s="208"/>
      <c r="GR582" s="208"/>
      <c r="GS582" s="208"/>
      <c r="GT582" s="208"/>
      <c r="GU582" s="213">
        <v>577</v>
      </c>
    </row>
    <row r="583" spans="1:203" s="7" customFormat="1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4"/>
      <c r="AB583" s="4"/>
      <c r="AC583" s="4"/>
      <c r="AD583" s="4"/>
      <c r="AE583" s="4"/>
      <c r="AF583" s="81"/>
      <c r="AG583" s="81"/>
      <c r="AH583" s="81"/>
      <c r="AI583" s="4"/>
      <c r="AJ583" s="81"/>
      <c r="AK583" s="81"/>
      <c r="AL583" s="81"/>
      <c r="AM583" s="43">
        <v>567</v>
      </c>
      <c r="AN583">
        <v>308.84090933939979</v>
      </c>
      <c r="AO583">
        <v>27.76730054737336</v>
      </c>
      <c r="AP583">
        <v>75.387359902072745</v>
      </c>
      <c r="AQ583">
        <v>208.61522491598416</v>
      </c>
      <c r="AR583">
        <v>29.096817584016424</v>
      </c>
      <c r="AS583">
        <v>255.6883350532319</v>
      </c>
      <c r="AT583">
        <v>15.073738603280715</v>
      </c>
      <c r="AU583">
        <v>93.342880639598889</v>
      </c>
      <c r="AV583"/>
      <c r="AW583"/>
      <c r="FY583" s="213">
        <v>578</v>
      </c>
      <c r="FZ583">
        <v>46.104700452202913</v>
      </c>
      <c r="GA583">
        <v>68.314935640454124</v>
      </c>
      <c r="GB583">
        <v>15.138036226754766</v>
      </c>
      <c r="GC583">
        <v>7.3764232660435889</v>
      </c>
      <c r="GD583">
        <v>6.2467274343744776</v>
      </c>
      <c r="GE583">
        <v>4.2001773376517688</v>
      </c>
      <c r="GF583">
        <v>9.9093626827725902</v>
      </c>
      <c r="GG583">
        <v>11.216673723857214</v>
      </c>
      <c r="GH583">
        <v>24.052495416822474</v>
      </c>
      <c r="GI583">
        <v>20.435075927428926</v>
      </c>
      <c r="GJ583"/>
      <c r="GK583"/>
      <c r="GL583"/>
      <c r="GM583"/>
      <c r="GN583" s="208"/>
      <c r="GO583" s="208"/>
      <c r="GP583" s="208"/>
      <c r="GQ583" s="208"/>
      <c r="GR583" s="208"/>
      <c r="GS583" s="208"/>
      <c r="GT583" s="208"/>
      <c r="GU583" s="213">
        <v>578</v>
      </c>
    </row>
    <row r="584" spans="1:203" s="7" customFormat="1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81"/>
      <c r="AG584" s="81"/>
      <c r="AH584" s="81"/>
      <c r="AI584" s="4"/>
      <c r="AJ584" s="81"/>
      <c r="AK584" s="81"/>
      <c r="AL584" s="81"/>
      <c r="AM584" s="43">
        <v>568</v>
      </c>
      <c r="AN584">
        <v>291.78217607001693</v>
      </c>
      <c r="AO584">
        <v>28.884666136961801</v>
      </c>
      <c r="AP584">
        <v>50.326203250291769</v>
      </c>
      <c r="AQ584">
        <v>201.65426172704889</v>
      </c>
      <c r="AR584">
        <v>30.780532628135305</v>
      </c>
      <c r="AS584">
        <v>254.3319730670348</v>
      </c>
      <c r="AT584">
        <v>12.678870217277181</v>
      </c>
      <c r="AU584">
        <v>15.439915841695381</v>
      </c>
      <c r="AV584"/>
      <c r="AW584"/>
      <c r="FY584" s="213">
        <v>579</v>
      </c>
      <c r="FZ584">
        <v>51.003027445630487</v>
      </c>
      <c r="GA584">
        <v>40.098226016567288</v>
      </c>
      <c r="GB584">
        <v>12.282852749178602</v>
      </c>
      <c r="GC584">
        <v>8.4817686530751963</v>
      </c>
      <c r="GD584">
        <v>6.8235412500551176</v>
      </c>
      <c r="GE584">
        <v>4.2407550185305842</v>
      </c>
      <c r="GF584">
        <v>13.202589430513232</v>
      </c>
      <c r="GG584">
        <v>14.090519562250689</v>
      </c>
      <c r="GH584">
        <v>28.45422006095496</v>
      </c>
      <c r="GI584">
        <v>21.831558228412277</v>
      </c>
      <c r="GJ584"/>
      <c r="GK584"/>
      <c r="GL584"/>
      <c r="GM584"/>
      <c r="GN584" s="208"/>
      <c r="GO584" s="208"/>
      <c r="GP584" s="208"/>
      <c r="GQ584" s="208"/>
      <c r="GR584" s="208"/>
      <c r="GS584" s="208"/>
      <c r="GT584" s="208"/>
      <c r="GU584" s="213">
        <v>579</v>
      </c>
    </row>
    <row r="585" spans="1:203" s="7" customFormat="1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81"/>
      <c r="AG585" s="81"/>
      <c r="AH585" s="81"/>
      <c r="AI585" s="4"/>
      <c r="AJ585" s="81"/>
      <c r="AK585" s="81"/>
      <c r="AL585" s="81"/>
      <c r="AM585" s="43">
        <v>569</v>
      </c>
      <c r="AN585">
        <v>342.25676048919138</v>
      </c>
      <c r="AO585">
        <v>31.490734802779258</v>
      </c>
      <c r="AP585">
        <v>126.79516288657342</v>
      </c>
      <c r="AQ585">
        <v>232.85854739317367</v>
      </c>
      <c r="AR585">
        <v>31.741610701880628</v>
      </c>
      <c r="AS585">
        <v>264.18678909076243</v>
      </c>
      <c r="AT585">
        <v>14.46306246286486</v>
      </c>
      <c r="AU585">
        <v>14.669555217297152</v>
      </c>
      <c r="AV585"/>
      <c r="AW585"/>
      <c r="FY585" s="213">
        <v>580</v>
      </c>
      <c r="FZ585">
        <v>69.193314867135271</v>
      </c>
      <c r="GA585">
        <v>74.244771262161336</v>
      </c>
      <c r="GB585">
        <v>11.345462288455256</v>
      </c>
      <c r="GC585">
        <v>4.3750991143033122</v>
      </c>
      <c r="GD585">
        <v>3.0502947338935691</v>
      </c>
      <c r="GE585">
        <v>4.9458401709215893</v>
      </c>
      <c r="GF585">
        <v>28.348708985857428</v>
      </c>
      <c r="GG585">
        <v>23.933187777604974</v>
      </c>
      <c r="GH585">
        <v>19.925658914681588</v>
      </c>
      <c r="GI585">
        <v>23.466082491218415</v>
      </c>
      <c r="GJ585"/>
      <c r="GK585"/>
      <c r="GL585"/>
      <c r="GM585"/>
      <c r="GN585" s="208"/>
      <c r="GO585" s="208"/>
      <c r="GP585" s="208"/>
      <c r="GQ585" s="208"/>
      <c r="GR585" s="208"/>
      <c r="GS585" s="208"/>
      <c r="GT585" s="208"/>
      <c r="GU585" s="213">
        <v>580</v>
      </c>
    </row>
    <row r="586" spans="1:203" s="7" customFormat="1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81"/>
      <c r="AG586" s="81"/>
      <c r="AH586" s="81"/>
      <c r="AI586" s="4"/>
      <c r="AJ586" s="81"/>
      <c r="AK586" s="81"/>
      <c r="AL586" s="81"/>
      <c r="AM586" s="43">
        <v>570</v>
      </c>
      <c r="AN586">
        <v>304.29516692878462</v>
      </c>
      <c r="AO586">
        <v>23.362949523205273</v>
      </c>
      <c r="AP586">
        <v>65.076500226905807</v>
      </c>
      <c r="AQ586">
        <v>172.25685877302675</v>
      </c>
      <c r="AR586">
        <v>23.897349114599571</v>
      </c>
      <c r="AS586">
        <v>207.05947905486059</v>
      </c>
      <c r="AT586">
        <v>10.952910231533245</v>
      </c>
      <c r="AU586">
        <v>19.495824781641282</v>
      </c>
      <c r="AV586"/>
      <c r="AW586"/>
      <c r="FY586" s="213">
        <v>581</v>
      </c>
      <c r="FZ586">
        <v>52.799226465571898</v>
      </c>
      <c r="GA586">
        <v>84.956585262184191</v>
      </c>
      <c r="GB586">
        <v>24.972095743145648</v>
      </c>
      <c r="GC586">
        <v>5.9770718063288815</v>
      </c>
      <c r="GD586">
        <v>4.9002277346181007</v>
      </c>
      <c r="GE586">
        <v>6.4744609434807554</v>
      </c>
      <c r="GF586">
        <v>28.153366527079555</v>
      </c>
      <c r="GG586">
        <v>25.515731843698468</v>
      </c>
      <c r="GH586">
        <v>16.487701965737937</v>
      </c>
      <c r="GI586">
        <v>25.656726286645821</v>
      </c>
      <c r="GJ586"/>
      <c r="GK586"/>
      <c r="GL586"/>
      <c r="GM586"/>
      <c r="GN586" s="208"/>
      <c r="GO586" s="208"/>
      <c r="GP586" s="208"/>
      <c r="GQ586" s="208"/>
      <c r="GR586" s="208"/>
      <c r="GS586" s="208"/>
      <c r="GT586" s="208"/>
      <c r="GU586" s="213">
        <v>581</v>
      </c>
    </row>
    <row r="587" spans="1:203" s="7" customFormat="1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81"/>
      <c r="AG587" s="81"/>
      <c r="AH587" s="81"/>
      <c r="AI587" s="4"/>
      <c r="AJ587" s="81"/>
      <c r="AK587" s="81"/>
      <c r="AL587" s="81"/>
      <c r="AM587" s="43">
        <v>571</v>
      </c>
      <c r="AN587">
        <v>367.03411280728835</v>
      </c>
      <c r="AO587">
        <v>33.127256287012585</v>
      </c>
      <c r="AP587">
        <v>97.503740908566755</v>
      </c>
      <c r="AQ587">
        <v>229.10484028778808</v>
      </c>
      <c r="AR587">
        <v>33.285622752168649</v>
      </c>
      <c r="AS587">
        <v>302.03709084155514</v>
      </c>
      <c r="AT587">
        <v>13.739571551848885</v>
      </c>
      <c r="AU587">
        <v>5.3806375612997641</v>
      </c>
      <c r="AV587"/>
      <c r="AW587"/>
      <c r="FY587" s="213">
        <v>582</v>
      </c>
      <c r="FZ587">
        <v>39.86134599376966</v>
      </c>
      <c r="GA587">
        <v>37.989852200668672</v>
      </c>
      <c r="GB587">
        <v>7.9996985365477986</v>
      </c>
      <c r="GC587">
        <v>5.7202949232793809</v>
      </c>
      <c r="GD587">
        <v>5.0185064545408045</v>
      </c>
      <c r="GE587">
        <v>6.7273561278464129</v>
      </c>
      <c r="GF587">
        <v>17.166727337160733</v>
      </c>
      <c r="GG587">
        <v>13.165328511426692</v>
      </c>
      <c r="GH587">
        <v>13.649346268931778</v>
      </c>
      <c r="GI587">
        <v>16.308134334829237</v>
      </c>
      <c r="GJ587"/>
      <c r="GK587"/>
      <c r="GL587"/>
      <c r="GM587"/>
      <c r="GN587" s="208"/>
      <c r="GO587" s="208"/>
      <c r="GP587" s="208"/>
      <c r="GQ587" s="208"/>
      <c r="GR587" s="208"/>
      <c r="GS587" s="208"/>
      <c r="GT587" s="208"/>
      <c r="GU587" s="213">
        <v>582</v>
      </c>
    </row>
    <row r="588" spans="1:203" s="7" customFormat="1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81"/>
      <c r="AG588" s="81"/>
      <c r="AH588" s="81"/>
      <c r="AI588" s="4"/>
      <c r="AJ588" s="81"/>
      <c r="AK588" s="81"/>
      <c r="AL588" s="81"/>
      <c r="AM588" s="43">
        <v>572</v>
      </c>
      <c r="AN588">
        <v>410.23626539539299</v>
      </c>
      <c r="AO588">
        <v>32.332783637903404</v>
      </c>
      <c r="AP588">
        <v>91.643362966210617</v>
      </c>
      <c r="AQ588">
        <v>252.92529280955037</v>
      </c>
      <c r="AR588">
        <v>33.655319960649301</v>
      </c>
      <c r="AS588">
        <v>333.48011835266703</v>
      </c>
      <c r="AT588">
        <v>17.631588316582626</v>
      </c>
      <c r="AU588">
        <v>24.579337360824169</v>
      </c>
      <c r="AV588"/>
      <c r="AW588"/>
      <c r="FY588" s="213">
        <v>583</v>
      </c>
      <c r="FZ588">
        <v>56.968676617357993</v>
      </c>
      <c r="GA588">
        <v>56.699548694549044</v>
      </c>
      <c r="GB588">
        <v>8.7811489979753734</v>
      </c>
      <c r="GC588">
        <v>8.3039395065180734</v>
      </c>
      <c r="GD588">
        <v>6.043716011291334</v>
      </c>
      <c r="GE588">
        <v>4.6624422272327344</v>
      </c>
      <c r="GF588">
        <v>17.974254433165424</v>
      </c>
      <c r="GG588">
        <v>15.293639090950659</v>
      </c>
      <c r="GH588">
        <v>11.825026460246544</v>
      </c>
      <c r="GI588">
        <v>19.380050959588868</v>
      </c>
      <c r="GJ588"/>
      <c r="GK588"/>
      <c r="GL588"/>
      <c r="GM588"/>
      <c r="GN588" s="208"/>
      <c r="GO588" s="208"/>
      <c r="GP588" s="208"/>
      <c r="GQ588" s="208"/>
      <c r="GR588" s="208"/>
      <c r="GS588" s="208"/>
      <c r="GT588" s="208"/>
      <c r="GU588" s="213">
        <v>583</v>
      </c>
    </row>
    <row r="589" spans="1:203" s="7" customFormat="1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81"/>
      <c r="AG589" s="81"/>
      <c r="AH589" s="81"/>
      <c r="AI589" s="4"/>
      <c r="AJ589" s="81"/>
      <c r="AK589" s="81"/>
      <c r="AL589" s="81"/>
      <c r="AM589" s="43">
        <v>573</v>
      </c>
      <c r="AN589">
        <v>281.31108405726945</v>
      </c>
      <c r="AO589">
        <v>24.294597050254087</v>
      </c>
      <c r="AP589">
        <v>111.84490180915776</v>
      </c>
      <c r="AQ589">
        <v>180.2899904304673</v>
      </c>
      <c r="AR589">
        <v>25.593038773913758</v>
      </c>
      <c r="AS589">
        <v>224.07176905677863</v>
      </c>
      <c r="AT589">
        <v>12.004459966308531</v>
      </c>
      <c r="AU589">
        <v>19.565826970905018</v>
      </c>
      <c r="AV589"/>
      <c r="AW589"/>
      <c r="FY589" s="213">
        <v>584</v>
      </c>
      <c r="FZ589">
        <v>56.256830861737328</v>
      </c>
      <c r="GA589">
        <v>59.20532212516467</v>
      </c>
      <c r="GB589">
        <v>12.608506414089764</v>
      </c>
      <c r="GC589">
        <v>5.1030333538845589</v>
      </c>
      <c r="GD589">
        <v>4.7764711529278898</v>
      </c>
      <c r="GE589">
        <v>6.1444900004570346</v>
      </c>
      <c r="GF589">
        <v>7.1219175960426888</v>
      </c>
      <c r="GG589">
        <v>6.6582385360177669</v>
      </c>
      <c r="GH589">
        <v>6.6920007469015541</v>
      </c>
      <c r="GI589">
        <v>16.931973717530333</v>
      </c>
      <c r="GJ589"/>
      <c r="GK589"/>
      <c r="GL589"/>
      <c r="GM589"/>
      <c r="GN589" s="208"/>
      <c r="GO589" s="208"/>
      <c r="GP589" s="208"/>
      <c r="GQ589" s="208"/>
      <c r="GR589" s="208"/>
      <c r="GS589" s="208"/>
      <c r="GT589" s="208"/>
      <c r="GU589" s="213">
        <v>584</v>
      </c>
    </row>
    <row r="590" spans="1:203" s="7" customFormat="1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81"/>
      <c r="AG590" s="81"/>
      <c r="AH590" s="81"/>
      <c r="AI590" s="4"/>
      <c r="AJ590" s="81"/>
      <c r="AK590" s="81"/>
      <c r="AL590" s="81"/>
      <c r="AM590" s="43">
        <v>574</v>
      </c>
      <c r="AN590">
        <v>372.9215719405023</v>
      </c>
      <c r="AO590">
        <v>26.007259656746676</v>
      </c>
      <c r="AP590">
        <v>97.978577850676402</v>
      </c>
      <c r="AQ590">
        <v>184.04263262591621</v>
      </c>
      <c r="AR590">
        <v>27.077079231372515</v>
      </c>
      <c r="AS590">
        <v>280.40710010574156</v>
      </c>
      <c r="AT590">
        <v>14.021718669847656</v>
      </c>
      <c r="AU590">
        <v>16.898455962495618</v>
      </c>
      <c r="AV590"/>
      <c r="AW590"/>
      <c r="FY590" s="213">
        <v>585</v>
      </c>
      <c r="FZ590">
        <v>43.694939872187668</v>
      </c>
      <c r="GA590">
        <v>50.834338894411445</v>
      </c>
      <c r="GB590">
        <v>12.118760208495292</v>
      </c>
      <c r="GC590">
        <v>7.9757983569358117</v>
      </c>
      <c r="GD590">
        <v>6.2019788244709604</v>
      </c>
      <c r="GE590">
        <v>3.4603070318764</v>
      </c>
      <c r="GF590">
        <v>8.1624380116997006</v>
      </c>
      <c r="GG590">
        <v>9.0513021315839541</v>
      </c>
      <c r="GH590">
        <v>9.3226401165734369</v>
      </c>
      <c r="GI590">
        <v>16.504049393939486</v>
      </c>
      <c r="GJ590"/>
      <c r="GK590"/>
      <c r="GL590"/>
      <c r="GM590"/>
      <c r="GN590" s="208"/>
      <c r="GO590" s="208"/>
      <c r="GP590" s="208"/>
      <c r="GQ590" s="208"/>
      <c r="GR590" s="208"/>
      <c r="GS590" s="208"/>
      <c r="GT590" s="208"/>
      <c r="GU590" s="213">
        <v>585</v>
      </c>
    </row>
    <row r="591" spans="1:203" s="7" customFormat="1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81"/>
      <c r="AG591" s="81"/>
      <c r="AH591" s="81"/>
      <c r="AI591" s="4"/>
      <c r="AJ591" s="81"/>
      <c r="AK591" s="81"/>
      <c r="AL591" s="81"/>
      <c r="AM591" s="43">
        <v>575</v>
      </c>
      <c r="AN591">
        <v>312.9566060564714</v>
      </c>
      <c r="AO591">
        <v>28.248364249572141</v>
      </c>
      <c r="AP591">
        <v>98.617406013044501</v>
      </c>
      <c r="AQ591">
        <v>195.44004323815398</v>
      </c>
      <c r="AR591">
        <v>29.989937301803781</v>
      </c>
      <c r="AS591">
        <v>243.64669588006376</v>
      </c>
      <c r="AT591">
        <v>12.7219925848035</v>
      </c>
      <c r="AU591">
        <v>158.26466216476675</v>
      </c>
      <c r="AV591"/>
      <c r="AW591"/>
      <c r="FY591" s="213">
        <v>586</v>
      </c>
      <c r="FZ591">
        <v>64.350854428685864</v>
      </c>
      <c r="GA591">
        <v>72.715419907538063</v>
      </c>
      <c r="GB591">
        <v>16.25627563933244</v>
      </c>
      <c r="GC591">
        <v>5.9690513032705219</v>
      </c>
      <c r="GD591">
        <v>4.9580658649861995</v>
      </c>
      <c r="GE591">
        <v>6.2290578005045196</v>
      </c>
      <c r="GF591">
        <v>12.793157400987225</v>
      </c>
      <c r="GG591">
        <v>10.204384188607417</v>
      </c>
      <c r="GH591">
        <v>24.113157617906317</v>
      </c>
      <c r="GI591">
        <v>23.251880346518885</v>
      </c>
      <c r="GJ591"/>
      <c r="GK591"/>
      <c r="GL591"/>
      <c r="GM591"/>
      <c r="GN591" s="208"/>
      <c r="GO591" s="208"/>
      <c r="GP591" s="208"/>
      <c r="GQ591" s="208"/>
      <c r="GR591" s="208"/>
      <c r="GS591" s="208"/>
      <c r="GT591" s="208"/>
      <c r="GU591" s="213">
        <v>586</v>
      </c>
    </row>
    <row r="592" spans="1:203" s="7" customFormat="1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81"/>
      <c r="AG592" s="81"/>
      <c r="AH592" s="81"/>
      <c r="AI592" s="4"/>
      <c r="AJ592" s="81"/>
      <c r="AK592" s="81"/>
      <c r="AL592" s="81"/>
      <c r="AM592" s="43">
        <v>576</v>
      </c>
      <c r="AN592">
        <v>461.21134278630234</v>
      </c>
      <c r="AO592">
        <v>31.121632030921056</v>
      </c>
      <c r="AP592">
        <v>140.98953429179613</v>
      </c>
      <c r="AQ592">
        <v>220.94803273412853</v>
      </c>
      <c r="AR592">
        <v>30.035391723469239</v>
      </c>
      <c r="AS592">
        <v>320.45608230304254</v>
      </c>
      <c r="AT592">
        <v>15.88832917956489</v>
      </c>
      <c r="AU592">
        <v>54.811744496705117</v>
      </c>
      <c r="AV592"/>
      <c r="AW592"/>
      <c r="FY592" s="213">
        <v>587</v>
      </c>
      <c r="FZ592">
        <v>45.702159515361259</v>
      </c>
      <c r="GA592">
        <v>25.12107477903271</v>
      </c>
      <c r="GB592">
        <v>3.6627062272879547</v>
      </c>
      <c r="GC592">
        <v>4.8279962401560912</v>
      </c>
      <c r="GD592">
        <v>3.085109978389855</v>
      </c>
      <c r="GE592">
        <v>4.1591468660596949</v>
      </c>
      <c r="GF592">
        <v>16.064263043577917</v>
      </c>
      <c r="GG592">
        <v>13.988895607442393</v>
      </c>
      <c r="GH592">
        <v>17.717395660979975</v>
      </c>
      <c r="GI592">
        <v>15.071288928932988</v>
      </c>
      <c r="GJ592"/>
      <c r="GK592"/>
      <c r="GL592"/>
      <c r="GM592"/>
      <c r="GN592" s="208"/>
      <c r="GO592" s="208"/>
      <c r="GP592" s="208"/>
      <c r="GQ592" s="208"/>
      <c r="GR592" s="208"/>
      <c r="GS592" s="208"/>
      <c r="GT592" s="208"/>
      <c r="GU592" s="213">
        <v>587</v>
      </c>
    </row>
    <row r="593" spans="1:203" s="7" customFormat="1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81"/>
      <c r="AG593" s="81"/>
      <c r="AH593" s="81"/>
      <c r="AI593" s="4"/>
      <c r="AJ593" s="81"/>
      <c r="AK593" s="81"/>
      <c r="AL593" s="81"/>
      <c r="AM593" s="43">
        <v>577</v>
      </c>
      <c r="AN593">
        <v>324.44001390386575</v>
      </c>
      <c r="AO593">
        <v>31.251519540457547</v>
      </c>
      <c r="AP593">
        <v>115.03548564377758</v>
      </c>
      <c r="AQ593">
        <v>236.84334065566415</v>
      </c>
      <c r="AR593">
        <v>31.944197391111228</v>
      </c>
      <c r="AS593">
        <v>264.26560786290651</v>
      </c>
      <c r="AT593">
        <v>14.464228574486802</v>
      </c>
      <c r="AU593">
        <v>-0.75116196592516715</v>
      </c>
      <c r="AV593"/>
      <c r="AW593"/>
      <c r="FY593" s="213">
        <v>588</v>
      </c>
      <c r="FZ593">
        <v>66.255893700596815</v>
      </c>
      <c r="GA593">
        <v>56.185744099586174</v>
      </c>
      <c r="GB593">
        <v>6.5736554788425785</v>
      </c>
      <c r="GC593">
        <v>7.4064188435908154</v>
      </c>
      <c r="GD593">
        <v>6.1279395250687116</v>
      </c>
      <c r="GE593">
        <v>5.7385982916540899</v>
      </c>
      <c r="GF593">
        <v>29.49162703814866</v>
      </c>
      <c r="GG593">
        <v>24.822300919402366</v>
      </c>
      <c r="GH593">
        <v>13.744846677471077</v>
      </c>
      <c r="GI593">
        <v>22.552997915843711</v>
      </c>
      <c r="GJ593"/>
      <c r="GK593"/>
      <c r="GL593"/>
      <c r="GM593"/>
      <c r="GN593" s="208"/>
      <c r="GO593" s="208"/>
      <c r="GP593" s="208"/>
      <c r="GQ593" s="208"/>
      <c r="GR593" s="208"/>
      <c r="GS593" s="208"/>
      <c r="GT593" s="208"/>
      <c r="GU593" s="213">
        <v>588</v>
      </c>
    </row>
    <row r="594" spans="1:203" s="7" customFormat="1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81"/>
      <c r="AG594" s="81"/>
      <c r="AH594" s="81"/>
      <c r="AI594" s="4"/>
      <c r="AJ594" s="81"/>
      <c r="AK594" s="81"/>
      <c r="AL594" s="81"/>
      <c r="AM594" s="43">
        <v>578</v>
      </c>
      <c r="AN594">
        <v>328.18343256137973</v>
      </c>
      <c r="AO594">
        <v>29.704234442830359</v>
      </c>
      <c r="AP594">
        <v>113.4415654236679</v>
      </c>
      <c r="AQ594">
        <v>212.99460810836283</v>
      </c>
      <c r="AR594">
        <v>30.437281826848491</v>
      </c>
      <c r="AS594">
        <v>272.68184154091796</v>
      </c>
      <c r="AT594">
        <v>12.598655912133173</v>
      </c>
      <c r="AU594">
        <v>-16.495072627723388</v>
      </c>
      <c r="AV594"/>
      <c r="AW594"/>
      <c r="FY594" s="213">
        <v>589</v>
      </c>
      <c r="FZ594">
        <v>25.729091590169887</v>
      </c>
      <c r="GA594">
        <v>37.597758548763409</v>
      </c>
      <c r="GB594">
        <v>18.199603860255099</v>
      </c>
      <c r="GC594">
        <v>5.1752790479990809</v>
      </c>
      <c r="GD594">
        <v>3.2376155041268149</v>
      </c>
      <c r="GE594">
        <v>4.1453754441310098</v>
      </c>
      <c r="GF594">
        <v>8.6771020280528397</v>
      </c>
      <c r="GG594">
        <v>6.6195947134272028</v>
      </c>
      <c r="GH594">
        <v>12.355266395375688</v>
      </c>
      <c r="GI594">
        <v>14.444598315659304</v>
      </c>
      <c r="GJ594"/>
      <c r="GK594"/>
      <c r="GL594"/>
      <c r="GM594"/>
      <c r="GN594" s="208"/>
      <c r="GO594" s="208"/>
      <c r="GP594" s="208"/>
      <c r="GQ594" s="208"/>
      <c r="GR594" s="208"/>
      <c r="GS594" s="208"/>
      <c r="GT594" s="208"/>
      <c r="GU594" s="213">
        <v>589</v>
      </c>
    </row>
    <row r="595" spans="1:203" s="7" customFormat="1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81"/>
      <c r="AG595" s="81"/>
      <c r="AH595" s="81"/>
      <c r="AI595" s="4"/>
      <c r="AJ595" s="81"/>
      <c r="AK595" s="81"/>
      <c r="AL595" s="81"/>
      <c r="AM595" s="43">
        <v>579</v>
      </c>
      <c r="AN595">
        <v>322.21426569391576</v>
      </c>
      <c r="AO595">
        <v>28.641776028310197</v>
      </c>
      <c r="AP595">
        <v>79.407982716902069</v>
      </c>
      <c r="AQ595">
        <v>200.5090584151684</v>
      </c>
      <c r="AR595">
        <v>32.133252343801672</v>
      </c>
      <c r="AS595">
        <v>269.88009449254639</v>
      </c>
      <c r="AT595">
        <v>13.94068774984663</v>
      </c>
      <c r="AU595">
        <v>28.479579118564871</v>
      </c>
      <c r="AV595"/>
      <c r="AW595"/>
      <c r="FY595" s="213">
        <v>590</v>
      </c>
      <c r="FZ595">
        <v>41.34558482648324</v>
      </c>
      <c r="GA595">
        <v>91.147116193170476</v>
      </c>
      <c r="GB595">
        <v>24.939875103056096</v>
      </c>
      <c r="GC595">
        <v>6.4628435565743683</v>
      </c>
      <c r="GD595">
        <v>6.2223932734383336</v>
      </c>
      <c r="GE595">
        <v>8.360353184446268</v>
      </c>
      <c r="GF595">
        <v>15.669015160575567</v>
      </c>
      <c r="GG595">
        <v>13.365978573793178</v>
      </c>
      <c r="GH595">
        <v>14.913912378753459</v>
      </c>
      <c r="GI595">
        <v>22.377169507887537</v>
      </c>
      <c r="GJ595"/>
      <c r="GK595"/>
      <c r="GL595"/>
      <c r="GM595"/>
      <c r="GN595" s="208"/>
      <c r="GO595" s="208"/>
      <c r="GP595" s="208"/>
      <c r="GQ595" s="208"/>
      <c r="GR595" s="208"/>
      <c r="GS595" s="208"/>
      <c r="GT595" s="208"/>
      <c r="GU595" s="213">
        <v>590</v>
      </c>
    </row>
    <row r="596" spans="1:203" s="7" customFormat="1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81"/>
      <c r="AG596" s="81"/>
      <c r="AH596" s="81"/>
      <c r="AI596" s="4"/>
      <c r="AJ596" s="81"/>
      <c r="AK596" s="81"/>
      <c r="AL596" s="81"/>
      <c r="AM596" s="43">
        <v>580</v>
      </c>
      <c r="AN596">
        <v>336.18083799711411</v>
      </c>
      <c r="AO596">
        <v>33.498180567256426</v>
      </c>
      <c r="AP596">
        <v>119.68740090940541</v>
      </c>
      <c r="AQ596">
        <v>262.82842060623273</v>
      </c>
      <c r="AR596">
        <v>34.451930603563589</v>
      </c>
      <c r="AS596">
        <v>293.59402350229101</v>
      </c>
      <c r="AT596">
        <v>16.675750756129961</v>
      </c>
      <c r="AU596">
        <v>3.0684397051666998</v>
      </c>
      <c r="AV596"/>
      <c r="AW596"/>
      <c r="FY596" s="213">
        <v>591</v>
      </c>
      <c r="FZ596">
        <v>45.004588837397584</v>
      </c>
      <c r="GA596">
        <v>71.949695118371949</v>
      </c>
      <c r="GB596">
        <v>18.951162103548082</v>
      </c>
      <c r="GC596">
        <v>6.4860207838690211</v>
      </c>
      <c r="GD596">
        <v>5.0458468056807595</v>
      </c>
      <c r="GE596">
        <v>5.4760810861552347</v>
      </c>
      <c r="GF596">
        <v>16.202408218940271</v>
      </c>
      <c r="GG596">
        <v>11.99702075762918</v>
      </c>
      <c r="GH596">
        <v>5.3347400077263831</v>
      </c>
      <c r="GI596">
        <v>18.881213794783246</v>
      </c>
      <c r="GJ596"/>
      <c r="GK596"/>
      <c r="GL596"/>
      <c r="GM596"/>
      <c r="GN596" s="208"/>
      <c r="GO596" s="208"/>
      <c r="GP596" s="208"/>
      <c r="GQ596" s="208"/>
      <c r="GR596" s="208"/>
      <c r="GS596" s="208"/>
      <c r="GT596" s="208"/>
      <c r="GU596" s="213">
        <v>591</v>
      </c>
    </row>
    <row r="597" spans="1:203" s="7" customFormat="1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81"/>
      <c r="AG597" s="81"/>
      <c r="AH597" s="81"/>
      <c r="AI597" s="4"/>
      <c r="AJ597" s="81"/>
      <c r="AK597" s="81"/>
      <c r="AL597" s="81"/>
      <c r="AM597" s="43">
        <v>581</v>
      </c>
      <c r="AN597">
        <v>410.47709266230169</v>
      </c>
      <c r="AO597">
        <v>38.685530174548447</v>
      </c>
      <c r="AP597">
        <v>95.93659642083621</v>
      </c>
      <c r="AQ597">
        <v>275.89319457849126</v>
      </c>
      <c r="AR597">
        <v>38.683166388785402</v>
      </c>
      <c r="AS597">
        <v>344.39301390766497</v>
      </c>
      <c r="AT597">
        <v>15.003936626061718</v>
      </c>
      <c r="AU597">
        <v>-9.9267497394383213</v>
      </c>
      <c r="AV597"/>
      <c r="AW597"/>
      <c r="FY597" s="213">
        <v>592</v>
      </c>
      <c r="FZ597">
        <v>41.889812865466098</v>
      </c>
      <c r="GA597">
        <v>55.372060557090769</v>
      </c>
      <c r="GB597">
        <v>16.608606952531421</v>
      </c>
      <c r="GC597">
        <v>6.0557932771952077</v>
      </c>
      <c r="GD597">
        <v>4.9012206651029029</v>
      </c>
      <c r="GE597">
        <v>5.3120716143441271</v>
      </c>
      <c r="GF597">
        <v>21.184618883514698</v>
      </c>
      <c r="GG597">
        <v>18.036366993244219</v>
      </c>
      <c r="GH597">
        <v>10.980637525908742</v>
      </c>
      <c r="GI597">
        <v>19.369152682142314</v>
      </c>
      <c r="GJ597"/>
      <c r="GK597"/>
      <c r="GL597"/>
      <c r="GM597"/>
      <c r="GN597" s="208"/>
      <c r="GO597" s="208"/>
      <c r="GP597" s="208"/>
      <c r="GQ597" s="208"/>
      <c r="GR597" s="208"/>
      <c r="GS597" s="208"/>
      <c r="GT597" s="208"/>
      <c r="GU597" s="213">
        <v>592</v>
      </c>
    </row>
    <row r="598" spans="1:203" s="7" customFormat="1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81"/>
      <c r="AG598" s="81"/>
      <c r="AH598" s="81"/>
      <c r="AI598" s="4"/>
      <c r="AJ598" s="81"/>
      <c r="AK598" s="81"/>
      <c r="AL598" s="81"/>
      <c r="AM598" s="43">
        <v>582</v>
      </c>
      <c r="AN598">
        <v>291.00295821464556</v>
      </c>
      <c r="AO598">
        <v>22.770207034405242</v>
      </c>
      <c r="AP598">
        <v>90.280303172287759</v>
      </c>
      <c r="AQ598">
        <v>163.60659068900117</v>
      </c>
      <c r="AR598">
        <v>23.580887363220437</v>
      </c>
      <c r="AS598">
        <v>219.95514743022278</v>
      </c>
      <c r="AT598">
        <v>11.355052940174245</v>
      </c>
      <c r="AU598">
        <v>37.917502775249581</v>
      </c>
      <c r="AV598"/>
      <c r="AW598"/>
      <c r="FY598" s="213">
        <v>593</v>
      </c>
      <c r="FZ598">
        <v>45.895795279838822</v>
      </c>
      <c r="GA598">
        <v>53.367301138964599</v>
      </c>
      <c r="GB598">
        <v>11.018557337727279</v>
      </c>
      <c r="GC598">
        <v>7.0938012992255608</v>
      </c>
      <c r="GD598">
        <v>7.4975834303775732</v>
      </c>
      <c r="GE598">
        <v>7.057174226778077</v>
      </c>
      <c r="GF598">
        <v>13.217523052140137</v>
      </c>
      <c r="GG598">
        <v>13.029867722544461</v>
      </c>
      <c r="GH598">
        <v>16.82680587506481</v>
      </c>
      <c r="GI598">
        <v>19.293931909851612</v>
      </c>
      <c r="GJ598"/>
      <c r="GK598"/>
      <c r="GL598"/>
      <c r="GM598"/>
      <c r="GN598" s="208"/>
      <c r="GO598" s="208"/>
      <c r="GP598" s="208"/>
      <c r="GQ598" s="208"/>
      <c r="GR598" s="208"/>
      <c r="GS598" s="208"/>
      <c r="GT598" s="208"/>
      <c r="GU598" s="213">
        <v>593</v>
      </c>
    </row>
    <row r="599" spans="1:203" s="7" customFormat="1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81"/>
      <c r="AG599" s="81"/>
      <c r="AH599" s="81"/>
      <c r="AI599" s="4"/>
      <c r="AJ599" s="81"/>
      <c r="AK599" s="81"/>
      <c r="AL599" s="81"/>
      <c r="AM599" s="43">
        <v>583</v>
      </c>
      <c r="AN599">
        <v>351.27834285520254</v>
      </c>
      <c r="AO599">
        <v>27.413226012806298</v>
      </c>
      <c r="AP599">
        <v>93.908244457538132</v>
      </c>
      <c r="AQ599">
        <v>205.93244299887601</v>
      </c>
      <c r="AR599">
        <v>27.657967288086741</v>
      </c>
      <c r="AS599">
        <v>273.4461883587652</v>
      </c>
      <c r="AT599">
        <v>14.619633409718192</v>
      </c>
      <c r="AU599">
        <v>33.981145253595287</v>
      </c>
      <c r="AV599"/>
      <c r="AW599"/>
      <c r="FY599" s="213">
        <v>594</v>
      </c>
      <c r="FZ599">
        <v>45.357364279147866</v>
      </c>
      <c r="GA599">
        <v>26.501037760289492</v>
      </c>
      <c r="GB599">
        <v>2.7699979716442145</v>
      </c>
      <c r="GC599">
        <v>7.0661534607134211</v>
      </c>
      <c r="GD599">
        <v>5.5657960805132518</v>
      </c>
      <c r="GE599">
        <v>6.0506175487188107</v>
      </c>
      <c r="GF599">
        <v>14.407348558202228</v>
      </c>
      <c r="GG599">
        <v>10.458426800703082</v>
      </c>
      <c r="GH599">
        <v>17.6683451566347</v>
      </c>
      <c r="GI599">
        <v>15.927414591186364</v>
      </c>
      <c r="GJ599"/>
      <c r="GK599"/>
      <c r="GL599"/>
      <c r="GM599"/>
      <c r="GN599" s="208"/>
      <c r="GO599" s="208"/>
      <c r="GP599" s="208"/>
      <c r="GQ599" s="208"/>
      <c r="GR599" s="208"/>
      <c r="GS599" s="208"/>
      <c r="GT599" s="208"/>
      <c r="GU599" s="213">
        <v>594</v>
      </c>
    </row>
    <row r="600" spans="1:203" s="7" customFormat="1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81"/>
      <c r="AG600" s="81"/>
      <c r="AH600" s="81"/>
      <c r="AI600" s="4"/>
      <c r="AJ600" s="81"/>
      <c r="AK600" s="81"/>
      <c r="AL600" s="81"/>
      <c r="AM600" s="43">
        <v>584</v>
      </c>
      <c r="AN600">
        <v>255.13542116076513</v>
      </c>
      <c r="AO600">
        <v>25.018197123695792</v>
      </c>
      <c r="AP600">
        <v>78.848022272674172</v>
      </c>
      <c r="AQ600">
        <v>181.49878450475359</v>
      </c>
      <c r="AR600">
        <v>25.679595878589357</v>
      </c>
      <c r="AS600">
        <v>211.73790140088616</v>
      </c>
      <c r="AT600">
        <v>11.641707320920579</v>
      </c>
      <c r="AU600">
        <v>43.850625465679855</v>
      </c>
      <c r="AV600"/>
      <c r="AW600"/>
      <c r="FY600" s="213">
        <v>595</v>
      </c>
      <c r="FZ600">
        <v>61.112582325973072</v>
      </c>
      <c r="GA600">
        <v>77.145507135188922</v>
      </c>
      <c r="GB600">
        <v>16.065843483344061</v>
      </c>
      <c r="GC600">
        <v>5.8538371206664914</v>
      </c>
      <c r="GD600">
        <v>5.0169412327457952</v>
      </c>
      <c r="GE600">
        <v>8.1205330623716776</v>
      </c>
      <c r="GF600">
        <v>18.863880179185628</v>
      </c>
      <c r="GG600">
        <v>13.145038160368706</v>
      </c>
      <c r="GH600">
        <v>11.683530085474429</v>
      </c>
      <c r="GI600">
        <v>21.822431983894013</v>
      </c>
      <c r="GJ600"/>
      <c r="GK600"/>
      <c r="GL600"/>
      <c r="GM600"/>
      <c r="GN600" s="208"/>
      <c r="GO600" s="208"/>
      <c r="GP600" s="208"/>
      <c r="GQ600" s="208"/>
      <c r="GR600" s="208"/>
      <c r="GS600" s="208"/>
      <c r="GT600" s="208"/>
      <c r="GU600" s="213">
        <v>595</v>
      </c>
    </row>
    <row r="601" spans="1:203" s="7" customFormat="1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4"/>
      <c r="AB601" s="4"/>
      <c r="AC601" s="4"/>
      <c r="AD601" s="4"/>
      <c r="AE601" s="4"/>
      <c r="AF601" s="81"/>
      <c r="AG601" s="81"/>
      <c r="AH601" s="81"/>
      <c r="AI601" s="4"/>
      <c r="AJ601" s="81"/>
      <c r="AK601" s="81"/>
      <c r="AL601" s="81"/>
      <c r="AM601" s="43">
        <v>585</v>
      </c>
      <c r="AN601">
        <v>257.84772938846754</v>
      </c>
      <c r="AO601">
        <v>23.897139735492722</v>
      </c>
      <c r="AP601">
        <v>76.584685243242376</v>
      </c>
      <c r="AQ601">
        <v>167.32655284217412</v>
      </c>
      <c r="AR601">
        <v>24.170612752796035</v>
      </c>
      <c r="AS601">
        <v>215.79863913152045</v>
      </c>
      <c r="AT601">
        <v>11.525763256067046</v>
      </c>
      <c r="AU601">
        <v>10.269368691813867</v>
      </c>
      <c r="AV601"/>
      <c r="AW601"/>
      <c r="FY601" s="213">
        <v>596</v>
      </c>
      <c r="FZ601">
        <v>23.904983890984383</v>
      </c>
      <c r="GA601">
        <v>36.261549628082861</v>
      </c>
      <c r="GB601">
        <v>13.01571390494891</v>
      </c>
      <c r="GC601">
        <v>4.7998303768085115</v>
      </c>
      <c r="GD601">
        <v>4.2317130835009253</v>
      </c>
      <c r="GE601">
        <v>6.7198250768306886</v>
      </c>
      <c r="GF601">
        <v>11.134422559395007</v>
      </c>
      <c r="GG601">
        <v>9.259876400486819</v>
      </c>
      <c r="GH601">
        <v>13.005044757776473</v>
      </c>
      <c r="GI601">
        <v>13.742929598955914</v>
      </c>
      <c r="GJ601"/>
      <c r="GK601"/>
      <c r="GL601"/>
      <c r="GM601"/>
      <c r="GN601" s="208"/>
      <c r="GO601" s="208"/>
      <c r="GP601" s="208"/>
      <c r="GQ601" s="208"/>
      <c r="GR601" s="208"/>
      <c r="GS601" s="208"/>
      <c r="GT601" s="208"/>
      <c r="GU601" s="213">
        <v>596</v>
      </c>
    </row>
    <row r="602" spans="1:203" s="7" customFormat="1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4"/>
      <c r="AB602" s="4"/>
      <c r="AC602" s="4"/>
      <c r="AD602" s="4"/>
      <c r="AE602" s="4"/>
      <c r="AF602" s="81"/>
      <c r="AG602" s="81"/>
      <c r="AH602" s="81"/>
      <c r="AI602" s="4"/>
      <c r="AJ602" s="81"/>
      <c r="AK602" s="81"/>
      <c r="AL602" s="81"/>
      <c r="AM602" s="43">
        <v>586</v>
      </c>
      <c r="AN602">
        <v>334.44930234434884</v>
      </c>
      <c r="AO602">
        <v>32.670085626835373</v>
      </c>
      <c r="AP602">
        <v>80.985551137101311</v>
      </c>
      <c r="AQ602">
        <v>240.84130449833742</v>
      </c>
      <c r="AR602">
        <v>34.963821051066631</v>
      </c>
      <c r="AS602">
        <v>266.16842613452735</v>
      </c>
      <c r="AT602">
        <v>14.841088268065219</v>
      </c>
      <c r="AU602">
        <v>-0.44388031666376548</v>
      </c>
      <c r="AV602"/>
      <c r="AW602"/>
      <c r="FY602" s="213">
        <v>597</v>
      </c>
      <c r="FZ602">
        <v>48.400256291138184</v>
      </c>
      <c r="GA602">
        <v>53.627522933256806</v>
      </c>
      <c r="GB602">
        <v>12.195620652247628</v>
      </c>
      <c r="GC602">
        <v>6.8141361061162229</v>
      </c>
      <c r="GD602">
        <v>5.4262086229692734</v>
      </c>
      <c r="GE602">
        <v>7.9871616208409053</v>
      </c>
      <c r="GF602">
        <v>28.859600722306503</v>
      </c>
      <c r="GG602">
        <v>22.435003408010328</v>
      </c>
      <c r="GH602">
        <v>19.718576625397329</v>
      </c>
      <c r="GI602">
        <v>22.067808166200294</v>
      </c>
      <c r="GJ602"/>
      <c r="GK602"/>
      <c r="GL602"/>
      <c r="GM602"/>
      <c r="GN602" s="208"/>
      <c r="GO602" s="208"/>
      <c r="GP602" s="208"/>
      <c r="GQ602" s="208"/>
      <c r="GR602" s="208"/>
      <c r="GS602" s="208"/>
      <c r="GT602" s="208"/>
      <c r="GU602" s="213">
        <v>597</v>
      </c>
    </row>
    <row r="603" spans="1:203" s="7" customFormat="1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4"/>
      <c r="AB603" s="4"/>
      <c r="AC603" s="4"/>
      <c r="AD603" s="4"/>
      <c r="AE603" s="4"/>
      <c r="AF603" s="81"/>
      <c r="AG603" s="81"/>
      <c r="AH603" s="81"/>
      <c r="AI603" s="4"/>
      <c r="AJ603" s="81"/>
      <c r="AK603" s="81"/>
      <c r="AL603" s="81"/>
      <c r="AM603" s="43">
        <v>587</v>
      </c>
      <c r="AN603">
        <v>279.08829996992813</v>
      </c>
      <c r="AO603">
        <v>19.838892488469927</v>
      </c>
      <c r="AP603">
        <v>79.904585001060326</v>
      </c>
      <c r="AQ603">
        <v>149.40003684722083</v>
      </c>
      <c r="AR603">
        <v>22.075686087429958</v>
      </c>
      <c r="AS603">
        <v>198.66284609480903</v>
      </c>
      <c r="AT603">
        <v>10.141749242222941</v>
      </c>
      <c r="AU603">
        <v>28.772144593646814</v>
      </c>
      <c r="AV603"/>
      <c r="AW603"/>
      <c r="FY603" s="213">
        <v>598</v>
      </c>
      <c r="FZ603">
        <v>43.142794811325558</v>
      </c>
      <c r="GA603">
        <v>48.502945486836659</v>
      </c>
      <c r="GB603">
        <v>10.569402719625892</v>
      </c>
      <c r="GC603">
        <v>8.5558393758493949</v>
      </c>
      <c r="GD603">
        <v>7.3379096380729845</v>
      </c>
      <c r="GE603">
        <v>7.8256764872642428</v>
      </c>
      <c r="GF603">
        <v>13.476357027950037</v>
      </c>
      <c r="GG603">
        <v>11.393213698707585</v>
      </c>
      <c r="GH603">
        <v>17.346759801493668</v>
      </c>
      <c r="GI603">
        <v>18.689270446435312</v>
      </c>
      <c r="GJ603"/>
      <c r="GK603"/>
      <c r="GL603"/>
      <c r="GM603"/>
      <c r="GN603" s="208"/>
      <c r="GO603" s="208"/>
      <c r="GP603" s="208"/>
      <c r="GQ603" s="208"/>
      <c r="GR603" s="208"/>
      <c r="GS603" s="208"/>
      <c r="GT603" s="208"/>
      <c r="GU603" s="213">
        <v>598</v>
      </c>
    </row>
    <row r="604" spans="1:203" s="7" customFormat="1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4"/>
      <c r="AB604" s="4"/>
      <c r="AC604" s="4"/>
      <c r="AD604" s="4"/>
      <c r="AE604" s="4"/>
      <c r="AF604" s="81"/>
      <c r="AG604" s="81"/>
      <c r="AH604" s="81"/>
      <c r="AI604" s="4"/>
      <c r="AJ604" s="81"/>
      <c r="AK604" s="81"/>
      <c r="AL604" s="81"/>
      <c r="AM604" s="43">
        <v>588</v>
      </c>
      <c r="AN604">
        <v>388.97208301152108</v>
      </c>
      <c r="AO604">
        <v>31.813097415591102</v>
      </c>
      <c r="AP604">
        <v>89.244322735909236</v>
      </c>
      <c r="AQ604">
        <v>238.90002249020503</v>
      </c>
      <c r="AR604">
        <v>32.750130571807205</v>
      </c>
      <c r="AS604">
        <v>318.22282994093359</v>
      </c>
      <c r="AT604">
        <v>16.180230444325229</v>
      </c>
      <c r="AU604">
        <v>4.707241957327426</v>
      </c>
      <c r="AV604"/>
      <c r="AW604"/>
      <c r="FY604" s="213">
        <v>599</v>
      </c>
      <c r="FZ604">
        <v>55.049755567401768</v>
      </c>
      <c r="GA604">
        <v>54.411884658531626</v>
      </c>
      <c r="GB604">
        <v>12.356538614760048</v>
      </c>
      <c r="GC604">
        <v>5.890589363236808</v>
      </c>
      <c r="GD604">
        <v>5.654468758204807</v>
      </c>
      <c r="GE604">
        <v>8.1022342310103639</v>
      </c>
      <c r="GF604">
        <v>10.046805463711852</v>
      </c>
      <c r="GG604">
        <v>6.1241947300548594</v>
      </c>
      <c r="GH604">
        <v>13.421672711019221</v>
      </c>
      <c r="GI604">
        <v>18.682627141051423</v>
      </c>
      <c r="GJ604"/>
      <c r="GK604"/>
      <c r="GL604"/>
      <c r="GM604"/>
      <c r="GN604" s="208"/>
      <c r="GO604" s="208"/>
      <c r="GP604" s="208"/>
      <c r="GQ604" s="208"/>
      <c r="GR604" s="208"/>
      <c r="GS604" s="208"/>
      <c r="GT604" s="208"/>
      <c r="GU604" s="213">
        <v>599</v>
      </c>
    </row>
    <row r="605" spans="1:203" s="7" customFormat="1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4"/>
      <c r="AB605" s="4"/>
      <c r="AC605" s="4"/>
      <c r="AD605" s="4"/>
      <c r="AE605" s="4"/>
      <c r="AF605" s="81"/>
      <c r="AG605" s="81"/>
      <c r="AH605" s="81"/>
      <c r="AI605" s="4"/>
      <c r="AJ605" s="81"/>
      <c r="AK605" s="81"/>
      <c r="AL605" s="81"/>
      <c r="AM605" s="43">
        <v>589</v>
      </c>
      <c r="AN605">
        <v>239.75775283433413</v>
      </c>
      <c r="AO605">
        <v>20.576831924862098</v>
      </c>
      <c r="AP605">
        <v>73.199189975229217</v>
      </c>
      <c r="AQ605">
        <v>136.18128544796033</v>
      </c>
      <c r="AR605">
        <v>22.052573530259242</v>
      </c>
      <c r="AS605">
        <v>194.68607781680643</v>
      </c>
      <c r="AT605">
        <v>8.0581553395177732</v>
      </c>
      <c r="AU605">
        <v>18.490932337918629</v>
      </c>
      <c r="AV605"/>
      <c r="AW605"/>
      <c r="FY605" s="213">
        <v>600</v>
      </c>
      <c r="FZ605">
        <v>69.869250045253381</v>
      </c>
      <c r="GA605">
        <v>43.832917827801751</v>
      </c>
      <c r="GB605">
        <v>5.6048298756190684</v>
      </c>
      <c r="GC605">
        <v>5.1391609422516158</v>
      </c>
      <c r="GD605">
        <v>3.5752312029683582</v>
      </c>
      <c r="GE605">
        <v>4.4302362137289872</v>
      </c>
      <c r="GF605">
        <v>11.512599708273752</v>
      </c>
      <c r="GG605">
        <v>9.5042493605408485</v>
      </c>
      <c r="GH605">
        <v>12.794317454744554</v>
      </c>
      <c r="GI605">
        <v>17.818513415478332</v>
      </c>
      <c r="GJ605"/>
      <c r="GK605"/>
      <c r="GL605"/>
      <c r="GM605"/>
      <c r="GN605" s="208"/>
      <c r="GO605" s="208"/>
      <c r="GP605" s="208"/>
      <c r="GQ605" s="208"/>
      <c r="GR605" s="208"/>
      <c r="GS605" s="208"/>
      <c r="GT605" s="208"/>
      <c r="GU605" s="213">
        <v>600</v>
      </c>
    </row>
    <row r="606" spans="1:203" s="7" customFormat="1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4"/>
      <c r="AB606" s="4"/>
      <c r="AC606" s="4"/>
      <c r="AD606" s="4"/>
      <c r="AE606" s="4"/>
      <c r="AF606" s="81"/>
      <c r="AG606" s="81"/>
      <c r="AH606" s="81"/>
      <c r="AI606" s="4"/>
      <c r="AJ606" s="81"/>
      <c r="AK606" s="81"/>
      <c r="AL606" s="81"/>
      <c r="AM606" s="43">
        <v>590</v>
      </c>
      <c r="AN606">
        <v>379.67817084671384</v>
      </c>
      <c r="AO606">
        <v>34.976573192402874</v>
      </c>
      <c r="AP606">
        <v>113.11849207323503</v>
      </c>
      <c r="AQ606">
        <v>244.80424175817851</v>
      </c>
      <c r="AR606">
        <v>33.614721610855241</v>
      </c>
      <c r="AS606">
        <v>324.15616881471851</v>
      </c>
      <c r="AT606">
        <v>13.279195150061312</v>
      </c>
      <c r="AU606">
        <v>-29.715389187238248</v>
      </c>
      <c r="AV606"/>
      <c r="AW606"/>
      <c r="FY606" s="213">
        <v>601</v>
      </c>
      <c r="FZ606">
        <v>37.368387816773904</v>
      </c>
      <c r="GA606">
        <v>27.364510384267501</v>
      </c>
      <c r="GB606">
        <v>5.1305437588823466</v>
      </c>
      <c r="GC606">
        <v>7.5886652332760711</v>
      </c>
      <c r="GD606">
        <v>5.6191231656508034</v>
      </c>
      <c r="GE606">
        <v>3.0353520320354916</v>
      </c>
      <c r="GF606">
        <v>4.9783695918645776</v>
      </c>
      <c r="GG606">
        <v>6.5891067158269268</v>
      </c>
      <c r="GH606">
        <v>11.99636400482925</v>
      </c>
      <c r="GI606">
        <v>12.829663559657305</v>
      </c>
      <c r="GJ606"/>
      <c r="GK606"/>
      <c r="GL606"/>
      <c r="GM606"/>
      <c r="GN606" s="208"/>
      <c r="GO606" s="208"/>
      <c r="GP606" s="208"/>
      <c r="GQ606" s="208"/>
      <c r="GR606" s="208"/>
      <c r="GS606" s="208"/>
      <c r="GT606" s="208"/>
      <c r="GU606" s="213">
        <v>601</v>
      </c>
    </row>
    <row r="607" spans="1:203" s="7" customFormat="1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81"/>
      <c r="AG607" s="81"/>
      <c r="AH607" s="81"/>
      <c r="AI607" s="4"/>
      <c r="AJ607" s="81"/>
      <c r="AK607" s="81"/>
      <c r="AL607" s="81"/>
      <c r="AM607" s="43">
        <v>591</v>
      </c>
      <c r="AN607">
        <v>320.01526668224113</v>
      </c>
      <c r="AO607">
        <v>29.123088860676784</v>
      </c>
      <c r="AP607">
        <v>49.036169635573209</v>
      </c>
      <c r="AQ607">
        <v>205.32877751410169</v>
      </c>
      <c r="AR607">
        <v>28.521051600429058</v>
      </c>
      <c r="AS607">
        <v>273.49442790368198</v>
      </c>
      <c r="AT607">
        <v>11.80341149082909</v>
      </c>
      <c r="AU607">
        <v>-28.81290830987481</v>
      </c>
      <c r="AV607"/>
      <c r="AW607"/>
      <c r="FY607" s="213">
        <v>602</v>
      </c>
      <c r="FZ607">
        <v>61.33756231494408</v>
      </c>
      <c r="GA607">
        <v>64.538132716461888</v>
      </c>
      <c r="GB607">
        <v>11.369459067909725</v>
      </c>
      <c r="GC607">
        <v>4.3522823361762839</v>
      </c>
      <c r="GD607">
        <v>4.9190025896636946</v>
      </c>
      <c r="GE607">
        <v>6.8050501349727561</v>
      </c>
      <c r="GF607">
        <v>14.293564111711657</v>
      </c>
      <c r="GG607">
        <v>11.994400484573177</v>
      </c>
      <c r="GH607">
        <v>11.109345180600393</v>
      </c>
      <c r="GI607">
        <v>19.434575700661807</v>
      </c>
      <c r="GJ607"/>
      <c r="GK607"/>
      <c r="GL607"/>
      <c r="GM607"/>
      <c r="GN607" s="208"/>
      <c r="GO607" s="208"/>
      <c r="GP607" s="208"/>
      <c r="GQ607" s="208"/>
      <c r="GR607" s="208"/>
      <c r="GS607" s="208"/>
      <c r="GT607" s="208"/>
      <c r="GU607" s="213">
        <v>602</v>
      </c>
    </row>
    <row r="608" spans="1:203" s="7" customFormat="1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81"/>
      <c r="AG608" s="81"/>
      <c r="AH608" s="81"/>
      <c r="AI608" s="4"/>
      <c r="AJ608" s="81"/>
      <c r="AK608" s="81"/>
      <c r="AL608" s="81"/>
      <c r="AM608" s="43">
        <v>592</v>
      </c>
      <c r="AN608">
        <v>342.58407735646819</v>
      </c>
      <c r="AO608">
        <v>28.44361549317199</v>
      </c>
      <c r="AP608">
        <v>78.468674276806212</v>
      </c>
      <c r="AQ608">
        <v>199.71034201654049</v>
      </c>
      <c r="AR608">
        <v>28.927111181676999</v>
      </c>
      <c r="AS608">
        <v>268.31011977269304</v>
      </c>
      <c r="AT608">
        <v>11.973422291626777</v>
      </c>
      <c r="AU608">
        <v>3.1847783103994836</v>
      </c>
      <c r="AV608"/>
      <c r="AW608"/>
      <c r="FY608" s="213">
        <v>603</v>
      </c>
      <c r="FZ608">
        <v>37.392572934978283</v>
      </c>
      <c r="GA608">
        <v>40.508609882458764</v>
      </c>
      <c r="GB608">
        <v>7.6279154994544776</v>
      </c>
      <c r="GC608">
        <v>7.1234697932906235</v>
      </c>
      <c r="GD608">
        <v>6.0711459443563101</v>
      </c>
      <c r="GE608">
        <v>3.9289063263916599</v>
      </c>
      <c r="GF608">
        <v>37.452435278435971</v>
      </c>
      <c r="GG608">
        <v>34.082389981847257</v>
      </c>
      <c r="GH608">
        <v>19.328557251505291</v>
      </c>
      <c r="GI608">
        <v>21.015574459492768</v>
      </c>
      <c r="GJ608"/>
      <c r="GK608"/>
      <c r="GL608"/>
      <c r="GM608"/>
      <c r="GN608" s="208"/>
      <c r="GO608" s="208"/>
      <c r="GP608" s="208"/>
      <c r="GQ608" s="208"/>
      <c r="GR608" s="208"/>
      <c r="GS608" s="208"/>
      <c r="GT608" s="208"/>
      <c r="GU608" s="213">
        <v>603</v>
      </c>
    </row>
    <row r="609" spans="1:203" s="7" customFormat="1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81"/>
      <c r="AG609" s="81"/>
      <c r="AH609" s="81"/>
      <c r="AI609" s="4"/>
      <c r="AJ609" s="81"/>
      <c r="AK609" s="81"/>
      <c r="AL609" s="81"/>
      <c r="AM609" s="43">
        <v>593</v>
      </c>
      <c r="AN609">
        <v>326.3173336297541</v>
      </c>
      <c r="AO609">
        <v>27.756176920749361</v>
      </c>
      <c r="AP609">
        <v>92.10163631480718</v>
      </c>
      <c r="AQ609">
        <v>194.29834127251294</v>
      </c>
      <c r="AR609">
        <v>28.548323534131193</v>
      </c>
      <c r="AS609">
        <v>255.14113598783791</v>
      </c>
      <c r="AT609">
        <v>13.013165915861977</v>
      </c>
      <c r="AU609">
        <v>-11.374163166389515</v>
      </c>
      <c r="AV609"/>
      <c r="AW609"/>
      <c r="FY609" s="213">
        <v>604</v>
      </c>
      <c r="FZ609">
        <v>44.63535690933427</v>
      </c>
      <c r="GA609">
        <v>31.569312831323209</v>
      </c>
      <c r="GB609">
        <v>4.4730900545544534</v>
      </c>
      <c r="GC609">
        <v>7.8578416169743113</v>
      </c>
      <c r="GD609">
        <v>5.8470504795859419</v>
      </c>
      <c r="GE609">
        <v>4.8107283233370062</v>
      </c>
      <c r="GF609">
        <v>37.970289218440399</v>
      </c>
      <c r="GG609">
        <v>32.336397279482789</v>
      </c>
      <c r="GH609">
        <v>12.057245994406715</v>
      </c>
      <c r="GI609">
        <v>19.808345421754449</v>
      </c>
      <c r="GJ609"/>
      <c r="GK609"/>
      <c r="GL609"/>
      <c r="GM609"/>
      <c r="GN609" s="208"/>
      <c r="GO609" s="208"/>
      <c r="GP609" s="208"/>
      <c r="GQ609" s="208"/>
      <c r="GR609" s="208"/>
      <c r="GS609" s="208"/>
      <c r="GT609" s="208"/>
      <c r="GU609" s="213">
        <v>604</v>
      </c>
    </row>
    <row r="610" spans="1:203" s="7" customFormat="1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81"/>
      <c r="AG610" s="81"/>
      <c r="AH610" s="81"/>
      <c r="AI610" s="4"/>
      <c r="AJ610" s="81"/>
      <c r="AK610" s="81"/>
      <c r="AL610" s="81"/>
      <c r="AM610" s="43">
        <v>594</v>
      </c>
      <c r="AN610">
        <v>317.06030368662232</v>
      </c>
      <c r="AO610">
        <v>20.85219657873283</v>
      </c>
      <c r="AP610">
        <v>84.429511439712357</v>
      </c>
      <c r="AQ610">
        <v>151.77250220775343</v>
      </c>
      <c r="AR610">
        <v>22.780922899885386</v>
      </c>
      <c r="AS610">
        <v>232.53251230426912</v>
      </c>
      <c r="AT610">
        <v>11.737853964172167</v>
      </c>
      <c r="AU610">
        <v>20.893895361494472</v>
      </c>
      <c r="AV610"/>
      <c r="AW610"/>
      <c r="FY610" s="213">
        <v>605</v>
      </c>
      <c r="FZ610">
        <v>49.616727430404701</v>
      </c>
      <c r="GA610">
        <v>53.566803384494946</v>
      </c>
      <c r="GB610">
        <v>12.33991415512698</v>
      </c>
      <c r="GC610">
        <v>6.5646329787460331</v>
      </c>
      <c r="GD610">
        <v>6.4170015097385669</v>
      </c>
      <c r="GE610">
        <v>5.4665044395692952</v>
      </c>
      <c r="GF610">
        <v>6.2523817855427826</v>
      </c>
      <c r="GG610">
        <v>5.6848801259560737</v>
      </c>
      <c r="GH610">
        <v>17.369551496049027</v>
      </c>
      <c r="GI610">
        <v>18.464332007719907</v>
      </c>
      <c r="GJ610"/>
      <c r="GK610"/>
      <c r="GL610"/>
      <c r="GM610"/>
      <c r="GN610" s="208"/>
      <c r="GO610" s="208"/>
      <c r="GP610" s="208"/>
      <c r="GQ610" s="208"/>
      <c r="GR610" s="208"/>
      <c r="GS610" s="208"/>
      <c r="GT610" s="208"/>
      <c r="GU610" s="213">
        <v>605</v>
      </c>
    </row>
    <row r="611" spans="1:203" s="7" customFormat="1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4"/>
      <c r="AB611" s="4"/>
      <c r="AC611" s="4"/>
      <c r="AD611" s="4"/>
      <c r="AE611" s="4"/>
      <c r="AF611" s="81"/>
      <c r="AG611" s="81"/>
      <c r="AH611" s="81"/>
      <c r="AI611" s="4"/>
      <c r="AJ611" s="81"/>
      <c r="AK611" s="81"/>
      <c r="AL611" s="81"/>
      <c r="AM611" s="43">
        <v>595</v>
      </c>
      <c r="AN611">
        <v>345.47590502668356</v>
      </c>
      <c r="AO611">
        <v>32.710667059286756</v>
      </c>
      <c r="AP611">
        <v>95.480599328180418</v>
      </c>
      <c r="AQ611">
        <v>238.83012476921277</v>
      </c>
      <c r="AR611">
        <v>33.012432789690905</v>
      </c>
      <c r="AS611">
        <v>255.44648506315895</v>
      </c>
      <c r="AT611">
        <v>14.630614341364476</v>
      </c>
      <c r="AU611">
        <v>18.832057608759062</v>
      </c>
      <c r="AV611"/>
      <c r="AW611"/>
      <c r="FY611" s="213">
        <v>606</v>
      </c>
      <c r="FZ611">
        <v>56.463023300033271</v>
      </c>
      <c r="GA611">
        <v>58.036817186180315</v>
      </c>
      <c r="GB611">
        <v>12.273891318475762</v>
      </c>
      <c r="GC611">
        <v>8.2692517387477054</v>
      </c>
      <c r="GD611">
        <v>7.2512094373125962</v>
      </c>
      <c r="GE611">
        <v>6.0058336949423898</v>
      </c>
      <c r="GF611">
        <v>10.340943364854038</v>
      </c>
      <c r="GG611">
        <v>7.9659527340164082</v>
      </c>
      <c r="GH611">
        <v>11.272965506715167</v>
      </c>
      <c r="GI611">
        <v>19.585043983097421</v>
      </c>
      <c r="GJ611"/>
      <c r="GK611"/>
      <c r="GL611"/>
      <c r="GM611"/>
      <c r="GN611" s="208"/>
      <c r="GO611" s="208"/>
      <c r="GP611" s="208"/>
      <c r="GQ611" s="208"/>
      <c r="GR611" s="208"/>
      <c r="GS611" s="208"/>
      <c r="GT611" s="208"/>
      <c r="GU611" s="213">
        <v>606</v>
      </c>
    </row>
    <row r="612" spans="1:203" s="7" customFormat="1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81"/>
      <c r="AG612" s="81"/>
      <c r="AH612" s="81"/>
      <c r="AI612" s="4"/>
      <c r="AJ612" s="81"/>
      <c r="AK612" s="81"/>
      <c r="AL612" s="81"/>
      <c r="AM612" s="43">
        <v>596</v>
      </c>
      <c r="AN612">
        <v>283.33588888528044</v>
      </c>
      <c r="AO612">
        <v>19.626588563505447</v>
      </c>
      <c r="AP612">
        <v>68.138683171282253</v>
      </c>
      <c r="AQ612">
        <v>136.0758892777705</v>
      </c>
      <c r="AR612">
        <v>19.920862996501747</v>
      </c>
      <c r="AS612">
        <v>214.89680964786456</v>
      </c>
      <c r="AT612">
        <v>9.2053437078471294</v>
      </c>
      <c r="AU612">
        <v>-4.725750175773431</v>
      </c>
      <c r="AV612"/>
      <c r="AW612"/>
      <c r="FY612" s="213">
        <v>607</v>
      </c>
      <c r="FZ612">
        <v>53.655952525738833</v>
      </c>
      <c r="GA612">
        <v>63.051965511230783</v>
      </c>
      <c r="GB612">
        <v>16.629449965478297</v>
      </c>
      <c r="GC612">
        <v>6.2684753815041576</v>
      </c>
      <c r="GD612">
        <v>4.9775789666021693</v>
      </c>
      <c r="GE612">
        <v>3.8359037341251381</v>
      </c>
      <c r="GF612">
        <v>11.933486213205175</v>
      </c>
      <c r="GG612">
        <v>13.049406941153443</v>
      </c>
      <c r="GH612">
        <v>8.9933102036491928</v>
      </c>
      <c r="GI612">
        <v>19.126593758596414</v>
      </c>
      <c r="GJ612"/>
      <c r="GK612"/>
      <c r="GL612"/>
      <c r="GM612"/>
      <c r="GN612" s="208"/>
      <c r="GO612" s="208"/>
      <c r="GP612" s="208"/>
      <c r="GQ612" s="208"/>
      <c r="GR612" s="208"/>
      <c r="GS612" s="208"/>
      <c r="GT612" s="208"/>
      <c r="GU612" s="213">
        <v>607</v>
      </c>
    </row>
    <row r="613" spans="1:203" s="7" customFormat="1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4"/>
      <c r="AB613" s="4"/>
      <c r="AC613" s="4"/>
      <c r="AD613" s="4"/>
      <c r="AE613" s="4"/>
      <c r="AF613" s="81"/>
      <c r="AG613" s="81"/>
      <c r="AH613" s="81"/>
      <c r="AI613" s="4"/>
      <c r="AJ613" s="81"/>
      <c r="AK613" s="81"/>
      <c r="AL613" s="81"/>
      <c r="AM613" s="43">
        <v>597</v>
      </c>
      <c r="AN613">
        <v>392.71344691339078</v>
      </c>
      <c r="AO613">
        <v>31.627983520203674</v>
      </c>
      <c r="AP613">
        <v>103.49835299878481</v>
      </c>
      <c r="AQ613">
        <v>227.53189514848344</v>
      </c>
      <c r="AR613">
        <v>32.62086747856732</v>
      </c>
      <c r="AS613">
        <v>307.9566764894268</v>
      </c>
      <c r="AT613">
        <v>14.659311860852684</v>
      </c>
      <c r="AU613">
        <v>22.47640367233252</v>
      </c>
      <c r="AV613"/>
      <c r="AW613"/>
      <c r="FY613" s="213">
        <v>608</v>
      </c>
      <c r="FZ613">
        <v>71.097223717560126</v>
      </c>
      <c r="GA613">
        <v>80.884039743672844</v>
      </c>
      <c r="GB613">
        <v>12.920353307034155</v>
      </c>
      <c r="GC613">
        <v>7.1567559408973693</v>
      </c>
      <c r="GD613">
        <v>4.9411268151172889</v>
      </c>
      <c r="GE613">
        <v>2.8604140253989678</v>
      </c>
      <c r="GF613">
        <v>8.3385447199893257</v>
      </c>
      <c r="GG613">
        <v>9.8827361350932232</v>
      </c>
      <c r="GH613">
        <v>15.00704983020724</v>
      </c>
      <c r="GI613">
        <v>20.867697629988179</v>
      </c>
      <c r="GJ613"/>
      <c r="GK613"/>
      <c r="GL613"/>
      <c r="GM613"/>
      <c r="GN613" s="208"/>
      <c r="GO613" s="208"/>
      <c r="GP613" s="208"/>
      <c r="GQ613" s="208"/>
      <c r="GR613" s="208"/>
      <c r="GS613" s="208"/>
      <c r="GT613" s="208"/>
      <c r="GU613" s="213">
        <v>608</v>
      </c>
    </row>
    <row r="614" spans="1:203" s="7" customFormat="1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4"/>
      <c r="AB614" s="4"/>
      <c r="AC614" s="4"/>
      <c r="AD614" s="4"/>
      <c r="AE614" s="4"/>
      <c r="AF614" s="81"/>
      <c r="AG614" s="81"/>
      <c r="AH614" s="81"/>
      <c r="AI614" s="4"/>
      <c r="AJ614" s="81"/>
      <c r="AK614" s="81"/>
      <c r="AL614" s="81"/>
      <c r="AM614" s="43">
        <v>598</v>
      </c>
      <c r="AN614">
        <v>369.1153077171619</v>
      </c>
      <c r="AO614">
        <v>26.703747736125091</v>
      </c>
      <c r="AP614">
        <v>111.76651499850591</v>
      </c>
      <c r="AQ614">
        <v>186.84016949356135</v>
      </c>
      <c r="AR614">
        <v>27.128318723709341</v>
      </c>
      <c r="AS614">
        <v>265.79465052801544</v>
      </c>
      <c r="AT614">
        <v>12.921102105931132</v>
      </c>
      <c r="AU614">
        <v>16.823458569909143</v>
      </c>
      <c r="AV614"/>
      <c r="AW614"/>
      <c r="FY614" s="213">
        <v>609</v>
      </c>
      <c r="FZ614">
        <v>57.195440058729289</v>
      </c>
      <c r="GA614">
        <v>49.097627561255365</v>
      </c>
      <c r="GB614">
        <v>9.224036388381613</v>
      </c>
      <c r="GC614">
        <v>5.6016995492705046</v>
      </c>
      <c r="GD614">
        <v>4.4447090468955199</v>
      </c>
      <c r="GE614">
        <v>5.3441991518287777</v>
      </c>
      <c r="GF614">
        <v>27.135585351043773</v>
      </c>
      <c r="GG614">
        <v>23.639800767974318</v>
      </c>
      <c r="GH614">
        <v>14.397181863928559</v>
      </c>
      <c r="GI614">
        <v>20.666451608641839</v>
      </c>
      <c r="GJ614"/>
      <c r="GK614"/>
      <c r="GL614"/>
      <c r="GM614"/>
      <c r="GN614" s="208"/>
      <c r="GO614" s="208"/>
      <c r="GP614" s="208"/>
      <c r="GQ614" s="208"/>
      <c r="GR614" s="208"/>
      <c r="GS614" s="208"/>
      <c r="GT614" s="208"/>
      <c r="GU614" s="213">
        <v>609</v>
      </c>
    </row>
    <row r="615" spans="1:203" s="7" customFormat="1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4"/>
      <c r="AB615" s="4"/>
      <c r="AC615" s="4"/>
      <c r="AD615" s="4"/>
      <c r="AE615" s="4"/>
      <c r="AF615" s="81"/>
      <c r="AG615" s="81"/>
      <c r="AH615" s="81"/>
      <c r="AI615" s="4"/>
      <c r="AJ615" s="81"/>
      <c r="AK615" s="81"/>
      <c r="AL615" s="81"/>
      <c r="AM615" s="43">
        <v>599</v>
      </c>
      <c r="AN615">
        <v>311.11597768183213</v>
      </c>
      <c r="AO615">
        <v>26.475009096833396</v>
      </c>
      <c r="AP615">
        <v>62.17766489705302</v>
      </c>
      <c r="AQ615">
        <v>189.74077123898277</v>
      </c>
      <c r="AR615">
        <v>28.275810983261685</v>
      </c>
      <c r="AS615">
        <v>259.33480909410645</v>
      </c>
      <c r="AT615">
        <v>12.515248129946585</v>
      </c>
      <c r="AU615">
        <v>-2.1545184443630561</v>
      </c>
      <c r="AV615"/>
      <c r="AW615"/>
      <c r="FY615" s="213">
        <v>610</v>
      </c>
      <c r="FZ615">
        <v>37.259159544150229</v>
      </c>
      <c r="GA615">
        <v>61.526551045258984</v>
      </c>
      <c r="GB615">
        <v>24.343643371548573</v>
      </c>
      <c r="GC615">
        <v>6.9338457060784906</v>
      </c>
      <c r="GD615">
        <v>5.691777735313666</v>
      </c>
      <c r="GE615">
        <v>4.829327473604839</v>
      </c>
      <c r="GF615">
        <v>3.696267748870393</v>
      </c>
      <c r="GG615">
        <v>5.8638352199983332</v>
      </c>
      <c r="GH615">
        <v>21.084818115255818</v>
      </c>
      <c r="GI615">
        <v>19.94322343381155</v>
      </c>
      <c r="GJ615"/>
      <c r="GK615"/>
      <c r="GL615"/>
      <c r="GM615"/>
      <c r="GN615" s="208"/>
      <c r="GO615" s="208"/>
      <c r="GP615" s="208"/>
      <c r="GQ615" s="208"/>
      <c r="GR615" s="208"/>
      <c r="GS615" s="208"/>
      <c r="GT615" s="208"/>
      <c r="GU615" s="213">
        <v>610</v>
      </c>
    </row>
    <row r="616" spans="1:203" s="7" customFormat="1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4"/>
      <c r="AB616" s="4"/>
      <c r="AC616" s="4"/>
      <c r="AD616" s="4"/>
      <c r="AE616" s="4"/>
      <c r="AF616" s="81"/>
      <c r="AG616" s="81"/>
      <c r="AH616" s="81"/>
      <c r="AI616" s="4"/>
      <c r="AJ616" s="81"/>
      <c r="AK616" s="81"/>
      <c r="AL616" s="81"/>
      <c r="AM616" s="43">
        <v>600</v>
      </c>
      <c r="AN616">
        <v>258.93610922750349</v>
      </c>
      <c r="AO616">
        <v>23.424088295323294</v>
      </c>
      <c r="AP616">
        <v>57.710232564660238</v>
      </c>
      <c r="AQ616">
        <v>184.08130604666064</v>
      </c>
      <c r="AR616">
        <v>26.103960696898106</v>
      </c>
      <c r="AS616">
        <v>224.42800520282</v>
      </c>
      <c r="AT616">
        <v>13.021708207252709</v>
      </c>
      <c r="AU616">
        <v>34.73583640805316</v>
      </c>
      <c r="AV616"/>
      <c r="AW616"/>
      <c r="FY616" s="213">
        <v>611</v>
      </c>
      <c r="FZ616">
        <v>70.966970136394352</v>
      </c>
      <c r="GA616">
        <v>79.51856090223734</v>
      </c>
      <c r="GB616">
        <v>16.862688060886839</v>
      </c>
      <c r="GC616">
        <v>8.0655074731173553</v>
      </c>
      <c r="GD616">
        <v>6.5964175228812501</v>
      </c>
      <c r="GE616">
        <v>5.5924219520280953</v>
      </c>
      <c r="GF616">
        <v>14.346309090750166</v>
      </c>
      <c r="GG616">
        <v>14.489060603479937</v>
      </c>
      <c r="GH616">
        <v>17.298404548222372</v>
      </c>
      <c r="GI616">
        <v>24.419583089878767</v>
      </c>
      <c r="GJ616"/>
      <c r="GK616"/>
      <c r="GL616"/>
      <c r="GM616"/>
      <c r="GN616" s="208"/>
      <c r="GO616" s="208"/>
      <c r="GP616" s="208"/>
      <c r="GQ616" s="208"/>
      <c r="GR616" s="208"/>
      <c r="GS616" s="208"/>
      <c r="GT616" s="208"/>
      <c r="GU616" s="213">
        <v>611</v>
      </c>
    </row>
    <row r="617" spans="1:203" s="7" customFormat="1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4"/>
      <c r="AB617" s="4"/>
      <c r="AC617" s="4"/>
      <c r="AD617" s="4"/>
      <c r="AE617" s="4"/>
      <c r="AF617" s="81"/>
      <c r="AG617" s="81"/>
      <c r="AH617" s="81"/>
      <c r="AI617" s="4"/>
      <c r="AJ617" s="81"/>
      <c r="AK617" s="81"/>
      <c r="AL617" s="81"/>
      <c r="AM617" s="43">
        <v>601</v>
      </c>
      <c r="AN617">
        <v>248.06789310609906</v>
      </c>
      <c r="AO617">
        <v>17.172749196596026</v>
      </c>
      <c r="AP617">
        <v>81.773533970137422</v>
      </c>
      <c r="AQ617">
        <v>122.50008626306419</v>
      </c>
      <c r="AR617">
        <v>18.184046602032613</v>
      </c>
      <c r="AS617">
        <v>183.08368485413621</v>
      </c>
      <c r="AT617">
        <v>9.6386939489722216</v>
      </c>
      <c r="AU617">
        <v>49.498646873188108</v>
      </c>
      <c r="AV617"/>
      <c r="AW617"/>
      <c r="FY617" s="213">
        <v>612</v>
      </c>
      <c r="FZ617">
        <v>48.984883813990884</v>
      </c>
      <c r="GA617">
        <v>58.367731287720581</v>
      </c>
      <c r="GB617">
        <v>7.51403662977396</v>
      </c>
      <c r="GC617">
        <v>4.9030529651606667</v>
      </c>
      <c r="GD617">
        <v>3.5843893112286551</v>
      </c>
      <c r="GE617">
        <v>5.4636230608757215</v>
      </c>
      <c r="GF617">
        <v>15.627078986656191</v>
      </c>
      <c r="GG617">
        <v>12.445495367328657</v>
      </c>
      <c r="GH617">
        <v>12.880823486220395</v>
      </c>
      <c r="GI617">
        <v>16.307021283171743</v>
      </c>
      <c r="GJ617"/>
      <c r="GK617"/>
      <c r="GL617"/>
      <c r="GM617"/>
      <c r="GN617" s="208"/>
      <c r="GO617" s="208"/>
      <c r="GP617" s="208"/>
      <c r="GQ617" s="208"/>
      <c r="GR617" s="208"/>
      <c r="GS617" s="208"/>
      <c r="GT617" s="208"/>
      <c r="GU617" s="213">
        <v>612</v>
      </c>
    </row>
    <row r="618" spans="1:203" s="7" customFormat="1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4"/>
      <c r="AB618" s="4"/>
      <c r="AC618" s="4"/>
      <c r="AD618" s="4"/>
      <c r="AE618" s="4"/>
      <c r="AF618" s="81"/>
      <c r="AG618" s="81"/>
      <c r="AH618" s="81"/>
      <c r="AI618" s="4"/>
      <c r="AJ618" s="81"/>
      <c r="AK618" s="81"/>
      <c r="AL618" s="81"/>
      <c r="AM618" s="43">
        <v>602</v>
      </c>
      <c r="AN618">
        <v>298.62161461364019</v>
      </c>
      <c r="AO618">
        <v>28.001699275073918</v>
      </c>
      <c r="AP618">
        <v>64.87808549218866</v>
      </c>
      <c r="AQ618">
        <v>210.15337463767546</v>
      </c>
      <c r="AR618">
        <v>29.014858188086741</v>
      </c>
      <c r="AS618">
        <v>249.533484362471</v>
      </c>
      <c r="AT618">
        <v>13.279400383476924</v>
      </c>
      <c r="AU618">
        <v>12.727414549752236</v>
      </c>
      <c r="AV618"/>
      <c r="AW618"/>
      <c r="FY618" s="213">
        <v>613</v>
      </c>
      <c r="FZ618">
        <v>48.329358331712527</v>
      </c>
      <c r="GA618">
        <v>44.461378657280541</v>
      </c>
      <c r="GB618">
        <v>7.7690225330794025</v>
      </c>
      <c r="GC618">
        <v>5.7076514220523658</v>
      </c>
      <c r="GD618">
        <v>4.8224830591075536</v>
      </c>
      <c r="GE618">
        <v>6.026095370072019</v>
      </c>
      <c r="GF618">
        <v>28.094784004595532</v>
      </c>
      <c r="GG618">
        <v>24.186893156211408</v>
      </c>
      <c r="GH618">
        <v>16.990222860832581</v>
      </c>
      <c r="GI618">
        <v>19.821302797533779</v>
      </c>
      <c r="GJ618"/>
      <c r="GK618"/>
      <c r="GL618"/>
      <c r="GM618"/>
      <c r="GN618" s="208"/>
      <c r="GO618" s="208"/>
      <c r="GP618" s="208"/>
      <c r="GQ618" s="208"/>
      <c r="GR618" s="208"/>
      <c r="GS618" s="208"/>
      <c r="GT618" s="208"/>
      <c r="GU618" s="213">
        <v>613</v>
      </c>
    </row>
    <row r="619" spans="1:203" s="7" customFormat="1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4"/>
      <c r="AB619" s="4"/>
      <c r="AC619" s="4"/>
      <c r="AD619" s="4"/>
      <c r="AE619" s="4"/>
      <c r="AF619" s="81"/>
      <c r="AG619" s="81"/>
      <c r="AH619" s="81"/>
      <c r="AI619" s="4"/>
      <c r="AJ619" s="81"/>
      <c r="AK619" s="81"/>
      <c r="AL619" s="81"/>
      <c r="AM619" s="43">
        <v>603</v>
      </c>
      <c r="AN619">
        <v>366.33012938186704</v>
      </c>
      <c r="AO619">
        <v>29.900229861537241</v>
      </c>
      <c r="AP619">
        <v>135.40219085459657</v>
      </c>
      <c r="AQ619">
        <v>214.5315773522114</v>
      </c>
      <c r="AR619">
        <v>30.291001551663477</v>
      </c>
      <c r="AS619">
        <v>321.02400598604419</v>
      </c>
      <c r="AT619">
        <v>14.759029088937718</v>
      </c>
      <c r="AU619">
        <v>44.630802864942467</v>
      </c>
      <c r="AV619"/>
      <c r="AW619"/>
      <c r="FY619" s="213">
        <v>614</v>
      </c>
      <c r="FZ619">
        <v>39.15389234367688</v>
      </c>
      <c r="GA619">
        <v>41.942463157490685</v>
      </c>
      <c r="GB619">
        <v>8.5707198718827051</v>
      </c>
      <c r="GC619">
        <v>6.7467709706982983</v>
      </c>
      <c r="GD619">
        <v>6.3562442510179826</v>
      </c>
      <c r="GE619">
        <v>6.489378705540604</v>
      </c>
      <c r="GF619">
        <v>7.8937272068277604</v>
      </c>
      <c r="GG619">
        <v>6.462296317706647</v>
      </c>
      <c r="GH619">
        <v>9.260696410677463</v>
      </c>
      <c r="GI619">
        <v>14.598345680957449</v>
      </c>
      <c r="GJ619"/>
      <c r="GK619"/>
      <c r="GL619"/>
      <c r="GM619"/>
      <c r="GN619" s="208"/>
      <c r="GO619" s="208"/>
      <c r="GP619" s="208"/>
      <c r="GQ619" s="208"/>
      <c r="GR619" s="208"/>
      <c r="GS619" s="208"/>
      <c r="GT619" s="208"/>
      <c r="GU619" s="213">
        <v>614</v>
      </c>
    </row>
    <row r="620" spans="1:203" s="7" customFormat="1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4"/>
      <c r="AB620" s="4"/>
      <c r="AC620" s="4"/>
      <c r="AD620" s="4"/>
      <c r="AE620" s="4"/>
      <c r="AF620" s="81"/>
      <c r="AG620" s="81"/>
      <c r="AH620" s="81"/>
      <c r="AI620" s="4"/>
      <c r="AJ620" s="81"/>
      <c r="AK620" s="81"/>
      <c r="AL620" s="81"/>
      <c r="AM620" s="43">
        <v>604</v>
      </c>
      <c r="AN620">
        <v>400.60699928321247</v>
      </c>
      <c r="AO620">
        <v>27.519263631626121</v>
      </c>
      <c r="AP620">
        <v>123.27926012379042</v>
      </c>
      <c r="AQ620">
        <v>201.36565812919352</v>
      </c>
      <c r="AR620">
        <v>28.001076811591794</v>
      </c>
      <c r="AS620">
        <v>295.3525228772836</v>
      </c>
      <c r="AT620">
        <v>14.872620233288673</v>
      </c>
      <c r="AU620">
        <v>49.779368194726317</v>
      </c>
      <c r="AV620"/>
      <c r="AW620"/>
      <c r="FY620" s="213">
        <v>615</v>
      </c>
      <c r="FZ620">
        <v>50.308064639368965</v>
      </c>
      <c r="GA620">
        <v>44.428002910868599</v>
      </c>
      <c r="GB620">
        <v>5.128798280437751</v>
      </c>
      <c r="GC620">
        <v>5.2881678322050618</v>
      </c>
      <c r="GD620">
        <v>4.0969852623727672</v>
      </c>
      <c r="GE620">
        <v>3.5405362729806926</v>
      </c>
      <c r="GF620">
        <v>12.031938605648216</v>
      </c>
      <c r="GG620">
        <v>13.715077718407281</v>
      </c>
      <c r="GH620">
        <v>13.784762902083298</v>
      </c>
      <c r="GI620">
        <v>15.446856822894402</v>
      </c>
      <c r="GJ620"/>
      <c r="GK620"/>
      <c r="GL620"/>
      <c r="GM620"/>
      <c r="GN620" s="208"/>
      <c r="GO620" s="208"/>
      <c r="GP620" s="208"/>
      <c r="GQ620" s="208"/>
      <c r="GR620" s="208"/>
      <c r="GS620" s="208"/>
      <c r="GT620" s="208"/>
      <c r="GU620" s="213">
        <v>615</v>
      </c>
    </row>
    <row r="621" spans="1:203" s="7" customFormat="1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4"/>
      <c r="AB621" s="4"/>
      <c r="AC621" s="4"/>
      <c r="AD621" s="4"/>
      <c r="AE621" s="4"/>
      <c r="AF621" s="81"/>
      <c r="AG621" s="81"/>
      <c r="AH621" s="81"/>
      <c r="AI621" s="4"/>
      <c r="AJ621" s="81"/>
      <c r="AK621" s="81"/>
      <c r="AL621" s="81"/>
      <c r="AM621" s="43">
        <v>605</v>
      </c>
      <c r="AN621">
        <v>261.45620286290909</v>
      </c>
      <c r="AO621">
        <v>25.935274352412542</v>
      </c>
      <c r="AP621">
        <v>68.471756355674444</v>
      </c>
      <c r="AQ621">
        <v>181.74272931334832</v>
      </c>
      <c r="AR621">
        <v>27.887473008390376</v>
      </c>
      <c r="AS621">
        <v>236.61831329285241</v>
      </c>
      <c r="AT621">
        <v>11.706481930113371</v>
      </c>
      <c r="AU621">
        <v>11.125858566462735</v>
      </c>
      <c r="AV621"/>
      <c r="AW621"/>
      <c r="FY621" s="213">
        <v>616</v>
      </c>
      <c r="FZ621">
        <v>41.087730145384398</v>
      </c>
      <c r="GA621">
        <v>21.993101740042171</v>
      </c>
      <c r="GB621">
        <v>6.3389818917955463</v>
      </c>
      <c r="GC621">
        <v>4.3250004518923841</v>
      </c>
      <c r="GD621">
        <v>3.7492474979927728</v>
      </c>
      <c r="GE621">
        <v>2.8312102037311937</v>
      </c>
      <c r="GF621">
        <v>14.635791060694528</v>
      </c>
      <c r="GG621">
        <v>14.632345331776843</v>
      </c>
      <c r="GH621">
        <v>6.7692595204952166</v>
      </c>
      <c r="GI621">
        <v>13.646425217168295</v>
      </c>
      <c r="GJ621"/>
      <c r="GK621"/>
      <c r="GL621"/>
      <c r="GM621"/>
      <c r="GN621" s="208"/>
      <c r="GO621" s="208"/>
      <c r="GP621" s="208"/>
      <c r="GQ621" s="208"/>
      <c r="GR621" s="208"/>
      <c r="GS621" s="208"/>
      <c r="GT621" s="208"/>
      <c r="GU621" s="213">
        <v>616</v>
      </c>
    </row>
    <row r="622" spans="1:203" s="7" customFormat="1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4"/>
      <c r="AB622" s="4"/>
      <c r="AC622" s="4"/>
      <c r="AD622" s="4"/>
      <c r="AE622" s="4"/>
      <c r="AF622" s="81"/>
      <c r="AG622" s="81"/>
      <c r="AH622" s="81"/>
      <c r="AI622" s="4"/>
      <c r="AJ622" s="81"/>
      <c r="AK622" s="81"/>
      <c r="AL622" s="81"/>
      <c r="AM622" s="43">
        <v>606</v>
      </c>
      <c r="AN622">
        <v>301.5362682448648</v>
      </c>
      <c r="AO622">
        <v>27.783601144405317</v>
      </c>
      <c r="AP622">
        <v>67.692335533707237</v>
      </c>
      <c r="AQ622">
        <v>197.46493226437508</v>
      </c>
      <c r="AR622">
        <v>28.829205650494995</v>
      </c>
      <c r="AS622">
        <v>247.65513701902597</v>
      </c>
      <c r="AT622">
        <v>13.678119270886796</v>
      </c>
      <c r="AU622">
        <v>20.920986817769247</v>
      </c>
      <c r="AV622"/>
      <c r="AW622"/>
      <c r="FY622" s="213">
        <v>617</v>
      </c>
      <c r="FZ622">
        <v>48.99217223955138</v>
      </c>
      <c r="GA622">
        <v>50.160350258441824</v>
      </c>
      <c r="GB622">
        <v>8.7861925055209795</v>
      </c>
      <c r="GC622">
        <v>9.7151296507205043</v>
      </c>
      <c r="GD622">
        <v>7.6563364519926376</v>
      </c>
      <c r="GE622">
        <v>4.5459899865984674</v>
      </c>
      <c r="GF622">
        <v>4.8165420992190331</v>
      </c>
      <c r="GG622">
        <v>4.6430171254425652</v>
      </c>
      <c r="GH622">
        <v>17.933499174885874</v>
      </c>
      <c r="GI622">
        <v>17.777702746373809</v>
      </c>
      <c r="GJ622"/>
      <c r="GK622"/>
      <c r="GL622"/>
      <c r="GM622"/>
      <c r="GN622" s="208"/>
      <c r="GO622" s="208"/>
      <c r="GP622" s="208"/>
      <c r="GQ622" s="208"/>
      <c r="GR622" s="208"/>
      <c r="GS622" s="208"/>
      <c r="GT622" s="208"/>
      <c r="GU622" s="213">
        <v>617</v>
      </c>
    </row>
    <row r="623" spans="1:203" s="7" customFormat="1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4"/>
      <c r="AB623" s="4"/>
      <c r="AC623" s="4"/>
      <c r="AD623" s="4"/>
      <c r="AE623" s="4"/>
      <c r="AF623" s="81"/>
      <c r="AG623" s="81"/>
      <c r="AH623" s="81"/>
      <c r="AI623" s="4"/>
      <c r="AJ623" s="81"/>
      <c r="AK623" s="81"/>
      <c r="AL623" s="81"/>
      <c r="AM623" s="43">
        <v>607</v>
      </c>
      <c r="AN623">
        <v>298.75221854480873</v>
      </c>
      <c r="AO623">
        <v>27.994903181803629</v>
      </c>
      <c r="AP623">
        <v>79.131829939851201</v>
      </c>
      <c r="AQ623">
        <v>201.52212320128362</v>
      </c>
      <c r="AR623">
        <v>28.575188944691348</v>
      </c>
      <c r="AS623">
        <v>242.69537514425335</v>
      </c>
      <c r="AT623">
        <v>12.363080558483288</v>
      </c>
      <c r="AU623">
        <v>17.261337884557889</v>
      </c>
      <c r="AV623"/>
      <c r="AW623"/>
      <c r="FY623" s="213">
        <v>618</v>
      </c>
      <c r="FZ623">
        <v>59.912669976782169</v>
      </c>
      <c r="GA623">
        <v>72.097414228377659</v>
      </c>
      <c r="GB623">
        <v>9.4015050789607777</v>
      </c>
      <c r="GC623">
        <v>7.2201331867990595</v>
      </c>
      <c r="GD623">
        <v>5.6033024498726949</v>
      </c>
      <c r="GE623">
        <v>3.5005033094299582</v>
      </c>
      <c r="GF623">
        <v>8.5543352916754749</v>
      </c>
      <c r="GG623">
        <v>9.8203738202541171</v>
      </c>
      <c r="GH623">
        <v>13.39894971013964</v>
      </c>
      <c r="GI623">
        <v>18.317823056086706</v>
      </c>
      <c r="GJ623"/>
      <c r="GK623"/>
      <c r="GL623"/>
      <c r="GM623"/>
      <c r="GN623" s="208"/>
      <c r="GO623" s="208"/>
      <c r="GP623" s="208"/>
      <c r="GQ623" s="208"/>
      <c r="GR623" s="208"/>
      <c r="GS623" s="208"/>
      <c r="GT623" s="208"/>
      <c r="GU623" s="213">
        <v>618</v>
      </c>
    </row>
    <row r="624" spans="1:203" s="7" customFormat="1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4"/>
      <c r="AB624" s="4"/>
      <c r="AC624" s="4"/>
      <c r="AD624" s="4"/>
      <c r="AE624" s="4"/>
      <c r="AF624" s="81"/>
      <c r="AG624" s="81"/>
      <c r="AH624" s="81"/>
      <c r="AI624" s="4"/>
      <c r="AJ624" s="81"/>
      <c r="AK624" s="81"/>
      <c r="AL624" s="81"/>
      <c r="AM624" s="43">
        <v>608</v>
      </c>
      <c r="AN624">
        <v>273.68336064890786</v>
      </c>
      <c r="AO624">
        <v>30.255936646354769</v>
      </c>
      <c r="AP624">
        <v>99.777588844242388</v>
      </c>
      <c r="AQ624">
        <v>233.95594186495873</v>
      </c>
      <c r="AR624">
        <v>30.592343431644515</v>
      </c>
      <c r="AS624">
        <v>250.40998734851243</v>
      </c>
      <c r="AT624">
        <v>15.127531513574388</v>
      </c>
      <c r="AU624">
        <v>20.07505130089023</v>
      </c>
      <c r="AV624"/>
      <c r="AW624"/>
      <c r="FY624" s="213">
        <v>619</v>
      </c>
      <c r="FZ624">
        <v>50.011344500629647</v>
      </c>
      <c r="GA624">
        <v>76.195373649379832</v>
      </c>
      <c r="GB624">
        <v>20.589048691962255</v>
      </c>
      <c r="GC624">
        <v>7.2582240770497783</v>
      </c>
      <c r="GD624">
        <v>5.4042454750865874</v>
      </c>
      <c r="GE624">
        <v>4.4465846987571815</v>
      </c>
      <c r="GF624">
        <v>33.970043135845124</v>
      </c>
      <c r="GG624">
        <v>29.631755516872442</v>
      </c>
      <c r="GH624">
        <v>20.782656760043491</v>
      </c>
      <c r="GI624">
        <v>26.016686561723919</v>
      </c>
      <c r="GJ624"/>
      <c r="GK624"/>
      <c r="GL624"/>
      <c r="GM624"/>
      <c r="GN624" s="208"/>
      <c r="GO624" s="208"/>
      <c r="GP624" s="208"/>
      <c r="GQ624" s="208"/>
      <c r="GR624" s="208"/>
      <c r="GS624" s="208"/>
      <c r="GT624" s="208"/>
      <c r="GU624" s="213">
        <v>619</v>
      </c>
    </row>
    <row r="625" spans="1:203" s="7" customFormat="1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4"/>
      <c r="AB625" s="4"/>
      <c r="AC625" s="4"/>
      <c r="AD625" s="4"/>
      <c r="AE625" s="4"/>
      <c r="AF625" s="81"/>
      <c r="AG625" s="81"/>
      <c r="AH625" s="81"/>
      <c r="AI625" s="4"/>
      <c r="AJ625" s="81"/>
      <c r="AK625" s="81"/>
      <c r="AL625" s="81"/>
      <c r="AM625" s="43">
        <v>609</v>
      </c>
      <c r="AN625">
        <v>354.71203482125691</v>
      </c>
      <c r="AO625">
        <v>28.470402022966539</v>
      </c>
      <c r="AP625">
        <v>92.39521869443422</v>
      </c>
      <c r="AQ625">
        <v>216.74673134794955</v>
      </c>
      <c r="AR625">
        <v>29.702372582283662</v>
      </c>
      <c r="AS625">
        <v>294.11909394143743</v>
      </c>
      <c r="AT625">
        <v>15.044653728458087</v>
      </c>
      <c r="AU625">
        <v>62.671544011682343</v>
      </c>
      <c r="AV625"/>
      <c r="AW625"/>
      <c r="FY625" s="213">
        <v>620</v>
      </c>
      <c r="FZ625">
        <v>34.463829151908435</v>
      </c>
      <c r="GA625">
        <v>60.069415063204467</v>
      </c>
      <c r="GB625">
        <v>18.63492680491618</v>
      </c>
      <c r="GC625">
        <v>6.8798895548719594</v>
      </c>
      <c r="GD625">
        <v>6.3493297167168459</v>
      </c>
      <c r="GE625">
        <v>6.11133286884185</v>
      </c>
      <c r="GF625">
        <v>24.246078848022794</v>
      </c>
      <c r="GG625">
        <v>20.57320835043695</v>
      </c>
      <c r="GH625">
        <v>6.2516733070536894</v>
      </c>
      <c r="GI625">
        <v>19.630221510196112</v>
      </c>
      <c r="GJ625"/>
      <c r="GK625"/>
      <c r="GL625"/>
      <c r="GM625"/>
      <c r="GN625" s="208"/>
      <c r="GO625" s="208"/>
      <c r="GP625" s="208"/>
      <c r="GQ625" s="208"/>
      <c r="GR625" s="208"/>
      <c r="GS625" s="208"/>
      <c r="GT625" s="208"/>
      <c r="GU625" s="213">
        <v>620</v>
      </c>
    </row>
    <row r="626" spans="1:203" s="7" customFormat="1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81"/>
      <c r="AG626" s="81"/>
      <c r="AH626" s="81"/>
      <c r="AI626" s="4"/>
      <c r="AJ626" s="81"/>
      <c r="AK626" s="81"/>
      <c r="AL626" s="81"/>
      <c r="AM626" s="43">
        <v>610</v>
      </c>
      <c r="AN626">
        <v>285.17087222687871</v>
      </c>
      <c r="AO626">
        <v>29.170844302176413</v>
      </c>
      <c r="AP626">
        <v>81.490488544572827</v>
      </c>
      <c r="AQ626">
        <v>191.17244939389087</v>
      </c>
      <c r="AR626">
        <v>31.256990393801239</v>
      </c>
      <c r="AS626">
        <v>240.75470510122557</v>
      </c>
      <c r="AT626">
        <v>10.660866564414542</v>
      </c>
      <c r="AU626">
        <v>0.42348533538586963</v>
      </c>
      <c r="AV626"/>
      <c r="AW626"/>
      <c r="FY626" s="213">
        <v>621</v>
      </c>
      <c r="FZ626">
        <v>45.918277861489472</v>
      </c>
      <c r="GA626">
        <v>67.466136374654496</v>
      </c>
      <c r="GB626">
        <v>22.066030301755138</v>
      </c>
      <c r="GC626">
        <v>6.1475756556867038</v>
      </c>
      <c r="GD626">
        <v>4.6132490453679162</v>
      </c>
      <c r="GE626">
        <v>1.9395292671583753</v>
      </c>
      <c r="GF626">
        <v>7.1009455147402019</v>
      </c>
      <c r="GG626">
        <v>9.0677208742780184</v>
      </c>
      <c r="GH626">
        <v>20.859122166214476</v>
      </c>
      <c r="GI626">
        <v>20.582100554958394</v>
      </c>
      <c r="GJ626"/>
      <c r="GK626"/>
      <c r="GL626"/>
      <c r="GM626"/>
      <c r="GN626" s="208"/>
      <c r="GO626" s="208"/>
      <c r="GP626" s="208"/>
      <c r="GQ626" s="208"/>
      <c r="GR626" s="208"/>
      <c r="GS626" s="208"/>
      <c r="GT626" s="208"/>
      <c r="GU626" s="213">
        <v>621</v>
      </c>
    </row>
    <row r="627" spans="1:203" s="7" customFormat="1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81"/>
      <c r="AG627" s="81"/>
      <c r="AH627" s="81"/>
      <c r="AI627" s="4"/>
      <c r="AJ627" s="81"/>
      <c r="AK627" s="81"/>
      <c r="AL627" s="81"/>
      <c r="AM627" s="43">
        <v>611</v>
      </c>
      <c r="AN627">
        <v>358.52099725369379</v>
      </c>
      <c r="AO627">
        <v>35.406632793561656</v>
      </c>
      <c r="AP627">
        <v>93.884167445875221</v>
      </c>
      <c r="AQ627">
        <v>258.15592337987647</v>
      </c>
      <c r="AR627">
        <v>36.520814324546414</v>
      </c>
      <c r="AS627">
        <v>310.37931841119223</v>
      </c>
      <c r="AT627">
        <v>16.815943387415288</v>
      </c>
      <c r="AU627">
        <v>-1.9349934422444619</v>
      </c>
      <c r="AV627"/>
      <c r="AW627"/>
      <c r="FY627" s="213">
        <v>622</v>
      </c>
      <c r="FZ627">
        <v>50.95776541049463</v>
      </c>
      <c r="GA627">
        <v>48.230537754658968</v>
      </c>
      <c r="GB627">
        <v>5.4241185323986789</v>
      </c>
      <c r="GC627">
        <v>6.6055397203015209</v>
      </c>
      <c r="GD627">
        <v>4.7473194137285706</v>
      </c>
      <c r="GE627">
        <v>3.3172676678819033</v>
      </c>
      <c r="GF627">
        <v>32.820345938002362</v>
      </c>
      <c r="GG627">
        <v>30.120767651375356</v>
      </c>
      <c r="GH627">
        <v>6.6732391607060473</v>
      </c>
      <c r="GI627">
        <v>18.578321111246385</v>
      </c>
      <c r="GJ627"/>
      <c r="GK627"/>
      <c r="GL627"/>
      <c r="GM627"/>
      <c r="GN627" s="208"/>
      <c r="GO627" s="208"/>
      <c r="GP627" s="208"/>
      <c r="GQ627" s="208"/>
      <c r="GR627" s="208"/>
      <c r="GS627" s="208"/>
      <c r="GT627" s="208"/>
      <c r="GU627" s="213">
        <v>622</v>
      </c>
    </row>
    <row r="628" spans="1:203" s="7" customFormat="1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81"/>
      <c r="AG628" s="81"/>
      <c r="AH628" s="81"/>
      <c r="AI628" s="4"/>
      <c r="AJ628" s="81"/>
      <c r="AK628" s="81"/>
      <c r="AL628" s="81"/>
      <c r="AM628" s="43">
        <v>612</v>
      </c>
      <c r="AN628">
        <v>269.21637264135336</v>
      </c>
      <c r="AO628">
        <v>24.166178754631296</v>
      </c>
      <c r="AP628">
        <v>162.72661889337905</v>
      </c>
      <c r="AQ628">
        <v>186.07813619212746</v>
      </c>
      <c r="AR628">
        <v>23.671136212863814</v>
      </c>
      <c r="AS628">
        <v>212.11013901848042</v>
      </c>
      <c r="AT628">
        <v>12.562008253649614</v>
      </c>
      <c r="AU628">
        <v>105.28968152587767</v>
      </c>
      <c r="AV628"/>
      <c r="AW628"/>
      <c r="FY628" s="213">
        <v>623</v>
      </c>
      <c r="FZ628">
        <v>50.617462321241632</v>
      </c>
      <c r="GA628">
        <v>46.412859429242282</v>
      </c>
      <c r="GB628">
        <v>8.4804558259223057</v>
      </c>
      <c r="GC628">
        <v>4.9809929195039064</v>
      </c>
      <c r="GD628">
        <v>4.0646996908996185</v>
      </c>
      <c r="GE628">
        <v>6.165172447009347</v>
      </c>
      <c r="GF628">
        <v>22.725137970549838</v>
      </c>
      <c r="GG628">
        <v>17.527989908290369</v>
      </c>
      <c r="GH628">
        <v>13.274703416241403</v>
      </c>
      <c r="GI628">
        <v>18.29276866734817</v>
      </c>
      <c r="GJ628"/>
      <c r="GK628"/>
      <c r="GL628"/>
      <c r="GM628"/>
      <c r="GN628" s="208"/>
      <c r="GO628" s="208"/>
      <c r="GP628" s="208"/>
      <c r="GQ628" s="208"/>
      <c r="GR628" s="208"/>
      <c r="GS628" s="208"/>
      <c r="GT628" s="208"/>
      <c r="GU628" s="213">
        <v>623</v>
      </c>
    </row>
    <row r="629" spans="1:203" s="7" customFormat="1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  <c r="AA629" s="4"/>
      <c r="AB629" s="4"/>
      <c r="AC629" s="4"/>
      <c r="AD629" s="4"/>
      <c r="AE629" s="4"/>
      <c r="AF629" s="81"/>
      <c r="AG629" s="81"/>
      <c r="AH629" s="81"/>
      <c r="AI629" s="4"/>
      <c r="AJ629" s="81"/>
      <c r="AK629" s="81"/>
      <c r="AL629" s="81"/>
      <c r="AM629" s="43">
        <v>613</v>
      </c>
      <c r="AN629">
        <v>360.89720647480573</v>
      </c>
      <c r="AO629">
        <v>27.815780317045146</v>
      </c>
      <c r="AP629">
        <v>95.369595653478612</v>
      </c>
      <c r="AQ629">
        <v>206.2091921924777</v>
      </c>
      <c r="AR629">
        <v>28.725587643652915</v>
      </c>
      <c r="AS629">
        <v>285.98355225997369</v>
      </c>
      <c r="AT629">
        <v>13.94685328730688</v>
      </c>
      <c r="AU629">
        <v>19.702009256786575</v>
      </c>
      <c r="AV629"/>
      <c r="AW629"/>
      <c r="FY629" s="213">
        <v>624</v>
      </c>
      <c r="FZ629">
        <v>40.417957576561463</v>
      </c>
      <c r="GA629">
        <v>47.501038658475181</v>
      </c>
      <c r="GB629">
        <v>11.601628249473595</v>
      </c>
      <c r="GC629">
        <v>4.7205606315191559</v>
      </c>
      <c r="GD629">
        <v>3.6279964175650545</v>
      </c>
      <c r="GE629">
        <v>4.5976388146189828</v>
      </c>
      <c r="GF629">
        <v>8.109619111908728</v>
      </c>
      <c r="GG629">
        <v>4.9130201808235565</v>
      </c>
      <c r="GH629">
        <v>9.3864573736218766</v>
      </c>
      <c r="GI629">
        <v>14.397067026335101</v>
      </c>
      <c r="GJ629"/>
      <c r="GK629"/>
      <c r="GL629"/>
      <c r="GM629"/>
      <c r="GN629" s="208"/>
      <c r="GO629" s="208"/>
      <c r="GP629" s="208"/>
      <c r="GQ629" s="208"/>
      <c r="GR629" s="208"/>
      <c r="GS629" s="208"/>
      <c r="GT629" s="208"/>
      <c r="GU629" s="213">
        <v>624</v>
      </c>
    </row>
    <row r="630" spans="1:203" s="7" customFormat="1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81"/>
      <c r="AG630" s="81"/>
      <c r="AH630" s="81"/>
      <c r="AI630" s="4"/>
      <c r="AJ630" s="81"/>
      <c r="AK630" s="81"/>
      <c r="AL630" s="81"/>
      <c r="AM630" s="43">
        <v>614</v>
      </c>
      <c r="AN630">
        <v>282.43425427622083</v>
      </c>
      <c r="AO630">
        <v>21.072089131737084</v>
      </c>
      <c r="AP630">
        <v>86.55308315393728</v>
      </c>
      <c r="AQ630">
        <v>147.47453491647644</v>
      </c>
      <c r="AR630">
        <v>21.313603090608758</v>
      </c>
      <c r="AS630">
        <v>210.9462576323115</v>
      </c>
      <c r="AT630">
        <v>10.676792163715518</v>
      </c>
      <c r="AU630">
        <v>9.4999775009776535</v>
      </c>
      <c r="AV630"/>
      <c r="AW630"/>
      <c r="FY630" s="213">
        <v>625</v>
      </c>
      <c r="FZ630">
        <v>47.694917497750147</v>
      </c>
      <c r="GA630">
        <v>39.854086318559879</v>
      </c>
      <c r="GB630">
        <v>12.691829816902491</v>
      </c>
      <c r="GC630">
        <v>4.4356800731450834</v>
      </c>
      <c r="GD630">
        <v>4.8354367636463662</v>
      </c>
      <c r="GE630">
        <v>6.7477102250145569</v>
      </c>
      <c r="GF630">
        <v>20.370929955061918</v>
      </c>
      <c r="GG630">
        <v>18.549082119690279</v>
      </c>
      <c r="GH630">
        <v>23.51134055091617</v>
      </c>
      <c r="GI630">
        <v>20.900821941914156</v>
      </c>
      <c r="GJ630"/>
      <c r="GK630"/>
      <c r="GL630"/>
      <c r="GM630"/>
      <c r="GN630" s="208"/>
      <c r="GO630" s="208"/>
      <c r="GP630" s="208"/>
      <c r="GQ630" s="208"/>
      <c r="GR630" s="208"/>
      <c r="GS630" s="208"/>
      <c r="GT630" s="208"/>
      <c r="GU630" s="213">
        <v>625</v>
      </c>
    </row>
    <row r="631" spans="1:203" s="7" customFormat="1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4"/>
      <c r="AB631" s="4"/>
      <c r="AC631" s="4"/>
      <c r="AD631" s="4"/>
      <c r="AE631" s="4"/>
      <c r="AF631" s="81"/>
      <c r="AG631" s="81"/>
      <c r="AH631" s="81"/>
      <c r="AI631" s="4"/>
      <c r="AJ631" s="81"/>
      <c r="AK631" s="81"/>
      <c r="AL631" s="81"/>
      <c r="AM631" s="43">
        <v>615</v>
      </c>
      <c r="AN631">
        <v>227.66574906290552</v>
      </c>
      <c r="AO631">
        <v>21.725055480217623</v>
      </c>
      <c r="AP631">
        <v>106.12383213948047</v>
      </c>
      <c r="AQ631">
        <v>167.76919124726703</v>
      </c>
      <c r="AR631">
        <v>22.200945405818121</v>
      </c>
      <c r="AS631">
        <v>196.45884874524427</v>
      </c>
      <c r="AT631">
        <v>11.80115329931734</v>
      </c>
      <c r="AU631">
        <v>40.734675301361705</v>
      </c>
      <c r="AV631"/>
      <c r="AW631"/>
      <c r="FY631" s="213">
        <v>626</v>
      </c>
      <c r="FZ631">
        <v>53.265431163164301</v>
      </c>
      <c r="GA631">
        <v>63.173998560667712</v>
      </c>
      <c r="GB631">
        <v>20.089050646140638</v>
      </c>
      <c r="GC631">
        <v>5.5522555012830113</v>
      </c>
      <c r="GD631">
        <v>4.8004504891172646</v>
      </c>
      <c r="GE631">
        <v>3.9098984495956817</v>
      </c>
      <c r="GF631">
        <v>21.547864296089234</v>
      </c>
      <c r="GG631">
        <v>21.733792182117568</v>
      </c>
      <c r="GH631">
        <v>11.791810252960103</v>
      </c>
      <c r="GI631">
        <v>22.255841892774097</v>
      </c>
      <c r="GJ631"/>
      <c r="GK631"/>
      <c r="GL631"/>
      <c r="GM631"/>
      <c r="GN631" s="208"/>
      <c r="GO631" s="208"/>
      <c r="GP631" s="208"/>
      <c r="GQ631" s="208"/>
      <c r="GR631" s="208"/>
      <c r="GS631" s="208"/>
      <c r="GT631" s="208"/>
      <c r="GU631" s="213">
        <v>626</v>
      </c>
    </row>
    <row r="632" spans="1:203" s="7" customFormat="1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81"/>
      <c r="AG632" s="81"/>
      <c r="AH632" s="81"/>
      <c r="AI632" s="4"/>
      <c r="AJ632" s="81"/>
      <c r="AK632" s="81"/>
      <c r="AL632" s="81"/>
      <c r="AM632" s="43">
        <v>616</v>
      </c>
      <c r="AN632">
        <v>205.99002136815201</v>
      </c>
      <c r="AO632">
        <v>18.375976926528484</v>
      </c>
      <c r="AP632">
        <v>43.720063343570679</v>
      </c>
      <c r="AQ632">
        <v>130.00909306097333</v>
      </c>
      <c r="AR632">
        <v>20.409075286991541</v>
      </c>
      <c r="AS632">
        <v>178.596774809452</v>
      </c>
      <c r="AT632">
        <v>9.2215150099896626</v>
      </c>
      <c r="AU632">
        <v>40.109656110037584</v>
      </c>
      <c r="AV632"/>
      <c r="AW632"/>
      <c r="FY632" s="213">
        <v>627</v>
      </c>
      <c r="FZ632">
        <v>55.021774490897315</v>
      </c>
      <c r="GA632">
        <v>42.510156646323985</v>
      </c>
      <c r="GB632">
        <v>7.7058159926883665</v>
      </c>
      <c r="GC632">
        <v>4.3368219122082809</v>
      </c>
      <c r="GD632">
        <v>4.0712548524550813</v>
      </c>
      <c r="GE632">
        <v>3.7486714134370969</v>
      </c>
      <c r="GF632">
        <v>8.1692530739457734</v>
      </c>
      <c r="GG632">
        <v>11.924614500222052</v>
      </c>
      <c r="GH632">
        <v>17.747016085772675</v>
      </c>
      <c r="GI632">
        <v>16.749622770045313</v>
      </c>
      <c r="GJ632"/>
      <c r="GK632"/>
      <c r="GL632"/>
      <c r="GM632"/>
      <c r="GN632" s="208"/>
      <c r="GO632" s="208"/>
      <c r="GP632" s="208"/>
      <c r="GQ632" s="208"/>
      <c r="GR632" s="208"/>
      <c r="GS632" s="208"/>
      <c r="GT632" s="208"/>
      <c r="GU632" s="213">
        <v>627</v>
      </c>
    </row>
    <row r="633" spans="1:203" s="7" customFormat="1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81"/>
      <c r="AG633" s="81"/>
      <c r="AH633" s="81"/>
      <c r="AI633" s="4"/>
      <c r="AJ633" s="81"/>
      <c r="AK633" s="81"/>
      <c r="AL633" s="81"/>
      <c r="AM633" s="43">
        <v>617</v>
      </c>
      <c r="AN633">
        <v>288.56360886190566</v>
      </c>
      <c r="AO633">
        <v>24.776670439504812</v>
      </c>
      <c r="AP633">
        <v>86.767708263664048</v>
      </c>
      <c r="AQ633">
        <v>175.02693223874704</v>
      </c>
      <c r="AR633">
        <v>25.953163021928535</v>
      </c>
      <c r="AS633">
        <v>228.49099090440075</v>
      </c>
      <c r="AT633">
        <v>12.321294392388346</v>
      </c>
      <c r="AU633">
        <v>13.309120335826004</v>
      </c>
      <c r="AV633"/>
      <c r="AW633"/>
      <c r="FY633" s="213">
        <v>628</v>
      </c>
      <c r="FZ633">
        <v>25.131342751070331</v>
      </c>
      <c r="GA633">
        <v>44.873028209539292</v>
      </c>
      <c r="GB633">
        <v>13.040570179024837</v>
      </c>
      <c r="GC633">
        <v>7.6202697098424599</v>
      </c>
      <c r="GD633">
        <v>6.0581877546927743</v>
      </c>
      <c r="GE633">
        <v>3.0874692211898944</v>
      </c>
      <c r="GF633">
        <v>11.710295975629565</v>
      </c>
      <c r="GG633">
        <v>13.618584277430394</v>
      </c>
      <c r="GH633">
        <v>18.422588747747223</v>
      </c>
      <c r="GI633">
        <v>16.008853367465836</v>
      </c>
      <c r="GJ633"/>
      <c r="GK633"/>
      <c r="GL633"/>
      <c r="GM633"/>
      <c r="GN633" s="208"/>
      <c r="GO633" s="208"/>
      <c r="GP633" s="208"/>
      <c r="GQ633" s="208"/>
      <c r="GR633" s="208"/>
      <c r="GS633" s="208"/>
      <c r="GT633" s="208"/>
      <c r="GU633" s="213">
        <v>628</v>
      </c>
    </row>
    <row r="634" spans="1:203" s="7" customFormat="1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81"/>
      <c r="AG634" s="81"/>
      <c r="AH634" s="81"/>
      <c r="AI634" s="4"/>
      <c r="AJ634" s="81"/>
      <c r="AK634" s="81"/>
      <c r="AL634" s="81"/>
      <c r="AM634" s="43">
        <v>618</v>
      </c>
      <c r="AN634">
        <v>303.75919647062676</v>
      </c>
      <c r="AO634">
        <v>26.696934332022028</v>
      </c>
      <c r="AP634">
        <v>102.59130584008835</v>
      </c>
      <c r="AQ634">
        <v>207.82701010837823</v>
      </c>
      <c r="AR634">
        <v>26.219665752380504</v>
      </c>
      <c r="AS634">
        <v>248.124761944997</v>
      </c>
      <c r="AT634">
        <v>13.590632025610622</v>
      </c>
      <c r="AU634">
        <v>-3.7236081284359521</v>
      </c>
      <c r="AV634"/>
      <c r="AW634"/>
      <c r="FY634" s="213">
        <v>629</v>
      </c>
      <c r="FZ634">
        <v>26.025130374789416</v>
      </c>
      <c r="GA634">
        <v>44.314729814228023</v>
      </c>
      <c r="GB634">
        <v>16.796872008105698</v>
      </c>
      <c r="GC634">
        <v>5.8871785343818681</v>
      </c>
      <c r="GD634">
        <v>5.743071249797703</v>
      </c>
      <c r="GE634">
        <v>7.2387233227081076</v>
      </c>
      <c r="GF634">
        <v>18.747320630950959</v>
      </c>
      <c r="GG634">
        <v>15.303516410357741</v>
      </c>
      <c r="GH634">
        <v>9.7258020583675862</v>
      </c>
      <c r="GI634">
        <v>17.065904401398683</v>
      </c>
      <c r="GJ634"/>
      <c r="GK634"/>
      <c r="GL634"/>
      <c r="GM634"/>
      <c r="GN634" s="208"/>
      <c r="GO634" s="208"/>
      <c r="GP634" s="208"/>
      <c r="GQ634" s="208"/>
      <c r="GR634" s="208"/>
      <c r="GS634" s="208"/>
      <c r="GT634" s="208"/>
      <c r="GU634" s="213">
        <v>629</v>
      </c>
    </row>
    <row r="635" spans="1:203" s="7" customFormat="1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  <c r="AA635" s="4"/>
      <c r="AB635" s="4"/>
      <c r="AC635" s="4"/>
      <c r="AD635" s="4"/>
      <c r="AE635" s="4"/>
      <c r="AF635" s="81"/>
      <c r="AG635" s="81"/>
      <c r="AH635" s="81"/>
      <c r="AI635" s="4"/>
      <c r="AJ635" s="81"/>
      <c r="AK635" s="81"/>
      <c r="AL635" s="81"/>
      <c r="AM635" s="43">
        <v>619</v>
      </c>
      <c r="AN635">
        <v>400.86453976026507</v>
      </c>
      <c r="AO635">
        <v>38.316216107887676</v>
      </c>
      <c r="AP635">
        <v>108.67705473129203</v>
      </c>
      <c r="AQ635">
        <v>274.30596306735026</v>
      </c>
      <c r="AR635">
        <v>38.794144003722181</v>
      </c>
      <c r="AS635">
        <v>336.2003371069037</v>
      </c>
      <c r="AT635">
        <v>15.862885101306924</v>
      </c>
      <c r="AU635">
        <v>-12.290572753937777</v>
      </c>
      <c r="AV635"/>
      <c r="AW635"/>
      <c r="FY635" s="213">
        <v>630</v>
      </c>
      <c r="FZ635">
        <v>29.446633631884954</v>
      </c>
      <c r="GA635">
        <v>53.504806809044069</v>
      </c>
      <c r="GB635">
        <v>16.085285797201642</v>
      </c>
      <c r="GC635">
        <v>5.7667317645291458</v>
      </c>
      <c r="GD635">
        <v>4.8887838897920064</v>
      </c>
      <c r="GE635">
        <v>5.2865043663870877</v>
      </c>
      <c r="GF635">
        <v>30.597422659109977</v>
      </c>
      <c r="GG635">
        <v>27.264857519526235</v>
      </c>
      <c r="GH635">
        <v>7.1738268755140453</v>
      </c>
      <c r="GI635">
        <v>18.571706501541009</v>
      </c>
      <c r="GJ635"/>
      <c r="GK635"/>
      <c r="GL635"/>
      <c r="GM635"/>
      <c r="GN635" s="208"/>
      <c r="GO635" s="208"/>
      <c r="GP635" s="208"/>
      <c r="GQ635" s="208"/>
      <c r="GR635" s="208"/>
      <c r="GS635" s="208"/>
      <c r="GT635" s="208"/>
      <c r="GU635" s="213">
        <v>630</v>
      </c>
    </row>
    <row r="636" spans="1:203" s="7" customFormat="1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4"/>
      <c r="AB636" s="4"/>
      <c r="AC636" s="4"/>
      <c r="AD636" s="4"/>
      <c r="AE636" s="4"/>
      <c r="AF636" s="81"/>
      <c r="AG636" s="81"/>
      <c r="AH636" s="81"/>
      <c r="AI636" s="4"/>
      <c r="AJ636" s="81"/>
      <c r="AK636" s="81"/>
      <c r="AL636" s="81"/>
      <c r="AM636" s="43">
        <v>620</v>
      </c>
      <c r="AN636">
        <v>370.42272465494005</v>
      </c>
      <c r="AO636">
        <v>29.870732216594554</v>
      </c>
      <c r="AP636">
        <v>72.91077112870083</v>
      </c>
      <c r="AQ636">
        <v>203.20990517616929</v>
      </c>
      <c r="AR636">
        <v>29.122688590847478</v>
      </c>
      <c r="AS636">
        <v>286.5486007220502</v>
      </c>
      <c r="AT636">
        <v>12.364688848643054</v>
      </c>
      <c r="AU636">
        <v>2.1848593108042742</v>
      </c>
      <c r="AV636"/>
      <c r="AW636"/>
      <c r="FY636" s="213">
        <v>631</v>
      </c>
      <c r="FZ636">
        <v>34.873361383682457</v>
      </c>
      <c r="GA636">
        <v>51.968808053858865</v>
      </c>
      <c r="GB636">
        <v>20.230631130100168</v>
      </c>
      <c r="GC636">
        <v>8.0016616933393383</v>
      </c>
      <c r="GD636">
        <v>6.5303173286749292</v>
      </c>
      <c r="GE636">
        <v>5.4429634551224888</v>
      </c>
      <c r="GF636">
        <v>14.165293406090397</v>
      </c>
      <c r="GG636">
        <v>14.486040245060307</v>
      </c>
      <c r="GH636">
        <v>21.589879694295579</v>
      </c>
      <c r="GI636">
        <v>20.877549393503966</v>
      </c>
      <c r="GJ636"/>
      <c r="GK636"/>
      <c r="GL636"/>
      <c r="GM636"/>
      <c r="GN636" s="208"/>
      <c r="GO636" s="208"/>
      <c r="GP636" s="208"/>
      <c r="GQ636" s="208"/>
      <c r="GR636" s="208"/>
      <c r="GS636" s="208"/>
      <c r="GT636" s="208"/>
      <c r="GU636" s="213">
        <v>631</v>
      </c>
    </row>
    <row r="637" spans="1:203" s="7" customFormat="1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4"/>
      <c r="AB637" s="4"/>
      <c r="AC637" s="4"/>
      <c r="AD637" s="4"/>
      <c r="AE637" s="4"/>
      <c r="AF637" s="81"/>
      <c r="AG637" s="81"/>
      <c r="AH637" s="81"/>
      <c r="AI637" s="4"/>
      <c r="AJ637" s="81"/>
      <c r="AK637" s="81"/>
      <c r="AL637" s="81"/>
      <c r="AM637" s="43">
        <v>621</v>
      </c>
      <c r="AN637">
        <v>242.5091280305715</v>
      </c>
      <c r="AO637">
        <v>29.593737584203598</v>
      </c>
      <c r="AP637">
        <v>116.92347159033467</v>
      </c>
      <c r="AQ637">
        <v>205.76068761630319</v>
      </c>
      <c r="AR637">
        <v>31.538168816175649</v>
      </c>
      <c r="AS637">
        <v>216.02202766625936</v>
      </c>
      <c r="AT637">
        <v>11.750874402617592</v>
      </c>
      <c r="AU637">
        <v>-105.76160591742945</v>
      </c>
      <c r="AV637"/>
      <c r="AW637"/>
      <c r="FY637" s="213">
        <v>632</v>
      </c>
      <c r="FZ637">
        <v>34.32411862996031</v>
      </c>
      <c r="GA637">
        <v>49.691564698374421</v>
      </c>
      <c r="GB637">
        <v>12.294762177022427</v>
      </c>
      <c r="GC637">
        <v>4.6270946545034066</v>
      </c>
      <c r="GD637">
        <v>3.1919281987465871</v>
      </c>
      <c r="GE637">
        <v>3.5337792481067241</v>
      </c>
      <c r="GF637">
        <v>26.734021234051223</v>
      </c>
      <c r="GG637">
        <v>26.005542840743392</v>
      </c>
      <c r="GH637">
        <v>10.839514454561183</v>
      </c>
      <c r="GI637">
        <v>16.947684456923092</v>
      </c>
      <c r="GJ637"/>
      <c r="GK637"/>
      <c r="GL637"/>
      <c r="GM637"/>
      <c r="GN637" s="208"/>
      <c r="GO637" s="208"/>
      <c r="GP637" s="208"/>
      <c r="GQ637" s="208"/>
      <c r="GR637" s="208"/>
      <c r="GS637" s="208"/>
      <c r="GT637" s="208"/>
      <c r="GU637" s="213">
        <v>632</v>
      </c>
    </row>
    <row r="638" spans="1:203" s="7" customFormat="1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4"/>
      <c r="AB638" s="4"/>
      <c r="AC638" s="4"/>
      <c r="AD638" s="4"/>
      <c r="AE638" s="4"/>
      <c r="AF638" s="81"/>
      <c r="AG638" s="81"/>
      <c r="AH638" s="81"/>
      <c r="AI638" s="4"/>
      <c r="AJ638" s="81"/>
      <c r="AK638" s="81"/>
      <c r="AL638" s="81"/>
      <c r="AM638" s="43">
        <v>622</v>
      </c>
      <c r="AN638">
        <v>342.22835992065927</v>
      </c>
      <c r="AO638">
        <v>27.263023177337026</v>
      </c>
      <c r="AP638">
        <v>98.456017082167037</v>
      </c>
      <c r="AQ638">
        <v>207.47522236079448</v>
      </c>
      <c r="AR638">
        <v>26.392453634332274</v>
      </c>
      <c r="AS638">
        <v>273.48089379769567</v>
      </c>
      <c r="AT638">
        <v>14.499834404497408</v>
      </c>
      <c r="AU638">
        <v>14.26272418303142</v>
      </c>
      <c r="AV638"/>
      <c r="AW638"/>
      <c r="FY638" s="213">
        <v>633</v>
      </c>
      <c r="FZ638">
        <v>57.746534320259073</v>
      </c>
      <c r="GA638">
        <v>45.322434539434006</v>
      </c>
      <c r="GB638">
        <v>9.5053881237767897</v>
      </c>
      <c r="GC638">
        <v>4.4080181752965357</v>
      </c>
      <c r="GD638">
        <v>3.6083576372331372</v>
      </c>
      <c r="GE638">
        <v>4.6883042894087907</v>
      </c>
      <c r="GF638">
        <v>13.573767231245842</v>
      </c>
      <c r="GG638">
        <v>11.666835497777738</v>
      </c>
      <c r="GH638">
        <v>4.9190986159435663</v>
      </c>
      <c r="GI638">
        <v>16.378216642373243</v>
      </c>
      <c r="GJ638"/>
      <c r="GK638"/>
      <c r="GL638"/>
      <c r="GM638"/>
      <c r="GN638" s="208"/>
      <c r="GO638" s="208"/>
      <c r="GP638" s="208"/>
      <c r="GQ638" s="208"/>
      <c r="GR638" s="208"/>
      <c r="GS638" s="208"/>
      <c r="GT638" s="208"/>
      <c r="GU638" s="213">
        <v>633</v>
      </c>
    </row>
    <row r="639" spans="1:203" s="7" customFormat="1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4"/>
      <c r="AB639" s="4"/>
      <c r="AC639" s="4"/>
      <c r="AD639" s="4"/>
      <c r="AE639" s="4"/>
      <c r="AF639" s="81"/>
      <c r="AG639" s="81"/>
      <c r="AH639" s="81"/>
      <c r="AI639" s="4"/>
      <c r="AJ639" s="81"/>
      <c r="AK639" s="81"/>
      <c r="AL639" s="81"/>
      <c r="AM639" s="43">
        <v>623</v>
      </c>
      <c r="AN639">
        <v>317.47071852599026</v>
      </c>
      <c r="AO639">
        <v>25.837265052539305</v>
      </c>
      <c r="AP639">
        <v>93.920397151370764</v>
      </c>
      <c r="AQ639">
        <v>192.54224259624891</v>
      </c>
      <c r="AR639">
        <v>27.009315769988753</v>
      </c>
      <c r="AS639">
        <v>248.4181951472045</v>
      </c>
      <c r="AT639">
        <v>12.77155777113073</v>
      </c>
      <c r="AU639">
        <v>44.440596926286702</v>
      </c>
      <c r="AV639"/>
      <c r="AW639"/>
      <c r="FY639" s="213">
        <v>634</v>
      </c>
      <c r="FZ639">
        <v>55.26108361477381</v>
      </c>
      <c r="GA639">
        <v>89.719212681679949</v>
      </c>
      <c r="GB639">
        <v>23.896565414569604</v>
      </c>
      <c r="GC639">
        <v>5.5270879088389853</v>
      </c>
      <c r="GD639">
        <v>5.4282048512264414</v>
      </c>
      <c r="GE639">
        <v>8.2148656357086782</v>
      </c>
      <c r="GF639">
        <v>20.385150007563656</v>
      </c>
      <c r="GG639">
        <v>15.479368229192069</v>
      </c>
      <c r="GH639">
        <v>11.954943305658045</v>
      </c>
      <c r="GI639">
        <v>23.904910406221695</v>
      </c>
      <c r="GJ639"/>
      <c r="GK639"/>
      <c r="GL639"/>
      <c r="GM639"/>
      <c r="GN639" s="208"/>
      <c r="GO639" s="208"/>
      <c r="GP639" s="208"/>
      <c r="GQ639" s="208"/>
      <c r="GR639" s="208"/>
      <c r="GS639" s="208"/>
      <c r="GT639" s="208"/>
      <c r="GU639" s="213">
        <v>634</v>
      </c>
    </row>
    <row r="640" spans="1:203" s="7" customFormat="1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4"/>
      <c r="AB640" s="4"/>
      <c r="AC640" s="4"/>
      <c r="AD640" s="4"/>
      <c r="AE640" s="4"/>
      <c r="AF640" s="81"/>
      <c r="AG640" s="81"/>
      <c r="AH640" s="81"/>
      <c r="AI640" s="4"/>
      <c r="AJ640" s="81"/>
      <c r="AK640" s="81"/>
      <c r="AL640" s="81"/>
      <c r="AM640" s="43">
        <v>624</v>
      </c>
      <c r="AN640">
        <v>221.55168211344744</v>
      </c>
      <c r="AO640">
        <v>20.712089071616589</v>
      </c>
      <c r="AP640">
        <v>76.865412054947583</v>
      </c>
      <c r="AQ640">
        <v>149.27298404090268</v>
      </c>
      <c r="AR640">
        <v>21.464303670664595</v>
      </c>
      <c r="AS640">
        <v>171.26855819955355</v>
      </c>
      <c r="AT640">
        <v>9.5626257543441771</v>
      </c>
      <c r="AU640">
        <v>14.266219995470106</v>
      </c>
      <c r="AV640"/>
      <c r="AW640"/>
      <c r="FY640" s="213">
        <v>635</v>
      </c>
      <c r="FZ640">
        <v>49.085157024618368</v>
      </c>
      <c r="GA640">
        <v>37.106619231970754</v>
      </c>
      <c r="GB640">
        <v>5.0180427314533533</v>
      </c>
      <c r="GC640">
        <v>5.4680284660090548</v>
      </c>
      <c r="GD640">
        <v>6.0795930472112083</v>
      </c>
      <c r="GE640">
        <v>10.878931762157274</v>
      </c>
      <c r="GF640">
        <v>10.930158528312376</v>
      </c>
      <c r="GG640">
        <v>7.0603872724984171</v>
      </c>
      <c r="GH640">
        <v>17.65111462879176</v>
      </c>
      <c r="GI640">
        <v>16.753311797964667</v>
      </c>
      <c r="GJ640"/>
      <c r="GK640"/>
      <c r="GL640"/>
      <c r="GM640"/>
      <c r="GN640" s="208"/>
      <c r="GO640" s="208"/>
      <c r="GP640" s="208"/>
      <c r="GQ640" s="208"/>
      <c r="GR640" s="208"/>
      <c r="GS640" s="208"/>
      <c r="GT640" s="208"/>
      <c r="GU640" s="213">
        <v>635</v>
      </c>
    </row>
    <row r="641" spans="1:203" s="7" customFormat="1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4"/>
      <c r="AB641" s="4"/>
      <c r="AC641" s="4"/>
      <c r="AD641" s="4"/>
      <c r="AE641" s="4"/>
      <c r="AF641" s="81"/>
      <c r="AG641" s="81"/>
      <c r="AH641" s="81"/>
      <c r="AI641" s="4"/>
      <c r="AJ641" s="81"/>
      <c r="AK641" s="81"/>
      <c r="AL641" s="81"/>
      <c r="AM641" s="43">
        <v>625</v>
      </c>
      <c r="AN641">
        <v>318.17232921310267</v>
      </c>
      <c r="AO641">
        <v>27.960207621449889</v>
      </c>
      <c r="AP641">
        <v>81.11067338168418</v>
      </c>
      <c r="AQ641">
        <v>199.59183526260105</v>
      </c>
      <c r="AR641">
        <v>31.000006518665462</v>
      </c>
      <c r="AS641">
        <v>261.76495928805758</v>
      </c>
      <c r="AT641">
        <v>13.276547463712596</v>
      </c>
      <c r="AU641">
        <v>27.417969380224473</v>
      </c>
      <c r="AV641"/>
      <c r="AW641"/>
      <c r="FY641" s="213">
        <v>636</v>
      </c>
      <c r="FZ641">
        <v>63.147615550242371</v>
      </c>
      <c r="GA641">
        <v>65.785537424766758</v>
      </c>
      <c r="GB641">
        <v>13.380472773574098</v>
      </c>
      <c r="GC641">
        <v>6.4069237720940979</v>
      </c>
      <c r="GD641">
        <v>7.4775548997778953</v>
      </c>
      <c r="GE641">
        <v>8.9993555934974072</v>
      </c>
      <c r="GF641">
        <v>12.022740363468499</v>
      </c>
      <c r="GG641">
        <v>13.172231085260611</v>
      </c>
      <c r="GH641">
        <v>13.847395713968632</v>
      </c>
      <c r="GI641">
        <v>21.693754274055312</v>
      </c>
      <c r="GJ641"/>
      <c r="GK641"/>
      <c r="GL641"/>
      <c r="GM641"/>
      <c r="GN641" s="208"/>
      <c r="GO641" s="208"/>
      <c r="GP641" s="208"/>
      <c r="GQ641" s="208"/>
      <c r="GR641" s="208"/>
      <c r="GS641" s="208"/>
      <c r="GT641" s="208"/>
      <c r="GU641" s="213">
        <v>636</v>
      </c>
    </row>
    <row r="642" spans="1:203" s="7" customFormat="1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4"/>
      <c r="AB642" s="4"/>
      <c r="AC642" s="4"/>
      <c r="AD642" s="4"/>
      <c r="AE642" s="4"/>
      <c r="AF642" s="81"/>
      <c r="AG642" s="81"/>
      <c r="AH642" s="81"/>
      <c r="AI642" s="4"/>
      <c r="AJ642" s="81"/>
      <c r="AK642" s="81"/>
      <c r="AL642" s="81"/>
      <c r="AM642" s="43">
        <v>626</v>
      </c>
      <c r="AN642">
        <v>330.862230770373</v>
      </c>
      <c r="AO642">
        <v>32.045606574149602</v>
      </c>
      <c r="AP642">
        <v>66.022327421879993</v>
      </c>
      <c r="AQ642">
        <v>228.12039343390958</v>
      </c>
      <c r="AR642">
        <v>33.372606598916207</v>
      </c>
      <c r="AS642">
        <v>279.33872167281163</v>
      </c>
      <c r="AT642">
        <v>13.426090804125556</v>
      </c>
      <c r="AU642">
        <v>17.934801119405147</v>
      </c>
      <c r="AV642"/>
      <c r="AW642"/>
      <c r="FY642" s="213">
        <v>637</v>
      </c>
      <c r="FZ642">
        <v>56.426604505520537</v>
      </c>
      <c r="GA642">
        <v>56.389958986471861</v>
      </c>
      <c r="GB642">
        <v>16.153958116397966</v>
      </c>
      <c r="GC642">
        <v>4.1878734967178497</v>
      </c>
      <c r="GD642">
        <v>4.0366032536887229</v>
      </c>
      <c r="GE642">
        <v>5.7908121390331324</v>
      </c>
      <c r="GF642">
        <v>16.152747268761008</v>
      </c>
      <c r="GG642">
        <v>13.611194662900402</v>
      </c>
      <c r="GH642">
        <v>12.925079882824063</v>
      </c>
      <c r="GI642">
        <v>20.263513674450373</v>
      </c>
      <c r="GJ642"/>
      <c r="GK642"/>
      <c r="GL642"/>
      <c r="GM642"/>
      <c r="GN642" s="208"/>
      <c r="GO642" s="208"/>
      <c r="GP642" s="208"/>
      <c r="GQ642" s="208"/>
      <c r="GR642" s="208"/>
      <c r="GS642" s="208"/>
      <c r="GT642" s="208"/>
      <c r="GU642" s="213">
        <v>637</v>
      </c>
    </row>
    <row r="643" spans="1:203" s="7" customFormat="1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4"/>
      <c r="AB643" s="4"/>
      <c r="AC643" s="4"/>
      <c r="AD643" s="4"/>
      <c r="AE643" s="4"/>
      <c r="AF643" s="81"/>
      <c r="AG643" s="81"/>
      <c r="AH643" s="81"/>
      <c r="AI643" s="4"/>
      <c r="AJ643" s="81"/>
      <c r="AK643" s="81"/>
      <c r="AL643" s="81"/>
      <c r="AM643" s="43">
        <v>627</v>
      </c>
      <c r="AN643">
        <v>254.85394680170756</v>
      </c>
      <c r="AO643">
        <v>22.853159738981997</v>
      </c>
      <c r="AP643">
        <v>78.903258008765562</v>
      </c>
      <c r="AQ643">
        <v>171.98500173799596</v>
      </c>
      <c r="AR643">
        <v>25.114785675831953</v>
      </c>
      <c r="AS643">
        <v>211.31072251642516</v>
      </c>
      <c r="AT643">
        <v>11.57530046832626</v>
      </c>
      <c r="AU643">
        <v>30.160507766103382</v>
      </c>
      <c r="AV643"/>
      <c r="AW643"/>
      <c r="FY643" s="213">
        <v>638</v>
      </c>
      <c r="FZ643">
        <v>55.028004319828227</v>
      </c>
      <c r="GA643">
        <v>54.630148591193937</v>
      </c>
      <c r="GB643">
        <v>7.1122045378269725</v>
      </c>
      <c r="GC643">
        <v>7.9012815435065109</v>
      </c>
      <c r="GD643">
        <v>6.7239648014600046</v>
      </c>
      <c r="GE643">
        <v>5.039668870025662</v>
      </c>
      <c r="GF643">
        <v>24.180545427123761</v>
      </c>
      <c r="GG643">
        <v>22.255391927901936</v>
      </c>
      <c r="GH643">
        <v>11.261092031806573</v>
      </c>
      <c r="GI643">
        <v>20.075875943062155</v>
      </c>
      <c r="GJ643"/>
      <c r="GK643"/>
      <c r="GL643"/>
      <c r="GM643"/>
      <c r="GN643" s="208"/>
      <c r="GO643" s="208"/>
      <c r="GP643" s="208"/>
      <c r="GQ643" s="208"/>
      <c r="GR643" s="208"/>
      <c r="GS643" s="208"/>
      <c r="GT643" s="208"/>
      <c r="GU643" s="213">
        <v>638</v>
      </c>
    </row>
    <row r="644" spans="1:203" s="7" customFormat="1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4"/>
      <c r="AB644" s="4"/>
      <c r="AC644" s="4"/>
      <c r="AD644" s="4"/>
      <c r="AE644" s="4"/>
      <c r="AF644" s="81"/>
      <c r="AG644" s="81"/>
      <c r="AH644" s="81"/>
      <c r="AI644" s="4"/>
      <c r="AJ644" s="81"/>
      <c r="AK644" s="81"/>
      <c r="AL644" s="81"/>
      <c r="AM644" s="43">
        <v>628</v>
      </c>
      <c r="AN644">
        <v>277.47616184520018</v>
      </c>
      <c r="AO644">
        <v>23.492031476176699</v>
      </c>
      <c r="AP644">
        <v>102.31442692210959</v>
      </c>
      <c r="AQ644">
        <v>159.57119019363259</v>
      </c>
      <c r="AR644">
        <v>23.488872080249436</v>
      </c>
      <c r="AS644">
        <v>207.90579699267056</v>
      </c>
      <c r="AT644">
        <v>9.653914826897994</v>
      </c>
      <c r="AU644">
        <v>0.65686440574694061</v>
      </c>
      <c r="AV644"/>
      <c r="AW644"/>
      <c r="FY644" s="213">
        <v>639</v>
      </c>
      <c r="FZ644">
        <v>35.863572655358787</v>
      </c>
      <c r="GA644">
        <v>51.593954466282959</v>
      </c>
      <c r="GB644">
        <v>14.377521052786317</v>
      </c>
      <c r="GC644">
        <v>3.4157365794430943</v>
      </c>
      <c r="GD644">
        <v>3.9452274172040345</v>
      </c>
      <c r="GE644">
        <v>5.609876180581737</v>
      </c>
      <c r="GF644">
        <v>13.704438790197937</v>
      </c>
      <c r="GG644">
        <v>12.947425084241178</v>
      </c>
      <c r="GH644">
        <v>9.6164297681141164</v>
      </c>
      <c r="GI644">
        <v>15.799476737097207</v>
      </c>
      <c r="GJ644"/>
      <c r="GK644"/>
      <c r="GL644"/>
      <c r="GM644"/>
      <c r="GN644" s="208"/>
      <c r="GO644" s="208"/>
      <c r="GP644" s="208"/>
      <c r="GQ644" s="208"/>
      <c r="GR644" s="208"/>
      <c r="GS644" s="208"/>
      <c r="GT644" s="208"/>
      <c r="GU644" s="213">
        <v>639</v>
      </c>
    </row>
    <row r="645" spans="1:203" s="7" customFormat="1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4"/>
      <c r="AB645" s="4"/>
      <c r="AC645" s="4"/>
      <c r="AD645" s="4"/>
      <c r="AE645" s="4"/>
      <c r="AF645" s="81"/>
      <c r="AG645" s="81"/>
      <c r="AH645" s="81"/>
      <c r="AI645" s="4"/>
      <c r="AJ645" s="81"/>
      <c r="AK645" s="81"/>
      <c r="AL645" s="81"/>
      <c r="AM645" s="43">
        <v>629</v>
      </c>
      <c r="AN645">
        <v>322.33593539729497</v>
      </c>
      <c r="AO645">
        <v>25.152778492729468</v>
      </c>
      <c r="AP645">
        <v>92.411306253684231</v>
      </c>
      <c r="AQ645">
        <v>166.84824880508577</v>
      </c>
      <c r="AR645">
        <v>25.272268213972396</v>
      </c>
      <c r="AS645">
        <v>249.49743223011268</v>
      </c>
      <c r="AT645">
        <v>10.692901781841348</v>
      </c>
      <c r="AU645">
        <v>22.019437346427146</v>
      </c>
      <c r="AV645"/>
      <c r="AW645"/>
      <c r="FY645" s="213">
        <v>640</v>
      </c>
      <c r="FZ645">
        <v>56.035690210636034</v>
      </c>
      <c r="GA645">
        <v>75.816296211267584</v>
      </c>
      <c r="GB645">
        <v>20.315645676898534</v>
      </c>
      <c r="GC645">
        <v>6.5161616086269269</v>
      </c>
      <c r="GD645">
        <v>6.0207517719790777</v>
      </c>
      <c r="GE645">
        <v>5.7496806752450995</v>
      </c>
      <c r="GF645">
        <v>20.583883139700486</v>
      </c>
      <c r="GG645">
        <v>20.274609443400788</v>
      </c>
      <c r="GH645">
        <v>14.710675673759241</v>
      </c>
      <c r="GI645">
        <v>23.704138663380014</v>
      </c>
      <c r="GJ645"/>
      <c r="GK645"/>
      <c r="GL645"/>
      <c r="GM645"/>
      <c r="GN645" s="208"/>
      <c r="GO645" s="208"/>
      <c r="GP645" s="208"/>
      <c r="GQ645" s="208"/>
      <c r="GR645" s="208"/>
      <c r="GS645" s="208"/>
      <c r="GT645" s="208"/>
      <c r="GU645" s="213">
        <v>640</v>
      </c>
    </row>
    <row r="646" spans="1:203" s="7" customFormat="1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4"/>
      <c r="AB646" s="4"/>
      <c r="AC646" s="4"/>
      <c r="AD646" s="4"/>
      <c r="AE646" s="4"/>
      <c r="AF646" s="81"/>
      <c r="AG646" s="81"/>
      <c r="AH646" s="81"/>
      <c r="AI646" s="4"/>
      <c r="AJ646" s="81"/>
      <c r="AK646" s="81"/>
      <c r="AL646" s="81"/>
      <c r="AM646" s="43">
        <v>630</v>
      </c>
      <c r="AN646">
        <v>364.20099125440163</v>
      </c>
      <c r="AO646">
        <v>28.349657025722689</v>
      </c>
      <c r="AP646">
        <v>89.189694190032043</v>
      </c>
      <c r="AQ646">
        <v>198.58655981453015</v>
      </c>
      <c r="AR646">
        <v>27.057324960826744</v>
      </c>
      <c r="AS646">
        <v>290.11909117828066</v>
      </c>
      <c r="AT646">
        <v>11.998466144861219</v>
      </c>
      <c r="AU646">
        <v>-0.15404400459996026</v>
      </c>
      <c r="AV646"/>
      <c r="AW646"/>
      <c r="FY646" s="213">
        <v>641</v>
      </c>
      <c r="FZ646">
        <v>42.937176644731217</v>
      </c>
      <c r="GA646">
        <v>51.232645882472916</v>
      </c>
      <c r="GB646">
        <v>11.786641335667349</v>
      </c>
      <c r="GC646">
        <v>5.3755941318760465</v>
      </c>
      <c r="GD646">
        <v>5.3344744203111532</v>
      </c>
      <c r="GE646">
        <v>5.6720714786916506</v>
      </c>
      <c r="GF646">
        <v>12.228432134889358</v>
      </c>
      <c r="GG646">
        <v>13.190396457963439</v>
      </c>
      <c r="GH646">
        <v>24.18950576545458</v>
      </c>
      <c r="GI646">
        <v>18.818573196933059</v>
      </c>
      <c r="GJ646"/>
      <c r="GK646"/>
      <c r="GL646"/>
      <c r="GM646"/>
      <c r="GN646" s="208"/>
      <c r="GO646" s="208"/>
      <c r="GP646" s="208"/>
      <c r="GQ646" s="208"/>
      <c r="GR646" s="208"/>
      <c r="GS646" s="208"/>
      <c r="GT646" s="208"/>
      <c r="GU646" s="213">
        <v>641</v>
      </c>
    </row>
    <row r="647" spans="1:203" s="7" customFormat="1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4"/>
      <c r="AB647" s="4"/>
      <c r="AC647" s="4"/>
      <c r="AD647" s="4"/>
      <c r="AE647" s="4"/>
      <c r="AF647" s="81"/>
      <c r="AG647" s="81"/>
      <c r="AH647" s="81"/>
      <c r="AI647" s="4"/>
      <c r="AJ647" s="81"/>
      <c r="AK647" s="81"/>
      <c r="AL647" s="81"/>
      <c r="AM647" s="43">
        <v>631</v>
      </c>
      <c r="AN647">
        <v>345.23509361923431</v>
      </c>
      <c r="AO647">
        <v>30.151988873949541</v>
      </c>
      <c r="AP647">
        <v>148.21184678448577</v>
      </c>
      <c r="AQ647">
        <v>198.16650578372847</v>
      </c>
      <c r="AR647">
        <v>31.844133094859068</v>
      </c>
      <c r="AS647">
        <v>276.13423290395855</v>
      </c>
      <c r="AT647">
        <v>13.752748457210016</v>
      </c>
      <c r="AU647">
        <v>163.50790337295348</v>
      </c>
      <c r="AV647"/>
      <c r="AW647"/>
      <c r="FY647" s="213">
        <v>642</v>
      </c>
      <c r="FZ647">
        <v>77.436101740120506</v>
      </c>
      <c r="GA647">
        <v>91.540078203420748</v>
      </c>
      <c r="GB647">
        <v>15.477138116534036</v>
      </c>
      <c r="GC647">
        <v>5.7581913050027076</v>
      </c>
      <c r="GD647">
        <v>6.1105981556074944</v>
      </c>
      <c r="GE647">
        <v>8.1310769064339912</v>
      </c>
      <c r="GF647">
        <v>9.3588096761529229</v>
      </c>
      <c r="GG647">
        <v>7.3932820826941192</v>
      </c>
      <c r="GH647">
        <v>8.5002014217344648</v>
      </c>
      <c r="GI647">
        <v>22.411153722328837</v>
      </c>
      <c r="GJ647"/>
      <c r="GK647"/>
      <c r="GL647"/>
      <c r="GM647"/>
      <c r="GN647" s="208"/>
      <c r="GO647" s="208"/>
      <c r="GP647" s="208"/>
      <c r="GQ647" s="208"/>
      <c r="GR647" s="208"/>
      <c r="GS647" s="208"/>
      <c r="GT647" s="208"/>
      <c r="GU647" s="213">
        <v>642</v>
      </c>
    </row>
    <row r="648" spans="1:203" s="7" customFormat="1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4"/>
      <c r="AB648" s="4"/>
      <c r="AC648" s="4"/>
      <c r="AD648" s="4"/>
      <c r="AE648" s="4"/>
      <c r="AF648" s="81"/>
      <c r="AG648" s="81"/>
      <c r="AH648" s="81"/>
      <c r="AI648" s="4"/>
      <c r="AJ648" s="81"/>
      <c r="AK648" s="81"/>
      <c r="AL648" s="81"/>
      <c r="AM648" s="43">
        <v>632</v>
      </c>
      <c r="AN648">
        <v>331.69499084595799</v>
      </c>
      <c r="AO648">
        <v>25.289340786016403</v>
      </c>
      <c r="AP648">
        <v>105.92245868228234</v>
      </c>
      <c r="AQ648">
        <v>188.19001059299276</v>
      </c>
      <c r="AR648">
        <v>24.367393987645585</v>
      </c>
      <c r="AS648">
        <v>245.28200851008867</v>
      </c>
      <c r="AT648">
        <v>11.859009914796147</v>
      </c>
      <c r="AU648">
        <v>16.107289716516345</v>
      </c>
      <c r="AV648"/>
      <c r="AW648"/>
      <c r="FY648" s="213">
        <v>643</v>
      </c>
      <c r="FZ648">
        <v>50.936337705142641</v>
      </c>
      <c r="GA648">
        <v>71.175924789507832</v>
      </c>
      <c r="GB648">
        <v>10.799737367503182</v>
      </c>
      <c r="GC648">
        <v>5.4161522084627718</v>
      </c>
      <c r="GD648">
        <v>5.9753510685548976</v>
      </c>
      <c r="GE648">
        <v>7.0304270489772849</v>
      </c>
      <c r="GF648">
        <v>17.327488019294819</v>
      </c>
      <c r="GG648">
        <v>15.578610499523228</v>
      </c>
      <c r="GH648">
        <v>16.752464587694377</v>
      </c>
      <c r="GI648">
        <v>19.943150422154432</v>
      </c>
      <c r="GJ648"/>
      <c r="GK648"/>
      <c r="GL648"/>
      <c r="GM648"/>
      <c r="GN648" s="208"/>
      <c r="GO648" s="208"/>
      <c r="GP648" s="208"/>
      <c r="GQ648" s="208"/>
      <c r="GR648" s="208"/>
      <c r="GS648" s="208"/>
      <c r="GT648" s="208"/>
      <c r="GU648" s="213">
        <v>643</v>
      </c>
    </row>
    <row r="649" spans="1:203" s="7" customFormat="1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4"/>
      <c r="AB649" s="4"/>
      <c r="AC649" s="4"/>
      <c r="AD649" s="4"/>
      <c r="AE649" s="4"/>
      <c r="AF649" s="81"/>
      <c r="AG649" s="81"/>
      <c r="AH649" s="81"/>
      <c r="AI649" s="4"/>
      <c r="AJ649" s="81"/>
      <c r="AK649" s="81"/>
      <c r="AL649" s="81"/>
      <c r="AM649" s="43">
        <v>633</v>
      </c>
      <c r="AN649">
        <v>262.80851679468208</v>
      </c>
      <c r="AO649">
        <v>22.808328382196517</v>
      </c>
      <c r="AP649">
        <v>47.078851570904355</v>
      </c>
      <c r="AQ649">
        <v>171.81695507274873</v>
      </c>
      <c r="AR649">
        <v>24.19897244318949</v>
      </c>
      <c r="AS649">
        <v>200.35567742902296</v>
      </c>
      <c r="AT649">
        <v>10.695971293816475</v>
      </c>
      <c r="AU649">
        <v>21.44300146995662</v>
      </c>
      <c r="AV649"/>
      <c r="AW649"/>
      <c r="FY649" s="213">
        <v>644</v>
      </c>
      <c r="FZ649">
        <v>80.598221139187515</v>
      </c>
      <c r="GA649">
        <v>90.125937321181809</v>
      </c>
      <c r="GB649">
        <v>16.290610570634914</v>
      </c>
      <c r="GC649">
        <v>5.0100936893509687</v>
      </c>
      <c r="GD649">
        <v>3.6844669846693039</v>
      </c>
      <c r="GE649">
        <v>2.6527370843016658</v>
      </c>
      <c r="GF649">
        <v>25.419382765093122</v>
      </c>
      <c r="GG649">
        <v>23.151567941435111</v>
      </c>
      <c r="GH649">
        <v>6.5349745610350185</v>
      </c>
      <c r="GI649">
        <v>24.325801548305328</v>
      </c>
      <c r="GJ649"/>
      <c r="GK649"/>
      <c r="GL649"/>
      <c r="GM649"/>
      <c r="GN649" s="208"/>
      <c r="GO649" s="208"/>
      <c r="GP649" s="208"/>
      <c r="GQ649" s="208"/>
      <c r="GR649" s="208"/>
      <c r="GS649" s="208"/>
      <c r="GT649" s="208"/>
      <c r="GU649" s="213">
        <v>644</v>
      </c>
    </row>
    <row r="650" spans="1:203" s="7" customFormat="1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4"/>
      <c r="AB650" s="4"/>
      <c r="AC650" s="4"/>
      <c r="AD650" s="4"/>
      <c r="AE650" s="4"/>
      <c r="AF650" s="81"/>
      <c r="AG650" s="81"/>
      <c r="AH650" s="81"/>
      <c r="AI650" s="4"/>
      <c r="AJ650" s="81"/>
      <c r="AK650" s="81"/>
      <c r="AL650" s="81"/>
      <c r="AM650" s="43">
        <v>634</v>
      </c>
      <c r="AN650">
        <v>349.08720011606295</v>
      </c>
      <c r="AO650">
        <v>36.570884813172576</v>
      </c>
      <c r="AP650">
        <v>119.55707802175499</v>
      </c>
      <c r="AQ650">
        <v>259.77139205543295</v>
      </c>
      <c r="AR650">
        <v>36.361454823984388</v>
      </c>
      <c r="AS650">
        <v>290.18610017112496</v>
      </c>
      <c r="AT650">
        <v>14.534430763128801</v>
      </c>
      <c r="AU650">
        <v>-68.508975562352461</v>
      </c>
      <c r="AV650"/>
      <c r="AW650"/>
      <c r="FY650" s="213">
        <v>645</v>
      </c>
      <c r="FZ650">
        <v>58.277337430391675</v>
      </c>
      <c r="GA650">
        <v>57.893196137316941</v>
      </c>
      <c r="GB650">
        <v>12.569592983229526</v>
      </c>
      <c r="GC650">
        <v>8.8044918746375895</v>
      </c>
      <c r="GD650">
        <v>7.2324040239755041</v>
      </c>
      <c r="GE650">
        <v>7.3413475754961315</v>
      </c>
      <c r="GF650">
        <v>13.793291579650752</v>
      </c>
      <c r="GG650">
        <v>11.395031576570387</v>
      </c>
      <c r="GH650">
        <v>9.3015047990066506</v>
      </c>
      <c r="GI650">
        <v>20.194356690355459</v>
      </c>
      <c r="GJ650"/>
      <c r="GK650"/>
      <c r="GL650"/>
      <c r="GM650"/>
      <c r="GN650" s="208"/>
      <c r="GO650" s="208"/>
      <c r="GP650" s="208"/>
      <c r="GQ650" s="208"/>
      <c r="GR650" s="208"/>
      <c r="GS650" s="208"/>
      <c r="GT650" s="208"/>
      <c r="GU650" s="213">
        <v>645</v>
      </c>
    </row>
    <row r="651" spans="1:203" s="7" customFormat="1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4"/>
      <c r="AB651" s="4"/>
      <c r="AC651" s="4"/>
      <c r="AD651" s="4"/>
      <c r="AE651" s="4"/>
      <c r="AF651" s="81"/>
      <c r="AG651" s="81"/>
      <c r="AH651" s="81"/>
      <c r="AI651" s="4"/>
      <c r="AJ651" s="81"/>
      <c r="AK651" s="81"/>
      <c r="AL651" s="81"/>
      <c r="AM651" s="43">
        <v>635</v>
      </c>
      <c r="AN651">
        <v>316.07914088586745</v>
      </c>
      <c r="AO651">
        <v>22.568154339200895</v>
      </c>
      <c r="AP651">
        <v>61.297643048511489</v>
      </c>
      <c r="AQ651">
        <v>166.03134449098724</v>
      </c>
      <c r="AR651">
        <v>24.083131094560809</v>
      </c>
      <c r="AS651">
        <v>247.26635449100777</v>
      </c>
      <c r="AT651">
        <v>12.457539691503483</v>
      </c>
      <c r="AU651">
        <v>20.721505440673013</v>
      </c>
      <c r="AV651"/>
      <c r="AW651"/>
      <c r="FY651" s="213">
        <v>646</v>
      </c>
      <c r="FZ651">
        <v>45.055739086345469</v>
      </c>
      <c r="GA651">
        <v>46.785386669988945</v>
      </c>
      <c r="GB651">
        <v>11.850100014410488</v>
      </c>
      <c r="GC651">
        <v>3.8660720015330128</v>
      </c>
      <c r="GD651">
        <v>4.5552976046554905</v>
      </c>
      <c r="GE651">
        <v>7.1787245567722273</v>
      </c>
      <c r="GF651">
        <v>30.923836300515415</v>
      </c>
      <c r="GG651">
        <v>27.509609101334114</v>
      </c>
      <c r="GH651">
        <v>15.640015479729687</v>
      </c>
      <c r="GI651">
        <v>20.743182835319416</v>
      </c>
      <c r="GJ651"/>
      <c r="GK651"/>
      <c r="GL651"/>
      <c r="GM651"/>
      <c r="GN651" s="208"/>
      <c r="GO651" s="208"/>
      <c r="GP651" s="208"/>
      <c r="GQ651" s="208"/>
      <c r="GR651" s="208"/>
      <c r="GS651" s="208"/>
      <c r="GT651" s="208"/>
      <c r="GU651" s="213">
        <v>646</v>
      </c>
    </row>
    <row r="652" spans="1:203" s="7" customFormat="1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4"/>
      <c r="AB652" s="4"/>
      <c r="AC652" s="4"/>
      <c r="AD652" s="4"/>
      <c r="AE652" s="4"/>
      <c r="AF652" s="81"/>
      <c r="AG652" s="81"/>
      <c r="AH652" s="81"/>
      <c r="AI652" s="4"/>
      <c r="AJ652" s="81"/>
      <c r="AK652" s="81"/>
      <c r="AL652" s="81"/>
      <c r="AM652" s="43">
        <v>636</v>
      </c>
      <c r="AN652">
        <v>359.37888458333697</v>
      </c>
      <c r="AO652">
        <v>31.255921838887595</v>
      </c>
      <c r="AP652">
        <v>60.618740716062533</v>
      </c>
      <c r="AQ652">
        <v>225.9335814507057</v>
      </c>
      <c r="AR652">
        <v>32.167290526498078</v>
      </c>
      <c r="AS652">
        <v>273.31823408902358</v>
      </c>
      <c r="AT652">
        <v>15.501009498166118</v>
      </c>
      <c r="AU652">
        <v>-1.4028636236162484</v>
      </c>
      <c r="AV652"/>
      <c r="AW652"/>
      <c r="FY652" s="213">
        <v>647</v>
      </c>
      <c r="FZ652">
        <v>72.479720009849203</v>
      </c>
      <c r="GA652">
        <v>58.186180309193411</v>
      </c>
      <c r="GB652">
        <v>12.480210317126378</v>
      </c>
      <c r="GC652">
        <v>9.3142098332261636</v>
      </c>
      <c r="GD652">
        <v>7.4190591138473039</v>
      </c>
      <c r="GE652">
        <v>5.2719641947332372</v>
      </c>
      <c r="GF652">
        <v>8.2034596088295757</v>
      </c>
      <c r="GG652">
        <v>7.0686773827573868</v>
      </c>
      <c r="GH652">
        <v>8.0844313559884693</v>
      </c>
      <c r="GI652">
        <v>21.162211820122231</v>
      </c>
      <c r="GJ652"/>
      <c r="GK652"/>
      <c r="GL652"/>
      <c r="GM652"/>
      <c r="GN652" s="208"/>
      <c r="GO652" s="208"/>
      <c r="GP652" s="208"/>
      <c r="GQ652" s="208"/>
      <c r="GR652" s="208"/>
      <c r="GS652" s="208"/>
      <c r="GT652" s="208"/>
      <c r="GU652" s="213">
        <v>647</v>
      </c>
    </row>
    <row r="653" spans="1:203" s="7" customFormat="1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  <c r="AA653" s="4"/>
      <c r="AB653" s="4"/>
      <c r="AC653" s="4"/>
      <c r="AD653" s="4"/>
      <c r="AE653" s="4"/>
      <c r="AF653" s="81"/>
      <c r="AG653" s="81"/>
      <c r="AH653" s="81"/>
      <c r="AI653" s="4"/>
      <c r="AJ653" s="81"/>
      <c r="AK653" s="81"/>
      <c r="AL653" s="81"/>
      <c r="AM653" s="43">
        <v>637</v>
      </c>
      <c r="AN653">
        <v>265.10777271983955</v>
      </c>
      <c r="AO653">
        <v>28.36611080731717</v>
      </c>
      <c r="AP653">
        <v>93.904048090980069</v>
      </c>
      <c r="AQ653">
        <v>205.93834598676591</v>
      </c>
      <c r="AR653">
        <v>30.450522422460661</v>
      </c>
      <c r="AS653">
        <v>239.6319671580097</v>
      </c>
      <c r="AT653">
        <v>13.745616613400792</v>
      </c>
      <c r="AU653">
        <v>-4.6637771823020913</v>
      </c>
      <c r="AV653"/>
      <c r="AW653"/>
      <c r="FY653" s="213">
        <v>648</v>
      </c>
      <c r="FZ653">
        <v>33.170362010048493</v>
      </c>
      <c r="GA653">
        <v>55.203151061057874</v>
      </c>
      <c r="GB653">
        <v>15.643647966765867</v>
      </c>
      <c r="GC653">
        <v>6.5200986084028969</v>
      </c>
      <c r="GD653">
        <v>6.6646244499483274</v>
      </c>
      <c r="GE653">
        <v>7.9376133665364064</v>
      </c>
      <c r="GF653">
        <v>5.0786469318185183</v>
      </c>
      <c r="GG653">
        <v>4.756874611268846</v>
      </c>
      <c r="GH653">
        <v>9.8017061090968216</v>
      </c>
      <c r="GI653">
        <v>15.842396692152382</v>
      </c>
      <c r="GJ653"/>
      <c r="GK653"/>
      <c r="GL653"/>
      <c r="GM653"/>
      <c r="GN653" s="208"/>
      <c r="GO653" s="208"/>
      <c r="GP653" s="208"/>
      <c r="GQ653" s="208"/>
      <c r="GR653" s="208"/>
      <c r="GS653" s="208"/>
      <c r="GT653" s="208"/>
      <c r="GU653" s="213">
        <v>648</v>
      </c>
    </row>
    <row r="654" spans="1:203" s="7" customFormat="1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4"/>
      <c r="AB654" s="4"/>
      <c r="AC654" s="4"/>
      <c r="AD654" s="4"/>
      <c r="AE654" s="4"/>
      <c r="AF654" s="81"/>
      <c r="AG654" s="81"/>
      <c r="AH654" s="81"/>
      <c r="AI654" s="4"/>
      <c r="AJ654" s="81"/>
      <c r="AK654" s="81"/>
      <c r="AL654" s="81"/>
      <c r="AM654" s="43">
        <v>638</v>
      </c>
      <c r="AN654">
        <v>354.1038060925211</v>
      </c>
      <c r="AO654">
        <v>28.811067247443418</v>
      </c>
      <c r="AP654">
        <v>132.94151747710316</v>
      </c>
      <c r="AQ654">
        <v>214.20817799373577</v>
      </c>
      <c r="AR654">
        <v>28.623515817771537</v>
      </c>
      <c r="AS654">
        <v>283.43422095231392</v>
      </c>
      <c r="AT654">
        <v>15.276308892372674</v>
      </c>
      <c r="AU654">
        <v>107.90003115562024</v>
      </c>
      <c r="AV654"/>
      <c r="AW654"/>
      <c r="FY654" s="213">
        <v>649</v>
      </c>
      <c r="FZ654">
        <v>71.464247649878772</v>
      </c>
      <c r="GA654">
        <v>85.831302227077103</v>
      </c>
      <c r="GB654">
        <v>16.474927769652872</v>
      </c>
      <c r="GC654">
        <v>5.9558603766573448</v>
      </c>
      <c r="GD654">
        <v>4.4192308810063468</v>
      </c>
      <c r="GE654">
        <v>2.8515060813541608</v>
      </c>
      <c r="GF654">
        <v>6.7651992490493305</v>
      </c>
      <c r="GG654">
        <v>6.2740270563187366</v>
      </c>
      <c r="GH654">
        <v>10.094418573566111</v>
      </c>
      <c r="GI654">
        <v>20.641325345520148</v>
      </c>
      <c r="GJ654"/>
      <c r="GK654"/>
      <c r="GL654"/>
      <c r="GM654"/>
      <c r="GN654" s="208"/>
      <c r="GO654" s="208"/>
      <c r="GP654" s="208"/>
      <c r="GQ654" s="208"/>
      <c r="GR654" s="208"/>
      <c r="GS654" s="208"/>
      <c r="GT654" s="208"/>
      <c r="GU654" s="213">
        <v>649</v>
      </c>
    </row>
    <row r="655" spans="1:203" s="7" customFormat="1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4"/>
      <c r="AB655" s="4"/>
      <c r="AC655" s="4"/>
      <c r="AD655" s="4"/>
      <c r="AE655" s="4"/>
      <c r="AF655" s="81"/>
      <c r="AG655" s="81"/>
      <c r="AH655" s="81"/>
      <c r="AI655" s="4"/>
      <c r="AJ655" s="81"/>
      <c r="AK655" s="81"/>
      <c r="AL655" s="81"/>
      <c r="AM655" s="43">
        <v>639</v>
      </c>
      <c r="AN655">
        <v>272.35301787983877</v>
      </c>
      <c r="AO655">
        <v>23.323305895043525</v>
      </c>
      <c r="AP655">
        <v>62.816416495592037</v>
      </c>
      <c r="AQ655">
        <v>166.87365873130736</v>
      </c>
      <c r="AR655">
        <v>23.537430371862612</v>
      </c>
      <c r="AS655">
        <v>229.56993966035651</v>
      </c>
      <c r="AT655">
        <v>10.022820817225886</v>
      </c>
      <c r="AU655">
        <v>0.82700023042447768</v>
      </c>
      <c r="AV655"/>
      <c r="AW655"/>
      <c r="FY655" s="213">
        <v>650</v>
      </c>
      <c r="FZ655">
        <v>46.014768251944815</v>
      </c>
      <c r="GA655">
        <v>29.59420443649077</v>
      </c>
      <c r="GB655">
        <v>9.9936684106143741</v>
      </c>
      <c r="GC655">
        <v>6.9896560172733802</v>
      </c>
      <c r="GD655">
        <v>4.8334038402689758</v>
      </c>
      <c r="GE655">
        <v>5.0678138266551365</v>
      </c>
      <c r="GF655">
        <v>17.904580916204043</v>
      </c>
      <c r="GG655">
        <v>16.549662410745238</v>
      </c>
      <c r="GH655">
        <v>16.319548973378598</v>
      </c>
      <c r="GI655">
        <v>18.098014209712876</v>
      </c>
      <c r="GJ655"/>
      <c r="GK655"/>
      <c r="GL655"/>
      <c r="GM655"/>
      <c r="GN655" s="208"/>
      <c r="GO655" s="208"/>
      <c r="GP655" s="208"/>
      <c r="GQ655" s="208"/>
      <c r="GR655" s="208"/>
      <c r="GS655" s="208"/>
      <c r="GT655" s="208"/>
      <c r="GU655" s="213">
        <v>650</v>
      </c>
    </row>
    <row r="656" spans="1:203" s="7" customFormat="1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4"/>
      <c r="AB656" s="4"/>
      <c r="AC656" s="4"/>
      <c r="AD656" s="4"/>
      <c r="AE656" s="4"/>
      <c r="AF656" s="81"/>
      <c r="AG656" s="81"/>
      <c r="AH656" s="81"/>
      <c r="AI656" s="4"/>
      <c r="AJ656" s="81"/>
      <c r="AK656" s="81"/>
      <c r="AL656" s="81"/>
      <c r="AM656" s="43">
        <v>640</v>
      </c>
      <c r="AN656">
        <v>354.34815969739304</v>
      </c>
      <c r="AO656">
        <v>35.106390609597447</v>
      </c>
      <c r="AP656">
        <v>135.99515608064763</v>
      </c>
      <c r="AQ656">
        <v>249.72753307489373</v>
      </c>
      <c r="AR656">
        <v>35.543769953799377</v>
      </c>
      <c r="AS656">
        <v>292.07385609816464</v>
      </c>
      <c r="AT656">
        <v>15.33856506191808</v>
      </c>
      <c r="AU656">
        <v>-63.797361773089705</v>
      </c>
      <c r="AV656"/>
      <c r="AW656"/>
      <c r="FY656" s="213">
        <v>651</v>
      </c>
      <c r="FZ656">
        <v>36.230178319022485</v>
      </c>
      <c r="GA656">
        <v>55.830798463825772</v>
      </c>
      <c r="GB656">
        <v>21.40833115099327</v>
      </c>
      <c r="GC656">
        <v>7.8616987580267823</v>
      </c>
      <c r="GD656">
        <v>6.1722389591628692</v>
      </c>
      <c r="GE656">
        <v>3.8547798695884876</v>
      </c>
      <c r="GF656">
        <v>8.7228207500694506</v>
      </c>
      <c r="GG656">
        <v>8.856630314014895</v>
      </c>
      <c r="GH656">
        <v>10.446136041751036</v>
      </c>
      <c r="GI656">
        <v>18.451364486685979</v>
      </c>
      <c r="GJ656"/>
      <c r="GK656"/>
      <c r="GL656"/>
      <c r="GM656"/>
      <c r="GN656" s="208"/>
      <c r="GO656" s="208"/>
      <c r="GP656" s="208"/>
      <c r="GQ656" s="208"/>
      <c r="GR656" s="208"/>
      <c r="GS656" s="208"/>
      <c r="GT656" s="208"/>
      <c r="GU656" s="213">
        <v>651</v>
      </c>
    </row>
    <row r="657" spans="1:203" s="7" customFormat="1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4"/>
      <c r="AB657" s="4"/>
      <c r="AC657" s="4"/>
      <c r="AD657" s="4"/>
      <c r="AE657" s="4"/>
      <c r="AF657" s="81"/>
      <c r="AG657" s="81"/>
      <c r="AH657" s="81"/>
      <c r="AI657" s="4"/>
      <c r="AJ657" s="81"/>
      <c r="AK657" s="81"/>
      <c r="AL657" s="81"/>
      <c r="AM657" s="43">
        <v>641</v>
      </c>
      <c r="AN657">
        <v>296.27784780447081</v>
      </c>
      <c r="AO657">
        <v>26.476841225310903</v>
      </c>
      <c r="AP657">
        <v>88.820884513009588</v>
      </c>
      <c r="AQ657">
        <v>190.76551144899076</v>
      </c>
      <c r="AR657">
        <v>28.05180677393242</v>
      </c>
      <c r="AS657">
        <v>238.36899425930534</v>
      </c>
      <c r="AT657">
        <v>11.979831623832434</v>
      </c>
      <c r="AU657">
        <v>-4.8532051034892802</v>
      </c>
      <c r="AV657"/>
      <c r="AW657"/>
      <c r="FY657" s="213">
        <v>652</v>
      </c>
      <c r="FZ657">
        <v>24.971820437214912</v>
      </c>
      <c r="GA657">
        <v>36.543816573660301</v>
      </c>
      <c r="GB657">
        <v>15.83734268569256</v>
      </c>
      <c r="GC657">
        <v>5.3369583094784891</v>
      </c>
      <c r="GD657">
        <v>4.659304413388127</v>
      </c>
      <c r="GE657">
        <v>6.7838388163296024</v>
      </c>
      <c r="GF657">
        <v>9.4171187034876382</v>
      </c>
      <c r="GG657">
        <v>6.0321182469797616</v>
      </c>
      <c r="GH657">
        <v>10.221013332430161</v>
      </c>
      <c r="GI657">
        <v>14.300284880426693</v>
      </c>
      <c r="GJ657"/>
      <c r="GK657"/>
      <c r="GL657"/>
      <c r="GM657"/>
      <c r="GN657" s="208"/>
      <c r="GO657" s="208"/>
      <c r="GP657" s="208"/>
      <c r="GQ657" s="208"/>
      <c r="GR657" s="208"/>
      <c r="GS657" s="208"/>
      <c r="GT657" s="208"/>
      <c r="GU657" s="213">
        <v>652</v>
      </c>
    </row>
    <row r="658" spans="1:203" s="7" customFormat="1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4"/>
      <c r="AB658" s="4"/>
      <c r="AC658" s="4"/>
      <c r="AD658" s="4"/>
      <c r="AE658" s="4"/>
      <c r="AF658" s="81"/>
      <c r="AG658" s="81"/>
      <c r="AH658" s="81"/>
      <c r="AI658" s="4"/>
      <c r="AJ658" s="81"/>
      <c r="AK658" s="81"/>
      <c r="AL658" s="81"/>
      <c r="AM658" s="43">
        <v>642</v>
      </c>
      <c r="AN658">
        <v>291.03503888579291</v>
      </c>
      <c r="AO658">
        <v>33.704427503324361</v>
      </c>
      <c r="AP658">
        <v>53.154166223189641</v>
      </c>
      <c r="AQ658">
        <v>252.11663133002983</v>
      </c>
      <c r="AR658">
        <v>33.952779100409074</v>
      </c>
      <c r="AS658">
        <v>257.6233838147802</v>
      </c>
      <c r="AT658">
        <v>14.97667035214905</v>
      </c>
      <c r="AU658">
        <v>-21.260375081571148</v>
      </c>
      <c r="AV658"/>
      <c r="AW658"/>
      <c r="FY658" s="213">
        <v>653</v>
      </c>
      <c r="FZ658">
        <v>65.536098365545499</v>
      </c>
      <c r="GA658">
        <v>63.93358483545169</v>
      </c>
      <c r="GB658">
        <v>15.7886676441447</v>
      </c>
      <c r="GC658">
        <v>4.556447279051258</v>
      </c>
      <c r="GD658">
        <v>4.435504974142777</v>
      </c>
      <c r="GE658">
        <v>5.4597101245200594</v>
      </c>
      <c r="GF658">
        <v>20.901795393039897</v>
      </c>
      <c r="GG658">
        <v>18.056737867544697</v>
      </c>
      <c r="GH658">
        <v>16.688773302334873</v>
      </c>
      <c r="GI658">
        <v>23.269450055876685</v>
      </c>
      <c r="GJ658"/>
      <c r="GK658"/>
      <c r="GL658"/>
      <c r="GM658"/>
      <c r="GN658" s="208"/>
      <c r="GO658" s="208"/>
      <c r="GP658" s="208"/>
      <c r="GQ658" s="208"/>
      <c r="GR658" s="208"/>
      <c r="GS658" s="208"/>
      <c r="GT658" s="208"/>
      <c r="GU658" s="213">
        <v>653</v>
      </c>
    </row>
    <row r="659" spans="1:203" s="7" customFormat="1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4"/>
      <c r="AB659" s="4"/>
      <c r="AC659" s="4"/>
      <c r="AD659" s="4"/>
      <c r="AE659" s="4"/>
      <c r="AF659" s="81"/>
      <c r="AG659" s="81"/>
      <c r="AH659" s="81"/>
      <c r="AI659" s="4"/>
      <c r="AJ659" s="81"/>
      <c r="AK659" s="81"/>
      <c r="AL659" s="81"/>
      <c r="AM659" s="43">
        <v>643</v>
      </c>
      <c r="AN659">
        <v>304.86625768806755</v>
      </c>
      <c r="AO659">
        <v>29.426975934975115</v>
      </c>
      <c r="AP659">
        <v>118.85743238354844</v>
      </c>
      <c r="AQ659">
        <v>220.93564371681543</v>
      </c>
      <c r="AR659">
        <v>28.921620274974217</v>
      </c>
      <c r="AS659">
        <v>260.68043885213399</v>
      </c>
      <c r="AT659">
        <v>13.598019318529083</v>
      </c>
      <c r="AU659">
        <v>4.7362316088189953</v>
      </c>
      <c r="AV659"/>
      <c r="AW659"/>
      <c r="FY659" s="213">
        <v>654</v>
      </c>
      <c r="FZ659">
        <v>51.336510678227931</v>
      </c>
      <c r="GA659">
        <v>56.079407823776485</v>
      </c>
      <c r="GB659">
        <v>7.8756172400160143</v>
      </c>
      <c r="GC659">
        <v>7.300842695217991</v>
      </c>
      <c r="GD659">
        <v>5.469015520964704</v>
      </c>
      <c r="GE659">
        <v>3.8129285619444042</v>
      </c>
      <c r="GF659">
        <v>20.485714338114384</v>
      </c>
      <c r="GG659">
        <v>17.837134233868312</v>
      </c>
      <c r="GH659">
        <v>11.948002780870015</v>
      </c>
      <c r="GI659">
        <v>18.502408881977981</v>
      </c>
      <c r="GJ659"/>
      <c r="GK659"/>
      <c r="GL659"/>
      <c r="GM659"/>
      <c r="GN659" s="208"/>
      <c r="GO659" s="208"/>
      <c r="GP659" s="208"/>
      <c r="GQ659" s="208"/>
      <c r="GR659" s="208"/>
      <c r="GS659" s="208"/>
      <c r="GT659" s="208"/>
      <c r="GU659" s="213">
        <v>654</v>
      </c>
    </row>
    <row r="660" spans="1:203" s="7" customFormat="1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4"/>
      <c r="AB660" s="4"/>
      <c r="AC660" s="4"/>
      <c r="AD660" s="4"/>
      <c r="AE660" s="4"/>
      <c r="AF660" s="81"/>
      <c r="AG660" s="81"/>
      <c r="AH660" s="81"/>
      <c r="AI660" s="4"/>
      <c r="AJ660" s="81"/>
      <c r="AK660" s="81"/>
      <c r="AL660" s="81"/>
      <c r="AM660" s="43">
        <v>644</v>
      </c>
      <c r="AN660">
        <v>336.23094826320295</v>
      </c>
      <c r="AO660">
        <v>35.820581818872284</v>
      </c>
      <c r="AP660">
        <v>72.668122947649067</v>
      </c>
      <c r="AQ660">
        <v>277.79379360519482</v>
      </c>
      <c r="AR660">
        <v>36.157141312319297</v>
      </c>
      <c r="AS660">
        <v>304.65370357290749</v>
      </c>
      <c r="AT660">
        <v>16.595327447359274</v>
      </c>
      <c r="AU660">
        <v>15.459798587373296</v>
      </c>
      <c r="AV660"/>
      <c r="AW660"/>
      <c r="FY660" s="213">
        <v>655</v>
      </c>
      <c r="FZ660">
        <v>29.050897726850327</v>
      </c>
      <c r="GA660">
        <v>46.233714007986784</v>
      </c>
      <c r="GB660">
        <v>16.27634521356692</v>
      </c>
      <c r="GC660">
        <v>7.1751981199742074</v>
      </c>
      <c r="GD660">
        <v>6.1727995118529702</v>
      </c>
      <c r="GE660">
        <v>6.125441602289678</v>
      </c>
      <c r="GF660">
        <v>20.427158012260421</v>
      </c>
      <c r="GG660">
        <v>17.12797134571159</v>
      </c>
      <c r="GH660">
        <v>10.145637247053637</v>
      </c>
      <c r="GI660">
        <v>17.92361638682474</v>
      </c>
      <c r="GJ660"/>
      <c r="GK660"/>
      <c r="GL660"/>
      <c r="GM660"/>
      <c r="GN660" s="208"/>
      <c r="GO660" s="208"/>
      <c r="GP660" s="208"/>
      <c r="GQ660" s="208"/>
      <c r="GR660" s="208"/>
      <c r="GS660" s="208"/>
      <c r="GT660" s="208"/>
      <c r="GU660" s="213">
        <v>655</v>
      </c>
    </row>
    <row r="661" spans="1:203" s="7" customFormat="1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4"/>
      <c r="AB661" s="4"/>
      <c r="AC661" s="4"/>
      <c r="AD661" s="4"/>
      <c r="AE661" s="4"/>
      <c r="AF661" s="81"/>
      <c r="AG661" s="81"/>
      <c r="AH661" s="81"/>
      <c r="AI661" s="4"/>
      <c r="AJ661" s="81"/>
      <c r="AK661" s="81"/>
      <c r="AL661" s="81"/>
      <c r="AM661" s="43">
        <v>645</v>
      </c>
      <c r="AN661">
        <v>365.41642637969187</v>
      </c>
      <c r="AO661">
        <v>29.555719758829646</v>
      </c>
      <c r="AP661">
        <v>85.149192078086983</v>
      </c>
      <c r="AQ661">
        <v>206.80255467063063</v>
      </c>
      <c r="AR661">
        <v>30.073058774121623</v>
      </c>
      <c r="AS661">
        <v>272.94963722796984</v>
      </c>
      <c r="AT661">
        <v>13.366092496759848</v>
      </c>
      <c r="AU661">
        <v>6.7275119586053549</v>
      </c>
      <c r="AV661"/>
      <c r="AW661"/>
      <c r="FY661" s="213">
        <v>656</v>
      </c>
      <c r="FZ661">
        <v>42.528625858016255</v>
      </c>
      <c r="GA661">
        <v>60.349692376993112</v>
      </c>
      <c r="GB661">
        <v>10.980067524599193</v>
      </c>
      <c r="GC661">
        <v>4.1347894239226477</v>
      </c>
      <c r="GD661">
        <v>3.3597801450565692</v>
      </c>
      <c r="GE661">
        <v>3.0487190830758015</v>
      </c>
      <c r="GF661">
        <v>28.908383091103701</v>
      </c>
      <c r="GG661">
        <v>27.006886655915423</v>
      </c>
      <c r="GH661">
        <v>11.422154981351214</v>
      </c>
      <c r="GI661">
        <v>18.430595654087899</v>
      </c>
      <c r="GJ661"/>
      <c r="GK661"/>
      <c r="GL661"/>
      <c r="GM661"/>
      <c r="GN661" s="208"/>
      <c r="GO661" s="208"/>
      <c r="GP661" s="208"/>
      <c r="GQ661" s="208"/>
      <c r="GR661" s="208"/>
      <c r="GS661" s="208"/>
      <c r="GT661" s="208"/>
      <c r="GU661" s="213">
        <v>656</v>
      </c>
    </row>
    <row r="662" spans="1:203" s="7" customFormat="1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28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4"/>
      <c r="AB662" s="4"/>
      <c r="AC662" s="4"/>
      <c r="AD662" s="4"/>
      <c r="AE662" s="4"/>
      <c r="AF662" s="81"/>
      <c r="AG662" s="81"/>
      <c r="AH662" s="81"/>
      <c r="AI662" s="4"/>
      <c r="AJ662" s="81"/>
      <c r="AK662" s="81"/>
      <c r="AL662" s="81"/>
      <c r="AM662" s="43">
        <v>646</v>
      </c>
      <c r="AN662">
        <v>362.61390123516929</v>
      </c>
      <c r="AO662">
        <v>29.210426406336808</v>
      </c>
      <c r="AP662">
        <v>70.362919138516901</v>
      </c>
      <c r="AQ662">
        <v>214.10796365060429</v>
      </c>
      <c r="AR662">
        <v>30.220516155124209</v>
      </c>
      <c r="AS662">
        <v>279.68233469132412</v>
      </c>
      <c r="AT662">
        <v>13.649003222561333</v>
      </c>
      <c r="AU662">
        <v>-1.318356553085053</v>
      </c>
      <c r="AV662"/>
      <c r="AW662"/>
      <c r="FY662" s="213">
        <v>657</v>
      </c>
      <c r="FZ662">
        <v>57.760262126740329</v>
      </c>
      <c r="GA662">
        <v>44.53124265072514</v>
      </c>
      <c r="GB662">
        <v>9.9126578936688201</v>
      </c>
      <c r="GC662">
        <v>7.9483465181306894</v>
      </c>
      <c r="GD662">
        <v>6.1007573739061645</v>
      </c>
      <c r="GE662">
        <v>7.1013212425465078</v>
      </c>
      <c r="GF662">
        <v>19.940668245086528</v>
      </c>
      <c r="GG662">
        <v>15.017858743586379</v>
      </c>
      <c r="GH662">
        <v>6.200646116306805</v>
      </c>
      <c r="GI662">
        <v>19.148520034979775</v>
      </c>
      <c r="GJ662"/>
      <c r="GK662"/>
      <c r="GL662"/>
      <c r="GM662"/>
      <c r="GN662" s="208"/>
      <c r="GO662" s="208"/>
      <c r="GP662" s="208"/>
      <c r="GQ662" s="208"/>
      <c r="GR662" s="208"/>
      <c r="GS662" s="208"/>
      <c r="GT662" s="208"/>
      <c r="GU662" s="213">
        <v>657</v>
      </c>
    </row>
    <row r="663" spans="1:203" s="7" customFormat="1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28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4"/>
      <c r="AB663" s="4"/>
      <c r="AC663" s="4"/>
      <c r="AD663" s="4"/>
      <c r="AE663" s="4"/>
      <c r="AF663" s="81"/>
      <c r="AG663" s="81"/>
      <c r="AH663" s="81"/>
      <c r="AI663" s="4"/>
      <c r="AJ663" s="81"/>
      <c r="AK663" s="81"/>
      <c r="AL663" s="81"/>
      <c r="AM663" s="43">
        <v>647</v>
      </c>
      <c r="AN663">
        <v>320.66486059799087</v>
      </c>
      <c r="AO663">
        <v>29.168983380632238</v>
      </c>
      <c r="AP663">
        <v>50.971179427928192</v>
      </c>
      <c r="AQ663">
        <v>209.67012394567337</v>
      </c>
      <c r="AR663">
        <v>31.21745310509651</v>
      </c>
      <c r="AS663">
        <v>287.41758035358606</v>
      </c>
      <c r="AT663">
        <v>14.910677752497264</v>
      </c>
      <c r="AU663">
        <v>20.449489343962682</v>
      </c>
      <c r="AV663"/>
      <c r="AW663"/>
      <c r="FY663" s="213">
        <v>658</v>
      </c>
      <c r="FZ663">
        <v>58.754174902299994</v>
      </c>
      <c r="GA663">
        <v>56.405058502865664</v>
      </c>
      <c r="GB663">
        <v>8.2524421999549933</v>
      </c>
      <c r="GC663">
        <v>5.9740670865219005</v>
      </c>
      <c r="GD663">
        <v>6.0581636408497213</v>
      </c>
      <c r="GE663">
        <v>9.6101651830235131</v>
      </c>
      <c r="GF663">
        <v>18.062298267624527</v>
      </c>
      <c r="GG663">
        <v>12.350010114888089</v>
      </c>
      <c r="GH663">
        <v>7.9353172403343244</v>
      </c>
      <c r="GI663">
        <v>18.927030159432825</v>
      </c>
      <c r="GJ663"/>
      <c r="GK663"/>
      <c r="GL663"/>
      <c r="GM663"/>
      <c r="GN663" s="208"/>
      <c r="GO663" s="208"/>
      <c r="GP663" s="208"/>
      <c r="GQ663" s="208"/>
      <c r="GR663" s="208"/>
      <c r="GS663" s="208"/>
      <c r="GT663" s="208"/>
      <c r="GU663" s="213">
        <v>658</v>
      </c>
    </row>
    <row r="664" spans="1:203" s="7" customFormat="1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28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4"/>
      <c r="AB664" s="4"/>
      <c r="AC664" s="4"/>
      <c r="AD664" s="4"/>
      <c r="AE664" s="4"/>
      <c r="AF664" s="81"/>
      <c r="AG664" s="81"/>
      <c r="AH664" s="81"/>
      <c r="AI664" s="4"/>
      <c r="AJ664" s="81"/>
      <c r="AK664" s="81"/>
      <c r="AL664" s="81"/>
      <c r="AM664" s="43">
        <v>648</v>
      </c>
      <c r="AN664">
        <v>281.99497113871092</v>
      </c>
      <c r="AO664">
        <v>23.80114839138556</v>
      </c>
      <c r="AP664">
        <v>68.534304961088367</v>
      </c>
      <c r="AQ664">
        <v>160.61912180709643</v>
      </c>
      <c r="AR664">
        <v>23.372301128308813</v>
      </c>
      <c r="AS664">
        <v>225.95738355361294</v>
      </c>
      <c r="AT664">
        <v>10.423817643075829</v>
      </c>
      <c r="AU664">
        <v>26.906297560020871</v>
      </c>
      <c r="AV664"/>
      <c r="AW664"/>
      <c r="FY664" s="213">
        <v>659</v>
      </c>
      <c r="FZ664">
        <v>54.295883569406335</v>
      </c>
      <c r="GA664">
        <v>70.921483253732035</v>
      </c>
      <c r="GB664">
        <v>19.543992781340979</v>
      </c>
      <c r="GC664">
        <v>4.5842109797430881</v>
      </c>
      <c r="GD664">
        <v>2.990562415657013</v>
      </c>
      <c r="GE664">
        <v>4.7263280556638678</v>
      </c>
      <c r="GF664">
        <v>12.667202112560142</v>
      </c>
      <c r="GG664">
        <v>10.190270245949215</v>
      </c>
      <c r="GH664">
        <v>18.078279612289595</v>
      </c>
      <c r="GI664">
        <v>20.597954801430735</v>
      </c>
      <c r="GJ664"/>
      <c r="GK664"/>
      <c r="GL664"/>
      <c r="GM664"/>
      <c r="GN664" s="208"/>
      <c r="GO664" s="208"/>
      <c r="GP664" s="208"/>
      <c r="GQ664" s="208"/>
      <c r="GR664" s="208"/>
      <c r="GS664" s="208"/>
      <c r="GT664" s="208"/>
      <c r="GU664" s="213">
        <v>659</v>
      </c>
    </row>
    <row r="665" spans="1:203" s="7" customFormat="1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28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4"/>
      <c r="AB665" s="4"/>
      <c r="AC665" s="4"/>
      <c r="AD665" s="4"/>
      <c r="AE665" s="4"/>
      <c r="AF665" s="81"/>
      <c r="AG665" s="81"/>
      <c r="AH665" s="81"/>
      <c r="AI665" s="4"/>
      <c r="AJ665" s="81"/>
      <c r="AK665" s="81"/>
      <c r="AL665" s="81"/>
      <c r="AM665" s="43">
        <v>649</v>
      </c>
      <c r="AN665">
        <v>232.63451264720294</v>
      </c>
      <c r="AO665">
        <v>30.514619745411828</v>
      </c>
      <c r="AP665">
        <v>70.265383308878384</v>
      </c>
      <c r="AQ665">
        <v>230.77204521008093</v>
      </c>
      <c r="AR665">
        <v>31.31294432386818</v>
      </c>
      <c r="AS665">
        <v>226.96018630262111</v>
      </c>
      <c r="AT665">
        <v>13.369367805386277</v>
      </c>
      <c r="AU665">
        <v>-11.328573814112453</v>
      </c>
      <c r="AV665"/>
      <c r="AW665"/>
      <c r="FY665" s="213">
        <v>660</v>
      </c>
      <c r="FZ665">
        <v>60.276462187918725</v>
      </c>
      <c r="GA665">
        <v>55.399165844108829</v>
      </c>
      <c r="GB665">
        <v>10.712321545146068</v>
      </c>
      <c r="GC665">
        <v>3.3524591253166705</v>
      </c>
      <c r="GD665">
        <v>2.9652162280490324</v>
      </c>
      <c r="GE665">
        <v>2.450786896497271</v>
      </c>
      <c r="GF665">
        <v>28.241120810434065</v>
      </c>
      <c r="GG665">
        <v>28.891696723161758</v>
      </c>
      <c r="GH665">
        <v>25.477294210672078</v>
      </c>
      <c r="GI665">
        <v>22.863320382092418</v>
      </c>
      <c r="GJ665"/>
      <c r="GK665"/>
      <c r="GL665"/>
      <c r="GM665"/>
      <c r="GN665" s="208"/>
      <c r="GO665" s="208"/>
      <c r="GP665" s="208"/>
      <c r="GQ665" s="208"/>
      <c r="GR665" s="208"/>
      <c r="GS665" s="208"/>
      <c r="GT665" s="208"/>
      <c r="GU665" s="213">
        <v>660</v>
      </c>
    </row>
    <row r="666" spans="1:203" s="7" customFormat="1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28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4"/>
      <c r="AB666" s="4"/>
      <c r="AC666" s="4"/>
      <c r="AD666" s="4"/>
      <c r="AE666" s="4"/>
      <c r="AF666" s="81"/>
      <c r="AG666" s="81"/>
      <c r="AH666" s="81"/>
      <c r="AI666" s="4"/>
      <c r="AJ666" s="81"/>
      <c r="AK666" s="81"/>
      <c r="AL666" s="81"/>
      <c r="AM666" s="43">
        <v>650</v>
      </c>
      <c r="AN666">
        <v>320.55701082789517</v>
      </c>
      <c r="AO666">
        <v>24.256852913282554</v>
      </c>
      <c r="AP666">
        <v>85.307295635912737</v>
      </c>
      <c r="AQ666">
        <v>171.36532129328822</v>
      </c>
      <c r="AR666">
        <v>26.477222222694717</v>
      </c>
      <c r="AS666">
        <v>247.5152535252798</v>
      </c>
      <c r="AT666">
        <v>12.701171393848389</v>
      </c>
      <c r="AU666">
        <v>38.633744202690849</v>
      </c>
      <c r="AV666"/>
      <c r="AW666"/>
      <c r="FY666" s="213">
        <v>661</v>
      </c>
      <c r="FZ666">
        <v>29.942274472622302</v>
      </c>
      <c r="GA666">
        <v>18.506519596000722</v>
      </c>
      <c r="GB666">
        <v>7.0908382520968498</v>
      </c>
      <c r="GC666">
        <v>7.0931318851642011</v>
      </c>
      <c r="GD666">
        <v>6.5474906356096652</v>
      </c>
      <c r="GE666">
        <v>7.5471403234090539</v>
      </c>
      <c r="GF666">
        <v>16.390576270970246</v>
      </c>
      <c r="GG666">
        <v>12.5622661804406</v>
      </c>
      <c r="GH666">
        <v>10.595816913069948</v>
      </c>
      <c r="GI666">
        <v>14.736753671937496</v>
      </c>
      <c r="GJ666"/>
      <c r="GK666"/>
      <c r="GL666"/>
      <c r="GM666"/>
      <c r="GN666" s="208"/>
      <c r="GO666" s="208"/>
      <c r="GP666" s="208"/>
      <c r="GQ666" s="208"/>
      <c r="GR666" s="208"/>
      <c r="GS666" s="208"/>
      <c r="GT666" s="208"/>
      <c r="GU666" s="213">
        <v>661</v>
      </c>
    </row>
    <row r="667" spans="1:203" s="7" customFormat="1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28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81"/>
      <c r="AG667" s="81"/>
      <c r="AH667" s="81"/>
      <c r="AI667" s="4"/>
      <c r="AJ667" s="81"/>
      <c r="AK667" s="81"/>
      <c r="AL667" s="81"/>
      <c r="AM667" s="43">
        <v>651</v>
      </c>
      <c r="AN667">
        <v>270.65931051582436</v>
      </c>
      <c r="AO667">
        <v>27.190336307820644</v>
      </c>
      <c r="AP667">
        <v>43.741702869467375</v>
      </c>
      <c r="AQ667">
        <v>177.83497711314101</v>
      </c>
      <c r="AR667">
        <v>28.09827274980147</v>
      </c>
      <c r="AS667">
        <v>237.81957334778582</v>
      </c>
      <c r="AT667">
        <v>10.709528054159563</v>
      </c>
      <c r="AU667">
        <v>15.080829018838458</v>
      </c>
      <c r="AV667"/>
      <c r="AW667"/>
      <c r="FY667" s="213">
        <v>662</v>
      </c>
      <c r="FZ667">
        <v>64.960663884112989</v>
      </c>
      <c r="GA667">
        <v>55.588734792132847</v>
      </c>
      <c r="GB667">
        <v>14.957741151949435</v>
      </c>
      <c r="GC667">
        <v>9.2390551209592111</v>
      </c>
      <c r="GD667">
        <v>7.120241031234352</v>
      </c>
      <c r="GE667">
        <v>5.4615500935981007</v>
      </c>
      <c r="GF667">
        <v>17.127773876883637</v>
      </c>
      <c r="GG667">
        <v>14.441904332605294</v>
      </c>
      <c r="GH667">
        <v>13.959729340449602</v>
      </c>
      <c r="GI667">
        <v>23.295314896702717</v>
      </c>
      <c r="GJ667"/>
      <c r="GK667"/>
      <c r="GL667"/>
      <c r="GM667"/>
      <c r="GN667" s="208"/>
      <c r="GO667" s="208"/>
      <c r="GP667" s="208"/>
      <c r="GQ667" s="208"/>
      <c r="GR667" s="208"/>
      <c r="GS667" s="208"/>
      <c r="GT667" s="208"/>
      <c r="GU667" s="213">
        <v>662</v>
      </c>
    </row>
    <row r="668" spans="1:203" s="7" customFormat="1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28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81"/>
      <c r="AG668" s="81"/>
      <c r="AH668" s="81"/>
      <c r="AI668" s="4"/>
      <c r="AJ668" s="81"/>
      <c r="AK668" s="81"/>
      <c r="AL668" s="81"/>
      <c r="AM668" s="43">
        <v>652</v>
      </c>
      <c r="AN668">
        <v>270.17632392220702</v>
      </c>
      <c r="AO668">
        <v>20.720599051243127</v>
      </c>
      <c r="AP668">
        <v>67.095399294291525</v>
      </c>
      <c r="AQ668">
        <v>134.10361639908825</v>
      </c>
      <c r="AR668">
        <v>21.724955586662617</v>
      </c>
      <c r="AS668">
        <v>184.3064633815832</v>
      </c>
      <c r="AT668">
        <v>8.5586577912934789</v>
      </c>
      <c r="AU668">
        <v>19.421221025699154</v>
      </c>
      <c r="AV668"/>
      <c r="AW668"/>
      <c r="FY668" s="213">
        <v>663</v>
      </c>
      <c r="FZ668">
        <v>47.434618313013345</v>
      </c>
      <c r="GA668">
        <v>40.864332130355173</v>
      </c>
      <c r="GB668">
        <v>8.6112364236354004</v>
      </c>
      <c r="GC668">
        <v>5.0045216117115894</v>
      </c>
      <c r="GD668">
        <v>3.3117862257577682</v>
      </c>
      <c r="GE668">
        <v>7.4279692033768248</v>
      </c>
      <c r="GF668">
        <v>24.153434042578365</v>
      </c>
      <c r="GG668">
        <v>17.399728745686598</v>
      </c>
      <c r="GH668">
        <v>16.348770569242912</v>
      </c>
      <c r="GI668">
        <v>18.141996373794925</v>
      </c>
      <c r="GJ668"/>
      <c r="GK668"/>
      <c r="GL668"/>
      <c r="GM668"/>
      <c r="GN668" s="208"/>
      <c r="GO668" s="208"/>
      <c r="GP668" s="208"/>
      <c r="GQ668" s="208"/>
      <c r="GR668" s="208"/>
      <c r="GS668" s="208"/>
      <c r="GT668" s="208"/>
      <c r="GU668" s="213">
        <v>663</v>
      </c>
    </row>
    <row r="669" spans="1:203" s="7" customFormat="1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28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81"/>
      <c r="AG669" s="81"/>
      <c r="AH669" s="81"/>
      <c r="AI669" s="4"/>
      <c r="AJ669" s="81"/>
      <c r="AK669" s="81"/>
      <c r="AL669" s="81"/>
      <c r="AM669" s="43">
        <v>653</v>
      </c>
      <c r="AN669">
        <v>306.69927995443123</v>
      </c>
      <c r="AO669">
        <v>32.527244253781348</v>
      </c>
      <c r="AP669">
        <v>68.726643253447733</v>
      </c>
      <c r="AQ669">
        <v>238.62676984165216</v>
      </c>
      <c r="AR669">
        <v>35.06938033759171</v>
      </c>
      <c r="AS669">
        <v>271.33820140772747</v>
      </c>
      <c r="AT669">
        <v>14.685772142726689</v>
      </c>
      <c r="AU669">
        <v>21.847755454623389</v>
      </c>
      <c r="AV669"/>
      <c r="AW669"/>
      <c r="FY669" s="213">
        <v>664</v>
      </c>
      <c r="FZ669">
        <v>24.817731697881293</v>
      </c>
      <c r="GA669">
        <v>45.337391551469274</v>
      </c>
      <c r="GB669">
        <v>14.633818758308395</v>
      </c>
      <c r="GC669">
        <v>6.8418800550771444</v>
      </c>
      <c r="GD669">
        <v>5.1307188568532567</v>
      </c>
      <c r="GE669">
        <v>5.2905566268266142</v>
      </c>
      <c r="GF669">
        <v>19.738293021784443</v>
      </c>
      <c r="GG669">
        <v>15.068893206050223</v>
      </c>
      <c r="GH669">
        <v>15.950520227643727</v>
      </c>
      <c r="GI669">
        <v>17.093543362839306</v>
      </c>
      <c r="GJ669"/>
      <c r="GK669"/>
      <c r="GL669"/>
      <c r="GM669"/>
      <c r="GN669" s="208"/>
      <c r="GO669" s="208"/>
      <c r="GP669" s="208"/>
      <c r="GQ669" s="208"/>
      <c r="GR669" s="208"/>
      <c r="GS669" s="208"/>
      <c r="GT669" s="208"/>
      <c r="GU669" s="213">
        <v>664</v>
      </c>
    </row>
    <row r="670" spans="1:203" s="7" customFormat="1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28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81"/>
      <c r="AG670" s="81"/>
      <c r="AH670" s="81"/>
      <c r="AI670" s="4"/>
      <c r="AJ670" s="81"/>
      <c r="AK670" s="81"/>
      <c r="AL670" s="81"/>
      <c r="AM670" s="43">
        <v>654</v>
      </c>
      <c r="AN670">
        <v>323.14312490092368</v>
      </c>
      <c r="AO670">
        <v>26.588356699478965</v>
      </c>
      <c r="AP670">
        <v>139.86780445335114</v>
      </c>
      <c r="AQ670">
        <v>200.6475827549782</v>
      </c>
      <c r="AR670">
        <v>26.358504478573902</v>
      </c>
      <c r="AS670">
        <v>263.94910200754094</v>
      </c>
      <c r="AT670">
        <v>14.022833828475582</v>
      </c>
      <c r="AU670">
        <v>37.943298377732994</v>
      </c>
      <c r="AV670"/>
      <c r="AW670"/>
      <c r="FY670" s="213">
        <v>665</v>
      </c>
      <c r="FZ670">
        <v>34.312299889676993</v>
      </c>
      <c r="GA670">
        <v>42.410399965754337</v>
      </c>
      <c r="GB670">
        <v>16.290018296926284</v>
      </c>
      <c r="GC670">
        <v>6.460323947220691</v>
      </c>
      <c r="GD670">
        <v>5.2861039960721286</v>
      </c>
      <c r="GE670">
        <v>3.2571921945646061</v>
      </c>
      <c r="GF670">
        <v>20.725819605444002</v>
      </c>
      <c r="GG670">
        <v>21.872638924252445</v>
      </c>
      <c r="GH670">
        <v>10.82247982566872</v>
      </c>
      <c r="GI670">
        <v>18.340579168626171</v>
      </c>
      <c r="GJ670"/>
      <c r="GK670"/>
      <c r="GL670"/>
      <c r="GM670"/>
      <c r="GN670" s="208"/>
      <c r="GO670" s="208"/>
      <c r="GP670" s="208"/>
      <c r="GQ670" s="208"/>
      <c r="GR670" s="208"/>
      <c r="GS670" s="208"/>
      <c r="GT670" s="208"/>
      <c r="GU670" s="213">
        <v>665</v>
      </c>
    </row>
    <row r="671" spans="1:203" s="7" customFormat="1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28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81"/>
      <c r="AG671" s="81"/>
      <c r="AH671" s="81"/>
      <c r="AI671" s="4"/>
      <c r="AJ671" s="81"/>
      <c r="AK671" s="81"/>
      <c r="AL671" s="81"/>
      <c r="AM671" s="43">
        <v>655</v>
      </c>
      <c r="AN671">
        <v>330.1387327907081</v>
      </c>
      <c r="AO671">
        <v>26.604941094758725</v>
      </c>
      <c r="AP671">
        <v>88.352037966199859</v>
      </c>
      <c r="AQ671">
        <v>176.65877917437126</v>
      </c>
      <c r="AR671">
        <v>26.610697300720116</v>
      </c>
      <c r="AS671">
        <v>262.38677949620308</v>
      </c>
      <c r="AT671">
        <v>11.338552434438176</v>
      </c>
      <c r="AU671">
        <v>29.013384884754128</v>
      </c>
      <c r="AV671"/>
      <c r="AW671"/>
      <c r="FY671" s="213">
        <v>666</v>
      </c>
      <c r="FZ671">
        <v>50.247090750108377</v>
      </c>
      <c r="GA671">
        <v>44.31227867638966</v>
      </c>
      <c r="GB671">
        <v>7.8197699909716736</v>
      </c>
      <c r="GC671">
        <v>6.0221352415537597</v>
      </c>
      <c r="GD671">
        <v>6.3504844679567727</v>
      </c>
      <c r="GE671">
        <v>6.592782393907231</v>
      </c>
      <c r="GF671">
        <v>15.242996705488384</v>
      </c>
      <c r="GG671">
        <v>14.637269520756124</v>
      </c>
      <c r="GH671">
        <v>9.2351960490938936</v>
      </c>
      <c r="GI671">
        <v>17.460190670906467</v>
      </c>
      <c r="GJ671"/>
      <c r="GK671"/>
      <c r="GL671"/>
      <c r="GM671"/>
      <c r="GN671" s="208"/>
      <c r="GO671" s="208"/>
      <c r="GP671" s="208"/>
      <c r="GQ671" s="208"/>
      <c r="GR671" s="208"/>
      <c r="GS671" s="208"/>
      <c r="GT671" s="208"/>
      <c r="GU671" s="213">
        <v>666</v>
      </c>
    </row>
    <row r="672" spans="1:203" s="7" customFormat="1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28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81"/>
      <c r="AG672" s="81"/>
      <c r="AH672" s="81"/>
      <c r="AI672" s="4"/>
      <c r="AJ672" s="81"/>
      <c r="AK672" s="81"/>
      <c r="AL672" s="81"/>
      <c r="AM672" s="43">
        <v>656</v>
      </c>
      <c r="AN672">
        <v>308.80206395061884</v>
      </c>
      <c r="AO672">
        <v>27.644041637713421</v>
      </c>
      <c r="AP672">
        <v>147.74748980480405</v>
      </c>
      <c r="AQ672">
        <v>210.16969479412182</v>
      </c>
      <c r="AR672">
        <v>26.742628076431128</v>
      </c>
      <c r="AS672">
        <v>250.8790291919999</v>
      </c>
      <c r="AT672">
        <v>13.427070787475145</v>
      </c>
      <c r="AU672">
        <v>54.557936416886044</v>
      </c>
      <c r="AV672"/>
      <c r="AW672"/>
      <c r="FY672" s="213">
        <v>667</v>
      </c>
      <c r="FZ672">
        <v>69.709101408561352</v>
      </c>
      <c r="GA672">
        <v>66.456216409614811</v>
      </c>
      <c r="GB672">
        <v>12.283294675801173</v>
      </c>
      <c r="GC672">
        <v>4.8083895001357826</v>
      </c>
      <c r="GD672">
        <v>4.6288320035339607</v>
      </c>
      <c r="GE672">
        <v>6.0333532768889038</v>
      </c>
      <c r="GF672">
        <v>20.469170144312407</v>
      </c>
      <c r="GG672">
        <v>19.708006644156267</v>
      </c>
      <c r="GH672">
        <v>11.342182589831888</v>
      </c>
      <c r="GI672">
        <v>21.880526060687913</v>
      </c>
      <c r="GJ672"/>
      <c r="GK672"/>
      <c r="GL672"/>
      <c r="GM672"/>
      <c r="GN672" s="208"/>
      <c r="GO672" s="208"/>
      <c r="GP672" s="208"/>
      <c r="GQ672" s="208"/>
      <c r="GR672" s="208"/>
      <c r="GS672" s="208"/>
      <c r="GT672" s="208"/>
      <c r="GU672" s="213">
        <v>667</v>
      </c>
    </row>
    <row r="673" spans="1:203" s="7" customFormat="1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28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81"/>
      <c r="AG673" s="81"/>
      <c r="AH673" s="81"/>
      <c r="AI673" s="4"/>
      <c r="AJ673" s="81"/>
      <c r="AK673" s="81"/>
      <c r="AL673" s="81"/>
      <c r="AM673" s="43">
        <v>657</v>
      </c>
      <c r="AN673">
        <v>372.85284457197719</v>
      </c>
      <c r="AO673">
        <v>27.033890427479101</v>
      </c>
      <c r="AP673">
        <v>46.948709863406791</v>
      </c>
      <c r="AQ673">
        <v>193.66228094567714</v>
      </c>
      <c r="AR673">
        <v>28.186797195793531</v>
      </c>
      <c r="AS673">
        <v>275.06998624909733</v>
      </c>
      <c r="AT673">
        <v>13.584744407947797</v>
      </c>
      <c r="AU673">
        <v>23.734812284109399</v>
      </c>
      <c r="AV673"/>
      <c r="AW673"/>
      <c r="FY673" s="213">
        <v>668</v>
      </c>
      <c r="FZ673">
        <v>53.246239332058188</v>
      </c>
      <c r="GA673">
        <v>56.715882632664538</v>
      </c>
      <c r="GB673">
        <v>8.4173033384313261</v>
      </c>
      <c r="GC673">
        <v>4.6446118016173763</v>
      </c>
      <c r="GD673">
        <v>4.9794501285238724</v>
      </c>
      <c r="GE673">
        <v>7.2217749219671274</v>
      </c>
      <c r="GF673">
        <v>7.8047291089580852</v>
      </c>
      <c r="GG673">
        <v>6.4366473370699486</v>
      </c>
      <c r="GH673">
        <v>6.8866429962273594</v>
      </c>
      <c r="GI673">
        <v>15.51383285736682</v>
      </c>
      <c r="GJ673"/>
      <c r="GK673"/>
      <c r="GL673"/>
      <c r="GM673"/>
      <c r="GN673" s="208"/>
      <c r="GO673" s="208"/>
      <c r="GP673" s="208"/>
      <c r="GQ673" s="208"/>
      <c r="GR673" s="208"/>
      <c r="GS673" s="208"/>
      <c r="GT673" s="208"/>
      <c r="GU673" s="213">
        <v>668</v>
      </c>
    </row>
    <row r="674" spans="1:203" s="7" customFormat="1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28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81"/>
      <c r="AG674" s="81"/>
      <c r="AH674" s="81"/>
      <c r="AI674" s="4"/>
      <c r="AJ674" s="81"/>
      <c r="AK674" s="81"/>
      <c r="AL674" s="81"/>
      <c r="AM674" s="43">
        <v>658</v>
      </c>
      <c r="AN674">
        <v>356.08319791741917</v>
      </c>
      <c r="AO674">
        <v>27.170091792437951</v>
      </c>
      <c r="AP674">
        <v>62.60381823544693</v>
      </c>
      <c r="AQ674">
        <v>202.32872729779555</v>
      </c>
      <c r="AR674">
        <v>27.379086577619276</v>
      </c>
      <c r="AS674">
        <v>276.32318241161386</v>
      </c>
      <c r="AT674">
        <v>13.967878143263405</v>
      </c>
      <c r="AU674">
        <v>24.509986727405067</v>
      </c>
      <c r="AV674"/>
      <c r="AW674"/>
      <c r="FY674" s="213">
        <v>669</v>
      </c>
      <c r="FZ674">
        <v>55.371334496531851</v>
      </c>
      <c r="GA674">
        <v>42.937158304877201</v>
      </c>
      <c r="GB674">
        <v>12.589481736181874</v>
      </c>
      <c r="GC674">
        <v>8.2007772487922761</v>
      </c>
      <c r="GD674">
        <v>6.1399424934406301</v>
      </c>
      <c r="GE674">
        <v>4.5775432018494699</v>
      </c>
      <c r="GF674">
        <v>14.176995200841201</v>
      </c>
      <c r="GG674">
        <v>13.442566879384509</v>
      </c>
      <c r="GH674">
        <v>14.042034325899083</v>
      </c>
      <c r="GI674">
        <v>20.029208442302266</v>
      </c>
      <c r="GJ674"/>
      <c r="GK674"/>
      <c r="GL674"/>
      <c r="GM674"/>
      <c r="GN674" s="208"/>
      <c r="GO674" s="208"/>
      <c r="GP674" s="208"/>
      <c r="GQ674" s="208"/>
      <c r="GR674" s="208"/>
      <c r="GS674" s="208"/>
      <c r="GT674" s="208"/>
      <c r="GU674" s="213">
        <v>669</v>
      </c>
    </row>
    <row r="675" spans="1:203" s="7" customFormat="1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28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81"/>
      <c r="AG675" s="81"/>
      <c r="AH675" s="81"/>
      <c r="AI675" s="4"/>
      <c r="AJ675" s="81"/>
      <c r="AK675" s="81"/>
      <c r="AL675" s="81"/>
      <c r="AM675" s="43">
        <v>659</v>
      </c>
      <c r="AN675">
        <v>290.55984758382874</v>
      </c>
      <c r="AO675">
        <v>29.867981534349706</v>
      </c>
      <c r="AP675">
        <v>61.314971286411293</v>
      </c>
      <c r="AQ675">
        <v>218.59616782777306</v>
      </c>
      <c r="AR675">
        <v>31.457251121360667</v>
      </c>
      <c r="AS675">
        <v>253.53631366795418</v>
      </c>
      <c r="AT675">
        <v>12.475682926545486</v>
      </c>
      <c r="AU675">
        <v>-16.66216564304117</v>
      </c>
      <c r="AV675"/>
      <c r="AW675"/>
      <c r="FY675" s="213">
        <v>670</v>
      </c>
      <c r="FZ675">
        <v>33.363731804049785</v>
      </c>
      <c r="GA675">
        <v>22.569660594289594</v>
      </c>
      <c r="GB675">
        <v>8.5307114738954848</v>
      </c>
      <c r="GC675">
        <v>7.835099479986015</v>
      </c>
      <c r="GD675">
        <v>6.2834973813188206</v>
      </c>
      <c r="GE675">
        <v>6.068379431647478</v>
      </c>
      <c r="GF675">
        <v>29.30380761803276</v>
      </c>
      <c r="GG675">
        <v>23.801341413838752</v>
      </c>
      <c r="GH675">
        <v>7.4661318090279547</v>
      </c>
      <c r="GI675">
        <v>17.35718772488568</v>
      </c>
      <c r="GJ675"/>
      <c r="GK675"/>
      <c r="GL675"/>
      <c r="GM675"/>
      <c r="GN675" s="208"/>
      <c r="GO675" s="208"/>
      <c r="GP675" s="208"/>
      <c r="GQ675" s="208"/>
      <c r="GR675" s="208"/>
      <c r="GS675" s="208"/>
      <c r="GT675" s="208"/>
      <c r="GU675" s="213">
        <v>670</v>
      </c>
    </row>
    <row r="676" spans="1:203" s="7" customFormat="1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28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81"/>
      <c r="AG676" s="81"/>
      <c r="AH676" s="81"/>
      <c r="AI676" s="4"/>
      <c r="AJ676" s="81"/>
      <c r="AK676" s="81"/>
      <c r="AL676" s="81"/>
      <c r="AM676" s="43">
        <v>660</v>
      </c>
      <c r="AN676">
        <v>296.85584288358802</v>
      </c>
      <c r="AO676">
        <v>31.176527170875779</v>
      </c>
      <c r="AP676">
        <v>101.50052592102244</v>
      </c>
      <c r="AQ676">
        <v>240.62984395339691</v>
      </c>
      <c r="AR676">
        <v>33.677544584035253</v>
      </c>
      <c r="AS676">
        <v>262.1311314762313</v>
      </c>
      <c r="AT676">
        <v>15.133058054754082</v>
      </c>
      <c r="AU676">
        <v>20.040399117178168</v>
      </c>
      <c r="AV676"/>
      <c r="AW676"/>
      <c r="FY676" s="213">
        <v>671</v>
      </c>
      <c r="FZ676">
        <v>67.252911988540589</v>
      </c>
      <c r="GA676">
        <v>45.079175099570172</v>
      </c>
      <c r="GB676">
        <v>11.38628728463666</v>
      </c>
      <c r="GC676">
        <v>4.0446466965674297</v>
      </c>
      <c r="GD676">
        <v>3.1240751293522582</v>
      </c>
      <c r="GE676">
        <v>4.657553835959007</v>
      </c>
      <c r="GF676">
        <v>14.898688786369302</v>
      </c>
      <c r="GG676">
        <v>12.626712438015611</v>
      </c>
      <c r="GH676">
        <v>12.13619846334838</v>
      </c>
      <c r="GI676">
        <v>19.445556740937821</v>
      </c>
      <c r="GJ676"/>
      <c r="GK676"/>
      <c r="GL676"/>
      <c r="GM676"/>
      <c r="GN676" s="208"/>
      <c r="GO676" s="208"/>
      <c r="GP676" s="208"/>
      <c r="GQ676" s="208"/>
      <c r="GR676" s="208"/>
      <c r="GS676" s="208"/>
      <c r="GT676" s="208"/>
      <c r="GU676" s="213">
        <v>671</v>
      </c>
    </row>
    <row r="677" spans="1:203" s="7" customFormat="1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28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81"/>
      <c r="AG677" s="81"/>
      <c r="AH677" s="81"/>
      <c r="AI677" s="4"/>
      <c r="AJ677" s="81"/>
      <c r="AK677" s="81"/>
      <c r="AL677" s="81"/>
      <c r="AM677" s="43">
        <v>661</v>
      </c>
      <c r="AN677">
        <v>346.22190917884171</v>
      </c>
      <c r="AO677">
        <v>19.930175146392557</v>
      </c>
      <c r="AP677">
        <v>66.187140157360659</v>
      </c>
      <c r="AQ677">
        <v>131.01280820132109</v>
      </c>
      <c r="AR677">
        <v>21.271729056536493</v>
      </c>
      <c r="AS677">
        <v>234.35499192015359</v>
      </c>
      <c r="AT677">
        <v>10.437449910001829</v>
      </c>
      <c r="AU677">
        <v>42.308799549940993</v>
      </c>
      <c r="AV677"/>
      <c r="AW677"/>
      <c r="FY677" s="213">
        <v>672</v>
      </c>
      <c r="FZ677">
        <v>40.48902368449702</v>
      </c>
      <c r="GA677">
        <v>32.636080565793733</v>
      </c>
      <c r="GB677">
        <v>11.955176139235514</v>
      </c>
      <c r="GC677">
        <v>5.8495402664234701</v>
      </c>
      <c r="GD677">
        <v>5.2170329076652537</v>
      </c>
      <c r="GE677">
        <v>7.0186874738109228</v>
      </c>
      <c r="GF677">
        <v>23.305673082813147</v>
      </c>
      <c r="GG677">
        <v>18.061749951778065</v>
      </c>
      <c r="GH677">
        <v>8.5525057441065382</v>
      </c>
      <c r="GI677">
        <v>17.96255071675526</v>
      </c>
      <c r="GJ677"/>
      <c r="GK677"/>
      <c r="GL677"/>
      <c r="GM677"/>
      <c r="GN677" s="208"/>
      <c r="GO677" s="208"/>
      <c r="GP677" s="208"/>
      <c r="GQ677" s="208"/>
      <c r="GR677" s="208"/>
      <c r="GS677" s="208"/>
      <c r="GT677" s="208"/>
      <c r="GU677" s="213">
        <v>672</v>
      </c>
    </row>
    <row r="678" spans="1:203" s="7" customFormat="1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28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81"/>
      <c r="AG678" s="81"/>
      <c r="AH678" s="81"/>
      <c r="AI678" s="4"/>
      <c r="AJ678" s="81"/>
      <c r="AK678" s="81"/>
      <c r="AL678" s="81"/>
      <c r="AM678" s="43">
        <v>662</v>
      </c>
      <c r="AN678">
        <v>386.10008016337667</v>
      </c>
      <c r="AO678">
        <v>32.193703786462819</v>
      </c>
      <c r="AP678">
        <v>69.776690173278794</v>
      </c>
      <c r="AQ678">
        <v>226.15270852062818</v>
      </c>
      <c r="AR678">
        <v>34.541764337035779</v>
      </c>
      <c r="AS678">
        <v>298.53862940241805</v>
      </c>
      <c r="AT678">
        <v>14.955581977139625</v>
      </c>
      <c r="AU678">
        <v>22.016893732938463</v>
      </c>
      <c r="AV678"/>
      <c r="AW678"/>
      <c r="FY678" s="213">
        <v>673</v>
      </c>
      <c r="FZ678">
        <v>96.083476584762153</v>
      </c>
      <c r="GA678">
        <v>57.709120700292154</v>
      </c>
      <c r="GB678">
        <v>8.5580150765625529</v>
      </c>
      <c r="GC678">
        <v>4.9244228013966618</v>
      </c>
      <c r="GD678">
        <v>4.372513899979543</v>
      </c>
      <c r="GE678">
        <v>4.4369002193880291</v>
      </c>
      <c r="GF678">
        <v>22.87257364802015</v>
      </c>
      <c r="GG678">
        <v>22.43129716218937</v>
      </c>
      <c r="GH678">
        <v>9.2933975539178473</v>
      </c>
      <c r="GI678">
        <v>24.499464406767231</v>
      </c>
      <c r="GJ678"/>
      <c r="GK678"/>
      <c r="GL678"/>
      <c r="GM678"/>
      <c r="GN678" s="208"/>
      <c r="GO678" s="208"/>
      <c r="GP678" s="208"/>
      <c r="GQ678" s="208"/>
      <c r="GR678" s="208"/>
      <c r="GS678" s="208"/>
      <c r="GT678" s="208"/>
      <c r="GU678" s="213">
        <v>673</v>
      </c>
    </row>
    <row r="679" spans="1:203" s="7" customFormat="1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28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81"/>
      <c r="AG679" s="81"/>
      <c r="AH679" s="81"/>
      <c r="AI679" s="4"/>
      <c r="AJ679" s="81"/>
      <c r="AK679" s="81"/>
      <c r="AL679" s="81"/>
      <c r="AM679" s="43">
        <v>663</v>
      </c>
      <c r="AN679">
        <v>351.51485909454402</v>
      </c>
      <c r="AO679">
        <v>25.824264750025854</v>
      </c>
      <c r="AP679">
        <v>123.7615309515314</v>
      </c>
      <c r="AQ679">
        <v>188.69839363915287</v>
      </c>
      <c r="AR679">
        <v>27.282780812579588</v>
      </c>
      <c r="AS679">
        <v>253.93171554632096</v>
      </c>
      <c r="AT679">
        <v>12.825222073457804</v>
      </c>
      <c r="AU679">
        <v>37.030444456444954</v>
      </c>
      <c r="AV679"/>
      <c r="AW679"/>
      <c r="FY679" s="213">
        <v>674</v>
      </c>
      <c r="FZ679">
        <v>27.374317197687823</v>
      </c>
      <c r="GA679">
        <v>15.657550334478437</v>
      </c>
      <c r="GB679">
        <v>7.9220102688951588</v>
      </c>
      <c r="GC679">
        <v>4.1034077458944287</v>
      </c>
      <c r="GD679">
        <v>3.2886825571658416</v>
      </c>
      <c r="GE679">
        <v>6.563084446670846</v>
      </c>
      <c r="GF679">
        <v>29.949259922872653</v>
      </c>
      <c r="GG679">
        <v>23.459622300250988</v>
      </c>
      <c r="GH679">
        <v>18.04537143998575</v>
      </c>
      <c r="GI679">
        <v>16.450237911752911</v>
      </c>
      <c r="GJ679"/>
      <c r="GK679"/>
      <c r="GL679"/>
      <c r="GM679"/>
      <c r="GN679" s="208"/>
      <c r="GO679" s="208"/>
      <c r="GP679" s="208"/>
      <c r="GQ679" s="208"/>
      <c r="GR679" s="208"/>
      <c r="GS679" s="208"/>
      <c r="GT679" s="208"/>
      <c r="GU679" s="213">
        <v>674</v>
      </c>
    </row>
    <row r="680" spans="1:203" s="7" customFormat="1">
      <c r="A680" s="4"/>
      <c r="B680" s="4"/>
      <c r="C680" s="105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28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81"/>
      <c r="AG680" s="81"/>
      <c r="AH680" s="81"/>
      <c r="AI680" s="4"/>
      <c r="AJ680" s="81"/>
      <c r="AK680" s="81"/>
      <c r="AL680" s="81"/>
      <c r="AM680" s="43">
        <v>664</v>
      </c>
      <c r="AN680">
        <v>325.19121676541903</v>
      </c>
      <c r="AO680">
        <v>25.042972464836065</v>
      </c>
      <c r="AP680">
        <v>103.03764708629357</v>
      </c>
      <c r="AQ680">
        <v>169.90334736473366</v>
      </c>
      <c r="AR680">
        <v>25.145290267046772</v>
      </c>
      <c r="AS680">
        <v>224.90380078874523</v>
      </c>
      <c r="AT680">
        <v>10.129860033949743</v>
      </c>
      <c r="AU680">
        <v>0.71552624995661773</v>
      </c>
      <c r="AV680"/>
      <c r="AW680"/>
      <c r="FY680" s="213">
        <v>675</v>
      </c>
      <c r="FZ680">
        <v>76.75851008216766</v>
      </c>
      <c r="GA680">
        <v>100.11510403672754</v>
      </c>
      <c r="GB680">
        <v>15.972325635742772</v>
      </c>
      <c r="GC680">
        <v>6.064020708025347</v>
      </c>
      <c r="GD680">
        <v>5.3498695079906282</v>
      </c>
      <c r="GE680">
        <v>6.7495379368108219</v>
      </c>
      <c r="GF680">
        <v>8.0872596277623092</v>
      </c>
      <c r="GG680">
        <v>5.6510644532322054</v>
      </c>
      <c r="GH680">
        <v>9.3110914014650792</v>
      </c>
      <c r="GI680">
        <v>21.973335041976899</v>
      </c>
      <c r="GJ680"/>
      <c r="GK680"/>
      <c r="GL680"/>
      <c r="GM680"/>
      <c r="GN680" s="208"/>
      <c r="GO680" s="208"/>
      <c r="GP680" s="208"/>
      <c r="GQ680" s="208"/>
      <c r="GR680" s="208"/>
      <c r="GS680" s="208"/>
      <c r="GT680" s="208"/>
      <c r="GU680" s="213">
        <v>675</v>
      </c>
    </row>
    <row r="681" spans="1:203" s="7" customFormat="1">
      <c r="A681" s="4"/>
      <c r="B681" s="4"/>
      <c r="C681" s="105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28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81"/>
      <c r="AG681" s="81"/>
      <c r="AH681" s="81"/>
      <c r="AI681" s="4"/>
      <c r="AJ681" s="81"/>
      <c r="AK681" s="81"/>
      <c r="AL681" s="81"/>
      <c r="AM681" s="43">
        <v>665</v>
      </c>
      <c r="AN681">
        <v>308.98090294149404</v>
      </c>
      <c r="AO681">
        <v>26.587687333200147</v>
      </c>
      <c r="AP681">
        <v>92.099901494532247</v>
      </c>
      <c r="AQ681">
        <v>179.77785581420636</v>
      </c>
      <c r="AR681">
        <v>27.319141488623934</v>
      </c>
      <c r="AS681">
        <v>231.81468932740316</v>
      </c>
      <c r="AT681">
        <v>11.689130379393356</v>
      </c>
      <c r="AU681">
        <v>78.448044164182988</v>
      </c>
      <c r="AV681"/>
      <c r="AW681"/>
      <c r="FY681" s="213">
        <v>676</v>
      </c>
      <c r="FZ681">
        <v>37.216087366158249</v>
      </c>
      <c r="GA681">
        <v>48.381196682094284</v>
      </c>
      <c r="GB681">
        <v>11.87540229883421</v>
      </c>
      <c r="GC681">
        <v>10.36440907198331</v>
      </c>
      <c r="GD681">
        <v>9.8591011452359325</v>
      </c>
      <c r="GE681">
        <v>7.142021840278197</v>
      </c>
      <c r="GF681">
        <v>27.623916030408783</v>
      </c>
      <c r="GG681">
        <v>27.725790797863329</v>
      </c>
      <c r="GH681">
        <v>12.737038203226637</v>
      </c>
      <c r="GI681">
        <v>21.606794331138957</v>
      </c>
      <c r="GJ681"/>
      <c r="GK681"/>
      <c r="GL681"/>
      <c r="GM681"/>
      <c r="GN681" s="208"/>
      <c r="GO681" s="208"/>
      <c r="GP681" s="208"/>
      <c r="GQ681" s="208"/>
      <c r="GR681" s="208"/>
      <c r="GS681" s="208"/>
      <c r="GT681" s="208"/>
      <c r="GU681" s="213">
        <v>676</v>
      </c>
    </row>
    <row r="682" spans="1:203" s="7" customFormat="1">
      <c r="A682" s="4"/>
      <c r="B682" s="4"/>
      <c r="C682" s="105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28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81"/>
      <c r="AG682" s="81"/>
      <c r="AH682" s="81"/>
      <c r="AI682" s="4"/>
      <c r="AJ682" s="81"/>
      <c r="AK682" s="81"/>
      <c r="AL682" s="81"/>
      <c r="AM682" s="43">
        <v>666</v>
      </c>
      <c r="AN682">
        <v>292.32314751383308</v>
      </c>
      <c r="AO682">
        <v>24.43965731990432</v>
      </c>
      <c r="AP682">
        <v>79.42951237744677</v>
      </c>
      <c r="AQ682">
        <v>177.92019446713235</v>
      </c>
      <c r="AR682">
        <v>25.051953190778757</v>
      </c>
      <c r="AS682">
        <v>242.44531198245457</v>
      </c>
      <c r="AT682">
        <v>12.701214976824891</v>
      </c>
      <c r="AU682">
        <v>49.200299183764585</v>
      </c>
      <c r="AV682"/>
      <c r="AW682"/>
      <c r="FY682" s="213">
        <v>677</v>
      </c>
      <c r="FZ682">
        <v>36.340583790843709</v>
      </c>
      <c r="GA682">
        <v>19.090269520922863</v>
      </c>
      <c r="GB682">
        <v>4.6570685570384942</v>
      </c>
      <c r="GC682">
        <v>5.6200107011235882</v>
      </c>
      <c r="GD682">
        <v>6.0520212468467198</v>
      </c>
      <c r="GE682">
        <v>8.2359963671711984</v>
      </c>
      <c r="GF682">
        <v>10.68468513460996</v>
      </c>
      <c r="GG682">
        <v>10.177699523228872</v>
      </c>
      <c r="GH682">
        <v>12.350149184715457</v>
      </c>
      <c r="GI682">
        <v>13.899521049481528</v>
      </c>
      <c r="GJ682"/>
      <c r="GK682"/>
      <c r="GL682"/>
      <c r="GM682"/>
      <c r="GN682" s="208"/>
      <c r="GO682" s="208"/>
      <c r="GP682" s="208"/>
      <c r="GQ682" s="208"/>
      <c r="GR682" s="208"/>
      <c r="GS682" s="208"/>
      <c r="GT682" s="208"/>
      <c r="GU682" s="213">
        <v>677</v>
      </c>
    </row>
    <row r="683" spans="1:203" s="7" customFormat="1">
      <c r="A683" s="4"/>
      <c r="B683" s="4"/>
      <c r="C683" s="105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28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81"/>
      <c r="AG683" s="81"/>
      <c r="AH683" s="81"/>
      <c r="AI683" s="4"/>
      <c r="AJ683" s="81"/>
      <c r="AK683" s="81"/>
      <c r="AL683" s="81"/>
      <c r="AM683" s="43">
        <v>667</v>
      </c>
      <c r="AN683">
        <v>327.99077699844628</v>
      </c>
      <c r="AO683">
        <v>31.441385063908115</v>
      </c>
      <c r="AP683">
        <v>63.360179896036485</v>
      </c>
      <c r="AQ683">
        <v>237.31907271352446</v>
      </c>
      <c r="AR683">
        <v>32.586136867925582</v>
      </c>
      <c r="AS683">
        <v>290.27485339000066</v>
      </c>
      <c r="AT683">
        <v>15.334977125361329</v>
      </c>
      <c r="AU683">
        <v>15.46546096392937</v>
      </c>
      <c r="AV683"/>
      <c r="AW683"/>
      <c r="FY683" s="213">
        <v>678</v>
      </c>
      <c r="FZ683">
        <v>45.028072514617556</v>
      </c>
      <c r="GA683">
        <v>49.763112905250644</v>
      </c>
      <c r="GB683">
        <v>16.710064849965818</v>
      </c>
      <c r="GC683">
        <v>4.8823582488897674</v>
      </c>
      <c r="GD683">
        <v>3.9898445580591053</v>
      </c>
      <c r="GE683">
        <v>4.4024424589362372</v>
      </c>
      <c r="GF683">
        <v>13.592716848846877</v>
      </c>
      <c r="GG683">
        <v>13.077011651543726</v>
      </c>
      <c r="GH683">
        <v>17.219000410657664</v>
      </c>
      <c r="GI683">
        <v>19.037051548002797</v>
      </c>
      <c r="GJ683"/>
      <c r="GK683"/>
      <c r="GL683"/>
      <c r="GM683"/>
      <c r="GN683" s="208"/>
      <c r="GO683" s="208"/>
      <c r="GP683" s="208"/>
      <c r="GQ683" s="208"/>
      <c r="GR683" s="208"/>
      <c r="GS683" s="208"/>
      <c r="GT683" s="208"/>
      <c r="GU683" s="213">
        <v>678</v>
      </c>
    </row>
    <row r="684" spans="1:203" s="7" customFormat="1">
      <c r="A684" s="4"/>
      <c r="B684" s="4"/>
      <c r="C684" s="105"/>
      <c r="D684" s="4"/>
      <c r="E684" s="4"/>
      <c r="F684" s="28"/>
      <c r="G684" s="28"/>
      <c r="H684" s="83"/>
      <c r="I684" s="4"/>
      <c r="J684" s="4"/>
      <c r="K684" s="4"/>
      <c r="L684" s="4"/>
      <c r="M684" s="4"/>
      <c r="N684" s="28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  <c r="AA684" s="4"/>
      <c r="AB684" s="4"/>
      <c r="AC684" s="4"/>
      <c r="AD684" s="4"/>
      <c r="AE684" s="4"/>
      <c r="AF684" s="81"/>
      <c r="AG684" s="81"/>
      <c r="AH684" s="81"/>
      <c r="AI684" s="4"/>
      <c r="AJ684" s="81"/>
      <c r="AK684" s="81"/>
      <c r="AL684" s="81"/>
      <c r="AM684" s="43">
        <v>668</v>
      </c>
      <c r="AN684">
        <v>255.7666210963468</v>
      </c>
      <c r="AO684">
        <v>22.828047130482112</v>
      </c>
      <c r="AP684">
        <v>49.455413021075856</v>
      </c>
      <c r="AQ684">
        <v>171.86711445488461</v>
      </c>
      <c r="AR684">
        <v>22.864088173451684</v>
      </c>
      <c r="AS684">
        <v>208.19351386602756</v>
      </c>
      <c r="AT684">
        <v>11.341569458834465</v>
      </c>
      <c r="AU684">
        <v>9.5427190730178975</v>
      </c>
      <c r="AV684"/>
      <c r="AW684"/>
      <c r="FY684" s="213">
        <v>679</v>
      </c>
      <c r="FZ684">
        <v>33.473356998078494</v>
      </c>
      <c r="GA684">
        <v>31.628180675908659</v>
      </c>
      <c r="GB684">
        <v>8.6531541354862647</v>
      </c>
      <c r="GC684">
        <v>4.943887085503925</v>
      </c>
      <c r="GD684">
        <v>4.6056096963551001</v>
      </c>
      <c r="GE684">
        <v>4.0282380385847096</v>
      </c>
      <c r="GF684">
        <v>27.967229644679232</v>
      </c>
      <c r="GG684">
        <v>28.698594094807039</v>
      </c>
      <c r="GH684">
        <v>11.335419044899346</v>
      </c>
      <c r="GI684">
        <v>16.876084885704618</v>
      </c>
      <c r="GJ684"/>
      <c r="GK684"/>
      <c r="GL684"/>
      <c r="GM684"/>
      <c r="GN684" s="208"/>
      <c r="GO684" s="208"/>
      <c r="GP684" s="208"/>
      <c r="GQ684" s="208"/>
      <c r="GR684" s="208"/>
      <c r="GS684" s="208"/>
      <c r="GT684" s="208"/>
      <c r="GU684" s="213">
        <v>679</v>
      </c>
    </row>
    <row r="685" spans="1:203" s="7" customFormat="1">
      <c r="A685" s="4"/>
      <c r="B685" s="4"/>
      <c r="C685" s="105"/>
      <c r="D685" s="4"/>
      <c r="E685" s="4"/>
      <c r="F685" s="28"/>
      <c r="G685" s="28"/>
      <c r="H685" s="83"/>
      <c r="I685" s="4"/>
      <c r="J685" s="4"/>
      <c r="K685" s="4"/>
      <c r="L685" s="4"/>
      <c r="M685" s="4"/>
      <c r="N685" s="28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  <c r="AA685" s="4"/>
      <c r="AB685" s="4"/>
      <c r="AC685" s="4"/>
      <c r="AD685" s="4"/>
      <c r="AE685" s="4"/>
      <c r="AF685" s="81"/>
      <c r="AG685" s="81"/>
      <c r="AH685" s="81"/>
      <c r="AI685" s="4"/>
      <c r="AJ685" s="81"/>
      <c r="AK685" s="81"/>
      <c r="AL685" s="81"/>
      <c r="AM685" s="43">
        <v>669</v>
      </c>
      <c r="AN685">
        <v>325.98283393251563</v>
      </c>
      <c r="AO685">
        <v>27.407431800750441</v>
      </c>
      <c r="AP685">
        <v>67.887300977220377</v>
      </c>
      <c r="AQ685">
        <v>191.50704233010038</v>
      </c>
      <c r="AR685">
        <v>29.758560962376642</v>
      </c>
      <c r="AS685">
        <v>255.49119177172619</v>
      </c>
      <c r="AT685">
        <v>13.128699966422838</v>
      </c>
      <c r="AU685">
        <v>33.053454741678109</v>
      </c>
      <c r="AV685"/>
      <c r="AW685"/>
      <c r="FY685" s="213">
        <v>680</v>
      </c>
      <c r="FZ685">
        <v>57.580594578509093</v>
      </c>
      <c r="GA685">
        <v>61.809522645330709</v>
      </c>
      <c r="GB685">
        <v>12.739209189494126</v>
      </c>
      <c r="GC685">
        <v>8.0859144554412499</v>
      </c>
      <c r="GD685">
        <v>5.8288282524466251</v>
      </c>
      <c r="GE685">
        <v>4.2810785361439958</v>
      </c>
      <c r="GF685">
        <v>19.905517187682793</v>
      </c>
      <c r="GG685">
        <v>16.807317120918221</v>
      </c>
      <c r="GH685">
        <v>10.022857586729966</v>
      </c>
      <c r="GI685">
        <v>20.707280973822321</v>
      </c>
      <c r="GJ685"/>
      <c r="GK685"/>
      <c r="GL685"/>
      <c r="GM685"/>
      <c r="GN685" s="208"/>
      <c r="GO685" s="208"/>
      <c r="GP685" s="208"/>
      <c r="GQ685" s="208"/>
      <c r="GR685" s="208"/>
      <c r="GS685" s="208"/>
      <c r="GT685" s="208"/>
      <c r="GU685" s="213">
        <v>680</v>
      </c>
    </row>
    <row r="686" spans="1:203" s="7" customFormat="1">
      <c r="A686" s="4"/>
      <c r="B686" s="4"/>
      <c r="C686" s="105"/>
      <c r="D686" s="4"/>
      <c r="E686" s="4"/>
      <c r="F686" s="28"/>
      <c r="G686" s="28"/>
      <c r="H686" s="83"/>
      <c r="I686" s="4"/>
      <c r="J686" s="4"/>
      <c r="K686" s="4"/>
      <c r="L686" s="4"/>
      <c r="M686" s="4"/>
      <c r="N686" s="28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  <c r="AA686" s="4"/>
      <c r="AB686" s="4"/>
      <c r="AC686" s="4"/>
      <c r="AD686" s="4"/>
      <c r="AE686" s="4"/>
      <c r="AF686" s="81"/>
      <c r="AG686" s="81"/>
      <c r="AH686" s="81"/>
      <c r="AI686" s="4"/>
      <c r="AJ686" s="81"/>
      <c r="AK686" s="81"/>
      <c r="AL686" s="81"/>
      <c r="AM686" s="43">
        <v>670</v>
      </c>
      <c r="AN686">
        <v>376.39939008371323</v>
      </c>
      <c r="AO686">
        <v>24.022886026405818</v>
      </c>
      <c r="AP686">
        <v>87.647671212792375</v>
      </c>
      <c r="AQ686">
        <v>162.57954873097231</v>
      </c>
      <c r="AR686">
        <v>24.820238560330878</v>
      </c>
      <c r="AS686">
        <v>260.71275789382315</v>
      </c>
      <c r="AT686">
        <v>11.726710749284811</v>
      </c>
      <c r="AU686">
        <v>83.460325720112309</v>
      </c>
      <c r="AV686"/>
      <c r="AW686"/>
      <c r="FY686" s="213">
        <v>681</v>
      </c>
      <c r="FZ686">
        <v>76.887396784554667</v>
      </c>
      <c r="GA686">
        <v>75.103784446663866</v>
      </c>
      <c r="GB686">
        <v>13.379743315826182</v>
      </c>
      <c r="GC686">
        <v>5.8491251694878406</v>
      </c>
      <c r="GD686">
        <v>4.8830489543497686</v>
      </c>
      <c r="GE686">
        <v>4.7390613151879704</v>
      </c>
      <c r="GF686">
        <v>9.0048917671618725</v>
      </c>
      <c r="GG686">
        <v>8.6472587647257377</v>
      </c>
      <c r="GH686">
        <v>12.77764868763542</v>
      </c>
      <c r="GI686">
        <v>21.533961233349281</v>
      </c>
      <c r="GJ686"/>
      <c r="GK686"/>
      <c r="GL686"/>
      <c r="GM686"/>
      <c r="GN686" s="208"/>
      <c r="GO686" s="208"/>
      <c r="GP686" s="208"/>
      <c r="GQ686" s="208"/>
      <c r="GR686" s="208"/>
      <c r="GS686" s="208"/>
      <c r="GT686" s="208"/>
      <c r="GU686" s="213">
        <v>681</v>
      </c>
    </row>
    <row r="687" spans="1:203" s="7" customFormat="1">
      <c r="A687" s="4"/>
      <c r="B687" s="4"/>
      <c r="C687" s="105"/>
      <c r="D687" s="4"/>
      <c r="E687" s="4"/>
      <c r="F687" s="28"/>
      <c r="G687" s="28"/>
      <c r="H687" s="83"/>
      <c r="I687" s="4"/>
      <c r="J687" s="4"/>
      <c r="K687" s="4"/>
      <c r="L687" s="4"/>
      <c r="M687" s="4"/>
      <c r="N687" s="28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  <c r="AA687" s="4"/>
      <c r="AB687" s="4"/>
      <c r="AC687" s="4"/>
      <c r="AD687" s="4"/>
      <c r="AE687" s="4"/>
      <c r="AF687" s="81"/>
      <c r="AG687" s="81"/>
      <c r="AH687" s="81"/>
      <c r="AI687" s="4"/>
      <c r="AJ687" s="81"/>
      <c r="AK687" s="81"/>
      <c r="AL687" s="81"/>
      <c r="AM687" s="43">
        <v>671</v>
      </c>
      <c r="AN687">
        <v>257.26561166933755</v>
      </c>
      <c r="AO687">
        <v>26.350643299831773</v>
      </c>
      <c r="AP687">
        <v>59.138644636307276</v>
      </c>
      <c r="AQ687">
        <v>194.65180646329722</v>
      </c>
      <c r="AR687">
        <v>29.778049197643362</v>
      </c>
      <c r="AS687">
        <v>233.43043376101906</v>
      </c>
      <c r="AT687">
        <v>12.871143956169867</v>
      </c>
      <c r="AU687">
        <v>29.242725935588069</v>
      </c>
      <c r="AV687"/>
      <c r="AW687"/>
      <c r="FY687" s="213">
        <v>682</v>
      </c>
      <c r="FZ687">
        <v>49.126678532021387</v>
      </c>
      <c r="GA687">
        <v>57.595058072916892</v>
      </c>
      <c r="GB687">
        <v>12.229558109811634</v>
      </c>
      <c r="GC687">
        <v>4.5134924359713082</v>
      </c>
      <c r="GD687">
        <v>3.7180414385818512</v>
      </c>
      <c r="GE687">
        <v>7.8695682349808536</v>
      </c>
      <c r="GF687">
        <v>35.343138634642521</v>
      </c>
      <c r="GG687">
        <v>28.1997721992694</v>
      </c>
      <c r="GH687">
        <v>14.58110344903765</v>
      </c>
      <c r="GI687">
        <v>21.554750676834391</v>
      </c>
      <c r="GJ687"/>
      <c r="GK687"/>
      <c r="GL687"/>
      <c r="GM687"/>
      <c r="GN687" s="208"/>
      <c r="GO687" s="208"/>
      <c r="GP687" s="208"/>
      <c r="GQ687" s="208"/>
      <c r="GR687" s="208"/>
      <c r="GS687" s="208"/>
      <c r="GT687" s="208"/>
      <c r="GU687" s="213">
        <v>682</v>
      </c>
    </row>
    <row r="688" spans="1:203" s="7" customFormat="1">
      <c r="A688" s="4"/>
      <c r="B688" s="4"/>
      <c r="C688" s="105"/>
      <c r="D688" s="4"/>
      <c r="E688" s="4"/>
      <c r="F688" s="28"/>
      <c r="G688" s="28"/>
      <c r="H688" s="83"/>
      <c r="I688" s="4"/>
      <c r="J688" s="4"/>
      <c r="K688" s="4"/>
      <c r="L688" s="4"/>
      <c r="M688" s="4"/>
      <c r="N688" s="28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  <c r="AA688" s="4"/>
      <c r="AB688" s="4"/>
      <c r="AC688" s="4"/>
      <c r="AD688" s="4"/>
      <c r="AE688" s="4"/>
      <c r="AF688" s="81"/>
      <c r="AG688" s="81"/>
      <c r="AH688" s="81"/>
      <c r="AI688" s="4"/>
      <c r="AJ688" s="81"/>
      <c r="AK688" s="81"/>
      <c r="AL688" s="81"/>
      <c r="AM688" s="43">
        <v>672</v>
      </c>
      <c r="AN688">
        <v>350.16353307345582</v>
      </c>
      <c r="AO688">
        <v>24.902406415799412</v>
      </c>
      <c r="AP688">
        <v>88.370488044209011</v>
      </c>
      <c r="AQ688">
        <v>171.04802053287892</v>
      </c>
      <c r="AR688">
        <v>26.466932573673958</v>
      </c>
      <c r="AS688">
        <v>234.65422556730451</v>
      </c>
      <c r="AT688">
        <v>12.202784808854096</v>
      </c>
      <c r="AU688">
        <v>66.16936005861163</v>
      </c>
      <c r="AV688"/>
      <c r="AW688"/>
      <c r="FY688" s="213">
        <v>683</v>
      </c>
      <c r="FZ688">
        <v>46.684494196618729</v>
      </c>
      <c r="GA688">
        <v>70.889214592162176</v>
      </c>
      <c r="GB688">
        <v>15.042697804010388</v>
      </c>
      <c r="GC688">
        <v>6.7605633410865789</v>
      </c>
      <c r="GD688">
        <v>4.892258744187993</v>
      </c>
      <c r="GE688">
        <v>1.9041336419621242</v>
      </c>
      <c r="GF688">
        <v>18.936300584542391</v>
      </c>
      <c r="GG688">
        <v>19.048948433496889</v>
      </c>
      <c r="GH688">
        <v>8.2091283381287727</v>
      </c>
      <c r="GI688">
        <v>18.765903991579364</v>
      </c>
      <c r="GJ688"/>
      <c r="GK688"/>
      <c r="GL688"/>
      <c r="GM688"/>
      <c r="GN688" s="208"/>
      <c r="GO688" s="208"/>
      <c r="GP688" s="208"/>
      <c r="GQ688" s="208"/>
      <c r="GR688" s="208"/>
      <c r="GS688" s="208"/>
      <c r="GT688" s="208"/>
      <c r="GU688" s="213">
        <v>683</v>
      </c>
    </row>
    <row r="689" spans="1:203" s="7" customFormat="1">
      <c r="A689" s="4"/>
      <c r="B689" s="4"/>
      <c r="C689" s="105"/>
      <c r="D689" s="4"/>
      <c r="E689" s="4"/>
      <c r="F689" s="28"/>
      <c r="G689" s="28"/>
      <c r="H689" s="83"/>
      <c r="I689" s="4"/>
      <c r="J689" s="4"/>
      <c r="K689" s="4"/>
      <c r="L689" s="4"/>
      <c r="M689" s="4"/>
      <c r="N689" s="28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  <c r="AA689" s="4"/>
      <c r="AB689" s="4"/>
      <c r="AC689" s="4"/>
      <c r="AD689" s="4"/>
      <c r="AE689" s="4"/>
      <c r="AF689" s="81"/>
      <c r="AG689" s="81"/>
      <c r="AH689" s="81"/>
      <c r="AI689" s="4"/>
      <c r="AJ689" s="81"/>
      <c r="AK689" s="81"/>
      <c r="AL689" s="81"/>
      <c r="AM689" s="43">
        <v>673</v>
      </c>
      <c r="AN689">
        <v>323.8687104758788</v>
      </c>
      <c r="AO689">
        <v>32.579204074797502</v>
      </c>
      <c r="AP689">
        <v>54.542507435651899</v>
      </c>
      <c r="AQ689">
        <v>255.18118205327571</v>
      </c>
      <c r="AR689">
        <v>36.027357495175316</v>
      </c>
      <c r="AS689">
        <v>305.83819146635034</v>
      </c>
      <c r="AT689">
        <v>18.26325825806946</v>
      </c>
      <c r="AU689">
        <v>59.544952951071735</v>
      </c>
      <c r="AV689"/>
      <c r="AW689"/>
      <c r="FY689" s="213">
        <v>684</v>
      </c>
      <c r="FZ689">
        <v>30.661424618270072</v>
      </c>
      <c r="GA689">
        <v>61.44611756256289</v>
      </c>
      <c r="GB689">
        <v>22.287032513551598</v>
      </c>
      <c r="GC689">
        <v>5.2348763037351764</v>
      </c>
      <c r="GD689">
        <v>4.7031627884523033</v>
      </c>
      <c r="GE689">
        <v>6.1475926749065968</v>
      </c>
      <c r="GF689">
        <v>17.978344358834217</v>
      </c>
      <c r="GG689">
        <v>15.107406156457447</v>
      </c>
      <c r="GH689">
        <v>18.392573708687884</v>
      </c>
      <c r="GI689">
        <v>20.040858878214756</v>
      </c>
      <c r="GJ689"/>
      <c r="GK689"/>
      <c r="GL689"/>
      <c r="GM689"/>
      <c r="GN689" s="208"/>
      <c r="GO689" s="208"/>
      <c r="GP689" s="208"/>
      <c r="GQ689" s="208"/>
      <c r="GR689" s="208"/>
      <c r="GS689" s="208"/>
      <c r="GT689" s="208"/>
      <c r="GU689" s="213">
        <v>684</v>
      </c>
    </row>
    <row r="690" spans="1:203" s="7" customFormat="1">
      <c r="A690" s="4"/>
      <c r="B690" s="4"/>
      <c r="C690" s="105"/>
      <c r="D690" s="4"/>
      <c r="E690" s="4"/>
      <c r="F690" s="28"/>
      <c r="G690" s="28"/>
      <c r="H690" s="83"/>
      <c r="I690" s="4"/>
      <c r="J690" s="4"/>
      <c r="K690" s="4"/>
      <c r="L690" s="4"/>
      <c r="M690" s="4"/>
      <c r="N690" s="28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81"/>
      <c r="AG690" s="81"/>
      <c r="AH690" s="81"/>
      <c r="AI690" s="4"/>
      <c r="AJ690" s="81"/>
      <c r="AK690" s="81"/>
      <c r="AL690" s="81"/>
      <c r="AM690" s="43">
        <v>674</v>
      </c>
      <c r="AN690">
        <v>319.8015591295117</v>
      </c>
      <c r="AO690">
        <v>21.660647413939586</v>
      </c>
      <c r="AP690">
        <v>83.347473593009823</v>
      </c>
      <c r="AQ690">
        <v>152.81354412565483</v>
      </c>
      <c r="AR690">
        <v>23.726567168233153</v>
      </c>
      <c r="AS690">
        <v>230.57484633129843</v>
      </c>
      <c r="AT690">
        <v>10.799162242160712</v>
      </c>
      <c r="AU690">
        <v>32.52504735079529</v>
      </c>
      <c r="AV690"/>
      <c r="AW690"/>
      <c r="FY690" s="213">
        <v>685</v>
      </c>
      <c r="FZ690">
        <v>47.772753628947235</v>
      </c>
      <c r="GA690">
        <v>55.324517137309094</v>
      </c>
      <c r="GB690">
        <v>11.997158279035309</v>
      </c>
      <c r="GC690">
        <v>7.0404901127380324</v>
      </c>
      <c r="GD690">
        <v>5.8695887351255678</v>
      </c>
      <c r="GE690">
        <v>5.8370818648644693</v>
      </c>
      <c r="GF690">
        <v>11.578880153680027</v>
      </c>
      <c r="GG690">
        <v>10.974907592681449</v>
      </c>
      <c r="GH690">
        <v>12.978118298954396</v>
      </c>
      <c r="GI690">
        <v>18.004752030448106</v>
      </c>
      <c r="GJ690"/>
      <c r="GK690"/>
      <c r="GL690"/>
      <c r="GM690"/>
      <c r="GN690" s="208"/>
      <c r="GO690" s="208"/>
      <c r="GP690" s="208"/>
      <c r="GQ690" s="208"/>
      <c r="GR690" s="208"/>
      <c r="GS690" s="208"/>
      <c r="GT690" s="208"/>
      <c r="GU690" s="213">
        <v>685</v>
      </c>
    </row>
    <row r="691" spans="1:203" s="7" customFormat="1">
      <c r="A691" s="4"/>
      <c r="B691" s="4"/>
      <c r="C691" s="105"/>
      <c r="D691" s="4"/>
      <c r="E691" s="4"/>
      <c r="F691" s="28"/>
      <c r="G691" s="28"/>
      <c r="H691" s="83"/>
      <c r="I691" s="4"/>
      <c r="J691" s="4"/>
      <c r="K691" s="4"/>
      <c r="L691" s="4"/>
      <c r="M691" s="4"/>
      <c r="N691" s="28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81"/>
      <c r="AG691" s="81"/>
      <c r="AH691" s="81"/>
      <c r="AI691" s="4"/>
      <c r="AJ691" s="81"/>
      <c r="AK691" s="81"/>
      <c r="AL691" s="81"/>
      <c r="AM691" s="43">
        <v>675</v>
      </c>
      <c r="AN691">
        <v>301.68724517868486</v>
      </c>
      <c r="AO691">
        <v>33.276462690689989</v>
      </c>
      <c r="AP691">
        <v>99.018418773087106</v>
      </c>
      <c r="AQ691">
        <v>256.03211843190127</v>
      </c>
      <c r="AR691">
        <v>32.658758311512329</v>
      </c>
      <c r="AS691">
        <v>259.71312232519608</v>
      </c>
      <c r="AT691">
        <v>15.978186508620231</v>
      </c>
      <c r="AU691">
        <v>-2.1385311522426775</v>
      </c>
      <c r="AV691"/>
      <c r="AW691"/>
      <c r="FY691" s="213">
        <v>686</v>
      </c>
      <c r="FZ691">
        <v>45.701160837767461</v>
      </c>
      <c r="GA691">
        <v>78.564103126710265</v>
      </c>
      <c r="GB691">
        <v>20.790442778012249</v>
      </c>
      <c r="GC691">
        <v>5.3639063736338599</v>
      </c>
      <c r="GD691">
        <v>4.48594703076495</v>
      </c>
      <c r="GE691">
        <v>5.8378028331682428</v>
      </c>
      <c r="GF691">
        <v>20.788840111136164</v>
      </c>
      <c r="GG691">
        <v>17.61387994972722</v>
      </c>
      <c r="GH691">
        <v>15.309782531346231</v>
      </c>
      <c r="GI691">
        <v>21.666838081162165</v>
      </c>
      <c r="GJ691"/>
      <c r="GK691"/>
      <c r="GL691"/>
      <c r="GM691"/>
      <c r="GN691" s="208"/>
      <c r="GO691" s="208"/>
      <c r="GP691" s="208"/>
      <c r="GQ691" s="208"/>
      <c r="GR691" s="208"/>
      <c r="GS691" s="208"/>
      <c r="GT691" s="208"/>
      <c r="GU691" s="213">
        <v>686</v>
      </c>
    </row>
    <row r="692" spans="1:203" s="7" customFormat="1">
      <c r="A692" s="4"/>
      <c r="B692" s="4"/>
      <c r="C692" s="105"/>
      <c r="D692" s="4"/>
      <c r="E692" s="4"/>
      <c r="F692" s="28"/>
      <c r="G692" s="28"/>
      <c r="H692" s="83"/>
      <c r="I692" s="4"/>
      <c r="J692" s="4"/>
      <c r="K692" s="4"/>
      <c r="L692" s="4"/>
      <c r="M692" s="4"/>
      <c r="N692" s="28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81"/>
      <c r="AG692" s="81"/>
      <c r="AH692" s="81"/>
      <c r="AI692" s="4"/>
      <c r="AJ692" s="81"/>
      <c r="AK692" s="81"/>
      <c r="AL692" s="81"/>
      <c r="AM692" s="43">
        <v>676</v>
      </c>
      <c r="AN692">
        <v>420.9724921121574</v>
      </c>
      <c r="AO692">
        <v>31.89010448728472</v>
      </c>
      <c r="AP692">
        <v>84.515933360779613</v>
      </c>
      <c r="AQ692">
        <v>214.53175776722193</v>
      </c>
      <c r="AR692">
        <v>31.12835840219271</v>
      </c>
      <c r="AS692">
        <v>319.08134259318115</v>
      </c>
      <c r="AT692">
        <v>15.420898865219229</v>
      </c>
      <c r="AU692">
        <v>12.858847185003798</v>
      </c>
      <c r="AV692"/>
      <c r="AW692"/>
      <c r="FY692" s="213">
        <v>687</v>
      </c>
      <c r="FZ692">
        <v>61.618513301403404</v>
      </c>
      <c r="GA692">
        <v>58.874206936353211</v>
      </c>
      <c r="GB692">
        <v>11.470282069639241</v>
      </c>
      <c r="GC692">
        <v>4.7166763355209431</v>
      </c>
      <c r="GD692">
        <v>4.5989741093266865</v>
      </c>
      <c r="GE692">
        <v>7.3707697827873977</v>
      </c>
      <c r="GF692">
        <v>17.026011282929083</v>
      </c>
      <c r="GG692">
        <v>12.448187997870125</v>
      </c>
      <c r="GH692">
        <v>17.782957391785125</v>
      </c>
      <c r="GI692">
        <v>20.943694968982676</v>
      </c>
      <c r="GJ692"/>
      <c r="GK692"/>
      <c r="GL692"/>
      <c r="GM692"/>
      <c r="GN692" s="208"/>
      <c r="GO692" s="208"/>
      <c r="GP692" s="208"/>
      <c r="GQ692" s="208"/>
      <c r="GR692" s="208"/>
      <c r="GS692" s="208"/>
      <c r="GT692" s="208"/>
      <c r="GU692" s="213">
        <v>687</v>
      </c>
    </row>
    <row r="693" spans="1:203" s="7" customFormat="1">
      <c r="A693" s="4"/>
      <c r="B693" s="4"/>
      <c r="C693" s="105"/>
      <c r="D693" s="4"/>
      <c r="E693" s="4"/>
      <c r="F693" s="28"/>
      <c r="G693" s="28"/>
      <c r="H693" s="83"/>
      <c r="I693" s="4"/>
      <c r="J693" s="4"/>
      <c r="K693" s="4"/>
      <c r="L693" s="4"/>
      <c r="M693" s="4"/>
      <c r="N693" s="28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81"/>
      <c r="AG693" s="81"/>
      <c r="AH693" s="81"/>
      <c r="AI693" s="4"/>
      <c r="AJ693" s="81"/>
      <c r="AK693" s="81"/>
      <c r="AL693" s="81"/>
      <c r="AM693" s="43">
        <v>677</v>
      </c>
      <c r="AN693">
        <v>277.67882561475255</v>
      </c>
      <c r="AO693">
        <v>18.438142754274818</v>
      </c>
      <c r="AP693">
        <v>54.118215565195065</v>
      </c>
      <c r="AQ693">
        <v>127.10800507598239</v>
      </c>
      <c r="AR693">
        <v>19.903440321089992</v>
      </c>
      <c r="AS693">
        <v>194.29395834359241</v>
      </c>
      <c r="AT693">
        <v>10.20032362684986</v>
      </c>
      <c r="AU693">
        <v>34.574985659392851</v>
      </c>
      <c r="AV693"/>
      <c r="AW693"/>
      <c r="FY693" s="213">
        <v>688</v>
      </c>
      <c r="FZ693">
        <v>44.297337950399211</v>
      </c>
      <c r="GA693">
        <v>23.775946363416466</v>
      </c>
      <c r="GB693">
        <v>7.0649856391106329</v>
      </c>
      <c r="GC693">
        <v>4.1285095741125106</v>
      </c>
      <c r="GD693">
        <v>3.9508722999434318</v>
      </c>
      <c r="GE693">
        <v>5.8195618798148052</v>
      </c>
      <c r="GF693">
        <v>21.035922491688698</v>
      </c>
      <c r="GG693">
        <v>18.575900640761446</v>
      </c>
      <c r="GH693">
        <v>9.1235270428251827</v>
      </c>
      <c r="GI693">
        <v>16.036009689597201</v>
      </c>
      <c r="GJ693"/>
      <c r="GK693"/>
      <c r="GL693"/>
      <c r="GM693"/>
      <c r="GN693" s="208"/>
      <c r="GO693" s="208"/>
      <c r="GP693" s="208"/>
      <c r="GQ693" s="208"/>
      <c r="GR693" s="208"/>
      <c r="GS693" s="208"/>
      <c r="GT693" s="208"/>
      <c r="GU693" s="213">
        <v>688</v>
      </c>
    </row>
    <row r="694" spans="1:203" s="7" customFormat="1">
      <c r="A694" s="4"/>
      <c r="B694" s="4"/>
      <c r="C694" s="105"/>
      <c r="D694" s="4"/>
      <c r="E694" s="4"/>
      <c r="F694" s="28"/>
      <c r="G694" s="28"/>
      <c r="H694" s="83"/>
      <c r="I694" s="4"/>
      <c r="J694" s="4"/>
      <c r="K694" s="4"/>
      <c r="L694" s="4"/>
      <c r="M694" s="4"/>
      <c r="N694" s="28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  <c r="AA694" s="4"/>
      <c r="AB694" s="4"/>
      <c r="AC694" s="4"/>
      <c r="AD694" s="4"/>
      <c r="AE694" s="4"/>
      <c r="AF694" s="81"/>
      <c r="AG694" s="81"/>
      <c r="AH694" s="81"/>
      <c r="AI694" s="4"/>
      <c r="AJ694" s="81"/>
      <c r="AK694" s="81"/>
      <c r="AL694" s="81"/>
      <c r="AM694" s="43">
        <v>678</v>
      </c>
      <c r="AN694">
        <v>255.68133044752616</v>
      </c>
      <c r="AO694">
        <v>26.812678088183379</v>
      </c>
      <c r="AP694">
        <v>80.309448972864118</v>
      </c>
      <c r="AQ694">
        <v>187.7016759947702</v>
      </c>
      <c r="AR694">
        <v>29.116461957398261</v>
      </c>
      <c r="AS694">
        <v>219.15301743092013</v>
      </c>
      <c r="AT694">
        <v>11.661115444372024</v>
      </c>
      <c r="AU694">
        <v>20.619398699944544</v>
      </c>
      <c r="AV694"/>
      <c r="AW694"/>
      <c r="FY694" s="213">
        <v>689</v>
      </c>
      <c r="FZ694">
        <v>49.341110140736284</v>
      </c>
      <c r="GA694">
        <v>46.803480984731983</v>
      </c>
      <c r="GB694">
        <v>16.019009545192514</v>
      </c>
      <c r="GC694">
        <v>6.3549705024306782</v>
      </c>
      <c r="GD694">
        <v>5.2282069702863456</v>
      </c>
      <c r="GE694">
        <v>4.6945502691855028</v>
      </c>
      <c r="GF694">
        <v>13.977240177446255</v>
      </c>
      <c r="GG694">
        <v>13.507358606144475</v>
      </c>
      <c r="GH694">
        <v>14.02870494185712</v>
      </c>
      <c r="GI694">
        <v>19.674309562114448</v>
      </c>
      <c r="GJ694"/>
      <c r="GK694"/>
      <c r="GL694"/>
      <c r="GM694"/>
      <c r="GN694" s="208"/>
      <c r="GO694" s="208"/>
      <c r="GP694" s="208"/>
      <c r="GQ694" s="208"/>
      <c r="GR694" s="208"/>
      <c r="GS694" s="208"/>
      <c r="GT694" s="208"/>
      <c r="GU694" s="213">
        <v>689</v>
      </c>
    </row>
    <row r="695" spans="1:203" s="7" customFormat="1">
      <c r="A695" s="4"/>
      <c r="B695" s="4"/>
      <c r="C695" s="105"/>
      <c r="D695" s="4"/>
      <c r="E695" s="4"/>
      <c r="F695" s="28"/>
      <c r="G695" s="28"/>
      <c r="H695" s="83"/>
      <c r="I695" s="4"/>
      <c r="J695" s="4"/>
      <c r="K695" s="4"/>
      <c r="L695" s="4"/>
      <c r="M695" s="4"/>
      <c r="N695" s="28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81"/>
      <c r="AG695" s="81"/>
      <c r="AH695" s="81"/>
      <c r="AI695" s="4"/>
      <c r="AJ695" s="81"/>
      <c r="AK695" s="81"/>
      <c r="AL695" s="81"/>
      <c r="AM695" s="43">
        <v>679</v>
      </c>
      <c r="AN695">
        <v>304.64269848861784</v>
      </c>
      <c r="AO695">
        <v>23.899796341217055</v>
      </c>
      <c r="AP695">
        <v>79.995370901263215</v>
      </c>
      <c r="AQ695">
        <v>172.20975430000738</v>
      </c>
      <c r="AR695">
        <v>24.09567256799378</v>
      </c>
      <c r="AS695">
        <v>248.93856475297423</v>
      </c>
      <c r="AT695">
        <v>12.058167394089262</v>
      </c>
      <c r="AU695">
        <v>37.194359628550679</v>
      </c>
      <c r="AV695"/>
      <c r="AW695"/>
      <c r="FY695" s="213">
        <v>690</v>
      </c>
      <c r="FZ695">
        <v>70.235936310500236</v>
      </c>
      <c r="GA695">
        <v>92.903670044677298</v>
      </c>
      <c r="GB695">
        <v>11.520574649950516</v>
      </c>
      <c r="GC695">
        <v>5.5938138023337629</v>
      </c>
      <c r="GD695">
        <v>5.3634170071566789</v>
      </c>
      <c r="GE695">
        <v>5.4572966952958106</v>
      </c>
      <c r="GF695">
        <v>20.929244574756741</v>
      </c>
      <c r="GG695">
        <v>19.016263850554196</v>
      </c>
      <c r="GH695">
        <v>17.022708231205453</v>
      </c>
      <c r="GI695">
        <v>23.296706178665943</v>
      </c>
      <c r="GJ695"/>
      <c r="GK695"/>
      <c r="GL695"/>
      <c r="GM695"/>
      <c r="GN695" s="208"/>
      <c r="GO695" s="208"/>
      <c r="GP695" s="208"/>
      <c r="GQ695" s="208"/>
      <c r="GR695" s="208"/>
      <c r="GS695" s="208"/>
      <c r="GT695" s="208"/>
      <c r="GU695" s="213">
        <v>690</v>
      </c>
    </row>
    <row r="696" spans="1:203" s="7" customFormat="1">
      <c r="A696" s="4"/>
      <c r="B696" s="4"/>
      <c r="C696" s="105"/>
      <c r="D696" s="4"/>
      <c r="E696" s="4"/>
      <c r="F696" s="28"/>
      <c r="G696" s="28"/>
      <c r="H696" s="83"/>
      <c r="I696" s="4"/>
      <c r="J696" s="4"/>
      <c r="K696" s="4"/>
      <c r="L696" s="4"/>
      <c r="M696" s="4"/>
      <c r="N696" s="28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  <c r="AA696" s="4"/>
      <c r="AB696" s="4"/>
      <c r="AC696" s="4"/>
      <c r="AD696" s="4"/>
      <c r="AE696" s="4"/>
      <c r="AF696" s="81"/>
      <c r="AG696" s="81"/>
      <c r="AH696" s="81"/>
      <c r="AI696" s="4"/>
      <c r="AJ696" s="81"/>
      <c r="AK696" s="81"/>
      <c r="AL696" s="81"/>
      <c r="AM696" s="43">
        <v>680</v>
      </c>
      <c r="AN696">
        <v>332.34130161442442</v>
      </c>
      <c r="AO696">
        <v>30.063526853868911</v>
      </c>
      <c r="AP696">
        <v>85.684642989402818</v>
      </c>
      <c r="AQ696">
        <v>217.76812052651908</v>
      </c>
      <c r="AR696">
        <v>30.586620041806256</v>
      </c>
      <c r="AS696">
        <v>281.08258664195705</v>
      </c>
      <c r="AT696">
        <v>14.334261031215606</v>
      </c>
      <c r="AU696">
        <v>62.875461431621943</v>
      </c>
      <c r="AV696"/>
      <c r="AW696"/>
      <c r="FY696" s="213">
        <v>691</v>
      </c>
      <c r="FZ696">
        <v>37.692858628771098</v>
      </c>
      <c r="GA696">
        <v>34.131690117209139</v>
      </c>
      <c r="GB696">
        <v>10.966183983382031</v>
      </c>
      <c r="GC696">
        <v>6.307694987022316</v>
      </c>
      <c r="GD696">
        <v>4.4099362904644135</v>
      </c>
      <c r="GE696">
        <v>2.7322291971719297</v>
      </c>
      <c r="GF696">
        <v>12.893834547311981</v>
      </c>
      <c r="GG696">
        <v>12.644360230577849</v>
      </c>
      <c r="GH696">
        <v>6.2854882083340753</v>
      </c>
      <c r="GI696">
        <v>14.477070611372737</v>
      </c>
      <c r="GJ696"/>
      <c r="GK696"/>
      <c r="GL696"/>
      <c r="GM696"/>
      <c r="GN696" s="208"/>
      <c r="GO696" s="208"/>
      <c r="GP696" s="208"/>
      <c r="GQ696" s="208"/>
      <c r="GR696" s="208"/>
      <c r="GS696" s="208"/>
      <c r="GT696" s="208"/>
      <c r="GU696" s="213">
        <v>691</v>
      </c>
    </row>
    <row r="697" spans="1:203" s="7" customFormat="1">
      <c r="A697" s="4"/>
      <c r="B697" s="4"/>
      <c r="C697" s="105"/>
      <c r="D697" s="4"/>
      <c r="E697" s="4"/>
      <c r="F697" s="28"/>
      <c r="G697" s="28"/>
      <c r="H697" s="83"/>
      <c r="I697" s="4"/>
      <c r="J697" s="4"/>
      <c r="K697" s="4"/>
      <c r="L697" s="4"/>
      <c r="M697" s="4"/>
      <c r="N697" s="28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  <c r="AA697" s="4"/>
      <c r="AB697" s="4"/>
      <c r="AC697" s="4"/>
      <c r="AD697" s="4"/>
      <c r="AE697" s="4"/>
      <c r="AF697" s="81"/>
      <c r="AG697" s="81"/>
      <c r="AH697" s="81"/>
      <c r="AI697" s="4"/>
      <c r="AJ697" s="81"/>
      <c r="AK697" s="81"/>
      <c r="AL697" s="81"/>
      <c r="AM697" s="43">
        <v>681</v>
      </c>
      <c r="AN697">
        <v>289.06576074640469</v>
      </c>
      <c r="AO697">
        <v>30.518205075500084</v>
      </c>
      <c r="AP697">
        <v>66.631885993019424</v>
      </c>
      <c r="AQ697">
        <v>232.80592043894259</v>
      </c>
      <c r="AR697">
        <v>32.143897454280413</v>
      </c>
      <c r="AS697">
        <v>259.73332958006881</v>
      </c>
      <c r="AT697">
        <v>15.373867827786823</v>
      </c>
      <c r="AU697">
        <v>3.7622156134432174</v>
      </c>
      <c r="AV697"/>
      <c r="AW697"/>
      <c r="FY697" s="213">
        <v>692</v>
      </c>
      <c r="FZ697">
        <v>49.261956359424111</v>
      </c>
      <c r="GA697">
        <v>53.96208151938378</v>
      </c>
      <c r="GB697">
        <v>12.436367252298925</v>
      </c>
      <c r="GC697">
        <v>7.4535508610226806</v>
      </c>
      <c r="GD697">
        <v>5.1213708696273512</v>
      </c>
      <c r="GE697">
        <v>4.4220060178417917</v>
      </c>
      <c r="GF697">
        <v>27.739485004717348</v>
      </c>
      <c r="GG697">
        <v>23.819439112324705</v>
      </c>
      <c r="GH697">
        <v>10.42451896091139</v>
      </c>
      <c r="GI697">
        <v>20.44108935035359</v>
      </c>
      <c r="GJ697"/>
      <c r="GK697"/>
      <c r="GL697"/>
      <c r="GM697"/>
      <c r="GN697" s="208"/>
      <c r="GO697" s="208"/>
      <c r="GP697" s="208"/>
      <c r="GQ697" s="208"/>
      <c r="GR697" s="208"/>
      <c r="GS697" s="208"/>
      <c r="GT697" s="208"/>
      <c r="GU697" s="213">
        <v>692</v>
      </c>
    </row>
    <row r="698" spans="1:203" s="7" customFormat="1">
      <c r="A698" s="4"/>
      <c r="B698" s="4"/>
      <c r="C698" s="105"/>
      <c r="D698" s="4"/>
      <c r="E698" s="4"/>
      <c r="F698" s="28"/>
      <c r="G698" s="28"/>
      <c r="H698" s="83"/>
      <c r="I698" s="4"/>
      <c r="J698" s="4"/>
      <c r="K698" s="4"/>
      <c r="L698" s="4"/>
      <c r="M698" s="4"/>
      <c r="N698" s="28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  <c r="AA698" s="4"/>
      <c r="AB698" s="4"/>
      <c r="AC698" s="4"/>
      <c r="AD698" s="4"/>
      <c r="AE698" s="4"/>
      <c r="AF698" s="81"/>
      <c r="AG698" s="81"/>
      <c r="AH698" s="81"/>
      <c r="AI698" s="4"/>
      <c r="AJ698" s="81"/>
      <c r="AK698" s="81"/>
      <c r="AL698" s="81"/>
      <c r="AM698" s="43">
        <v>682</v>
      </c>
      <c r="AN698">
        <v>397.60848331204426</v>
      </c>
      <c r="AO698">
        <v>31.72311163158674</v>
      </c>
      <c r="AP698">
        <v>100.32632977126347</v>
      </c>
      <c r="AQ698">
        <v>234.73116178406789</v>
      </c>
      <c r="AR698">
        <v>31.935760607912755</v>
      </c>
      <c r="AS698">
        <v>279.84124318724423</v>
      </c>
      <c r="AT698">
        <v>14.197577894587562</v>
      </c>
      <c r="AU698">
        <v>-7.4698195578268773</v>
      </c>
      <c r="AV698"/>
      <c r="AW698"/>
      <c r="FY698" s="213">
        <v>693</v>
      </c>
      <c r="FZ698">
        <v>52.674358594024369</v>
      </c>
      <c r="GA698">
        <v>35.077211745050015</v>
      </c>
      <c r="GB698">
        <v>7.39127769720114</v>
      </c>
      <c r="GC698">
        <v>5.32086771916273</v>
      </c>
      <c r="GD698">
        <v>5.9574863659890314</v>
      </c>
      <c r="GE698">
        <v>7.533779935819827</v>
      </c>
      <c r="GF698">
        <v>13.466468588749212</v>
      </c>
      <c r="GG698">
        <v>12.43646314346662</v>
      </c>
      <c r="GH698">
        <v>19.333222394763119</v>
      </c>
      <c r="GI698">
        <v>18.752128338572707</v>
      </c>
      <c r="GJ698"/>
      <c r="GK698"/>
      <c r="GL698"/>
      <c r="GM698"/>
      <c r="GN698" s="208"/>
      <c r="GO698" s="208"/>
      <c r="GP698" s="208"/>
      <c r="GQ698" s="208"/>
      <c r="GR698" s="208"/>
      <c r="GS698" s="208"/>
      <c r="GT698" s="208"/>
      <c r="GU698" s="213">
        <v>693</v>
      </c>
    </row>
    <row r="699" spans="1:203" s="7" customFormat="1">
      <c r="A699" s="4"/>
      <c r="B699" s="4"/>
      <c r="C699" s="105"/>
      <c r="D699" s="4"/>
      <c r="E699" s="4"/>
      <c r="F699" s="28"/>
      <c r="G699" s="28"/>
      <c r="H699" s="83"/>
      <c r="I699" s="4"/>
      <c r="J699" s="4"/>
      <c r="K699" s="4"/>
      <c r="L699" s="4"/>
      <c r="M699" s="4"/>
      <c r="N699" s="28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  <c r="AA699" s="4"/>
      <c r="AB699" s="4"/>
      <c r="AC699" s="4"/>
      <c r="AD699" s="4"/>
      <c r="AE699" s="4"/>
      <c r="AF699" s="81"/>
      <c r="AG699" s="81"/>
      <c r="AH699" s="81"/>
      <c r="AI699" s="4"/>
      <c r="AJ699" s="81"/>
      <c r="AK699" s="81"/>
      <c r="AL699" s="81"/>
      <c r="AM699" s="43">
        <v>683</v>
      </c>
      <c r="AN699">
        <v>294.51887983900167</v>
      </c>
      <c r="AO699">
        <v>29.04883725914711</v>
      </c>
      <c r="AP699">
        <v>109.54602067591816</v>
      </c>
      <c r="AQ699">
        <v>211.13364366777537</v>
      </c>
      <c r="AR699">
        <v>27.955261475982141</v>
      </c>
      <c r="AS699">
        <v>239.11548399133329</v>
      </c>
      <c r="AT699">
        <v>12.556411282041976</v>
      </c>
      <c r="AU699">
        <v>-57.405226824185007</v>
      </c>
      <c r="AV699"/>
      <c r="AW699"/>
      <c r="FY699" s="213">
        <v>694</v>
      </c>
      <c r="FZ699">
        <v>30.299859433013829</v>
      </c>
      <c r="GA699">
        <v>70.80798652185328</v>
      </c>
      <c r="GB699">
        <v>23.840747943290154</v>
      </c>
      <c r="GC699">
        <v>6.5202654954928416</v>
      </c>
      <c r="GD699">
        <v>5.999387999303087</v>
      </c>
      <c r="GE699">
        <v>6.5239147215930222</v>
      </c>
      <c r="GF699">
        <v>16.180534412309569</v>
      </c>
      <c r="GG699">
        <v>13.062657248876832</v>
      </c>
      <c r="GH699">
        <v>8.0728566570957838</v>
      </c>
      <c r="GI699">
        <v>19.289000995217755</v>
      </c>
      <c r="GJ699"/>
      <c r="GK699"/>
      <c r="GL699"/>
      <c r="GM699"/>
      <c r="GN699" s="208"/>
      <c r="GO699" s="208"/>
      <c r="GP699" s="208"/>
      <c r="GQ699" s="208"/>
      <c r="GR699" s="208"/>
      <c r="GS699" s="208"/>
      <c r="GT699" s="208"/>
      <c r="GU699" s="213">
        <v>694</v>
      </c>
    </row>
    <row r="700" spans="1:203" s="7" customFormat="1">
      <c r="A700" s="4"/>
      <c r="B700" s="4"/>
      <c r="C700" s="105"/>
      <c r="D700" s="4"/>
      <c r="E700" s="4"/>
      <c r="F700" s="28"/>
      <c r="G700" s="28"/>
      <c r="H700" s="83"/>
      <c r="I700" s="4"/>
      <c r="J700" s="4"/>
      <c r="K700" s="4"/>
      <c r="L700" s="4"/>
      <c r="M700" s="4"/>
      <c r="N700" s="28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  <c r="AA700" s="4"/>
      <c r="AB700" s="4"/>
      <c r="AC700" s="4"/>
      <c r="AD700" s="4"/>
      <c r="AE700" s="4"/>
      <c r="AF700" s="81"/>
      <c r="AG700" s="81"/>
      <c r="AH700" s="81"/>
      <c r="AI700" s="4"/>
      <c r="AJ700" s="81"/>
      <c r="AK700" s="81"/>
      <c r="AL700" s="81"/>
      <c r="AM700" s="43">
        <v>684</v>
      </c>
      <c r="AN700">
        <v>317.38987756476484</v>
      </c>
      <c r="AO700">
        <v>29.580740118229158</v>
      </c>
      <c r="AP700">
        <v>84.394773610542529</v>
      </c>
      <c r="AQ700">
        <v>201.99938956367293</v>
      </c>
      <c r="AR700">
        <v>30.273356494607366</v>
      </c>
      <c r="AS700">
        <v>256.75434618620034</v>
      </c>
      <c r="AT700">
        <v>11.198415758006666</v>
      </c>
      <c r="AU700">
        <v>6.6843810919594908</v>
      </c>
      <c r="AV700"/>
      <c r="AW700"/>
      <c r="FY700" s="213">
        <v>695</v>
      </c>
      <c r="FZ700">
        <v>45.032471748631536</v>
      </c>
      <c r="GA700">
        <v>34.324202742859448</v>
      </c>
      <c r="GB700">
        <v>8.0186168392294235</v>
      </c>
      <c r="GC700">
        <v>4.3830916098813537</v>
      </c>
      <c r="GD700">
        <v>3.0874370850107882</v>
      </c>
      <c r="GE700">
        <v>4.007236214348362</v>
      </c>
      <c r="GF700">
        <v>25.466728298078209</v>
      </c>
      <c r="GG700">
        <v>20.943373692424977</v>
      </c>
      <c r="GH700">
        <v>11.484435293197294</v>
      </c>
      <c r="GI700">
        <v>17.140830134114054</v>
      </c>
      <c r="GJ700"/>
      <c r="GK700"/>
      <c r="GL700"/>
      <c r="GM700"/>
      <c r="GN700" s="208"/>
      <c r="GO700" s="208"/>
      <c r="GP700" s="208"/>
      <c r="GQ700" s="208"/>
      <c r="GR700" s="208"/>
      <c r="GS700" s="208"/>
      <c r="GT700" s="208"/>
      <c r="GU700" s="213">
        <v>695</v>
      </c>
    </row>
    <row r="701" spans="1:203" s="7" customFormat="1">
      <c r="A701" s="4"/>
      <c r="B701" s="4"/>
      <c r="C701" s="105"/>
      <c r="D701" s="4"/>
      <c r="E701" s="4"/>
      <c r="F701" s="28"/>
      <c r="G701" s="28"/>
      <c r="H701" s="83"/>
      <c r="I701" s="4"/>
      <c r="J701" s="4"/>
      <c r="K701" s="4"/>
      <c r="L701" s="4"/>
      <c r="M701" s="4"/>
      <c r="N701" s="28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  <c r="AA701" s="4"/>
      <c r="AB701" s="4"/>
      <c r="AC701" s="4"/>
      <c r="AD701" s="4"/>
      <c r="AE701" s="4"/>
      <c r="AF701" s="81"/>
      <c r="AG701" s="81"/>
      <c r="AH701" s="81"/>
      <c r="AI701" s="4"/>
      <c r="AJ701" s="81"/>
      <c r="AK701" s="81"/>
      <c r="AL701" s="81"/>
      <c r="AM701" s="43">
        <v>685</v>
      </c>
      <c r="AN701">
        <v>327.08189398864147</v>
      </c>
      <c r="AO701">
        <v>25.99250053051561</v>
      </c>
      <c r="AP701">
        <v>99.437804590102758</v>
      </c>
      <c r="AQ701">
        <v>187.37824783378369</v>
      </c>
      <c r="AR701">
        <v>26.269961465680417</v>
      </c>
      <c r="AS701">
        <v>249.59994836383288</v>
      </c>
      <c r="AT701">
        <v>13.027878039666598</v>
      </c>
      <c r="AU701">
        <v>72.968844181277973</v>
      </c>
      <c r="AV701"/>
      <c r="AW701"/>
      <c r="FY701" s="213">
        <v>696</v>
      </c>
      <c r="FZ701">
        <v>86.544884945903036</v>
      </c>
      <c r="GA701">
        <v>94.636553398648317</v>
      </c>
      <c r="GB701">
        <v>12.695083502592427</v>
      </c>
      <c r="GC701">
        <v>5.9602625994480247</v>
      </c>
      <c r="GD701">
        <v>6.4661168048071183</v>
      </c>
      <c r="GE701">
        <v>7.400858611275166</v>
      </c>
      <c r="GF701">
        <v>25.997214984644565</v>
      </c>
      <c r="GG701">
        <v>24.505019837154304</v>
      </c>
      <c r="GH701">
        <v>23.112067605922466</v>
      </c>
      <c r="GI701">
        <v>28.430067651881586</v>
      </c>
      <c r="GJ701"/>
      <c r="GK701"/>
      <c r="GL701"/>
      <c r="GM701"/>
      <c r="GN701" s="208"/>
      <c r="GO701" s="208"/>
      <c r="GP701" s="208"/>
      <c r="GQ701" s="208"/>
      <c r="GR701" s="208"/>
      <c r="GS701" s="208"/>
      <c r="GT701" s="208"/>
      <c r="GU701" s="213">
        <v>696</v>
      </c>
    </row>
    <row r="702" spans="1:203" s="7" customFormat="1">
      <c r="A702" s="4"/>
      <c r="B702" s="4"/>
      <c r="C702" s="105"/>
      <c r="D702" s="4"/>
      <c r="E702" s="4"/>
      <c r="F702" s="28"/>
      <c r="G702" s="28"/>
      <c r="H702" s="83"/>
      <c r="I702" s="4"/>
      <c r="J702" s="4"/>
      <c r="K702" s="4"/>
      <c r="L702" s="4"/>
      <c r="M702" s="4"/>
      <c r="N702" s="28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4"/>
      <c r="AB702" s="4"/>
      <c r="AC702" s="4"/>
      <c r="AD702" s="4"/>
      <c r="AE702" s="4"/>
      <c r="AF702" s="81"/>
      <c r="AG702" s="81"/>
      <c r="AH702" s="81"/>
      <c r="AI702" s="4"/>
      <c r="AJ702" s="81"/>
      <c r="AK702" s="81"/>
      <c r="AL702" s="81"/>
      <c r="AM702" s="43">
        <v>686</v>
      </c>
      <c r="AN702">
        <v>334.27081891590541</v>
      </c>
      <c r="AO702">
        <v>32.663002789011031</v>
      </c>
      <c r="AP702">
        <v>94.517786842509466</v>
      </c>
      <c r="AQ702">
        <v>236.12270365342877</v>
      </c>
      <c r="AR702">
        <v>32.43099755295674</v>
      </c>
      <c r="AS702">
        <v>305.7102789402478</v>
      </c>
      <c r="AT702">
        <v>13.527706604822351</v>
      </c>
      <c r="AU702">
        <v>11.46980244310847</v>
      </c>
      <c r="AV702"/>
      <c r="AW702"/>
      <c r="FY702" s="213">
        <v>697</v>
      </c>
      <c r="FZ702">
        <v>50.562697628954346</v>
      </c>
      <c r="GA702">
        <v>91.889366645178271</v>
      </c>
      <c r="GB702">
        <v>23.635505809127693</v>
      </c>
      <c r="GC702">
        <v>4.826876197839769</v>
      </c>
      <c r="GD702">
        <v>3.2352444666374538</v>
      </c>
      <c r="GE702">
        <v>6.5541484232904494</v>
      </c>
      <c r="GF702">
        <v>32.417975560103827</v>
      </c>
      <c r="GG702">
        <v>24.331833636996148</v>
      </c>
      <c r="GH702">
        <v>12.42626590482489</v>
      </c>
      <c r="GI702">
        <v>24.170354202797348</v>
      </c>
      <c r="GJ702"/>
      <c r="GK702"/>
      <c r="GL702"/>
      <c r="GM702"/>
      <c r="GN702" s="208"/>
      <c r="GO702" s="208"/>
      <c r="GP702" s="208"/>
      <c r="GQ702" s="208"/>
      <c r="GR702" s="208"/>
      <c r="GS702" s="208"/>
      <c r="GT702" s="208"/>
      <c r="GU702" s="213">
        <v>697</v>
      </c>
    </row>
    <row r="703" spans="1:203" s="7" customFormat="1">
      <c r="A703" s="4"/>
      <c r="B703" s="4"/>
      <c r="C703" s="105"/>
      <c r="D703" s="4"/>
      <c r="E703" s="4"/>
      <c r="F703" s="28"/>
      <c r="G703" s="28"/>
      <c r="H703" s="83"/>
      <c r="I703" s="4"/>
      <c r="J703" s="4"/>
      <c r="K703" s="4"/>
      <c r="L703" s="4"/>
      <c r="M703" s="4"/>
      <c r="N703" s="28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  <c r="AA703" s="4"/>
      <c r="AB703" s="4"/>
      <c r="AC703" s="4"/>
      <c r="AD703" s="4"/>
      <c r="AE703" s="4"/>
      <c r="AF703" s="81"/>
      <c r="AG703" s="81"/>
      <c r="AH703" s="81"/>
      <c r="AI703" s="4"/>
      <c r="AJ703" s="81"/>
      <c r="AK703" s="81"/>
      <c r="AL703" s="81"/>
      <c r="AM703" s="43">
        <v>687</v>
      </c>
      <c r="AN703">
        <v>295.48518211860772</v>
      </c>
      <c r="AO703">
        <v>29.002918446082429</v>
      </c>
      <c r="AP703">
        <v>64.840456406127828</v>
      </c>
      <c r="AQ703">
        <v>216.85027417659788</v>
      </c>
      <c r="AR703">
        <v>31.062759518258375</v>
      </c>
      <c r="AS703">
        <v>254.19899054569916</v>
      </c>
      <c r="AT703">
        <v>14.384051032792405</v>
      </c>
      <c r="AU703">
        <v>21.678835489042754</v>
      </c>
      <c r="AV703"/>
      <c r="AW703"/>
      <c r="FY703" s="213">
        <v>698</v>
      </c>
      <c r="FZ703">
        <v>29.045683490113667</v>
      </c>
      <c r="GA703">
        <v>36.562655619631549</v>
      </c>
      <c r="GB703">
        <v>11.36332737308857</v>
      </c>
      <c r="GC703">
        <v>5.0933376906154226</v>
      </c>
      <c r="GD703">
        <v>4.2078543143695732</v>
      </c>
      <c r="GE703">
        <v>4.9499153022655493</v>
      </c>
      <c r="GF703">
        <v>13.891193807069534</v>
      </c>
      <c r="GG703">
        <v>12.182323769909337</v>
      </c>
      <c r="GH703">
        <v>7.7956765235806547</v>
      </c>
      <c r="GI703">
        <v>13.790903615057525</v>
      </c>
      <c r="GJ703"/>
      <c r="GK703"/>
      <c r="GL703"/>
      <c r="GM703"/>
      <c r="GN703" s="208"/>
      <c r="GO703" s="208"/>
      <c r="GP703" s="208"/>
      <c r="GQ703" s="208"/>
      <c r="GR703" s="208"/>
      <c r="GS703" s="208"/>
      <c r="GT703" s="208"/>
      <c r="GU703" s="213">
        <v>698</v>
      </c>
    </row>
    <row r="704" spans="1:203" s="7" customFormat="1">
      <c r="A704" s="4"/>
      <c r="B704" s="4"/>
      <c r="C704" s="105"/>
      <c r="D704" s="4"/>
      <c r="E704" s="4"/>
      <c r="F704" s="28"/>
      <c r="G704" s="28"/>
      <c r="H704" s="83"/>
      <c r="I704" s="4"/>
      <c r="J704" s="4"/>
      <c r="K704" s="4"/>
      <c r="L704" s="4"/>
      <c r="M704" s="4"/>
      <c r="N704" s="28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4"/>
      <c r="AB704" s="4"/>
      <c r="AC704" s="4"/>
      <c r="AD704" s="4"/>
      <c r="AE704" s="4"/>
      <c r="AF704" s="81"/>
      <c r="AG704" s="81"/>
      <c r="AH704" s="81"/>
      <c r="AI704" s="4"/>
      <c r="AJ704" s="81"/>
      <c r="AK704" s="81"/>
      <c r="AL704" s="81"/>
      <c r="AM704" s="43">
        <v>688</v>
      </c>
      <c r="AN704">
        <v>274.50347777397559</v>
      </c>
      <c r="AO704">
        <v>21.30821949778354</v>
      </c>
      <c r="AP704">
        <v>61.524097754358486</v>
      </c>
      <c r="AQ704">
        <v>153.80857357166954</v>
      </c>
      <c r="AR704">
        <v>23.289476816210527</v>
      </c>
      <c r="AS704">
        <v>230.85678277985923</v>
      </c>
      <c r="AT704">
        <v>11.270714637749073</v>
      </c>
      <c r="AU704">
        <v>33.80176484883895</v>
      </c>
      <c r="AV704"/>
      <c r="AW704"/>
      <c r="FY704" s="213">
        <v>699</v>
      </c>
      <c r="FZ704">
        <v>27.313880645045909</v>
      </c>
      <c r="GA704">
        <v>16.992072215824336</v>
      </c>
      <c r="GB704">
        <v>3.9247674950987572</v>
      </c>
      <c r="GC704">
        <v>4.3924796968144086</v>
      </c>
      <c r="GD704">
        <v>3.8342861814535376</v>
      </c>
      <c r="GE704">
        <v>7.227463022525261</v>
      </c>
      <c r="GF704">
        <v>17.135931301517694</v>
      </c>
      <c r="GG704">
        <v>11.287138866730265</v>
      </c>
      <c r="GH704">
        <v>16.039551168385831</v>
      </c>
      <c r="GI704">
        <v>12.866886297145239</v>
      </c>
      <c r="GJ704"/>
      <c r="GK704"/>
      <c r="GL704"/>
      <c r="GM704"/>
      <c r="GN704" s="208"/>
      <c r="GO704" s="208"/>
      <c r="GP704" s="208"/>
      <c r="GQ704" s="208"/>
      <c r="GR704" s="208"/>
      <c r="GS704" s="208"/>
      <c r="GT704" s="208"/>
      <c r="GU704" s="213">
        <v>699</v>
      </c>
    </row>
    <row r="705" spans="1:203" s="7" customFormat="1">
      <c r="A705" s="4"/>
      <c r="B705" s="4"/>
      <c r="C705" s="105"/>
      <c r="D705" s="4"/>
      <c r="E705" s="4"/>
      <c r="F705" s="28"/>
      <c r="G705" s="28"/>
      <c r="H705" s="83"/>
      <c r="I705" s="4"/>
      <c r="J705" s="4"/>
      <c r="K705" s="4"/>
      <c r="L705" s="4"/>
      <c r="M705" s="4"/>
      <c r="N705" s="28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  <c r="AA705" s="4"/>
      <c r="AB705" s="4"/>
      <c r="AC705" s="4"/>
      <c r="AD705" s="4"/>
      <c r="AE705" s="4"/>
      <c r="AF705" s="81"/>
      <c r="AG705" s="81"/>
      <c r="AH705" s="81"/>
      <c r="AI705" s="4"/>
      <c r="AJ705" s="81"/>
      <c r="AK705" s="81"/>
      <c r="AL705" s="81"/>
      <c r="AM705" s="43">
        <v>689</v>
      </c>
      <c r="AN705">
        <v>312.31500529437449</v>
      </c>
      <c r="AO705">
        <v>27.401867851879693</v>
      </c>
      <c r="AP705">
        <v>62.651528159112843</v>
      </c>
      <c r="AQ705">
        <v>189.62894170012558</v>
      </c>
      <c r="AR705">
        <v>29.707745354223679</v>
      </c>
      <c r="AS705">
        <v>240.57587587540311</v>
      </c>
      <c r="AT705">
        <v>12.380577441059657</v>
      </c>
      <c r="AU705">
        <v>16.590135916303012</v>
      </c>
      <c r="AV705"/>
      <c r="AW705"/>
      <c r="FY705" s="213">
        <v>700</v>
      </c>
      <c r="FZ705">
        <v>33.561402826854838</v>
      </c>
      <c r="GA705">
        <v>52.909257378767727</v>
      </c>
      <c r="GB705">
        <v>13.136684398336735</v>
      </c>
      <c r="GC705">
        <v>6.5637278327904705</v>
      </c>
      <c r="GD705">
        <v>6.1318381018864496</v>
      </c>
      <c r="GE705">
        <v>8.5736016467880347</v>
      </c>
      <c r="GF705">
        <v>16.78164511943103</v>
      </c>
      <c r="GG705">
        <v>13.090910104993936</v>
      </c>
      <c r="GH705">
        <v>10.377742846927188</v>
      </c>
      <c r="GI705">
        <v>16.881427734154602</v>
      </c>
      <c r="GJ705"/>
      <c r="GK705"/>
      <c r="GL705"/>
      <c r="GM705"/>
      <c r="GN705" s="208"/>
      <c r="GO705" s="208"/>
      <c r="GP705" s="208"/>
      <c r="GQ705" s="208"/>
      <c r="GR705" s="208"/>
      <c r="GS705" s="208"/>
      <c r="GT705" s="208"/>
      <c r="GU705" s="213">
        <v>700</v>
      </c>
    </row>
    <row r="706" spans="1:203" s="7" customFormat="1">
      <c r="A706" s="4"/>
      <c r="B706" s="4"/>
      <c r="C706" s="105"/>
      <c r="D706" s="4"/>
      <c r="E706" s="4"/>
      <c r="F706" s="28"/>
      <c r="G706" s="28"/>
      <c r="H706" s="83"/>
      <c r="I706" s="4"/>
      <c r="J706" s="4"/>
      <c r="K706" s="4"/>
      <c r="L706" s="4"/>
      <c r="M706" s="4"/>
      <c r="N706" s="28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4"/>
      <c r="AB706" s="4"/>
      <c r="AC706" s="4"/>
      <c r="AD706" s="4"/>
      <c r="AE706" s="4"/>
      <c r="AF706" s="81"/>
      <c r="AG706" s="81"/>
      <c r="AH706" s="81"/>
      <c r="AI706" s="4"/>
      <c r="AJ706" s="81"/>
      <c r="AK706" s="81"/>
      <c r="AL706" s="81"/>
      <c r="AM706" s="43">
        <v>690</v>
      </c>
      <c r="AN706">
        <v>349.2212950153172</v>
      </c>
      <c r="AO706">
        <v>34.559104169715674</v>
      </c>
      <c r="AP706">
        <v>147.95609674630128</v>
      </c>
      <c r="AQ706">
        <v>271.33963134509662</v>
      </c>
      <c r="AR706">
        <v>33.74189366459543</v>
      </c>
      <c r="AS706">
        <v>303.17440513466772</v>
      </c>
      <c r="AT706">
        <v>16.271696232210132</v>
      </c>
      <c r="AU706">
        <v>16.114562296318052</v>
      </c>
      <c r="AV706"/>
      <c r="AW706"/>
      <c r="FY706" s="213">
        <v>701</v>
      </c>
      <c r="FZ706">
        <v>32.869709239156634</v>
      </c>
      <c r="GA706">
        <v>39.359234551461874</v>
      </c>
      <c r="GB706">
        <v>14.098116774155926</v>
      </c>
      <c r="GC706">
        <v>6.0698204319310705</v>
      </c>
      <c r="GD706">
        <v>4.7289954607409994</v>
      </c>
      <c r="GE706">
        <v>5.8121760478288689</v>
      </c>
      <c r="GF706">
        <v>23.532877269747086</v>
      </c>
      <c r="GG706">
        <v>20.339812486330924</v>
      </c>
      <c r="GH706">
        <v>4.6373273141139917</v>
      </c>
      <c r="GI706">
        <v>16.497842582343122</v>
      </c>
      <c r="GJ706"/>
      <c r="GK706"/>
      <c r="GL706"/>
      <c r="GM706"/>
      <c r="GN706" s="208"/>
      <c r="GO706" s="208"/>
      <c r="GP706" s="208"/>
      <c r="GQ706" s="208"/>
      <c r="GR706" s="208"/>
      <c r="GS706" s="208"/>
      <c r="GT706" s="208"/>
      <c r="GU706" s="213">
        <v>701</v>
      </c>
    </row>
    <row r="707" spans="1:203" s="7" customFormat="1">
      <c r="A707" s="4"/>
      <c r="B707" s="4"/>
      <c r="C707" s="105"/>
      <c r="D707" s="4"/>
      <c r="E707" s="4"/>
      <c r="F707" s="28"/>
      <c r="G707" s="28"/>
      <c r="H707" s="83"/>
      <c r="I707" s="4"/>
      <c r="J707" s="4"/>
      <c r="K707" s="4"/>
      <c r="L707" s="4"/>
      <c r="M707" s="4"/>
      <c r="N707" s="28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  <c r="AA707" s="4"/>
      <c r="AB707" s="4"/>
      <c r="AC707" s="4"/>
      <c r="AD707" s="4"/>
      <c r="AE707" s="4"/>
      <c r="AF707" s="81"/>
      <c r="AG707" s="81"/>
      <c r="AH707" s="81"/>
      <c r="AI707" s="4"/>
      <c r="AJ707" s="81"/>
      <c r="AK707" s="81"/>
      <c r="AL707" s="81"/>
      <c r="AM707" s="43">
        <v>691</v>
      </c>
      <c r="AN707">
        <v>276.94864212445458</v>
      </c>
      <c r="AO707">
        <v>20.652455791212958</v>
      </c>
      <c r="AP707">
        <v>60.925214171644058</v>
      </c>
      <c r="AQ707">
        <v>142.54134680161758</v>
      </c>
      <c r="AR707">
        <v>21.649814368121337</v>
      </c>
      <c r="AS707">
        <v>191.75164196153878</v>
      </c>
      <c r="AT707">
        <v>9.6616824787379105</v>
      </c>
      <c r="AU707">
        <v>4.5666547196898151</v>
      </c>
      <c r="AV707"/>
      <c r="AW707"/>
      <c r="FY707" s="213">
        <v>702</v>
      </c>
      <c r="FZ707">
        <v>64.452927291139758</v>
      </c>
      <c r="GA707">
        <v>69.207861363656363</v>
      </c>
      <c r="GB707">
        <v>15.621773862670974</v>
      </c>
      <c r="GC707">
        <v>7.6557148875304444</v>
      </c>
      <c r="GD707">
        <v>5.9178695148932086</v>
      </c>
      <c r="GE707">
        <v>5.5356007966960616</v>
      </c>
      <c r="GF707">
        <v>12.887307664568924</v>
      </c>
      <c r="GG707">
        <v>10.046398919911507</v>
      </c>
      <c r="GH707">
        <v>7.2202827384316208</v>
      </c>
      <c r="GI707">
        <v>20.867296153154545</v>
      </c>
      <c r="GJ707"/>
      <c r="GK707"/>
      <c r="GL707"/>
      <c r="GM707"/>
      <c r="GN707" s="208"/>
      <c r="GO707" s="208"/>
      <c r="GP707" s="208"/>
      <c r="GQ707" s="208"/>
      <c r="GR707" s="208"/>
      <c r="GS707" s="208"/>
      <c r="GT707" s="208"/>
      <c r="GU707" s="213">
        <v>702</v>
      </c>
    </row>
    <row r="708" spans="1:203" s="7" customFormat="1">
      <c r="A708" s="4"/>
      <c r="B708" s="4"/>
      <c r="C708" s="105"/>
      <c r="D708" s="4"/>
      <c r="E708" s="4"/>
      <c r="F708" s="28"/>
      <c r="G708" s="28"/>
      <c r="H708" s="83"/>
      <c r="I708" s="4"/>
      <c r="J708" s="4"/>
      <c r="K708" s="4"/>
      <c r="L708" s="4"/>
      <c r="M708" s="4"/>
      <c r="N708" s="28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  <c r="AA708" s="4"/>
      <c r="AB708" s="4"/>
      <c r="AC708" s="4"/>
      <c r="AD708" s="4"/>
      <c r="AE708" s="4"/>
      <c r="AF708" s="81"/>
      <c r="AG708" s="81"/>
      <c r="AH708" s="81"/>
      <c r="AI708" s="4"/>
      <c r="AJ708" s="81"/>
      <c r="AK708" s="81"/>
      <c r="AL708" s="81"/>
      <c r="AM708" s="43">
        <v>692</v>
      </c>
      <c r="AN708">
        <v>377.5272137209837</v>
      </c>
      <c r="AO708">
        <v>29.764621253171946</v>
      </c>
      <c r="AP708">
        <v>102.35054114701279</v>
      </c>
      <c r="AQ708">
        <v>215.0818653079057</v>
      </c>
      <c r="AR708">
        <v>29.943558569194128</v>
      </c>
      <c r="AS708">
        <v>290.18374511663063</v>
      </c>
      <c r="AT708">
        <v>14.569905913343534</v>
      </c>
      <c r="AU708">
        <v>80.725832128800988</v>
      </c>
      <c r="AV708"/>
      <c r="AW708"/>
      <c r="FY708" s="213">
        <v>703</v>
      </c>
      <c r="FZ708">
        <v>35.237672583126866</v>
      </c>
      <c r="GA708">
        <v>39.135225894089267</v>
      </c>
      <c r="GB708">
        <v>12.735941355250908</v>
      </c>
      <c r="GC708">
        <v>5.9856520355910785</v>
      </c>
      <c r="GD708">
        <v>5.8013120252083326</v>
      </c>
      <c r="GE708">
        <v>5.9827847370767646</v>
      </c>
      <c r="GF708">
        <v>19.186013443547822</v>
      </c>
      <c r="GG708">
        <v>18.891633555622732</v>
      </c>
      <c r="GH708">
        <v>21.790979301287251</v>
      </c>
      <c r="GI708">
        <v>19.133999360499285</v>
      </c>
      <c r="GJ708"/>
      <c r="GK708"/>
      <c r="GL708"/>
      <c r="GM708"/>
      <c r="GN708" s="208"/>
      <c r="GO708" s="208"/>
      <c r="GP708" s="208"/>
      <c r="GQ708" s="208"/>
      <c r="GR708" s="208"/>
      <c r="GS708" s="208"/>
      <c r="GT708" s="208"/>
      <c r="GU708" s="213">
        <v>703</v>
      </c>
    </row>
    <row r="709" spans="1:203" s="7" customFormat="1">
      <c r="A709" s="4"/>
      <c r="B709" s="4"/>
      <c r="C709" s="105"/>
      <c r="D709" s="4"/>
      <c r="E709" s="4"/>
      <c r="F709" s="28"/>
      <c r="G709" s="28"/>
      <c r="H709" s="83"/>
      <c r="I709" s="4"/>
      <c r="J709" s="4"/>
      <c r="K709" s="4"/>
      <c r="L709" s="4"/>
      <c r="M709" s="4"/>
      <c r="N709" s="28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81"/>
      <c r="AG709" s="81"/>
      <c r="AH709" s="81"/>
      <c r="AI709" s="4"/>
      <c r="AJ709" s="81"/>
      <c r="AK709" s="81"/>
      <c r="AL709" s="81"/>
      <c r="AM709" s="43">
        <v>693</v>
      </c>
      <c r="AN709">
        <v>293.74195409862159</v>
      </c>
      <c r="AO709">
        <v>24.651030938314715</v>
      </c>
      <c r="AP709">
        <v>78.603181825833076</v>
      </c>
      <c r="AQ709">
        <v>177.94326452279876</v>
      </c>
      <c r="AR709">
        <v>27.437452895029086</v>
      </c>
      <c r="AS709">
        <v>244.42047413554576</v>
      </c>
      <c r="AT709">
        <v>13.104322038351894</v>
      </c>
      <c r="AU709">
        <v>31.022287243746241</v>
      </c>
      <c r="AV709"/>
      <c r="AW709"/>
      <c r="FY709" s="213">
        <v>704</v>
      </c>
      <c r="FZ709">
        <v>52.443292393028585</v>
      </c>
      <c r="GA709">
        <v>99.797569297136064</v>
      </c>
      <c r="GB709">
        <v>27.546382045249562</v>
      </c>
      <c r="GC709">
        <v>5.9295157496448496</v>
      </c>
      <c r="GD709">
        <v>4.5681311551514003</v>
      </c>
      <c r="GE709">
        <v>3.6215498685180174</v>
      </c>
      <c r="GF709">
        <v>8.8010245742327147</v>
      </c>
      <c r="GG709">
        <v>9.568277611050334</v>
      </c>
      <c r="GH709">
        <v>11.8607639550044</v>
      </c>
      <c r="GI709">
        <v>21.990952914903083</v>
      </c>
      <c r="GJ709"/>
      <c r="GK709"/>
      <c r="GL709"/>
      <c r="GM709"/>
      <c r="GN709" s="208"/>
      <c r="GO709" s="208"/>
      <c r="GP709" s="208"/>
      <c r="GQ709" s="208"/>
      <c r="GR709" s="208"/>
      <c r="GS709" s="208"/>
      <c r="GT709" s="208"/>
      <c r="GU709" s="213">
        <v>704</v>
      </c>
    </row>
    <row r="710" spans="1:203" s="7" customFormat="1">
      <c r="A710" s="4"/>
      <c r="B710" s="4"/>
      <c r="C710" s="105"/>
      <c r="D710" s="4"/>
      <c r="E710" s="4"/>
      <c r="F710" s="28"/>
      <c r="G710" s="28"/>
      <c r="H710" s="83"/>
      <c r="I710" s="4"/>
      <c r="J710" s="4"/>
      <c r="K710" s="4"/>
      <c r="L710" s="4"/>
      <c r="M710" s="4"/>
      <c r="N710" s="28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81"/>
      <c r="AG710" s="81"/>
      <c r="AH710" s="81"/>
      <c r="AI710" s="4"/>
      <c r="AJ710" s="81"/>
      <c r="AK710" s="81"/>
      <c r="AL710" s="81"/>
      <c r="AM710" s="43">
        <v>694</v>
      </c>
      <c r="AN710">
        <v>331.5746214592898</v>
      </c>
      <c r="AO710">
        <v>30.230315748294505</v>
      </c>
      <c r="AP710">
        <v>95.868363361767692</v>
      </c>
      <c r="AQ710">
        <v>200.59721142804619</v>
      </c>
      <c r="AR710">
        <v>29.398571584248558</v>
      </c>
      <c r="AS710">
        <v>279.93186079880758</v>
      </c>
      <c r="AT710">
        <v>11.17275285558499</v>
      </c>
      <c r="AU710">
        <v>2.083971731683036</v>
      </c>
      <c r="AV710"/>
      <c r="AW710"/>
      <c r="FY710" s="213">
        <v>705</v>
      </c>
      <c r="FZ710">
        <v>30.722045618784549</v>
      </c>
      <c r="GA710">
        <v>38.674400816253403</v>
      </c>
      <c r="GB710">
        <v>15.559593895959276</v>
      </c>
      <c r="GC710">
        <v>8.4744955180617723</v>
      </c>
      <c r="GD710">
        <v>7.8322494093940369</v>
      </c>
      <c r="GE710">
        <v>7.0264889642990145</v>
      </c>
      <c r="GF710">
        <v>14.709569208504558</v>
      </c>
      <c r="GG710">
        <v>12.844675117675241</v>
      </c>
      <c r="GH710">
        <v>20.788948545063732</v>
      </c>
      <c r="GI710">
        <v>19.511439402715943</v>
      </c>
      <c r="GJ710"/>
      <c r="GK710"/>
      <c r="GL710"/>
      <c r="GM710"/>
      <c r="GN710" s="208"/>
      <c r="GO710" s="208"/>
      <c r="GP710" s="208"/>
      <c r="GQ710" s="208"/>
      <c r="GR710" s="208"/>
      <c r="GS710" s="208"/>
      <c r="GT710" s="208"/>
      <c r="GU710" s="213">
        <v>705</v>
      </c>
    </row>
    <row r="711" spans="1:203" s="7" customFormat="1">
      <c r="A711" s="4"/>
      <c r="B711" s="4"/>
      <c r="C711" s="105"/>
      <c r="D711" s="4"/>
      <c r="E711" s="4"/>
      <c r="F711" s="28"/>
      <c r="G711" s="28"/>
      <c r="H711" s="83"/>
      <c r="I711" s="4"/>
      <c r="J711" s="4"/>
      <c r="K711" s="4"/>
      <c r="L711" s="4"/>
      <c r="M711" s="4"/>
      <c r="N711" s="28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81"/>
      <c r="AG711" s="81"/>
      <c r="AH711" s="81"/>
      <c r="AI711" s="4"/>
      <c r="AJ711" s="81"/>
      <c r="AK711" s="81"/>
      <c r="AL711" s="81"/>
      <c r="AM711" s="43">
        <v>695</v>
      </c>
      <c r="AN711">
        <v>286.93134676941156</v>
      </c>
      <c r="AO711">
        <v>23.42725830045314</v>
      </c>
      <c r="AP711">
        <v>101.97637940981311</v>
      </c>
      <c r="AQ711">
        <v>173.88842365777546</v>
      </c>
      <c r="AR711">
        <v>24.946060116254113</v>
      </c>
      <c r="AS711">
        <v>223.27121572404292</v>
      </c>
      <c r="AT711">
        <v>12.417136815929661</v>
      </c>
      <c r="AU711">
        <v>85.275024740723381</v>
      </c>
      <c r="AV711"/>
      <c r="AW711"/>
      <c r="FY711" s="213">
        <v>706</v>
      </c>
      <c r="FZ711">
        <v>30.824071252402373</v>
      </c>
      <c r="GA711">
        <v>42.634938615672276</v>
      </c>
      <c r="GB711">
        <v>11.685200340690431</v>
      </c>
      <c r="GC711">
        <v>8.7275381976125388</v>
      </c>
      <c r="GD711">
        <v>7.8493128485253845</v>
      </c>
      <c r="GE711">
        <v>6.7760325062184927</v>
      </c>
      <c r="GF711">
        <v>10.963121957818872</v>
      </c>
      <c r="GG711">
        <v>9.4363361227197373</v>
      </c>
      <c r="GH711">
        <v>6.4570307493843035</v>
      </c>
      <c r="GI711">
        <v>15.419832163486427</v>
      </c>
      <c r="GJ711"/>
      <c r="GK711"/>
      <c r="GL711"/>
      <c r="GM711"/>
      <c r="GN711" s="208"/>
      <c r="GO711" s="208"/>
      <c r="GP711" s="208"/>
      <c r="GQ711" s="208"/>
      <c r="GR711" s="208"/>
      <c r="GS711" s="208"/>
      <c r="GT711" s="208"/>
      <c r="GU711" s="213">
        <v>706</v>
      </c>
    </row>
    <row r="712" spans="1:203" s="7" customFormat="1">
      <c r="A712" s="4"/>
      <c r="B712" s="4"/>
      <c r="C712" s="105"/>
      <c r="D712" s="4"/>
      <c r="E712" s="4"/>
      <c r="F712" s="28"/>
      <c r="G712" s="28"/>
      <c r="H712" s="83"/>
      <c r="I712" s="4"/>
      <c r="J712" s="4"/>
      <c r="K712" s="4"/>
      <c r="L712" s="4"/>
      <c r="M712" s="4"/>
      <c r="N712" s="28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  <c r="AA712" s="4"/>
      <c r="AB712" s="4"/>
      <c r="AC712" s="4"/>
      <c r="AD712" s="4"/>
      <c r="AE712" s="4"/>
      <c r="AF712" s="81"/>
      <c r="AG712" s="81"/>
      <c r="AH712" s="81"/>
      <c r="AI712" s="4"/>
      <c r="AJ712" s="81"/>
      <c r="AK712" s="81"/>
      <c r="AL712" s="81"/>
      <c r="AM712" s="43">
        <v>696</v>
      </c>
      <c r="AN712">
        <v>417.31571187715662</v>
      </c>
      <c r="AO712">
        <v>40.506633057634488</v>
      </c>
      <c r="AP712">
        <v>122.10288137391942</v>
      </c>
      <c r="AQ712">
        <v>315.74812994227699</v>
      </c>
      <c r="AR712">
        <v>41.415283457603714</v>
      </c>
      <c r="AS712">
        <v>349.06149968040285</v>
      </c>
      <c r="AT712">
        <v>20.447110215151366</v>
      </c>
      <c r="AU712">
        <v>8.1968705333105873</v>
      </c>
      <c r="AV712"/>
      <c r="AW712"/>
      <c r="FY712" s="213">
        <v>707</v>
      </c>
      <c r="FZ712">
        <v>57.581900851090367</v>
      </c>
      <c r="GA712">
        <v>61.952658393378606</v>
      </c>
      <c r="GB712">
        <v>12.934414899645114</v>
      </c>
      <c r="GC712">
        <v>5.6215789707606154</v>
      </c>
      <c r="GD712">
        <v>3.4909138863104889</v>
      </c>
      <c r="GE712">
        <v>2.3439045532885516</v>
      </c>
      <c r="GF712">
        <v>21.881750527310359</v>
      </c>
      <c r="GG712">
        <v>20.809409706600587</v>
      </c>
      <c r="GH712">
        <v>11.506229820763691</v>
      </c>
      <c r="GI712">
        <v>19.868725947601661</v>
      </c>
      <c r="GJ712"/>
      <c r="GK712"/>
      <c r="GL712"/>
      <c r="GM712"/>
      <c r="GN712" s="208"/>
      <c r="GO712" s="208"/>
      <c r="GP712" s="208"/>
      <c r="GQ712" s="208"/>
      <c r="GR712" s="208"/>
      <c r="GS712" s="208"/>
      <c r="GT712" s="208"/>
      <c r="GU712" s="213">
        <v>707</v>
      </c>
    </row>
    <row r="713" spans="1:203" s="7" customFormat="1">
      <c r="A713" s="4"/>
      <c r="B713" s="4"/>
      <c r="C713" s="105"/>
      <c r="D713" s="4"/>
      <c r="E713" s="4"/>
      <c r="F713" s="28"/>
      <c r="G713" s="28"/>
      <c r="H713" s="83"/>
      <c r="I713" s="4"/>
      <c r="J713" s="4"/>
      <c r="K713" s="4"/>
      <c r="L713" s="4"/>
      <c r="M713" s="4"/>
      <c r="N713" s="28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81"/>
      <c r="AG713" s="81"/>
      <c r="AH713" s="81"/>
      <c r="AI713" s="4"/>
      <c r="AJ713" s="81"/>
      <c r="AK713" s="81"/>
      <c r="AL713" s="81"/>
      <c r="AM713" s="43">
        <v>697</v>
      </c>
      <c r="AN713">
        <v>435.54574356306364</v>
      </c>
      <c r="AO713">
        <v>37.016158461315541</v>
      </c>
      <c r="AP713">
        <v>87.323719855237073</v>
      </c>
      <c r="AQ713">
        <v>274.05026847575022</v>
      </c>
      <c r="AR713">
        <v>36.001803734009926</v>
      </c>
      <c r="AS713">
        <v>366.44334805892379</v>
      </c>
      <c r="AT713">
        <v>15.239259634787089</v>
      </c>
      <c r="AU713">
        <v>-41.927218604330605</v>
      </c>
      <c r="AV713"/>
      <c r="AW713"/>
      <c r="FY713" s="213">
        <v>708</v>
      </c>
      <c r="FZ713">
        <v>38.946968217265905</v>
      </c>
      <c r="GA713">
        <v>42.259898812740161</v>
      </c>
      <c r="GB713">
        <v>8.5269916135459578</v>
      </c>
      <c r="GC713">
        <v>6.5054186208525211</v>
      </c>
      <c r="GD713">
        <v>5.6232272213077961</v>
      </c>
      <c r="GE713">
        <v>5.8631435365347953</v>
      </c>
      <c r="GF713">
        <v>11.674396232947821</v>
      </c>
      <c r="GG713">
        <v>10.042405541318091</v>
      </c>
      <c r="GH713">
        <v>10.255537291735191</v>
      </c>
      <c r="GI713">
        <v>15.060969197410449</v>
      </c>
      <c r="GJ713"/>
      <c r="GK713"/>
      <c r="GL713"/>
      <c r="GM713"/>
      <c r="GN713" s="208"/>
      <c r="GO713" s="208"/>
      <c r="GP713" s="208"/>
      <c r="GQ713" s="208"/>
      <c r="GR713" s="208"/>
      <c r="GS713" s="208"/>
      <c r="GT713" s="208"/>
      <c r="GU713" s="213">
        <v>708</v>
      </c>
    </row>
    <row r="714" spans="1:203" s="7" customFormat="1">
      <c r="A714" s="4"/>
      <c r="B714" s="4"/>
      <c r="C714" s="105"/>
      <c r="D714" s="4"/>
      <c r="E714" s="4"/>
      <c r="F714" s="28"/>
      <c r="G714" s="28"/>
      <c r="H714" s="83"/>
      <c r="I714" s="4"/>
      <c r="J714" s="4"/>
      <c r="K714" s="4"/>
      <c r="L714" s="4"/>
      <c r="M714" s="4"/>
      <c r="N714" s="28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  <c r="AA714" s="4"/>
      <c r="AB714" s="4"/>
      <c r="AC714" s="4"/>
      <c r="AD714" s="4"/>
      <c r="AE714" s="4"/>
      <c r="AF714" s="81"/>
      <c r="AG714" s="81"/>
      <c r="AH714" s="81"/>
      <c r="AI714" s="4"/>
      <c r="AJ714" s="81"/>
      <c r="AK714" s="81"/>
      <c r="AL714" s="81"/>
      <c r="AM714" s="43">
        <v>698</v>
      </c>
      <c r="AN714">
        <v>264.24491717159776</v>
      </c>
      <c r="AO714">
        <v>20.083436461668455</v>
      </c>
      <c r="AP714">
        <v>87.471998492468515</v>
      </c>
      <c r="AQ714">
        <v>138.88287150570139</v>
      </c>
      <c r="AR714">
        <v>20.132279616551251</v>
      </c>
      <c r="AS714">
        <v>196.24184967880771</v>
      </c>
      <c r="AT714">
        <v>9.6552983694755472</v>
      </c>
      <c r="AU714">
        <v>25.009450169742248</v>
      </c>
      <c r="AV714"/>
      <c r="AW714"/>
      <c r="FY714" s="213">
        <v>709</v>
      </c>
      <c r="FZ714">
        <v>61.793592118088412</v>
      </c>
      <c r="GA714">
        <v>59.95775685223871</v>
      </c>
      <c r="GB714">
        <v>9.3197178154361229</v>
      </c>
      <c r="GC714">
        <v>5.0049245739976351</v>
      </c>
      <c r="GD714">
        <v>3.882604438326358</v>
      </c>
      <c r="GE714">
        <v>7.6733144960956654</v>
      </c>
      <c r="GF714">
        <v>24.0739682692119</v>
      </c>
      <c r="GG714">
        <v>17.060266338020227</v>
      </c>
      <c r="GH714">
        <v>13.23634861176267</v>
      </c>
      <c r="GI714">
        <v>20.279479817434638</v>
      </c>
      <c r="GJ714"/>
      <c r="GK714"/>
      <c r="GL714"/>
      <c r="GM714"/>
      <c r="GN714" s="208"/>
      <c r="GO714" s="208"/>
      <c r="GP714" s="208"/>
      <c r="GQ714" s="208"/>
      <c r="GR714" s="208"/>
      <c r="GS714" s="208"/>
      <c r="GT714" s="208"/>
      <c r="GU714" s="213">
        <v>709</v>
      </c>
    </row>
    <row r="715" spans="1:203" s="7" customFormat="1">
      <c r="A715" s="4"/>
      <c r="B715" s="4"/>
      <c r="C715" s="105"/>
      <c r="D715" s="4"/>
      <c r="E715" s="4"/>
      <c r="F715" s="28"/>
      <c r="G715" s="28"/>
      <c r="H715" s="83"/>
      <c r="I715" s="4"/>
      <c r="J715" s="4"/>
      <c r="K715" s="4"/>
      <c r="L715" s="4"/>
      <c r="M715" s="4"/>
      <c r="N715" s="28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81"/>
      <c r="AG715" s="81"/>
      <c r="AH715" s="81"/>
      <c r="AI715" s="4"/>
      <c r="AJ715" s="81"/>
      <c r="AK715" s="81"/>
      <c r="AL715" s="81"/>
      <c r="AM715" s="43">
        <v>699</v>
      </c>
      <c r="AN715">
        <v>272.1875021028842</v>
      </c>
      <c r="AO715">
        <v>17.044108003004226</v>
      </c>
      <c r="AP715">
        <v>61.099292623982421</v>
      </c>
      <c r="AQ715">
        <v>121.01445689054124</v>
      </c>
      <c r="AR715">
        <v>18.635973712531854</v>
      </c>
      <c r="AS715">
        <v>184.92298893760176</v>
      </c>
      <c r="AT715">
        <v>8.929702434767476</v>
      </c>
      <c r="AU715">
        <v>28.306003538504918</v>
      </c>
      <c r="AV715"/>
      <c r="AW715"/>
      <c r="FY715" s="213">
        <v>710</v>
      </c>
      <c r="FZ715">
        <v>67.541694442822319</v>
      </c>
      <c r="GA715">
        <v>61.157034536277742</v>
      </c>
      <c r="GB715">
        <v>11.822469897602256</v>
      </c>
      <c r="GC715">
        <v>6.7702319283095873</v>
      </c>
      <c r="GD715">
        <v>5.9690570391151665</v>
      </c>
      <c r="GE715">
        <v>6.0359576041112808</v>
      </c>
      <c r="GF715">
        <v>8.2839196870446763</v>
      </c>
      <c r="GG715">
        <v>6.9989544977951308</v>
      </c>
      <c r="GH715">
        <v>11.975991694722545</v>
      </c>
      <c r="GI715">
        <v>20.136458001642172</v>
      </c>
      <c r="GJ715"/>
      <c r="GK715"/>
      <c r="GL715"/>
      <c r="GM715"/>
      <c r="GN715" s="208"/>
      <c r="GO715" s="208"/>
      <c r="GP715" s="208"/>
      <c r="GQ715" s="208"/>
      <c r="GR715" s="208"/>
      <c r="GS715" s="208"/>
      <c r="GT715" s="208"/>
      <c r="GU715" s="213">
        <v>710</v>
      </c>
    </row>
    <row r="716" spans="1:203" s="7" customFormat="1">
      <c r="A716" s="4"/>
      <c r="B716" s="4"/>
      <c r="C716" s="105"/>
      <c r="D716" s="4"/>
      <c r="E716" s="4"/>
      <c r="F716" s="28"/>
      <c r="G716" s="28"/>
      <c r="H716" s="83"/>
      <c r="I716" s="4"/>
      <c r="J716" s="4"/>
      <c r="K716" s="4"/>
      <c r="L716" s="4"/>
      <c r="M716" s="4"/>
      <c r="N716" s="28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81"/>
      <c r="AG716" s="81"/>
      <c r="AH716" s="81"/>
      <c r="AI716" s="4"/>
      <c r="AJ716" s="81"/>
      <c r="AK716" s="81"/>
      <c r="AL716" s="81"/>
      <c r="AM716" s="43">
        <v>700</v>
      </c>
      <c r="AN716">
        <v>350.79126566262346</v>
      </c>
      <c r="AO716">
        <v>25.334119410148151</v>
      </c>
      <c r="AP716">
        <v>87.206802236383567</v>
      </c>
      <c r="AQ716">
        <v>178.00823799093101</v>
      </c>
      <c r="AR716">
        <v>24.411207649982654</v>
      </c>
      <c r="AS716">
        <v>243.10201136197153</v>
      </c>
      <c r="AT716">
        <v>11.237931003355627</v>
      </c>
      <c r="AU716">
        <v>16.971435867109975</v>
      </c>
      <c r="AV716"/>
      <c r="AW716"/>
      <c r="FY716" s="213">
        <v>711</v>
      </c>
      <c r="FZ716">
        <v>57.532021196355835</v>
      </c>
      <c r="GA716">
        <v>64.530155619331083</v>
      </c>
      <c r="GB716">
        <v>11.929071630529453</v>
      </c>
      <c r="GC716">
        <v>6.0531238856735081</v>
      </c>
      <c r="GD716">
        <v>7.1855504878449974</v>
      </c>
      <c r="GE716">
        <v>8.4138928628924283</v>
      </c>
      <c r="GF716">
        <v>13.016271662252368</v>
      </c>
      <c r="GG716">
        <v>12.53841630977201</v>
      </c>
      <c r="GH716">
        <v>11.834247635532734</v>
      </c>
      <c r="GI716">
        <v>20.284966467676043</v>
      </c>
      <c r="GJ716"/>
      <c r="GK716"/>
      <c r="GL716"/>
      <c r="GM716"/>
      <c r="GN716" s="208"/>
      <c r="GO716" s="208"/>
      <c r="GP716" s="208"/>
      <c r="GQ716" s="208"/>
      <c r="GR716" s="208"/>
      <c r="GS716" s="208"/>
      <c r="GT716" s="208"/>
      <c r="GU716" s="213">
        <v>711</v>
      </c>
    </row>
    <row r="717" spans="1:203" s="7" customFormat="1">
      <c r="A717" s="4"/>
      <c r="B717" s="4"/>
      <c r="C717" s="105"/>
      <c r="D717" s="4"/>
      <c r="E717" s="4"/>
      <c r="F717" s="28"/>
      <c r="G717" s="28"/>
      <c r="H717" s="83"/>
      <c r="I717" s="4"/>
      <c r="J717" s="4"/>
      <c r="K717" s="4"/>
      <c r="L717" s="4"/>
      <c r="M717" s="4"/>
      <c r="N717" s="28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81"/>
      <c r="AG717" s="81"/>
      <c r="AH717" s="81"/>
      <c r="AI717" s="4"/>
      <c r="AJ717" s="81"/>
      <c r="AK717" s="81"/>
      <c r="AL717" s="81"/>
      <c r="AM717" s="43">
        <v>701</v>
      </c>
      <c r="AN717">
        <v>346.59241957779125</v>
      </c>
      <c r="AO717">
        <v>24.264439017478018</v>
      </c>
      <c r="AP717">
        <v>49.731324719260883</v>
      </c>
      <c r="AQ717">
        <v>167.94591215781051</v>
      </c>
      <c r="AR717">
        <v>24.157317446566875</v>
      </c>
      <c r="AS717">
        <v>236.43078759010245</v>
      </c>
      <c r="AT717">
        <v>10.976503806587445</v>
      </c>
      <c r="AU717">
        <v>-2.8395119012873415</v>
      </c>
      <c r="AV717"/>
      <c r="AW717"/>
      <c r="FY717" s="213">
        <v>712</v>
      </c>
      <c r="FZ717">
        <v>22.965870029569416</v>
      </c>
      <c r="GA717">
        <v>35.609127858478914</v>
      </c>
      <c r="GB717">
        <v>16.443123879554566</v>
      </c>
      <c r="GC717">
        <v>5.1278860663403636</v>
      </c>
      <c r="GD717">
        <v>5.29513155605924</v>
      </c>
      <c r="GE717">
        <v>6.1185155794184256</v>
      </c>
      <c r="GF717">
        <v>8.6938845826734212</v>
      </c>
      <c r="GG717">
        <v>8.9914611339569603</v>
      </c>
      <c r="GH717">
        <v>10.579103276428604</v>
      </c>
      <c r="GI717">
        <v>14.453037782477907</v>
      </c>
      <c r="GJ717"/>
      <c r="GK717"/>
      <c r="GL717"/>
      <c r="GM717"/>
      <c r="GN717" s="208"/>
      <c r="GO717" s="208"/>
      <c r="GP717" s="208"/>
      <c r="GQ717" s="208"/>
      <c r="GR717" s="208"/>
      <c r="GS717" s="208"/>
      <c r="GT717" s="208"/>
      <c r="GU717" s="213">
        <v>712</v>
      </c>
    </row>
    <row r="718" spans="1:203" s="7" customFormat="1">
      <c r="A718" s="4"/>
      <c r="B718" s="4"/>
      <c r="C718" s="105"/>
      <c r="D718" s="4"/>
      <c r="E718" s="4"/>
      <c r="F718" s="28"/>
      <c r="G718" s="28"/>
      <c r="H718" s="83"/>
      <c r="I718" s="4"/>
      <c r="J718" s="4"/>
      <c r="K718" s="4"/>
      <c r="L718" s="4"/>
      <c r="M718" s="4"/>
      <c r="N718" s="28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  <c r="AA718" s="4"/>
      <c r="AB718" s="4"/>
      <c r="AC718" s="4"/>
      <c r="AD718" s="4"/>
      <c r="AE718" s="4"/>
      <c r="AF718" s="81"/>
      <c r="AG718" s="81"/>
      <c r="AH718" s="81"/>
      <c r="AI718" s="4"/>
      <c r="AJ718" s="81"/>
      <c r="AK718" s="81"/>
      <c r="AL718" s="81"/>
      <c r="AM718" s="43">
        <v>702</v>
      </c>
      <c r="AN718">
        <v>334.8611812520009</v>
      </c>
      <c r="AO718">
        <v>30.508004198227006</v>
      </c>
      <c r="AP718">
        <v>55.559795633853156</v>
      </c>
      <c r="AQ718">
        <v>219.41303319265342</v>
      </c>
      <c r="AR718">
        <v>31.251817859152329</v>
      </c>
      <c r="AS718">
        <v>252.06964879689656</v>
      </c>
      <c r="AT718">
        <v>13.528138486694877</v>
      </c>
      <c r="AU718">
        <v>5.1185925696249086</v>
      </c>
      <c r="AV718"/>
      <c r="AW718"/>
      <c r="FY718" s="213">
        <v>713</v>
      </c>
      <c r="FZ718">
        <v>39.599798005699746</v>
      </c>
      <c r="GA718">
        <v>46.471664538617745</v>
      </c>
      <c r="GB718">
        <v>12.180341447565947</v>
      </c>
      <c r="GC718">
        <v>5.8681992362291187</v>
      </c>
      <c r="GD718">
        <v>4.3656546377029652</v>
      </c>
      <c r="GE718">
        <v>5.7640919500225616</v>
      </c>
      <c r="GF718">
        <v>22.785167792091979</v>
      </c>
      <c r="GG718">
        <v>18.528130460473886</v>
      </c>
      <c r="GH718">
        <v>12.920301745118529</v>
      </c>
      <c r="GI718">
        <v>18.033919158772076</v>
      </c>
      <c r="GJ718"/>
      <c r="GK718"/>
      <c r="GL718"/>
      <c r="GM718"/>
      <c r="GN718" s="208"/>
      <c r="GO718" s="208"/>
      <c r="GP718" s="208"/>
      <c r="GQ718" s="208"/>
      <c r="GR718" s="208"/>
      <c r="GS718" s="208"/>
      <c r="GT718" s="208"/>
      <c r="GU718" s="213">
        <v>713</v>
      </c>
    </row>
    <row r="719" spans="1:203" s="7" customFormat="1">
      <c r="A719" s="4"/>
      <c r="B719" s="4"/>
      <c r="C719" s="105"/>
      <c r="D719" s="4"/>
      <c r="E719" s="4"/>
      <c r="F719" s="28"/>
      <c r="G719" s="28"/>
      <c r="H719" s="83"/>
      <c r="I719" s="4"/>
      <c r="J719" s="4"/>
      <c r="K719" s="4"/>
      <c r="L719" s="4"/>
      <c r="M719" s="4"/>
      <c r="N719" s="28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  <c r="AA719" s="4"/>
      <c r="AB719" s="4"/>
      <c r="AC719" s="4"/>
      <c r="AD719" s="4"/>
      <c r="AE719" s="4"/>
      <c r="AF719" s="81"/>
      <c r="AG719" s="81"/>
      <c r="AH719" s="81"/>
      <c r="AI719" s="4"/>
      <c r="AJ719" s="81"/>
      <c r="AK719" s="81"/>
      <c r="AL719" s="81"/>
      <c r="AM719" s="43">
        <v>703</v>
      </c>
      <c r="AN719">
        <v>324.47413126558956</v>
      </c>
      <c r="AO719">
        <v>26.604327204972179</v>
      </c>
      <c r="AP719">
        <v>97.444993105504025</v>
      </c>
      <c r="AQ719">
        <v>183.88121429130027</v>
      </c>
      <c r="AR719">
        <v>28.259876933811487</v>
      </c>
      <c r="AS719">
        <v>247.90099091557775</v>
      </c>
      <c r="AT719">
        <v>12.268157902744141</v>
      </c>
      <c r="AU719">
        <v>12.451647741316119</v>
      </c>
      <c r="AV719"/>
      <c r="AW719"/>
      <c r="FY719" s="213">
        <v>714</v>
      </c>
      <c r="FZ719">
        <v>66.598725625388283</v>
      </c>
      <c r="GA719">
        <v>59.999613185213533</v>
      </c>
      <c r="GB719">
        <v>10.481362194049439</v>
      </c>
      <c r="GC719">
        <v>4.5828679923858253</v>
      </c>
      <c r="GD719">
        <v>4.1816787902787578</v>
      </c>
      <c r="GE719">
        <v>4.6331406894720901</v>
      </c>
      <c r="GF719">
        <v>20.595071718472298</v>
      </c>
      <c r="GG719">
        <v>19.981202703013629</v>
      </c>
      <c r="GH719">
        <v>19.393617587345524</v>
      </c>
      <c r="GI719">
        <v>22.005763691934398</v>
      </c>
      <c r="GJ719"/>
      <c r="GK719"/>
      <c r="GL719"/>
      <c r="GM719"/>
      <c r="GN719" s="208"/>
      <c r="GO719" s="208"/>
      <c r="GP719" s="208"/>
      <c r="GQ719" s="208"/>
      <c r="GR719" s="208"/>
      <c r="GS719" s="208"/>
      <c r="GT719" s="208"/>
      <c r="GU719" s="213">
        <v>714</v>
      </c>
    </row>
    <row r="720" spans="1:203" s="7" customFormat="1">
      <c r="A720" s="4"/>
      <c r="B720" s="4"/>
      <c r="C720" s="105"/>
      <c r="D720" s="4"/>
      <c r="E720" s="4"/>
      <c r="F720" s="28"/>
      <c r="G720" s="28"/>
      <c r="H720" s="83"/>
      <c r="I720" s="4"/>
      <c r="J720" s="4"/>
      <c r="K720" s="4"/>
      <c r="L720" s="4"/>
      <c r="M720" s="4"/>
      <c r="N720" s="28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  <c r="AA720" s="4"/>
      <c r="AB720" s="4"/>
      <c r="AC720" s="4"/>
      <c r="AD720" s="4"/>
      <c r="AE720" s="4"/>
      <c r="AF720" s="81"/>
      <c r="AG720" s="81"/>
      <c r="AH720" s="81"/>
      <c r="AI720" s="4"/>
      <c r="AJ720" s="81"/>
      <c r="AK720" s="81"/>
      <c r="AL720" s="81"/>
      <c r="AM720" s="43">
        <v>704</v>
      </c>
      <c r="AN720">
        <v>315.4370169726966</v>
      </c>
      <c r="AO720">
        <v>34.193255939766622</v>
      </c>
      <c r="AP720">
        <v>74.543235366755724</v>
      </c>
      <c r="AQ720">
        <v>246.12745956391905</v>
      </c>
      <c r="AR720">
        <v>33.580122867234188</v>
      </c>
      <c r="AS720">
        <v>319.85082045238801</v>
      </c>
      <c r="AT720">
        <v>12.732354803987048</v>
      </c>
      <c r="AU720">
        <v>-44.692996288412388</v>
      </c>
      <c r="AV720"/>
      <c r="AW720"/>
      <c r="FY720" s="213">
        <v>715</v>
      </c>
      <c r="FZ720">
        <v>39.660861313275895</v>
      </c>
      <c r="GA720">
        <v>33.030936078482284</v>
      </c>
      <c r="GB720">
        <v>8.3717855727476511</v>
      </c>
      <c r="GC720">
        <v>5.7325458844987942</v>
      </c>
      <c r="GD720">
        <v>4.3199903781286508</v>
      </c>
      <c r="GE720">
        <v>2.8767594475863998</v>
      </c>
      <c r="GF720">
        <v>24.957474663031832</v>
      </c>
      <c r="GG720">
        <v>24.152840068542943</v>
      </c>
      <c r="GH720">
        <v>14.213686717425032</v>
      </c>
      <c r="GI720">
        <v>17.473504399537724</v>
      </c>
      <c r="GJ720"/>
      <c r="GK720"/>
      <c r="GL720"/>
      <c r="GM720"/>
      <c r="GN720" s="208"/>
      <c r="GO720" s="208"/>
      <c r="GP720" s="208"/>
      <c r="GQ720" s="208"/>
      <c r="GR720" s="208"/>
      <c r="GS720" s="208"/>
      <c r="GT720" s="208"/>
      <c r="GU720" s="213">
        <v>715</v>
      </c>
    </row>
    <row r="721" spans="1:203" s="7" customFormat="1">
      <c r="A721" s="4"/>
      <c r="B721" s="4"/>
      <c r="C721" s="105"/>
      <c r="D721" s="4"/>
      <c r="E721" s="4"/>
      <c r="F721" s="28"/>
      <c r="G721" s="28"/>
      <c r="H721" s="83"/>
      <c r="I721" s="4"/>
      <c r="J721" s="4"/>
      <c r="K721" s="4"/>
      <c r="L721" s="4"/>
      <c r="M721" s="4"/>
      <c r="N721" s="28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  <c r="AA721" s="4"/>
      <c r="AB721" s="4"/>
      <c r="AC721" s="4"/>
      <c r="AD721" s="4"/>
      <c r="AE721" s="4"/>
      <c r="AF721" s="81"/>
      <c r="AG721" s="81"/>
      <c r="AH721" s="81"/>
      <c r="AI721" s="4"/>
      <c r="AJ721" s="81"/>
      <c r="AK721" s="81"/>
      <c r="AL721" s="81"/>
      <c r="AM721" s="43">
        <v>705</v>
      </c>
      <c r="AN721">
        <v>333.91267595609543</v>
      </c>
      <c r="AO721">
        <v>27.38731748555395</v>
      </c>
      <c r="AP721">
        <v>82.28067216786269</v>
      </c>
      <c r="AQ721">
        <v>176.14390649671154</v>
      </c>
      <c r="AR721">
        <v>29.304520745640463</v>
      </c>
      <c r="AS721">
        <v>261.31521162869626</v>
      </c>
      <c r="AT721">
        <v>11.723835752226615</v>
      </c>
      <c r="AU721">
        <v>-4.8130284959582958</v>
      </c>
      <c r="AV721"/>
      <c r="AW721"/>
      <c r="FY721" s="213">
        <v>716</v>
      </c>
      <c r="FZ721">
        <v>42.713888634878138</v>
      </c>
      <c r="GA721">
        <v>41.953071265785148</v>
      </c>
      <c r="GB721">
        <v>8.381735109634862</v>
      </c>
      <c r="GC721">
        <v>7.3445791476612596</v>
      </c>
      <c r="GD721">
        <v>5.7550761173401739</v>
      </c>
      <c r="GE721">
        <v>3.5249987295951009</v>
      </c>
      <c r="GF721">
        <v>14.886210719931011</v>
      </c>
      <c r="GG721">
        <v>16.604401604467643</v>
      </c>
      <c r="GH721">
        <v>14.121064302129442</v>
      </c>
      <c r="GI721">
        <v>16.836222119677721</v>
      </c>
      <c r="GJ721"/>
      <c r="GK721"/>
      <c r="GL721"/>
      <c r="GM721"/>
      <c r="GN721" s="208"/>
      <c r="GO721" s="208"/>
      <c r="GP721" s="208"/>
      <c r="GQ721" s="208"/>
      <c r="GR721" s="208"/>
      <c r="GS721" s="208"/>
      <c r="GT721" s="208"/>
      <c r="GU721" s="213">
        <v>716</v>
      </c>
    </row>
    <row r="722" spans="1:203" s="7" customFormat="1">
      <c r="A722" s="4"/>
      <c r="B722" s="4"/>
      <c r="C722" s="105"/>
      <c r="D722" s="4"/>
      <c r="E722" s="4"/>
      <c r="F722" s="28"/>
      <c r="G722" s="28"/>
      <c r="H722" s="83"/>
      <c r="I722" s="4"/>
      <c r="J722" s="4"/>
      <c r="K722" s="4"/>
      <c r="L722" s="4"/>
      <c r="M722" s="4"/>
      <c r="N722" s="28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4"/>
      <c r="AB722" s="4"/>
      <c r="AC722" s="4"/>
      <c r="AD722" s="4"/>
      <c r="AE722" s="4"/>
      <c r="AF722" s="81"/>
      <c r="AG722" s="81"/>
      <c r="AH722" s="81"/>
      <c r="AI722" s="4"/>
      <c r="AJ722" s="81"/>
      <c r="AK722" s="81"/>
      <c r="AL722" s="81"/>
      <c r="AM722" s="43">
        <v>706</v>
      </c>
      <c r="AN722">
        <v>337.87893778455617</v>
      </c>
      <c r="AO722">
        <v>22.791427637810035</v>
      </c>
      <c r="AP722">
        <v>72.35268631614953</v>
      </c>
      <c r="AQ722">
        <v>150.77341475453082</v>
      </c>
      <c r="AR722">
        <v>22.159993740219491</v>
      </c>
      <c r="AS722">
        <v>245.72240604467527</v>
      </c>
      <c r="AT722">
        <v>10.801185273556385</v>
      </c>
      <c r="AU722">
        <v>18.998825844218558</v>
      </c>
      <c r="AV722"/>
      <c r="AW722"/>
      <c r="FY722" s="213">
        <v>717</v>
      </c>
      <c r="FZ722">
        <v>28.200290075332322</v>
      </c>
      <c r="GA722">
        <v>48.397744990496868</v>
      </c>
      <c r="GB722">
        <v>16.164645996070796</v>
      </c>
      <c r="GC722">
        <v>5.6043337329742569</v>
      </c>
      <c r="GD722">
        <v>4.3211386160141947</v>
      </c>
      <c r="GE722">
        <v>4.1215351636887192</v>
      </c>
      <c r="GF722">
        <v>12.016395738187565</v>
      </c>
      <c r="GG722">
        <v>10.20342312135719</v>
      </c>
      <c r="GH722">
        <v>12.627485753750959</v>
      </c>
      <c r="GI722">
        <v>15.622827917097377</v>
      </c>
      <c r="GJ722"/>
      <c r="GK722"/>
      <c r="GL722"/>
      <c r="GM722"/>
      <c r="GN722" s="208"/>
      <c r="GO722" s="208"/>
      <c r="GP722" s="208"/>
      <c r="GQ722" s="208"/>
      <c r="GR722" s="208"/>
      <c r="GS722" s="208"/>
      <c r="GT722" s="208"/>
      <c r="GU722" s="213">
        <v>717</v>
      </c>
    </row>
    <row r="723" spans="1:203" s="7" customFormat="1">
      <c r="A723" s="4"/>
      <c r="B723" s="4"/>
      <c r="C723" s="105"/>
      <c r="D723" s="4"/>
      <c r="E723" s="4"/>
      <c r="F723" s="28"/>
      <c r="G723" s="28"/>
      <c r="H723" s="83"/>
      <c r="I723" s="4"/>
      <c r="J723" s="4"/>
      <c r="K723" s="4"/>
      <c r="L723" s="4"/>
      <c r="M723" s="4"/>
      <c r="N723" s="28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  <c r="AA723" s="4"/>
      <c r="AB723" s="4"/>
      <c r="AC723" s="4"/>
      <c r="AD723" s="4"/>
      <c r="AE723" s="4"/>
      <c r="AF723" s="81"/>
      <c r="AG723" s="81"/>
      <c r="AH723" s="81"/>
      <c r="AI723" s="4"/>
      <c r="AJ723" s="81"/>
      <c r="AK723" s="81"/>
      <c r="AL723" s="81"/>
      <c r="AM723" s="43">
        <v>707</v>
      </c>
      <c r="AN723">
        <v>282.16254435760021</v>
      </c>
      <c r="AO723">
        <v>29.064331001164057</v>
      </c>
      <c r="AP723">
        <v>77.319332301595921</v>
      </c>
      <c r="AQ723">
        <v>217.99148755675</v>
      </c>
      <c r="AR723">
        <v>29.71501699022016</v>
      </c>
      <c r="AS723">
        <v>246.64268810207216</v>
      </c>
      <c r="AT723">
        <v>13.937697720670903</v>
      </c>
      <c r="AU723">
        <v>46.537602844975993</v>
      </c>
      <c r="AV723"/>
      <c r="AW723"/>
      <c r="FY723" s="213">
        <v>718</v>
      </c>
      <c r="FZ723">
        <v>68.371380309231228</v>
      </c>
      <c r="GA723">
        <v>68.881545527209838</v>
      </c>
      <c r="GB723">
        <v>3.8220988709785275</v>
      </c>
      <c r="GC723">
        <v>4.3953883467331494</v>
      </c>
      <c r="GD723">
        <v>3.7064221477666734</v>
      </c>
      <c r="GE723">
        <v>4.3597500851189066</v>
      </c>
      <c r="GF723">
        <v>16.96763959203604</v>
      </c>
      <c r="GG723">
        <v>17.572086138010508</v>
      </c>
      <c r="GH723">
        <v>13.164978003993529</v>
      </c>
      <c r="GI723">
        <v>18.305571456165307</v>
      </c>
      <c r="GJ723"/>
      <c r="GK723"/>
      <c r="GL723"/>
      <c r="GM723"/>
      <c r="GN723" s="208"/>
      <c r="GO723" s="208"/>
      <c r="GP723" s="208"/>
      <c r="GQ723" s="208"/>
      <c r="GR723" s="208"/>
      <c r="GS723" s="208"/>
      <c r="GT723" s="208"/>
      <c r="GU723" s="213">
        <v>718</v>
      </c>
    </row>
    <row r="724" spans="1:203" s="7" customFormat="1">
      <c r="A724" s="4"/>
      <c r="B724" s="4"/>
      <c r="C724" s="105"/>
      <c r="D724" s="4"/>
      <c r="E724" s="4"/>
      <c r="F724" s="28"/>
      <c r="G724" s="28"/>
      <c r="H724" s="83"/>
      <c r="I724" s="4"/>
      <c r="J724" s="4"/>
      <c r="K724" s="4"/>
      <c r="L724" s="4"/>
      <c r="M724" s="4"/>
      <c r="N724" s="28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4"/>
      <c r="AB724" s="4"/>
      <c r="AC724" s="4"/>
      <c r="AD724" s="4"/>
      <c r="AE724" s="4"/>
      <c r="AF724" s="81"/>
      <c r="AG724" s="81"/>
      <c r="AH724" s="81"/>
      <c r="AI724" s="4"/>
      <c r="AJ724" s="81"/>
      <c r="AK724" s="81"/>
      <c r="AL724" s="81"/>
      <c r="AM724" s="43">
        <v>708</v>
      </c>
      <c r="AN724">
        <v>268.34955037049872</v>
      </c>
      <c r="AO724">
        <v>21.642823346082672</v>
      </c>
      <c r="AP724">
        <v>81.997479110743768</v>
      </c>
      <c r="AQ724">
        <v>154.75895628565868</v>
      </c>
      <c r="AR724">
        <v>21.804576745266338</v>
      </c>
      <c r="AS724">
        <v>212.78975018024732</v>
      </c>
      <c r="AT724">
        <v>10.523774487320148</v>
      </c>
      <c r="AU724">
        <v>27.710212946968774</v>
      </c>
      <c r="AV724"/>
      <c r="AW724"/>
      <c r="FY724" s="213">
        <v>719</v>
      </c>
      <c r="FZ724">
        <v>33.981869712153745</v>
      </c>
      <c r="GA724">
        <v>33.589416455318847</v>
      </c>
      <c r="GB724">
        <v>12.894758145994643</v>
      </c>
      <c r="GC724">
        <v>6.2593158805218474</v>
      </c>
      <c r="GD724">
        <v>5.6741826867094067</v>
      </c>
      <c r="GE724">
        <v>6.696306019630585</v>
      </c>
      <c r="GF724">
        <v>21.76601070466247</v>
      </c>
      <c r="GG724">
        <v>18.305900998665543</v>
      </c>
      <c r="GH724">
        <v>10.450397048632651</v>
      </c>
      <c r="GI724">
        <v>17.491965164304251</v>
      </c>
      <c r="GJ724"/>
      <c r="GK724"/>
      <c r="GL724"/>
      <c r="GM724"/>
      <c r="GN724" s="208"/>
      <c r="GO724" s="208"/>
      <c r="GP724" s="208"/>
      <c r="GQ724" s="208"/>
      <c r="GR724" s="208"/>
      <c r="GS724" s="208"/>
      <c r="GT724" s="208"/>
      <c r="GU724" s="213">
        <v>719</v>
      </c>
    </row>
    <row r="725" spans="1:203" s="7" customFormat="1">
      <c r="A725" s="4"/>
      <c r="B725" s="4"/>
      <c r="C725" s="105"/>
      <c r="D725" s="4"/>
      <c r="E725" s="4"/>
      <c r="F725" s="28"/>
      <c r="G725" s="28"/>
      <c r="H725" s="83"/>
      <c r="I725" s="4"/>
      <c r="J725" s="4"/>
      <c r="K725" s="4"/>
      <c r="L725" s="4"/>
      <c r="M725" s="4"/>
      <c r="N725" s="28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  <c r="AA725" s="4"/>
      <c r="AB725" s="4"/>
      <c r="AC725" s="4"/>
      <c r="AD725" s="4"/>
      <c r="AE725" s="4"/>
      <c r="AF725" s="81"/>
      <c r="AG725" s="81"/>
      <c r="AH725" s="81"/>
      <c r="AI725" s="4"/>
      <c r="AJ725" s="81"/>
      <c r="AK725" s="81"/>
      <c r="AL725" s="81"/>
      <c r="AM725" s="43">
        <v>709</v>
      </c>
      <c r="AN725">
        <v>360.33771981870382</v>
      </c>
      <c r="AO725">
        <v>28.855516058946261</v>
      </c>
      <c r="AP725">
        <v>72.178478152586209</v>
      </c>
      <c r="AQ725">
        <v>222.28197333061232</v>
      </c>
      <c r="AR725">
        <v>29.75059820018285</v>
      </c>
      <c r="AS725">
        <v>260.86634357421087</v>
      </c>
      <c r="AT725">
        <v>14.361785993678913</v>
      </c>
      <c r="AU725">
        <v>8.1935926729952691</v>
      </c>
      <c r="AV725"/>
      <c r="AW725"/>
      <c r="FY725" s="213">
        <v>720</v>
      </c>
      <c r="FZ725">
        <v>44.806585683315127</v>
      </c>
      <c r="GA725">
        <v>55.356916156012538</v>
      </c>
      <c r="GB725">
        <v>15.204636468819603</v>
      </c>
      <c r="GC725">
        <v>4.844293638352819</v>
      </c>
      <c r="GD725">
        <v>3.5646144624407463</v>
      </c>
      <c r="GE725">
        <v>3.3805990188793951</v>
      </c>
      <c r="GF725">
        <v>22.841630266580108</v>
      </c>
      <c r="GG725">
        <v>21.720982362166289</v>
      </c>
      <c r="GH725">
        <v>22.730694041859476</v>
      </c>
      <c r="GI725">
        <v>20.891783178063161</v>
      </c>
      <c r="GJ725"/>
      <c r="GK725"/>
      <c r="GL725"/>
      <c r="GM725"/>
      <c r="GN725" s="208"/>
      <c r="GO725" s="208"/>
      <c r="GP725" s="208"/>
      <c r="GQ725" s="208"/>
      <c r="GR725" s="208"/>
      <c r="GS725" s="208"/>
      <c r="GT725" s="208"/>
      <c r="GU725" s="213">
        <v>720</v>
      </c>
    </row>
    <row r="726" spans="1:203" s="7" customFormat="1">
      <c r="A726" s="4"/>
      <c r="B726" s="4"/>
      <c r="C726" s="105"/>
      <c r="D726" s="4"/>
      <c r="E726" s="4"/>
      <c r="F726" s="28"/>
      <c r="G726" s="28"/>
      <c r="H726" s="83"/>
      <c r="I726" s="4"/>
      <c r="J726" s="4"/>
      <c r="K726" s="4"/>
      <c r="L726" s="4"/>
      <c r="M726" s="4"/>
      <c r="N726" s="28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4"/>
      <c r="AB726" s="4"/>
      <c r="AC726" s="4"/>
      <c r="AD726" s="4"/>
      <c r="AE726" s="4"/>
      <c r="AF726" s="81"/>
      <c r="AG726" s="81"/>
      <c r="AH726" s="81"/>
      <c r="AI726" s="4"/>
      <c r="AJ726" s="81"/>
      <c r="AK726" s="81"/>
      <c r="AL726" s="81"/>
      <c r="AM726" s="43">
        <v>710</v>
      </c>
      <c r="AN726">
        <v>277.1410603035194</v>
      </c>
      <c r="AO726">
        <v>28.252912644419609</v>
      </c>
      <c r="AP726">
        <v>74.466739370973599</v>
      </c>
      <c r="AQ726">
        <v>206.69176932944288</v>
      </c>
      <c r="AR726">
        <v>29.963458811226726</v>
      </c>
      <c r="AS726">
        <v>237.1299560104288</v>
      </c>
      <c r="AT726">
        <v>13.972615143234703</v>
      </c>
      <c r="AU726">
        <v>14.509376606821142</v>
      </c>
      <c r="AV726"/>
      <c r="AW726"/>
      <c r="FY726" s="213">
        <v>721</v>
      </c>
      <c r="FZ726">
        <v>20.035926501832545</v>
      </c>
      <c r="GA726">
        <v>15.048265285838912</v>
      </c>
      <c r="GB726">
        <v>3.6136737517575135</v>
      </c>
      <c r="GC726">
        <v>4.3878764630126001</v>
      </c>
      <c r="GD726">
        <v>3.7791321549688459</v>
      </c>
      <c r="GE726">
        <v>4.0293843069622879</v>
      </c>
      <c r="GF726">
        <v>32.397350894703109</v>
      </c>
      <c r="GG726">
        <v>29.53157303988398</v>
      </c>
      <c r="GH726">
        <v>6.9172448238319815</v>
      </c>
      <c r="GI726">
        <v>12.983125936138331</v>
      </c>
      <c r="GJ726"/>
      <c r="GK726"/>
      <c r="GL726"/>
      <c r="GM726"/>
      <c r="GN726" s="208"/>
      <c r="GO726" s="208"/>
      <c r="GP726" s="208"/>
      <c r="GQ726" s="208"/>
      <c r="GR726" s="208"/>
      <c r="GS726" s="208"/>
      <c r="GT726" s="208"/>
      <c r="GU726" s="213">
        <v>721</v>
      </c>
    </row>
    <row r="727" spans="1:203" s="7" customFormat="1">
      <c r="A727" s="4"/>
      <c r="B727" s="4"/>
      <c r="C727" s="105"/>
      <c r="D727" s="4"/>
      <c r="E727" s="4"/>
      <c r="F727" s="28"/>
      <c r="G727" s="28"/>
      <c r="H727" s="83"/>
      <c r="I727" s="4"/>
      <c r="J727" s="4"/>
      <c r="K727" s="4"/>
      <c r="L727" s="4"/>
      <c r="M727" s="4"/>
      <c r="N727" s="28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  <c r="AA727" s="4"/>
      <c r="AB727" s="4"/>
      <c r="AC727" s="4"/>
      <c r="AD727" s="4"/>
      <c r="AE727" s="4"/>
      <c r="AF727" s="81"/>
      <c r="AG727" s="81"/>
      <c r="AH727" s="81"/>
      <c r="AI727" s="4"/>
      <c r="AJ727" s="81"/>
      <c r="AK727" s="81"/>
      <c r="AL727" s="81"/>
      <c r="AM727" s="43">
        <v>711</v>
      </c>
      <c r="AN727">
        <v>330.75778383374563</v>
      </c>
      <c r="AO727">
        <v>29.490594560830523</v>
      </c>
      <c r="AP727">
        <v>75.266528785593394</v>
      </c>
      <c r="AQ727">
        <v>213.31771775786044</v>
      </c>
      <c r="AR727">
        <v>29.900626805034744</v>
      </c>
      <c r="AS727">
        <v>278.86582546247899</v>
      </c>
      <c r="AT727">
        <v>14.282979775941895</v>
      </c>
      <c r="AU727">
        <v>2.6221567590531052</v>
      </c>
      <c r="AV727"/>
      <c r="AW727"/>
      <c r="FY727" s="213">
        <v>722</v>
      </c>
      <c r="FZ727">
        <v>47.943742952038633</v>
      </c>
      <c r="GA727">
        <v>25.387745884961646</v>
      </c>
      <c r="GB727">
        <v>4.0698857373596518</v>
      </c>
      <c r="GC727">
        <v>7.9893507972478854</v>
      </c>
      <c r="GD727">
        <v>6.1071107940209624</v>
      </c>
      <c r="GE727">
        <v>3.8365395040950072</v>
      </c>
      <c r="GF727">
        <v>19.326180704356783</v>
      </c>
      <c r="GG727">
        <v>16.99828123162094</v>
      </c>
      <c r="GH727">
        <v>10.816679336781149</v>
      </c>
      <c r="GI727">
        <v>16.761034940441313</v>
      </c>
      <c r="GJ727"/>
      <c r="GK727"/>
      <c r="GL727"/>
      <c r="GM727"/>
      <c r="GN727" s="208"/>
      <c r="GO727" s="208"/>
      <c r="GP727" s="208"/>
      <c r="GQ727" s="208"/>
      <c r="GR727" s="208"/>
      <c r="GS727" s="208"/>
      <c r="GT727" s="208"/>
      <c r="GU727" s="213">
        <v>722</v>
      </c>
    </row>
    <row r="728" spans="1:203" s="7" customFormat="1">
      <c r="A728" s="4"/>
      <c r="B728" s="4"/>
      <c r="C728" s="105"/>
      <c r="D728" s="4"/>
      <c r="E728" s="4"/>
      <c r="F728" s="28"/>
      <c r="G728" s="28"/>
      <c r="H728" s="83"/>
      <c r="I728" s="4"/>
      <c r="J728" s="4"/>
      <c r="K728" s="4"/>
      <c r="L728" s="4"/>
      <c r="M728" s="4"/>
      <c r="N728" s="28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4"/>
      <c r="AB728" s="4"/>
      <c r="AC728" s="4"/>
      <c r="AD728" s="4"/>
      <c r="AE728" s="4"/>
      <c r="AF728" s="81"/>
      <c r="AG728" s="81"/>
      <c r="AH728" s="81"/>
      <c r="AI728" s="4"/>
      <c r="AJ728" s="81"/>
      <c r="AK728" s="81"/>
      <c r="AL728" s="81"/>
      <c r="AM728" s="43">
        <v>712</v>
      </c>
      <c r="AN728">
        <v>264.40028946167922</v>
      </c>
      <c r="AO728">
        <v>20.68679910306734</v>
      </c>
      <c r="AP728">
        <v>50.661955451834594</v>
      </c>
      <c r="AQ728">
        <v>134.27714174495782</v>
      </c>
      <c r="AR728">
        <v>21.51305155669219</v>
      </c>
      <c r="AS728">
        <v>221.62684816521389</v>
      </c>
      <c r="AT728">
        <v>8.6682429131829419</v>
      </c>
      <c r="AU728">
        <v>13.638871891478207</v>
      </c>
      <c r="AV728"/>
      <c r="AW728"/>
      <c r="FY728" s="213">
        <v>723</v>
      </c>
      <c r="FZ728">
        <v>48.10120159669961</v>
      </c>
      <c r="GA728">
        <v>81.565327465191316</v>
      </c>
      <c r="GB728">
        <v>23.358687381008384</v>
      </c>
      <c r="GC728">
        <v>6.3009387679604156</v>
      </c>
      <c r="GD728">
        <v>4.1647426978411852</v>
      </c>
      <c r="GE728">
        <v>2.5119269338634096</v>
      </c>
      <c r="GF728">
        <v>14.481125316232831</v>
      </c>
      <c r="GG728">
        <v>14.539865261888215</v>
      </c>
      <c r="GH728">
        <v>24.204496674219783</v>
      </c>
      <c r="GI728">
        <v>22.872138709943112</v>
      </c>
      <c r="GJ728"/>
      <c r="GK728"/>
      <c r="GL728"/>
      <c r="GM728"/>
      <c r="GN728" s="208"/>
      <c r="GO728" s="208"/>
      <c r="GP728" s="208"/>
      <c r="GQ728" s="208"/>
      <c r="GR728" s="208"/>
      <c r="GS728" s="208"/>
      <c r="GT728" s="208"/>
      <c r="GU728" s="213">
        <v>723</v>
      </c>
    </row>
    <row r="729" spans="1:203" s="7" customFormat="1">
      <c r="A729" s="4"/>
      <c r="B729" s="4"/>
      <c r="C729" s="105"/>
      <c r="D729" s="4"/>
      <c r="E729" s="4"/>
      <c r="F729" s="28"/>
      <c r="G729" s="28"/>
      <c r="H729" s="83"/>
      <c r="I729" s="4"/>
      <c r="J729" s="4"/>
      <c r="K729" s="4"/>
      <c r="L729" s="4"/>
      <c r="M729" s="4"/>
      <c r="N729" s="28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  <c r="AA729" s="4"/>
      <c r="AB729" s="4"/>
      <c r="AC729" s="4"/>
      <c r="AD729" s="4"/>
      <c r="AE729" s="4"/>
      <c r="AF729" s="81"/>
      <c r="AG729" s="81"/>
      <c r="AH729" s="81"/>
      <c r="AI729" s="4"/>
      <c r="AJ729" s="81"/>
      <c r="AK729" s="81"/>
      <c r="AL729" s="81"/>
      <c r="AM729" s="43">
        <v>713</v>
      </c>
      <c r="AN729">
        <v>323.96632190276802</v>
      </c>
      <c r="AO729">
        <v>25.782449097042097</v>
      </c>
      <c r="AP729">
        <v>89.891133578562219</v>
      </c>
      <c r="AQ729">
        <v>186.51726897229454</v>
      </c>
      <c r="AR729">
        <v>26.134325012602886</v>
      </c>
      <c r="AS729">
        <v>250.33926172228163</v>
      </c>
      <c r="AT729">
        <v>11.870471297482235</v>
      </c>
      <c r="AU729">
        <v>2.5918015022499574</v>
      </c>
      <c r="AV729"/>
      <c r="AW729"/>
      <c r="FY729" s="213">
        <v>724</v>
      </c>
      <c r="FZ729">
        <v>54.011140470345666</v>
      </c>
      <c r="GA729">
        <v>65.932973966367925</v>
      </c>
      <c r="GB729">
        <v>16.40006305203114</v>
      </c>
      <c r="GC729">
        <v>6.4851232601828919</v>
      </c>
      <c r="GD729">
        <v>4.4672682406068835</v>
      </c>
      <c r="GE729">
        <v>4.5363865271950319</v>
      </c>
      <c r="GF729">
        <v>15.052665008695328</v>
      </c>
      <c r="GG729">
        <v>11.933786640006874</v>
      </c>
      <c r="GH729">
        <v>17.517581306275449</v>
      </c>
      <c r="GI729">
        <v>20.832786862294753</v>
      </c>
      <c r="GJ729"/>
      <c r="GK729"/>
      <c r="GL729"/>
      <c r="GM729"/>
      <c r="GN729" s="208"/>
      <c r="GO729" s="208"/>
      <c r="GP729" s="208"/>
      <c r="GQ729" s="208"/>
      <c r="GR729" s="208"/>
      <c r="GS729" s="208"/>
      <c r="GT729" s="208"/>
      <c r="GU729" s="213">
        <v>724</v>
      </c>
    </row>
    <row r="730" spans="1:203" s="7" customFormat="1">
      <c r="A730" s="4"/>
      <c r="B730" s="4"/>
      <c r="C730" s="105"/>
      <c r="D730" s="4"/>
      <c r="E730" s="4"/>
      <c r="F730" s="28"/>
      <c r="G730" s="28"/>
      <c r="H730" s="83"/>
      <c r="I730" s="4"/>
      <c r="J730" s="4"/>
      <c r="K730" s="4"/>
      <c r="L730" s="4"/>
      <c r="M730" s="4"/>
      <c r="N730" s="28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4"/>
      <c r="AB730" s="4"/>
      <c r="AC730" s="4"/>
      <c r="AD730" s="4"/>
      <c r="AE730" s="4"/>
      <c r="AF730" s="81"/>
      <c r="AG730" s="81"/>
      <c r="AH730" s="81"/>
      <c r="AI730" s="4"/>
      <c r="AJ730" s="81"/>
      <c r="AK730" s="81"/>
      <c r="AL730" s="81"/>
      <c r="AM730" s="43">
        <v>714</v>
      </c>
      <c r="AN730">
        <v>317.81936468764178</v>
      </c>
      <c r="AO730">
        <v>30.412269689871977</v>
      </c>
      <c r="AP730">
        <v>82.480586859419574</v>
      </c>
      <c r="AQ730">
        <v>232.45304417755378</v>
      </c>
      <c r="AR730">
        <v>32.416496915643407</v>
      </c>
      <c r="AS730">
        <v>266.95802470457915</v>
      </c>
      <c r="AT730">
        <v>15.020790748041975</v>
      </c>
      <c r="AU730">
        <v>18.27926735186621</v>
      </c>
      <c r="AV730"/>
      <c r="AW730"/>
      <c r="FY730" s="213">
        <v>725</v>
      </c>
      <c r="FZ730">
        <v>58.48234433469235</v>
      </c>
      <c r="GA730">
        <v>52.992252043946586</v>
      </c>
      <c r="GB730">
        <v>13.491016791388104</v>
      </c>
      <c r="GC730">
        <v>7.4244065561082824</v>
      </c>
      <c r="GD730">
        <v>6.6009312171190944</v>
      </c>
      <c r="GE730">
        <v>7.1956697026664056</v>
      </c>
      <c r="GF730">
        <v>19.625381175602151</v>
      </c>
      <c r="GG730">
        <v>15.351581949386885</v>
      </c>
      <c r="GH730">
        <v>19.327258708543091</v>
      </c>
      <c r="GI730">
        <v>22.803832567487156</v>
      </c>
      <c r="GJ730"/>
      <c r="GK730"/>
      <c r="GL730"/>
      <c r="GM730"/>
      <c r="GN730" s="208"/>
      <c r="GO730" s="208"/>
      <c r="GP730" s="208"/>
      <c r="GQ730" s="208"/>
      <c r="GR730" s="208"/>
      <c r="GS730" s="208"/>
      <c r="GT730" s="208"/>
      <c r="GU730" s="213">
        <v>725</v>
      </c>
    </row>
    <row r="731" spans="1:203" s="7" customFormat="1">
      <c r="A731" s="4"/>
      <c r="B731" s="4"/>
      <c r="C731" s="105"/>
      <c r="D731" s="4"/>
      <c r="E731" s="4"/>
      <c r="F731" s="28"/>
      <c r="G731" s="28"/>
      <c r="H731" s="83"/>
      <c r="I731" s="4"/>
      <c r="J731" s="4"/>
      <c r="K731" s="4"/>
      <c r="L731" s="4"/>
      <c r="M731" s="4"/>
      <c r="N731" s="28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  <c r="AA731" s="4"/>
      <c r="AB731" s="4"/>
      <c r="AC731" s="4"/>
      <c r="AD731" s="4"/>
      <c r="AE731" s="4"/>
      <c r="AF731" s="81"/>
      <c r="AG731" s="81"/>
      <c r="AH731" s="81"/>
      <c r="AI731" s="4"/>
      <c r="AJ731" s="81"/>
      <c r="AK731" s="81"/>
      <c r="AL731" s="81"/>
      <c r="AM731" s="43">
        <v>715</v>
      </c>
      <c r="AN731">
        <v>300.19083518265734</v>
      </c>
      <c r="AO731">
        <v>24.32193334071366</v>
      </c>
      <c r="AP731">
        <v>92.846447911604969</v>
      </c>
      <c r="AQ731">
        <v>174.79038452325719</v>
      </c>
      <c r="AR731">
        <v>25.482381443184952</v>
      </c>
      <c r="AS731">
        <v>253.19147890452558</v>
      </c>
      <c r="AT731">
        <v>11.929548175986488</v>
      </c>
      <c r="AU731">
        <v>31.322199830932121</v>
      </c>
      <c r="AV731"/>
      <c r="AW731"/>
      <c r="FY731" s="213">
        <v>726</v>
      </c>
      <c r="FZ731">
        <v>30.356480893721695</v>
      </c>
      <c r="GA731">
        <v>40.502970871474965</v>
      </c>
      <c r="GB731">
        <v>13.24031333325169</v>
      </c>
      <c r="GC731">
        <v>6.5726609819915431</v>
      </c>
      <c r="GD731">
        <v>5.460131819677545</v>
      </c>
      <c r="GE731">
        <v>4.6340214267971147</v>
      </c>
      <c r="GF731">
        <v>21.907924926540566</v>
      </c>
      <c r="GG731">
        <v>19.74948097054326</v>
      </c>
      <c r="GH731">
        <v>15.604627185395122</v>
      </c>
      <c r="GI731">
        <v>17.845214202408794</v>
      </c>
      <c r="GJ731"/>
      <c r="GK731"/>
      <c r="GL731"/>
      <c r="GM731"/>
      <c r="GN731" s="208"/>
      <c r="GO731" s="208"/>
      <c r="GP731" s="208"/>
      <c r="GQ731" s="208"/>
      <c r="GR731" s="208"/>
      <c r="GS731" s="208"/>
      <c r="GT731" s="208"/>
      <c r="GU731" s="213">
        <v>726</v>
      </c>
    </row>
    <row r="732" spans="1:203" s="7" customFormat="1">
      <c r="A732" s="4"/>
      <c r="B732" s="4"/>
      <c r="C732" s="105"/>
      <c r="D732" s="4"/>
      <c r="E732" s="4"/>
      <c r="F732" s="28"/>
      <c r="G732" s="28"/>
      <c r="H732" s="83"/>
      <c r="I732" s="4"/>
      <c r="J732" s="4"/>
      <c r="K732" s="4"/>
      <c r="L732" s="4"/>
      <c r="M732" s="4"/>
      <c r="N732" s="28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4"/>
      <c r="AB732" s="4"/>
      <c r="AC732" s="4"/>
      <c r="AD732" s="4"/>
      <c r="AE732" s="4"/>
      <c r="AF732" s="81"/>
      <c r="AG732" s="81"/>
      <c r="AH732" s="81"/>
      <c r="AI732" s="4"/>
      <c r="AJ732" s="81"/>
      <c r="AK732" s="81"/>
      <c r="AL732" s="81"/>
      <c r="AM732" s="43">
        <v>716</v>
      </c>
      <c r="AN732">
        <v>277.71092407257447</v>
      </c>
      <c r="AO732">
        <v>24.15287394870445</v>
      </c>
      <c r="AP732">
        <v>97.345629110144415</v>
      </c>
      <c r="AQ732">
        <v>172.1212477511005</v>
      </c>
      <c r="AR732">
        <v>24.699308983483373</v>
      </c>
      <c r="AS732">
        <v>230.93511709143192</v>
      </c>
      <c r="AT732">
        <v>11.599718013351856</v>
      </c>
      <c r="AU732">
        <v>27.761168601765497</v>
      </c>
      <c r="AV732"/>
      <c r="AW732"/>
      <c r="FY732" s="213">
        <v>727</v>
      </c>
      <c r="FZ732">
        <v>24.490388805565868</v>
      </c>
      <c r="GA732">
        <v>17.756832705085962</v>
      </c>
      <c r="GB732">
        <v>8.5229010396223668</v>
      </c>
      <c r="GC732">
        <v>4.2637099045105877</v>
      </c>
      <c r="GD732">
        <v>3.5730175253332925</v>
      </c>
      <c r="GE732">
        <v>4.9988322797247999</v>
      </c>
      <c r="GF732">
        <v>19.775187726022398</v>
      </c>
      <c r="GG732">
        <v>18.366274842762206</v>
      </c>
      <c r="GH732">
        <v>18.260979353433051</v>
      </c>
      <c r="GI732">
        <v>14.518398275918154</v>
      </c>
      <c r="GJ732"/>
      <c r="GK732"/>
      <c r="GL732"/>
      <c r="GM732"/>
      <c r="GN732" s="208"/>
      <c r="GO732" s="208"/>
      <c r="GP732" s="208"/>
      <c r="GQ732" s="208"/>
      <c r="GR732" s="208"/>
      <c r="GS732" s="208"/>
      <c r="GT732" s="208"/>
      <c r="GU732" s="213">
        <v>727</v>
      </c>
    </row>
    <row r="733" spans="1:203" s="7" customFormat="1">
      <c r="A733" s="4"/>
      <c r="B733" s="4"/>
      <c r="C733" s="105"/>
      <c r="D733" s="4"/>
      <c r="E733" s="4"/>
      <c r="F733" s="28"/>
      <c r="G733" s="28"/>
      <c r="H733" s="83"/>
      <c r="I733" s="4"/>
      <c r="J733" s="4"/>
      <c r="K733" s="4"/>
      <c r="L733" s="4"/>
      <c r="M733" s="4"/>
      <c r="N733" s="28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  <c r="AA733" s="4"/>
      <c r="AB733" s="4"/>
      <c r="AC733" s="4"/>
      <c r="AD733" s="4"/>
      <c r="AE733" s="4"/>
      <c r="AF733" s="81"/>
      <c r="AG733" s="81"/>
      <c r="AH733" s="81"/>
      <c r="AI733" s="4"/>
      <c r="AJ733" s="81"/>
      <c r="AK733" s="81"/>
      <c r="AL733" s="81"/>
      <c r="AM733" s="43">
        <v>717</v>
      </c>
      <c r="AN733">
        <v>251.01388189869294</v>
      </c>
      <c r="AO733">
        <v>23.146773997235272</v>
      </c>
      <c r="AP733">
        <v>89.587986564175424</v>
      </c>
      <c r="AQ733">
        <v>157.27982110497024</v>
      </c>
      <c r="AR733">
        <v>23.529636472877456</v>
      </c>
      <c r="AS733">
        <v>195.99853930353046</v>
      </c>
      <c r="AT733">
        <v>9.3517457498224488</v>
      </c>
      <c r="AU733">
        <v>-21.007677187959271</v>
      </c>
      <c r="AV733"/>
      <c r="AW733"/>
      <c r="FY733" s="213">
        <v>728</v>
      </c>
      <c r="FZ733">
        <v>50.697964170212899</v>
      </c>
      <c r="GA733">
        <v>51.986662485830699</v>
      </c>
      <c r="GB733">
        <v>8.4019774611547469</v>
      </c>
      <c r="GC733">
        <v>4.407028690271849</v>
      </c>
      <c r="GD733">
        <v>3.806838631602723</v>
      </c>
      <c r="GE733">
        <v>5.9054212042440435</v>
      </c>
      <c r="GF733">
        <v>16.595102305751983</v>
      </c>
      <c r="GG733">
        <v>14.150575815109359</v>
      </c>
      <c r="GH733">
        <v>16.024959249912332</v>
      </c>
      <c r="GI733">
        <v>17.592621498957207</v>
      </c>
      <c r="GJ733"/>
      <c r="GK733"/>
      <c r="GL733"/>
      <c r="GM733"/>
      <c r="GN733" s="208"/>
      <c r="GO733" s="208"/>
      <c r="GP733" s="208"/>
      <c r="GQ733" s="208"/>
      <c r="GR733" s="208"/>
      <c r="GS733" s="208"/>
      <c r="GT733" s="208"/>
      <c r="GU733" s="213">
        <v>728</v>
      </c>
    </row>
    <row r="734" spans="1:203" s="7" customFormat="1">
      <c r="A734" s="4"/>
      <c r="B734" s="4"/>
      <c r="C734" s="105"/>
      <c r="D734" s="4"/>
      <c r="E734" s="4"/>
      <c r="F734" s="28"/>
      <c r="G734" s="28"/>
      <c r="H734" s="83"/>
      <c r="I734" s="4"/>
      <c r="J734" s="4"/>
      <c r="K734" s="4"/>
      <c r="L734" s="4"/>
      <c r="M734" s="4"/>
      <c r="N734" s="28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4"/>
      <c r="AB734" s="4"/>
      <c r="AC734" s="4"/>
      <c r="AD734" s="4"/>
      <c r="AE734" s="4"/>
      <c r="AF734" s="81"/>
      <c r="AG734" s="81"/>
      <c r="AH734" s="81"/>
      <c r="AI734" s="4"/>
      <c r="AJ734" s="81"/>
      <c r="AK734" s="81"/>
      <c r="AL734" s="81"/>
      <c r="AM734" s="43">
        <v>718</v>
      </c>
      <c r="AN734">
        <v>273.1182369018336</v>
      </c>
      <c r="AO734">
        <v>26.563187395114188</v>
      </c>
      <c r="AP734">
        <v>127.62165918048143</v>
      </c>
      <c r="AQ734">
        <v>219.54686047724371</v>
      </c>
      <c r="AR734">
        <v>25.929910358076722</v>
      </c>
      <c r="AS734">
        <v>241.1753959610071</v>
      </c>
      <c r="AT734">
        <v>14.521808651051211</v>
      </c>
      <c r="AU734">
        <v>28.54969440955345</v>
      </c>
      <c r="AV734"/>
      <c r="AW734"/>
      <c r="FY734" s="213">
        <v>729</v>
      </c>
      <c r="FZ734">
        <v>39.471103344403673</v>
      </c>
      <c r="GA734">
        <v>42.635853415948311</v>
      </c>
      <c r="GB734">
        <v>7.2846421686014065</v>
      </c>
      <c r="GC734">
        <v>4.9374641116617557</v>
      </c>
      <c r="GD734">
        <v>5.0951054352901126</v>
      </c>
      <c r="GE734">
        <v>6.7645344448658946</v>
      </c>
      <c r="GF734">
        <v>29.95838974560532</v>
      </c>
      <c r="GG734">
        <v>27.779820025709181</v>
      </c>
      <c r="GH734">
        <v>17.23545517330869</v>
      </c>
      <c r="GI734">
        <v>18.951704278006392</v>
      </c>
      <c r="GJ734"/>
      <c r="GK734"/>
      <c r="GL734"/>
      <c r="GM734"/>
      <c r="GN734" s="208"/>
      <c r="GO734" s="208"/>
      <c r="GP734" s="208"/>
      <c r="GQ734" s="208"/>
      <c r="GR734" s="208"/>
      <c r="GS734" s="208"/>
      <c r="GT734" s="208"/>
      <c r="GU734" s="213">
        <v>729</v>
      </c>
    </row>
    <row r="735" spans="1:203" s="7" customFormat="1">
      <c r="A735" s="4"/>
      <c r="B735" s="4"/>
      <c r="C735" s="105"/>
      <c r="D735" s="4"/>
      <c r="E735" s="4"/>
      <c r="F735" s="28"/>
      <c r="G735" s="28"/>
      <c r="H735" s="83"/>
      <c r="I735" s="4"/>
      <c r="J735" s="4"/>
      <c r="K735" s="4"/>
      <c r="L735" s="4"/>
      <c r="M735" s="4"/>
      <c r="N735" s="28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  <c r="AA735" s="4"/>
      <c r="AB735" s="4"/>
      <c r="AC735" s="4"/>
      <c r="AD735" s="4"/>
      <c r="AE735" s="4"/>
      <c r="AF735" s="81"/>
      <c r="AG735" s="81"/>
      <c r="AH735" s="81"/>
      <c r="AI735" s="4"/>
      <c r="AJ735" s="81"/>
      <c r="AK735" s="81"/>
      <c r="AL735" s="81"/>
      <c r="AM735" s="43">
        <v>719</v>
      </c>
      <c r="AN735">
        <v>349.56222512330856</v>
      </c>
      <c r="AO735">
        <v>24.614980480092463</v>
      </c>
      <c r="AP735">
        <v>69.866644395636982</v>
      </c>
      <c r="AQ735">
        <v>167.11012281659399</v>
      </c>
      <c r="AR735">
        <v>25.667506420538889</v>
      </c>
      <c r="AS735">
        <v>252.69774252494912</v>
      </c>
      <c r="AT735">
        <v>11.29693616217812</v>
      </c>
      <c r="AU735">
        <v>55.774863699298379</v>
      </c>
      <c r="AV735"/>
      <c r="AW735"/>
      <c r="FY735" s="213">
        <v>730</v>
      </c>
      <c r="FZ735">
        <v>58.988320872325076</v>
      </c>
      <c r="GA735">
        <v>68.644221044332213</v>
      </c>
      <c r="GB735">
        <v>6.5312531860896623</v>
      </c>
      <c r="GC735">
        <v>4.7464428171942972</v>
      </c>
      <c r="GD735">
        <v>4.3475822847148251</v>
      </c>
      <c r="GE735">
        <v>4.3294881301701915</v>
      </c>
      <c r="GF735">
        <v>19.5206558972517</v>
      </c>
      <c r="GG735">
        <v>19.192816134996658</v>
      </c>
      <c r="GH735">
        <v>9.2482167037392511</v>
      </c>
      <c r="GI735">
        <v>17.965342172169446</v>
      </c>
      <c r="GJ735"/>
      <c r="GK735"/>
      <c r="GL735"/>
      <c r="GM735"/>
      <c r="GN735" s="208"/>
      <c r="GO735" s="208"/>
      <c r="GP735" s="208"/>
      <c r="GQ735" s="208"/>
      <c r="GR735" s="208"/>
      <c r="GS735" s="208"/>
      <c r="GT735" s="208"/>
      <c r="GU735" s="213">
        <v>730</v>
      </c>
    </row>
    <row r="736" spans="1:203" s="7" customFormat="1">
      <c r="A736" s="4"/>
      <c r="B736" s="4"/>
      <c r="C736" s="105"/>
      <c r="D736" s="4"/>
      <c r="E736" s="4"/>
      <c r="F736" s="28"/>
      <c r="G736" s="28"/>
      <c r="H736" s="83"/>
      <c r="I736" s="4"/>
      <c r="J736" s="4"/>
      <c r="K736" s="4"/>
      <c r="L736" s="4"/>
      <c r="M736" s="4"/>
      <c r="N736" s="28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4"/>
      <c r="AB736" s="4"/>
      <c r="AC736" s="4"/>
      <c r="AD736" s="4"/>
      <c r="AE736" s="4"/>
      <c r="AF736" s="81"/>
      <c r="AG736" s="81"/>
      <c r="AH736" s="81"/>
      <c r="AI736" s="4"/>
      <c r="AJ736" s="81"/>
      <c r="AK736" s="81"/>
      <c r="AL736" s="81"/>
      <c r="AM736" s="43">
        <v>720</v>
      </c>
      <c r="AN736">
        <v>318.22046306541898</v>
      </c>
      <c r="AO736">
        <v>29.362692353955271</v>
      </c>
      <c r="AP736">
        <v>77.568841260367208</v>
      </c>
      <c r="AQ736">
        <v>215.34273527648924</v>
      </c>
      <c r="AR736">
        <v>30.983548910668489</v>
      </c>
      <c r="AS736">
        <v>259.70274203963953</v>
      </c>
      <c r="AT736">
        <v>13.474554713402535</v>
      </c>
      <c r="AU736">
        <v>-5.2276577014436896</v>
      </c>
      <c r="AV736"/>
      <c r="AW736"/>
      <c r="FY736" s="213">
        <v>731</v>
      </c>
      <c r="FZ736">
        <v>47.577349445517676</v>
      </c>
      <c r="GA736">
        <v>53.831970112511449</v>
      </c>
      <c r="GB736">
        <v>9.1117930384325927</v>
      </c>
      <c r="GC736">
        <v>8.0234915073958391</v>
      </c>
      <c r="GD736">
        <v>6.75247117957342</v>
      </c>
      <c r="GE736">
        <v>3.8136096897751584</v>
      </c>
      <c r="GF736">
        <v>4.2469206989766564</v>
      </c>
      <c r="GG736">
        <v>5.6826244117845492</v>
      </c>
      <c r="GH736">
        <v>13.303418460870413</v>
      </c>
      <c r="GI736">
        <v>16.29257099623063</v>
      </c>
      <c r="GJ736"/>
      <c r="GK736"/>
      <c r="GL736"/>
      <c r="GM736"/>
      <c r="GN736" s="208"/>
      <c r="GO736" s="208"/>
      <c r="GP736" s="208"/>
      <c r="GQ736" s="208"/>
      <c r="GR736" s="208"/>
      <c r="GS736" s="208"/>
      <c r="GT736" s="208"/>
      <c r="GU736" s="213">
        <v>731</v>
      </c>
    </row>
    <row r="737" spans="1:203" s="7" customFormat="1">
      <c r="A737" s="4"/>
      <c r="B737" s="4"/>
      <c r="C737" s="105"/>
      <c r="D737" s="4"/>
      <c r="E737" s="4"/>
      <c r="F737" s="28"/>
      <c r="G737" s="28"/>
      <c r="H737" s="83"/>
      <c r="I737" s="4"/>
      <c r="J737" s="4"/>
      <c r="K737" s="4"/>
      <c r="L737" s="4"/>
      <c r="M737" s="4"/>
      <c r="N737" s="28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  <c r="AA737" s="4"/>
      <c r="AB737" s="4"/>
      <c r="AC737" s="4"/>
      <c r="AD737" s="4"/>
      <c r="AE737" s="4"/>
      <c r="AF737" s="81"/>
      <c r="AG737" s="81"/>
      <c r="AH737" s="81"/>
      <c r="AI737" s="4"/>
      <c r="AJ737" s="81"/>
      <c r="AK737" s="81"/>
      <c r="AL737" s="81"/>
      <c r="AM737" s="43">
        <v>721</v>
      </c>
      <c r="AN737">
        <v>321.49363233873044</v>
      </c>
      <c r="AO737">
        <v>18.343028903407365</v>
      </c>
      <c r="AP737">
        <v>97.87835517461501</v>
      </c>
      <c r="AQ737">
        <v>132.72355315893012</v>
      </c>
      <c r="AR737">
        <v>17.866072350384737</v>
      </c>
      <c r="AS737">
        <v>218.83990622371255</v>
      </c>
      <c r="AT737">
        <v>10.298318061743794</v>
      </c>
      <c r="AU737">
        <v>68.182125466314062</v>
      </c>
      <c r="AV737"/>
      <c r="AW737"/>
      <c r="FY737" s="213">
        <v>732</v>
      </c>
      <c r="FZ737">
        <v>46.999279194925442</v>
      </c>
      <c r="GA737">
        <v>35.747948792293016</v>
      </c>
      <c r="GB737">
        <v>5.7008661481078695</v>
      </c>
      <c r="GC737">
        <v>5.2412838923677407</v>
      </c>
      <c r="GD737">
        <v>3.7655832661873196</v>
      </c>
      <c r="GE737">
        <v>2.5223002017193101</v>
      </c>
      <c r="GF737">
        <v>25.566415053314977</v>
      </c>
      <c r="GG737">
        <v>25.930894424977851</v>
      </c>
      <c r="GH737">
        <v>18.023305881098327</v>
      </c>
      <c r="GI737">
        <v>18.018100634152272</v>
      </c>
      <c r="GJ737"/>
      <c r="GK737"/>
      <c r="GL737"/>
      <c r="GM737"/>
      <c r="GN737" s="208"/>
      <c r="GO737" s="208"/>
      <c r="GP737" s="208"/>
      <c r="GQ737" s="208"/>
      <c r="GR737" s="208"/>
      <c r="GS737" s="208"/>
      <c r="GT737" s="208"/>
      <c r="GU737" s="213">
        <v>732</v>
      </c>
    </row>
    <row r="738" spans="1:203" s="7" customFormat="1">
      <c r="A738" s="4"/>
      <c r="B738" s="4"/>
      <c r="C738" s="105"/>
      <c r="D738" s="4"/>
      <c r="E738" s="4"/>
      <c r="F738" s="28"/>
      <c r="G738" s="28"/>
      <c r="H738" s="83"/>
      <c r="I738" s="4"/>
      <c r="J738" s="4"/>
      <c r="K738" s="4"/>
      <c r="L738" s="4"/>
      <c r="M738" s="4"/>
      <c r="N738" s="28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4"/>
      <c r="AB738" s="4"/>
      <c r="AC738" s="4"/>
      <c r="AD738" s="4"/>
      <c r="AE738" s="4"/>
      <c r="AF738" s="81"/>
      <c r="AG738" s="81"/>
      <c r="AH738" s="81"/>
      <c r="AI738" s="4"/>
      <c r="AJ738" s="81"/>
      <c r="AK738" s="81"/>
      <c r="AL738" s="81"/>
      <c r="AM738" s="43">
        <v>722</v>
      </c>
      <c r="AN738">
        <v>313.42712799131488</v>
      </c>
      <c r="AO738">
        <v>21.965027886036086</v>
      </c>
      <c r="AP738">
        <v>71.239019334745308</v>
      </c>
      <c r="AQ738">
        <v>159.23655188292398</v>
      </c>
      <c r="AR738">
        <v>23.649474767029186</v>
      </c>
      <c r="AS738">
        <v>245.12133889168794</v>
      </c>
      <c r="AT738">
        <v>12.900168190123473</v>
      </c>
      <c r="AU738">
        <v>37.764431286924342</v>
      </c>
      <c r="AV738"/>
      <c r="AW738"/>
      <c r="FY738" s="213">
        <v>733</v>
      </c>
      <c r="FZ738">
        <v>36.762790973597312</v>
      </c>
      <c r="GA738">
        <v>51.174148247689907</v>
      </c>
      <c r="GB738">
        <v>16.177958278877316</v>
      </c>
      <c r="GC738">
        <v>7.4865472676902156</v>
      </c>
      <c r="GD738">
        <v>5.7187666138430142</v>
      </c>
      <c r="GE738">
        <v>8.5481927447615185</v>
      </c>
      <c r="GF738">
        <v>20.039157565748699</v>
      </c>
      <c r="GG738">
        <v>11.28822736557991</v>
      </c>
      <c r="GH738">
        <v>12.544956732999673</v>
      </c>
      <c r="GI738">
        <v>19.000829679981326</v>
      </c>
      <c r="GJ738"/>
      <c r="GK738"/>
      <c r="GL738"/>
      <c r="GM738"/>
      <c r="GN738" s="208"/>
      <c r="GO738" s="208"/>
      <c r="GP738" s="208"/>
      <c r="GQ738" s="208"/>
      <c r="GR738" s="208"/>
      <c r="GS738" s="208"/>
      <c r="GT738" s="208"/>
      <c r="GU738" s="213">
        <v>733</v>
      </c>
    </row>
    <row r="739" spans="1:203" s="7" customFormat="1">
      <c r="A739" s="4"/>
      <c r="B739" s="4"/>
      <c r="C739" s="105"/>
      <c r="D739" s="4"/>
      <c r="E739" s="4"/>
      <c r="F739" s="28"/>
      <c r="G739" s="28"/>
      <c r="H739" s="83"/>
      <c r="I739" s="4"/>
      <c r="J739" s="4"/>
      <c r="K739" s="4"/>
      <c r="L739" s="4"/>
      <c r="M739" s="4"/>
      <c r="N739" s="28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  <c r="AA739" s="4"/>
      <c r="AB739" s="4"/>
      <c r="AC739" s="4"/>
      <c r="AD739" s="4"/>
      <c r="AE739" s="4"/>
      <c r="AF739" s="81"/>
      <c r="AG739" s="81"/>
      <c r="AH739" s="81"/>
      <c r="AI739" s="4"/>
      <c r="AJ739" s="81"/>
      <c r="AK739" s="81"/>
      <c r="AL739" s="81"/>
      <c r="AM739" s="43">
        <v>723</v>
      </c>
      <c r="AN739">
        <v>316.04445101682393</v>
      </c>
      <c r="AO739">
        <v>33.942227048817621</v>
      </c>
      <c r="AP739">
        <v>77.983430278595222</v>
      </c>
      <c r="AQ739">
        <v>242.10045080484826</v>
      </c>
      <c r="AR739">
        <v>35.192857397873837</v>
      </c>
      <c r="AS739">
        <v>289.8732305644333</v>
      </c>
      <c r="AT739">
        <v>12.641428213633487</v>
      </c>
      <c r="AU739">
        <v>-28.193438671443136</v>
      </c>
      <c r="AV739"/>
      <c r="AW739"/>
      <c r="FY739" s="213">
        <v>734</v>
      </c>
      <c r="FZ739">
        <v>34.911853700678208</v>
      </c>
      <c r="GA739">
        <v>27.598281619167842</v>
      </c>
      <c r="GB739">
        <v>4.7566970274348277</v>
      </c>
      <c r="GC739">
        <v>4.504049627121165</v>
      </c>
      <c r="GD739">
        <v>3.4184177005260379</v>
      </c>
      <c r="GE739">
        <v>4.3009708091673744</v>
      </c>
      <c r="GF739">
        <v>17.984376662716627</v>
      </c>
      <c r="GG739">
        <v>17.145275807608662</v>
      </c>
      <c r="GH739">
        <v>14.153839303304284</v>
      </c>
      <c r="GI739">
        <v>13.837830114837944</v>
      </c>
      <c r="GJ739"/>
      <c r="GK739"/>
      <c r="GL739"/>
      <c r="GM739"/>
      <c r="GN739" s="208"/>
      <c r="GO739" s="208"/>
      <c r="GP739" s="208"/>
      <c r="GQ739" s="208"/>
      <c r="GR739" s="208"/>
      <c r="GS739" s="208"/>
      <c r="GT739" s="208"/>
      <c r="GU739" s="213">
        <v>734</v>
      </c>
    </row>
    <row r="740" spans="1:203" s="7" customFormat="1">
      <c r="A740" s="4"/>
      <c r="B740" s="4"/>
      <c r="C740" s="105"/>
      <c r="D740" s="4"/>
      <c r="E740" s="4"/>
      <c r="F740" s="28"/>
      <c r="G740" s="28"/>
      <c r="H740" s="83"/>
      <c r="I740" s="4"/>
      <c r="J740" s="4"/>
      <c r="K740" s="4"/>
      <c r="L740" s="4"/>
      <c r="M740" s="4"/>
      <c r="N740" s="28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4"/>
      <c r="AB740" s="4"/>
      <c r="AC740" s="4"/>
      <c r="AD740" s="4"/>
      <c r="AE740" s="4"/>
      <c r="AF740" s="81"/>
      <c r="AG740" s="81"/>
      <c r="AH740" s="81"/>
      <c r="AI740" s="4"/>
      <c r="AJ740" s="81"/>
      <c r="AK740" s="81"/>
      <c r="AL740" s="81"/>
      <c r="AM740" s="43">
        <v>724</v>
      </c>
      <c r="AN740">
        <v>288.96529801730219</v>
      </c>
      <c r="AO740">
        <v>29.989121383738631</v>
      </c>
      <c r="AP740">
        <v>66.968602894415241</v>
      </c>
      <c r="AQ740">
        <v>217.16977533400188</v>
      </c>
      <c r="AR740">
        <v>31.409887991204855</v>
      </c>
      <c r="AS740">
        <v>247.87818397353183</v>
      </c>
      <c r="AT740">
        <v>13.125726490699671</v>
      </c>
      <c r="AU740">
        <v>-3.7472424616681437</v>
      </c>
      <c r="AV740"/>
      <c r="AW740"/>
      <c r="FY740" s="213">
        <v>735</v>
      </c>
      <c r="FZ740">
        <v>50.445969256509706</v>
      </c>
      <c r="GA740">
        <v>40.254223896478756</v>
      </c>
      <c r="GB740">
        <v>7.7662826842888339</v>
      </c>
      <c r="GC740">
        <v>4.8726293816115627</v>
      </c>
      <c r="GD740">
        <v>3.7744837446058481</v>
      </c>
      <c r="GE740">
        <v>4.4974488043193377</v>
      </c>
      <c r="GF740">
        <v>30.769182762397911</v>
      </c>
      <c r="GG740">
        <v>27.367393181399287</v>
      </c>
      <c r="GH740">
        <v>7.5375808610582453</v>
      </c>
      <c r="GI740">
        <v>18.488108472590909</v>
      </c>
      <c r="GJ740"/>
      <c r="GK740"/>
      <c r="GL740"/>
      <c r="GM740"/>
      <c r="GN740" s="208"/>
      <c r="GO740" s="208"/>
      <c r="GP740" s="208"/>
      <c r="GQ740" s="208"/>
      <c r="GR740" s="208"/>
      <c r="GS740" s="208"/>
      <c r="GT740" s="208"/>
      <c r="GU740" s="213">
        <v>735</v>
      </c>
    </row>
    <row r="741" spans="1:203" s="7" customFormat="1">
      <c r="A741" s="4"/>
      <c r="B741" s="4"/>
      <c r="C741" s="105"/>
      <c r="D741" s="4"/>
      <c r="E741" s="4"/>
      <c r="F741" s="28"/>
      <c r="G741" s="28"/>
      <c r="H741" s="83"/>
      <c r="I741" s="4"/>
      <c r="J741" s="4"/>
      <c r="K741" s="4"/>
      <c r="L741" s="4"/>
      <c r="M741" s="4"/>
      <c r="N741" s="28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  <c r="AA741" s="4"/>
      <c r="AB741" s="4"/>
      <c r="AC741" s="4"/>
      <c r="AD741" s="4"/>
      <c r="AE741" s="4"/>
      <c r="AF741" s="81"/>
      <c r="AG741" s="81"/>
      <c r="AH741" s="81"/>
      <c r="AI741" s="4"/>
      <c r="AJ741" s="81"/>
      <c r="AK741" s="81"/>
      <c r="AL741" s="81"/>
      <c r="AM741" s="43">
        <v>725</v>
      </c>
      <c r="AN741">
        <v>374.50313739028763</v>
      </c>
      <c r="AO741">
        <v>31.399431958270117</v>
      </c>
      <c r="AP741">
        <v>86.950484567482277</v>
      </c>
      <c r="AQ741">
        <v>223.29467504694011</v>
      </c>
      <c r="AR741">
        <v>33.964714979633172</v>
      </c>
      <c r="AS741">
        <v>293.17231135240138</v>
      </c>
      <c r="AT741">
        <v>15.150633318180111</v>
      </c>
      <c r="AU741">
        <v>51.8503365578933</v>
      </c>
      <c r="AV741"/>
      <c r="AW741"/>
      <c r="FY741" s="213">
        <v>736</v>
      </c>
      <c r="FZ741">
        <v>60.208390615642941</v>
      </c>
      <c r="GA741">
        <v>64.049647920590829</v>
      </c>
      <c r="GB741">
        <v>8.1281312371338643</v>
      </c>
      <c r="GC741">
        <v>7.1141406903871305</v>
      </c>
      <c r="GD741">
        <v>6.8165242276489888</v>
      </c>
      <c r="GE741">
        <v>6.8109426029035216</v>
      </c>
      <c r="GF741">
        <v>17.575948339679034</v>
      </c>
      <c r="GG741">
        <v>14.784252091571853</v>
      </c>
      <c r="GH741">
        <v>11.873519074611805</v>
      </c>
      <c r="GI741">
        <v>20.131044374571477</v>
      </c>
      <c r="GJ741"/>
      <c r="GK741"/>
      <c r="GL741"/>
      <c r="GM741"/>
      <c r="GN741" s="208"/>
      <c r="GO741" s="208"/>
      <c r="GP741" s="208"/>
      <c r="GQ741" s="208"/>
      <c r="GR741" s="208"/>
      <c r="GS741" s="208"/>
      <c r="GT741" s="208"/>
      <c r="GU741" s="213">
        <v>736</v>
      </c>
    </row>
    <row r="742" spans="1:203" s="7" customFormat="1">
      <c r="A742" s="4"/>
      <c r="B742" s="4"/>
      <c r="C742" s="105"/>
      <c r="D742" s="4"/>
      <c r="E742" s="4"/>
      <c r="F742" s="28"/>
      <c r="G742" s="28"/>
      <c r="H742" s="83"/>
      <c r="I742" s="4"/>
      <c r="J742" s="4"/>
      <c r="K742" s="4"/>
      <c r="L742" s="4"/>
      <c r="M742" s="4"/>
      <c r="N742" s="28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4"/>
      <c r="AB742" s="4"/>
      <c r="AC742" s="4"/>
      <c r="AD742" s="4"/>
      <c r="AE742" s="4"/>
      <c r="AF742" s="81"/>
      <c r="AG742" s="81"/>
      <c r="AH742" s="81"/>
      <c r="AI742" s="4"/>
      <c r="AJ742" s="81"/>
      <c r="AK742" s="81"/>
      <c r="AL742" s="81"/>
      <c r="AM742" s="43">
        <v>726</v>
      </c>
      <c r="AN742">
        <v>330.20251628093689</v>
      </c>
      <c r="AO742">
        <v>25.405124122137487</v>
      </c>
      <c r="AP742">
        <v>83.217036925245196</v>
      </c>
      <c r="AQ742">
        <v>175.87382661180229</v>
      </c>
      <c r="AR742">
        <v>26.098018390198824</v>
      </c>
      <c r="AS742">
        <v>250.25788260630793</v>
      </c>
      <c r="AT742">
        <v>11.355647118428168</v>
      </c>
      <c r="AU742">
        <v>26.053412755883226</v>
      </c>
      <c r="AV742"/>
      <c r="AW742"/>
      <c r="FY742" s="213">
        <v>737</v>
      </c>
      <c r="FZ742">
        <v>35.373715275164436</v>
      </c>
      <c r="GA742">
        <v>12.092895531431765</v>
      </c>
      <c r="GB742">
        <v>4.3322581126811688</v>
      </c>
      <c r="GC742">
        <v>3.8893785630076341</v>
      </c>
      <c r="GD742">
        <v>3.0242767470980247</v>
      </c>
      <c r="GE742">
        <v>3.0800714509738896</v>
      </c>
      <c r="GF742">
        <v>13.294101637952476</v>
      </c>
      <c r="GG742">
        <v>12.383289291192316</v>
      </c>
      <c r="GH742">
        <v>9.4751636075780059</v>
      </c>
      <c r="GI742">
        <v>11.852781645846884</v>
      </c>
      <c r="GJ742"/>
      <c r="GK742"/>
      <c r="GL742"/>
      <c r="GM742"/>
      <c r="GN742" s="208"/>
      <c r="GO742" s="208"/>
      <c r="GP742" s="208"/>
      <c r="GQ742" s="208"/>
      <c r="GR742" s="208"/>
      <c r="GS742" s="208"/>
      <c r="GT742" s="208"/>
      <c r="GU742" s="213">
        <v>737</v>
      </c>
    </row>
    <row r="743" spans="1:203" s="7" customFormat="1">
      <c r="A743" s="4"/>
      <c r="B743" s="4"/>
      <c r="C743" s="105"/>
      <c r="D743" s="4"/>
      <c r="E743" s="4"/>
      <c r="F743" s="28"/>
      <c r="G743" s="28"/>
      <c r="H743" s="83"/>
      <c r="I743" s="4"/>
      <c r="J743" s="4"/>
      <c r="K743" s="4"/>
      <c r="L743" s="4"/>
      <c r="M743" s="4"/>
      <c r="N743" s="28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  <c r="AA743" s="4"/>
      <c r="AB743" s="4"/>
      <c r="AC743" s="4"/>
      <c r="AD743" s="4"/>
      <c r="AE743" s="4"/>
      <c r="AF743" s="81"/>
      <c r="AG743" s="81"/>
      <c r="AH743" s="81"/>
      <c r="AI743" s="4"/>
      <c r="AJ743" s="81"/>
      <c r="AK743" s="81"/>
      <c r="AL743" s="81"/>
      <c r="AM743" s="43">
        <v>727</v>
      </c>
      <c r="AN743">
        <v>285.45230242273982</v>
      </c>
      <c r="AO743">
        <v>19.08717516666929</v>
      </c>
      <c r="AP743">
        <v>78.550893729329459</v>
      </c>
      <c r="AQ743">
        <v>134.52652245797867</v>
      </c>
      <c r="AR743">
        <v>20.804717240928404</v>
      </c>
      <c r="AS743">
        <v>225.16397651447096</v>
      </c>
      <c r="AT743">
        <v>10.086711767322607</v>
      </c>
      <c r="AU743">
        <v>41.510657692184822</v>
      </c>
      <c r="AV743"/>
      <c r="AW743"/>
      <c r="FY743" s="213">
        <v>738</v>
      </c>
      <c r="FZ743">
        <v>52.264810543286785</v>
      </c>
      <c r="GA743">
        <v>62.302014828830174</v>
      </c>
      <c r="GB743">
        <v>16.706610266078783</v>
      </c>
      <c r="GC743">
        <v>6.192572296118886</v>
      </c>
      <c r="GD743">
        <v>5.7534389625987474</v>
      </c>
      <c r="GE743">
        <v>5.7130333944331015</v>
      </c>
      <c r="GF743">
        <v>6.007985676314302</v>
      </c>
      <c r="GG743">
        <v>6.7155670583649867</v>
      </c>
      <c r="GH743">
        <v>12.24901809313495</v>
      </c>
      <c r="GI743">
        <v>18.797278912203975</v>
      </c>
      <c r="GJ743"/>
      <c r="GK743"/>
      <c r="GL743"/>
      <c r="GM743"/>
      <c r="GN743" s="208"/>
      <c r="GO743" s="208"/>
      <c r="GP743" s="208"/>
      <c r="GQ743" s="208"/>
      <c r="GR743" s="208"/>
      <c r="GS743" s="208"/>
      <c r="GT743" s="208"/>
      <c r="GU743" s="213">
        <v>738</v>
      </c>
    </row>
    <row r="744" spans="1:203" s="7" customFormat="1">
      <c r="A744" s="4"/>
      <c r="B744" s="4"/>
      <c r="C744" s="105"/>
      <c r="D744" s="4"/>
      <c r="E744" s="4"/>
      <c r="F744" s="28"/>
      <c r="G744" s="28"/>
      <c r="H744" s="83"/>
      <c r="I744" s="4"/>
      <c r="J744" s="4"/>
      <c r="K744" s="4"/>
      <c r="L744" s="4"/>
      <c r="M744" s="4"/>
      <c r="N744" s="28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4"/>
      <c r="AB744" s="4"/>
      <c r="AC744" s="4"/>
      <c r="AD744" s="4"/>
      <c r="AE744" s="4"/>
      <c r="AF744" s="81"/>
      <c r="AG744" s="81"/>
      <c r="AH744" s="81"/>
      <c r="AI744" s="4"/>
      <c r="AJ744" s="81"/>
      <c r="AK744" s="81"/>
      <c r="AL744" s="81"/>
      <c r="AM744" s="43">
        <v>728</v>
      </c>
      <c r="AN744">
        <v>281.49435755320303</v>
      </c>
      <c r="AO744">
        <v>24.956848990529245</v>
      </c>
      <c r="AP744">
        <v>120.85147865935177</v>
      </c>
      <c r="AQ744">
        <v>189.56915151304787</v>
      </c>
      <c r="AR744">
        <v>25.703341369369053</v>
      </c>
      <c r="AS744">
        <v>226.41073361468318</v>
      </c>
      <c r="AT744">
        <v>12.508468219057043</v>
      </c>
      <c r="AU744">
        <v>43.684461085956777</v>
      </c>
      <c r="AV744"/>
      <c r="AW744"/>
      <c r="FY744" s="213">
        <v>739</v>
      </c>
      <c r="FZ744">
        <v>58.198911246627638</v>
      </c>
      <c r="GA744">
        <v>77.242493368471429</v>
      </c>
      <c r="GB744">
        <v>13.463043941560867</v>
      </c>
      <c r="GC744">
        <v>4.2017347759051615</v>
      </c>
      <c r="GD744">
        <v>3.8931882303905692</v>
      </c>
      <c r="GE744">
        <v>4.8618652687185389</v>
      </c>
      <c r="GF744">
        <v>11.711273677268247</v>
      </c>
      <c r="GG744">
        <v>13.379545129096318</v>
      </c>
      <c r="GH744">
        <v>24.075361545061668</v>
      </c>
      <c r="GI744">
        <v>20.652955053230297</v>
      </c>
      <c r="GJ744"/>
      <c r="GK744"/>
      <c r="GL744"/>
      <c r="GM744"/>
      <c r="GN744" s="208"/>
      <c r="GO744" s="208"/>
      <c r="GP744" s="208"/>
      <c r="GQ744" s="208"/>
      <c r="GR744" s="208"/>
      <c r="GS744" s="208"/>
      <c r="GT744" s="208"/>
      <c r="GU744" s="213">
        <v>739</v>
      </c>
    </row>
    <row r="745" spans="1:203" s="7" customFormat="1">
      <c r="A745" s="4"/>
      <c r="B745" s="4"/>
      <c r="C745" s="105"/>
      <c r="D745" s="4"/>
      <c r="E745" s="4"/>
      <c r="F745" s="28"/>
      <c r="G745" s="28"/>
      <c r="H745" s="83"/>
      <c r="I745" s="4"/>
      <c r="J745" s="4"/>
      <c r="K745" s="4"/>
      <c r="L745" s="4"/>
      <c r="M745" s="4"/>
      <c r="N745" s="28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  <c r="AA745" s="4"/>
      <c r="AB745" s="4"/>
      <c r="AC745" s="4"/>
      <c r="AD745" s="4"/>
      <c r="AE745" s="4"/>
      <c r="AF745" s="81"/>
      <c r="AG745" s="81"/>
      <c r="AH745" s="81"/>
      <c r="AI745" s="4"/>
      <c r="AJ745" s="81"/>
      <c r="AK745" s="81"/>
      <c r="AL745" s="81"/>
      <c r="AM745" s="43">
        <v>729</v>
      </c>
      <c r="AN745">
        <v>363.22886888889923</v>
      </c>
      <c r="AO745">
        <v>26.875645073138735</v>
      </c>
      <c r="AP745">
        <v>139.01999689550689</v>
      </c>
      <c r="AQ745">
        <v>200.1140721434007</v>
      </c>
      <c r="AR745">
        <v>26.849055124090238</v>
      </c>
      <c r="AS745">
        <v>285.28773007673567</v>
      </c>
      <c r="AT745">
        <v>14.071118396032951</v>
      </c>
      <c r="AU745">
        <v>33.285449607554014</v>
      </c>
      <c r="AV745"/>
      <c r="AW745"/>
      <c r="FY745" s="213">
        <v>740</v>
      </c>
      <c r="FZ745">
        <v>54.908385222958429</v>
      </c>
      <c r="GA745">
        <v>54.311090117621525</v>
      </c>
      <c r="GB745">
        <v>6.2158855032096252</v>
      </c>
      <c r="GC745">
        <v>5.6991178144639481</v>
      </c>
      <c r="GD745">
        <v>4.6764236222240081</v>
      </c>
      <c r="GE745">
        <v>4.4828768135758379</v>
      </c>
      <c r="GF745">
        <v>17.216258102066735</v>
      </c>
      <c r="GG745">
        <v>14.546484062795185</v>
      </c>
      <c r="GH745">
        <v>10.450659841855115</v>
      </c>
      <c r="GI745">
        <v>17.310325357478646</v>
      </c>
      <c r="GJ745"/>
      <c r="GK745"/>
      <c r="GL745"/>
      <c r="GM745"/>
      <c r="GN745" s="208"/>
      <c r="GO745" s="208"/>
      <c r="GP745" s="208"/>
      <c r="GQ745" s="208"/>
      <c r="GR745" s="208"/>
      <c r="GS745" s="208"/>
      <c r="GT745" s="208"/>
      <c r="GU745" s="213">
        <v>740</v>
      </c>
    </row>
    <row r="746" spans="1:203" s="7" customFormat="1">
      <c r="A746" s="4"/>
      <c r="B746" s="4"/>
      <c r="C746" s="105"/>
      <c r="D746" s="4"/>
      <c r="E746" s="4"/>
      <c r="F746" s="28"/>
      <c r="G746" s="28"/>
      <c r="H746" s="83"/>
      <c r="I746" s="4"/>
      <c r="J746" s="4"/>
      <c r="K746" s="4"/>
      <c r="L746" s="4"/>
      <c r="M746" s="4"/>
      <c r="N746" s="28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4"/>
      <c r="AB746" s="4"/>
      <c r="AC746" s="4"/>
      <c r="AD746" s="4"/>
      <c r="AE746" s="4"/>
      <c r="AF746" s="81"/>
      <c r="AG746" s="81"/>
      <c r="AH746" s="81"/>
      <c r="AI746" s="4"/>
      <c r="AJ746" s="81"/>
      <c r="AK746" s="81"/>
      <c r="AL746" s="81"/>
      <c r="AM746" s="43">
        <v>730</v>
      </c>
      <c r="AN746">
        <v>294.87203010140848</v>
      </c>
      <c r="AO746">
        <v>26.868988254341513</v>
      </c>
      <c r="AP746">
        <v>149.93025076471403</v>
      </c>
      <c r="AQ746">
        <v>213.51433924298331</v>
      </c>
      <c r="AR746">
        <v>25.687312594573893</v>
      </c>
      <c r="AS746">
        <v>248.32363639859224</v>
      </c>
      <c r="AT746">
        <v>14.332341129673301</v>
      </c>
      <c r="AU746">
        <v>64.728204255137555</v>
      </c>
      <c r="AV746"/>
      <c r="AW746"/>
      <c r="FY746" s="213">
        <v>741</v>
      </c>
      <c r="FZ746">
        <v>48.741166213721073</v>
      </c>
      <c r="GA746">
        <v>65.408762928139268</v>
      </c>
      <c r="GB746">
        <v>16.517448997262754</v>
      </c>
      <c r="GC746">
        <v>8.8259402392943667</v>
      </c>
      <c r="GD746">
        <v>7.5750479812680291</v>
      </c>
      <c r="GE746">
        <v>4.0123876222911541</v>
      </c>
      <c r="GF746">
        <v>8.669048287063557</v>
      </c>
      <c r="GG746">
        <v>9.5941837378263148</v>
      </c>
      <c r="GH746">
        <v>10.47503124408893</v>
      </c>
      <c r="GI746">
        <v>19.57078135575081</v>
      </c>
      <c r="GJ746"/>
      <c r="GK746"/>
      <c r="GL746"/>
      <c r="GM746"/>
      <c r="GN746" s="208"/>
      <c r="GO746" s="208"/>
      <c r="GP746" s="208"/>
      <c r="GQ746" s="208"/>
      <c r="GR746" s="208"/>
      <c r="GS746" s="208"/>
      <c r="GT746" s="208"/>
      <c r="GU746" s="213">
        <v>741</v>
      </c>
    </row>
    <row r="747" spans="1:203" s="7" customFormat="1">
      <c r="A747" s="4"/>
      <c r="B747" s="4"/>
      <c r="C747" s="105"/>
      <c r="D747" s="4"/>
      <c r="E747" s="4"/>
      <c r="F747" s="28"/>
      <c r="G747" s="28"/>
      <c r="H747" s="83"/>
      <c r="I747" s="4"/>
      <c r="J747" s="4"/>
      <c r="K747" s="4"/>
      <c r="L747" s="4"/>
      <c r="M747" s="4"/>
      <c r="N747" s="28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  <c r="AA747" s="4"/>
      <c r="AB747" s="4"/>
      <c r="AC747" s="4"/>
      <c r="AD747" s="4"/>
      <c r="AE747" s="4"/>
      <c r="AF747" s="81"/>
      <c r="AG747" s="81"/>
      <c r="AH747" s="81"/>
      <c r="AI747" s="4"/>
      <c r="AJ747" s="81"/>
      <c r="AK747" s="81"/>
      <c r="AL747" s="81"/>
      <c r="AM747" s="43">
        <v>731</v>
      </c>
      <c r="AN747">
        <v>253.94881139038262</v>
      </c>
      <c r="AO747">
        <v>23.288634636058543</v>
      </c>
      <c r="AP747">
        <v>83.625051685924547</v>
      </c>
      <c r="AQ747">
        <v>168.63621954106839</v>
      </c>
      <c r="AR747">
        <v>23.716911438596128</v>
      </c>
      <c r="AS747">
        <v>217.45660357731703</v>
      </c>
      <c r="AT747">
        <v>11.916054203214493</v>
      </c>
      <c r="AU747">
        <v>11.892219827373793</v>
      </c>
      <c r="AV747"/>
      <c r="AW747"/>
      <c r="FY747" s="213">
        <v>742</v>
      </c>
      <c r="FZ747">
        <v>43.356930003885353</v>
      </c>
      <c r="GA747">
        <v>57.204696720496884</v>
      </c>
      <c r="GB747">
        <v>12.067720594203706</v>
      </c>
      <c r="GC747">
        <v>6.5265768498805485</v>
      </c>
      <c r="GD747">
        <v>5.0153645981161281</v>
      </c>
      <c r="GE747">
        <v>3.3554172262098678</v>
      </c>
      <c r="GF747">
        <v>9.0605480721782783</v>
      </c>
      <c r="GG747">
        <v>9.3412260713603743</v>
      </c>
      <c r="GH747">
        <v>12.217082756038117</v>
      </c>
      <c r="GI747">
        <v>16.334272792613021</v>
      </c>
      <c r="GJ747"/>
      <c r="GK747"/>
      <c r="GL747"/>
      <c r="GM747"/>
      <c r="GN747" s="208"/>
      <c r="GO747" s="208"/>
      <c r="GP747" s="208"/>
      <c r="GQ747" s="208"/>
      <c r="GR747" s="208"/>
      <c r="GS747" s="208"/>
      <c r="GT747" s="208"/>
      <c r="GU747" s="213">
        <v>742</v>
      </c>
    </row>
    <row r="748" spans="1:203" s="7" customFormat="1">
      <c r="A748" s="4"/>
      <c r="B748" s="4"/>
      <c r="C748" s="105"/>
      <c r="D748" s="4"/>
      <c r="E748" s="4"/>
      <c r="F748" s="28"/>
      <c r="G748" s="28"/>
      <c r="H748" s="83"/>
      <c r="I748" s="4"/>
      <c r="J748" s="4"/>
      <c r="K748" s="4"/>
      <c r="L748" s="4"/>
      <c r="M748" s="4"/>
      <c r="N748" s="28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4"/>
      <c r="AB748" s="4"/>
      <c r="AC748" s="4"/>
      <c r="AD748" s="4"/>
      <c r="AE748" s="4"/>
      <c r="AF748" s="81"/>
      <c r="AG748" s="81"/>
      <c r="AH748" s="81"/>
      <c r="AI748" s="4"/>
      <c r="AJ748" s="81"/>
      <c r="AK748" s="81"/>
      <c r="AL748" s="81"/>
      <c r="AM748" s="43">
        <v>732</v>
      </c>
      <c r="AN748">
        <v>295.08346049663436</v>
      </c>
      <c r="AO748">
        <v>24.540161947003345</v>
      </c>
      <c r="AP748">
        <v>97.373604992789097</v>
      </c>
      <c r="AQ748">
        <v>187.51597748914412</v>
      </c>
      <c r="AR748">
        <v>25.840249618091594</v>
      </c>
      <c r="AS748">
        <v>239.84807618648003</v>
      </c>
      <c r="AT748">
        <v>13.183116992735016</v>
      </c>
      <c r="AU748">
        <v>40.078569858776696</v>
      </c>
      <c r="AV748"/>
      <c r="AW748"/>
      <c r="FY748" s="213">
        <v>743</v>
      </c>
      <c r="FZ748">
        <v>35.224853954071968</v>
      </c>
      <c r="GA748">
        <v>56.509871716120394</v>
      </c>
      <c r="GB748">
        <v>14.45466872032298</v>
      </c>
      <c r="GC748">
        <v>5.8374439412520465</v>
      </c>
      <c r="GD748">
        <v>4.6206268576179967</v>
      </c>
      <c r="GE748">
        <v>3.6012619744503112</v>
      </c>
      <c r="GF748">
        <v>24.179438196919396</v>
      </c>
      <c r="GG748">
        <v>24.611451754925884</v>
      </c>
      <c r="GH748">
        <v>19.233619261374724</v>
      </c>
      <c r="GI748">
        <v>19.464334439793841</v>
      </c>
      <c r="GJ748"/>
      <c r="GK748"/>
      <c r="GL748"/>
      <c r="GM748"/>
      <c r="GN748" s="208"/>
      <c r="GO748" s="208"/>
      <c r="GP748" s="208"/>
      <c r="GQ748" s="208"/>
      <c r="GR748" s="208"/>
      <c r="GS748" s="208"/>
      <c r="GT748" s="208"/>
      <c r="GU748" s="213">
        <v>743</v>
      </c>
    </row>
    <row r="749" spans="1:203" s="7" customFormat="1">
      <c r="A749" s="4"/>
      <c r="B749" s="4"/>
      <c r="C749" s="105"/>
      <c r="D749" s="4"/>
      <c r="E749" s="4"/>
      <c r="F749" s="28"/>
      <c r="G749" s="28"/>
      <c r="H749" s="83"/>
      <c r="I749" s="4"/>
      <c r="J749" s="4"/>
      <c r="K749" s="4"/>
      <c r="L749" s="4"/>
      <c r="M749" s="4"/>
      <c r="N749" s="28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  <c r="AA749" s="4"/>
      <c r="AB749" s="4"/>
      <c r="AC749" s="4"/>
      <c r="AD749" s="4"/>
      <c r="AE749" s="4"/>
      <c r="AF749" s="81"/>
      <c r="AG749" s="81"/>
      <c r="AH749" s="81"/>
      <c r="AI749" s="4"/>
      <c r="AJ749" s="81"/>
      <c r="AK749" s="81"/>
      <c r="AL749" s="81"/>
      <c r="AM749" s="43">
        <v>733</v>
      </c>
      <c r="AN749">
        <v>371.47173817052737</v>
      </c>
      <c r="AO749">
        <v>27.787446915392128</v>
      </c>
      <c r="AP749">
        <v>103.90486518481902</v>
      </c>
      <c r="AQ749">
        <v>188.74157547076891</v>
      </c>
      <c r="AR749">
        <v>28.419508246168412</v>
      </c>
      <c r="AS749">
        <v>259.89406147139641</v>
      </c>
      <c r="AT749">
        <v>12.374303004876117</v>
      </c>
      <c r="AU749">
        <v>-17.892255766110132</v>
      </c>
      <c r="AV749"/>
      <c r="AW749"/>
      <c r="FY749" s="213">
        <v>744</v>
      </c>
      <c r="FZ749">
        <v>26.285454510905691</v>
      </c>
      <c r="GA749">
        <v>24.457301706710929</v>
      </c>
      <c r="GB749">
        <v>7.2859780025374956</v>
      </c>
      <c r="GC749">
        <v>6.4691498624887052</v>
      </c>
      <c r="GD749">
        <v>5.8265157556149312</v>
      </c>
      <c r="GE749">
        <v>6.6434280830813286</v>
      </c>
      <c r="GF749">
        <v>25.332917312697514</v>
      </c>
      <c r="GG749">
        <v>21.061674138385506</v>
      </c>
      <c r="GH749">
        <v>13.409629785237438</v>
      </c>
      <c r="GI749">
        <v>16.004579635275846</v>
      </c>
      <c r="GJ749"/>
      <c r="GK749"/>
      <c r="GL749"/>
      <c r="GM749"/>
      <c r="GN749" s="208"/>
      <c r="GO749" s="208"/>
      <c r="GP749" s="208"/>
      <c r="GQ749" s="208"/>
      <c r="GR749" s="208"/>
      <c r="GS749" s="208"/>
      <c r="GT749" s="208"/>
      <c r="GU749" s="213">
        <v>744</v>
      </c>
    </row>
    <row r="750" spans="1:203" s="7" customFormat="1">
      <c r="A750" s="4"/>
      <c r="B750" s="4"/>
      <c r="C750" s="105"/>
      <c r="D750" s="4"/>
      <c r="E750" s="4"/>
      <c r="F750" s="28"/>
      <c r="G750" s="28"/>
      <c r="H750" s="83"/>
      <c r="I750" s="4"/>
      <c r="J750" s="4"/>
      <c r="K750" s="4"/>
      <c r="L750" s="4"/>
      <c r="M750" s="4"/>
      <c r="N750" s="28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81"/>
      <c r="AG750" s="81"/>
      <c r="AH750" s="81"/>
      <c r="AI750" s="4"/>
      <c r="AJ750" s="81"/>
      <c r="AK750" s="81"/>
      <c r="AL750" s="81"/>
      <c r="AM750" s="43">
        <v>734</v>
      </c>
      <c r="AN750">
        <v>277.11076481625679</v>
      </c>
      <c r="AO750">
        <v>18.90325505675245</v>
      </c>
      <c r="AP750">
        <v>69.872566176533439</v>
      </c>
      <c r="AQ750">
        <v>142.61159237256297</v>
      </c>
      <c r="AR750">
        <v>19.608099487111389</v>
      </c>
      <c r="AS750">
        <v>205.1128048294909</v>
      </c>
      <c r="AT750">
        <v>10.039019361764911</v>
      </c>
      <c r="AU750">
        <v>27.055902467953736</v>
      </c>
      <c r="AV750"/>
      <c r="AW750"/>
      <c r="FY750" s="213">
        <v>745</v>
      </c>
      <c r="FZ750">
        <v>46.206940758875668</v>
      </c>
      <c r="GA750">
        <v>59.509710778331851</v>
      </c>
      <c r="GB750">
        <v>11.909115641243037</v>
      </c>
      <c r="GC750">
        <v>6.8448582584952957</v>
      </c>
      <c r="GD750">
        <v>5.2981209248671233</v>
      </c>
      <c r="GE750">
        <v>4.2024785472548709</v>
      </c>
      <c r="GF750">
        <v>13.001758677084041</v>
      </c>
      <c r="GG750">
        <v>13.326328903482445</v>
      </c>
      <c r="GH750">
        <v>14.681137085045689</v>
      </c>
      <c r="GI750">
        <v>17.901605217564256</v>
      </c>
      <c r="GJ750"/>
      <c r="GK750"/>
      <c r="GL750"/>
      <c r="GM750"/>
      <c r="GN750" s="208"/>
      <c r="GO750" s="208"/>
      <c r="GP750" s="208"/>
      <c r="GQ750" s="208"/>
      <c r="GR750" s="208"/>
      <c r="GS750" s="208"/>
      <c r="GT750" s="208"/>
      <c r="GU750" s="213">
        <v>745</v>
      </c>
    </row>
    <row r="751" spans="1:203" s="7" customFormat="1">
      <c r="A751" s="4"/>
      <c r="B751" s="4"/>
      <c r="C751" s="105"/>
      <c r="D751" s="4"/>
      <c r="E751" s="4"/>
      <c r="F751" s="28"/>
      <c r="G751" s="28"/>
      <c r="H751" s="83"/>
      <c r="I751" s="4"/>
      <c r="J751" s="4"/>
      <c r="K751" s="4"/>
      <c r="L751" s="4"/>
      <c r="M751" s="4"/>
      <c r="N751" s="28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81"/>
      <c r="AG751" s="81"/>
      <c r="AH751" s="81"/>
      <c r="AI751" s="4"/>
      <c r="AJ751" s="81"/>
      <c r="AK751" s="81"/>
      <c r="AL751" s="81"/>
      <c r="AM751" s="43">
        <v>735</v>
      </c>
      <c r="AN751">
        <v>323.54838377100117</v>
      </c>
      <c r="AO751">
        <v>26.316313194841978</v>
      </c>
      <c r="AP751">
        <v>65.104601033020529</v>
      </c>
      <c r="AQ751">
        <v>195.77330304526038</v>
      </c>
      <c r="AR751">
        <v>26.986510232815903</v>
      </c>
      <c r="AS751">
        <v>257.71743661451751</v>
      </c>
      <c r="AT751">
        <v>13.68977177733367</v>
      </c>
      <c r="AU751">
        <v>71.79768778308582</v>
      </c>
      <c r="AV751"/>
      <c r="AW751"/>
      <c r="FY751" s="213">
        <v>746</v>
      </c>
      <c r="FZ751">
        <v>43.414905676352809</v>
      </c>
      <c r="GA751">
        <v>39.985262194108415</v>
      </c>
      <c r="GB751">
        <v>13.399923735242009</v>
      </c>
      <c r="GC751">
        <v>7.3875358785539733</v>
      </c>
      <c r="GD751">
        <v>5.1791756064309382</v>
      </c>
      <c r="GE751">
        <v>2.9415696886024323</v>
      </c>
      <c r="GF751">
        <v>11.987111330414065</v>
      </c>
      <c r="GG751">
        <v>12.441416741868125</v>
      </c>
      <c r="GH751">
        <v>14.905113968628072</v>
      </c>
      <c r="GI751">
        <v>17.653803352915038</v>
      </c>
      <c r="GJ751"/>
      <c r="GK751"/>
      <c r="GL751"/>
      <c r="GM751"/>
      <c r="GN751" s="208"/>
      <c r="GO751" s="208"/>
      <c r="GP751" s="208"/>
      <c r="GQ751" s="208"/>
      <c r="GR751" s="208"/>
      <c r="GS751" s="208"/>
      <c r="GT751" s="208"/>
      <c r="GU751" s="213">
        <v>746</v>
      </c>
    </row>
    <row r="752" spans="1:203" s="7" customFormat="1">
      <c r="A752" s="4"/>
      <c r="B752" s="4"/>
      <c r="C752" s="105"/>
      <c r="D752" s="4"/>
      <c r="E752" s="4"/>
      <c r="F752" s="28"/>
      <c r="G752" s="28"/>
      <c r="H752" s="83"/>
      <c r="I752" s="4"/>
      <c r="J752" s="4"/>
      <c r="K752" s="4"/>
      <c r="L752" s="4"/>
      <c r="M752" s="4"/>
      <c r="N752" s="28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81"/>
      <c r="AG752" s="81"/>
      <c r="AH752" s="81"/>
      <c r="AI752" s="4"/>
      <c r="AJ752" s="81"/>
      <c r="AK752" s="81"/>
      <c r="AL752" s="81"/>
      <c r="AM752" s="43">
        <v>736</v>
      </c>
      <c r="AN752">
        <v>323.39178070493216</v>
      </c>
      <c r="AO752">
        <v>29.065707319873418</v>
      </c>
      <c r="AP752">
        <v>116.89723187185915</v>
      </c>
      <c r="AQ752">
        <v>217.49254117474143</v>
      </c>
      <c r="AR752">
        <v>29.035502201578058</v>
      </c>
      <c r="AS752">
        <v>279.75726641249412</v>
      </c>
      <c r="AT752">
        <v>14.74610014147766</v>
      </c>
      <c r="AU752">
        <v>17.08134272001378</v>
      </c>
      <c r="AV752"/>
      <c r="AW752"/>
      <c r="FY752" s="213">
        <v>747</v>
      </c>
      <c r="FZ752">
        <v>43.245825715515693</v>
      </c>
      <c r="GA752">
        <v>44.931685404572015</v>
      </c>
      <c r="GB752">
        <v>8.7573787530691547</v>
      </c>
      <c r="GC752">
        <v>4.5909071420354026</v>
      </c>
      <c r="GD752">
        <v>4.6920493577377043</v>
      </c>
      <c r="GE752">
        <v>5.692969262244131</v>
      </c>
      <c r="GF752">
        <v>11.990989052890313</v>
      </c>
      <c r="GG752">
        <v>11.989834270286392</v>
      </c>
      <c r="GH752">
        <v>9.8193397594771117</v>
      </c>
      <c r="GI752">
        <v>15.168850112694374</v>
      </c>
      <c r="GJ752"/>
      <c r="GK752"/>
      <c r="GL752"/>
      <c r="GM752"/>
      <c r="GN752" s="208"/>
      <c r="GO752" s="208"/>
      <c r="GP752" s="208"/>
      <c r="GQ752" s="208"/>
      <c r="GR752" s="208"/>
      <c r="GS752" s="208"/>
      <c r="GT752" s="208"/>
      <c r="GU752" s="213">
        <v>747</v>
      </c>
    </row>
    <row r="753" spans="1:203" s="7" customFormat="1">
      <c r="A753" s="4"/>
      <c r="B753" s="4"/>
      <c r="C753" s="105"/>
      <c r="D753" s="4"/>
      <c r="E753" s="4"/>
      <c r="F753" s="28"/>
      <c r="G753" s="28"/>
      <c r="H753" s="83"/>
      <c r="I753" s="4"/>
      <c r="J753" s="4"/>
      <c r="K753" s="4"/>
      <c r="L753" s="4"/>
      <c r="M753" s="4"/>
      <c r="N753" s="28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81"/>
      <c r="AG753" s="81"/>
      <c r="AH753" s="81"/>
      <c r="AI753" s="4"/>
      <c r="AJ753" s="81"/>
      <c r="AK753" s="81"/>
      <c r="AL753" s="81"/>
      <c r="AM753" s="43">
        <v>737</v>
      </c>
      <c r="AN753">
        <v>211.3950143924497</v>
      </c>
      <c r="AO753">
        <v>15.138576187766173</v>
      </c>
      <c r="AP753">
        <v>68.33241853158232</v>
      </c>
      <c r="AQ753">
        <v>108.7979318629266</v>
      </c>
      <c r="AR753">
        <v>17.588203128156543</v>
      </c>
      <c r="AS753">
        <v>178.04581405365133</v>
      </c>
      <c r="AT753">
        <v>9.0052364942765184</v>
      </c>
      <c r="AU753">
        <v>-187.08064999024785</v>
      </c>
      <c r="AV753"/>
      <c r="AW753"/>
      <c r="FY753" s="213">
        <v>748</v>
      </c>
      <c r="FZ753">
        <v>34.912154072725031</v>
      </c>
      <c r="GA753">
        <v>31.949476414903181</v>
      </c>
      <c r="GB753">
        <v>7.1984920467423219</v>
      </c>
      <c r="GC753">
        <v>8.3523814542000157</v>
      </c>
      <c r="GD753">
        <v>8.8350425975235094</v>
      </c>
      <c r="GE753">
        <v>6.9266023528419316</v>
      </c>
      <c r="GF753">
        <v>5.1450582979185162</v>
      </c>
      <c r="GG753">
        <v>7.3795186751246291</v>
      </c>
      <c r="GH753">
        <v>12.312671219106159</v>
      </c>
      <c r="GI753">
        <v>15.069105235491216</v>
      </c>
      <c r="GJ753"/>
      <c r="GK753"/>
      <c r="GL753"/>
      <c r="GM753"/>
      <c r="GN753" s="208"/>
      <c r="GO753" s="208"/>
      <c r="GP753" s="208"/>
      <c r="GQ753" s="208"/>
      <c r="GR753" s="208"/>
      <c r="GS753" s="208"/>
      <c r="GT753" s="208"/>
      <c r="GU753" s="213">
        <v>748</v>
      </c>
    </row>
    <row r="754" spans="1:203" s="7" customFormat="1">
      <c r="A754" s="4"/>
      <c r="B754" s="4"/>
      <c r="C754" s="105"/>
      <c r="D754" s="4"/>
      <c r="E754" s="4"/>
      <c r="F754" s="28"/>
      <c r="G754" s="28"/>
      <c r="H754" s="83"/>
      <c r="I754" s="4"/>
      <c r="J754" s="4"/>
      <c r="K754" s="4"/>
      <c r="L754" s="4"/>
      <c r="M754" s="4"/>
      <c r="N754" s="28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81"/>
      <c r="AG754" s="81"/>
      <c r="AH754" s="81"/>
      <c r="AI754" s="4"/>
      <c r="AJ754" s="81"/>
      <c r="AK754" s="81"/>
      <c r="AL754" s="81"/>
      <c r="AM754" s="43">
        <v>738</v>
      </c>
      <c r="AN754">
        <v>263.17918711746836</v>
      </c>
      <c r="AO754">
        <v>27.30248207198585</v>
      </c>
      <c r="AP754">
        <v>48.481391745954831</v>
      </c>
      <c r="AQ754">
        <v>192.70233003136468</v>
      </c>
      <c r="AR754">
        <v>28.509427395261746</v>
      </c>
      <c r="AS754">
        <v>232.71016739255887</v>
      </c>
      <c r="AT754">
        <v>12.070392178331657</v>
      </c>
      <c r="AU754">
        <v>-5.5160155105405622</v>
      </c>
      <c r="AV754"/>
      <c r="AW754"/>
      <c r="FY754" s="213">
        <v>749</v>
      </c>
      <c r="FZ754">
        <v>40.918684072426728</v>
      </c>
      <c r="GA754">
        <v>40.544118733568425</v>
      </c>
      <c r="GB754">
        <v>4.0407356088304773</v>
      </c>
      <c r="GC754">
        <v>5.1596366694546232</v>
      </c>
      <c r="GD754">
        <v>5.1780255893985974</v>
      </c>
      <c r="GE754">
        <v>7.9175775615974677</v>
      </c>
      <c r="GF754">
        <v>16.515127905052594</v>
      </c>
      <c r="GG754">
        <v>13.291517651584417</v>
      </c>
      <c r="GH754">
        <v>15.153446378684171</v>
      </c>
      <c r="GI754">
        <v>15.429820857126312</v>
      </c>
      <c r="GJ754"/>
      <c r="GK754"/>
      <c r="GL754"/>
      <c r="GM754"/>
      <c r="GN754" s="208"/>
      <c r="GO754" s="208"/>
      <c r="GP754" s="208"/>
      <c r="GQ754" s="208"/>
      <c r="GR754" s="208"/>
      <c r="GS754" s="208"/>
      <c r="GT754" s="208"/>
      <c r="GU754" s="213">
        <v>749</v>
      </c>
    </row>
    <row r="755" spans="1:203" s="7" customFormat="1">
      <c r="A755" s="4"/>
      <c r="B755" s="4"/>
      <c r="C755" s="105"/>
      <c r="D755" s="4"/>
      <c r="E755" s="4"/>
      <c r="F755" s="28"/>
      <c r="G755" s="28"/>
      <c r="H755" s="83"/>
      <c r="I755" s="4"/>
      <c r="J755" s="4"/>
      <c r="K755" s="4"/>
      <c r="L755" s="4"/>
      <c r="M755" s="4"/>
      <c r="N755" s="28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81"/>
      <c r="AG755" s="81"/>
      <c r="AH755" s="81"/>
      <c r="AI755" s="4"/>
      <c r="AJ755" s="81"/>
      <c r="AK755" s="81"/>
      <c r="AL755" s="81"/>
      <c r="AM755" s="43">
        <v>739</v>
      </c>
      <c r="AN755">
        <v>272.02001269254259</v>
      </c>
      <c r="AO755">
        <v>29.778955714372643</v>
      </c>
      <c r="AP755">
        <v>122.30754762086234</v>
      </c>
      <c r="AQ755">
        <v>231.68037223633073</v>
      </c>
      <c r="AR755">
        <v>30.268263008304483</v>
      </c>
      <c r="AS755">
        <v>242.20848226242379</v>
      </c>
      <c r="AT755">
        <v>13.656287685750412</v>
      </c>
      <c r="AU755">
        <v>-4.7015860354475016</v>
      </c>
      <c r="AV755"/>
      <c r="AW755"/>
      <c r="FY755" s="213">
        <v>750</v>
      </c>
      <c r="FZ755">
        <v>50.291274958173396</v>
      </c>
      <c r="GA755">
        <v>44.429056894189763</v>
      </c>
      <c r="GB755">
        <v>7.618461448247011</v>
      </c>
      <c r="GC755">
        <v>5.2462635106094391</v>
      </c>
      <c r="GD755">
        <v>4.0919899542206872</v>
      </c>
      <c r="GE755">
        <v>3.8242260695854369</v>
      </c>
      <c r="GF755">
        <v>30.575761055671823</v>
      </c>
      <c r="GG755">
        <v>26.180409385797361</v>
      </c>
      <c r="GH755">
        <v>10.277224838634343</v>
      </c>
      <c r="GI755">
        <v>18.991698544094884</v>
      </c>
      <c r="GJ755"/>
      <c r="GK755"/>
      <c r="GL755"/>
      <c r="GM755"/>
      <c r="GN755" s="208"/>
      <c r="GO755" s="208"/>
      <c r="GP755" s="208"/>
      <c r="GQ755" s="208"/>
      <c r="GR755" s="208"/>
      <c r="GS755" s="208"/>
      <c r="GT755" s="208"/>
      <c r="GU755" s="213">
        <v>750</v>
      </c>
    </row>
    <row r="756" spans="1:203" s="7" customFormat="1">
      <c r="A756" s="4"/>
      <c r="B756" s="4"/>
      <c r="C756" s="105"/>
      <c r="D756" s="4"/>
      <c r="E756" s="4"/>
      <c r="F756" s="28"/>
      <c r="G756" s="28"/>
      <c r="H756" s="83"/>
      <c r="I756" s="4"/>
      <c r="J756" s="4"/>
      <c r="K756" s="4"/>
      <c r="L756" s="4"/>
      <c r="M756" s="4"/>
      <c r="N756" s="28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81"/>
      <c r="AG756" s="81"/>
      <c r="AH756" s="81"/>
      <c r="AI756" s="4"/>
      <c r="AJ756" s="81"/>
      <c r="AK756" s="81"/>
      <c r="AL756" s="81"/>
      <c r="AM756" s="43">
        <v>740</v>
      </c>
      <c r="AN756">
        <v>258.89426571763431</v>
      </c>
      <c r="AO756">
        <v>24.963913490650775</v>
      </c>
      <c r="AP756">
        <v>79.7162469968426</v>
      </c>
      <c r="AQ756">
        <v>189.81750645824906</v>
      </c>
      <c r="AR756">
        <v>25.294506741268666</v>
      </c>
      <c r="AS756">
        <v>228.9798214013847</v>
      </c>
      <c r="AT756">
        <v>13.170825622312414</v>
      </c>
      <c r="AU756">
        <v>21.154143003460177</v>
      </c>
      <c r="AV756"/>
      <c r="AW756"/>
      <c r="FY756" s="213">
        <v>751</v>
      </c>
      <c r="FZ756">
        <v>39.693955456168979</v>
      </c>
      <c r="GA756">
        <v>34.097746688853007</v>
      </c>
      <c r="GB756">
        <v>7.5828633268474661</v>
      </c>
      <c r="GC756">
        <v>6.6492750951750121</v>
      </c>
      <c r="GD756">
        <v>6.8158744514813812</v>
      </c>
      <c r="GE756">
        <v>7.4279520909012993</v>
      </c>
      <c r="GF756">
        <v>18.225454277850037</v>
      </c>
      <c r="GG756">
        <v>17.301669651831851</v>
      </c>
      <c r="GH756">
        <v>9.5519594425684016</v>
      </c>
      <c r="GI756">
        <v>16.655090125684939</v>
      </c>
      <c r="GJ756"/>
      <c r="GK756"/>
      <c r="GL756"/>
      <c r="GM756"/>
      <c r="GN756" s="208"/>
      <c r="GO756" s="208"/>
      <c r="GP756" s="208"/>
      <c r="GQ756" s="208"/>
      <c r="GR756" s="208"/>
      <c r="GS756" s="208"/>
      <c r="GT756" s="208"/>
      <c r="GU756" s="213">
        <v>751</v>
      </c>
    </row>
    <row r="757" spans="1:203" s="7" customFormat="1">
      <c r="A757" s="4"/>
      <c r="B757" s="4"/>
      <c r="C757" s="105"/>
      <c r="D757" s="4"/>
      <c r="E757" s="4"/>
      <c r="F757" s="28"/>
      <c r="G757" s="28"/>
      <c r="H757" s="83"/>
      <c r="I757" s="4"/>
      <c r="J757" s="4"/>
      <c r="K757" s="4"/>
      <c r="L757" s="4"/>
      <c r="M757" s="4"/>
      <c r="N757" s="28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81"/>
      <c r="AG757" s="81"/>
      <c r="AH757" s="81"/>
      <c r="AI757" s="4"/>
      <c r="AJ757" s="81"/>
      <c r="AK757" s="81"/>
      <c r="AL757" s="81"/>
      <c r="AM757" s="43">
        <v>741</v>
      </c>
      <c r="AN757">
        <v>311.1198803084161</v>
      </c>
      <c r="AO757">
        <v>29.043010854049193</v>
      </c>
      <c r="AP757">
        <v>81.691285377648768</v>
      </c>
      <c r="AQ757">
        <v>199.38979860670628</v>
      </c>
      <c r="AR757">
        <v>29.380520758179895</v>
      </c>
      <c r="AS757">
        <v>238.39193063185755</v>
      </c>
      <c r="AT757">
        <v>12.471332388506566</v>
      </c>
      <c r="AU757">
        <v>6.8039059849834942</v>
      </c>
      <c r="AV757"/>
      <c r="AW757"/>
      <c r="FY757" s="213">
        <v>752</v>
      </c>
      <c r="FZ757">
        <v>52.231348541957495</v>
      </c>
      <c r="GA757">
        <v>73.067312340899946</v>
      </c>
      <c r="GB757">
        <v>15.926853224084983</v>
      </c>
      <c r="GC757">
        <v>6.1199667315571258</v>
      </c>
      <c r="GD757">
        <v>5.1929572550203718</v>
      </c>
      <c r="GE757">
        <v>6.7344836546246825</v>
      </c>
      <c r="GF757">
        <v>22.358793167228626</v>
      </c>
      <c r="GG757">
        <v>18.505639988175179</v>
      </c>
      <c r="GH757">
        <v>19.501314485992769</v>
      </c>
      <c r="GI757">
        <v>22.505265825988168</v>
      </c>
      <c r="GJ757"/>
      <c r="GK757"/>
      <c r="GL757"/>
      <c r="GM757"/>
      <c r="GN757" s="208"/>
      <c r="GO757" s="208"/>
      <c r="GP757" s="208"/>
      <c r="GQ757" s="208"/>
      <c r="GR757" s="208"/>
      <c r="GS757" s="208"/>
      <c r="GT757" s="208"/>
      <c r="GU757" s="213">
        <v>752</v>
      </c>
    </row>
    <row r="758" spans="1:203" s="7" customFormat="1">
      <c r="A758" s="4"/>
      <c r="B758" s="4"/>
      <c r="C758" s="105"/>
      <c r="D758" s="4"/>
      <c r="E758" s="4"/>
      <c r="F758" s="28"/>
      <c r="G758" s="28"/>
      <c r="H758" s="83"/>
      <c r="I758" s="4"/>
      <c r="J758" s="4"/>
      <c r="K758" s="4"/>
      <c r="L758" s="4"/>
      <c r="M758" s="4"/>
      <c r="N758" s="28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81"/>
      <c r="AG758" s="81"/>
      <c r="AH758" s="81"/>
      <c r="AI758" s="4"/>
      <c r="AJ758" s="81"/>
      <c r="AK758" s="81"/>
      <c r="AL758" s="81"/>
      <c r="AM758" s="43">
        <v>742</v>
      </c>
      <c r="AN758">
        <v>263.86433591582056</v>
      </c>
      <c r="AO758">
        <v>24.132727709370311</v>
      </c>
      <c r="AP758">
        <v>77.191758402463364</v>
      </c>
      <c r="AQ758">
        <v>174.47983568498228</v>
      </c>
      <c r="AR758">
        <v>24.206691530394661</v>
      </c>
      <c r="AS758">
        <v>209.39051108783298</v>
      </c>
      <c r="AT758">
        <v>10.845346703584925</v>
      </c>
      <c r="AU758">
        <v>6.1954143391334284</v>
      </c>
      <c r="AV758"/>
      <c r="AW758"/>
      <c r="FY758" s="213">
        <v>753</v>
      </c>
      <c r="FZ758">
        <v>48.861120711174564</v>
      </c>
      <c r="GA758">
        <v>75.202630318849216</v>
      </c>
      <c r="GB758">
        <v>18.816150681900716</v>
      </c>
      <c r="GC758">
        <v>5.7920361843055916</v>
      </c>
      <c r="GD758">
        <v>4.4773310122955641</v>
      </c>
      <c r="GE758">
        <v>6.9076655624949677</v>
      </c>
      <c r="GF758">
        <v>21.247145336645946</v>
      </c>
      <c r="GG758">
        <v>16.236162626718915</v>
      </c>
      <c r="GH758">
        <v>19.852208520924769</v>
      </c>
      <c r="GI758">
        <v>22.368169194951651</v>
      </c>
      <c r="GJ758"/>
      <c r="GK758"/>
      <c r="GL758"/>
      <c r="GM758"/>
      <c r="GN758" s="208"/>
      <c r="GO758" s="208"/>
      <c r="GP758" s="208"/>
      <c r="GQ758" s="208"/>
      <c r="GR758" s="208"/>
      <c r="GS758" s="208"/>
      <c r="GT758" s="208"/>
      <c r="GU758" s="213">
        <v>753</v>
      </c>
    </row>
    <row r="759" spans="1:203" s="7" customFormat="1">
      <c r="A759" s="4"/>
      <c r="B759" s="4"/>
      <c r="C759" s="105"/>
      <c r="D759" s="4"/>
      <c r="E759" s="4"/>
      <c r="F759" s="28"/>
      <c r="G759" s="28"/>
      <c r="H759" s="83"/>
      <c r="I759" s="4"/>
      <c r="J759" s="4"/>
      <c r="K759" s="4"/>
      <c r="L759" s="4"/>
      <c r="M759" s="4"/>
      <c r="N759" s="28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81"/>
      <c r="AG759" s="81"/>
      <c r="AH759" s="81"/>
      <c r="AI759" s="4"/>
      <c r="AJ759" s="81"/>
      <c r="AK759" s="81"/>
      <c r="AL759" s="81"/>
      <c r="AM759" s="43">
        <v>743</v>
      </c>
      <c r="AN759">
        <v>313.03127415821098</v>
      </c>
      <c r="AO759">
        <v>28.578520322147078</v>
      </c>
      <c r="AP759">
        <v>134.27338877014751</v>
      </c>
      <c r="AQ759">
        <v>207.73757081684954</v>
      </c>
      <c r="AR759">
        <v>28.328884729950563</v>
      </c>
      <c r="AS759">
        <v>258.46982911322732</v>
      </c>
      <c r="AT759">
        <v>12.961422336710655</v>
      </c>
      <c r="AU759">
        <v>5.9968856618093485</v>
      </c>
      <c r="AV759"/>
      <c r="AW759"/>
      <c r="FY759" s="213">
        <v>754</v>
      </c>
      <c r="FZ759">
        <v>53.832794955367945</v>
      </c>
      <c r="GA759">
        <v>65.05325426350737</v>
      </c>
      <c r="GB759">
        <v>11.291622549423462</v>
      </c>
      <c r="GC759">
        <v>5.261929602470274</v>
      </c>
      <c r="GD759">
        <v>6.2940053410903349</v>
      </c>
      <c r="GE759">
        <v>8.5651741061499038</v>
      </c>
      <c r="GF759">
        <v>17.929847794389858</v>
      </c>
      <c r="GG759">
        <v>16.369739835945939</v>
      </c>
      <c r="GH759">
        <v>13.489250562020414</v>
      </c>
      <c r="GI759">
        <v>20.157653861947935</v>
      </c>
      <c r="GJ759"/>
      <c r="GK759"/>
      <c r="GL759"/>
      <c r="GM759"/>
      <c r="GN759" s="208"/>
      <c r="GO759" s="208"/>
      <c r="GP759" s="208"/>
      <c r="GQ759" s="208"/>
      <c r="GR759" s="208"/>
      <c r="GS759" s="208"/>
      <c r="GT759" s="208"/>
      <c r="GU759" s="213">
        <v>754</v>
      </c>
    </row>
    <row r="760" spans="1:203" s="7" customFormat="1">
      <c r="A760" s="4"/>
      <c r="B760" s="4"/>
      <c r="C760" s="105"/>
      <c r="D760" s="4"/>
      <c r="E760" s="4"/>
      <c r="F760" s="28"/>
      <c r="G760" s="28"/>
      <c r="H760" s="83"/>
      <c r="I760" s="4"/>
      <c r="J760" s="4"/>
      <c r="K760" s="4"/>
      <c r="L760" s="4"/>
      <c r="M760" s="4"/>
      <c r="N760" s="28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81"/>
      <c r="AG760" s="81"/>
      <c r="AH760" s="81"/>
      <c r="AI760" s="4"/>
      <c r="AJ760" s="81"/>
      <c r="AK760" s="81"/>
      <c r="AL760" s="81"/>
      <c r="AM760" s="43">
        <v>744</v>
      </c>
      <c r="AN760">
        <v>330.36474250852888</v>
      </c>
      <c r="AO760">
        <v>22.502046356694628</v>
      </c>
      <c r="AP760">
        <v>92.567454646623489</v>
      </c>
      <c r="AQ760">
        <v>152.77662879293536</v>
      </c>
      <c r="AR760">
        <v>23.024865166782117</v>
      </c>
      <c r="AS760">
        <v>236.07402554341905</v>
      </c>
      <c r="AT760">
        <v>10.856096087661493</v>
      </c>
      <c r="AU760">
        <v>25.581739776186843</v>
      </c>
      <c r="AV760"/>
      <c r="AW760"/>
      <c r="FY760" s="213">
        <v>755</v>
      </c>
      <c r="FZ760">
        <v>71.106631769006427</v>
      </c>
      <c r="GA760">
        <v>55.476936531003815</v>
      </c>
      <c r="GB760">
        <v>4.4933604341679452</v>
      </c>
      <c r="GC760">
        <v>5.4049052485107607</v>
      </c>
      <c r="GD760">
        <v>6.2641464364940509</v>
      </c>
      <c r="GE760">
        <v>8.5834421112272512</v>
      </c>
      <c r="GF760">
        <v>27.414305765109624</v>
      </c>
      <c r="GG760">
        <v>24.337575134415726</v>
      </c>
      <c r="GH760">
        <v>18.058440729407117</v>
      </c>
      <c r="GI760">
        <v>23.014402081015433</v>
      </c>
      <c r="GJ760"/>
      <c r="GK760"/>
      <c r="GL760"/>
      <c r="GM760"/>
      <c r="GN760" s="208"/>
      <c r="GO760" s="208"/>
      <c r="GP760" s="208"/>
      <c r="GQ760" s="208"/>
      <c r="GR760" s="208"/>
      <c r="GS760" s="208"/>
      <c r="GT760" s="208"/>
      <c r="GU760" s="213">
        <v>755</v>
      </c>
    </row>
    <row r="761" spans="1:203" s="7" customFormat="1">
      <c r="A761" s="4"/>
      <c r="B761" s="4"/>
      <c r="C761" s="105"/>
      <c r="D761" s="4"/>
      <c r="E761" s="4"/>
      <c r="F761" s="28"/>
      <c r="G761" s="28"/>
      <c r="H761" s="83"/>
      <c r="I761" s="4"/>
      <c r="J761" s="4"/>
      <c r="K761" s="4"/>
      <c r="L761" s="4"/>
      <c r="M761" s="4"/>
      <c r="N761" s="28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81"/>
      <c r="AG761" s="81"/>
      <c r="AH761" s="81"/>
      <c r="AI761" s="4"/>
      <c r="AJ761" s="81"/>
      <c r="AK761" s="81"/>
      <c r="AL761" s="81"/>
      <c r="AM761" s="43">
        <v>745</v>
      </c>
      <c r="AN761">
        <v>293.40079499923206</v>
      </c>
      <c r="AO761">
        <v>26.388085500619695</v>
      </c>
      <c r="AP761">
        <v>89.351654575792409</v>
      </c>
      <c r="AQ761">
        <v>192.8820547922443</v>
      </c>
      <c r="AR761">
        <v>26.315069297144159</v>
      </c>
      <c r="AS761">
        <v>238.71869535972121</v>
      </c>
      <c r="AT761">
        <v>12.070278281808363</v>
      </c>
      <c r="AU761">
        <v>3.1863743988126458</v>
      </c>
      <c r="AV761"/>
      <c r="AW761"/>
      <c r="FY761" s="213">
        <v>756</v>
      </c>
      <c r="FZ761">
        <v>67.020303240284349</v>
      </c>
      <c r="GA761">
        <v>54.217871490108159</v>
      </c>
      <c r="GB761">
        <v>8.156070297944078</v>
      </c>
      <c r="GC761">
        <v>7.6931055868561282</v>
      </c>
      <c r="GD761">
        <v>6.9836775415457639</v>
      </c>
      <c r="GE761">
        <v>9.1476824533441299</v>
      </c>
      <c r="GF761">
        <v>11.015138549468499</v>
      </c>
      <c r="GG761">
        <v>6.6628682665280081</v>
      </c>
      <c r="GH761">
        <v>13.278119598938629</v>
      </c>
      <c r="GI761">
        <v>20.149205594646919</v>
      </c>
      <c r="GJ761"/>
      <c r="GK761"/>
      <c r="GL761"/>
      <c r="GM761"/>
      <c r="GN761" s="208"/>
      <c r="GO761" s="208"/>
      <c r="GP761" s="208"/>
      <c r="GQ761" s="208"/>
      <c r="GR761" s="208"/>
      <c r="GS761" s="208"/>
      <c r="GT761" s="208"/>
      <c r="GU761" s="213">
        <v>756</v>
      </c>
    </row>
    <row r="762" spans="1:203" s="7" customFormat="1">
      <c r="A762" s="4"/>
      <c r="B762" s="4"/>
      <c r="C762" s="105"/>
      <c r="D762" s="4"/>
      <c r="E762" s="4"/>
      <c r="F762" s="28"/>
      <c r="G762" s="28"/>
      <c r="H762" s="83"/>
      <c r="I762" s="4"/>
      <c r="J762" s="4"/>
      <c r="K762" s="4"/>
      <c r="L762" s="4"/>
      <c r="M762" s="4"/>
      <c r="N762" s="28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81"/>
      <c r="AG762" s="81"/>
      <c r="AH762" s="81"/>
      <c r="AI762" s="4"/>
      <c r="AJ762" s="81"/>
      <c r="AK762" s="81"/>
      <c r="AL762" s="81"/>
      <c r="AM762" s="43">
        <v>746</v>
      </c>
      <c r="AN762">
        <v>282.8290786876122</v>
      </c>
      <c r="AO762">
        <v>24.41651044963081</v>
      </c>
      <c r="AP762">
        <v>80.637606323239353</v>
      </c>
      <c r="AQ762">
        <v>169.29581817311586</v>
      </c>
      <c r="AR762">
        <v>26.366439439764871</v>
      </c>
      <c r="AS762">
        <v>229.20155146740234</v>
      </c>
      <c r="AT762">
        <v>12.009112812567167</v>
      </c>
      <c r="AU762">
        <v>66.789856464059085</v>
      </c>
      <c r="AV762"/>
      <c r="AW762"/>
      <c r="FY762" s="213">
        <v>757</v>
      </c>
      <c r="FZ762">
        <v>48.262076764115449</v>
      </c>
      <c r="GA762">
        <v>55.992320230231471</v>
      </c>
      <c r="GB762">
        <v>16.664182021307798</v>
      </c>
      <c r="GC762">
        <v>7.5245738282670445</v>
      </c>
      <c r="GD762">
        <v>6.050631743047866</v>
      </c>
      <c r="GE762">
        <v>5.1949078924870724</v>
      </c>
      <c r="GF762">
        <v>7.6255274365558794</v>
      </c>
      <c r="GG762">
        <v>7.2510341456284575</v>
      </c>
      <c r="GH762">
        <v>16.203088336014073</v>
      </c>
      <c r="GI762">
        <v>19.439667586042251</v>
      </c>
      <c r="GJ762"/>
      <c r="GK762"/>
      <c r="GL762"/>
      <c r="GM762"/>
      <c r="GN762" s="208"/>
      <c r="GO762" s="208"/>
      <c r="GP762" s="208"/>
      <c r="GQ762" s="208"/>
      <c r="GR762" s="208"/>
      <c r="GS762" s="208"/>
      <c r="GT762" s="208"/>
      <c r="GU762" s="213">
        <v>757</v>
      </c>
    </row>
    <row r="763" spans="1:203" s="7" customFormat="1">
      <c r="A763" s="4"/>
      <c r="B763" s="4"/>
      <c r="C763" s="105"/>
      <c r="D763" s="4"/>
      <c r="E763" s="4"/>
      <c r="F763" s="28"/>
      <c r="G763" s="28"/>
      <c r="H763" s="83"/>
      <c r="I763" s="4"/>
      <c r="J763" s="4"/>
      <c r="K763" s="4"/>
      <c r="L763" s="4"/>
      <c r="M763" s="4"/>
      <c r="N763" s="28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81"/>
      <c r="AG763" s="81"/>
      <c r="AH763" s="81"/>
      <c r="AI763" s="4"/>
      <c r="AJ763" s="81"/>
      <c r="AK763" s="81"/>
      <c r="AL763" s="81"/>
      <c r="AM763" s="43">
        <v>747</v>
      </c>
      <c r="AN763">
        <v>263.92321384765899</v>
      </c>
      <c r="AO763">
        <v>21.579871775965312</v>
      </c>
      <c r="AP763">
        <v>90.431582066272284</v>
      </c>
      <c r="AQ763">
        <v>160.87982883052229</v>
      </c>
      <c r="AR763">
        <v>21.908470653493623</v>
      </c>
      <c r="AS763">
        <v>202.39934528307484</v>
      </c>
      <c r="AT763">
        <v>11.907943858706281</v>
      </c>
      <c r="AU763">
        <v>63.126490081817835</v>
      </c>
      <c r="AV763"/>
      <c r="AW763"/>
      <c r="FY763" s="213">
        <v>758</v>
      </c>
      <c r="FZ763">
        <v>103.95859885240419</v>
      </c>
      <c r="GA763">
        <v>120.15677846969554</v>
      </c>
      <c r="GB763">
        <v>21.492132952079782</v>
      </c>
      <c r="GC763">
        <v>5.8576581729202335</v>
      </c>
      <c r="GD763">
        <v>5.7620616282198664</v>
      </c>
      <c r="GE763">
        <v>5.9007437689086304</v>
      </c>
      <c r="GF763">
        <v>7.5860022059188328</v>
      </c>
      <c r="GG763">
        <v>11.387889424048957</v>
      </c>
      <c r="GH763">
        <v>13.2519632294606</v>
      </c>
      <c r="GI763">
        <v>28.211369427217619</v>
      </c>
      <c r="GJ763"/>
      <c r="GK763"/>
      <c r="GL763"/>
      <c r="GM763"/>
      <c r="GN763" s="208"/>
      <c r="GO763" s="208"/>
      <c r="GP763" s="208"/>
      <c r="GQ763" s="208"/>
      <c r="GR763" s="208"/>
      <c r="GS763" s="208"/>
      <c r="GT763" s="208"/>
      <c r="GU763" s="213">
        <v>758</v>
      </c>
    </row>
    <row r="764" spans="1:203" s="7" customFormat="1">
      <c r="A764" s="4"/>
      <c r="B764" s="4"/>
      <c r="C764" s="105"/>
      <c r="D764" s="4"/>
      <c r="E764" s="4"/>
      <c r="F764" s="28"/>
      <c r="G764" s="28"/>
      <c r="H764" s="83"/>
      <c r="I764" s="4"/>
      <c r="J764" s="4"/>
      <c r="K764" s="4"/>
      <c r="L764" s="4"/>
      <c r="M764" s="4"/>
      <c r="N764" s="28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81"/>
      <c r="AG764" s="81"/>
      <c r="AH764" s="81"/>
      <c r="AI764" s="4"/>
      <c r="AJ764" s="81"/>
      <c r="AK764" s="81"/>
      <c r="AL764" s="81"/>
      <c r="AM764" s="43">
        <v>748</v>
      </c>
      <c r="AN764">
        <v>295.52632027387762</v>
      </c>
      <c r="AO764">
        <v>21.23775746087227</v>
      </c>
      <c r="AP764">
        <v>66.936663511718976</v>
      </c>
      <c r="AQ764">
        <v>138.0805023665765</v>
      </c>
      <c r="AR764">
        <v>22.066679171216197</v>
      </c>
      <c r="AS764">
        <v>225.58140505222119</v>
      </c>
      <c r="AT764">
        <v>10.80972664838224</v>
      </c>
      <c r="AU764">
        <v>17.858286688841982</v>
      </c>
      <c r="AV764"/>
      <c r="AW764"/>
      <c r="FY764" s="213">
        <v>759</v>
      </c>
      <c r="FZ764">
        <v>56.778103885792781</v>
      </c>
      <c r="GA764">
        <v>67.338049502621658</v>
      </c>
      <c r="GB764">
        <v>11.401954994127612</v>
      </c>
      <c r="GC764">
        <v>4.5076917354112354</v>
      </c>
      <c r="GD764">
        <v>3.6606402727673926</v>
      </c>
      <c r="GE764">
        <v>2.4438765482484182</v>
      </c>
      <c r="GF764">
        <v>28.350654101646839</v>
      </c>
      <c r="GG764">
        <v>26.762007764708034</v>
      </c>
      <c r="GH764">
        <v>18.339928694969988</v>
      </c>
      <c r="GI764">
        <v>21.902232842292165</v>
      </c>
      <c r="GJ764"/>
      <c r="GK764"/>
      <c r="GL764"/>
      <c r="GM764"/>
      <c r="GN764" s="208"/>
      <c r="GO764" s="208"/>
      <c r="GP764" s="208"/>
      <c r="GQ764" s="208"/>
      <c r="GR764" s="208"/>
      <c r="GS764" s="208"/>
      <c r="GT764" s="208"/>
      <c r="GU764" s="213">
        <v>759</v>
      </c>
    </row>
    <row r="765" spans="1:203" s="7" customFormat="1">
      <c r="A765" s="4"/>
      <c r="B765" s="4"/>
      <c r="C765" s="105"/>
      <c r="D765" s="4"/>
      <c r="E765" s="4"/>
      <c r="F765" s="28"/>
      <c r="G765" s="28"/>
      <c r="H765" s="83"/>
      <c r="I765" s="4"/>
      <c r="J765" s="4"/>
      <c r="K765" s="4"/>
      <c r="L765" s="4"/>
      <c r="M765" s="4"/>
      <c r="N765" s="28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81"/>
      <c r="AG765" s="81"/>
      <c r="AH765" s="81"/>
      <c r="AI765" s="4"/>
      <c r="AJ765" s="81"/>
      <c r="AK765" s="81"/>
      <c r="AL765" s="81"/>
      <c r="AM765" s="43">
        <v>749</v>
      </c>
      <c r="AN765">
        <v>319.27810183925158</v>
      </c>
      <c r="AO765">
        <v>21.789866493798513</v>
      </c>
      <c r="AP765">
        <v>115.57630357794606</v>
      </c>
      <c r="AQ765">
        <v>164.14869102772383</v>
      </c>
      <c r="AR765">
        <v>21.802077508491426</v>
      </c>
      <c r="AS765">
        <v>222.23442148850901</v>
      </c>
      <c r="AT765">
        <v>11.228021318475781</v>
      </c>
      <c r="AU765">
        <v>39.623552819245063</v>
      </c>
      <c r="AV765"/>
      <c r="AW765"/>
      <c r="FY765" s="213">
        <v>760</v>
      </c>
      <c r="FZ765">
        <v>61.970161105858622</v>
      </c>
      <c r="GA765">
        <v>63.2413675644585</v>
      </c>
      <c r="GB765">
        <v>12.132726711510671</v>
      </c>
      <c r="GC765">
        <v>5.9816239088619758</v>
      </c>
      <c r="GD765">
        <v>5.0367320986801989</v>
      </c>
      <c r="GE765">
        <v>3.803881496171245</v>
      </c>
      <c r="GF765">
        <v>15.115023542005929</v>
      </c>
      <c r="GG765">
        <v>15.398704128646957</v>
      </c>
      <c r="GH765">
        <v>18.005008624723061</v>
      </c>
      <c r="GI765">
        <v>21.114896308637217</v>
      </c>
      <c r="GJ765"/>
      <c r="GK765"/>
      <c r="GL765"/>
      <c r="GM765"/>
      <c r="GN765" s="208"/>
      <c r="GO765" s="208"/>
      <c r="GP765" s="208"/>
      <c r="GQ765" s="208"/>
      <c r="GR765" s="208"/>
      <c r="GS765" s="208"/>
      <c r="GT765" s="208"/>
      <c r="GU765" s="213">
        <v>760</v>
      </c>
    </row>
    <row r="766" spans="1:203" s="7" customFormat="1">
      <c r="A766" s="4"/>
      <c r="B766" s="4"/>
      <c r="C766" s="105"/>
      <c r="D766" s="4"/>
      <c r="E766" s="4"/>
      <c r="F766" s="28"/>
      <c r="G766" s="28"/>
      <c r="H766" s="83"/>
      <c r="I766" s="4"/>
      <c r="J766" s="4"/>
      <c r="K766" s="4"/>
      <c r="L766" s="4"/>
      <c r="M766" s="4"/>
      <c r="N766" s="28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81"/>
      <c r="AG766" s="81"/>
      <c r="AH766" s="81"/>
      <c r="AI766" s="4"/>
      <c r="AJ766" s="81"/>
      <c r="AK766" s="81"/>
      <c r="AL766" s="81"/>
      <c r="AM766" s="43">
        <v>750</v>
      </c>
      <c r="AN766">
        <v>340.98265000948976</v>
      </c>
      <c r="AO766">
        <v>26.695095679451082</v>
      </c>
      <c r="AP766">
        <v>106.06658598257484</v>
      </c>
      <c r="AQ766">
        <v>201.52636665922415</v>
      </c>
      <c r="AR766">
        <v>27.413712527476552</v>
      </c>
      <c r="AS766">
        <v>267.34691140207303</v>
      </c>
      <c r="AT766">
        <v>13.664965717390791</v>
      </c>
      <c r="AU766">
        <v>48.979775857861597</v>
      </c>
      <c r="AV766"/>
      <c r="AW766"/>
      <c r="FY766" s="213">
        <v>761</v>
      </c>
      <c r="FZ766">
        <v>42.719311519735456</v>
      </c>
      <c r="GA766">
        <v>37.548644559180879</v>
      </c>
      <c r="GB766">
        <v>8.333648210221364</v>
      </c>
      <c r="GC766">
        <v>8.1471622747870622</v>
      </c>
      <c r="GD766">
        <v>6.6800160992542663</v>
      </c>
      <c r="GE766">
        <v>5.2435953662735093</v>
      </c>
      <c r="GF766">
        <v>13.089499645038131</v>
      </c>
      <c r="GG766">
        <v>13.12035211952057</v>
      </c>
      <c r="GH766">
        <v>14.291860914547749</v>
      </c>
      <c r="GI766">
        <v>16.989704317781332</v>
      </c>
      <c r="GJ766"/>
      <c r="GK766"/>
      <c r="GL766"/>
      <c r="GM766"/>
      <c r="GN766" s="208"/>
      <c r="GO766" s="208"/>
      <c r="GP766" s="208"/>
      <c r="GQ766" s="208"/>
      <c r="GR766" s="208"/>
      <c r="GS766" s="208"/>
      <c r="GT766" s="208"/>
      <c r="GU766" s="213">
        <v>761</v>
      </c>
    </row>
    <row r="767" spans="1:203" s="7" customFormat="1">
      <c r="A767" s="4"/>
      <c r="B767" s="4"/>
      <c r="C767" s="105"/>
      <c r="D767" s="4"/>
      <c r="E767" s="4"/>
      <c r="F767" s="28"/>
      <c r="G767" s="28"/>
      <c r="H767" s="83"/>
      <c r="I767" s="4"/>
      <c r="J767" s="4"/>
      <c r="K767" s="4"/>
      <c r="L767" s="4"/>
      <c r="M767" s="4"/>
      <c r="N767" s="28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  <c r="AA767" s="4"/>
      <c r="AB767" s="4"/>
      <c r="AC767" s="4"/>
      <c r="AD767" s="4"/>
      <c r="AE767" s="4"/>
      <c r="AF767" s="81"/>
      <c r="AG767" s="81"/>
      <c r="AH767" s="81"/>
      <c r="AI767" s="4"/>
      <c r="AJ767" s="81"/>
      <c r="AK767" s="81"/>
      <c r="AL767" s="81"/>
      <c r="AM767" s="43">
        <v>751</v>
      </c>
      <c r="AN767">
        <v>333.59885783780965</v>
      </c>
      <c r="AO767">
        <v>23.471392455193513</v>
      </c>
      <c r="AP767">
        <v>95.164174622822969</v>
      </c>
      <c r="AQ767">
        <v>164.0018406073624</v>
      </c>
      <c r="AR767">
        <v>23.776977560296839</v>
      </c>
      <c r="AS767">
        <v>249.28297904853028</v>
      </c>
      <c r="AT767">
        <v>11.984066398813802</v>
      </c>
      <c r="AU767">
        <v>93.406282533651961</v>
      </c>
      <c r="AV767"/>
      <c r="AW767"/>
      <c r="FY767" s="213">
        <v>762</v>
      </c>
      <c r="FZ767">
        <v>84.308294540253456</v>
      </c>
      <c r="GA767">
        <v>84.441414354690906</v>
      </c>
      <c r="GB767">
        <v>8.2135490461099341</v>
      </c>
      <c r="GC767">
        <v>5.7783640506243543</v>
      </c>
      <c r="GD767">
        <v>4.4418777588692979</v>
      </c>
      <c r="GE767">
        <v>4.3236003450355307</v>
      </c>
      <c r="GF767">
        <v>14.142640950273401</v>
      </c>
      <c r="GG767">
        <v>12.482564953429849</v>
      </c>
      <c r="GH767">
        <v>10.615102735656938</v>
      </c>
      <c r="GI767">
        <v>21.428744055644035</v>
      </c>
      <c r="GJ767"/>
      <c r="GK767"/>
      <c r="GL767"/>
      <c r="GM767"/>
      <c r="GN767" s="208"/>
      <c r="GO767" s="208"/>
      <c r="GP767" s="208"/>
      <c r="GQ767" s="208"/>
      <c r="GR767" s="208"/>
      <c r="GS767" s="208"/>
      <c r="GT767" s="208"/>
      <c r="GU767" s="213">
        <v>762</v>
      </c>
    </row>
    <row r="768" spans="1:203" s="7" customFormat="1">
      <c r="A768" s="4"/>
      <c r="B768" s="4"/>
      <c r="C768" s="105"/>
      <c r="D768" s="4"/>
      <c r="E768" s="4"/>
      <c r="F768" s="28"/>
      <c r="G768" s="28"/>
      <c r="H768" s="83"/>
      <c r="I768" s="4"/>
      <c r="J768" s="4"/>
      <c r="K768" s="4"/>
      <c r="L768" s="4"/>
      <c r="M768" s="4"/>
      <c r="N768" s="28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4"/>
      <c r="AB768" s="4"/>
      <c r="AC768" s="4"/>
      <c r="AD768" s="4"/>
      <c r="AE768" s="4"/>
      <c r="AF768" s="81"/>
      <c r="AG768" s="81"/>
      <c r="AH768" s="81"/>
      <c r="AI768" s="4"/>
      <c r="AJ768" s="81"/>
      <c r="AK768" s="81"/>
      <c r="AL768" s="81"/>
      <c r="AM768" s="43">
        <v>752</v>
      </c>
      <c r="AN768">
        <v>366.28747326910855</v>
      </c>
      <c r="AO768">
        <v>32.869157713713271</v>
      </c>
      <c r="AP768">
        <v>108.46098592703957</v>
      </c>
      <c r="AQ768">
        <v>242.14393521552932</v>
      </c>
      <c r="AR768">
        <v>33.114472164609701</v>
      </c>
      <c r="AS768">
        <v>300.30380978416713</v>
      </c>
      <c r="AT768">
        <v>14.52774863414532</v>
      </c>
      <c r="AU768">
        <v>-21.997123042053286</v>
      </c>
      <c r="AV768"/>
      <c r="AW768"/>
      <c r="FY768" s="213">
        <v>763</v>
      </c>
      <c r="FZ768">
        <v>57.592655554597904</v>
      </c>
      <c r="GA768">
        <v>45.140494271058039</v>
      </c>
      <c r="GB768">
        <v>4.5971960624575026</v>
      </c>
      <c r="GC768">
        <v>4.1090507979054678</v>
      </c>
      <c r="GD768">
        <v>4.0300960411317677</v>
      </c>
      <c r="GE768">
        <v>4.9013083823151327</v>
      </c>
      <c r="GF768">
        <v>19.328994671354099</v>
      </c>
      <c r="GG768">
        <v>20.545587310423876</v>
      </c>
      <c r="GH768">
        <v>14.809827340925334</v>
      </c>
      <c r="GI768">
        <v>17.727905332983966</v>
      </c>
      <c r="GJ768"/>
      <c r="GK768"/>
      <c r="GL768"/>
      <c r="GM768"/>
      <c r="GN768" s="208"/>
      <c r="GO768" s="208"/>
      <c r="GP768" s="208"/>
      <c r="GQ768" s="208"/>
      <c r="GR768" s="208"/>
      <c r="GS768" s="208"/>
      <c r="GT768" s="208"/>
      <c r="GU768" s="213">
        <v>763</v>
      </c>
    </row>
    <row r="769" spans="1:203" s="7" customFormat="1">
      <c r="A769" s="4"/>
      <c r="B769" s="4"/>
      <c r="C769" s="105"/>
      <c r="D769" s="4"/>
      <c r="E769" s="4"/>
      <c r="F769" s="28"/>
      <c r="G769" s="28"/>
      <c r="H769" s="83"/>
      <c r="I769" s="4"/>
      <c r="J769" s="4"/>
      <c r="K769" s="4"/>
      <c r="L769" s="4"/>
      <c r="M769" s="4"/>
      <c r="N769" s="28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  <c r="AA769" s="4"/>
      <c r="AB769" s="4"/>
      <c r="AC769" s="4"/>
      <c r="AD769" s="4"/>
      <c r="AE769" s="4"/>
      <c r="AF769" s="81"/>
      <c r="AG769" s="81"/>
      <c r="AH769" s="81"/>
      <c r="AI769" s="4"/>
      <c r="AJ769" s="81"/>
      <c r="AK769" s="81"/>
      <c r="AL769" s="81"/>
      <c r="AM769" s="43">
        <v>753</v>
      </c>
      <c r="AN769">
        <v>355.4043415221546</v>
      </c>
      <c r="AO769">
        <v>32.8903885721951</v>
      </c>
      <c r="AP769">
        <v>105.30604734991033</v>
      </c>
      <c r="AQ769">
        <v>239.76062015026193</v>
      </c>
      <c r="AR769">
        <v>33.266095742906998</v>
      </c>
      <c r="AS769">
        <v>298.75432131487253</v>
      </c>
      <c r="AT769">
        <v>14.223428268223685</v>
      </c>
      <c r="AU769">
        <v>4.1056614018344888</v>
      </c>
      <c r="AV769"/>
      <c r="AW769"/>
      <c r="FY769" s="213">
        <v>764</v>
      </c>
      <c r="FZ769">
        <v>48.038706268758311</v>
      </c>
      <c r="GA769">
        <v>61.479161614464594</v>
      </c>
      <c r="GB769">
        <v>12.61527211640691</v>
      </c>
      <c r="GC769">
        <v>6.1565233714230896</v>
      </c>
      <c r="GD769">
        <v>4.5013598534602837</v>
      </c>
      <c r="GE769">
        <v>4.9675861458348214</v>
      </c>
      <c r="GF769">
        <v>15.494484546837894</v>
      </c>
      <c r="GG769">
        <v>12.831771504818953</v>
      </c>
      <c r="GH769">
        <v>23.765014935058474</v>
      </c>
      <c r="GI769">
        <v>19.960312784384318</v>
      </c>
      <c r="GJ769"/>
      <c r="GK769"/>
      <c r="GL769"/>
      <c r="GM769"/>
      <c r="GN769" s="208"/>
      <c r="GO769" s="208"/>
      <c r="GP769" s="208"/>
      <c r="GQ769" s="208"/>
      <c r="GR769" s="208"/>
      <c r="GS769" s="208"/>
      <c r="GT769" s="208"/>
      <c r="GU769" s="213">
        <v>764</v>
      </c>
    </row>
    <row r="770" spans="1:203" s="7" customFormat="1">
      <c r="A770" s="4"/>
      <c r="B770" s="4"/>
      <c r="C770" s="105"/>
      <c r="D770" s="4"/>
      <c r="E770" s="4"/>
      <c r="F770" s="28"/>
      <c r="G770" s="28"/>
      <c r="H770" s="83"/>
      <c r="I770" s="4"/>
      <c r="J770" s="4"/>
      <c r="K770" s="4"/>
      <c r="L770" s="4"/>
      <c r="M770" s="4"/>
      <c r="N770" s="28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4"/>
      <c r="AB770" s="4"/>
      <c r="AC770" s="4"/>
      <c r="AD770" s="4"/>
      <c r="AE770" s="4"/>
      <c r="AF770" s="81"/>
      <c r="AG770" s="81"/>
      <c r="AH770" s="81"/>
      <c r="AI770" s="4"/>
      <c r="AJ770" s="81"/>
      <c r="AK770" s="81"/>
      <c r="AL770" s="81"/>
      <c r="AM770" s="43">
        <v>754</v>
      </c>
      <c r="AN770">
        <v>332.48708193213707</v>
      </c>
      <c r="AO770">
        <v>29.518711738563091</v>
      </c>
      <c r="AP770">
        <v>96.984365182975893</v>
      </c>
      <c r="AQ770">
        <v>218.24527287231342</v>
      </c>
      <c r="AR770">
        <v>29.403037673388145</v>
      </c>
      <c r="AS770">
        <v>276.28755871017341</v>
      </c>
      <c r="AT770">
        <v>14.690838407772945</v>
      </c>
      <c r="AU770">
        <v>3.4591323969724748</v>
      </c>
      <c r="AV770"/>
      <c r="AW770"/>
      <c r="FY770" s="213">
        <v>765</v>
      </c>
      <c r="FZ770">
        <v>36.863429115954588</v>
      </c>
      <c r="GA770">
        <v>50.014331163909723</v>
      </c>
      <c r="GB770">
        <v>17.482802903606959</v>
      </c>
      <c r="GC770">
        <v>7.520047071528297</v>
      </c>
      <c r="GD770">
        <v>6.1394002494106426</v>
      </c>
      <c r="GE770">
        <v>4.109895071644365</v>
      </c>
      <c r="GF770">
        <v>20.559180681718757</v>
      </c>
      <c r="GG770">
        <v>19.602668374626543</v>
      </c>
      <c r="GH770">
        <v>12.074157877614487</v>
      </c>
      <c r="GI770">
        <v>19.710908606529237</v>
      </c>
      <c r="GJ770"/>
      <c r="GK770"/>
      <c r="GL770"/>
      <c r="GM770"/>
      <c r="GN770" s="208"/>
      <c r="GO770" s="208"/>
      <c r="GP770" s="208"/>
      <c r="GQ770" s="208"/>
      <c r="GR770" s="208"/>
      <c r="GS770" s="208"/>
      <c r="GT770" s="208"/>
      <c r="GU770" s="213">
        <v>765</v>
      </c>
    </row>
    <row r="771" spans="1:203" s="7" customFormat="1">
      <c r="A771" s="4"/>
      <c r="B771" s="4"/>
      <c r="C771" s="105"/>
      <c r="D771" s="4"/>
      <c r="E771" s="4"/>
      <c r="F771" s="28"/>
      <c r="G771" s="28"/>
      <c r="H771" s="83"/>
      <c r="I771" s="4"/>
      <c r="J771" s="4"/>
      <c r="K771" s="4"/>
      <c r="L771" s="4"/>
      <c r="M771" s="4"/>
      <c r="N771" s="28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  <c r="AA771" s="4"/>
      <c r="AB771" s="4"/>
      <c r="AC771" s="4"/>
      <c r="AD771" s="4"/>
      <c r="AE771" s="4"/>
      <c r="AF771" s="81"/>
      <c r="AG771" s="81"/>
      <c r="AH771" s="81"/>
      <c r="AI771" s="4"/>
      <c r="AJ771" s="81"/>
      <c r="AK771" s="81"/>
      <c r="AL771" s="81"/>
      <c r="AM771" s="43">
        <v>755</v>
      </c>
      <c r="AN771">
        <v>379.89110157514</v>
      </c>
      <c r="AO771">
        <v>31.264204940651474</v>
      </c>
      <c r="AP771">
        <v>93.890965624001282</v>
      </c>
      <c r="AQ771">
        <v>244.15414624035816</v>
      </c>
      <c r="AR771">
        <v>32.604655578190346</v>
      </c>
      <c r="AS771">
        <v>336.33252491234123</v>
      </c>
      <c r="AT771">
        <v>17.897575087003094</v>
      </c>
      <c r="AU771">
        <v>26.41992391619916</v>
      </c>
      <c r="AV771"/>
      <c r="AW771"/>
      <c r="FY771" s="213">
        <v>766</v>
      </c>
      <c r="FZ771">
        <v>35.065588492480572</v>
      </c>
      <c r="GA771">
        <v>77.032577895971215</v>
      </c>
      <c r="GB771">
        <v>26.853011307774235</v>
      </c>
      <c r="GC771">
        <v>3.2051619614612155</v>
      </c>
      <c r="GD771">
        <v>4.1995262926771355</v>
      </c>
      <c r="GE771">
        <v>5.0031199701783748</v>
      </c>
      <c r="GF771">
        <v>17.091235111637534</v>
      </c>
      <c r="GG771">
        <v>17.84633395437157</v>
      </c>
      <c r="GH771">
        <v>13.442247311060624</v>
      </c>
      <c r="GI771">
        <v>20.949234203087183</v>
      </c>
      <c r="GJ771"/>
      <c r="GK771"/>
      <c r="GL771"/>
      <c r="GM771"/>
      <c r="GN771" s="208"/>
      <c r="GO771" s="208"/>
      <c r="GP771" s="208"/>
      <c r="GQ771" s="208"/>
      <c r="GR771" s="208"/>
      <c r="GS771" s="208"/>
      <c r="GT771" s="208"/>
      <c r="GU771" s="213">
        <v>766</v>
      </c>
    </row>
    <row r="772" spans="1:203" s="7" customFormat="1">
      <c r="A772" s="4"/>
      <c r="B772" s="4"/>
      <c r="C772" s="105"/>
      <c r="D772" s="4"/>
      <c r="E772" s="4"/>
      <c r="F772" s="28"/>
      <c r="G772" s="28"/>
      <c r="H772" s="83"/>
      <c r="I772" s="4"/>
      <c r="J772" s="4"/>
      <c r="K772" s="4"/>
      <c r="L772" s="4"/>
      <c r="M772" s="4"/>
      <c r="N772" s="28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4"/>
      <c r="AB772" s="4"/>
      <c r="AC772" s="4"/>
      <c r="AD772" s="4"/>
      <c r="AE772" s="4"/>
      <c r="AF772" s="81"/>
      <c r="AG772" s="81"/>
      <c r="AH772" s="81"/>
      <c r="AI772" s="4"/>
      <c r="AJ772" s="81"/>
      <c r="AK772" s="81"/>
      <c r="AL772" s="81"/>
      <c r="AM772" s="43">
        <v>756</v>
      </c>
      <c r="AN772">
        <v>332.44620922879102</v>
      </c>
      <c r="AO772">
        <v>28.07311759645787</v>
      </c>
      <c r="AP772">
        <v>95.398968321976568</v>
      </c>
      <c r="AQ772">
        <v>204.32404261966462</v>
      </c>
      <c r="AR772">
        <v>29.681565344727389</v>
      </c>
      <c r="AS772">
        <v>248.25782311694286</v>
      </c>
      <c r="AT772">
        <v>14.956332356393721</v>
      </c>
      <c r="AU772">
        <v>37.541144414445576</v>
      </c>
      <c r="AV772"/>
      <c r="AW772"/>
      <c r="FY772" s="213">
        <v>767</v>
      </c>
      <c r="FZ772">
        <v>34.879479849405527</v>
      </c>
      <c r="GA772">
        <v>30.093641887101803</v>
      </c>
      <c r="GB772">
        <v>12.645515972352612</v>
      </c>
      <c r="GC772">
        <v>6.1655135109515342</v>
      </c>
      <c r="GD772">
        <v>4.3447331157468314</v>
      </c>
      <c r="GE772">
        <v>4.7300266973032841</v>
      </c>
      <c r="GF772">
        <v>21.422071058639002</v>
      </c>
      <c r="GG772">
        <v>18.257951041518993</v>
      </c>
      <c r="GH772">
        <v>14.394828441709166</v>
      </c>
      <c r="GI772">
        <v>17.340503399454793</v>
      </c>
      <c r="GJ772"/>
      <c r="GK772"/>
      <c r="GL772"/>
      <c r="GM772"/>
      <c r="GN772" s="208"/>
      <c r="GO772" s="208"/>
      <c r="GP772" s="208"/>
      <c r="GQ772" s="208"/>
      <c r="GR772" s="208"/>
      <c r="GS772" s="208"/>
      <c r="GT772" s="208"/>
      <c r="GU772" s="213">
        <v>767</v>
      </c>
    </row>
    <row r="773" spans="1:203" s="7" customFormat="1">
      <c r="A773" s="4"/>
      <c r="B773" s="4"/>
      <c r="C773" s="105"/>
      <c r="D773" s="4"/>
      <c r="E773" s="4"/>
      <c r="F773" s="28"/>
      <c r="G773" s="28"/>
      <c r="H773" s="83"/>
      <c r="I773" s="4"/>
      <c r="J773" s="4"/>
      <c r="K773" s="4"/>
      <c r="L773" s="4"/>
      <c r="M773" s="4"/>
      <c r="N773" s="28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81"/>
      <c r="AG773" s="81"/>
      <c r="AH773" s="81"/>
      <c r="AI773" s="4"/>
      <c r="AJ773" s="81"/>
      <c r="AK773" s="81"/>
      <c r="AL773" s="81"/>
      <c r="AM773" s="43">
        <v>757</v>
      </c>
      <c r="AN773">
        <v>312.31283999925625</v>
      </c>
      <c r="AO773">
        <v>27.41201820700557</v>
      </c>
      <c r="AP773">
        <v>78.257838421959207</v>
      </c>
      <c r="AQ773">
        <v>190.20800998369734</v>
      </c>
      <c r="AR773">
        <v>29.026896511488353</v>
      </c>
      <c r="AS773">
        <v>252.63092147672228</v>
      </c>
      <c r="AT773">
        <v>12.520057087414949</v>
      </c>
      <c r="AU773">
        <v>14.719922828186697</v>
      </c>
      <c r="AV773"/>
      <c r="AW773"/>
      <c r="FY773" s="213">
        <v>768</v>
      </c>
      <c r="FZ773">
        <v>22.503922574486985</v>
      </c>
      <c r="GA773">
        <v>22.237905656217148</v>
      </c>
      <c r="GB773">
        <v>9.2149245466556948</v>
      </c>
      <c r="GC773">
        <v>6.3425035322139252</v>
      </c>
      <c r="GD773">
        <v>4.8088438672645566</v>
      </c>
      <c r="GE773">
        <v>7.1008596676087752</v>
      </c>
      <c r="GF773">
        <v>24.808961349378446</v>
      </c>
      <c r="GG773">
        <v>18.847376299310195</v>
      </c>
      <c r="GH773">
        <v>9.3434055816295096</v>
      </c>
      <c r="GI773">
        <v>14.603736643171148</v>
      </c>
      <c r="GJ773"/>
      <c r="GK773"/>
      <c r="GL773"/>
      <c r="GM773"/>
      <c r="GN773" s="208"/>
      <c r="GO773" s="208"/>
      <c r="GP773" s="208"/>
      <c r="GQ773" s="208"/>
      <c r="GR773" s="208"/>
      <c r="GS773" s="208"/>
      <c r="GT773" s="208"/>
      <c r="GU773" s="213">
        <v>768</v>
      </c>
    </row>
    <row r="774" spans="1:203" s="7" customFormat="1">
      <c r="A774" s="4"/>
      <c r="B774" s="4"/>
      <c r="C774" s="105"/>
      <c r="D774" s="4"/>
      <c r="E774" s="4"/>
      <c r="F774" s="28"/>
      <c r="G774" s="28"/>
      <c r="H774" s="83"/>
      <c r="I774" s="4"/>
      <c r="J774" s="4"/>
      <c r="K774" s="4"/>
      <c r="L774" s="4"/>
      <c r="M774" s="4"/>
      <c r="N774" s="28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81"/>
      <c r="AG774" s="81"/>
      <c r="AH774" s="81"/>
      <c r="AI774" s="4"/>
      <c r="AJ774" s="81"/>
      <c r="AK774" s="81"/>
      <c r="AL774" s="81"/>
      <c r="AM774" s="43">
        <v>758</v>
      </c>
      <c r="AN774">
        <v>320.58839971746193</v>
      </c>
      <c r="AO774">
        <v>41.785609359705873</v>
      </c>
      <c r="AP774">
        <v>67.229969356123178</v>
      </c>
      <c r="AQ774">
        <v>323.56519813087425</v>
      </c>
      <c r="AR774">
        <v>42.495859358583196</v>
      </c>
      <c r="AS774">
        <v>315.59426424903762</v>
      </c>
      <c r="AT774">
        <v>19.812511685481272</v>
      </c>
      <c r="AU774">
        <v>28.630642177819077</v>
      </c>
      <c r="AV774"/>
      <c r="AW774"/>
      <c r="FY774" s="213">
        <v>769</v>
      </c>
      <c r="FZ774">
        <v>37.537829340542451</v>
      </c>
      <c r="GA774">
        <v>55.601767384775577</v>
      </c>
      <c r="GB774">
        <v>12.470221086877739</v>
      </c>
      <c r="GC774">
        <v>5.5629838381027055</v>
      </c>
      <c r="GD774">
        <v>5.2211082369177761</v>
      </c>
      <c r="GE774">
        <v>7.2535305703422965</v>
      </c>
      <c r="GF774">
        <v>15.66475389452013</v>
      </c>
      <c r="GG774">
        <v>13.318976467016801</v>
      </c>
      <c r="GH774">
        <v>14.81577522239262</v>
      </c>
      <c r="GI774">
        <v>17.373342621826716</v>
      </c>
      <c r="GJ774"/>
      <c r="GK774"/>
      <c r="GL774"/>
      <c r="GM774"/>
      <c r="GN774" s="208"/>
      <c r="GO774" s="208"/>
      <c r="GP774" s="208"/>
      <c r="GQ774" s="208"/>
      <c r="GR774" s="208"/>
      <c r="GS774" s="208"/>
      <c r="GT774" s="208"/>
      <c r="GU774" s="213">
        <v>769</v>
      </c>
    </row>
    <row r="775" spans="1:203" s="7" customFormat="1">
      <c r="A775" s="4"/>
      <c r="B775" s="4"/>
      <c r="C775" s="105"/>
      <c r="D775" s="4"/>
      <c r="E775" s="4"/>
      <c r="F775" s="28"/>
      <c r="G775" s="28"/>
      <c r="H775" s="83"/>
      <c r="I775" s="4"/>
      <c r="J775" s="4"/>
      <c r="K775" s="4"/>
      <c r="L775" s="4"/>
      <c r="M775" s="4"/>
      <c r="N775" s="28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81"/>
      <c r="AG775" s="81"/>
      <c r="AH775" s="81"/>
      <c r="AI775" s="4"/>
      <c r="AJ775" s="81"/>
      <c r="AK775" s="81"/>
      <c r="AL775" s="81"/>
      <c r="AM775" s="43">
        <v>759</v>
      </c>
      <c r="AN775">
        <v>289.80851638807201</v>
      </c>
      <c r="AO775">
        <v>31.606219170574189</v>
      </c>
      <c r="AP775">
        <v>110.36303692323244</v>
      </c>
      <c r="AQ775">
        <v>241.48514034258613</v>
      </c>
      <c r="AR775">
        <v>32.134484106624747</v>
      </c>
      <c r="AS775">
        <v>257.30664614820324</v>
      </c>
      <c r="AT775">
        <v>13.922562962704015</v>
      </c>
      <c r="AU775">
        <v>12.345969168264432</v>
      </c>
      <c r="AV775"/>
      <c r="AW775"/>
      <c r="FY775" s="213">
        <v>770</v>
      </c>
      <c r="FZ775">
        <v>32.597977960594996</v>
      </c>
      <c r="GA775">
        <v>42.777720380316019</v>
      </c>
      <c r="GB775">
        <v>12.074058575597057</v>
      </c>
      <c r="GC775">
        <v>5.8491849942250091</v>
      </c>
      <c r="GD775">
        <v>5.709106902689415</v>
      </c>
      <c r="GE775">
        <v>9.491138533703305</v>
      </c>
      <c r="GF775">
        <v>19.039518004949812</v>
      </c>
      <c r="GG775">
        <v>12.525800055877356</v>
      </c>
      <c r="GH775">
        <v>16.372970003530167</v>
      </c>
      <c r="GI775">
        <v>17.656677946894664</v>
      </c>
      <c r="GJ775"/>
      <c r="GK775"/>
      <c r="GL775"/>
      <c r="GM775"/>
      <c r="GN775" s="208"/>
      <c r="GO775" s="208"/>
      <c r="GP775" s="208"/>
      <c r="GQ775" s="208"/>
      <c r="GR775" s="208"/>
      <c r="GS775" s="208"/>
      <c r="GT775" s="208"/>
      <c r="GU775" s="213">
        <v>770</v>
      </c>
    </row>
    <row r="776" spans="1:203" s="7" customFormat="1">
      <c r="A776" s="4"/>
      <c r="B776" s="4"/>
      <c r="C776" s="105"/>
      <c r="D776" s="4"/>
      <c r="E776" s="4"/>
      <c r="F776" s="28"/>
      <c r="G776" s="28"/>
      <c r="H776" s="83"/>
      <c r="I776" s="4"/>
      <c r="J776" s="4"/>
      <c r="K776" s="4"/>
      <c r="L776" s="4"/>
      <c r="M776" s="4"/>
      <c r="N776" s="28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81"/>
      <c r="AG776" s="81"/>
      <c r="AH776" s="81"/>
      <c r="AI776" s="4"/>
      <c r="AJ776" s="81"/>
      <c r="AK776" s="81"/>
      <c r="AL776" s="81"/>
      <c r="AM776" s="43">
        <v>760</v>
      </c>
      <c r="AN776">
        <v>291.03268202113566</v>
      </c>
      <c r="AO776">
        <v>29.919783451295775</v>
      </c>
      <c r="AP776">
        <v>96.919526438185628</v>
      </c>
      <c r="AQ776">
        <v>221.80012548955435</v>
      </c>
      <c r="AR776">
        <v>31.57892816956906</v>
      </c>
      <c r="AS776">
        <v>263.30633255461618</v>
      </c>
      <c r="AT776">
        <v>13.977631117397138</v>
      </c>
      <c r="AU776">
        <v>14.803479372466473</v>
      </c>
      <c r="AV776"/>
      <c r="AW776"/>
      <c r="FY776" s="213">
        <v>771</v>
      </c>
      <c r="FZ776">
        <v>25.697037111688037</v>
      </c>
      <c r="GA776">
        <v>10.043855824309547</v>
      </c>
      <c r="GB776">
        <v>4.3544492483363815</v>
      </c>
      <c r="GC776">
        <v>5.4452073421003968</v>
      </c>
      <c r="GD776">
        <v>3.8447902093152164</v>
      </c>
      <c r="GE776">
        <v>3.4231649625017817</v>
      </c>
      <c r="GF776">
        <v>6.2165405492957984</v>
      </c>
      <c r="GG776">
        <v>6.0607128153992793</v>
      </c>
      <c r="GH776">
        <v>4.8297139620837184</v>
      </c>
      <c r="GI776">
        <v>8.9446901257277762</v>
      </c>
      <c r="GJ776"/>
      <c r="GK776"/>
      <c r="GL776"/>
      <c r="GM776"/>
      <c r="GN776" s="208"/>
      <c r="GO776" s="208"/>
      <c r="GP776" s="208"/>
      <c r="GQ776" s="208"/>
      <c r="GR776" s="208"/>
      <c r="GS776" s="208"/>
      <c r="GT776" s="208"/>
      <c r="GU776" s="213">
        <v>771</v>
      </c>
    </row>
    <row r="777" spans="1:203" s="7" customFormat="1">
      <c r="A777" s="4"/>
      <c r="B777" s="4"/>
      <c r="C777" s="105"/>
      <c r="D777" s="4"/>
      <c r="E777" s="4"/>
      <c r="F777" s="28"/>
      <c r="G777" s="28"/>
      <c r="H777" s="83"/>
      <c r="I777" s="4"/>
      <c r="J777" s="4"/>
      <c r="K777" s="4"/>
      <c r="L777" s="4"/>
      <c r="M777" s="4"/>
      <c r="N777" s="28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  <c r="AA777" s="4"/>
      <c r="AB777" s="4"/>
      <c r="AC777" s="4"/>
      <c r="AD777" s="4"/>
      <c r="AE777" s="4"/>
      <c r="AF777" s="81"/>
      <c r="AG777" s="81"/>
      <c r="AH777" s="81"/>
      <c r="AI777" s="4"/>
      <c r="AJ777" s="81"/>
      <c r="AK777" s="81"/>
      <c r="AL777" s="81"/>
      <c r="AM777" s="43">
        <v>761</v>
      </c>
      <c r="AN777">
        <v>323.65680570798526</v>
      </c>
      <c r="AO777">
        <v>23.935250907035311</v>
      </c>
      <c r="AP777">
        <v>106.96584220275774</v>
      </c>
      <c r="AQ777">
        <v>166.16379502634032</v>
      </c>
      <c r="AR777">
        <v>24.903594749285801</v>
      </c>
      <c r="AS777">
        <v>229.35811071870265</v>
      </c>
      <c r="AT777">
        <v>12.913180059454852</v>
      </c>
      <c r="AU777">
        <v>28.715209015979429</v>
      </c>
      <c r="AV777"/>
      <c r="AW777"/>
      <c r="FY777" s="213">
        <v>772</v>
      </c>
      <c r="FZ777">
        <v>55.349014533547745</v>
      </c>
      <c r="GA777">
        <v>24.933046385668469</v>
      </c>
      <c r="GB777">
        <v>4.5937874899667852</v>
      </c>
      <c r="GC777">
        <v>6.2126990987757607</v>
      </c>
      <c r="GD777">
        <v>4.3892590792942858</v>
      </c>
      <c r="GE777">
        <v>2.53042051639278</v>
      </c>
      <c r="GF777">
        <v>12.342126739435315</v>
      </c>
      <c r="GG777">
        <v>13.00950026940275</v>
      </c>
      <c r="GH777">
        <v>8.8802988379408685</v>
      </c>
      <c r="GI777">
        <v>15.290416629227847</v>
      </c>
      <c r="GJ777"/>
      <c r="GK777"/>
      <c r="GL777"/>
      <c r="GM777"/>
      <c r="GN777" s="208"/>
      <c r="GO777" s="208"/>
      <c r="GP777" s="208"/>
      <c r="GQ777" s="208"/>
      <c r="GR777" s="208"/>
      <c r="GS777" s="208"/>
      <c r="GT777" s="208"/>
      <c r="GU777" s="213">
        <v>772</v>
      </c>
    </row>
    <row r="778" spans="1:203" s="7" customFormat="1">
      <c r="A778" s="4"/>
      <c r="B778" s="4"/>
      <c r="C778" s="105"/>
      <c r="D778" s="4"/>
      <c r="E778" s="4"/>
      <c r="F778" s="28"/>
      <c r="G778" s="28"/>
      <c r="H778" s="83"/>
      <c r="I778" s="4"/>
      <c r="J778" s="4"/>
      <c r="K778" s="4"/>
      <c r="L778" s="4"/>
      <c r="M778" s="4"/>
      <c r="N778" s="28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81"/>
      <c r="AG778" s="81"/>
      <c r="AH778" s="81"/>
      <c r="AI778" s="4"/>
      <c r="AJ778" s="81"/>
      <c r="AK778" s="81"/>
      <c r="AL778" s="81"/>
      <c r="AM778" s="43">
        <v>762</v>
      </c>
      <c r="AN778">
        <v>282.79257657905129</v>
      </c>
      <c r="AO778">
        <v>30.950158337128762</v>
      </c>
      <c r="AP778">
        <v>82.991737553190703</v>
      </c>
      <c r="AQ778">
        <v>250.17615279058776</v>
      </c>
      <c r="AR778">
        <v>31.190634738845564</v>
      </c>
      <c r="AS778">
        <v>267.0768685187262</v>
      </c>
      <c r="AT778">
        <v>16.517011546029064</v>
      </c>
      <c r="AU778">
        <v>11.858026724783368</v>
      </c>
      <c r="AV778"/>
      <c r="AW778"/>
      <c r="FY778" s="213">
        <v>773</v>
      </c>
      <c r="FZ778">
        <v>45.754414850514593</v>
      </c>
      <c r="GA778">
        <v>59.163927959997942</v>
      </c>
      <c r="GB778">
        <v>13.198277067159937</v>
      </c>
      <c r="GC778">
        <v>4.1928104389424341</v>
      </c>
      <c r="GD778">
        <v>3.3075613561888741</v>
      </c>
      <c r="GE778">
        <v>6.3302319535750993</v>
      </c>
      <c r="GF778">
        <v>18.957733343741523</v>
      </c>
      <c r="GG778">
        <v>14.315212506746779</v>
      </c>
      <c r="GH778">
        <v>7.3400406958443281</v>
      </c>
      <c r="GI778">
        <v>16.985950185210907</v>
      </c>
      <c r="GJ778"/>
      <c r="GK778"/>
      <c r="GL778"/>
      <c r="GM778"/>
      <c r="GN778" s="208"/>
      <c r="GO778" s="208"/>
      <c r="GP778" s="208"/>
      <c r="GQ778" s="208"/>
      <c r="GR778" s="208"/>
      <c r="GS778" s="208"/>
      <c r="GT778" s="208"/>
      <c r="GU778" s="213">
        <v>773</v>
      </c>
    </row>
    <row r="779" spans="1:203" s="7" customFormat="1">
      <c r="A779" s="4"/>
      <c r="B779" s="4"/>
      <c r="C779" s="105"/>
      <c r="D779" s="4"/>
      <c r="E779" s="4"/>
      <c r="F779" s="28"/>
      <c r="G779" s="28"/>
      <c r="H779" s="83"/>
      <c r="I779" s="4"/>
      <c r="J779" s="4"/>
      <c r="K779" s="4"/>
      <c r="L779" s="4"/>
      <c r="M779" s="4"/>
      <c r="N779" s="28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  <c r="AA779" s="4"/>
      <c r="AB779" s="4"/>
      <c r="AC779" s="4"/>
      <c r="AD779" s="4"/>
      <c r="AE779" s="4"/>
      <c r="AF779" s="81"/>
      <c r="AG779" s="81"/>
      <c r="AH779" s="81"/>
      <c r="AI779" s="4"/>
      <c r="AJ779" s="81"/>
      <c r="AK779" s="81"/>
      <c r="AL779" s="81"/>
      <c r="AM779" s="43">
        <v>763</v>
      </c>
      <c r="AN779">
        <v>307.40400869426992</v>
      </c>
      <c r="AO779">
        <v>24.377580769987219</v>
      </c>
      <c r="AP779">
        <v>66.347845310650172</v>
      </c>
      <c r="AQ779">
        <v>192.7831157651531</v>
      </c>
      <c r="AR779">
        <v>25.341685138746094</v>
      </c>
      <c r="AS779">
        <v>251.50047714463685</v>
      </c>
      <c r="AT779">
        <v>12.80903486796687</v>
      </c>
      <c r="AU779">
        <v>21.390813925100183</v>
      </c>
      <c r="AV779"/>
      <c r="AW779"/>
      <c r="FY779" s="213">
        <v>774</v>
      </c>
      <c r="FZ779">
        <v>24.326557790446277</v>
      </c>
      <c r="GA779">
        <v>8.3310529487311662</v>
      </c>
      <c r="GB779">
        <v>4.1181280245412655</v>
      </c>
      <c r="GC779">
        <v>4.2565174921623461</v>
      </c>
      <c r="GD779">
        <v>4.9004764585278782</v>
      </c>
      <c r="GE779">
        <v>9.4889169309914365</v>
      </c>
      <c r="GF779">
        <v>25.766795378498951</v>
      </c>
      <c r="GG779">
        <v>22.526173507557097</v>
      </c>
      <c r="GH779">
        <v>14.099379866465545</v>
      </c>
      <c r="GI779">
        <v>14.320959531258536</v>
      </c>
      <c r="GJ779"/>
      <c r="GK779"/>
      <c r="GL779"/>
      <c r="GM779"/>
      <c r="GN779" s="208"/>
      <c r="GO779" s="208"/>
      <c r="GP779" s="208"/>
      <c r="GQ779" s="208"/>
      <c r="GR779" s="208"/>
      <c r="GS779" s="208"/>
      <c r="GT779" s="208"/>
      <c r="GU779" s="213">
        <v>774</v>
      </c>
    </row>
    <row r="780" spans="1:203" s="7" customFormat="1">
      <c r="A780" s="4"/>
      <c r="B780" s="4"/>
      <c r="C780" s="105"/>
      <c r="D780" s="4"/>
      <c r="E780" s="4"/>
      <c r="F780" s="28"/>
      <c r="G780" s="28"/>
      <c r="H780" s="83"/>
      <c r="I780" s="4"/>
      <c r="J780" s="4"/>
      <c r="K780" s="4"/>
      <c r="L780" s="4"/>
      <c r="M780" s="4"/>
      <c r="N780" s="28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  <c r="AA780" s="4"/>
      <c r="AB780" s="4"/>
      <c r="AC780" s="4"/>
      <c r="AD780" s="4"/>
      <c r="AE780" s="4"/>
      <c r="AF780" s="81"/>
      <c r="AG780" s="81"/>
      <c r="AH780" s="81"/>
      <c r="AI780" s="4"/>
      <c r="AJ780" s="81"/>
      <c r="AK780" s="81"/>
      <c r="AL780" s="81"/>
      <c r="AM780" s="43">
        <v>764</v>
      </c>
      <c r="AN780">
        <v>277.28219862171261</v>
      </c>
      <c r="AO780">
        <v>28.347411272481793</v>
      </c>
      <c r="AP780">
        <v>109.35199744567763</v>
      </c>
      <c r="AQ780">
        <v>209.81019314144766</v>
      </c>
      <c r="AR780">
        <v>29.393747606008517</v>
      </c>
      <c r="AS780">
        <v>240.88031600120874</v>
      </c>
      <c r="AT780">
        <v>13.113030404200609</v>
      </c>
      <c r="AU780">
        <v>2.1025067641937234</v>
      </c>
      <c r="AV780"/>
      <c r="AW780"/>
      <c r="FY780" s="213">
        <v>775</v>
      </c>
      <c r="FZ780">
        <v>26.995389574903417</v>
      </c>
      <c r="GA780">
        <v>28.205625240656829</v>
      </c>
      <c r="GB780">
        <v>8.9088016133901604</v>
      </c>
      <c r="GC780">
        <v>6.0184491015460111</v>
      </c>
      <c r="GD780">
        <v>3.8690912599430143</v>
      </c>
      <c r="GE780">
        <v>4.3231495992890103</v>
      </c>
      <c r="GF780">
        <v>24.913458878987324</v>
      </c>
      <c r="GG780">
        <v>21.195974377518528</v>
      </c>
      <c r="GH780">
        <v>13.871140215708309</v>
      </c>
      <c r="GI780">
        <v>15.457479566974429</v>
      </c>
      <c r="GJ780"/>
      <c r="GK780"/>
      <c r="GL780"/>
      <c r="GM780"/>
      <c r="GN780" s="208"/>
      <c r="GO780" s="208"/>
      <c r="GP780" s="208"/>
      <c r="GQ780" s="208"/>
      <c r="GR780" s="208"/>
      <c r="GS780" s="208"/>
      <c r="GT780" s="208"/>
      <c r="GU780" s="213">
        <v>775</v>
      </c>
    </row>
    <row r="781" spans="1:203" s="7" customFormat="1">
      <c r="A781" s="4"/>
      <c r="B781" s="4"/>
      <c r="C781" s="105"/>
      <c r="D781" s="4"/>
      <c r="E781" s="4"/>
      <c r="F781" s="28"/>
      <c r="G781" s="28"/>
      <c r="H781" s="83"/>
      <c r="I781" s="4"/>
      <c r="J781" s="4"/>
      <c r="K781" s="4"/>
      <c r="L781" s="4"/>
      <c r="M781" s="4"/>
      <c r="N781" s="28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  <c r="AA781" s="4"/>
      <c r="AB781" s="4"/>
      <c r="AC781" s="4"/>
      <c r="AD781" s="4"/>
      <c r="AE781" s="4"/>
      <c r="AF781" s="81"/>
      <c r="AG781" s="81"/>
      <c r="AH781" s="81"/>
      <c r="AI781" s="4"/>
      <c r="AJ781" s="81"/>
      <c r="AK781" s="81"/>
      <c r="AL781" s="81"/>
      <c r="AM781" s="43">
        <v>765</v>
      </c>
      <c r="AN781">
        <v>318.07688599285535</v>
      </c>
      <c r="AO781">
        <v>28.764398775746891</v>
      </c>
      <c r="AP781">
        <v>79.240309782608151</v>
      </c>
      <c r="AQ781">
        <v>194.07682111654361</v>
      </c>
      <c r="AR781">
        <v>29.460636501856225</v>
      </c>
      <c r="AS781">
        <v>257.82965338012849</v>
      </c>
      <c r="AT781">
        <v>12.833195619486412</v>
      </c>
      <c r="AU781">
        <v>5.8165783398218451</v>
      </c>
      <c r="AV781"/>
      <c r="AW781"/>
      <c r="FY781" s="213">
        <v>776</v>
      </c>
      <c r="FZ781">
        <v>48.005933844201834</v>
      </c>
      <c r="GA781">
        <v>45.798331596787783</v>
      </c>
      <c r="GB781">
        <v>12.635736110023036</v>
      </c>
      <c r="GC781">
        <v>5.5063676603333755</v>
      </c>
      <c r="GD781">
        <v>6.3527171758058465</v>
      </c>
      <c r="GE781">
        <v>9.1241072768922606</v>
      </c>
      <c r="GF781">
        <v>19.539051214368495</v>
      </c>
      <c r="GG781">
        <v>16.315232108502805</v>
      </c>
      <c r="GH781">
        <v>7.8381191956822924</v>
      </c>
      <c r="GI781">
        <v>19.114618571161447</v>
      </c>
      <c r="GJ781"/>
      <c r="GK781"/>
      <c r="GL781"/>
      <c r="GM781"/>
      <c r="GN781" s="208"/>
      <c r="GO781" s="208"/>
      <c r="GP781" s="208"/>
      <c r="GQ781" s="208"/>
      <c r="GR781" s="208"/>
      <c r="GS781" s="208"/>
      <c r="GT781" s="208"/>
      <c r="GU781" s="213">
        <v>776</v>
      </c>
    </row>
    <row r="782" spans="1:203" s="7" customFormat="1">
      <c r="A782" s="4"/>
      <c r="B782" s="4"/>
      <c r="C782" s="105"/>
      <c r="D782" s="4"/>
      <c r="E782" s="4"/>
      <c r="F782" s="28"/>
      <c r="G782" s="28"/>
      <c r="H782" s="83"/>
      <c r="I782" s="4"/>
      <c r="J782" s="4"/>
      <c r="K782" s="4"/>
      <c r="L782" s="4"/>
      <c r="M782" s="4"/>
      <c r="N782" s="28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  <c r="AA782" s="4"/>
      <c r="AB782" s="4"/>
      <c r="AC782" s="4"/>
      <c r="AD782" s="4"/>
      <c r="AE782" s="4"/>
      <c r="AF782" s="81"/>
      <c r="AG782" s="81"/>
      <c r="AH782" s="81"/>
      <c r="AI782" s="4"/>
      <c r="AJ782" s="81"/>
      <c r="AK782" s="81"/>
      <c r="AL782" s="81"/>
      <c r="AM782" s="43">
        <v>766</v>
      </c>
      <c r="AN782">
        <v>271.2349909029158</v>
      </c>
      <c r="AO782">
        <v>32.069728113836575</v>
      </c>
      <c r="AP782">
        <v>300.48254805696411</v>
      </c>
      <c r="AQ782">
        <v>220.68803650069964</v>
      </c>
      <c r="AR782">
        <v>32.212198359644113</v>
      </c>
      <c r="AS782">
        <v>290.4870147958012</v>
      </c>
      <c r="AT782" t="e">
        <v>#DIV/0!</v>
      </c>
      <c r="AU782" t="e">
        <v>#DIV/0!</v>
      </c>
      <c r="AV782"/>
      <c r="AW782"/>
      <c r="FY782" s="213">
        <v>777</v>
      </c>
      <c r="FZ782">
        <v>26.333421642873091</v>
      </c>
      <c r="GA782">
        <v>43.211422159317969</v>
      </c>
      <c r="GB782">
        <v>13.445290121811642</v>
      </c>
      <c r="GC782">
        <v>4.291488888934829</v>
      </c>
      <c r="GD782">
        <v>2.8696441940788109</v>
      </c>
      <c r="GE782">
        <v>7.1500695087099793</v>
      </c>
      <c r="GF782">
        <v>31.745970833105268</v>
      </c>
      <c r="GG782">
        <v>23.896776597338647</v>
      </c>
      <c r="GH782">
        <v>18.915351628741664</v>
      </c>
      <c r="GI782">
        <v>18.208204720770283</v>
      </c>
      <c r="GJ782"/>
      <c r="GK782"/>
      <c r="GL782"/>
      <c r="GM782"/>
      <c r="GN782" s="208"/>
      <c r="GO782" s="208"/>
      <c r="GP782" s="208"/>
      <c r="GQ782" s="208"/>
      <c r="GR782" s="208"/>
      <c r="GS782" s="208"/>
      <c r="GT782" s="208"/>
      <c r="GU782" s="213">
        <v>777</v>
      </c>
    </row>
    <row r="783" spans="1:203" s="7" customFormat="1">
      <c r="A783" s="4"/>
      <c r="B783" s="4"/>
      <c r="C783" s="105"/>
      <c r="D783" s="4"/>
      <c r="E783" s="4"/>
      <c r="F783" s="28"/>
      <c r="G783" s="28"/>
      <c r="H783" s="83"/>
      <c r="I783" s="4"/>
      <c r="J783" s="4"/>
      <c r="K783" s="4"/>
      <c r="L783" s="4"/>
      <c r="M783" s="4"/>
      <c r="N783" s="28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4"/>
      <c r="AB783" s="4"/>
      <c r="AC783" s="4"/>
      <c r="AD783" s="4"/>
      <c r="AE783" s="4"/>
      <c r="AF783" s="81"/>
      <c r="AG783" s="81"/>
      <c r="AH783" s="81"/>
      <c r="AI783" s="4"/>
      <c r="AJ783" s="81"/>
      <c r="AK783" s="81"/>
      <c r="AL783" s="81"/>
      <c r="AM783" s="43">
        <v>767</v>
      </c>
      <c r="AN783">
        <v>316.33368825372173</v>
      </c>
      <c r="AO783">
        <v>24.170030464033385</v>
      </c>
      <c r="AP783">
        <v>75.32584463184638</v>
      </c>
      <c r="AQ783">
        <v>164.27426497418355</v>
      </c>
      <c r="AR783">
        <v>26.152391910683221</v>
      </c>
      <c r="AS783">
        <v>248.11248438164338</v>
      </c>
      <c r="AT783">
        <v>11.154319729956121</v>
      </c>
      <c r="AU783">
        <v>24.831592206099756</v>
      </c>
      <c r="AV783"/>
      <c r="AW783"/>
      <c r="FY783" s="213">
        <v>778</v>
      </c>
      <c r="FZ783">
        <v>50.391487922155257</v>
      </c>
      <c r="GA783">
        <v>30.411666700295104</v>
      </c>
      <c r="GB783">
        <v>6.8160833223228643</v>
      </c>
      <c r="GC783">
        <v>6.3719313021681714</v>
      </c>
      <c r="GD783">
        <v>7.1417849438543071</v>
      </c>
      <c r="GE783">
        <v>8.1281245572760223</v>
      </c>
      <c r="GF783">
        <v>23.671588891103184</v>
      </c>
      <c r="GG783">
        <v>21.359356700810022</v>
      </c>
      <c r="GH783">
        <v>7.519821599822536</v>
      </c>
      <c r="GI783">
        <v>18.759165636275711</v>
      </c>
      <c r="GJ783"/>
      <c r="GK783"/>
      <c r="GL783"/>
      <c r="GM783"/>
      <c r="GN783" s="208"/>
      <c r="GO783" s="208"/>
      <c r="GP783" s="208"/>
      <c r="GQ783" s="208"/>
      <c r="GR783" s="208"/>
      <c r="GS783" s="208"/>
      <c r="GT783" s="208"/>
      <c r="GU783" s="213">
        <v>778</v>
      </c>
    </row>
    <row r="784" spans="1:203" s="7" customFormat="1">
      <c r="A784" s="4"/>
      <c r="B784" s="4"/>
      <c r="C784" s="105"/>
      <c r="D784" s="4"/>
      <c r="E784" s="4"/>
      <c r="F784" s="28"/>
      <c r="G784" s="28"/>
      <c r="H784" s="83"/>
      <c r="I784" s="4"/>
      <c r="J784" s="4"/>
      <c r="K784" s="4"/>
      <c r="L784" s="4"/>
      <c r="M784" s="4"/>
      <c r="N784" s="28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4"/>
      <c r="AB784" s="4"/>
      <c r="AC784" s="4"/>
      <c r="AD784" s="4"/>
      <c r="AE784" s="4"/>
      <c r="AF784" s="81"/>
      <c r="AG784" s="81"/>
      <c r="AH784" s="81"/>
      <c r="AI784" s="4"/>
      <c r="AJ784" s="81"/>
      <c r="AK784" s="81"/>
      <c r="AL784" s="81"/>
      <c r="AM784" s="43">
        <v>768</v>
      </c>
      <c r="AN784">
        <v>384.4814219905943</v>
      </c>
      <c r="AO784">
        <v>20.928976607161172</v>
      </c>
      <c r="AP784">
        <v>59.764441250861488</v>
      </c>
      <c r="AQ784">
        <v>139.8124397179364</v>
      </c>
      <c r="AR784">
        <v>21.262709174407505</v>
      </c>
      <c r="AS784">
        <v>231.72899361674129</v>
      </c>
      <c r="AT784">
        <v>9.7827935120625202</v>
      </c>
      <c r="AU784">
        <v>20.899484029266468</v>
      </c>
      <c r="AV784"/>
      <c r="AW784"/>
      <c r="FY784" s="213">
        <v>779</v>
      </c>
      <c r="FZ784">
        <v>57.952726485387302</v>
      </c>
      <c r="GA784">
        <v>83.259164377416639</v>
      </c>
      <c r="GB784">
        <v>20.058081320859262</v>
      </c>
      <c r="GC784">
        <v>7.4358655233699551</v>
      </c>
      <c r="GD784">
        <v>5.3449791643336608</v>
      </c>
      <c r="GE784">
        <v>2.1261182725043883</v>
      </c>
      <c r="GF784">
        <v>16.942118083352952</v>
      </c>
      <c r="GG784">
        <v>17.898140264282851</v>
      </c>
      <c r="GH784">
        <v>6.8599646085734847</v>
      </c>
      <c r="GI784">
        <v>21.625774678631917</v>
      </c>
      <c r="GJ784"/>
      <c r="GK784"/>
      <c r="GL784"/>
      <c r="GM784"/>
      <c r="GN784" s="208"/>
      <c r="GO784" s="208"/>
      <c r="GP784" s="208"/>
      <c r="GQ784" s="208"/>
      <c r="GR784" s="208"/>
      <c r="GS784" s="208"/>
      <c r="GT784" s="208"/>
      <c r="GU784" s="213">
        <v>779</v>
      </c>
    </row>
    <row r="785" spans="1:203" s="7" customFormat="1">
      <c r="A785" s="4"/>
      <c r="B785" s="4"/>
      <c r="C785" s="105"/>
      <c r="D785" s="4"/>
      <c r="E785" s="4"/>
      <c r="F785" s="28"/>
      <c r="G785" s="28"/>
      <c r="H785" s="83"/>
      <c r="I785" s="4"/>
      <c r="J785" s="4"/>
      <c r="K785" s="4"/>
      <c r="L785" s="4"/>
      <c r="M785" s="4"/>
      <c r="N785" s="28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4"/>
      <c r="AB785" s="4"/>
      <c r="AC785" s="4"/>
      <c r="AD785" s="4"/>
      <c r="AE785" s="4"/>
      <c r="AF785" s="81"/>
      <c r="AG785" s="81"/>
      <c r="AH785" s="81"/>
      <c r="AI785" s="4"/>
      <c r="AJ785" s="81"/>
      <c r="AK785" s="81"/>
      <c r="AL785" s="81"/>
      <c r="AM785" s="43">
        <v>769</v>
      </c>
      <c r="AN785">
        <v>309.239366895871</v>
      </c>
      <c r="AO785">
        <v>25.540134019495135</v>
      </c>
      <c r="AP785">
        <v>94.422548222473452</v>
      </c>
      <c r="AQ785">
        <v>184.82028866331481</v>
      </c>
      <c r="AR785">
        <v>25.204003766247787</v>
      </c>
      <c r="AS785">
        <v>230.57221176830794</v>
      </c>
      <c r="AT785">
        <v>11.647271577989033</v>
      </c>
      <c r="AU785">
        <v>11.287893956932386</v>
      </c>
      <c r="AV785"/>
      <c r="AW785"/>
      <c r="FY785" s="213">
        <v>780</v>
      </c>
      <c r="FZ785">
        <v>53.267325239311575</v>
      </c>
      <c r="GA785">
        <v>56.893035486548627</v>
      </c>
      <c r="GB785">
        <v>13.181540835206263</v>
      </c>
      <c r="GC785">
        <v>8.0664584607691978</v>
      </c>
      <c r="GD785">
        <v>5.9078006569825403</v>
      </c>
      <c r="GE785">
        <v>4.6439762394630071</v>
      </c>
      <c r="GF785">
        <v>7.534439614675593</v>
      </c>
      <c r="GG785">
        <v>6.5845845195924317</v>
      </c>
      <c r="GH785">
        <v>11.930996049123387</v>
      </c>
      <c r="GI785">
        <v>18.24896863753046</v>
      </c>
      <c r="GJ785"/>
      <c r="GK785"/>
      <c r="GL785"/>
      <c r="GM785"/>
      <c r="GN785" s="208"/>
      <c r="GO785" s="208"/>
      <c r="GP785" s="208"/>
      <c r="GQ785" s="208"/>
      <c r="GR785" s="208"/>
      <c r="GS785" s="208"/>
      <c r="GT785" s="208"/>
      <c r="GU785" s="213">
        <v>780</v>
      </c>
    </row>
    <row r="786" spans="1:203" s="7" customFormat="1">
      <c r="A786" s="4"/>
      <c r="B786" s="4"/>
      <c r="C786" s="105"/>
      <c r="D786" s="4"/>
      <c r="E786" s="4"/>
      <c r="F786" s="28"/>
      <c r="G786" s="28"/>
      <c r="H786" s="83"/>
      <c r="I786" s="4"/>
      <c r="J786" s="4"/>
      <c r="K786" s="4"/>
      <c r="L786" s="4"/>
      <c r="M786" s="4"/>
      <c r="N786" s="28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4"/>
      <c r="AB786" s="4"/>
      <c r="AC786" s="4"/>
      <c r="AD786" s="4"/>
      <c r="AE786" s="4"/>
      <c r="AF786" s="81"/>
      <c r="AG786" s="81"/>
      <c r="AH786" s="81"/>
      <c r="AI786" s="4"/>
      <c r="AJ786" s="81"/>
      <c r="AK786" s="81"/>
      <c r="AL786" s="81"/>
      <c r="AM786" s="43">
        <v>770</v>
      </c>
      <c r="AN786">
        <v>353.77171305295815</v>
      </c>
      <c r="AO786">
        <v>25.244757475340492</v>
      </c>
      <c r="AP786">
        <v>82.879085351673268</v>
      </c>
      <c r="AQ786">
        <v>174.09415335837781</v>
      </c>
      <c r="AR786">
        <v>25.902311629893962</v>
      </c>
      <c r="AS786">
        <v>245.27180744576671</v>
      </c>
      <c r="AT786">
        <v>10.948774935403996</v>
      </c>
      <c r="AU786">
        <v>22.853247957980546</v>
      </c>
      <c r="AV786"/>
      <c r="AW786"/>
      <c r="FY786" s="213">
        <v>781</v>
      </c>
      <c r="FZ786">
        <v>48.818952299114805</v>
      </c>
      <c r="GA786">
        <v>83.527863440485547</v>
      </c>
      <c r="GB786">
        <v>23.213138754263664</v>
      </c>
      <c r="GC786">
        <v>4.1983910464484282</v>
      </c>
      <c r="GD786">
        <v>4.5670686464849499</v>
      </c>
      <c r="GE786">
        <v>5.8032419411667107</v>
      </c>
      <c r="GF786">
        <v>12.556258523764791</v>
      </c>
      <c r="GG786">
        <v>11.776954309867602</v>
      </c>
      <c r="GH786">
        <v>17.786106613993979</v>
      </c>
      <c r="GI786">
        <v>21.882382448415413</v>
      </c>
      <c r="GJ786"/>
      <c r="GK786"/>
      <c r="GL786"/>
      <c r="GM786"/>
      <c r="GN786" s="208"/>
      <c r="GO786" s="208"/>
      <c r="GP786" s="208"/>
      <c r="GQ786" s="208"/>
      <c r="GR786" s="208"/>
      <c r="GS786" s="208"/>
      <c r="GT786" s="208"/>
      <c r="GU786" s="213">
        <v>781</v>
      </c>
    </row>
    <row r="787" spans="1:203" s="7" customFormat="1">
      <c r="A787" s="4"/>
      <c r="B787" s="4"/>
      <c r="C787" s="105"/>
      <c r="D787" s="4"/>
      <c r="E787" s="4"/>
      <c r="F787" s="28"/>
      <c r="G787" s="28"/>
      <c r="H787" s="83"/>
      <c r="I787" s="4"/>
      <c r="J787" s="4"/>
      <c r="K787" s="4"/>
      <c r="L787" s="4"/>
      <c r="M787" s="4"/>
      <c r="N787" s="28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4"/>
      <c r="AB787" s="4"/>
      <c r="AC787" s="4"/>
      <c r="AD787" s="4"/>
      <c r="AE787" s="4"/>
      <c r="AF787" s="81"/>
      <c r="AG787" s="81"/>
      <c r="AH787" s="81"/>
      <c r="AI787" s="4"/>
      <c r="AJ787" s="81"/>
      <c r="AK787" s="81"/>
      <c r="AL787" s="81"/>
      <c r="AM787" s="43">
        <v>771</v>
      </c>
      <c r="AN787">
        <v>208.90782252980995</v>
      </c>
      <c r="AO787">
        <v>11.823027600984943</v>
      </c>
      <c r="AP787">
        <v>27.330698334414492</v>
      </c>
      <c r="AQ787">
        <v>78.86016215075793</v>
      </c>
      <c r="AR787">
        <v>12.930988593252037</v>
      </c>
      <c r="AS787">
        <v>139.82919579907954</v>
      </c>
      <c r="AT787">
        <v>6.9431079829894111</v>
      </c>
      <c r="AU787">
        <v>31.199270616788972</v>
      </c>
      <c r="AV787"/>
      <c r="AW787"/>
      <c r="FY787" s="213">
        <v>782</v>
      </c>
      <c r="FZ787">
        <v>37.169134733115712</v>
      </c>
      <c r="GA787">
        <v>29.868017592682655</v>
      </c>
      <c r="GB787">
        <v>5.1571726006546035</v>
      </c>
      <c r="GC787">
        <v>7.0301507925144255</v>
      </c>
      <c r="GD787">
        <v>5.2608456909419896</v>
      </c>
      <c r="GE787">
        <v>2.6424324113053101</v>
      </c>
      <c r="GF787">
        <v>21.458930368271389</v>
      </c>
      <c r="GG787">
        <v>20.421003491786834</v>
      </c>
      <c r="GH787">
        <v>11.23784772705687</v>
      </c>
      <c r="GI787">
        <v>15.558345724847934</v>
      </c>
      <c r="GJ787"/>
      <c r="GK787"/>
      <c r="GL787"/>
      <c r="GM787"/>
      <c r="GN787" s="208"/>
      <c r="GO787" s="208"/>
      <c r="GP787" s="208"/>
      <c r="GQ787" s="208"/>
      <c r="GR787" s="208"/>
      <c r="GS787" s="208"/>
      <c r="GT787" s="208"/>
      <c r="GU787" s="213">
        <v>782</v>
      </c>
    </row>
    <row r="788" spans="1:203" s="7" customFormat="1">
      <c r="A788" s="4"/>
      <c r="B788" s="4"/>
      <c r="C788" s="105"/>
      <c r="D788" s="4"/>
      <c r="E788" s="4"/>
      <c r="F788" s="28"/>
      <c r="G788" s="28"/>
      <c r="H788" s="83"/>
      <c r="I788" s="4"/>
      <c r="J788" s="4"/>
      <c r="K788" s="4"/>
      <c r="L788" s="4"/>
      <c r="M788" s="4"/>
      <c r="N788" s="28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4"/>
      <c r="AB788" s="4"/>
      <c r="AC788" s="4"/>
      <c r="AD788" s="4"/>
      <c r="AE788" s="4"/>
      <c r="AF788" s="81"/>
      <c r="AG788" s="81"/>
      <c r="AH788" s="81"/>
      <c r="AI788" s="4"/>
      <c r="AJ788" s="81"/>
      <c r="AK788" s="81"/>
      <c r="AL788" s="81"/>
      <c r="AM788" s="43">
        <v>772</v>
      </c>
      <c r="AN788">
        <v>256.64856761493081</v>
      </c>
      <c r="AO788">
        <v>20.165195723661764</v>
      </c>
      <c r="AP788">
        <v>71.01189814828696</v>
      </c>
      <c r="AQ788">
        <v>147.53056957965259</v>
      </c>
      <c r="AR788">
        <v>22.752552854540525</v>
      </c>
      <c r="AS788">
        <v>210.25512227979274</v>
      </c>
      <c r="AT788">
        <v>11.873545537554437</v>
      </c>
      <c r="AU788">
        <v>111.89439913095441</v>
      </c>
      <c r="AV788"/>
      <c r="AW788"/>
      <c r="FY788" s="213">
        <v>783</v>
      </c>
      <c r="FZ788">
        <v>45.128630946986227</v>
      </c>
      <c r="GA788">
        <v>39.574189949053562</v>
      </c>
      <c r="GB788">
        <v>12.28651778125975</v>
      </c>
      <c r="GC788">
        <v>9.0174700727047732</v>
      </c>
      <c r="GD788">
        <v>7.1159080453507828</v>
      </c>
      <c r="GE788">
        <v>4.5151352391122517</v>
      </c>
      <c r="GF788">
        <v>26.43427858646719</v>
      </c>
      <c r="GG788">
        <v>22.6801141312841</v>
      </c>
      <c r="GH788">
        <v>16.851657429713061</v>
      </c>
      <c r="GI788">
        <v>21.605399612766689</v>
      </c>
      <c r="GJ788"/>
      <c r="GK788"/>
      <c r="GL788"/>
      <c r="GM788"/>
      <c r="GN788" s="208"/>
      <c r="GO788" s="208"/>
      <c r="GP788" s="208"/>
      <c r="GQ788" s="208"/>
      <c r="GR788" s="208"/>
      <c r="GS788" s="208"/>
      <c r="GT788" s="208"/>
      <c r="GU788" s="213">
        <v>783</v>
      </c>
    </row>
    <row r="789" spans="1:203" s="7" customFormat="1">
      <c r="A789" s="4"/>
      <c r="B789" s="4"/>
      <c r="C789" s="105"/>
      <c r="D789" s="4"/>
      <c r="E789" s="4"/>
      <c r="F789" s="28"/>
      <c r="G789" s="28"/>
      <c r="H789" s="83"/>
      <c r="I789" s="4"/>
      <c r="J789" s="4"/>
      <c r="K789" s="4"/>
      <c r="L789" s="4"/>
      <c r="M789" s="4"/>
      <c r="N789" s="28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4"/>
      <c r="AB789" s="4"/>
      <c r="AC789" s="4"/>
      <c r="AD789" s="4"/>
      <c r="AE789" s="4"/>
      <c r="AF789" s="81"/>
      <c r="AG789" s="81"/>
      <c r="AH789" s="81"/>
      <c r="AI789" s="4"/>
      <c r="AJ789" s="81"/>
      <c r="AK789" s="81"/>
      <c r="AL789" s="81"/>
      <c r="AM789" s="43">
        <v>773</v>
      </c>
      <c r="AN789">
        <v>290.58397562425273</v>
      </c>
      <c r="AO789">
        <v>25.148556532534904</v>
      </c>
      <c r="AP789">
        <v>85.797262036868105</v>
      </c>
      <c r="AQ789">
        <v>189.54616035792239</v>
      </c>
      <c r="AR789">
        <v>24.817867767255073</v>
      </c>
      <c r="AS789">
        <v>247.64508761729047</v>
      </c>
      <c r="AT789">
        <v>12.248222840306441</v>
      </c>
      <c r="AU789">
        <v>20.450885496074338</v>
      </c>
      <c r="AV789"/>
      <c r="AW789"/>
      <c r="FY789" s="213">
        <v>784</v>
      </c>
      <c r="FZ789">
        <v>61.387420933515749</v>
      </c>
      <c r="GA789">
        <v>42.894119616603867</v>
      </c>
      <c r="GB789">
        <v>7.8907250862965395</v>
      </c>
      <c r="GC789">
        <v>5.6086699818660186</v>
      </c>
      <c r="GD789">
        <v>5.3358671570631415</v>
      </c>
      <c r="GE789">
        <v>9.2003187242810291</v>
      </c>
      <c r="GF789">
        <v>21.808684430841176</v>
      </c>
      <c r="GG789">
        <v>14.832009056796313</v>
      </c>
      <c r="GH789">
        <v>9.0775301860279196</v>
      </c>
      <c r="GI789">
        <v>19.546560016534698</v>
      </c>
      <c r="GJ789"/>
      <c r="GK789"/>
      <c r="GL789"/>
      <c r="GM789"/>
      <c r="GN789" s="208"/>
      <c r="GO789" s="208"/>
      <c r="GP789" s="208"/>
      <c r="GQ789" s="208"/>
      <c r="GR789" s="208"/>
      <c r="GS789" s="208"/>
      <c r="GT789" s="208"/>
      <c r="GU789" s="213">
        <v>784</v>
      </c>
    </row>
    <row r="790" spans="1:203" s="7" customFormat="1">
      <c r="A790" s="4"/>
      <c r="B790" s="4"/>
      <c r="C790" s="105"/>
      <c r="D790" s="4"/>
      <c r="E790" s="4"/>
      <c r="F790" s="28"/>
      <c r="G790" s="28"/>
      <c r="H790" s="83"/>
      <c r="I790" s="4"/>
      <c r="J790" s="4"/>
      <c r="K790" s="4"/>
      <c r="L790" s="4"/>
      <c r="M790" s="4"/>
      <c r="N790" s="28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4"/>
      <c r="AB790" s="4"/>
      <c r="AC790" s="4"/>
      <c r="AD790" s="4"/>
      <c r="AE790" s="4"/>
      <c r="AF790" s="81"/>
      <c r="AG790" s="81"/>
      <c r="AH790" s="81"/>
      <c r="AI790" s="4"/>
      <c r="AJ790" s="81"/>
      <c r="AK790" s="81"/>
      <c r="AL790" s="81"/>
      <c r="AM790" s="43">
        <v>774</v>
      </c>
      <c r="AN790">
        <v>349.52321470853269</v>
      </c>
      <c r="AO790">
        <v>18.975996971322008</v>
      </c>
      <c r="AP790">
        <v>64.028613904177419</v>
      </c>
      <c r="AQ790">
        <v>132.13495792918047</v>
      </c>
      <c r="AR790">
        <v>19.934583941549658</v>
      </c>
      <c r="AS790">
        <v>238.23070335165758</v>
      </c>
      <c r="AT790">
        <v>10.227314431269203</v>
      </c>
      <c r="AU790">
        <v>35.496566788133237</v>
      </c>
      <c r="AV790"/>
      <c r="AW790"/>
      <c r="FY790" s="213">
        <v>785</v>
      </c>
      <c r="FZ790">
        <v>50.549551031672664</v>
      </c>
      <c r="GA790">
        <v>44.646613228963957</v>
      </c>
      <c r="GB790">
        <v>3.3530030606650509</v>
      </c>
      <c r="GC790">
        <v>5.0635395615629841</v>
      </c>
      <c r="GD790">
        <v>6.0761416426905495</v>
      </c>
      <c r="GE790">
        <v>11.047499830548935</v>
      </c>
      <c r="GF790">
        <v>11.3003586274063</v>
      </c>
      <c r="GG790">
        <v>6.4373679542006412</v>
      </c>
      <c r="GH790">
        <v>17.932526739627985</v>
      </c>
      <c r="GI790">
        <v>16.685641052859939</v>
      </c>
      <c r="GJ790"/>
      <c r="GK790"/>
      <c r="GL790"/>
      <c r="GM790"/>
      <c r="GN790" s="208"/>
      <c r="GO790" s="208"/>
      <c r="GP790" s="208"/>
      <c r="GQ790" s="208"/>
      <c r="GR790" s="208"/>
      <c r="GS790" s="208"/>
      <c r="GT790" s="208"/>
      <c r="GU790" s="213">
        <v>785</v>
      </c>
    </row>
    <row r="791" spans="1:203" s="7" customFormat="1">
      <c r="A791" s="4"/>
      <c r="B791" s="4"/>
      <c r="C791" s="105"/>
      <c r="D791" s="4"/>
      <c r="E791" s="4"/>
      <c r="F791" s="28"/>
      <c r="G791" s="28"/>
      <c r="H791" s="83"/>
      <c r="I791" s="4"/>
      <c r="J791" s="4"/>
      <c r="K791" s="4"/>
      <c r="L791" s="4"/>
      <c r="M791" s="4"/>
      <c r="N791" s="28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4"/>
      <c r="AB791" s="4"/>
      <c r="AC791" s="4"/>
      <c r="AD791" s="4"/>
      <c r="AE791" s="4"/>
      <c r="AF791" s="81"/>
      <c r="AG791" s="81"/>
      <c r="AH791" s="81"/>
      <c r="AI791" s="4"/>
      <c r="AJ791" s="81"/>
      <c r="AK791" s="81"/>
      <c r="AL791" s="81"/>
      <c r="AM791" s="43">
        <v>775</v>
      </c>
      <c r="AN791">
        <v>312.52409481935121</v>
      </c>
      <c r="AO791">
        <v>21.596562407495473</v>
      </c>
      <c r="AP791">
        <v>111.18947725702398</v>
      </c>
      <c r="AQ791">
        <v>153.75855942891704</v>
      </c>
      <c r="AR791">
        <v>21.928673967970333</v>
      </c>
      <c r="AS791">
        <v>230.39215603038036</v>
      </c>
      <c r="AT791">
        <v>11.140541013212001</v>
      </c>
      <c r="AU791">
        <v>34.285686074460799</v>
      </c>
      <c r="AV791"/>
      <c r="AW791"/>
      <c r="FY791" s="213">
        <v>786</v>
      </c>
      <c r="FZ791">
        <v>58.653048372530058</v>
      </c>
      <c r="GA791">
        <v>36.328680648258683</v>
      </c>
      <c r="GB791">
        <v>5.298319327583271</v>
      </c>
      <c r="GC791">
        <v>8.7296757521988564</v>
      </c>
      <c r="GD791">
        <v>6.9036138968514695</v>
      </c>
      <c r="GE791">
        <v>7.238752768857232</v>
      </c>
      <c r="GF791">
        <v>22.741506253496954</v>
      </c>
      <c r="GG791">
        <v>16.228403551756337</v>
      </c>
      <c r="GH791">
        <v>12.648066211648539</v>
      </c>
      <c r="GI791">
        <v>19.92212156384144</v>
      </c>
      <c r="GJ791"/>
      <c r="GK791"/>
      <c r="GL791"/>
      <c r="GM791"/>
      <c r="GN791" s="208"/>
      <c r="GO791" s="208"/>
      <c r="GP791" s="208"/>
      <c r="GQ791" s="208"/>
      <c r="GR791" s="208"/>
      <c r="GS791" s="208"/>
      <c r="GT791" s="208"/>
      <c r="GU791" s="213">
        <v>786</v>
      </c>
    </row>
    <row r="792" spans="1:203" s="7" customFormat="1">
      <c r="A792" s="4"/>
      <c r="B792" s="4"/>
      <c r="C792" s="105"/>
      <c r="D792" s="4"/>
      <c r="E792" s="4"/>
      <c r="F792" s="28"/>
      <c r="G792" s="28"/>
      <c r="H792" s="83"/>
      <c r="I792" s="4"/>
      <c r="J792" s="4"/>
      <c r="K792" s="4"/>
      <c r="L792" s="4"/>
      <c r="M792" s="4"/>
      <c r="N792" s="28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81"/>
      <c r="AG792" s="81"/>
      <c r="AH792" s="81"/>
      <c r="AI792" s="4"/>
      <c r="AJ792" s="81"/>
      <c r="AK792" s="81"/>
      <c r="AL792" s="81"/>
      <c r="AM792" s="43">
        <v>776</v>
      </c>
      <c r="AN792">
        <v>358.95932689459181</v>
      </c>
      <c r="AO792">
        <v>27.29513213465578</v>
      </c>
      <c r="AP792">
        <v>55.338390158522685</v>
      </c>
      <c r="AQ792">
        <v>190.23021475375918</v>
      </c>
      <c r="AR792">
        <v>28.282731279265395</v>
      </c>
      <c r="AS792">
        <v>257.47656666149749</v>
      </c>
      <c r="AT792">
        <v>12.753564826638035</v>
      </c>
      <c r="AU792">
        <v>20.145691227846108</v>
      </c>
      <c r="AV792"/>
      <c r="AW792"/>
      <c r="FY792" s="213">
        <v>787</v>
      </c>
      <c r="FZ792">
        <v>42.480741264148996</v>
      </c>
      <c r="GA792">
        <v>45.479947000554127</v>
      </c>
      <c r="GB792">
        <v>17.494160971359214</v>
      </c>
      <c r="GC792">
        <v>7.4789878321084293</v>
      </c>
      <c r="GD792">
        <v>6.2408584621854351</v>
      </c>
      <c r="GE792">
        <v>4.9713658189922629</v>
      </c>
      <c r="GF792">
        <v>12.629239208031303</v>
      </c>
      <c r="GG792">
        <v>11.959567126260254</v>
      </c>
      <c r="GH792">
        <v>14.753413720988267</v>
      </c>
      <c r="GI792">
        <v>19.622741299840406</v>
      </c>
      <c r="GJ792"/>
      <c r="GK792"/>
      <c r="GL792"/>
      <c r="GM792"/>
      <c r="GN792" s="208"/>
      <c r="GO792" s="208"/>
      <c r="GP792" s="208"/>
      <c r="GQ792" s="208"/>
      <c r="GR792" s="208"/>
      <c r="GS792" s="208"/>
      <c r="GT792" s="208"/>
      <c r="GU792" s="213">
        <v>787</v>
      </c>
    </row>
    <row r="793" spans="1:203" s="7" customFormat="1">
      <c r="A793" s="4"/>
      <c r="B793" s="4"/>
      <c r="C793" s="105"/>
      <c r="D793" s="4"/>
      <c r="E793" s="4"/>
      <c r="F793" s="28"/>
      <c r="G793" s="28"/>
      <c r="H793" s="83"/>
      <c r="I793" s="4"/>
      <c r="J793" s="4"/>
      <c r="K793" s="4"/>
      <c r="L793" s="4"/>
      <c r="M793" s="4"/>
      <c r="N793" s="28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81"/>
      <c r="AG793" s="81"/>
      <c r="AH793" s="81"/>
      <c r="AI793" s="4"/>
      <c r="AJ793" s="81"/>
      <c r="AK793" s="81"/>
      <c r="AL793" s="81"/>
      <c r="AM793" s="43">
        <v>777</v>
      </c>
      <c r="AN793">
        <v>376.01193089024935</v>
      </c>
      <c r="AO793">
        <v>26.30541139664486</v>
      </c>
      <c r="AP793">
        <v>126.52584772580218</v>
      </c>
      <c r="AQ793">
        <v>190.06764029568217</v>
      </c>
      <c r="AR793">
        <v>26.450136235912201</v>
      </c>
      <c r="AS793">
        <v>256.69309811111447</v>
      </c>
      <c r="AT793">
        <v>11.304584743561414</v>
      </c>
      <c r="AU793">
        <v>40.106084293706033</v>
      </c>
      <c r="AV793"/>
      <c r="AW793"/>
      <c r="FY793" s="213">
        <v>788</v>
      </c>
      <c r="FZ793">
        <v>53.005774797650972</v>
      </c>
      <c r="GA793">
        <v>58.86793875283194</v>
      </c>
      <c r="GB793">
        <v>12.804781962644208</v>
      </c>
      <c r="GC793">
        <v>4.222208038688132</v>
      </c>
      <c r="GD793">
        <v>4.3004711540938807</v>
      </c>
      <c r="GE793">
        <v>6.0209229019250872</v>
      </c>
      <c r="GF793">
        <v>20.249528025953929</v>
      </c>
      <c r="GG793">
        <v>18.449095306543771</v>
      </c>
      <c r="GH793">
        <v>13.608966726854559</v>
      </c>
      <c r="GI793">
        <v>19.744333444863571</v>
      </c>
      <c r="GJ793"/>
      <c r="GK793"/>
      <c r="GL793"/>
      <c r="GM793"/>
      <c r="GN793" s="208"/>
      <c r="GO793" s="208"/>
      <c r="GP793" s="208"/>
      <c r="GQ793" s="208"/>
      <c r="GR793" s="208"/>
      <c r="GS793" s="208"/>
      <c r="GT793" s="208"/>
      <c r="GU793" s="213">
        <v>788</v>
      </c>
    </row>
    <row r="794" spans="1:203" s="7" customFormat="1">
      <c r="A794" s="4"/>
      <c r="B794" s="4"/>
      <c r="C794" s="105"/>
      <c r="D794" s="4"/>
      <c r="E794" s="4"/>
      <c r="F794" s="28"/>
      <c r="G794" s="28"/>
      <c r="H794" s="83"/>
      <c r="I794" s="4"/>
      <c r="J794" s="4"/>
      <c r="K794" s="4"/>
      <c r="L794" s="4"/>
      <c r="M794" s="4"/>
      <c r="N794" s="28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81"/>
      <c r="AG794" s="81"/>
      <c r="AH794" s="81"/>
      <c r="AI794" s="4"/>
      <c r="AJ794" s="81"/>
      <c r="AK794" s="81"/>
      <c r="AL794" s="81"/>
      <c r="AM794" s="43">
        <v>778</v>
      </c>
      <c r="AN794">
        <v>370.55460243852627</v>
      </c>
      <c r="AO794">
        <v>25.793471262380297</v>
      </c>
      <c r="AP794">
        <v>64.49767412615185</v>
      </c>
      <c r="AQ794">
        <v>180.57101157608321</v>
      </c>
      <c r="AR794">
        <v>27.342982643793835</v>
      </c>
      <c r="AS794">
        <v>275.86863183692009</v>
      </c>
      <c r="AT794">
        <v>13.584760607718708</v>
      </c>
      <c r="AU794">
        <v>37.029936342666339</v>
      </c>
      <c r="AV794"/>
      <c r="AW794"/>
      <c r="FY794" s="213">
        <v>789</v>
      </c>
      <c r="FZ794">
        <v>46.896958355627248</v>
      </c>
      <c r="GA794">
        <v>43.512664738764094</v>
      </c>
      <c r="GB794">
        <v>8.3503273152410351</v>
      </c>
      <c r="GC794">
        <v>4.5590899424957962</v>
      </c>
      <c r="GD794">
        <v>2.9954151749390459</v>
      </c>
      <c r="GE794">
        <v>4.2345795007059417</v>
      </c>
      <c r="GF794">
        <v>14.73081017548413</v>
      </c>
      <c r="GG794">
        <v>10.75034898172912</v>
      </c>
      <c r="GH794">
        <v>12.791706822988134</v>
      </c>
      <c r="GI794">
        <v>15.66252840814896</v>
      </c>
      <c r="GJ794"/>
      <c r="GK794"/>
      <c r="GL794"/>
      <c r="GM794"/>
      <c r="GN794" s="208"/>
      <c r="GO794" s="208"/>
      <c r="GP794" s="208"/>
      <c r="GQ794" s="208"/>
      <c r="GR794" s="208"/>
      <c r="GS794" s="208"/>
      <c r="GT794" s="208"/>
      <c r="GU794" s="213">
        <v>789</v>
      </c>
    </row>
    <row r="795" spans="1:203" s="7" customFormat="1">
      <c r="A795" s="4"/>
      <c r="B795" s="4"/>
      <c r="C795" s="105"/>
      <c r="D795" s="4"/>
      <c r="E795" s="4"/>
      <c r="F795" s="28"/>
      <c r="G795" s="28"/>
      <c r="H795" s="83"/>
      <c r="I795" s="4"/>
      <c r="J795" s="4"/>
      <c r="K795" s="4"/>
      <c r="L795" s="4"/>
      <c r="M795" s="4"/>
      <c r="N795" s="28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4"/>
      <c r="AB795" s="4"/>
      <c r="AC795" s="4"/>
      <c r="AD795" s="4"/>
      <c r="AE795" s="4"/>
      <c r="AF795" s="81"/>
      <c r="AG795" s="81"/>
      <c r="AH795" s="81"/>
      <c r="AI795" s="4"/>
      <c r="AJ795" s="81"/>
      <c r="AK795" s="81"/>
      <c r="AL795" s="81"/>
      <c r="AM795" s="43">
        <v>779</v>
      </c>
      <c r="AN795">
        <v>310.88954899656426</v>
      </c>
      <c r="AO795">
        <v>32.877923793911627</v>
      </c>
      <c r="AP795">
        <v>74.672406374875251</v>
      </c>
      <c r="AQ795">
        <v>239.50293277871245</v>
      </c>
      <c r="AR795">
        <v>32.318311901545094</v>
      </c>
      <c r="AS795">
        <v>304.31383685718237</v>
      </c>
      <c r="AT795">
        <v>14.312721754694044</v>
      </c>
      <c r="AU795">
        <v>1.1348230353130404</v>
      </c>
      <c r="AV795"/>
      <c r="AW795"/>
      <c r="FY795" s="213">
        <v>790</v>
      </c>
      <c r="FZ795">
        <v>41.844097951529541</v>
      </c>
      <c r="GA795">
        <v>60.752396283239889</v>
      </c>
      <c r="GB795">
        <v>19.208902206708373</v>
      </c>
      <c r="GC795">
        <v>4.1932411900392861</v>
      </c>
      <c r="GD795">
        <v>3.027448439416534</v>
      </c>
      <c r="GE795">
        <v>2.8604489426337096</v>
      </c>
      <c r="GF795">
        <v>16.516721199132281</v>
      </c>
      <c r="GG795">
        <v>15.36384845975663</v>
      </c>
      <c r="GH795">
        <v>18.950788475955033</v>
      </c>
      <c r="GI795">
        <v>19.616146298829353</v>
      </c>
      <c r="GJ795"/>
      <c r="GK795"/>
      <c r="GL795"/>
      <c r="GM795"/>
      <c r="GN795" s="208"/>
      <c r="GO795" s="208"/>
      <c r="GP795" s="208"/>
      <c r="GQ795" s="208"/>
      <c r="GR795" s="208"/>
      <c r="GS795" s="208"/>
      <c r="GT795" s="208"/>
      <c r="GU795" s="213">
        <v>790</v>
      </c>
    </row>
    <row r="796" spans="1:203" s="7" customFormat="1">
      <c r="A796" s="4"/>
      <c r="B796" s="4"/>
      <c r="C796" s="105"/>
      <c r="D796" s="4"/>
      <c r="E796" s="4"/>
      <c r="F796" s="28"/>
      <c r="G796" s="28"/>
      <c r="H796" s="83"/>
      <c r="I796" s="4"/>
      <c r="J796" s="4"/>
      <c r="K796" s="4"/>
      <c r="L796" s="4"/>
      <c r="M796" s="4"/>
      <c r="N796" s="28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81"/>
      <c r="AG796" s="81"/>
      <c r="AH796" s="81"/>
      <c r="AI796" s="4"/>
      <c r="AJ796" s="81"/>
      <c r="AK796" s="81"/>
      <c r="AL796" s="81"/>
      <c r="AM796" s="43">
        <v>780</v>
      </c>
      <c r="AN796">
        <v>297.35056835385518</v>
      </c>
      <c r="AO796">
        <v>26.02770036390428</v>
      </c>
      <c r="AP796">
        <v>54.555582762052552</v>
      </c>
      <c r="AQ796">
        <v>186.25912573920309</v>
      </c>
      <c r="AR796">
        <v>26.999390785009059</v>
      </c>
      <c r="AS796">
        <v>229.6586634073735</v>
      </c>
      <c r="AT796">
        <v>12.569138729487998</v>
      </c>
      <c r="AU796">
        <v>15.629470388499549</v>
      </c>
      <c r="AV796"/>
      <c r="AW796"/>
      <c r="FY796" s="213">
        <v>791</v>
      </c>
      <c r="FZ796">
        <v>38.390728936043544</v>
      </c>
      <c r="GA796">
        <v>47.914429655048188</v>
      </c>
      <c r="GB796">
        <v>15.777850365304928</v>
      </c>
      <c r="GC796">
        <v>5.8068308063555989</v>
      </c>
      <c r="GD796">
        <v>4.935086160273797</v>
      </c>
      <c r="GE796">
        <v>3.0188635393537018</v>
      </c>
      <c r="GF796">
        <v>11.504135609371646</v>
      </c>
      <c r="GG796">
        <v>11.919299145194678</v>
      </c>
      <c r="GH796">
        <v>12.350751557941376</v>
      </c>
      <c r="GI796">
        <v>17.227150586483429</v>
      </c>
      <c r="GJ796"/>
      <c r="GK796"/>
      <c r="GL796"/>
      <c r="GM796"/>
      <c r="GN796" s="208"/>
      <c r="GO796" s="208"/>
      <c r="GP796" s="208"/>
      <c r="GQ796" s="208"/>
      <c r="GR796" s="208"/>
      <c r="GS796" s="208"/>
      <c r="GT796" s="208"/>
      <c r="GU796" s="213">
        <v>791</v>
      </c>
    </row>
    <row r="797" spans="1:203" s="7" customFormat="1">
      <c r="A797" s="4"/>
      <c r="B797" s="4"/>
      <c r="C797" s="105"/>
      <c r="D797" s="4"/>
      <c r="E797" s="4"/>
      <c r="F797" s="28"/>
      <c r="G797" s="28"/>
      <c r="H797" s="83"/>
      <c r="I797" s="4"/>
      <c r="J797" s="4"/>
      <c r="K797" s="4"/>
      <c r="L797" s="4"/>
      <c r="M797" s="4"/>
      <c r="N797" s="28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4"/>
      <c r="AB797" s="4"/>
      <c r="AC797" s="4"/>
      <c r="AD797" s="4"/>
      <c r="AE797" s="4"/>
      <c r="AF797" s="81"/>
      <c r="AG797" s="81"/>
      <c r="AH797" s="81"/>
      <c r="AI797" s="4"/>
      <c r="AJ797" s="81"/>
      <c r="AK797" s="81"/>
      <c r="AL797" s="81"/>
      <c r="AM797" s="43">
        <v>781</v>
      </c>
      <c r="AN797">
        <v>285.25259168293326</v>
      </c>
      <c r="AO797">
        <v>32.5173237157111</v>
      </c>
      <c r="AP797">
        <v>81.801124231693564</v>
      </c>
      <c r="AQ797">
        <v>234.13035802400589</v>
      </c>
      <c r="AR797">
        <v>33.113107836921564</v>
      </c>
      <c r="AS797">
        <v>292.33566101948111</v>
      </c>
      <c r="AT797">
        <v>12.771096157772783</v>
      </c>
      <c r="AU797">
        <v>-14.619068761916488</v>
      </c>
      <c r="AV797"/>
      <c r="AW797"/>
      <c r="FY797" s="213">
        <v>792</v>
      </c>
      <c r="FZ797">
        <v>59.353543919126771</v>
      </c>
      <c r="GA797">
        <v>56.574655245647037</v>
      </c>
      <c r="GB797">
        <v>12.669642173068791</v>
      </c>
      <c r="GC797">
        <v>5.1086058254090405</v>
      </c>
      <c r="GD797">
        <v>4.341710093777456</v>
      </c>
      <c r="GE797">
        <v>3.8125609969832519</v>
      </c>
      <c r="GF797">
        <v>21.570197604431737</v>
      </c>
      <c r="GG797">
        <v>22.197560153926759</v>
      </c>
      <c r="GH797">
        <v>13.797936504876084</v>
      </c>
      <c r="GI797">
        <v>20.916386796035539</v>
      </c>
      <c r="GJ797"/>
      <c r="GK797"/>
      <c r="GL797"/>
      <c r="GM797"/>
      <c r="GN797" s="208"/>
      <c r="GO797" s="208"/>
      <c r="GP797" s="208"/>
      <c r="GQ797" s="208"/>
      <c r="GR797" s="208"/>
      <c r="GS797" s="208"/>
      <c r="GT797" s="208"/>
      <c r="GU797" s="213">
        <v>792</v>
      </c>
    </row>
    <row r="798" spans="1:203" s="7" customFormat="1">
      <c r="A798" s="4"/>
      <c r="B798" s="4"/>
      <c r="C798" s="105"/>
      <c r="D798" s="4"/>
      <c r="E798" s="4"/>
      <c r="F798" s="28"/>
      <c r="G798" s="28"/>
      <c r="H798" s="83"/>
      <c r="I798" s="4"/>
      <c r="J798" s="4"/>
      <c r="K798" s="4"/>
      <c r="L798" s="4"/>
      <c r="M798" s="4"/>
      <c r="N798" s="28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81"/>
      <c r="AG798" s="81"/>
      <c r="AH798" s="81"/>
      <c r="AI798" s="4"/>
      <c r="AJ798" s="81"/>
      <c r="AK798" s="81"/>
      <c r="AL798" s="81"/>
      <c r="AM798" s="43">
        <v>782</v>
      </c>
      <c r="AN798">
        <v>282.56693784354047</v>
      </c>
      <c r="AO798">
        <v>21.44522249049168</v>
      </c>
      <c r="AP798">
        <v>63.876063225768789</v>
      </c>
      <c r="AQ798">
        <v>155.8038811331777</v>
      </c>
      <c r="AR798">
        <v>21.944685645534907</v>
      </c>
      <c r="AS798">
        <v>221.00079966893603</v>
      </c>
      <c r="AT798">
        <v>11.670199825326984</v>
      </c>
      <c r="AU798">
        <v>29.926931351837919</v>
      </c>
      <c r="AV798"/>
      <c r="AW798"/>
      <c r="FY798" s="213">
        <v>793</v>
      </c>
      <c r="FZ798">
        <v>24.427158565399754</v>
      </c>
      <c r="GA798">
        <v>35.864330755944046</v>
      </c>
      <c r="GB798">
        <v>11.629245408295189</v>
      </c>
      <c r="GC798">
        <v>6.5049144485033565</v>
      </c>
      <c r="GD798">
        <v>6.3017330596717382</v>
      </c>
      <c r="GE798">
        <v>8.3220339235784344</v>
      </c>
      <c r="GF798">
        <v>25.223187511062626</v>
      </c>
      <c r="GG798">
        <v>20.614617211449161</v>
      </c>
      <c r="GH798">
        <v>9.8299252710582117</v>
      </c>
      <c r="GI798">
        <v>16.648286394274024</v>
      </c>
      <c r="GJ798"/>
      <c r="GK798"/>
      <c r="GL798"/>
      <c r="GM798"/>
      <c r="GN798" s="208"/>
      <c r="GO798" s="208"/>
      <c r="GP798" s="208"/>
      <c r="GQ798" s="208"/>
      <c r="GR798" s="208"/>
      <c r="GS798" s="208"/>
      <c r="GT798" s="208"/>
      <c r="GU798" s="213">
        <v>793</v>
      </c>
    </row>
    <row r="799" spans="1:203" s="7" customFormat="1">
      <c r="A799" s="4"/>
      <c r="B799" s="4"/>
      <c r="C799" s="105"/>
      <c r="D799" s="4"/>
      <c r="E799" s="4"/>
      <c r="F799" s="28"/>
      <c r="G799" s="28"/>
      <c r="H799" s="83"/>
      <c r="I799" s="4"/>
      <c r="J799" s="4"/>
      <c r="K799" s="4"/>
      <c r="L799" s="4"/>
      <c r="M799" s="4"/>
      <c r="N799" s="28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81"/>
      <c r="AG799" s="81"/>
      <c r="AH799" s="81"/>
      <c r="AI799" s="4"/>
      <c r="AJ799" s="81"/>
      <c r="AK799" s="81"/>
      <c r="AL799" s="81"/>
      <c r="AM799" s="43">
        <v>783</v>
      </c>
      <c r="AN799">
        <v>375.79494683970506</v>
      </c>
      <c r="AO799">
        <v>30.017656687664594</v>
      </c>
      <c r="AP799">
        <v>110.37654776573547</v>
      </c>
      <c r="AQ799">
        <v>205.2093017946984</v>
      </c>
      <c r="AR799">
        <v>32.092317760325493</v>
      </c>
      <c r="AS799">
        <v>298.7079227186295</v>
      </c>
      <c r="AT799">
        <v>14.057205671273493</v>
      </c>
      <c r="AU799">
        <v>45.201137360633915</v>
      </c>
      <c r="AV799"/>
      <c r="AW799"/>
      <c r="FY799" s="213">
        <v>794</v>
      </c>
      <c r="FZ799">
        <v>58.960087458933302</v>
      </c>
      <c r="GA799">
        <v>79.001118418932691</v>
      </c>
      <c r="GB799">
        <v>15.958766856903498</v>
      </c>
      <c r="GC799">
        <v>6.335576272957816</v>
      </c>
      <c r="GD799">
        <v>6.1234452352737403</v>
      </c>
      <c r="GE799">
        <v>4.920203405327447</v>
      </c>
      <c r="GF799">
        <v>10.534177285264077</v>
      </c>
      <c r="GG799">
        <v>11.090185080021669</v>
      </c>
      <c r="GH799">
        <v>16.979575917447185</v>
      </c>
      <c r="GI799">
        <v>21.501929860209227</v>
      </c>
      <c r="GJ799"/>
      <c r="GK799"/>
      <c r="GL799"/>
      <c r="GM799"/>
      <c r="GN799" s="208"/>
      <c r="GO799" s="208"/>
      <c r="GP799" s="208"/>
      <c r="GQ799" s="208"/>
      <c r="GR799" s="208"/>
      <c r="GS799" s="208"/>
      <c r="GT799" s="208"/>
      <c r="GU799" s="213">
        <v>794</v>
      </c>
    </row>
    <row r="800" spans="1:203" s="7" customFormat="1">
      <c r="A800" s="4"/>
      <c r="B800" s="4"/>
      <c r="C800" s="105"/>
      <c r="D800" s="4"/>
      <c r="E800" s="4"/>
      <c r="F800" s="28"/>
      <c r="G800" s="28"/>
      <c r="H800" s="83"/>
      <c r="I800" s="4"/>
      <c r="J800" s="4"/>
      <c r="K800" s="4"/>
      <c r="L800" s="4"/>
      <c r="M800" s="4"/>
      <c r="N800" s="28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81"/>
      <c r="AG800" s="81"/>
      <c r="AH800" s="81"/>
      <c r="AI800" s="4"/>
      <c r="AJ800" s="81"/>
      <c r="AK800" s="81"/>
      <c r="AL800" s="81"/>
      <c r="AM800" s="43">
        <v>784</v>
      </c>
      <c r="AN800">
        <v>366.17692614169397</v>
      </c>
      <c r="AO800">
        <v>27.148787723913678</v>
      </c>
      <c r="AP800">
        <v>94.644666494142967</v>
      </c>
      <c r="AQ800">
        <v>197.58190518982647</v>
      </c>
      <c r="AR800">
        <v>28.946622302413473</v>
      </c>
      <c r="AS800">
        <v>252.99315362115482</v>
      </c>
      <c r="AT800">
        <v>14.270427285940627</v>
      </c>
      <c r="AU800">
        <v>33.542699889830388</v>
      </c>
      <c r="AV800"/>
      <c r="AW800"/>
      <c r="FY800" s="213">
        <v>795</v>
      </c>
      <c r="FZ800">
        <v>78.504230577370905</v>
      </c>
      <c r="GA800">
        <v>104.55013297854326</v>
      </c>
      <c r="GB800">
        <v>19.048090799765273</v>
      </c>
      <c r="GC800">
        <v>6.0672139189279521</v>
      </c>
      <c r="GD800">
        <v>4.6525130496646998</v>
      </c>
      <c r="GE800">
        <v>5.1170854973012387</v>
      </c>
      <c r="GF800">
        <v>19.166743948508305</v>
      </c>
      <c r="GG800">
        <v>16.444645909285931</v>
      </c>
      <c r="GH800">
        <v>13.875829886182611</v>
      </c>
      <c r="GI800">
        <v>25.530853641488804</v>
      </c>
      <c r="GJ800"/>
      <c r="GK800"/>
      <c r="GL800"/>
      <c r="GM800"/>
      <c r="GN800" s="208"/>
      <c r="GO800" s="208"/>
      <c r="GP800" s="208"/>
      <c r="GQ800" s="208"/>
      <c r="GR800" s="208"/>
      <c r="GS800" s="208"/>
      <c r="GT800" s="208"/>
      <c r="GU800" s="213">
        <v>795</v>
      </c>
    </row>
    <row r="801" spans="1:203" s="7" customFormat="1">
      <c r="A801" s="4"/>
      <c r="B801" s="4"/>
      <c r="C801" s="105"/>
      <c r="D801" s="4"/>
      <c r="E801" s="4"/>
      <c r="F801" s="28"/>
      <c r="G801" s="28"/>
      <c r="H801" s="83"/>
      <c r="I801" s="4"/>
      <c r="J801" s="4"/>
      <c r="K801" s="4"/>
      <c r="L801" s="4"/>
      <c r="M801" s="4"/>
      <c r="N801" s="28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4"/>
      <c r="AB801" s="4"/>
      <c r="AC801" s="4"/>
      <c r="AD801" s="4"/>
      <c r="AE801" s="4"/>
      <c r="AF801" s="81"/>
      <c r="AG801" s="81"/>
      <c r="AH801" s="81"/>
      <c r="AI801" s="4"/>
      <c r="AJ801" s="81"/>
      <c r="AK801" s="81"/>
      <c r="AL801" s="81"/>
      <c r="AM801" s="43">
        <v>785</v>
      </c>
      <c r="AN801">
        <v>320.56620229207454</v>
      </c>
      <c r="AO801">
        <v>22.896214197259319</v>
      </c>
      <c r="AP801">
        <v>136.96624778547212</v>
      </c>
      <c r="AQ801">
        <v>173.09224273019902</v>
      </c>
      <c r="AR801">
        <v>23.772061952510992</v>
      </c>
      <c r="AS801">
        <v>240.23320622811022</v>
      </c>
      <c r="AT801">
        <v>12.872109393873449</v>
      </c>
      <c r="AU801">
        <v>-243.1167073028887</v>
      </c>
      <c r="AV801"/>
      <c r="AW801"/>
      <c r="FY801" s="213">
        <v>796</v>
      </c>
      <c r="FZ801">
        <v>46.83583180007048</v>
      </c>
      <c r="GA801">
        <v>59.983638143838455</v>
      </c>
      <c r="GB801">
        <v>13.260958024556395</v>
      </c>
      <c r="GC801">
        <v>6.9018857970939216</v>
      </c>
      <c r="GD801">
        <v>5.8642337203563724</v>
      </c>
      <c r="GE801">
        <v>6.0871216860626616</v>
      </c>
      <c r="GF801">
        <v>11.551043884510349</v>
      </c>
      <c r="GG801">
        <v>10.356609637456586</v>
      </c>
      <c r="GH801">
        <v>18.597463893217167</v>
      </c>
      <c r="GI801">
        <v>19.128122781575062</v>
      </c>
      <c r="GJ801"/>
      <c r="GK801"/>
      <c r="GL801"/>
      <c r="GM801"/>
      <c r="GN801" s="208"/>
      <c r="GO801" s="208"/>
      <c r="GP801" s="208"/>
      <c r="GQ801" s="208"/>
      <c r="GR801" s="208"/>
      <c r="GS801" s="208"/>
      <c r="GT801" s="208"/>
      <c r="GU801" s="213">
        <v>796</v>
      </c>
    </row>
    <row r="802" spans="1:203" s="7" customFormat="1">
      <c r="A802" s="4"/>
      <c r="B802" s="4"/>
      <c r="C802" s="105"/>
      <c r="D802" s="4"/>
      <c r="E802" s="4"/>
      <c r="F802" s="28"/>
      <c r="G802" s="28"/>
      <c r="H802" s="83"/>
      <c r="I802" s="4"/>
      <c r="J802" s="4"/>
      <c r="K802" s="4"/>
      <c r="L802" s="4"/>
      <c r="M802" s="4"/>
      <c r="N802" s="28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4"/>
      <c r="AB802" s="4"/>
      <c r="AC802" s="4"/>
      <c r="AD802" s="4"/>
      <c r="AE802" s="4"/>
      <c r="AF802" s="81"/>
      <c r="AG802" s="81"/>
      <c r="AH802" s="81"/>
      <c r="AI802" s="4"/>
      <c r="AJ802" s="81"/>
      <c r="AK802" s="81"/>
      <c r="AL802" s="81"/>
      <c r="AM802" s="43">
        <v>786</v>
      </c>
      <c r="AN802">
        <v>384.29663101842164</v>
      </c>
      <c r="AO802">
        <v>26.918750093446807</v>
      </c>
      <c r="AP802">
        <v>87.057765745609117</v>
      </c>
      <c r="AQ802">
        <v>194.69218834702286</v>
      </c>
      <c r="AR802">
        <v>28.935970812048566</v>
      </c>
      <c r="AS802">
        <v>312.6173246179369</v>
      </c>
      <c r="AT802">
        <v>15.32316531281724</v>
      </c>
      <c r="AU802">
        <v>54.110846913885297</v>
      </c>
      <c r="AV802"/>
      <c r="AW802"/>
      <c r="FY802" s="213">
        <v>797</v>
      </c>
      <c r="FZ802">
        <v>53.263927317254662</v>
      </c>
      <c r="GA802">
        <v>48.834937432205962</v>
      </c>
      <c r="GB802">
        <v>11.737304886003823</v>
      </c>
      <c r="GC802">
        <v>7.6667980752575113</v>
      </c>
      <c r="GD802">
        <v>6.8454854313579183</v>
      </c>
      <c r="GE802">
        <v>7.825985725985519</v>
      </c>
      <c r="GF802">
        <v>9.3222207768689795</v>
      </c>
      <c r="GG802">
        <v>6.5711710112514572</v>
      </c>
      <c r="GH802">
        <v>13.24377717963166</v>
      </c>
      <c r="GI802">
        <v>18.806226785159868</v>
      </c>
      <c r="GJ802"/>
      <c r="GK802"/>
      <c r="GL802"/>
      <c r="GM802"/>
      <c r="GN802" s="208"/>
      <c r="GO802" s="208"/>
      <c r="GP802" s="208"/>
      <c r="GQ802" s="208"/>
      <c r="GR802" s="208"/>
      <c r="GS802" s="208"/>
      <c r="GT802" s="208"/>
      <c r="GU802" s="213">
        <v>797</v>
      </c>
    </row>
    <row r="803" spans="1:203" s="7" customFormat="1">
      <c r="A803" s="4"/>
      <c r="B803" s="4"/>
      <c r="C803" s="105"/>
      <c r="D803" s="4"/>
      <c r="E803" s="4"/>
      <c r="F803" s="28"/>
      <c r="G803" s="28"/>
      <c r="H803" s="83"/>
      <c r="I803" s="4"/>
      <c r="J803" s="4"/>
      <c r="K803" s="4"/>
      <c r="L803" s="4"/>
      <c r="M803" s="4"/>
      <c r="N803" s="28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4"/>
      <c r="AB803" s="4"/>
      <c r="AC803" s="4"/>
      <c r="AD803" s="4"/>
      <c r="AE803" s="4"/>
      <c r="AF803" s="81"/>
      <c r="AG803" s="81"/>
      <c r="AH803" s="81"/>
      <c r="AI803" s="4"/>
      <c r="AJ803" s="81"/>
      <c r="AK803" s="81"/>
      <c r="AL803" s="81"/>
      <c r="AM803" s="43">
        <v>787</v>
      </c>
      <c r="AN803">
        <v>278.79232928444998</v>
      </c>
      <c r="AO803">
        <v>27.453376834360625</v>
      </c>
      <c r="AP803">
        <v>65.710269727292385</v>
      </c>
      <c r="AQ803">
        <v>183.1110227044687</v>
      </c>
      <c r="AR803">
        <v>29.56842871882958</v>
      </c>
      <c r="AS803">
        <v>259.50206395689173</v>
      </c>
      <c r="AT803">
        <v>12.448774831879476</v>
      </c>
      <c r="AU803">
        <v>34.742024176841483</v>
      </c>
      <c r="AV803"/>
      <c r="AW803"/>
      <c r="FY803" s="213">
        <v>798</v>
      </c>
      <c r="FZ803">
        <v>32.019915716625725</v>
      </c>
      <c r="GA803">
        <v>22.189205267526955</v>
      </c>
      <c r="GB803">
        <v>5.5795350997693829</v>
      </c>
      <c r="GC803">
        <v>5.7863905520092667</v>
      </c>
      <c r="GD803">
        <v>5.7268371076714137</v>
      </c>
      <c r="GE803">
        <v>7.7652147795770947</v>
      </c>
      <c r="GF803">
        <v>13.989154175389604</v>
      </c>
      <c r="GG803">
        <v>11.202348073933985</v>
      </c>
      <c r="GH803">
        <v>18.986604950608289</v>
      </c>
      <c r="GI803">
        <v>14.947601589559119</v>
      </c>
      <c r="GJ803"/>
      <c r="GK803"/>
      <c r="GL803"/>
      <c r="GM803"/>
      <c r="GN803" s="208"/>
      <c r="GO803" s="208"/>
      <c r="GP803" s="208"/>
      <c r="GQ803" s="208"/>
      <c r="GR803" s="208"/>
      <c r="GS803" s="208"/>
      <c r="GT803" s="208"/>
      <c r="GU803" s="213">
        <v>798</v>
      </c>
    </row>
    <row r="804" spans="1:203" s="7" customFormat="1">
      <c r="A804" s="4"/>
      <c r="B804" s="4"/>
      <c r="C804" s="105"/>
      <c r="D804" s="4"/>
      <c r="E804" s="4"/>
      <c r="F804" s="28"/>
      <c r="G804" s="28"/>
      <c r="H804" s="83"/>
      <c r="I804" s="4"/>
      <c r="J804" s="4"/>
      <c r="K804" s="4"/>
      <c r="L804" s="4"/>
      <c r="M804" s="4"/>
      <c r="N804" s="28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4"/>
      <c r="AB804" s="4"/>
      <c r="AC804" s="4"/>
      <c r="AD804" s="4"/>
      <c r="AE804" s="4"/>
      <c r="AF804" s="81"/>
      <c r="AG804" s="81"/>
      <c r="AH804" s="81"/>
      <c r="AI804" s="4"/>
      <c r="AJ804" s="81"/>
      <c r="AK804" s="81"/>
      <c r="AL804" s="81"/>
      <c r="AM804" s="43">
        <v>788</v>
      </c>
      <c r="AN804">
        <v>310.08521318628993</v>
      </c>
      <c r="AO804">
        <v>28.441496131215416</v>
      </c>
      <c r="AP804">
        <v>89.344144300369052</v>
      </c>
      <c r="AQ804">
        <v>211.27402111205004</v>
      </c>
      <c r="AR804">
        <v>29.243996048818236</v>
      </c>
      <c r="AS804">
        <v>249.41613825182213</v>
      </c>
      <c r="AT804">
        <v>12.740205010133659</v>
      </c>
      <c r="AU804">
        <v>20.868596955400164</v>
      </c>
      <c r="AV804"/>
      <c r="AW804"/>
      <c r="FY804" s="213">
        <v>799</v>
      </c>
      <c r="FZ804">
        <v>54.686561901674885</v>
      </c>
      <c r="GA804">
        <v>58.19657493007292</v>
      </c>
      <c r="GB804">
        <v>8.3600311188698928</v>
      </c>
      <c r="GC804">
        <v>4.167117953973956</v>
      </c>
      <c r="GD804">
        <v>3.2192737165191292</v>
      </c>
      <c r="GE804">
        <v>3.1821233946340426</v>
      </c>
      <c r="GF804">
        <v>18.851419950804797</v>
      </c>
      <c r="GG804">
        <v>17.861101406319442</v>
      </c>
      <c r="GH804">
        <v>17.251633744985835</v>
      </c>
      <c r="GI804">
        <v>18.380125546173975</v>
      </c>
      <c r="GJ804"/>
      <c r="GK804"/>
      <c r="GL804"/>
      <c r="GM804"/>
      <c r="GN804" s="208"/>
      <c r="GO804" s="208"/>
      <c r="GP804" s="208"/>
      <c r="GQ804" s="208"/>
      <c r="GR804" s="208"/>
      <c r="GS804" s="208"/>
      <c r="GT804" s="208"/>
      <c r="GU804" s="213">
        <v>799</v>
      </c>
    </row>
    <row r="805" spans="1:203" s="7" customFormat="1">
      <c r="A805" s="4"/>
      <c r="B805" s="4"/>
      <c r="C805" s="105"/>
      <c r="D805" s="4"/>
      <c r="E805" s="4"/>
      <c r="F805" s="28"/>
      <c r="G805" s="28"/>
      <c r="H805" s="83"/>
      <c r="I805" s="4"/>
      <c r="J805" s="4"/>
      <c r="K805" s="4"/>
      <c r="L805" s="4"/>
      <c r="M805" s="4"/>
      <c r="N805" s="28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4"/>
      <c r="AB805" s="4"/>
      <c r="AC805" s="4"/>
      <c r="AD805" s="4"/>
      <c r="AE805" s="4"/>
      <c r="AF805" s="81"/>
      <c r="AG805" s="81"/>
      <c r="AH805" s="81"/>
      <c r="AI805" s="4"/>
      <c r="AJ805" s="81"/>
      <c r="AK805" s="81"/>
      <c r="AL805" s="81"/>
      <c r="AM805" s="43">
        <v>789</v>
      </c>
      <c r="AN805">
        <v>268.45076264803112</v>
      </c>
      <c r="AO805">
        <v>21.61269182505837</v>
      </c>
      <c r="AP805">
        <v>74.135655712045562</v>
      </c>
      <c r="AQ805">
        <v>164.48442941612356</v>
      </c>
      <c r="AR805">
        <v>22.806608670362234</v>
      </c>
      <c r="AS805">
        <v>210.57451188883198</v>
      </c>
      <c r="AT805">
        <v>10.98396043855479</v>
      </c>
      <c r="AU805">
        <v>31.315898051029883</v>
      </c>
      <c r="AV805"/>
      <c r="AW805"/>
      <c r="FY805" s="213">
        <v>800</v>
      </c>
      <c r="FZ805">
        <v>61.833331929765592</v>
      </c>
      <c r="GA805">
        <v>97.094119762684443</v>
      </c>
      <c r="GB805">
        <v>19.478064503980452</v>
      </c>
      <c r="GC805">
        <v>8.3971521071333601</v>
      </c>
      <c r="GD805">
        <v>7.1786207480975595</v>
      </c>
      <c r="GE805">
        <v>3.9963581107948745</v>
      </c>
      <c r="GF805">
        <v>18.544165386861003</v>
      </c>
      <c r="GG805">
        <v>19.482168831143095</v>
      </c>
      <c r="GH805">
        <v>12.638185017461616</v>
      </c>
      <c r="GI805">
        <v>24.328575423778279</v>
      </c>
      <c r="GJ805"/>
      <c r="GK805"/>
      <c r="GL805"/>
      <c r="GM805"/>
      <c r="GN805" s="208"/>
      <c r="GO805" s="208"/>
      <c r="GP805" s="208"/>
      <c r="GQ805" s="208"/>
      <c r="GR805" s="208"/>
      <c r="GS805" s="208"/>
      <c r="GT805" s="208"/>
      <c r="GU805" s="213">
        <v>800</v>
      </c>
    </row>
    <row r="806" spans="1:203" s="7" customFormat="1">
      <c r="A806" s="4"/>
      <c r="B806" s="4"/>
      <c r="C806" s="105"/>
      <c r="D806" s="4"/>
      <c r="E806" s="4"/>
      <c r="F806" s="28"/>
      <c r="G806" s="28"/>
      <c r="H806" s="83"/>
      <c r="I806" s="4"/>
      <c r="J806" s="4"/>
      <c r="K806" s="4"/>
      <c r="L806" s="4"/>
      <c r="M806" s="4"/>
      <c r="N806" s="28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4"/>
      <c r="AB806" s="4"/>
      <c r="AC806" s="4"/>
      <c r="AD806" s="4"/>
      <c r="AE806" s="4"/>
      <c r="AF806" s="81"/>
      <c r="AG806" s="81"/>
      <c r="AH806" s="81"/>
      <c r="AI806" s="4"/>
      <c r="AJ806" s="81"/>
      <c r="AK806" s="81"/>
      <c r="AL806" s="81"/>
      <c r="AM806" s="43">
        <v>790</v>
      </c>
      <c r="AN806">
        <v>263.08622284605542</v>
      </c>
      <c r="AO806">
        <v>28.363747577709894</v>
      </c>
      <c r="AP806">
        <v>93.797662291701315</v>
      </c>
      <c r="AQ806">
        <v>202.33403944724068</v>
      </c>
      <c r="AR806">
        <v>29.943449645956282</v>
      </c>
      <c r="AS806">
        <v>233.73223410577583</v>
      </c>
      <c r="AT806">
        <v>11.156132882219362</v>
      </c>
      <c r="AU806">
        <v>6.3151133365030816</v>
      </c>
      <c r="AV806"/>
      <c r="AW806"/>
      <c r="FY806" s="213">
        <v>801</v>
      </c>
      <c r="FZ806">
        <v>48.879040010673947</v>
      </c>
      <c r="GA806">
        <v>55.574404913471753</v>
      </c>
      <c r="GB806">
        <v>19.848244260917237</v>
      </c>
      <c r="GC806">
        <v>6.8225109522512213</v>
      </c>
      <c r="GD806">
        <v>5.0624902872071589</v>
      </c>
      <c r="GE806">
        <v>6.0609909875154768</v>
      </c>
      <c r="GF806">
        <v>25.903989028026537</v>
      </c>
      <c r="GG806">
        <v>23.094124066417528</v>
      </c>
      <c r="GH806">
        <v>19.961019622339002</v>
      </c>
      <c r="GI806">
        <v>23.805109051450469</v>
      </c>
      <c r="GJ806"/>
      <c r="GK806"/>
      <c r="GL806"/>
      <c r="GM806"/>
      <c r="GN806" s="208"/>
      <c r="GO806" s="208"/>
      <c r="GP806" s="208"/>
      <c r="GQ806" s="208"/>
      <c r="GR806" s="208"/>
      <c r="GS806" s="208"/>
      <c r="GT806" s="208"/>
      <c r="GU806" s="213">
        <v>801</v>
      </c>
    </row>
    <row r="807" spans="1:203" s="7" customFormat="1">
      <c r="A807" s="4"/>
      <c r="B807" s="4"/>
      <c r="C807" s="105"/>
      <c r="D807" s="4"/>
      <c r="E807" s="4"/>
      <c r="F807" s="28"/>
      <c r="G807" s="28"/>
      <c r="H807" s="83"/>
      <c r="I807" s="4"/>
      <c r="J807" s="4"/>
      <c r="K807" s="4"/>
      <c r="L807" s="4"/>
      <c r="M807" s="4"/>
      <c r="N807" s="28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4"/>
      <c r="AB807" s="4"/>
      <c r="AC807" s="4"/>
      <c r="AD807" s="4"/>
      <c r="AE807" s="4"/>
      <c r="AF807" s="81"/>
      <c r="AG807" s="81"/>
      <c r="AH807" s="81"/>
      <c r="AI807" s="4"/>
      <c r="AJ807" s="81"/>
      <c r="AK807" s="81"/>
      <c r="AL807" s="81"/>
      <c r="AM807" s="43">
        <v>791</v>
      </c>
      <c r="AN807">
        <v>252.55685137653489</v>
      </c>
      <c r="AO807">
        <v>24.640836451220814</v>
      </c>
      <c r="AP807">
        <v>63.506427931329384</v>
      </c>
      <c r="AQ807">
        <v>168.84512636137086</v>
      </c>
      <c r="AR807">
        <v>25.974688172627857</v>
      </c>
      <c r="AS807">
        <v>204.89267949577908</v>
      </c>
      <c r="AT807">
        <v>10.275918753736921</v>
      </c>
      <c r="AU807">
        <v>22.618214675920882</v>
      </c>
      <c r="AV807"/>
      <c r="AW807"/>
      <c r="FY807" s="213">
        <v>802</v>
      </c>
      <c r="FZ807">
        <v>82.39978572586638</v>
      </c>
      <c r="GA807">
        <v>61.401189871151679</v>
      </c>
      <c r="GB807">
        <v>8.3004278146221946</v>
      </c>
      <c r="GC807">
        <v>5.3443404931365457</v>
      </c>
      <c r="GD807">
        <v>3.7551211548529766</v>
      </c>
      <c r="GE807">
        <v>6.3910000986557698</v>
      </c>
      <c r="GF807">
        <v>11.341095976971658</v>
      </c>
      <c r="GG807">
        <v>5.656826724117261</v>
      </c>
      <c r="GH807">
        <v>19.697230875605712</v>
      </c>
      <c r="GI807">
        <v>21.72315385888858</v>
      </c>
      <c r="GJ807"/>
      <c r="GK807"/>
      <c r="GL807"/>
      <c r="GM807"/>
      <c r="GN807" s="208"/>
      <c r="GO807" s="208"/>
      <c r="GP807" s="208"/>
      <c r="GQ807" s="208"/>
      <c r="GR807" s="208"/>
      <c r="GS807" s="208"/>
      <c r="GT807" s="208"/>
      <c r="GU807" s="213">
        <v>802</v>
      </c>
    </row>
    <row r="808" spans="1:203" s="7" customFormat="1">
      <c r="A808" s="4"/>
      <c r="B808" s="4"/>
      <c r="C808" s="105"/>
      <c r="D808" s="4"/>
      <c r="E808" s="4"/>
      <c r="F808" s="28"/>
      <c r="G808" s="28"/>
      <c r="H808" s="83"/>
      <c r="I808" s="4"/>
      <c r="J808" s="4"/>
      <c r="K808" s="4"/>
      <c r="L808" s="4"/>
      <c r="M808" s="4"/>
      <c r="N808" s="28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4"/>
      <c r="AB808" s="4"/>
      <c r="AC808" s="4"/>
      <c r="AD808" s="4"/>
      <c r="AE808" s="4"/>
      <c r="AF808" s="81"/>
      <c r="AG808" s="81"/>
      <c r="AH808" s="81"/>
      <c r="AI808" s="4"/>
      <c r="AJ808" s="81"/>
      <c r="AK808" s="81"/>
      <c r="AL808" s="81"/>
      <c r="AM808" s="43">
        <v>792</v>
      </c>
      <c r="AN808">
        <v>299.34029847013687</v>
      </c>
      <c r="AO808">
        <v>30.129318173027361</v>
      </c>
      <c r="AP808">
        <v>98.453563839792182</v>
      </c>
      <c r="AQ808">
        <v>220.34279931328246</v>
      </c>
      <c r="AR808">
        <v>31.613182712170996</v>
      </c>
      <c r="AS808">
        <v>263.27549843954404</v>
      </c>
      <c r="AT808">
        <v>14.202720730955775</v>
      </c>
      <c r="AU808">
        <v>13.016906490516106</v>
      </c>
      <c r="AV808"/>
      <c r="AW808"/>
      <c r="FY808" s="213">
        <v>803</v>
      </c>
      <c r="FZ808">
        <v>33.53159430345999</v>
      </c>
      <c r="GA808">
        <v>56.725558733902986</v>
      </c>
      <c r="GB808">
        <v>16.703269349954308</v>
      </c>
      <c r="GC808">
        <v>7.0232646417919966</v>
      </c>
      <c r="GD808">
        <v>5.5259625790674356</v>
      </c>
      <c r="GE808">
        <v>3.3597045706823727</v>
      </c>
      <c r="GF808">
        <v>15.363150027913651</v>
      </c>
      <c r="GG808">
        <v>15.534900124194403</v>
      </c>
      <c r="GH808">
        <v>5.7776750035056654</v>
      </c>
      <c r="GI808">
        <v>16.738790860307066</v>
      </c>
      <c r="GJ808"/>
      <c r="GK808"/>
      <c r="GL808"/>
      <c r="GM808"/>
      <c r="GN808" s="208"/>
      <c r="GO808" s="208"/>
      <c r="GP808" s="208"/>
      <c r="GQ808" s="208"/>
      <c r="GR808" s="208"/>
      <c r="GS808" s="208"/>
      <c r="GT808" s="208"/>
      <c r="GU808" s="213">
        <v>803</v>
      </c>
    </row>
    <row r="809" spans="1:203" s="7" customFormat="1">
      <c r="A809" s="4"/>
      <c r="B809" s="4"/>
      <c r="C809" s="105"/>
      <c r="D809" s="4"/>
      <c r="E809" s="4"/>
      <c r="F809" s="28"/>
      <c r="G809" s="28"/>
      <c r="H809" s="83"/>
      <c r="I809" s="4"/>
      <c r="J809" s="4"/>
      <c r="K809" s="4"/>
      <c r="L809" s="4"/>
      <c r="M809" s="4"/>
      <c r="N809" s="28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4"/>
      <c r="AB809" s="4"/>
      <c r="AC809" s="4"/>
      <c r="AD809" s="4"/>
      <c r="AE809" s="4"/>
      <c r="AF809" s="81"/>
      <c r="AG809" s="81"/>
      <c r="AH809" s="81"/>
      <c r="AI809" s="4"/>
      <c r="AJ809" s="81"/>
      <c r="AK809" s="81"/>
      <c r="AL809" s="81"/>
      <c r="AM809" s="43">
        <v>793</v>
      </c>
      <c r="AN809">
        <v>396.02438262763621</v>
      </c>
      <c r="AO809">
        <v>24.65454250530064</v>
      </c>
      <c r="AP809">
        <v>87.236495418878249</v>
      </c>
      <c r="AQ809">
        <v>165.36543254923657</v>
      </c>
      <c r="AR809">
        <v>24.231641613854027</v>
      </c>
      <c r="AS809">
        <v>259.68424826830147</v>
      </c>
      <c r="AT809">
        <v>11.058885444454653</v>
      </c>
      <c r="AU809">
        <v>13.229530353546361</v>
      </c>
      <c r="AV809"/>
      <c r="AW809"/>
      <c r="FY809" s="213">
        <v>804</v>
      </c>
      <c r="FZ809">
        <v>52.332443414731678</v>
      </c>
      <c r="GA809">
        <v>60.812533023774044</v>
      </c>
      <c r="GB809">
        <v>14.01028763920943</v>
      </c>
      <c r="GC809">
        <v>7.1058744923617914</v>
      </c>
      <c r="GD809">
        <v>5.7150235526131503</v>
      </c>
      <c r="GE809">
        <v>6.1655489037584692</v>
      </c>
      <c r="GF809">
        <v>5.8209783859177691</v>
      </c>
      <c r="GG809">
        <v>4.193939630584044</v>
      </c>
      <c r="GH809">
        <v>21.67658954364817</v>
      </c>
      <c r="GI809">
        <v>19.510572111442858</v>
      </c>
      <c r="GJ809"/>
      <c r="GK809"/>
      <c r="GL809"/>
      <c r="GM809"/>
      <c r="GN809" s="208"/>
      <c r="GO809" s="208"/>
      <c r="GP809" s="208"/>
      <c r="GQ809" s="208"/>
      <c r="GR809" s="208"/>
      <c r="GS809" s="208"/>
      <c r="GT809" s="208"/>
      <c r="GU809" s="213">
        <v>804</v>
      </c>
    </row>
    <row r="810" spans="1:203" s="7" customFormat="1">
      <c r="A810" s="4"/>
      <c r="B810" s="4"/>
      <c r="C810" s="105"/>
      <c r="D810" s="4"/>
      <c r="E810" s="4"/>
      <c r="F810" s="28"/>
      <c r="G810" s="28"/>
      <c r="H810" s="83"/>
      <c r="I810" s="4"/>
      <c r="J810" s="4"/>
      <c r="K810" s="4"/>
      <c r="L810" s="4"/>
      <c r="M810" s="4"/>
      <c r="N810" s="28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4"/>
      <c r="AB810" s="4"/>
      <c r="AC810" s="4"/>
      <c r="AD810" s="4"/>
      <c r="AE810" s="4"/>
      <c r="AF810" s="81"/>
      <c r="AG810" s="81"/>
      <c r="AH810" s="81"/>
      <c r="AI810" s="4"/>
      <c r="AJ810" s="81"/>
      <c r="AK810" s="81"/>
      <c r="AL810" s="81"/>
      <c r="AM810" s="43">
        <v>794</v>
      </c>
      <c r="AN810">
        <v>280.72428856814406</v>
      </c>
      <c r="AO810">
        <v>31.269092219984923</v>
      </c>
      <c r="AP810">
        <v>98.662091167889741</v>
      </c>
      <c r="AQ810">
        <v>231.40506579127066</v>
      </c>
      <c r="AR810">
        <v>31.803736378665427</v>
      </c>
      <c r="AS810">
        <v>252.38192822290813</v>
      </c>
      <c r="AT810">
        <v>14.277895783113328</v>
      </c>
      <c r="AU810">
        <v>-2.0176644457889914</v>
      </c>
      <c r="AV810"/>
      <c r="AW810"/>
      <c r="FY810" s="213">
        <v>805</v>
      </c>
      <c r="FZ810">
        <v>64.554021976833255</v>
      </c>
      <c r="GA810">
        <v>31.478897753891921</v>
      </c>
      <c r="GB810">
        <v>3.6687134378351707</v>
      </c>
      <c r="GC810">
        <v>6.0939981940714301</v>
      </c>
      <c r="GD810">
        <v>4.6286647444861497</v>
      </c>
      <c r="GE810">
        <v>3.8783195733931093</v>
      </c>
      <c r="GF810">
        <v>20.121766604373164</v>
      </c>
      <c r="GG810">
        <v>17.833686361483068</v>
      </c>
      <c r="GH810">
        <v>10.90014551433153</v>
      </c>
      <c r="GI810">
        <v>18.30401709975397</v>
      </c>
      <c r="GJ810"/>
      <c r="GK810"/>
      <c r="GL810"/>
      <c r="GM810"/>
      <c r="GN810" s="208"/>
      <c r="GO810" s="208"/>
      <c r="GP810" s="208"/>
      <c r="GQ810" s="208"/>
      <c r="GR810" s="208"/>
      <c r="GS810" s="208"/>
      <c r="GT810" s="208"/>
      <c r="GU810" s="213">
        <v>805</v>
      </c>
    </row>
    <row r="811" spans="1:203" s="7" customFormat="1">
      <c r="A811" s="4"/>
      <c r="B811" s="4"/>
      <c r="C811" s="105"/>
      <c r="D811" s="4"/>
      <c r="E811" s="4"/>
      <c r="F811" s="28"/>
      <c r="G811" s="28"/>
      <c r="H811" s="83"/>
      <c r="I811" s="4"/>
      <c r="J811" s="4"/>
      <c r="K811" s="4"/>
      <c r="L811" s="4"/>
      <c r="M811" s="4"/>
      <c r="N811" s="28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4"/>
      <c r="AB811" s="4"/>
      <c r="AC811" s="4"/>
      <c r="AD811" s="4"/>
      <c r="AE811" s="4"/>
      <c r="AF811" s="81"/>
      <c r="AG811" s="81"/>
      <c r="AH811" s="81"/>
      <c r="AI811" s="4"/>
      <c r="AJ811" s="81"/>
      <c r="AK811" s="81"/>
      <c r="AL811" s="81"/>
      <c r="AM811" s="43">
        <v>795</v>
      </c>
      <c r="AN811">
        <v>348.28947300581484</v>
      </c>
      <c r="AO811">
        <v>38.480828379194918</v>
      </c>
      <c r="AP811">
        <v>70.333333902705292</v>
      </c>
      <c r="AQ811">
        <v>292.95734020703901</v>
      </c>
      <c r="AR811">
        <v>38.418339037639534</v>
      </c>
      <c r="AS811">
        <v>305.57171687258341</v>
      </c>
      <c r="AT811">
        <v>16.746470390101063</v>
      </c>
      <c r="AU811">
        <v>-26.660062552759207</v>
      </c>
      <c r="AV811"/>
      <c r="AW811"/>
      <c r="FY811" s="213">
        <v>806</v>
      </c>
      <c r="FZ811">
        <v>66.115803712220597</v>
      </c>
      <c r="GA811">
        <v>44.637955386152079</v>
      </c>
      <c r="GB811">
        <v>8.9835847621674212</v>
      </c>
      <c r="GC811">
        <v>5.3821605540260782</v>
      </c>
      <c r="GD811">
        <v>5.0892866875934226</v>
      </c>
      <c r="GE811">
        <v>7.3669692052942901</v>
      </c>
      <c r="GF811">
        <v>13.606314978772966</v>
      </c>
      <c r="GG811">
        <v>9.5636930407825815</v>
      </c>
      <c r="GH811">
        <v>17.15179253825556</v>
      </c>
      <c r="GI811">
        <v>20.297950057333964</v>
      </c>
      <c r="GJ811"/>
      <c r="GK811"/>
      <c r="GL811"/>
      <c r="GM811"/>
      <c r="GN811" s="208"/>
      <c r="GO811" s="208"/>
      <c r="GP811" s="208"/>
      <c r="GQ811" s="208"/>
      <c r="GR811" s="208"/>
      <c r="GS811" s="208"/>
      <c r="GT811" s="208"/>
      <c r="GU811" s="213">
        <v>806</v>
      </c>
    </row>
    <row r="812" spans="1:203" s="7" customFormat="1">
      <c r="A812" s="4"/>
      <c r="B812" s="4"/>
      <c r="C812" s="105"/>
      <c r="D812" s="4"/>
      <c r="E812" s="4"/>
      <c r="F812" s="28"/>
      <c r="G812" s="28"/>
      <c r="H812" s="83"/>
      <c r="I812" s="4"/>
      <c r="J812" s="4"/>
      <c r="K812" s="4"/>
      <c r="L812" s="4"/>
      <c r="M812" s="4"/>
      <c r="N812" s="28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4"/>
      <c r="AB812" s="4"/>
      <c r="AC812" s="4"/>
      <c r="AD812" s="4"/>
      <c r="AE812" s="4"/>
      <c r="AF812" s="81"/>
      <c r="AG812" s="81"/>
      <c r="AH812" s="81"/>
      <c r="AI812" s="4"/>
      <c r="AJ812" s="81"/>
      <c r="AK812" s="81"/>
      <c r="AL812" s="81"/>
      <c r="AM812" s="43">
        <v>796</v>
      </c>
      <c r="AN812">
        <v>318.10034813726463</v>
      </c>
      <c r="AO812">
        <v>27.463543217522904</v>
      </c>
      <c r="AP812">
        <v>83.129362108502121</v>
      </c>
      <c r="AQ812">
        <v>198.56690936873747</v>
      </c>
      <c r="AR812">
        <v>28.112316087835847</v>
      </c>
      <c r="AS812">
        <v>259.29681498527293</v>
      </c>
      <c r="AT812">
        <v>12.459568932554305</v>
      </c>
      <c r="AU812">
        <v>2.6847999931158348</v>
      </c>
      <c r="AV812"/>
      <c r="AW812"/>
      <c r="FY812" s="213">
        <v>807</v>
      </c>
      <c r="FZ812">
        <v>57.883425655860194</v>
      </c>
      <c r="GA812">
        <v>72.212724154691955</v>
      </c>
      <c r="GB812">
        <v>15.10470230621352</v>
      </c>
      <c r="GC812">
        <v>6.5470846892991874</v>
      </c>
      <c r="GD812">
        <v>5.6563646155448843</v>
      </c>
      <c r="GE812">
        <v>5.1767107797746386</v>
      </c>
      <c r="GF812">
        <v>7.5145448178470442</v>
      </c>
      <c r="GG812">
        <v>5.7556614327186999</v>
      </c>
      <c r="GH812">
        <v>17.378817809792992</v>
      </c>
      <c r="GI812">
        <v>20.292844593663801</v>
      </c>
      <c r="GJ812"/>
      <c r="GK812"/>
      <c r="GL812"/>
      <c r="GM812"/>
      <c r="GN812" s="208"/>
      <c r="GO812" s="208"/>
      <c r="GP812" s="208"/>
      <c r="GQ812" s="208"/>
      <c r="GR812" s="208"/>
      <c r="GS812" s="208"/>
      <c r="GT812" s="208"/>
      <c r="GU812" s="213">
        <v>807</v>
      </c>
    </row>
    <row r="813" spans="1:203" s="7" customFormat="1">
      <c r="A813" s="4"/>
      <c r="B813" s="4"/>
      <c r="C813" s="105"/>
      <c r="D813" s="4"/>
      <c r="E813" s="4"/>
      <c r="F813" s="28"/>
      <c r="G813" s="28"/>
      <c r="H813" s="83"/>
      <c r="I813" s="4"/>
      <c r="J813" s="4"/>
      <c r="K813" s="4"/>
      <c r="L813" s="4"/>
      <c r="M813" s="4"/>
      <c r="N813" s="28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4"/>
      <c r="AB813" s="4"/>
      <c r="AC813" s="4"/>
      <c r="AD813" s="4"/>
      <c r="AE813" s="4"/>
      <c r="AF813" s="81"/>
      <c r="AG813" s="81"/>
      <c r="AH813" s="81"/>
      <c r="AI813" s="4"/>
      <c r="AJ813" s="81"/>
      <c r="AK813" s="81"/>
      <c r="AL813" s="81"/>
      <c r="AM813" s="43">
        <v>797</v>
      </c>
      <c r="AN813">
        <v>349.4671780391696</v>
      </c>
      <c r="AO813">
        <v>26.254097632169351</v>
      </c>
      <c r="AP813">
        <v>66.923806327757532</v>
      </c>
      <c r="AQ813">
        <v>184.11783462097742</v>
      </c>
      <c r="AR813">
        <v>27.865716646377489</v>
      </c>
      <c r="AS813">
        <v>246.69296993163047</v>
      </c>
      <c r="AT813">
        <v>13.17043778570792</v>
      </c>
      <c r="AU813">
        <v>-23.749507499057181</v>
      </c>
      <c r="AV813"/>
      <c r="AW813"/>
      <c r="FY813" s="213">
        <v>808</v>
      </c>
      <c r="FZ813">
        <v>43.547486345382985</v>
      </c>
      <c r="GA813">
        <v>31.257855765705813</v>
      </c>
      <c r="GB813">
        <v>10.159170303981973</v>
      </c>
      <c r="GC813">
        <v>6.2064743026470648</v>
      </c>
      <c r="GD813">
        <v>4.7482145696705826</v>
      </c>
      <c r="GE813">
        <v>5.7841253967787596</v>
      </c>
      <c r="GF813">
        <v>14.761548668270791</v>
      </c>
      <c r="GG813">
        <v>12.681868849340722</v>
      </c>
      <c r="GH813">
        <v>11.777293249277298</v>
      </c>
      <c r="GI813">
        <v>16.476250931919378</v>
      </c>
      <c r="GJ813"/>
      <c r="GK813"/>
      <c r="GL813"/>
      <c r="GM813"/>
      <c r="GN813" s="208"/>
      <c r="GO813" s="208"/>
      <c r="GP813" s="208"/>
      <c r="GQ813" s="208"/>
      <c r="GR813" s="208"/>
      <c r="GS813" s="208"/>
      <c r="GT813" s="208"/>
      <c r="GU813" s="213">
        <v>808</v>
      </c>
    </row>
    <row r="814" spans="1:203" s="7" customFormat="1">
      <c r="A814" s="4"/>
      <c r="B814" s="4"/>
      <c r="C814" s="105"/>
      <c r="D814" s="4"/>
      <c r="E814" s="4"/>
      <c r="F814" s="28"/>
      <c r="G814" s="28"/>
      <c r="H814" s="83"/>
      <c r="I814" s="4"/>
      <c r="J814" s="4"/>
      <c r="K814" s="4"/>
      <c r="L814" s="4"/>
      <c r="M814" s="4"/>
      <c r="N814" s="28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4"/>
      <c r="AB814" s="4"/>
      <c r="AC814" s="4"/>
      <c r="AD814" s="4"/>
      <c r="AE814" s="4"/>
      <c r="AF814" s="81"/>
      <c r="AG814" s="81"/>
      <c r="AH814" s="81"/>
      <c r="AI814" s="4"/>
      <c r="AJ814" s="81"/>
      <c r="AK814" s="81"/>
      <c r="AL814" s="81"/>
      <c r="AM814" s="43">
        <v>798</v>
      </c>
      <c r="AN814">
        <v>308.10616036906919</v>
      </c>
      <c r="AO814">
        <v>19.498112204558034</v>
      </c>
      <c r="AP814">
        <v>79.281211370898745</v>
      </c>
      <c r="AQ814">
        <v>138.19280731267085</v>
      </c>
      <c r="AR814">
        <v>21.158108294588132</v>
      </c>
      <c r="AS814">
        <v>222.49075494413458</v>
      </c>
      <c r="AT814">
        <v>10.706501664278411</v>
      </c>
      <c r="AU814">
        <v>33.884868486183223</v>
      </c>
      <c r="AV814"/>
      <c r="AW814"/>
      <c r="FY814" s="213">
        <v>809</v>
      </c>
      <c r="FZ814">
        <v>44.270320206900848</v>
      </c>
      <c r="GA814">
        <v>44.616621474217844</v>
      </c>
      <c r="GB814">
        <v>7.8104940117555302</v>
      </c>
      <c r="GC814">
        <v>7.1677940356060779</v>
      </c>
      <c r="GD814">
        <v>5.8370876286013829</v>
      </c>
      <c r="GE814">
        <v>4.1307603092325733</v>
      </c>
      <c r="GF814">
        <v>7.2789263143396985</v>
      </c>
      <c r="GG814">
        <v>7.3902499377840272</v>
      </c>
      <c r="GH814">
        <v>14.079138368792098</v>
      </c>
      <c r="GI814">
        <v>15.546534650317216</v>
      </c>
      <c r="GJ814"/>
      <c r="GK814"/>
      <c r="GL814"/>
      <c r="GM814"/>
      <c r="GN814" s="208"/>
      <c r="GO814" s="208"/>
      <c r="GP814" s="208"/>
      <c r="GQ814" s="208"/>
      <c r="GR814" s="208"/>
      <c r="GS814" s="208"/>
      <c r="GT814" s="208"/>
      <c r="GU814" s="213">
        <v>809</v>
      </c>
    </row>
    <row r="815" spans="1:203" s="7" customFormat="1">
      <c r="A815" s="4"/>
      <c r="B815" s="4"/>
      <c r="C815" s="105"/>
      <c r="D815" s="4"/>
      <c r="E815" s="4"/>
      <c r="F815" s="28"/>
      <c r="G815" s="28"/>
      <c r="H815" s="83"/>
      <c r="I815" s="4"/>
      <c r="J815" s="4"/>
      <c r="K815" s="4"/>
      <c r="L815" s="4"/>
      <c r="M815" s="4"/>
      <c r="N815" s="28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4"/>
      <c r="AB815" s="4"/>
      <c r="AC815" s="4"/>
      <c r="AD815" s="4"/>
      <c r="AE815" s="4"/>
      <c r="AF815" s="81"/>
      <c r="AG815" s="81"/>
      <c r="AH815" s="81"/>
      <c r="AI815" s="4"/>
      <c r="AJ815" s="81"/>
      <c r="AK815" s="81"/>
      <c r="AL815" s="81"/>
      <c r="AM815" s="43">
        <v>799</v>
      </c>
      <c r="AN815">
        <v>273.62265945345143</v>
      </c>
      <c r="AO815">
        <v>26.112564693221351</v>
      </c>
      <c r="AP815">
        <v>103.61719836120889</v>
      </c>
      <c r="AQ815">
        <v>204.15596366402889</v>
      </c>
      <c r="AR815">
        <v>26.855379473465021</v>
      </c>
      <c r="AS815">
        <v>243.38853917758018</v>
      </c>
      <c r="AT815">
        <v>12.906862499856587</v>
      </c>
      <c r="AU815">
        <v>10.970066334155607</v>
      </c>
      <c r="AV815"/>
      <c r="AW815"/>
      <c r="FY815" s="213">
        <v>810</v>
      </c>
      <c r="FZ815">
        <v>51.046833680623656</v>
      </c>
      <c r="GA815">
        <v>52.539422563240358</v>
      </c>
      <c r="GB815">
        <v>16.493504968683069</v>
      </c>
      <c r="GC815">
        <v>7.8028181478168337</v>
      </c>
      <c r="GD815">
        <v>6.0901435635436894</v>
      </c>
      <c r="GE815">
        <v>5.7581154116650159</v>
      </c>
      <c r="GF815">
        <v>12.438389290485226</v>
      </c>
      <c r="GG815">
        <v>10.439599964502376</v>
      </c>
      <c r="GH815">
        <v>15.274277607533957</v>
      </c>
      <c r="GI815">
        <v>20.45404017797792</v>
      </c>
      <c r="GJ815"/>
      <c r="GK815"/>
      <c r="GL815"/>
      <c r="GM815"/>
      <c r="GN815" s="208"/>
      <c r="GO815" s="208"/>
      <c r="GP815" s="208"/>
      <c r="GQ815" s="208"/>
      <c r="GR815" s="208"/>
      <c r="GS815" s="208"/>
      <c r="GT815" s="208"/>
      <c r="GU815" s="213">
        <v>810</v>
      </c>
    </row>
    <row r="816" spans="1:203" s="7" customFormat="1">
      <c r="A816" s="4"/>
      <c r="B816" s="4"/>
      <c r="C816" s="105"/>
      <c r="D816" s="4"/>
      <c r="E816" s="4"/>
      <c r="F816" s="28"/>
      <c r="G816" s="28"/>
      <c r="H816" s="83"/>
      <c r="I816" s="4"/>
      <c r="J816" s="4"/>
      <c r="K816" s="4"/>
      <c r="L816" s="4"/>
      <c r="M816" s="4"/>
      <c r="N816" s="28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4"/>
      <c r="AB816" s="4"/>
      <c r="AC816" s="4"/>
      <c r="AD816" s="4"/>
      <c r="AE816" s="4"/>
      <c r="AF816" s="81"/>
      <c r="AG816" s="81"/>
      <c r="AH816" s="81"/>
      <c r="AI816" s="4"/>
      <c r="AJ816" s="81"/>
      <c r="AK816" s="81"/>
      <c r="AL816" s="81"/>
      <c r="AM816" s="43">
        <v>800</v>
      </c>
      <c r="AN816">
        <v>348.97283241878483</v>
      </c>
      <c r="AO816">
        <v>37.669112948109856</v>
      </c>
      <c r="AP816">
        <v>92.773830026555061</v>
      </c>
      <c r="AQ816">
        <v>272.9707418217003</v>
      </c>
      <c r="AR816">
        <v>36.573212042109482</v>
      </c>
      <c r="AS816">
        <v>295.06158208829726</v>
      </c>
      <c r="AT816">
        <v>16.988886974460069</v>
      </c>
      <c r="AU816">
        <v>15.742904877384664</v>
      </c>
      <c r="AV816"/>
      <c r="AW816"/>
      <c r="FY816" s="213">
        <v>811</v>
      </c>
      <c r="FZ816">
        <v>61.247344972424344</v>
      </c>
      <c r="GA816">
        <v>62.536064538297133</v>
      </c>
      <c r="GB816">
        <v>7.647208736630505</v>
      </c>
      <c r="GC816">
        <v>4.2773088732426654</v>
      </c>
      <c r="GD816">
        <v>5.557452525451164</v>
      </c>
      <c r="GE816">
        <v>11.025442820165873</v>
      </c>
      <c r="GF816">
        <v>21.877538897101214</v>
      </c>
      <c r="GG816">
        <v>16.744964506631767</v>
      </c>
      <c r="GH816">
        <v>18.850216103082449</v>
      </c>
      <c r="GI816">
        <v>21.351351259153038</v>
      </c>
      <c r="GJ816"/>
      <c r="GK816"/>
      <c r="GL816"/>
      <c r="GM816"/>
      <c r="GN816" s="208"/>
      <c r="GO816" s="208"/>
      <c r="GP816" s="208"/>
      <c r="GQ816" s="208"/>
      <c r="GR816" s="208"/>
      <c r="GS816" s="208"/>
      <c r="GT816" s="208"/>
      <c r="GU816" s="213">
        <v>811</v>
      </c>
    </row>
    <row r="817" spans="1:203" s="7" customFormat="1">
      <c r="A817" s="4"/>
      <c r="B817" s="4"/>
      <c r="C817" s="105"/>
      <c r="D817" s="4"/>
      <c r="E817" s="4"/>
      <c r="F817" s="28"/>
      <c r="G817" s="28"/>
      <c r="H817" s="83"/>
      <c r="I817" s="4"/>
      <c r="J817" s="4"/>
      <c r="K817" s="4"/>
      <c r="L817" s="4"/>
      <c r="M817" s="4"/>
      <c r="N817" s="28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4"/>
      <c r="AB817" s="4"/>
      <c r="AC817" s="4"/>
      <c r="AD817" s="4"/>
      <c r="AE817" s="4"/>
      <c r="AF817" s="81"/>
      <c r="AG817" s="81"/>
      <c r="AH817" s="81"/>
      <c r="AI817" s="4"/>
      <c r="AJ817" s="81"/>
      <c r="AK817" s="81"/>
      <c r="AL817" s="81"/>
      <c r="AM817" s="43">
        <v>801</v>
      </c>
      <c r="AN817">
        <v>393.0353778777756</v>
      </c>
      <c r="AO817">
        <v>33.757474972372698</v>
      </c>
      <c r="AP817">
        <v>90.14714415491477</v>
      </c>
      <c r="AQ817">
        <v>235.01192318027034</v>
      </c>
      <c r="AR817">
        <v>35.639380364499495</v>
      </c>
      <c r="AS817">
        <v>299.53049077834481</v>
      </c>
      <c r="AT817">
        <v>14.330718678376895</v>
      </c>
      <c r="AU817">
        <v>7.2839620923050532</v>
      </c>
      <c r="AV817"/>
      <c r="AW817"/>
      <c r="FY817" s="213">
        <v>812</v>
      </c>
      <c r="FZ817">
        <v>46.973020760643429</v>
      </c>
      <c r="GA817">
        <v>26.214276692069291</v>
      </c>
      <c r="GB817">
        <v>9.057897454255075</v>
      </c>
      <c r="GC817">
        <v>5.6378476802523112</v>
      </c>
      <c r="GD817">
        <v>3.7850485702897165</v>
      </c>
      <c r="GE817">
        <v>7.5010020481574262</v>
      </c>
      <c r="GF817">
        <v>27.068109017383861</v>
      </c>
      <c r="GG817">
        <v>19.288393814031089</v>
      </c>
      <c r="GH817">
        <v>8.6776672475625087</v>
      </c>
      <c r="GI817">
        <v>17.730878003129746</v>
      </c>
      <c r="GJ817"/>
      <c r="GK817"/>
      <c r="GL817"/>
      <c r="GM817"/>
      <c r="GN817" s="208"/>
      <c r="GO817" s="208"/>
      <c r="GP817" s="208"/>
      <c r="GQ817" s="208"/>
      <c r="GR817" s="208"/>
      <c r="GS817" s="208"/>
      <c r="GT817" s="208"/>
      <c r="GU817" s="213">
        <v>812</v>
      </c>
    </row>
    <row r="818" spans="1:203" s="7" customFormat="1">
      <c r="A818" s="4"/>
      <c r="B818" s="4"/>
      <c r="C818" s="105"/>
      <c r="D818" s="4"/>
      <c r="E818" s="4"/>
      <c r="F818" s="28"/>
      <c r="G818" s="28"/>
      <c r="H818" s="83"/>
      <c r="I818" s="4"/>
      <c r="J818" s="4"/>
      <c r="K818" s="4"/>
      <c r="L818" s="4"/>
      <c r="M818" s="4"/>
      <c r="N818" s="28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4"/>
      <c r="AB818" s="4"/>
      <c r="AC818" s="4"/>
      <c r="AD818" s="4"/>
      <c r="AE818" s="4"/>
      <c r="AF818" s="81"/>
      <c r="AG818" s="81"/>
      <c r="AH818" s="81"/>
      <c r="AI818" s="4"/>
      <c r="AJ818" s="81"/>
      <c r="AK818" s="81"/>
      <c r="AL818" s="81"/>
      <c r="AM818" s="43">
        <v>802</v>
      </c>
      <c r="AN818">
        <v>300.71019777553408</v>
      </c>
      <c r="AO818">
        <v>28.791203083170224</v>
      </c>
      <c r="AP818">
        <v>49.842906179629466</v>
      </c>
      <c r="AQ818">
        <v>226.01017259386879</v>
      </c>
      <c r="AR818">
        <v>32.187031892506639</v>
      </c>
      <c r="AS818">
        <v>258.65736631001317</v>
      </c>
      <c r="AT818">
        <v>15.423813035764404</v>
      </c>
      <c r="AU818">
        <v>17.012132055647704</v>
      </c>
      <c r="AV818"/>
      <c r="AW818"/>
      <c r="FY818" s="213">
        <v>813</v>
      </c>
      <c r="FZ818">
        <v>31.009273870880751</v>
      </c>
      <c r="GA818">
        <v>35.539506792119731</v>
      </c>
      <c r="GB818">
        <v>11.895082292772665</v>
      </c>
      <c r="GC818">
        <v>4.0963373529885514</v>
      </c>
      <c r="GD818">
        <v>2.7873116596622332</v>
      </c>
      <c r="GE818">
        <v>2.8662785641574215</v>
      </c>
      <c r="GF818">
        <v>3.5998243119599342</v>
      </c>
      <c r="GG818">
        <v>2.5535893524145727</v>
      </c>
      <c r="GH818">
        <v>6.1051312007620107</v>
      </c>
      <c r="GI818">
        <v>11.249237371173578</v>
      </c>
      <c r="GJ818"/>
      <c r="GK818"/>
      <c r="GL818"/>
      <c r="GM818"/>
      <c r="GN818" s="208"/>
      <c r="GO818" s="208"/>
      <c r="GP818" s="208"/>
      <c r="GQ818" s="208"/>
      <c r="GR818" s="208"/>
      <c r="GS818" s="208"/>
      <c r="GT818" s="208"/>
      <c r="GU818" s="213">
        <v>813</v>
      </c>
    </row>
    <row r="819" spans="1:203" s="7" customFormat="1">
      <c r="A819" s="4"/>
      <c r="B819" s="4"/>
      <c r="C819" s="105"/>
      <c r="D819" s="4"/>
      <c r="E819" s="4"/>
      <c r="F819" s="28"/>
      <c r="G819" s="28"/>
      <c r="H819" s="83"/>
      <c r="I819" s="4"/>
      <c r="J819" s="4"/>
      <c r="K819" s="4"/>
      <c r="L819" s="4"/>
      <c r="M819" s="4"/>
      <c r="N819" s="28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4"/>
      <c r="AB819" s="4"/>
      <c r="AC819" s="4"/>
      <c r="AD819" s="4"/>
      <c r="AE819" s="4"/>
      <c r="AF819" s="81"/>
      <c r="AG819" s="81"/>
      <c r="AH819" s="81"/>
      <c r="AI819" s="4"/>
      <c r="AJ819" s="81"/>
      <c r="AK819" s="81"/>
      <c r="AL819" s="81"/>
      <c r="AM819" s="43">
        <v>803</v>
      </c>
      <c r="AN819">
        <v>318.98182854401159</v>
      </c>
      <c r="AO819">
        <v>25.544171367949922</v>
      </c>
      <c r="AP819">
        <v>64.711187112171046</v>
      </c>
      <c r="AQ819">
        <v>176.28387019477987</v>
      </c>
      <c r="AR819">
        <v>24.620982315787188</v>
      </c>
      <c r="AS819">
        <v>248.92239379629459</v>
      </c>
      <c r="AT819">
        <v>10.455909916408148</v>
      </c>
      <c r="AU819">
        <v>-4.9477647465488275</v>
      </c>
      <c r="AV819"/>
      <c r="AW819"/>
      <c r="FY819" s="213">
        <v>814</v>
      </c>
      <c r="FZ819">
        <v>23.144853961057009</v>
      </c>
      <c r="GA819">
        <v>17.991679740676275</v>
      </c>
      <c r="GB819">
        <v>3.7853063211937092</v>
      </c>
      <c r="GC819">
        <v>5.1218620627413749</v>
      </c>
      <c r="GD819">
        <v>5.2241966276265606</v>
      </c>
      <c r="GE819">
        <v>6.5635613220950795</v>
      </c>
      <c r="GF819">
        <v>22.615863264818802</v>
      </c>
      <c r="GG819">
        <v>21.488009476380984</v>
      </c>
      <c r="GH819">
        <v>18.577923827273853</v>
      </c>
      <c r="GI819">
        <v>14.460331400191183</v>
      </c>
      <c r="GJ819"/>
      <c r="GK819"/>
      <c r="GL819"/>
      <c r="GM819"/>
      <c r="GN819" s="208"/>
      <c r="GO819" s="208"/>
      <c r="GP819" s="208"/>
      <c r="GQ819" s="208"/>
      <c r="GR819" s="208"/>
      <c r="GS819" s="208"/>
      <c r="GT819" s="208"/>
      <c r="GU819" s="213">
        <v>814</v>
      </c>
    </row>
    <row r="820" spans="1:203" s="7" customFormat="1">
      <c r="A820" s="4"/>
      <c r="B820" s="4"/>
      <c r="C820" s="105"/>
      <c r="D820" s="4"/>
      <c r="E820" s="4"/>
      <c r="F820" s="28"/>
      <c r="G820" s="28"/>
      <c r="H820" s="83"/>
      <c r="I820" s="4"/>
      <c r="J820" s="4"/>
      <c r="K820" s="4"/>
      <c r="L820" s="4"/>
      <c r="M820" s="4"/>
      <c r="N820" s="28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4"/>
      <c r="AB820" s="4"/>
      <c r="AC820" s="4"/>
      <c r="AD820" s="4"/>
      <c r="AE820" s="4"/>
      <c r="AF820" s="81"/>
      <c r="AG820" s="81"/>
      <c r="AH820" s="81"/>
      <c r="AI820" s="4"/>
      <c r="AJ820" s="81"/>
      <c r="AK820" s="81"/>
      <c r="AL820" s="81"/>
      <c r="AM820" s="43">
        <v>804</v>
      </c>
      <c r="AN820">
        <v>288.73501789743381</v>
      </c>
      <c r="AO820">
        <v>27.308839361805184</v>
      </c>
      <c r="AP820">
        <v>81.83295433274526</v>
      </c>
      <c r="AQ820">
        <v>197.3437906980414</v>
      </c>
      <c r="AR820">
        <v>29.052367813196888</v>
      </c>
      <c r="AS820">
        <v>243.75169641352304</v>
      </c>
      <c r="AT820">
        <v>12.674943702448225</v>
      </c>
      <c r="AU820">
        <v>6.3044370101402407</v>
      </c>
      <c r="AV820"/>
      <c r="AW820"/>
      <c r="FY820" s="213">
        <v>815</v>
      </c>
      <c r="FZ820">
        <v>48.229440479781452</v>
      </c>
      <c r="GA820">
        <v>57.780355897436216</v>
      </c>
      <c r="GB820">
        <v>15.832287954911727</v>
      </c>
      <c r="GC820">
        <v>4.7005743661342985</v>
      </c>
      <c r="GD820">
        <v>4.2702670173689334</v>
      </c>
      <c r="GE820">
        <v>5.4126468267595813</v>
      </c>
      <c r="GF820">
        <v>27.381455582899669</v>
      </c>
      <c r="GG820">
        <v>23.103549552200562</v>
      </c>
      <c r="GH820">
        <v>7.6927121317549254</v>
      </c>
      <c r="GI820">
        <v>20.283967127196547</v>
      </c>
      <c r="GJ820"/>
      <c r="GK820"/>
      <c r="GL820"/>
      <c r="GM820"/>
      <c r="GN820" s="208"/>
      <c r="GO820" s="208"/>
      <c r="GP820" s="208"/>
      <c r="GQ820" s="208"/>
      <c r="GR820" s="208"/>
      <c r="GS820" s="208"/>
      <c r="GT820" s="208"/>
      <c r="GU820" s="213">
        <v>815</v>
      </c>
    </row>
    <row r="821" spans="1:203" s="7" customFormat="1">
      <c r="A821" s="4"/>
      <c r="B821" s="4"/>
      <c r="C821" s="105"/>
      <c r="D821" s="4"/>
      <c r="E821" s="4"/>
      <c r="F821" s="28"/>
      <c r="G821" s="28"/>
      <c r="H821" s="83"/>
      <c r="I821" s="4"/>
      <c r="J821" s="4"/>
      <c r="K821" s="4"/>
      <c r="L821" s="4"/>
      <c r="M821" s="4"/>
      <c r="N821" s="28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4"/>
      <c r="AB821" s="4"/>
      <c r="AC821" s="4"/>
      <c r="AD821" s="4"/>
      <c r="AE821" s="4"/>
      <c r="AF821" s="81"/>
      <c r="AG821" s="81"/>
      <c r="AH821" s="81"/>
      <c r="AI821" s="4"/>
      <c r="AJ821" s="81"/>
      <c r="AK821" s="81"/>
      <c r="AL821" s="81"/>
      <c r="AM821" s="43">
        <v>805</v>
      </c>
      <c r="AN821">
        <v>281.36579490611604</v>
      </c>
      <c r="AO821">
        <v>24.415647288802113</v>
      </c>
      <c r="AP821">
        <v>57.011634811354135</v>
      </c>
      <c r="AQ821">
        <v>181.46223126045277</v>
      </c>
      <c r="AR821">
        <v>27.314195164024323</v>
      </c>
      <c r="AS821">
        <v>267.35675992603984</v>
      </c>
      <c r="AT821">
        <v>13.587365409014708</v>
      </c>
      <c r="AU821">
        <v>45.808612410237721</v>
      </c>
      <c r="AV821"/>
      <c r="AW821"/>
      <c r="FY821" s="213">
        <v>816</v>
      </c>
      <c r="FZ821">
        <v>32.774326297569722</v>
      </c>
      <c r="GA821">
        <v>24.327386481022621</v>
      </c>
      <c r="GB821">
        <v>3.9326825962033145</v>
      </c>
      <c r="GC821">
        <v>5.1713561156100312</v>
      </c>
      <c r="GD821">
        <v>3.8314819794610218</v>
      </c>
      <c r="GE821">
        <v>5.2074886934868294</v>
      </c>
      <c r="GF821">
        <v>9.378165243210546</v>
      </c>
      <c r="GG821">
        <v>6.5224306618650409</v>
      </c>
      <c r="GH821">
        <v>22.193750322865117</v>
      </c>
      <c r="GI821">
        <v>13.249873658435297</v>
      </c>
      <c r="GJ821"/>
      <c r="GK821"/>
      <c r="GL821"/>
      <c r="GM821"/>
      <c r="GN821" s="208"/>
      <c r="GO821" s="208"/>
      <c r="GP821" s="208"/>
      <c r="GQ821" s="208"/>
      <c r="GR821" s="208"/>
      <c r="GS821" s="208"/>
      <c r="GT821" s="208"/>
      <c r="GU821" s="213">
        <v>816</v>
      </c>
    </row>
    <row r="822" spans="1:203" s="7" customFormat="1">
      <c r="A822" s="4"/>
      <c r="B822" s="4"/>
      <c r="C822" s="105"/>
      <c r="D822" s="4"/>
      <c r="E822" s="4"/>
      <c r="F822" s="28"/>
      <c r="G822" s="28"/>
      <c r="H822" s="83"/>
      <c r="I822" s="4"/>
      <c r="J822" s="4"/>
      <c r="K822" s="4"/>
      <c r="L822" s="4"/>
      <c r="M822" s="4"/>
      <c r="N822" s="28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4"/>
      <c r="AB822" s="4"/>
      <c r="AC822" s="4"/>
      <c r="AD822" s="4"/>
      <c r="AE822" s="4"/>
      <c r="AF822" s="81"/>
      <c r="AG822" s="81"/>
      <c r="AH822" s="81"/>
      <c r="AI822" s="4"/>
      <c r="AJ822" s="81"/>
      <c r="AK822" s="81"/>
      <c r="AL822" s="81"/>
      <c r="AM822" s="43">
        <v>806</v>
      </c>
      <c r="AN822">
        <v>291.92368734735442</v>
      </c>
      <c r="AO822">
        <v>26.718071830761239</v>
      </c>
      <c r="AP822">
        <v>72.931918124662218</v>
      </c>
      <c r="AQ822">
        <v>198.19551092259897</v>
      </c>
      <c r="AR822">
        <v>29.997907069227765</v>
      </c>
      <c r="AS822">
        <v>255.90959619939858</v>
      </c>
      <c r="AT822">
        <v>14.369272850209112</v>
      </c>
      <c r="AU822">
        <v>48.207632576256913</v>
      </c>
      <c r="AV822"/>
      <c r="AW822"/>
      <c r="FY822" s="213">
        <v>817</v>
      </c>
      <c r="FZ822">
        <v>66.069634447615499</v>
      </c>
      <c r="GA822">
        <v>75.927717524958766</v>
      </c>
      <c r="GB822">
        <v>12.44140217156958</v>
      </c>
      <c r="GC822">
        <v>5.5193571378033441</v>
      </c>
      <c r="GD822">
        <v>3.3727095614511926</v>
      </c>
      <c r="GE822">
        <v>4.3673942169398119</v>
      </c>
      <c r="GF822">
        <v>25.887479950377404</v>
      </c>
      <c r="GG822">
        <v>20.48187824004431</v>
      </c>
      <c r="GH822">
        <v>6.7505181000375218</v>
      </c>
      <c r="GI822">
        <v>20.943665794579385</v>
      </c>
      <c r="GJ822"/>
      <c r="GK822"/>
      <c r="GL822"/>
      <c r="GM822"/>
      <c r="GN822" s="208"/>
      <c r="GO822" s="208"/>
      <c r="GP822" s="208"/>
      <c r="GQ822" s="208"/>
      <c r="GR822" s="208"/>
      <c r="GS822" s="208"/>
      <c r="GT822" s="208"/>
      <c r="GU822" s="213">
        <v>817</v>
      </c>
    </row>
    <row r="823" spans="1:203" s="7" customFormat="1">
      <c r="A823" s="4"/>
      <c r="B823" s="4"/>
      <c r="C823" s="105"/>
      <c r="D823" s="4"/>
      <c r="E823" s="4"/>
      <c r="F823" s="28"/>
      <c r="G823" s="28"/>
      <c r="H823" s="83"/>
      <c r="I823" s="4"/>
      <c r="J823" s="4"/>
      <c r="K823" s="4"/>
      <c r="L823" s="4"/>
      <c r="M823" s="4"/>
      <c r="N823" s="28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4"/>
      <c r="AB823" s="4"/>
      <c r="AC823" s="4"/>
      <c r="AD823" s="4"/>
      <c r="AE823" s="4"/>
      <c r="AF823" s="81"/>
      <c r="AG823" s="81"/>
      <c r="AH823" s="81"/>
      <c r="AI823" s="4"/>
      <c r="AJ823" s="81"/>
      <c r="AK823" s="81"/>
      <c r="AL823" s="81"/>
      <c r="AM823" s="43">
        <v>807</v>
      </c>
      <c r="AN823">
        <v>279.34359366713767</v>
      </c>
      <c r="AO823">
        <v>29.193489961042992</v>
      </c>
      <c r="AP823">
        <v>80.79870948014289</v>
      </c>
      <c r="AQ823">
        <v>213.52288085540695</v>
      </c>
      <c r="AR823">
        <v>30.40071327255863</v>
      </c>
      <c r="AS823">
        <v>242.62564155155525</v>
      </c>
      <c r="AT823">
        <v>13.262713754641489</v>
      </c>
      <c r="AU823">
        <v>-12.311258866888554</v>
      </c>
      <c r="AV823"/>
      <c r="AW823"/>
      <c r="FY823" s="213">
        <v>818</v>
      </c>
      <c r="FZ823">
        <v>49.107758542059251</v>
      </c>
      <c r="GA823">
        <v>65.737319962150664</v>
      </c>
      <c r="GB823">
        <v>12.639792268762363</v>
      </c>
      <c r="GC823">
        <v>5.7090077101064516</v>
      </c>
      <c r="GD823">
        <v>4.780785360413736</v>
      </c>
      <c r="GE823">
        <v>3.442374551066516</v>
      </c>
      <c r="GF823">
        <v>15.353519822485419</v>
      </c>
      <c r="GG823">
        <v>15.485469785331116</v>
      </c>
      <c r="GH823">
        <v>17.145016187489976</v>
      </c>
      <c r="GI823">
        <v>19.130477317654176</v>
      </c>
      <c r="GJ823"/>
      <c r="GK823"/>
      <c r="GL823"/>
      <c r="GM823"/>
      <c r="GN823" s="208"/>
      <c r="GO823" s="208"/>
      <c r="GP823" s="208"/>
      <c r="GQ823" s="208"/>
      <c r="GR823" s="208"/>
      <c r="GS823" s="208"/>
      <c r="GT823" s="208"/>
      <c r="GU823" s="213">
        <v>818</v>
      </c>
    </row>
    <row r="824" spans="1:203" s="7" customFormat="1">
      <c r="A824" s="4"/>
      <c r="B824" s="4"/>
      <c r="C824" s="105"/>
      <c r="D824" s="4"/>
      <c r="E824" s="4"/>
      <c r="F824" s="28"/>
      <c r="G824" s="28"/>
      <c r="H824" s="83"/>
      <c r="I824" s="4"/>
      <c r="J824" s="4"/>
      <c r="K824" s="4"/>
      <c r="L824" s="4"/>
      <c r="M824" s="4"/>
      <c r="N824" s="28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4"/>
      <c r="AB824" s="4"/>
      <c r="AC824" s="4"/>
      <c r="AD824" s="4"/>
      <c r="AE824" s="4"/>
      <c r="AF824" s="81"/>
      <c r="AG824" s="81"/>
      <c r="AH824" s="81"/>
      <c r="AI824" s="4"/>
      <c r="AJ824" s="81"/>
      <c r="AK824" s="81"/>
      <c r="AL824" s="81"/>
      <c r="AM824" s="43">
        <v>808</v>
      </c>
      <c r="AN824">
        <v>306.20289658209396</v>
      </c>
      <c r="AO824">
        <v>22.229070674619837</v>
      </c>
      <c r="AP824">
        <v>112.83385473685072</v>
      </c>
      <c r="AQ824">
        <v>157.40028838297536</v>
      </c>
      <c r="AR824">
        <v>23.963243046695165</v>
      </c>
      <c r="AS824">
        <v>231.60576510955948</v>
      </c>
      <c r="AT824">
        <v>12.491004525859543</v>
      </c>
      <c r="AU824">
        <v>120.82695125820079</v>
      </c>
      <c r="AV824"/>
      <c r="AW824"/>
      <c r="FY824" s="213">
        <v>819</v>
      </c>
      <c r="FZ824">
        <v>42.079215084345229</v>
      </c>
      <c r="GA824">
        <v>30.019983289204291</v>
      </c>
      <c r="GB824">
        <v>8.0416154551726038</v>
      </c>
      <c r="GC824">
        <v>5.1973985140177543</v>
      </c>
      <c r="GD824">
        <v>4.0972259168297764</v>
      </c>
      <c r="GE824">
        <v>3.6341867459424693</v>
      </c>
      <c r="GF824">
        <v>16.211007152296748</v>
      </c>
      <c r="GG824">
        <v>15.044555282671634</v>
      </c>
      <c r="GH824">
        <v>10.544288375939162</v>
      </c>
      <c r="GI824">
        <v>15.425985880057606</v>
      </c>
      <c r="GJ824"/>
      <c r="GK824"/>
      <c r="GL824"/>
      <c r="GM824"/>
      <c r="GN824" s="208"/>
      <c r="GO824" s="208"/>
      <c r="GP824" s="208"/>
      <c r="GQ824" s="208"/>
      <c r="GR824" s="208"/>
      <c r="GS824" s="208"/>
      <c r="GT824" s="208"/>
      <c r="GU824" s="213">
        <v>819</v>
      </c>
    </row>
    <row r="825" spans="1:203" s="7" customFormat="1">
      <c r="A825" s="4"/>
      <c r="B825" s="4"/>
      <c r="C825" s="105"/>
      <c r="D825" s="4"/>
      <c r="E825" s="4"/>
      <c r="F825" s="28"/>
      <c r="G825" s="28"/>
      <c r="H825" s="83"/>
      <c r="I825" s="4"/>
      <c r="J825" s="4"/>
      <c r="K825" s="4"/>
      <c r="L825" s="4"/>
      <c r="M825" s="4"/>
      <c r="N825" s="28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4"/>
      <c r="AB825" s="4"/>
      <c r="AC825" s="4"/>
      <c r="AD825" s="4"/>
      <c r="AE825" s="4"/>
      <c r="AF825" s="81"/>
      <c r="AG825" s="81"/>
      <c r="AH825" s="81"/>
      <c r="AI825" s="4"/>
      <c r="AJ825" s="81"/>
      <c r="AK825" s="81"/>
      <c r="AL825" s="81"/>
      <c r="AM825" s="43">
        <v>809</v>
      </c>
      <c r="AN825">
        <v>263.99129500552914</v>
      </c>
      <c r="AO825">
        <v>22.246335318848484</v>
      </c>
      <c r="AP825">
        <v>100.56806463386832</v>
      </c>
      <c r="AQ825">
        <v>158.1279269375473</v>
      </c>
      <c r="AR825">
        <v>23.105375238336798</v>
      </c>
      <c r="AS825">
        <v>205.29418370424764</v>
      </c>
      <c r="AT825">
        <v>11.288341863280332</v>
      </c>
      <c r="AU825">
        <v>20.587037047847716</v>
      </c>
      <c r="AV825"/>
      <c r="AW825"/>
      <c r="FY825" s="213">
        <v>820</v>
      </c>
      <c r="FZ825">
        <v>44.324399600113232</v>
      </c>
      <c r="GA825">
        <v>43.048984972879893</v>
      </c>
      <c r="GB825">
        <v>13.0262404558488</v>
      </c>
      <c r="GC825">
        <v>4.5473050560223864</v>
      </c>
      <c r="GD825">
        <v>3.9826026478018299</v>
      </c>
      <c r="GE825">
        <v>7.420971420430627</v>
      </c>
      <c r="GF825">
        <v>17.112269856498347</v>
      </c>
      <c r="GG825">
        <v>12.772928481496084</v>
      </c>
      <c r="GH825">
        <v>16.67530527098473</v>
      </c>
      <c r="GI825">
        <v>18.256612284188151</v>
      </c>
      <c r="GJ825"/>
      <c r="GK825"/>
      <c r="GL825"/>
      <c r="GM825"/>
      <c r="GN825" s="208"/>
      <c r="GO825" s="208"/>
      <c r="GP825" s="208"/>
      <c r="GQ825" s="208"/>
      <c r="GR825" s="208"/>
      <c r="GS825" s="208"/>
      <c r="GT825" s="208"/>
      <c r="GU825" s="213">
        <v>820</v>
      </c>
    </row>
    <row r="826" spans="1:203" s="7" customFormat="1">
      <c r="A826" s="4"/>
      <c r="B826" s="4"/>
      <c r="C826" s="105"/>
      <c r="D826" s="4"/>
      <c r="E826" s="4"/>
      <c r="F826" s="28"/>
      <c r="G826" s="28"/>
      <c r="H826" s="83"/>
      <c r="I826" s="4"/>
      <c r="J826" s="4"/>
      <c r="K826" s="4"/>
      <c r="L826" s="4"/>
      <c r="M826" s="4"/>
      <c r="N826" s="28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4"/>
      <c r="AB826" s="4"/>
      <c r="AC826" s="4"/>
      <c r="AD826" s="4"/>
      <c r="AE826" s="4"/>
      <c r="AF826" s="81"/>
      <c r="AG826" s="81"/>
      <c r="AH826" s="81"/>
      <c r="AI826" s="4"/>
      <c r="AJ826" s="81"/>
      <c r="AK826" s="81"/>
      <c r="AL826" s="81"/>
      <c r="AM826" s="43">
        <v>810</v>
      </c>
      <c r="AN826">
        <v>325.54105856692627</v>
      </c>
      <c r="AO826">
        <v>28.608557294612684</v>
      </c>
      <c r="AP826">
        <v>69.146733215096106</v>
      </c>
      <c r="AQ826">
        <v>198.3371453760721</v>
      </c>
      <c r="AR826">
        <v>30.557742324042838</v>
      </c>
      <c r="AS826">
        <v>267.51319896245565</v>
      </c>
      <c r="AT826">
        <v>12.925013395470463</v>
      </c>
      <c r="AU826">
        <v>22.589349500468764</v>
      </c>
      <c r="AV826"/>
      <c r="AW826"/>
      <c r="FY826" s="213">
        <v>821</v>
      </c>
      <c r="FZ826">
        <v>57.456973420829421</v>
      </c>
      <c r="GA826">
        <v>81.121588117976728</v>
      </c>
      <c r="GB826">
        <v>20.225058747072776</v>
      </c>
      <c r="GC826">
        <v>4.5782141819577227</v>
      </c>
      <c r="GD826">
        <v>3.7581376555754122</v>
      </c>
      <c r="GE826">
        <v>6.0875258668542198</v>
      </c>
      <c r="GF826">
        <v>15.845410030190351</v>
      </c>
      <c r="GG826">
        <v>12.905851117961307</v>
      </c>
      <c r="GH826">
        <v>12.456500250797509</v>
      </c>
      <c r="GI826">
        <v>21.37030704686115</v>
      </c>
      <c r="GJ826"/>
      <c r="GK826"/>
      <c r="GL826"/>
      <c r="GM826"/>
      <c r="GN826" s="208"/>
      <c r="GO826" s="208"/>
      <c r="GP826" s="208"/>
      <c r="GQ826" s="208"/>
      <c r="GR826" s="208"/>
      <c r="GS826" s="208"/>
      <c r="GT826" s="208"/>
      <c r="GU826" s="213">
        <v>821</v>
      </c>
    </row>
    <row r="827" spans="1:203" s="7" customFormat="1">
      <c r="A827" s="4"/>
      <c r="B827" s="4"/>
      <c r="C827" s="105"/>
      <c r="D827" s="4"/>
      <c r="E827" s="4"/>
      <c r="F827" s="28"/>
      <c r="G827" s="28"/>
      <c r="H827" s="83"/>
      <c r="I827" s="4"/>
      <c r="J827" s="4"/>
      <c r="K827" s="4"/>
      <c r="L827" s="4"/>
      <c r="M827" s="4"/>
      <c r="N827" s="28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4"/>
      <c r="AB827" s="4"/>
      <c r="AC827" s="4"/>
      <c r="AD827" s="4"/>
      <c r="AE827" s="4"/>
      <c r="AF827" s="81"/>
      <c r="AG827" s="81"/>
      <c r="AH827" s="81"/>
      <c r="AI827" s="4"/>
      <c r="AJ827" s="81"/>
      <c r="AK827" s="81"/>
      <c r="AL827" s="81"/>
      <c r="AM827" s="43">
        <v>811</v>
      </c>
      <c r="AN827">
        <v>375.28972546218358</v>
      </c>
      <c r="AO827">
        <v>30.233890812504104</v>
      </c>
      <c r="AP827">
        <v>118.73110095292655</v>
      </c>
      <c r="AQ827">
        <v>231.11489323218015</v>
      </c>
      <c r="AR827">
        <v>30.804269993843679</v>
      </c>
      <c r="AS827">
        <v>275.63612829478421</v>
      </c>
      <c r="AT827">
        <v>15.564578319025037</v>
      </c>
      <c r="AU827">
        <v>11.278665967106306</v>
      </c>
      <c r="AV827"/>
      <c r="AW827"/>
      <c r="FY827" s="213">
        <v>822</v>
      </c>
      <c r="FZ827">
        <v>55.033244858799172</v>
      </c>
      <c r="GA827">
        <v>58.62328756948866</v>
      </c>
      <c r="GB827">
        <v>8.8403582862317656</v>
      </c>
      <c r="GC827">
        <v>6.3175185468743376</v>
      </c>
      <c r="GD827">
        <v>5.4589483203479912</v>
      </c>
      <c r="GE827">
        <v>6.0307049716082091</v>
      </c>
      <c r="GF827">
        <v>18.192116594174141</v>
      </c>
      <c r="GG827">
        <v>16.638701736174212</v>
      </c>
      <c r="GH827">
        <v>13.770625165848088</v>
      </c>
      <c r="GI827">
        <v>19.189710998448135</v>
      </c>
      <c r="GJ827"/>
      <c r="GK827"/>
      <c r="GL827"/>
      <c r="GM827"/>
      <c r="GN827" s="208"/>
      <c r="GO827" s="208"/>
      <c r="GP827" s="208"/>
      <c r="GQ827" s="208"/>
      <c r="GR827" s="208"/>
      <c r="GS827" s="208"/>
      <c r="GT827" s="208"/>
      <c r="GU827" s="213">
        <v>822</v>
      </c>
    </row>
    <row r="828" spans="1:203" s="7" customFormat="1">
      <c r="A828" s="4"/>
      <c r="B828" s="4"/>
      <c r="C828" s="105"/>
      <c r="D828" s="4"/>
      <c r="E828" s="4"/>
      <c r="F828" s="28"/>
      <c r="G828" s="28"/>
      <c r="H828" s="83"/>
      <c r="I828" s="4"/>
      <c r="J828" s="4"/>
      <c r="K828" s="4"/>
      <c r="L828" s="4"/>
      <c r="M828" s="4"/>
      <c r="N828" s="28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4"/>
      <c r="AB828" s="4"/>
      <c r="AC828" s="4"/>
      <c r="AD828" s="4"/>
      <c r="AE828" s="4"/>
      <c r="AF828" s="81"/>
      <c r="AG828" s="81"/>
      <c r="AH828" s="81"/>
      <c r="AI828" s="4"/>
      <c r="AJ828" s="81"/>
      <c r="AK828" s="81"/>
      <c r="AL828" s="81"/>
      <c r="AM828" s="43">
        <v>812</v>
      </c>
      <c r="AN828">
        <v>375.66720797347153</v>
      </c>
      <c r="AO828">
        <v>24.051837835306308</v>
      </c>
      <c r="AP828">
        <v>86.465648443648647</v>
      </c>
      <c r="AQ828">
        <v>171.93414128777448</v>
      </c>
      <c r="AR828">
        <v>26.019148440297567</v>
      </c>
      <c r="AS828">
        <v>257.97902018688706</v>
      </c>
      <c r="AT828">
        <v>12.617176726162628</v>
      </c>
      <c r="AU828">
        <v>45.231389608973359</v>
      </c>
      <c r="AV828"/>
      <c r="AW828"/>
      <c r="FY828" s="213">
        <v>823</v>
      </c>
      <c r="FZ828">
        <v>60.797015603880673</v>
      </c>
      <c r="GA828">
        <v>74.749697059422644</v>
      </c>
      <c r="GB828">
        <v>11.593824500673366</v>
      </c>
      <c r="GC828">
        <v>6.3545391923638457</v>
      </c>
      <c r="GD828">
        <v>5.8847747281392708</v>
      </c>
      <c r="GE828">
        <v>5.4589216220958869</v>
      </c>
      <c r="GF828">
        <v>9.9319044243811287</v>
      </c>
      <c r="GG828">
        <v>10.168837531905277</v>
      </c>
      <c r="GH828">
        <v>15.917184468664102</v>
      </c>
      <c r="GI828">
        <v>20.002225780417913</v>
      </c>
      <c r="GJ828"/>
      <c r="GK828"/>
      <c r="GL828"/>
      <c r="GM828"/>
      <c r="GN828" s="208"/>
      <c r="GO828" s="208"/>
      <c r="GP828" s="208"/>
      <c r="GQ828" s="208"/>
      <c r="GR828" s="208"/>
      <c r="GS828" s="208"/>
      <c r="GT828" s="208"/>
      <c r="GU828" s="213">
        <v>823</v>
      </c>
    </row>
    <row r="829" spans="1:203" s="7" customFormat="1">
      <c r="A829" s="4"/>
      <c r="B829" s="4"/>
      <c r="C829" s="105"/>
      <c r="D829" s="4"/>
      <c r="E829" s="4"/>
      <c r="F829" s="28"/>
      <c r="G829" s="28"/>
      <c r="H829" s="83"/>
      <c r="I829" s="4"/>
      <c r="J829" s="4"/>
      <c r="K829" s="4"/>
      <c r="L829" s="4"/>
      <c r="M829" s="4"/>
      <c r="N829" s="28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  <c r="AA829" s="4"/>
      <c r="AB829" s="4"/>
      <c r="AC829" s="4"/>
      <c r="AD829" s="4"/>
      <c r="AE829" s="4"/>
      <c r="AF829" s="81"/>
      <c r="AG829" s="81"/>
      <c r="AH829" s="81"/>
      <c r="AI829" s="4"/>
      <c r="AJ829" s="81"/>
      <c r="AK829" s="81"/>
      <c r="AL829" s="81"/>
      <c r="AM829" s="43">
        <v>813</v>
      </c>
      <c r="AN829">
        <v>200.71929248442925</v>
      </c>
      <c r="AO829">
        <v>15.970406937910033</v>
      </c>
      <c r="AP829">
        <v>34.070885829014017</v>
      </c>
      <c r="AQ829">
        <v>111.70157276889148</v>
      </c>
      <c r="AR829">
        <v>16.879154255920106</v>
      </c>
      <c r="AS829">
        <v>145.02991384003747</v>
      </c>
      <c r="AT829">
        <v>7.1441726132908556</v>
      </c>
      <c r="AU829">
        <v>20.313938061361341</v>
      </c>
      <c r="AV829"/>
      <c r="AW829"/>
      <c r="FY829" s="213">
        <v>824</v>
      </c>
      <c r="FZ829">
        <v>45.919268572292708</v>
      </c>
      <c r="GA829">
        <v>50.723625763254951</v>
      </c>
      <c r="GB829">
        <v>11.126620920808731</v>
      </c>
      <c r="GC829">
        <v>8.9494194098345599</v>
      </c>
      <c r="GD829">
        <v>7.7530612539821995</v>
      </c>
      <c r="GE829">
        <v>5.5656238325174821</v>
      </c>
      <c r="GF829">
        <v>10.123046087692476</v>
      </c>
      <c r="GG829">
        <v>11.356796454033086</v>
      </c>
      <c r="GH829">
        <v>14.543001275834298</v>
      </c>
      <c r="GI829">
        <v>18.537469865400535</v>
      </c>
      <c r="GJ829"/>
      <c r="GK829"/>
      <c r="GL829"/>
      <c r="GM829"/>
      <c r="GN829" s="208"/>
      <c r="GO829" s="208"/>
      <c r="GP829" s="208"/>
      <c r="GQ829" s="208"/>
      <c r="GR829" s="208"/>
      <c r="GS829" s="208"/>
      <c r="GT829" s="208"/>
      <c r="GU829" s="213">
        <v>824</v>
      </c>
    </row>
    <row r="830" spans="1:203" s="7" customFormat="1">
      <c r="A830" s="4"/>
      <c r="B830" s="4"/>
      <c r="C830" s="105"/>
      <c r="D830" s="4"/>
      <c r="E830" s="4"/>
      <c r="F830" s="28"/>
      <c r="G830" s="28"/>
      <c r="H830" s="83"/>
      <c r="I830" s="4"/>
      <c r="J830" s="4"/>
      <c r="K830" s="4"/>
      <c r="L830" s="4"/>
      <c r="M830" s="4"/>
      <c r="N830" s="28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  <c r="AA830" s="4"/>
      <c r="AB830" s="4"/>
      <c r="AC830" s="4"/>
      <c r="AD830" s="4"/>
      <c r="AE830" s="4"/>
      <c r="AF830" s="81"/>
      <c r="AG830" s="81"/>
      <c r="AH830" s="81"/>
      <c r="AI830" s="4"/>
      <c r="AJ830" s="81"/>
      <c r="AK830" s="81"/>
      <c r="AL830" s="81"/>
      <c r="AM830" s="43">
        <v>814</v>
      </c>
      <c r="AN830">
        <v>306.83675108084776</v>
      </c>
      <c r="AO830">
        <v>19.696898688905669</v>
      </c>
      <c r="AP830">
        <v>127.4719381595287</v>
      </c>
      <c r="AQ830">
        <v>138.97358800405482</v>
      </c>
      <c r="AR830">
        <v>20.275714739004666</v>
      </c>
      <c r="AS830">
        <v>213.41387659152949</v>
      </c>
      <c r="AT830">
        <v>10.87646859014437</v>
      </c>
      <c r="AU830">
        <v>43.203110849240261</v>
      </c>
      <c r="AV830"/>
      <c r="AW830"/>
      <c r="FY830" s="213">
        <v>825</v>
      </c>
      <c r="FZ830">
        <v>56.386555620518926</v>
      </c>
      <c r="GA830">
        <v>68.5299518957478</v>
      </c>
      <c r="GB830">
        <v>20.244873425876587</v>
      </c>
      <c r="GC830">
        <v>5.1209193497221532</v>
      </c>
      <c r="GD830">
        <v>3.3359071445133637</v>
      </c>
      <c r="GE830">
        <v>4.7285739336890353</v>
      </c>
      <c r="GF830">
        <v>9.2280705132872818</v>
      </c>
      <c r="GG830">
        <v>5.7968616695653177</v>
      </c>
      <c r="GH830">
        <v>7.1908189465844803</v>
      </c>
      <c r="GI830">
        <v>18.893299318627815</v>
      </c>
      <c r="GJ830"/>
      <c r="GK830"/>
      <c r="GL830"/>
      <c r="GM830"/>
      <c r="GN830" s="208"/>
      <c r="GO830" s="208"/>
      <c r="GP830" s="208"/>
      <c r="GQ830" s="208"/>
      <c r="GR830" s="208"/>
      <c r="GS830" s="208"/>
      <c r="GT830" s="208"/>
      <c r="GU830" s="213">
        <v>825</v>
      </c>
    </row>
    <row r="831" spans="1:203" s="7" customFormat="1">
      <c r="A831" s="4"/>
      <c r="B831" s="4"/>
      <c r="C831" s="105"/>
      <c r="D831" s="4"/>
      <c r="E831" s="4"/>
      <c r="F831" s="28"/>
      <c r="G831" s="28"/>
      <c r="H831" s="83"/>
      <c r="I831" s="4"/>
      <c r="J831" s="4"/>
      <c r="K831" s="4"/>
      <c r="L831" s="4"/>
      <c r="M831" s="4"/>
      <c r="N831" s="28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  <c r="AA831" s="4"/>
      <c r="AB831" s="4"/>
      <c r="AC831" s="4"/>
      <c r="AD831" s="4"/>
      <c r="AE831" s="4"/>
      <c r="AF831" s="81"/>
      <c r="AG831" s="81"/>
      <c r="AH831" s="81"/>
      <c r="AI831" s="4"/>
      <c r="AJ831" s="81"/>
      <c r="AK831" s="81"/>
      <c r="AL831" s="81"/>
      <c r="AM831" s="43">
        <v>815</v>
      </c>
      <c r="AN831">
        <v>347.04287284810709</v>
      </c>
      <c r="AO831">
        <v>29.791326588605308</v>
      </c>
      <c r="AP831">
        <v>76.869488599517112</v>
      </c>
      <c r="AQ831">
        <v>214.6872569364439</v>
      </c>
      <c r="AR831">
        <v>30.367945492149659</v>
      </c>
      <c r="AS831">
        <v>282.30792812268976</v>
      </c>
      <c r="AT831">
        <v>12.754497064651419</v>
      </c>
      <c r="AU831">
        <v>15.101417429297431</v>
      </c>
      <c r="AV831"/>
      <c r="AW831"/>
      <c r="FY831" s="213">
        <v>826</v>
      </c>
      <c r="FZ831">
        <v>26.435166926551528</v>
      </c>
      <c r="GA831">
        <v>31.576322805140649</v>
      </c>
      <c r="GB831">
        <v>13.076788609834527</v>
      </c>
      <c r="GC831">
        <v>8.6187295555554186</v>
      </c>
      <c r="GD831">
        <v>6.0920701565575541</v>
      </c>
      <c r="GE831">
        <v>3.5887280725367523</v>
      </c>
      <c r="GF831">
        <v>16.868939901073745</v>
      </c>
      <c r="GG831">
        <v>16.724920465559659</v>
      </c>
      <c r="GH831">
        <v>10.047754770137413</v>
      </c>
      <c r="GI831">
        <v>15.803120192626983</v>
      </c>
      <c r="GJ831"/>
      <c r="GK831"/>
      <c r="GL831"/>
      <c r="GM831"/>
      <c r="GN831" s="208"/>
      <c r="GO831" s="208"/>
      <c r="GP831" s="208"/>
      <c r="GQ831" s="208"/>
      <c r="GR831" s="208"/>
      <c r="GS831" s="208"/>
      <c r="GT831" s="208"/>
      <c r="GU831" s="213">
        <v>826</v>
      </c>
    </row>
    <row r="832" spans="1:203" s="7" customFormat="1">
      <c r="A832" s="4"/>
      <c r="B832" s="4"/>
      <c r="C832" s="105"/>
      <c r="D832" s="4"/>
      <c r="E832" s="4"/>
      <c r="F832" s="28"/>
      <c r="G832" s="28"/>
      <c r="H832" s="83"/>
      <c r="I832" s="4"/>
      <c r="J832" s="4"/>
      <c r="K832" s="4"/>
      <c r="L832" s="4"/>
      <c r="M832" s="4"/>
      <c r="N832" s="28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  <c r="AA832" s="4"/>
      <c r="AB832" s="4"/>
      <c r="AC832" s="4"/>
      <c r="AD832" s="4"/>
      <c r="AE832" s="4"/>
      <c r="AF832" s="81"/>
      <c r="AG832" s="81"/>
      <c r="AH832" s="81"/>
      <c r="AI832" s="4"/>
      <c r="AJ832" s="81"/>
      <c r="AK832" s="81"/>
      <c r="AL832" s="81"/>
      <c r="AM832" s="43">
        <v>816</v>
      </c>
      <c r="AN832">
        <v>264.49466160152969</v>
      </c>
      <c r="AO832">
        <v>17.051098554297582</v>
      </c>
      <c r="AP832">
        <v>67.300040955323524</v>
      </c>
      <c r="AQ832">
        <v>126.58894204972952</v>
      </c>
      <c r="AR832">
        <v>18.98875233077187</v>
      </c>
      <c r="AS832">
        <v>195.28181485713671</v>
      </c>
      <c r="AT832">
        <v>9.3710251927675312</v>
      </c>
      <c r="AU832">
        <v>22.13486777305728</v>
      </c>
      <c r="AV832"/>
      <c r="AW832"/>
      <c r="FY832" s="213">
        <v>827</v>
      </c>
      <c r="FZ832">
        <v>52.595511079402094</v>
      </c>
      <c r="GA832">
        <v>58.643603889696699</v>
      </c>
      <c r="GB832">
        <v>14.564705981432255</v>
      </c>
      <c r="GC832">
        <v>5.498897544765927</v>
      </c>
      <c r="GD832">
        <v>3.5110478067574857</v>
      </c>
      <c r="GE832">
        <v>3.7846110890338447</v>
      </c>
      <c r="GF832">
        <v>17.366689239382019</v>
      </c>
      <c r="GG832">
        <v>15.923665684882469</v>
      </c>
      <c r="GH832">
        <v>13.556068536718566</v>
      </c>
      <c r="GI832">
        <v>19.180878278656607</v>
      </c>
      <c r="GJ832"/>
      <c r="GK832"/>
      <c r="GL832"/>
      <c r="GM832"/>
      <c r="GN832" s="208"/>
      <c r="GO832" s="208"/>
      <c r="GP832" s="208"/>
      <c r="GQ832" s="208"/>
      <c r="GR832" s="208"/>
      <c r="GS832" s="208"/>
      <c r="GT832" s="208"/>
      <c r="GU832" s="213">
        <v>827</v>
      </c>
    </row>
    <row r="833" spans="1:203" s="7" customFormat="1">
      <c r="A833" s="4"/>
      <c r="B833" s="4"/>
      <c r="C833" s="105"/>
      <c r="D833" s="4"/>
      <c r="E833" s="4"/>
      <c r="F833" s="28"/>
      <c r="G833" s="28"/>
      <c r="H833" s="83"/>
      <c r="I833" s="4"/>
      <c r="J833" s="4"/>
      <c r="K833" s="4"/>
      <c r="L833" s="4"/>
      <c r="M833" s="4"/>
      <c r="N833" s="28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  <c r="AA833" s="4"/>
      <c r="AB833" s="4"/>
      <c r="AC833" s="4"/>
      <c r="AD833" s="4"/>
      <c r="AE833" s="4"/>
      <c r="AF833" s="81"/>
      <c r="AG833" s="81"/>
      <c r="AH833" s="81"/>
      <c r="AI833" s="4"/>
      <c r="AJ833" s="81"/>
      <c r="AK833" s="81"/>
      <c r="AL833" s="81"/>
      <c r="AM833" s="43">
        <v>817</v>
      </c>
      <c r="AN833">
        <v>324.03394258540828</v>
      </c>
      <c r="AO833">
        <v>31.372352597505245</v>
      </c>
      <c r="AP833">
        <v>84.833520800309486</v>
      </c>
      <c r="AQ833">
        <v>241.76175714537683</v>
      </c>
      <c r="AR833">
        <v>30.943652410345436</v>
      </c>
      <c r="AS833">
        <v>272.74062667805919</v>
      </c>
      <c r="AT833">
        <v>15.18022428898678</v>
      </c>
      <c r="AU833">
        <v>19.432991081174659</v>
      </c>
      <c r="AV833"/>
      <c r="AW833"/>
      <c r="FY833" s="213">
        <v>828</v>
      </c>
      <c r="FZ833">
        <v>65.773732499839596</v>
      </c>
      <c r="GA833">
        <v>104.13074028607845</v>
      </c>
      <c r="GB833">
        <v>22.368698505731906</v>
      </c>
      <c r="GC833">
        <v>6.4921422414729966</v>
      </c>
      <c r="GD833">
        <v>5.9170734852942486</v>
      </c>
      <c r="GE833">
        <v>8.8104128249056188</v>
      </c>
      <c r="GF833">
        <v>32.070136656876549</v>
      </c>
      <c r="GG833">
        <v>26.900779606755275</v>
      </c>
      <c r="GH833">
        <v>8.2922497330338132</v>
      </c>
      <c r="GI833">
        <v>26.694577376171466</v>
      </c>
      <c r="GJ833"/>
      <c r="GK833"/>
      <c r="GL833"/>
      <c r="GM833"/>
      <c r="GN833" s="208"/>
      <c r="GO833" s="208"/>
      <c r="GP833" s="208"/>
      <c r="GQ833" s="208"/>
      <c r="GR833" s="208"/>
      <c r="GS833" s="208"/>
      <c r="GT833" s="208"/>
      <c r="GU833" s="213">
        <v>828</v>
      </c>
    </row>
    <row r="834" spans="1:203" s="7" customFormat="1">
      <c r="A834" s="4"/>
      <c r="B834" s="4"/>
      <c r="C834" s="105"/>
      <c r="D834" s="4"/>
      <c r="E834" s="4"/>
      <c r="F834" s="28"/>
      <c r="G834" s="28"/>
      <c r="H834" s="83"/>
      <c r="I834" s="4"/>
      <c r="J834" s="4"/>
      <c r="K834" s="4"/>
      <c r="L834" s="4"/>
      <c r="M834" s="4"/>
      <c r="N834" s="28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  <c r="AA834" s="4"/>
      <c r="AB834" s="4"/>
      <c r="AC834" s="4"/>
      <c r="AD834" s="4"/>
      <c r="AE834" s="4"/>
      <c r="AF834" s="81"/>
      <c r="AG834" s="81"/>
      <c r="AH834" s="81"/>
      <c r="AI834" s="4"/>
      <c r="AJ834" s="81"/>
      <c r="AK834" s="81"/>
      <c r="AL834" s="81"/>
      <c r="AM834" s="43">
        <v>818</v>
      </c>
      <c r="AN834">
        <v>270.90624303032894</v>
      </c>
      <c r="AO834">
        <v>27.949779886876495</v>
      </c>
      <c r="AP834">
        <v>100.19405567949005</v>
      </c>
      <c r="AQ834">
        <v>208.53152150751964</v>
      </c>
      <c r="AR834">
        <v>28.205231144117487</v>
      </c>
      <c r="AS834">
        <v>239.30440908716426</v>
      </c>
      <c r="AT834">
        <v>12.791202615717468</v>
      </c>
      <c r="AU834">
        <v>7.6816002787325193</v>
      </c>
      <c r="AV834"/>
      <c r="AW834"/>
      <c r="FY834" s="213">
        <v>829</v>
      </c>
      <c r="FZ834">
        <v>26.355212293737299</v>
      </c>
      <c r="GA834">
        <v>33.343039481463748</v>
      </c>
      <c r="GB834">
        <v>11.964730535719385</v>
      </c>
      <c r="GC834">
        <v>7.9176969277752622</v>
      </c>
      <c r="GD834">
        <v>6.3047347900910076</v>
      </c>
      <c r="GE834">
        <v>4.6203455139004905</v>
      </c>
      <c r="GF834">
        <v>17.371730690885585</v>
      </c>
      <c r="GG834">
        <v>16.142622568168989</v>
      </c>
      <c r="GH834">
        <v>22.394557544501129</v>
      </c>
      <c r="GI834">
        <v>17.668416021575513</v>
      </c>
      <c r="GJ834"/>
      <c r="GK834"/>
      <c r="GL834"/>
      <c r="GM834"/>
      <c r="GN834" s="208"/>
      <c r="GO834" s="208"/>
      <c r="GP834" s="208"/>
      <c r="GQ834" s="208"/>
      <c r="GR834" s="208"/>
      <c r="GS834" s="208"/>
      <c r="GT834" s="208"/>
      <c r="GU834" s="213">
        <v>829</v>
      </c>
    </row>
    <row r="835" spans="1:203" s="7" customFormat="1">
      <c r="A835" s="4"/>
      <c r="B835" s="4"/>
      <c r="C835" s="105"/>
      <c r="D835" s="4"/>
      <c r="E835" s="4"/>
      <c r="F835" s="28"/>
      <c r="G835" s="28"/>
      <c r="H835" s="83"/>
      <c r="I835" s="4"/>
      <c r="J835" s="4"/>
      <c r="K835" s="4"/>
      <c r="L835" s="4"/>
      <c r="M835" s="4"/>
      <c r="N835" s="28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  <c r="AA835" s="4"/>
      <c r="AB835" s="4"/>
      <c r="AC835" s="4"/>
      <c r="AD835" s="4"/>
      <c r="AE835" s="4"/>
      <c r="AF835" s="81"/>
      <c r="AG835" s="81"/>
      <c r="AH835" s="81"/>
      <c r="AI835" s="4"/>
      <c r="AJ835" s="81"/>
      <c r="AK835" s="81"/>
      <c r="AL835" s="81"/>
      <c r="AM835" s="43">
        <v>819</v>
      </c>
      <c r="AN835">
        <v>253.57971235292467</v>
      </c>
      <c r="AO835">
        <v>20.807813687067856</v>
      </c>
      <c r="AP835">
        <v>63.037169930463094</v>
      </c>
      <c r="AQ835">
        <v>150.29546169647725</v>
      </c>
      <c r="AR835">
        <v>22.407803872626992</v>
      </c>
      <c r="AS835">
        <v>201.32537613069661</v>
      </c>
      <c r="AT835">
        <v>10.369619693215038</v>
      </c>
      <c r="AU835">
        <v>26.117438228841728</v>
      </c>
      <c r="AV835"/>
      <c r="AW835"/>
      <c r="FY835" s="213">
        <v>830</v>
      </c>
      <c r="FZ835">
        <v>67.487052531530608</v>
      </c>
      <c r="GA835">
        <v>61.146201654201732</v>
      </c>
      <c r="GB835">
        <v>7.1384315870817581</v>
      </c>
      <c r="GC835">
        <v>4.9666275127119484</v>
      </c>
      <c r="GD835">
        <v>3.8165076833823011</v>
      </c>
      <c r="GE835">
        <v>2.6917500034176678</v>
      </c>
      <c r="GF835">
        <v>12.370953860983835</v>
      </c>
      <c r="GG835">
        <v>12.856916343714333</v>
      </c>
      <c r="GH835">
        <v>10.934412015853542</v>
      </c>
      <c r="GI835">
        <v>18.022713272187982</v>
      </c>
      <c r="GJ835"/>
      <c r="GK835"/>
      <c r="GL835"/>
      <c r="GM835"/>
      <c r="GN835" s="208"/>
      <c r="GO835" s="208"/>
      <c r="GP835" s="208"/>
      <c r="GQ835" s="208"/>
      <c r="GR835" s="208"/>
      <c r="GS835" s="208"/>
      <c r="GT835" s="208"/>
      <c r="GU835" s="213">
        <v>830</v>
      </c>
    </row>
    <row r="836" spans="1:203" s="7" customFormat="1">
      <c r="A836" s="4"/>
      <c r="B836" s="4"/>
      <c r="C836" s="105"/>
      <c r="D836" s="4"/>
      <c r="E836" s="4"/>
      <c r="F836" s="28"/>
      <c r="G836" s="28"/>
      <c r="H836" s="83"/>
      <c r="I836" s="4"/>
      <c r="J836" s="4"/>
      <c r="K836" s="4"/>
      <c r="L836" s="4"/>
      <c r="M836" s="4"/>
      <c r="N836" s="28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  <c r="AA836" s="4"/>
      <c r="AB836" s="4"/>
      <c r="AC836" s="4"/>
      <c r="AD836" s="4"/>
      <c r="AE836" s="4"/>
      <c r="AF836" s="81"/>
      <c r="AG836" s="81"/>
      <c r="AH836" s="81"/>
      <c r="AI836" s="4"/>
      <c r="AJ836" s="81"/>
      <c r="AK836" s="81"/>
      <c r="AL836" s="81"/>
      <c r="AM836" s="43">
        <v>820</v>
      </c>
      <c r="AN836">
        <v>299.57627753811113</v>
      </c>
      <c r="AO836">
        <v>25.232491935616515</v>
      </c>
      <c r="AP836">
        <v>64.533962444990379</v>
      </c>
      <c r="AQ836">
        <v>181.16762004626409</v>
      </c>
      <c r="AR836">
        <v>27.195728873643937</v>
      </c>
      <c r="AS836">
        <v>238.1446269785863</v>
      </c>
      <c r="AT836">
        <v>11.752085709607734</v>
      </c>
      <c r="AU836">
        <v>17.587226968010292</v>
      </c>
      <c r="AV836"/>
      <c r="AW836"/>
      <c r="FY836" s="213">
        <v>831</v>
      </c>
      <c r="FZ836">
        <v>43.301236392703821</v>
      </c>
      <c r="GA836">
        <v>66.426676750807374</v>
      </c>
      <c r="GB836">
        <v>17.189200656143182</v>
      </c>
      <c r="GC836">
        <v>5.6678011565609356</v>
      </c>
      <c r="GD836">
        <v>3.8796415012661987</v>
      </c>
      <c r="GE836">
        <v>7.0844914622340642</v>
      </c>
      <c r="GF836">
        <v>16.013849106295147</v>
      </c>
      <c r="GG836">
        <v>9.107324611520637</v>
      </c>
      <c r="GH836">
        <v>16.967464087318142</v>
      </c>
      <c r="GI836">
        <v>19.225518924922945</v>
      </c>
      <c r="GJ836"/>
      <c r="GK836"/>
      <c r="GL836"/>
      <c r="GM836"/>
      <c r="GN836" s="208"/>
      <c r="GO836" s="208"/>
      <c r="GP836" s="208"/>
      <c r="GQ836" s="208"/>
      <c r="GR836" s="208"/>
      <c r="GS836" s="208"/>
      <c r="GT836" s="208"/>
      <c r="GU836" s="213">
        <v>831</v>
      </c>
    </row>
    <row r="837" spans="1:203" s="7" customFormat="1">
      <c r="A837" s="4"/>
      <c r="B837" s="4"/>
      <c r="C837" s="105"/>
      <c r="D837" s="4"/>
      <c r="E837" s="4"/>
      <c r="F837" s="28"/>
      <c r="G837" s="28"/>
      <c r="H837" s="83"/>
      <c r="I837" s="4"/>
      <c r="J837" s="4"/>
      <c r="K837" s="4"/>
      <c r="L837" s="4"/>
      <c r="M837" s="4"/>
      <c r="N837" s="28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  <c r="AA837" s="4"/>
      <c r="AB837" s="4"/>
      <c r="AC837" s="4"/>
      <c r="AD837" s="4"/>
      <c r="AE837" s="4"/>
      <c r="AF837" s="81"/>
      <c r="AG837" s="81"/>
      <c r="AH837" s="81"/>
      <c r="AI837" s="4"/>
      <c r="AJ837" s="81"/>
      <c r="AK837" s="81"/>
      <c r="AL837" s="81"/>
      <c r="AM837" s="43">
        <v>821</v>
      </c>
      <c r="AN837">
        <v>319.54590506852293</v>
      </c>
      <c r="AO837">
        <v>31.706267080595218</v>
      </c>
      <c r="AP837">
        <v>103.99967416321464</v>
      </c>
      <c r="AQ837">
        <v>235.80556643607659</v>
      </c>
      <c r="AR837">
        <v>31.891262176739893</v>
      </c>
      <c r="AS837">
        <v>288.88056106602772</v>
      </c>
      <c r="AT837">
        <v>13.166730714085832</v>
      </c>
      <c r="AU837">
        <v>4.116932049926028</v>
      </c>
      <c r="AV837"/>
      <c r="AW837"/>
      <c r="FY837" s="213">
        <v>832</v>
      </c>
      <c r="FZ837">
        <v>45.405049870280898</v>
      </c>
      <c r="GA837">
        <v>33.62303670372274</v>
      </c>
      <c r="GB837">
        <v>8.1469416710646989</v>
      </c>
      <c r="GC837">
        <v>7.5032296573107322</v>
      </c>
      <c r="GD837">
        <v>5.412586575668854</v>
      </c>
      <c r="GE837">
        <v>6.1065754470810996</v>
      </c>
      <c r="GF837">
        <v>14.466157950054654</v>
      </c>
      <c r="GG837">
        <v>8.0861724732591274</v>
      </c>
      <c r="GH837">
        <v>7.5639481659167815</v>
      </c>
      <c r="GI837">
        <v>15.706071305294886</v>
      </c>
      <c r="GJ837"/>
      <c r="GK837"/>
      <c r="GL837"/>
      <c r="GM837"/>
      <c r="GN837" s="208"/>
      <c r="GO837" s="208"/>
      <c r="GP837" s="208"/>
      <c r="GQ837" s="208"/>
      <c r="GR837" s="208"/>
      <c r="GS837" s="208"/>
      <c r="GT837" s="208"/>
      <c r="GU837" s="213">
        <v>832</v>
      </c>
    </row>
    <row r="838" spans="1:203" s="7" customFormat="1">
      <c r="A838" s="4"/>
      <c r="B838" s="4"/>
      <c r="C838" s="105"/>
      <c r="D838" s="4"/>
      <c r="E838" s="4"/>
      <c r="F838" s="28"/>
      <c r="G838" s="28"/>
      <c r="H838" s="83"/>
      <c r="I838" s="4"/>
      <c r="J838" s="4"/>
      <c r="K838" s="4"/>
      <c r="L838" s="4"/>
      <c r="M838" s="4"/>
      <c r="N838" s="28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  <c r="AA838" s="4"/>
      <c r="AB838" s="4"/>
      <c r="AC838" s="4"/>
      <c r="AD838" s="4"/>
      <c r="AE838" s="4"/>
      <c r="AF838" s="81"/>
      <c r="AG838" s="81"/>
      <c r="AH838" s="81"/>
      <c r="AI838" s="4"/>
      <c r="AJ838" s="81"/>
      <c r="AK838" s="81"/>
      <c r="AL838" s="81"/>
      <c r="AM838" s="43">
        <v>822</v>
      </c>
      <c r="AN838">
        <v>318.56563873740851</v>
      </c>
      <c r="AO838">
        <v>27.840200311815739</v>
      </c>
      <c r="AP838">
        <v>102.54844341984045</v>
      </c>
      <c r="AQ838">
        <v>208.09521704799471</v>
      </c>
      <c r="AR838">
        <v>27.865030193536501</v>
      </c>
      <c r="AS838">
        <v>256.86313934168271</v>
      </c>
      <c r="AT838">
        <v>13.779985127680275</v>
      </c>
      <c r="AU838">
        <v>12.88604344598545</v>
      </c>
      <c r="AV838"/>
      <c r="AW838"/>
      <c r="FY838" s="213">
        <v>833</v>
      </c>
      <c r="FZ838">
        <v>30.335487432405156</v>
      </c>
      <c r="GA838">
        <v>45.463367683450066</v>
      </c>
      <c r="GB838">
        <v>14.691752123512147</v>
      </c>
      <c r="GC838">
        <v>5.287769920524811</v>
      </c>
      <c r="GD838">
        <v>5.860035336959859</v>
      </c>
      <c r="GE838">
        <v>10.091182842575694</v>
      </c>
      <c r="GF838">
        <v>14.783957952923762</v>
      </c>
      <c r="GG838">
        <v>8.3742217324589703</v>
      </c>
      <c r="GH838">
        <v>5.9959053489267919</v>
      </c>
      <c r="GI838">
        <v>15.778805100067967</v>
      </c>
      <c r="GJ838"/>
      <c r="GK838"/>
      <c r="GL838"/>
      <c r="GM838"/>
      <c r="GN838" s="208"/>
      <c r="GO838" s="208"/>
      <c r="GP838" s="208"/>
      <c r="GQ838" s="208"/>
      <c r="GR838" s="208"/>
      <c r="GS838" s="208"/>
      <c r="GT838" s="208"/>
      <c r="GU838" s="213">
        <v>833</v>
      </c>
    </row>
    <row r="839" spans="1:203" s="7" customFormat="1">
      <c r="A839" s="4"/>
      <c r="B839" s="4"/>
      <c r="C839" s="105"/>
      <c r="D839" s="4"/>
      <c r="E839" s="4"/>
      <c r="F839" s="28"/>
      <c r="G839" s="28"/>
      <c r="H839" s="83"/>
      <c r="I839" s="4"/>
      <c r="J839" s="4"/>
      <c r="K839" s="4"/>
      <c r="L839" s="4"/>
      <c r="M839" s="4"/>
      <c r="N839" s="28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  <c r="AA839" s="4"/>
      <c r="AB839" s="4"/>
      <c r="AC839" s="4"/>
      <c r="AD839" s="4"/>
      <c r="AE839" s="4"/>
      <c r="AF839" s="81"/>
      <c r="AG839" s="81"/>
      <c r="AH839" s="81"/>
      <c r="AI839" s="4"/>
      <c r="AJ839" s="81"/>
      <c r="AK839" s="81"/>
      <c r="AL839" s="81"/>
      <c r="AM839" s="43">
        <v>823</v>
      </c>
      <c r="AN839">
        <v>274.30882155803596</v>
      </c>
      <c r="AO839">
        <v>29.080249727779272</v>
      </c>
      <c r="AP839">
        <v>89.888560427874879</v>
      </c>
      <c r="AQ839">
        <v>220.85892491194409</v>
      </c>
      <c r="AR839">
        <v>29.236746141800626</v>
      </c>
      <c r="AS839">
        <v>271.62298144742959</v>
      </c>
      <c r="AT839">
        <v>14.394343636131067</v>
      </c>
      <c r="AU839">
        <v>6.3247821383661122</v>
      </c>
      <c r="AV839"/>
      <c r="AW839"/>
      <c r="FY839" s="213">
        <v>834</v>
      </c>
      <c r="FZ839">
        <v>61.804993003793989</v>
      </c>
      <c r="GA839">
        <v>67.9314861195801</v>
      </c>
      <c r="GB839">
        <v>15.439439315893319</v>
      </c>
      <c r="GC839">
        <v>5.5434755411413192</v>
      </c>
      <c r="GD839">
        <v>4.5193504432379088</v>
      </c>
      <c r="GE839">
        <v>6.0601517732644803</v>
      </c>
      <c r="GF839">
        <v>11.901686491899858</v>
      </c>
      <c r="GG839">
        <v>8.1857455471507681</v>
      </c>
      <c r="GH839">
        <v>11.870829669025973</v>
      </c>
      <c r="GI839">
        <v>20.137409256838364</v>
      </c>
      <c r="GJ839"/>
      <c r="GK839"/>
      <c r="GL839"/>
      <c r="GM839"/>
      <c r="GN839" s="208"/>
      <c r="GO839" s="208"/>
      <c r="GP839" s="208"/>
      <c r="GQ839" s="208"/>
      <c r="GR839" s="208"/>
      <c r="GS839" s="208"/>
      <c r="GT839" s="208"/>
      <c r="GU839" s="213">
        <v>834</v>
      </c>
    </row>
    <row r="840" spans="1:203" s="7" customFormat="1">
      <c r="A840" s="4"/>
      <c r="B840" s="4"/>
      <c r="C840" s="105"/>
      <c r="D840" s="4"/>
      <c r="E840" s="4"/>
      <c r="F840" s="28"/>
      <c r="G840" s="28"/>
      <c r="H840" s="83"/>
      <c r="I840" s="4"/>
      <c r="J840" s="4"/>
      <c r="K840" s="4"/>
      <c r="L840" s="4"/>
      <c r="M840" s="4"/>
      <c r="N840" s="28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  <c r="AA840" s="4"/>
      <c r="AB840" s="4"/>
      <c r="AC840" s="4"/>
      <c r="AD840" s="4"/>
      <c r="AE840" s="4"/>
      <c r="AF840" s="81"/>
      <c r="AG840" s="81"/>
      <c r="AH840" s="81"/>
      <c r="AI840" s="4"/>
      <c r="AJ840" s="81"/>
      <c r="AK840" s="81"/>
      <c r="AL840" s="81"/>
      <c r="AM840" s="43">
        <v>824</v>
      </c>
      <c r="AN840">
        <v>313.82712384048921</v>
      </c>
      <c r="AO840">
        <v>26.988931511587413</v>
      </c>
      <c r="AP840">
        <v>100.09696652057363</v>
      </c>
      <c r="AQ840">
        <v>184.59793343565102</v>
      </c>
      <c r="AR840">
        <v>27.463693690856719</v>
      </c>
      <c r="AS840">
        <v>253.17355060763802</v>
      </c>
      <c r="AT840">
        <v>12.193997007964249</v>
      </c>
      <c r="AU840">
        <v>7.8595167956304408</v>
      </c>
      <c r="AV840"/>
      <c r="AW840"/>
      <c r="FY840" s="213">
        <v>835</v>
      </c>
      <c r="FZ840">
        <v>55.682747588092688</v>
      </c>
      <c r="GA840">
        <v>55.321595223462126</v>
      </c>
      <c r="GB840">
        <v>11.54939109953629</v>
      </c>
      <c r="GC840">
        <v>5.5820165267346304</v>
      </c>
      <c r="GD840">
        <v>5.0106114245465587</v>
      </c>
      <c r="GE840">
        <v>3.651549539630778</v>
      </c>
      <c r="GF840">
        <v>20.840892149821634</v>
      </c>
      <c r="GG840">
        <v>20.230221181774851</v>
      </c>
      <c r="GH840">
        <v>16.611901484100461</v>
      </c>
      <c r="GI840">
        <v>20.855923848357158</v>
      </c>
      <c r="GJ840"/>
      <c r="GK840"/>
      <c r="GL840"/>
      <c r="GM840"/>
      <c r="GN840" s="208"/>
      <c r="GO840" s="208"/>
      <c r="GP840" s="208"/>
      <c r="GQ840" s="208"/>
      <c r="GR840" s="208"/>
      <c r="GS840" s="208"/>
      <c r="GT840" s="208"/>
      <c r="GU840" s="213">
        <v>835</v>
      </c>
    </row>
    <row r="841" spans="1:203" s="7" customFormat="1">
      <c r="A841" s="4"/>
      <c r="B841" s="4"/>
      <c r="C841" s="105"/>
      <c r="D841" s="4"/>
      <c r="E841" s="4"/>
      <c r="F841" s="28"/>
      <c r="G841" s="28"/>
      <c r="H841" s="83"/>
      <c r="I841" s="4"/>
      <c r="J841" s="4"/>
      <c r="K841" s="4"/>
      <c r="L841" s="4"/>
      <c r="M841" s="4"/>
      <c r="N841" s="28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  <c r="AA841" s="4"/>
      <c r="AB841" s="4"/>
      <c r="AC841" s="4"/>
      <c r="AD841" s="4"/>
      <c r="AE841" s="4"/>
      <c r="AF841" s="81"/>
      <c r="AG841" s="81"/>
      <c r="AH841" s="81"/>
      <c r="AI841" s="4"/>
      <c r="AJ841" s="81"/>
      <c r="AK841" s="81"/>
      <c r="AL841" s="81"/>
      <c r="AM841" s="43">
        <v>825</v>
      </c>
      <c r="AN841">
        <v>269.0147133340937</v>
      </c>
      <c r="AO841">
        <v>27.616181171355304</v>
      </c>
      <c r="AP841">
        <v>54.153890267195152</v>
      </c>
      <c r="AQ841">
        <v>199.45583181813276</v>
      </c>
      <c r="AR841">
        <v>28.881392663409652</v>
      </c>
      <c r="AS841">
        <v>245.58537297209682</v>
      </c>
      <c r="AT841">
        <v>12.037550961445115</v>
      </c>
      <c r="AU841">
        <v>52.157622192362894</v>
      </c>
      <c r="AV841"/>
      <c r="AW841"/>
      <c r="FY841" s="213">
        <v>836</v>
      </c>
      <c r="FZ841">
        <v>65.393110571969501</v>
      </c>
      <c r="GA841">
        <v>90.122549349807585</v>
      </c>
      <c r="GB841">
        <v>19.398352646613453</v>
      </c>
      <c r="GC841">
        <v>4.6719435469555384</v>
      </c>
      <c r="GD841">
        <v>3.4327238005914449</v>
      </c>
      <c r="GE841">
        <v>2.6839891431479499</v>
      </c>
      <c r="GF841">
        <v>18.1332316873021</v>
      </c>
      <c r="GG841">
        <v>19.587004218905633</v>
      </c>
      <c r="GH841">
        <v>16.788653336495926</v>
      </c>
      <c r="GI841">
        <v>23.245668726544832</v>
      </c>
      <c r="GJ841"/>
      <c r="GK841"/>
      <c r="GL841"/>
      <c r="GM841"/>
      <c r="GN841" s="208"/>
      <c r="GO841" s="208"/>
      <c r="GP841" s="208"/>
      <c r="GQ841" s="208"/>
      <c r="GR841" s="208"/>
      <c r="GS841" s="208"/>
      <c r="GT841" s="208"/>
      <c r="GU841" s="213">
        <v>836</v>
      </c>
    </row>
    <row r="842" spans="1:203" s="7" customFormat="1">
      <c r="A842" s="4"/>
      <c r="B842" s="4"/>
      <c r="C842" s="105"/>
      <c r="D842" s="4"/>
      <c r="E842" s="4"/>
      <c r="F842" s="28"/>
      <c r="G842" s="28"/>
      <c r="H842" s="83"/>
      <c r="I842" s="4"/>
      <c r="J842" s="4"/>
      <c r="K842" s="4"/>
      <c r="L842" s="4"/>
      <c r="M842" s="4"/>
      <c r="N842" s="28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  <c r="AA842" s="4"/>
      <c r="AB842" s="4"/>
      <c r="AC842" s="4"/>
      <c r="AD842" s="4"/>
      <c r="AE842" s="4"/>
      <c r="AF842" s="81"/>
      <c r="AG842" s="81"/>
      <c r="AH842" s="81"/>
      <c r="AI842" s="4"/>
      <c r="AJ842" s="81"/>
      <c r="AK842" s="81"/>
      <c r="AL842" s="81"/>
      <c r="AM842" s="43">
        <v>826</v>
      </c>
      <c r="AN842">
        <v>334.54547093014111</v>
      </c>
      <c r="AO842">
        <v>22.738398936705192</v>
      </c>
      <c r="AP842">
        <v>91.761063715217944</v>
      </c>
      <c r="AQ842">
        <v>148.83254145557422</v>
      </c>
      <c r="AR842">
        <v>23.003304378435775</v>
      </c>
      <c r="AS842">
        <v>234.14483299868985</v>
      </c>
      <c r="AT842">
        <v>10.572669683438702</v>
      </c>
      <c r="AU842">
        <v>119.734241173497</v>
      </c>
      <c r="AV842"/>
      <c r="AW842"/>
      <c r="FY842" s="213">
        <v>837</v>
      </c>
      <c r="FZ842">
        <v>43.777400983418943</v>
      </c>
      <c r="GA842">
        <v>54.812492936954662</v>
      </c>
      <c r="GB842">
        <v>12.158240091934488</v>
      </c>
      <c r="GC842">
        <v>4.0891591418699926</v>
      </c>
      <c r="GD842">
        <v>3.0773067415265554</v>
      </c>
      <c r="GE842">
        <v>6.1602060091375055</v>
      </c>
      <c r="GF842">
        <v>26.847324573494308</v>
      </c>
      <c r="GG842">
        <v>23.128134375472087</v>
      </c>
      <c r="GH842">
        <v>24.208432392997899</v>
      </c>
      <c r="GI842">
        <v>20.55137951747281</v>
      </c>
      <c r="GJ842"/>
      <c r="GK842"/>
      <c r="GL842"/>
      <c r="GM842"/>
      <c r="GN842" s="208"/>
      <c r="GO842" s="208"/>
      <c r="GP842" s="208"/>
      <c r="GQ842" s="208"/>
      <c r="GR842" s="208"/>
      <c r="GS842" s="208"/>
      <c r="GT842" s="208"/>
      <c r="GU842" s="213">
        <v>837</v>
      </c>
    </row>
    <row r="843" spans="1:203" s="7" customFormat="1">
      <c r="A843" s="4"/>
      <c r="B843" s="4"/>
      <c r="C843" s="105"/>
      <c r="D843" s="4"/>
      <c r="E843" s="4"/>
      <c r="F843" s="28"/>
      <c r="G843" s="28"/>
      <c r="H843" s="83"/>
      <c r="I843" s="4"/>
      <c r="J843" s="4"/>
      <c r="K843" s="4"/>
      <c r="L843" s="4"/>
      <c r="M843" s="4"/>
      <c r="N843" s="28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  <c r="AA843" s="4"/>
      <c r="AB843" s="4"/>
      <c r="AC843" s="4"/>
      <c r="AD843" s="4"/>
      <c r="AE843" s="4"/>
      <c r="AF843" s="81"/>
      <c r="AG843" s="81"/>
      <c r="AH843" s="81"/>
      <c r="AI843" s="4"/>
      <c r="AJ843" s="81"/>
      <c r="AK843" s="81"/>
      <c r="AL843" s="81"/>
      <c r="AM843" s="43">
        <v>827</v>
      </c>
      <c r="AN843">
        <v>299.95057213176869</v>
      </c>
      <c r="AO843">
        <v>27.588725225552945</v>
      </c>
      <c r="AP843">
        <v>81.973913847108221</v>
      </c>
      <c r="AQ843">
        <v>204.62567913072797</v>
      </c>
      <c r="AR843">
        <v>28.498410870516363</v>
      </c>
      <c r="AS843">
        <v>242.58993412475368</v>
      </c>
      <c r="AT843">
        <v>11.865209330876789</v>
      </c>
      <c r="AU843">
        <v>18.446823640710885</v>
      </c>
      <c r="AV843"/>
      <c r="AW843"/>
      <c r="FY843" s="213">
        <v>838</v>
      </c>
      <c r="FZ843">
        <v>36.535234781970885</v>
      </c>
      <c r="GA843">
        <v>48.400475009134539</v>
      </c>
      <c r="GB843">
        <v>11.668134161377548</v>
      </c>
      <c r="GC843">
        <v>8.7900335805041365</v>
      </c>
      <c r="GD843">
        <v>8.5818828816347459</v>
      </c>
      <c r="GE843">
        <v>5.7663408900771929</v>
      </c>
      <c r="GF843">
        <v>17.690287080897715</v>
      </c>
      <c r="GG843">
        <v>19.147081391685401</v>
      </c>
      <c r="GH843">
        <v>17.608620721378934</v>
      </c>
      <c r="GI843">
        <v>19.649539014540412</v>
      </c>
      <c r="GJ843"/>
      <c r="GK843"/>
      <c r="GL843"/>
      <c r="GM843"/>
      <c r="GN843" s="208"/>
      <c r="GO843" s="208"/>
      <c r="GP843" s="208"/>
      <c r="GQ843" s="208"/>
      <c r="GR843" s="208"/>
      <c r="GS843" s="208"/>
      <c r="GT843" s="208"/>
      <c r="GU843" s="213">
        <v>838</v>
      </c>
    </row>
    <row r="844" spans="1:203" s="7" customFormat="1">
      <c r="A844" s="4"/>
      <c r="B844" s="4"/>
      <c r="C844" s="105"/>
      <c r="D844" s="4"/>
      <c r="E844" s="4"/>
      <c r="F844" s="28"/>
      <c r="G844" s="28"/>
      <c r="H844" s="83"/>
      <c r="I844" s="4"/>
      <c r="J844" s="4"/>
      <c r="K844" s="4"/>
      <c r="L844" s="4"/>
      <c r="M844" s="4"/>
      <c r="N844" s="28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  <c r="AA844" s="4"/>
      <c r="AB844" s="4"/>
      <c r="AC844" s="4"/>
      <c r="AD844" s="4"/>
      <c r="AE844" s="4"/>
      <c r="AF844" s="81"/>
      <c r="AG844" s="81"/>
      <c r="AH844" s="81"/>
      <c r="AI844" s="4"/>
      <c r="AJ844" s="81"/>
      <c r="AK844" s="81"/>
      <c r="AL844" s="81"/>
      <c r="AM844" s="43">
        <v>828</v>
      </c>
      <c r="AN844">
        <v>447.15907154351027</v>
      </c>
      <c r="AO844">
        <v>41.473338032887973</v>
      </c>
      <c r="AP844">
        <v>122.7058955548636</v>
      </c>
      <c r="AQ844">
        <v>307.45054321615999</v>
      </c>
      <c r="AR844">
        <v>39.443113390575718</v>
      </c>
      <c r="AS844">
        <v>354.56976437368127</v>
      </c>
      <c r="AT844">
        <v>17.862242014031338</v>
      </c>
      <c r="AU844">
        <v>-14.919955530109103</v>
      </c>
      <c r="AV844"/>
      <c r="AW844"/>
      <c r="FY844" s="213">
        <v>839</v>
      </c>
      <c r="FZ844">
        <v>25.359658930085832</v>
      </c>
      <c r="GA844">
        <v>21.906565045874792</v>
      </c>
      <c r="GB844">
        <v>7.9531559008605424</v>
      </c>
      <c r="GC844">
        <v>5.5528064157015615</v>
      </c>
      <c r="GD844">
        <v>3.8390814816299725</v>
      </c>
      <c r="GE844">
        <v>4.7420378482280032</v>
      </c>
      <c r="GF844">
        <v>15.939312995252795</v>
      </c>
      <c r="GG844">
        <v>11.973475159096697</v>
      </c>
      <c r="GH844">
        <v>11.709946541642099</v>
      </c>
      <c r="GI844">
        <v>12.890097770859645</v>
      </c>
      <c r="GJ844"/>
      <c r="GK844"/>
      <c r="GL844"/>
      <c r="GM844"/>
      <c r="GN844" s="208"/>
      <c r="GO844" s="208"/>
      <c r="GP844" s="208"/>
      <c r="GQ844" s="208"/>
      <c r="GR844" s="208"/>
      <c r="GS844" s="208"/>
      <c r="GT844" s="208"/>
      <c r="GU844" s="213">
        <v>839</v>
      </c>
    </row>
    <row r="845" spans="1:203" s="7" customFormat="1">
      <c r="A845" s="4"/>
      <c r="B845" s="4"/>
      <c r="C845" s="105"/>
      <c r="D845" s="4"/>
      <c r="E845" s="4"/>
      <c r="F845" s="28"/>
      <c r="G845" s="28"/>
      <c r="H845" s="83"/>
      <c r="I845" s="4"/>
      <c r="J845" s="4"/>
      <c r="K845" s="4"/>
      <c r="L845" s="4"/>
      <c r="M845" s="4"/>
      <c r="N845" s="28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  <c r="AA845" s="4"/>
      <c r="AB845" s="4"/>
      <c r="AC845" s="4"/>
      <c r="AD845" s="4"/>
      <c r="AE845" s="4"/>
      <c r="AF845" s="81"/>
      <c r="AG845" s="81"/>
      <c r="AH845" s="81"/>
      <c r="AI845" s="4"/>
      <c r="AJ845" s="81"/>
      <c r="AK845" s="81"/>
      <c r="AL845" s="81"/>
      <c r="AM845" s="43">
        <v>829</v>
      </c>
      <c r="AN845">
        <v>317.21052358629242</v>
      </c>
      <c r="AO845">
        <v>24.709786871555437</v>
      </c>
      <c r="AP845">
        <v>88.895330621164447</v>
      </c>
      <c r="AQ845">
        <v>164.08308636781842</v>
      </c>
      <c r="AR845">
        <v>26.201858537643108</v>
      </c>
      <c r="AS845">
        <v>253.57262359047664</v>
      </c>
      <c r="AT845">
        <v>10.730268567864165</v>
      </c>
      <c r="AU845">
        <v>17.911581823030573</v>
      </c>
      <c r="AV845"/>
      <c r="AW845"/>
      <c r="FY845" s="213">
        <v>840</v>
      </c>
      <c r="FZ845">
        <v>68.89776088614434</v>
      </c>
      <c r="GA845">
        <v>60.924107034007015</v>
      </c>
      <c r="GB845">
        <v>17.724048089319886</v>
      </c>
      <c r="GC845">
        <v>7.9301239156563668</v>
      </c>
      <c r="GD845">
        <v>6.4117074870406814</v>
      </c>
      <c r="GE845">
        <v>4.3712867028366524</v>
      </c>
      <c r="GF845">
        <v>28.349897057796237</v>
      </c>
      <c r="GG845">
        <v>28.396292499144089</v>
      </c>
      <c r="GH845">
        <v>23.144819416963188</v>
      </c>
      <c r="GI845">
        <v>27.730972553217057</v>
      </c>
      <c r="GJ845"/>
      <c r="GK845"/>
      <c r="GL845"/>
      <c r="GM845"/>
      <c r="GN845" s="208"/>
      <c r="GO845" s="208"/>
      <c r="GP845" s="208"/>
      <c r="GQ845" s="208"/>
      <c r="GR845" s="208"/>
      <c r="GS845" s="208"/>
      <c r="GT845" s="208"/>
      <c r="GU845" s="213">
        <v>840</v>
      </c>
    </row>
    <row r="846" spans="1:203" s="7" customFormat="1">
      <c r="A846" s="4"/>
      <c r="B846" s="4"/>
      <c r="C846" s="105"/>
      <c r="D846" s="4"/>
      <c r="E846" s="4"/>
      <c r="F846" s="28"/>
      <c r="G846" s="28"/>
      <c r="H846" s="83"/>
      <c r="I846" s="4"/>
      <c r="J846" s="4"/>
      <c r="K846" s="4"/>
      <c r="L846" s="4"/>
      <c r="M846" s="4"/>
      <c r="N846" s="28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  <c r="AA846" s="4"/>
      <c r="AB846" s="4"/>
      <c r="AC846" s="4"/>
      <c r="AD846" s="4"/>
      <c r="AE846" s="4"/>
      <c r="AF846" s="81"/>
      <c r="AG846" s="81"/>
      <c r="AH846" s="81"/>
      <c r="AI846" s="4"/>
      <c r="AJ846" s="81"/>
      <c r="AK846" s="81"/>
      <c r="AL846" s="81"/>
      <c r="AM846" s="43">
        <v>830</v>
      </c>
      <c r="AN846">
        <v>263.4348364789351</v>
      </c>
      <c r="AO846">
        <v>25.526844964905269</v>
      </c>
      <c r="AP846">
        <v>90.413534900557195</v>
      </c>
      <c r="AQ846">
        <v>201.43156646506571</v>
      </c>
      <c r="AR846">
        <v>26.388588051221507</v>
      </c>
      <c r="AS846">
        <v>226.80590981806762</v>
      </c>
      <c r="AT846">
        <v>13.194652189406264</v>
      </c>
      <c r="AU846">
        <v>20.807540466828144</v>
      </c>
      <c r="AV846"/>
      <c r="AW846"/>
      <c r="FY846" s="213">
        <v>841</v>
      </c>
      <c r="FZ846">
        <v>45.003223228070873</v>
      </c>
      <c r="GA846">
        <v>48.636201687786112</v>
      </c>
      <c r="GB846">
        <v>8.8557627690958807</v>
      </c>
      <c r="GC846">
        <v>5.7402370429251395</v>
      </c>
      <c r="GD846">
        <v>4.7140257831315466</v>
      </c>
      <c r="GE846">
        <v>6.6669124163194953</v>
      </c>
      <c r="GF846">
        <v>16.779748414368747</v>
      </c>
      <c r="GG846">
        <v>13.254044378159225</v>
      </c>
      <c r="GH846">
        <v>12.704169639652724</v>
      </c>
      <c r="GI846">
        <v>16.796731550148525</v>
      </c>
      <c r="GJ846"/>
      <c r="GK846"/>
      <c r="GL846"/>
      <c r="GM846"/>
      <c r="GN846" s="208"/>
      <c r="GO846" s="208"/>
      <c r="GP846" s="208"/>
      <c r="GQ846" s="208"/>
      <c r="GR846" s="208"/>
      <c r="GS846" s="208"/>
      <c r="GT846" s="208"/>
      <c r="GU846" s="213">
        <v>841</v>
      </c>
    </row>
    <row r="847" spans="1:203" s="7" customFormat="1">
      <c r="A847" s="4"/>
      <c r="B847" s="4"/>
      <c r="C847" s="4"/>
      <c r="D847" s="4"/>
      <c r="E847" s="4"/>
      <c r="F847" s="28"/>
      <c r="G847" s="28"/>
      <c r="H847" s="83"/>
      <c r="I847" s="4"/>
      <c r="J847" s="4"/>
      <c r="K847" s="4"/>
      <c r="L847" s="4"/>
      <c r="M847" s="4"/>
      <c r="N847" s="28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  <c r="AA847" s="4"/>
      <c r="AB847" s="4"/>
      <c r="AC847" s="4"/>
      <c r="AD847" s="4"/>
      <c r="AE847" s="4"/>
      <c r="AF847" s="81"/>
      <c r="AG847" s="81"/>
      <c r="AH847" s="81"/>
      <c r="AI847" s="4"/>
      <c r="AJ847" s="81"/>
      <c r="AK847" s="81"/>
      <c r="AL847" s="81"/>
      <c r="AM847" s="43">
        <v>831</v>
      </c>
      <c r="AN847">
        <v>336.31745240724018</v>
      </c>
      <c r="AO847">
        <v>28.165647899359112</v>
      </c>
      <c r="AP847">
        <v>79.770181012381471</v>
      </c>
      <c r="AQ847">
        <v>204.86320464977243</v>
      </c>
      <c r="AR847">
        <v>28.586196231479068</v>
      </c>
      <c r="AS847">
        <v>257.22571161433331</v>
      </c>
      <c r="AT847">
        <v>12.010853679019961</v>
      </c>
      <c r="AU847">
        <v>-7.5054614801117445</v>
      </c>
      <c r="AV847"/>
      <c r="AW847"/>
      <c r="FY847" s="213">
        <v>842</v>
      </c>
      <c r="FZ847">
        <v>68.042133360614429</v>
      </c>
      <c r="GA847">
        <v>65.706405067280841</v>
      </c>
      <c r="GB847">
        <v>13.603875568808137</v>
      </c>
      <c r="GC847">
        <v>4.9391427078543124</v>
      </c>
      <c r="GD847">
        <v>4.6197165659659385</v>
      </c>
      <c r="GE847">
        <v>6.7057896825127079</v>
      </c>
      <c r="GF847">
        <v>11.139565971232631</v>
      </c>
      <c r="GG847">
        <v>10.946289700762092</v>
      </c>
      <c r="GH847">
        <v>21.648555592604495</v>
      </c>
      <c r="GI847">
        <v>21.953067945157546</v>
      </c>
      <c r="GJ847"/>
      <c r="GK847"/>
      <c r="GL847"/>
      <c r="GM847"/>
      <c r="GN847" s="208"/>
      <c r="GO847" s="208"/>
      <c r="GP847" s="208"/>
      <c r="GQ847" s="208"/>
      <c r="GR847" s="208"/>
      <c r="GS847" s="208"/>
      <c r="GT847" s="208"/>
      <c r="GU847" s="213">
        <v>842</v>
      </c>
    </row>
    <row r="848" spans="1:203" s="7" customFormat="1">
      <c r="A848" s="4"/>
      <c r="B848" s="4"/>
      <c r="C848" s="4"/>
      <c r="D848" s="4"/>
      <c r="E848" s="4"/>
      <c r="F848" s="28"/>
      <c r="G848" s="28"/>
      <c r="H848" s="83"/>
      <c r="I848" s="4"/>
      <c r="J848" s="4"/>
      <c r="K848" s="4"/>
      <c r="L848" s="4"/>
      <c r="M848" s="4"/>
      <c r="N848" s="28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  <c r="AA848" s="4"/>
      <c r="AB848" s="4"/>
      <c r="AC848" s="4"/>
      <c r="AD848" s="4"/>
      <c r="AE848" s="4"/>
      <c r="AF848" s="81"/>
      <c r="AG848" s="81"/>
      <c r="AH848" s="81"/>
      <c r="AI848" s="4"/>
      <c r="AJ848" s="81"/>
      <c r="AK848" s="81"/>
      <c r="AL848" s="81"/>
      <c r="AM848" s="43">
        <v>832</v>
      </c>
      <c r="AN848">
        <v>302.49998230445937</v>
      </c>
      <c r="AO848">
        <v>21.934452027523598</v>
      </c>
      <c r="AP848">
        <v>58.874117807347183</v>
      </c>
      <c r="AQ848">
        <v>152.01976981965447</v>
      </c>
      <c r="AR848">
        <v>23.486535984347192</v>
      </c>
      <c r="AS848">
        <v>211.22375007787559</v>
      </c>
      <c r="AT848">
        <v>11.043837074912524</v>
      </c>
      <c r="AU848">
        <v>29.552137994863813</v>
      </c>
      <c r="AV848"/>
      <c r="AW848"/>
      <c r="FY848" s="213">
        <v>843</v>
      </c>
      <c r="FZ848">
        <v>38.507148243079911</v>
      </c>
      <c r="GA848">
        <v>51.211540835964442</v>
      </c>
      <c r="GB848">
        <v>15.486165332186676</v>
      </c>
      <c r="GC848">
        <v>4.854988681242312</v>
      </c>
      <c r="GD848">
        <v>4.0918725287789082</v>
      </c>
      <c r="GE848">
        <v>6.1668539223655179</v>
      </c>
      <c r="GF848">
        <v>18.498103728006996</v>
      </c>
      <c r="GG848">
        <v>14.96664588025617</v>
      </c>
      <c r="GH848">
        <v>7.4637509116606573</v>
      </c>
      <c r="GI848">
        <v>17.013194436388471</v>
      </c>
      <c r="GJ848"/>
      <c r="GK848"/>
      <c r="GL848"/>
      <c r="GM848"/>
      <c r="GN848" s="208"/>
      <c r="GO848" s="208"/>
      <c r="GP848" s="208"/>
      <c r="GQ848" s="208"/>
      <c r="GR848" s="208"/>
      <c r="GS848" s="208"/>
      <c r="GT848" s="208"/>
      <c r="GU848" s="213">
        <v>843</v>
      </c>
    </row>
    <row r="849" spans="1:203" s="7" customFormat="1">
      <c r="A849" s="4"/>
      <c r="B849" s="4"/>
      <c r="C849" s="4"/>
      <c r="D849" s="4"/>
      <c r="E849" s="4"/>
      <c r="F849" s="28"/>
      <c r="G849" s="28"/>
      <c r="H849" s="83"/>
      <c r="I849" s="4"/>
      <c r="J849" s="4"/>
      <c r="K849" s="4"/>
      <c r="L849" s="4"/>
      <c r="M849" s="4"/>
      <c r="N849" s="28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  <c r="AA849" s="4"/>
      <c r="AB849" s="4"/>
      <c r="AC849" s="4"/>
      <c r="AD849" s="4"/>
      <c r="AE849" s="4"/>
      <c r="AF849" s="81"/>
      <c r="AG849" s="81"/>
      <c r="AH849" s="81"/>
      <c r="AI849" s="4"/>
      <c r="AJ849" s="81"/>
      <c r="AK849" s="81"/>
      <c r="AL849" s="81"/>
      <c r="AM849" s="43">
        <v>833</v>
      </c>
      <c r="AN849">
        <v>333.49932148727191</v>
      </c>
      <c r="AO849">
        <v>23.471846519509892</v>
      </c>
      <c r="AP849">
        <v>76.551817034199772</v>
      </c>
      <c r="AQ849">
        <v>156.66248547380519</v>
      </c>
      <c r="AR849">
        <v>23.396908953396551</v>
      </c>
      <c r="AS849">
        <v>236.05882002904457</v>
      </c>
      <c r="AT849">
        <v>10.247422002219295</v>
      </c>
      <c r="AU849">
        <v>-1.2890477684530275</v>
      </c>
      <c r="AV849"/>
      <c r="AW849"/>
      <c r="FY849" s="213">
        <v>844</v>
      </c>
      <c r="FZ849">
        <v>84.061197906902265</v>
      </c>
      <c r="GA849">
        <v>71.26981390092601</v>
      </c>
      <c r="GB849">
        <v>11.722517762185021</v>
      </c>
      <c r="GC849">
        <v>5.2822139322971493</v>
      </c>
      <c r="GD849">
        <v>4.8152834420583419</v>
      </c>
      <c r="GE849">
        <v>8.9101807701365381</v>
      </c>
      <c r="GF849">
        <v>24.133866272328191</v>
      </c>
      <c r="GG849">
        <v>15.280019163474803</v>
      </c>
      <c r="GH849">
        <v>16.668507276345377</v>
      </c>
      <c r="GI849">
        <v>25.482909280146274</v>
      </c>
      <c r="GJ849"/>
      <c r="GK849"/>
      <c r="GL849"/>
      <c r="GM849"/>
      <c r="GN849" s="208"/>
      <c r="GO849" s="208"/>
      <c r="GP849" s="208"/>
      <c r="GQ849" s="208"/>
      <c r="GR849" s="208"/>
      <c r="GS849" s="208"/>
      <c r="GT849" s="208"/>
      <c r="GU849" s="213">
        <v>844</v>
      </c>
    </row>
    <row r="850" spans="1:203" s="7" customFormat="1">
      <c r="A850" s="4"/>
      <c r="B850" s="4"/>
      <c r="C850" s="4"/>
      <c r="D850" s="4"/>
      <c r="E850" s="4"/>
      <c r="F850" s="28"/>
      <c r="G850" s="28"/>
      <c r="H850" s="83"/>
      <c r="I850" s="4"/>
      <c r="J850" s="4"/>
      <c r="K850" s="4"/>
      <c r="L850" s="4"/>
      <c r="M850" s="4"/>
      <c r="N850" s="28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  <c r="AA850" s="4"/>
      <c r="AB850" s="4"/>
      <c r="AC850" s="4"/>
      <c r="AD850" s="4"/>
      <c r="AE850" s="4"/>
      <c r="AF850" s="81"/>
      <c r="AG850" s="81"/>
      <c r="AH850" s="81"/>
      <c r="AI850" s="4"/>
      <c r="AJ850" s="81"/>
      <c r="AK850" s="81"/>
      <c r="AL850" s="81"/>
      <c r="AM850" s="43">
        <v>834</v>
      </c>
      <c r="AN850">
        <v>298.98067471930284</v>
      </c>
      <c r="AO850">
        <v>29.031035500668384</v>
      </c>
      <c r="AP850">
        <v>59.380944262404704</v>
      </c>
      <c r="AQ850">
        <v>213.39456716182605</v>
      </c>
      <c r="AR850">
        <v>30.568231000628359</v>
      </c>
      <c r="AS850">
        <v>241.18948069892772</v>
      </c>
      <c r="AT850">
        <v>13.479738616067829</v>
      </c>
      <c r="AU850">
        <v>-9.0359781943790694</v>
      </c>
      <c r="AV850"/>
      <c r="AW850"/>
      <c r="FY850" s="213">
        <v>845</v>
      </c>
      <c r="FZ850">
        <v>47.662436701054382</v>
      </c>
      <c r="GA850">
        <v>61.99079949811815</v>
      </c>
      <c r="GB850">
        <v>19.714783674969183</v>
      </c>
      <c r="GC850">
        <v>6.8362201270125338</v>
      </c>
      <c r="GD850">
        <v>6.3053611506976566</v>
      </c>
      <c r="GE850">
        <v>4.7005982708547993</v>
      </c>
      <c r="GF850">
        <v>11.463606693072322</v>
      </c>
      <c r="GG850">
        <v>12.523870076165242</v>
      </c>
      <c r="GH850">
        <v>9.6872070527018241</v>
      </c>
      <c r="GI850">
        <v>20.086551022142235</v>
      </c>
      <c r="GJ850"/>
      <c r="GK850"/>
      <c r="GL850"/>
      <c r="GM850"/>
      <c r="GN850" s="208"/>
      <c r="GO850" s="208"/>
      <c r="GP850" s="208"/>
      <c r="GQ850" s="208"/>
      <c r="GR850" s="208"/>
      <c r="GS850" s="208"/>
      <c r="GT850" s="208"/>
      <c r="GU850" s="213">
        <v>845</v>
      </c>
    </row>
    <row r="851" spans="1:203" s="7" customFormat="1">
      <c r="A851" s="4"/>
      <c r="B851" s="4"/>
      <c r="C851" s="4"/>
      <c r="D851" s="4"/>
      <c r="E851" s="4"/>
      <c r="F851" s="28"/>
      <c r="G851" s="28"/>
      <c r="H851" s="83"/>
      <c r="I851" s="4"/>
      <c r="J851" s="4"/>
      <c r="K851" s="4"/>
      <c r="L851" s="4"/>
      <c r="M851" s="4"/>
      <c r="N851" s="28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  <c r="AA851" s="4"/>
      <c r="AB851" s="4"/>
      <c r="AC851" s="4"/>
      <c r="AD851" s="4"/>
      <c r="AE851" s="4"/>
      <c r="AF851" s="81"/>
      <c r="AG851" s="81"/>
      <c r="AH851" s="81"/>
      <c r="AI851" s="4"/>
      <c r="AJ851" s="81"/>
      <c r="AK851" s="81"/>
      <c r="AL851" s="81"/>
      <c r="AM851" s="43">
        <v>835</v>
      </c>
      <c r="AN851">
        <v>296.92479331571747</v>
      </c>
      <c r="AO851">
        <v>29.420170631845345</v>
      </c>
      <c r="AP851">
        <v>85.103344974399533</v>
      </c>
      <c r="AQ851">
        <v>215.33685006605714</v>
      </c>
      <c r="AR851">
        <v>31.074373365844039</v>
      </c>
      <c r="AS851">
        <v>258.36502452638234</v>
      </c>
      <c r="AT851">
        <v>13.531719408737294</v>
      </c>
      <c r="AU851">
        <v>24.741398622264143</v>
      </c>
      <c r="AV851"/>
      <c r="AW851"/>
      <c r="FY851" s="213">
        <v>846</v>
      </c>
      <c r="FZ851">
        <v>48.448162205237594</v>
      </c>
      <c r="GA851">
        <v>48.07504964098046</v>
      </c>
      <c r="GB851">
        <v>7.5489798372498704</v>
      </c>
      <c r="GC851">
        <v>8.0614267348192055</v>
      </c>
      <c r="GD851">
        <v>5.8619217052097738</v>
      </c>
      <c r="GE851">
        <v>3.1615800465576691</v>
      </c>
      <c r="GF851">
        <v>23.285160503222464</v>
      </c>
      <c r="GG851">
        <v>21.387818372999686</v>
      </c>
      <c r="GH851">
        <v>8.0098532362864159</v>
      </c>
      <c r="GI851">
        <v>18.053336878053759</v>
      </c>
      <c r="GJ851"/>
      <c r="GK851"/>
      <c r="GL851"/>
      <c r="GM851"/>
      <c r="GN851" s="208"/>
      <c r="GO851" s="208"/>
      <c r="GP851" s="208"/>
      <c r="GQ851" s="208"/>
      <c r="GR851" s="208"/>
      <c r="GS851" s="208"/>
      <c r="GT851" s="208"/>
      <c r="GU851" s="213">
        <v>846</v>
      </c>
    </row>
    <row r="852" spans="1:203" s="7" customFormat="1">
      <c r="A852" s="4"/>
      <c r="B852" s="4"/>
      <c r="C852" s="4"/>
      <c r="D852" s="4"/>
      <c r="E852" s="4"/>
      <c r="F852" s="28"/>
      <c r="G852" s="28"/>
      <c r="H852" s="83"/>
      <c r="I852" s="4"/>
      <c r="J852" s="4"/>
      <c r="K852" s="4"/>
      <c r="L852" s="4"/>
      <c r="M852" s="4"/>
      <c r="N852" s="28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  <c r="AA852" s="4"/>
      <c r="AB852" s="4"/>
      <c r="AC852" s="4"/>
      <c r="AD852" s="4"/>
      <c r="AE852" s="4"/>
      <c r="AF852" s="81"/>
      <c r="AG852" s="81"/>
      <c r="AH852" s="81"/>
      <c r="AI852" s="4"/>
      <c r="AJ852" s="81"/>
      <c r="AK852" s="81"/>
      <c r="AL852" s="81"/>
      <c r="AM852" s="43">
        <v>836</v>
      </c>
      <c r="AN852">
        <v>304.0129755403816</v>
      </c>
      <c r="AO852">
        <v>34.787036441771008</v>
      </c>
      <c r="AP852">
        <v>109.2449179452241</v>
      </c>
      <c r="AQ852">
        <v>263.45722702833393</v>
      </c>
      <c r="AR852">
        <v>35.0471679405087</v>
      </c>
      <c r="AS852">
        <v>276.56099575133118</v>
      </c>
      <c r="AT852">
        <v>14.751696335852756</v>
      </c>
      <c r="AU852">
        <v>-14.862827578150519</v>
      </c>
      <c r="AV852"/>
      <c r="AW852"/>
      <c r="FY852" s="213">
        <v>847</v>
      </c>
      <c r="FZ852">
        <v>81.270743201752268</v>
      </c>
      <c r="GA852">
        <v>78.481771942691552</v>
      </c>
      <c r="GB852">
        <v>7.7946207574584641</v>
      </c>
      <c r="GC852">
        <v>3.8862772594979869</v>
      </c>
      <c r="GD852">
        <v>4.4866652507835623</v>
      </c>
      <c r="GE852">
        <v>7.1598827810787142</v>
      </c>
      <c r="GF852">
        <v>21.814392445721005</v>
      </c>
      <c r="GG852">
        <v>18.617578068090037</v>
      </c>
      <c r="GH852">
        <v>7.0152828546682482</v>
      </c>
      <c r="GI852">
        <v>21.586380210042989</v>
      </c>
      <c r="GJ852"/>
      <c r="GK852"/>
      <c r="GL852"/>
      <c r="GM852"/>
      <c r="GN852" s="208"/>
      <c r="GO852" s="208"/>
      <c r="GP852" s="208"/>
      <c r="GQ852" s="208"/>
      <c r="GR852" s="208"/>
      <c r="GS852" s="208"/>
      <c r="GT852" s="208"/>
      <c r="GU852" s="213">
        <v>847</v>
      </c>
    </row>
    <row r="853" spans="1:203" s="7" customFormat="1">
      <c r="A853" s="4"/>
      <c r="B853" s="4"/>
      <c r="C853" s="4"/>
      <c r="D853" s="4"/>
      <c r="E853" s="4"/>
      <c r="F853" s="28"/>
      <c r="G853" s="28"/>
      <c r="H853" s="83"/>
      <c r="I853" s="4"/>
      <c r="J853" s="4"/>
      <c r="K853" s="4"/>
      <c r="L853" s="4"/>
      <c r="M853" s="4"/>
      <c r="N853" s="28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  <c r="AA853" s="4"/>
      <c r="AB853" s="4"/>
      <c r="AC853" s="4"/>
      <c r="AD853" s="4"/>
      <c r="AE853" s="4"/>
      <c r="AF853" s="81"/>
      <c r="AG853" s="81"/>
      <c r="AH853" s="81"/>
      <c r="AI853" s="4"/>
      <c r="AJ853" s="81"/>
      <c r="AK853" s="81"/>
      <c r="AL853" s="81"/>
      <c r="AM853" s="43">
        <v>837</v>
      </c>
      <c r="AN853">
        <v>317.36587164356536</v>
      </c>
      <c r="AO853">
        <v>29.281604378880907</v>
      </c>
      <c r="AP853">
        <v>128.78739730094975</v>
      </c>
      <c r="AQ853">
        <v>218.81007676427927</v>
      </c>
      <c r="AR853">
        <v>30.163372230045592</v>
      </c>
      <c r="AS853">
        <v>271.09968559067471</v>
      </c>
      <c r="AT853">
        <v>13.54640886529633</v>
      </c>
      <c r="AU853">
        <v>29.953718272420936</v>
      </c>
      <c r="AV853"/>
      <c r="AW853"/>
      <c r="FY853" s="213">
        <v>848</v>
      </c>
      <c r="FZ853">
        <v>47.344712103990268</v>
      </c>
      <c r="GA853">
        <v>86.217058524848014</v>
      </c>
      <c r="GB853">
        <v>24.140591851876327</v>
      </c>
      <c r="GC853">
        <v>8.6711709734657205</v>
      </c>
      <c r="GD853">
        <v>7.3587796345690988</v>
      </c>
      <c r="GE853">
        <v>6.5013260082550079</v>
      </c>
      <c r="GF853">
        <v>15.804672680624995</v>
      </c>
      <c r="GG853">
        <v>13.284807056325276</v>
      </c>
      <c r="GH853">
        <v>11.90585514749255</v>
      </c>
      <c r="GI853">
        <v>23.043277008185036</v>
      </c>
      <c r="GJ853"/>
      <c r="GK853"/>
      <c r="GL853"/>
      <c r="GM853"/>
      <c r="GN853" s="208"/>
      <c r="GO853" s="208"/>
      <c r="GP853" s="208"/>
      <c r="GQ853" s="208"/>
      <c r="GR853" s="208"/>
      <c r="GS853" s="208"/>
      <c r="GT853" s="208"/>
      <c r="GU853" s="213">
        <v>848</v>
      </c>
    </row>
    <row r="854" spans="1:203" s="7" customFormat="1">
      <c r="A854" s="4"/>
      <c r="B854" s="4"/>
      <c r="C854" s="4"/>
      <c r="D854" s="4"/>
      <c r="E854" s="4"/>
      <c r="F854" s="28"/>
      <c r="G854" s="28"/>
      <c r="H854" s="83"/>
      <c r="I854" s="4"/>
      <c r="J854" s="4"/>
      <c r="K854" s="4"/>
      <c r="L854" s="4"/>
      <c r="M854" s="4"/>
      <c r="N854" s="28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  <c r="AA854" s="4"/>
      <c r="AB854" s="4"/>
      <c r="AC854" s="4"/>
      <c r="AD854" s="4"/>
      <c r="AE854" s="4"/>
      <c r="AF854" s="81"/>
      <c r="AG854" s="81"/>
      <c r="AH854" s="81"/>
      <c r="AI854" s="4"/>
      <c r="AJ854" s="81"/>
      <c r="AK854" s="81"/>
      <c r="AL854" s="81"/>
      <c r="AM854" s="43">
        <v>838</v>
      </c>
      <c r="AN854">
        <v>380.84052791139095</v>
      </c>
      <c r="AO854">
        <v>28.428429111635801</v>
      </c>
      <c r="AP854">
        <v>332.5061747652274</v>
      </c>
      <c r="AQ854">
        <v>193.83762951320151</v>
      </c>
      <c r="AR854">
        <v>28.621778743265264</v>
      </c>
      <c r="AS854">
        <v>273.06481021850499</v>
      </c>
      <c r="AT854" t="e">
        <v>#DIV/0!</v>
      </c>
      <c r="AU854" t="e">
        <v>#DIV/0!</v>
      </c>
      <c r="AV854"/>
      <c r="AW854"/>
      <c r="FY854" s="213">
        <v>849</v>
      </c>
      <c r="FZ854">
        <v>67.279685063951504</v>
      </c>
      <c r="GA854">
        <v>85.704775425377932</v>
      </c>
      <c r="GB854">
        <v>19.717962019411708</v>
      </c>
      <c r="GC854">
        <v>6.2782809999206783</v>
      </c>
      <c r="GD854">
        <v>5.4876564187339953</v>
      </c>
      <c r="GE854">
        <v>5.3898879253607319</v>
      </c>
      <c r="GF854">
        <v>13.884095153966523</v>
      </c>
      <c r="GG854">
        <v>13.3478138738948</v>
      </c>
      <c r="GH854">
        <v>7.6171113907395238</v>
      </c>
      <c r="GI854">
        <v>22.536949647205859</v>
      </c>
      <c r="GJ854"/>
      <c r="GK854"/>
      <c r="GL854"/>
      <c r="GM854"/>
      <c r="GN854" s="208"/>
      <c r="GO854" s="208"/>
      <c r="GP854" s="208"/>
      <c r="GQ854" s="208"/>
      <c r="GR854" s="208"/>
      <c r="GS854" s="208"/>
      <c r="GT854" s="208"/>
      <c r="GU854" s="213">
        <v>849</v>
      </c>
    </row>
    <row r="855" spans="1:203" s="7" customFormat="1">
      <c r="A855" s="4"/>
      <c r="B855" s="4"/>
      <c r="C855" s="4"/>
      <c r="D855" s="4"/>
      <c r="E855" s="4"/>
      <c r="F855" s="28"/>
      <c r="G855" s="28"/>
      <c r="H855" s="83"/>
      <c r="I855" s="4"/>
      <c r="J855" s="4"/>
      <c r="K855" s="4"/>
      <c r="L855" s="4"/>
      <c r="M855" s="4"/>
      <c r="N855" s="28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  <c r="AA855" s="4"/>
      <c r="AB855" s="4"/>
      <c r="AC855" s="4"/>
      <c r="AD855" s="4"/>
      <c r="AE855" s="4"/>
      <c r="AF855" s="81"/>
      <c r="AG855" s="81"/>
      <c r="AH855" s="81"/>
      <c r="AI855" s="4"/>
      <c r="AJ855" s="81"/>
      <c r="AK855" s="81"/>
      <c r="AL855" s="81"/>
      <c r="AM855" s="43">
        <v>839</v>
      </c>
      <c r="AN855">
        <v>295.42636588680091</v>
      </c>
      <c r="AO855">
        <v>17.587412877670726</v>
      </c>
      <c r="AP855">
        <v>70.565578728339233</v>
      </c>
      <c r="AQ855">
        <v>121.86613808923194</v>
      </c>
      <c r="AR855">
        <v>18.604585771438849</v>
      </c>
      <c r="AS855">
        <v>189.92075984671527</v>
      </c>
      <c r="AT855">
        <v>8.7110447920889431</v>
      </c>
      <c r="AU855">
        <v>32.855362532369242</v>
      </c>
      <c r="AV855"/>
      <c r="AW855"/>
      <c r="FY855" s="213">
        <v>850</v>
      </c>
      <c r="FZ855">
        <v>17.525240242068001</v>
      </c>
      <c r="GA855">
        <v>31.998714019782035</v>
      </c>
      <c r="GB855">
        <v>13.415003252387153</v>
      </c>
      <c r="GC855">
        <v>6.901277271240148</v>
      </c>
      <c r="GD855">
        <v>4.9611754944719202</v>
      </c>
      <c r="GE855">
        <v>4.5732800097614286</v>
      </c>
      <c r="GF855">
        <v>17.580745065578878</v>
      </c>
      <c r="GG855">
        <v>14.890850112454022</v>
      </c>
      <c r="GH855">
        <v>6.8815956570851142</v>
      </c>
      <c r="GI855">
        <v>13.594976785700611</v>
      </c>
      <c r="GJ855"/>
      <c r="GK855"/>
      <c r="GL855"/>
      <c r="GM855"/>
      <c r="GN855" s="208"/>
      <c r="GO855" s="208"/>
      <c r="GP855" s="208"/>
      <c r="GQ855" s="208"/>
      <c r="GR855" s="208"/>
      <c r="GS855" s="208"/>
      <c r="GT855" s="208"/>
      <c r="GU855" s="213">
        <v>850</v>
      </c>
    </row>
    <row r="856" spans="1:203" s="7" customFormat="1">
      <c r="A856" s="4"/>
      <c r="B856" s="4"/>
      <c r="C856" s="4"/>
      <c r="D856" s="4"/>
      <c r="E856" s="4"/>
      <c r="F856" s="28"/>
      <c r="G856" s="28"/>
      <c r="H856" s="83"/>
      <c r="I856" s="4"/>
      <c r="J856" s="4"/>
      <c r="K856" s="4"/>
      <c r="L856" s="4"/>
      <c r="M856" s="4"/>
      <c r="N856" s="28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  <c r="AA856" s="4"/>
      <c r="AB856" s="4"/>
      <c r="AC856" s="4"/>
      <c r="AD856" s="4"/>
      <c r="AE856" s="4"/>
      <c r="AF856" s="81"/>
      <c r="AG856" s="81"/>
      <c r="AH856" s="81"/>
      <c r="AI856" s="4"/>
      <c r="AJ856" s="81"/>
      <c r="AK856" s="81"/>
      <c r="AL856" s="81"/>
      <c r="AM856" s="43">
        <v>840</v>
      </c>
      <c r="AN856">
        <v>376.82049118033314</v>
      </c>
      <c r="AO856">
        <v>38.430083241350154</v>
      </c>
      <c r="AP856">
        <v>76.126412729283885</v>
      </c>
      <c r="AQ856">
        <v>273.88101564212548</v>
      </c>
      <c r="AR856">
        <v>41.685892554178558</v>
      </c>
      <c r="AS856">
        <v>348.55001558755828</v>
      </c>
      <c r="AT856">
        <v>17.591426399374757</v>
      </c>
      <c r="AU856">
        <v>19.11532317540167</v>
      </c>
      <c r="AV856"/>
      <c r="AW856"/>
      <c r="FY856" s="213">
        <v>851</v>
      </c>
      <c r="FZ856">
        <v>41.150182572762354</v>
      </c>
      <c r="GA856">
        <v>82.154103441427409</v>
      </c>
      <c r="GB856">
        <v>23.732844974832865</v>
      </c>
      <c r="GC856">
        <v>7.0922062143557065</v>
      </c>
      <c r="GD856">
        <v>6.2211195543021161</v>
      </c>
      <c r="GE856">
        <v>5.0599401360506766</v>
      </c>
      <c r="GF856">
        <v>19.221107016757848</v>
      </c>
      <c r="GG856">
        <v>18.676413685666457</v>
      </c>
      <c r="GH856">
        <v>14.031677792297039</v>
      </c>
      <c r="GI856">
        <v>22.422155100322474</v>
      </c>
      <c r="GJ856"/>
      <c r="GK856"/>
      <c r="GL856"/>
      <c r="GM856"/>
      <c r="GN856" s="208"/>
      <c r="GO856" s="208"/>
      <c r="GP856" s="208"/>
      <c r="GQ856" s="208"/>
      <c r="GR856" s="208"/>
      <c r="GS856" s="208"/>
      <c r="GT856" s="208"/>
      <c r="GU856" s="213">
        <v>851</v>
      </c>
    </row>
    <row r="857" spans="1:203" s="7" customFormat="1">
      <c r="A857" s="4"/>
      <c r="B857" s="4"/>
      <c r="C857" s="4"/>
      <c r="D857" s="4"/>
      <c r="E857" s="4"/>
      <c r="F857" s="28"/>
      <c r="G857" s="28"/>
      <c r="H857" s="83"/>
      <c r="I857" s="4"/>
      <c r="J857" s="4"/>
      <c r="K857" s="4"/>
      <c r="L857" s="4"/>
      <c r="M857" s="4"/>
      <c r="N857" s="28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  <c r="AA857" s="4"/>
      <c r="AB857" s="4"/>
      <c r="AC857" s="4"/>
      <c r="AD857" s="4"/>
      <c r="AE857" s="4"/>
      <c r="AF857" s="81"/>
      <c r="AG857" s="81"/>
      <c r="AH857" s="81"/>
      <c r="AI857" s="4"/>
      <c r="AJ857" s="81"/>
      <c r="AK857" s="81"/>
      <c r="AL857" s="81"/>
      <c r="AM857" s="43">
        <v>841</v>
      </c>
      <c r="AN857">
        <v>333.12806319237774</v>
      </c>
      <c r="AO857">
        <v>23.964341750648668</v>
      </c>
      <c r="AP857">
        <v>69.214268545734143</v>
      </c>
      <c r="AQ857">
        <v>179.15105690965825</v>
      </c>
      <c r="AR857">
        <v>24.176554824455113</v>
      </c>
      <c r="AS857">
        <v>243.23959041236162</v>
      </c>
      <c r="AT857">
        <v>11.90832460281962</v>
      </c>
      <c r="AU857">
        <v>4.0760615255528805</v>
      </c>
      <c r="AV857"/>
      <c r="AW857"/>
      <c r="FY857" s="213">
        <v>852</v>
      </c>
      <c r="FZ857">
        <v>28.810731804699266</v>
      </c>
      <c r="GA857">
        <v>82.325941119950272</v>
      </c>
      <c r="GB857">
        <v>32.284396276614032</v>
      </c>
      <c r="GC857">
        <v>7.5825110906098514</v>
      </c>
      <c r="GD857">
        <v>5.4540644999934633</v>
      </c>
      <c r="GE857">
        <v>3.0472736052053371</v>
      </c>
      <c r="GF857">
        <v>15.262924024728102</v>
      </c>
      <c r="GG857">
        <v>15.112157438400354</v>
      </c>
      <c r="GH857">
        <v>27.382334221891849</v>
      </c>
      <c r="GI857">
        <v>24.270104876857996</v>
      </c>
      <c r="GJ857"/>
      <c r="GK857"/>
      <c r="GL857"/>
      <c r="GM857"/>
      <c r="GN857" s="208"/>
      <c r="GO857" s="208"/>
      <c r="GP857" s="208"/>
      <c r="GQ857" s="208"/>
      <c r="GR857" s="208"/>
      <c r="GS857" s="208"/>
      <c r="GT857" s="208"/>
      <c r="GU857" s="213">
        <v>852</v>
      </c>
    </row>
    <row r="858" spans="1:203" s="7" customFormat="1">
      <c r="A858" s="4"/>
      <c r="B858" s="4"/>
      <c r="C858" s="4"/>
      <c r="D858" s="4"/>
      <c r="E858" s="4"/>
      <c r="F858" s="28"/>
      <c r="G858" s="28"/>
      <c r="H858" s="83"/>
      <c r="I858" s="4"/>
      <c r="J858" s="4"/>
      <c r="K858" s="4"/>
      <c r="L858" s="4"/>
      <c r="M858" s="4"/>
      <c r="N858" s="28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  <c r="AA858" s="4"/>
      <c r="AB858" s="4"/>
      <c r="AC858" s="4"/>
      <c r="AD858" s="4"/>
      <c r="AE858" s="4"/>
      <c r="AF858" s="81"/>
      <c r="AG858" s="81"/>
      <c r="AH858" s="81"/>
      <c r="AI858" s="4"/>
      <c r="AJ858" s="81"/>
      <c r="AK858" s="81"/>
      <c r="AL858" s="81"/>
      <c r="AM858" s="43">
        <v>842</v>
      </c>
      <c r="AN858">
        <v>315.22199327139151</v>
      </c>
      <c r="AO858">
        <v>30.285057852383556</v>
      </c>
      <c r="AP858">
        <v>61.016613005883599</v>
      </c>
      <c r="AQ858">
        <v>229.30454216279315</v>
      </c>
      <c r="AR858">
        <v>32.582600167319931</v>
      </c>
      <c r="AS858">
        <v>257.84749754693314</v>
      </c>
      <c r="AT858">
        <v>14.644948482141649</v>
      </c>
      <c r="AU858">
        <v>8.578940950715932</v>
      </c>
      <c r="AV858"/>
      <c r="AW858"/>
      <c r="FY858" s="213">
        <v>853</v>
      </c>
      <c r="FZ858">
        <v>34.246450643899045</v>
      </c>
      <c r="GA858">
        <v>58.539491987650287</v>
      </c>
      <c r="GB858">
        <v>20.153353249839537</v>
      </c>
      <c r="GC858">
        <v>5.2951368895378677</v>
      </c>
      <c r="GD858">
        <v>4.2869567846209264</v>
      </c>
      <c r="GE858">
        <v>7.2509680232484328</v>
      </c>
      <c r="GF858">
        <v>20.989878092752217</v>
      </c>
      <c r="GG858">
        <v>15.593388358048452</v>
      </c>
      <c r="GH858">
        <v>10.839247803623795</v>
      </c>
      <c r="GI858">
        <v>18.951459733775256</v>
      </c>
      <c r="GJ858"/>
      <c r="GK858"/>
      <c r="GL858"/>
      <c r="GM858"/>
      <c r="GN858" s="208"/>
      <c r="GO858" s="208"/>
      <c r="GP858" s="208"/>
      <c r="GQ858" s="208"/>
      <c r="GR858" s="208"/>
      <c r="GS858" s="208"/>
      <c r="GT858" s="208"/>
      <c r="GU858" s="213">
        <v>853</v>
      </c>
    </row>
    <row r="859" spans="1:203" s="7" customFormat="1">
      <c r="A859" s="4"/>
      <c r="B859" s="4"/>
      <c r="C859" s="4"/>
      <c r="D859" s="4"/>
      <c r="E859" s="4"/>
      <c r="F859" s="28"/>
      <c r="G859" s="28"/>
      <c r="H859" s="83"/>
      <c r="I859" s="4"/>
      <c r="J859" s="4"/>
      <c r="K859" s="4"/>
      <c r="L859" s="4"/>
      <c r="M859" s="4"/>
      <c r="N859" s="28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  <c r="AA859" s="4"/>
      <c r="AB859" s="4"/>
      <c r="AC859" s="4"/>
      <c r="AD859" s="4"/>
      <c r="AE859" s="4"/>
      <c r="AF859" s="81"/>
      <c r="AG859" s="81"/>
      <c r="AH859" s="81"/>
      <c r="AI859" s="4"/>
      <c r="AJ859" s="81"/>
      <c r="AK859" s="81"/>
      <c r="AL859" s="81"/>
      <c r="AM859" s="43">
        <v>843</v>
      </c>
      <c r="AN859">
        <v>309.7530516413002</v>
      </c>
      <c r="AO859">
        <v>25.426525679627495</v>
      </c>
      <c r="AP859">
        <v>56.029820281176825</v>
      </c>
      <c r="AQ859">
        <v>178.26026449993009</v>
      </c>
      <c r="AR859">
        <v>25.745635717875871</v>
      </c>
      <c r="AS859">
        <v>244.10634302342777</v>
      </c>
      <c r="AT859">
        <v>10.298782776391809</v>
      </c>
      <c r="AU859">
        <v>12.047167710821931</v>
      </c>
      <c r="AV859"/>
      <c r="AW859"/>
      <c r="FY859" s="213">
        <v>854</v>
      </c>
      <c r="FZ859">
        <v>39.333884376567852</v>
      </c>
      <c r="GA859">
        <v>36.83502365566796</v>
      </c>
      <c r="GB859">
        <v>11.689246078447484</v>
      </c>
      <c r="GC859">
        <v>4.9267924017947848</v>
      </c>
      <c r="GD859">
        <v>4.0981444486087186</v>
      </c>
      <c r="GE859">
        <v>5.7591098860578098</v>
      </c>
      <c r="GF859">
        <v>9.5272822714951246</v>
      </c>
      <c r="GG859">
        <v>6.215263856349095</v>
      </c>
      <c r="GH859">
        <v>24.194641621068882</v>
      </c>
      <c r="GI859">
        <v>17.14962182012108</v>
      </c>
      <c r="GJ859"/>
      <c r="GK859"/>
      <c r="GL859"/>
      <c r="GM859"/>
      <c r="GN859" s="208"/>
      <c r="GO859" s="208"/>
      <c r="GP859" s="208"/>
      <c r="GQ859" s="208"/>
      <c r="GR859" s="208"/>
      <c r="GS859" s="208"/>
      <c r="GT859" s="208"/>
      <c r="GU859" s="213">
        <v>854</v>
      </c>
    </row>
    <row r="860" spans="1:203" s="7" customFormat="1">
      <c r="A860" s="4"/>
      <c r="B860" s="4"/>
      <c r="C860" s="4"/>
      <c r="D860" s="4"/>
      <c r="E860" s="4"/>
      <c r="F860" s="28"/>
      <c r="G860" s="28"/>
      <c r="H860" s="83"/>
      <c r="I860" s="4"/>
      <c r="J860" s="4"/>
      <c r="K860" s="4"/>
      <c r="L860" s="4"/>
      <c r="M860" s="4"/>
      <c r="N860" s="28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  <c r="AA860" s="4"/>
      <c r="AB860" s="4"/>
      <c r="AC860" s="4"/>
      <c r="AD860" s="4"/>
      <c r="AE860" s="4"/>
      <c r="AF860" s="81"/>
      <c r="AG860" s="81"/>
      <c r="AH860" s="81"/>
      <c r="AI860" s="4"/>
      <c r="AJ860" s="81"/>
      <c r="AK860" s="81"/>
      <c r="AL860" s="81"/>
      <c r="AM860" s="43">
        <v>844</v>
      </c>
      <c r="AN860">
        <v>383.01156105529435</v>
      </c>
      <c r="AO860">
        <v>35.014664582032744</v>
      </c>
      <c r="AP860">
        <v>78.903875428104669</v>
      </c>
      <c r="AQ860">
        <v>267.62650970679994</v>
      </c>
      <c r="AR860">
        <v>37.678274441815269</v>
      </c>
      <c r="AS860">
        <v>307.34981759690515</v>
      </c>
      <c r="AT860">
        <v>17.1575883784318</v>
      </c>
      <c r="AU860">
        <v>26.88091189397683</v>
      </c>
      <c r="AV860"/>
      <c r="AW860"/>
      <c r="FY860" s="213">
        <v>855</v>
      </c>
      <c r="FZ860">
        <v>31.663620907349394</v>
      </c>
      <c r="GA860">
        <v>29.048379911758271</v>
      </c>
      <c r="GB860">
        <v>4.5904999778283635</v>
      </c>
      <c r="GC860">
        <v>5.964811053722805</v>
      </c>
      <c r="GD860">
        <v>5.1758610981590438</v>
      </c>
      <c r="GE860">
        <v>6.7586756343105003</v>
      </c>
      <c r="GF860">
        <v>10.013391821903344</v>
      </c>
      <c r="GG860">
        <v>8.2615851392878348</v>
      </c>
      <c r="GH860">
        <v>13.350398362621851</v>
      </c>
      <c r="GI860">
        <v>12.748747928776307</v>
      </c>
      <c r="GJ860"/>
      <c r="GK860"/>
      <c r="GL860"/>
      <c r="GM860"/>
      <c r="GN860" s="208"/>
      <c r="GO860" s="208"/>
      <c r="GP860" s="208"/>
      <c r="GQ860" s="208"/>
      <c r="GR860" s="208"/>
      <c r="GS860" s="208"/>
      <c r="GT860" s="208"/>
      <c r="GU860" s="213">
        <v>855</v>
      </c>
    </row>
    <row r="861" spans="1:203" s="7" customFormat="1">
      <c r="A861" s="4"/>
      <c r="B861" s="4"/>
      <c r="C861" s="4"/>
      <c r="D861" s="4"/>
      <c r="E861" s="4"/>
      <c r="F861" s="28"/>
      <c r="G861" s="28"/>
      <c r="H861" s="83"/>
      <c r="I861" s="4"/>
      <c r="J861" s="4"/>
      <c r="K861" s="4"/>
      <c r="L861" s="4"/>
      <c r="M861" s="4"/>
      <c r="N861" s="28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  <c r="AA861" s="4"/>
      <c r="AB861" s="4"/>
      <c r="AC861" s="4"/>
      <c r="AD861" s="4"/>
      <c r="AE861" s="4"/>
      <c r="AF861" s="81"/>
      <c r="AG861" s="81"/>
      <c r="AH861" s="81"/>
      <c r="AI861" s="4"/>
      <c r="AJ861" s="81"/>
      <c r="AK861" s="81"/>
      <c r="AL861" s="81"/>
      <c r="AM861" s="43">
        <v>845</v>
      </c>
      <c r="AN861">
        <v>287.90892668709864</v>
      </c>
      <c r="AO861">
        <v>29.503868398896383</v>
      </c>
      <c r="AP861">
        <v>59.531828436730912</v>
      </c>
      <c r="AQ861">
        <v>200.97143426678835</v>
      </c>
      <c r="AR861">
        <v>30.522707878644265</v>
      </c>
      <c r="AS861">
        <v>271.22918138290368</v>
      </c>
      <c r="AT861">
        <v>12.591991692819803</v>
      </c>
      <c r="AU861">
        <v>1.2383366744716682</v>
      </c>
      <c r="AV861"/>
      <c r="AW861"/>
      <c r="FY861" s="213">
        <v>856</v>
      </c>
      <c r="FZ861">
        <v>74.337582536148503</v>
      </c>
      <c r="GA861">
        <v>77.750049639019679</v>
      </c>
      <c r="GB861">
        <v>13.13330486892581</v>
      </c>
      <c r="GC861">
        <v>8.1323953103105193</v>
      </c>
      <c r="GD861">
        <v>5.8134265793654265</v>
      </c>
      <c r="GE861">
        <v>3.3706839271174376</v>
      </c>
      <c r="GF861">
        <v>14.607594215940722</v>
      </c>
      <c r="GG861">
        <v>17.031829255281998</v>
      </c>
      <c r="GH861">
        <v>15.61776805431543</v>
      </c>
      <c r="GI861">
        <v>23.050459790317404</v>
      </c>
      <c r="GJ861"/>
      <c r="GK861"/>
      <c r="GL861"/>
      <c r="GM861"/>
      <c r="GN861" s="208"/>
      <c r="GO861" s="208"/>
      <c r="GP861" s="208"/>
      <c r="GQ861" s="208"/>
      <c r="GR861" s="208"/>
      <c r="GS861" s="208"/>
      <c r="GT861" s="208"/>
      <c r="GU861" s="213">
        <v>856</v>
      </c>
    </row>
    <row r="862" spans="1:203" s="7" customFormat="1">
      <c r="A862" s="4"/>
      <c r="B862" s="4"/>
      <c r="C862" s="4"/>
      <c r="D862" s="4"/>
      <c r="E862" s="4"/>
      <c r="F862" s="28"/>
      <c r="G862" s="28"/>
      <c r="H862" s="83"/>
      <c r="I862" s="4"/>
      <c r="J862" s="4"/>
      <c r="K862" s="4"/>
      <c r="L862" s="4"/>
      <c r="M862" s="4"/>
      <c r="N862" s="28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  <c r="AA862" s="4"/>
      <c r="AB862" s="4"/>
      <c r="AC862" s="4"/>
      <c r="AD862" s="4"/>
      <c r="AE862" s="4"/>
      <c r="AF862" s="81"/>
      <c r="AG862" s="81"/>
      <c r="AH862" s="81"/>
      <c r="AI862" s="4"/>
      <c r="AJ862" s="81"/>
      <c r="AK862" s="81"/>
      <c r="AL862" s="81"/>
      <c r="AM862" s="43">
        <v>846</v>
      </c>
      <c r="AN862">
        <v>324.14935816074922</v>
      </c>
      <c r="AO862">
        <v>26.482856031029588</v>
      </c>
      <c r="AP862">
        <v>103.91159308424041</v>
      </c>
      <c r="AQ862">
        <v>191.89328916061689</v>
      </c>
      <c r="AR862">
        <v>26.294998306180087</v>
      </c>
      <c r="AS862">
        <v>253.7321442482546</v>
      </c>
      <c r="AT862">
        <v>13.136390959966052</v>
      </c>
      <c r="AU862">
        <v>32.869508925424057</v>
      </c>
      <c r="AV862"/>
      <c r="AW862"/>
      <c r="FY862" s="213">
        <v>857</v>
      </c>
      <c r="FZ862">
        <v>52.114784978053798</v>
      </c>
      <c r="GA862">
        <v>51.038821279316387</v>
      </c>
      <c r="GB862">
        <v>11.34334818398357</v>
      </c>
      <c r="GC862">
        <v>4.1977151722345383</v>
      </c>
      <c r="GD862">
        <v>5.4843587311650115</v>
      </c>
      <c r="GE862">
        <v>7.4984379039234472</v>
      </c>
      <c r="GF862">
        <v>15.856310612297259</v>
      </c>
      <c r="GG862">
        <v>15.928530994907597</v>
      </c>
      <c r="GH862">
        <v>15.269772137680103</v>
      </c>
      <c r="GI862">
        <v>19.370187665652157</v>
      </c>
      <c r="GJ862"/>
      <c r="GK862"/>
      <c r="GL862"/>
      <c r="GM862"/>
      <c r="GN862" s="208"/>
      <c r="GO862" s="208"/>
      <c r="GP862" s="208"/>
      <c r="GQ862" s="208"/>
      <c r="GR862" s="208"/>
      <c r="GS862" s="208"/>
      <c r="GT862" s="208"/>
      <c r="GU862" s="213">
        <v>857</v>
      </c>
    </row>
    <row r="863" spans="1:203" s="7" customFormat="1">
      <c r="A863" s="4"/>
      <c r="B863" s="4"/>
      <c r="C863" s="4"/>
      <c r="D863" s="4"/>
      <c r="E863" s="4"/>
      <c r="F863" s="28"/>
      <c r="G863" s="28"/>
      <c r="H863" s="83"/>
      <c r="I863" s="4"/>
      <c r="J863" s="4"/>
      <c r="K863" s="4"/>
      <c r="L863" s="4"/>
      <c r="M863" s="4"/>
      <c r="N863" s="28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  <c r="AA863" s="4"/>
      <c r="AB863" s="4"/>
      <c r="AC863" s="4"/>
      <c r="AD863" s="4"/>
      <c r="AE863" s="4"/>
      <c r="AF863" s="81"/>
      <c r="AG863" s="81"/>
      <c r="AH863" s="81"/>
      <c r="AI863" s="4"/>
      <c r="AJ863" s="81"/>
      <c r="AK863" s="81"/>
      <c r="AL863" s="81"/>
      <c r="AM863" s="43">
        <v>847</v>
      </c>
      <c r="AN863">
        <v>308.26234794274222</v>
      </c>
      <c r="AO863">
        <v>31.735326823811949</v>
      </c>
      <c r="AP863">
        <v>74.341483116203349</v>
      </c>
      <c r="AQ863">
        <v>252.11359477178482</v>
      </c>
      <c r="AR863">
        <v>31.977458010609848</v>
      </c>
      <c r="AS863">
        <v>260.88417124258035</v>
      </c>
      <c r="AT863">
        <v>16.531760607181216</v>
      </c>
      <c r="AU863">
        <v>48.680584741174798</v>
      </c>
      <c r="AV863"/>
      <c r="AW863"/>
      <c r="FY863" s="213">
        <v>858</v>
      </c>
      <c r="FZ863">
        <v>82.909832516993148</v>
      </c>
      <c r="GA863">
        <v>79.297188687885011</v>
      </c>
      <c r="GB863">
        <v>9.1694357557549893</v>
      </c>
      <c r="GC863">
        <v>6.7963314167998519</v>
      </c>
      <c r="GD863">
        <v>4.7900733007056751</v>
      </c>
      <c r="GE863">
        <v>4.2089368253959627</v>
      </c>
      <c r="GF863">
        <v>20.92391649818985</v>
      </c>
      <c r="GG863">
        <v>18.83970323011512</v>
      </c>
      <c r="GH863">
        <v>14.100995622589654</v>
      </c>
      <c r="GI863">
        <v>23.416001911343617</v>
      </c>
      <c r="GJ863"/>
      <c r="GK863"/>
      <c r="GL863"/>
      <c r="GM863"/>
      <c r="GN863" s="208"/>
      <c r="GO863" s="208"/>
      <c r="GP863" s="208"/>
      <c r="GQ863" s="208"/>
      <c r="GR863" s="208"/>
      <c r="GS863" s="208"/>
      <c r="GT863" s="208"/>
      <c r="GU863" s="213">
        <v>858</v>
      </c>
    </row>
    <row r="864" spans="1:203" s="7" customFormat="1">
      <c r="A864" s="4"/>
      <c r="B864" s="4"/>
      <c r="C864" s="4"/>
      <c r="D864" s="4"/>
      <c r="E864" s="4"/>
      <c r="F864" s="28"/>
      <c r="G864" s="28"/>
      <c r="H864" s="83"/>
      <c r="I864" s="4"/>
      <c r="J864" s="4"/>
      <c r="K864" s="4"/>
      <c r="L864" s="4"/>
      <c r="M864" s="4"/>
      <c r="N864" s="28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  <c r="AA864" s="4"/>
      <c r="AB864" s="4"/>
      <c r="AC864" s="4"/>
      <c r="AD864" s="4"/>
      <c r="AE864" s="4"/>
      <c r="AF864" s="81"/>
      <c r="AG864" s="81"/>
      <c r="AH864" s="81"/>
      <c r="AI864" s="4"/>
      <c r="AJ864" s="81"/>
      <c r="AK864" s="81"/>
      <c r="AL864" s="81"/>
      <c r="AM864" s="43">
        <v>848</v>
      </c>
      <c r="AN864">
        <v>387.44512143439681</v>
      </c>
      <c r="AO864">
        <v>35.487797162453035</v>
      </c>
      <c r="AP864">
        <v>84.39930145758035</v>
      </c>
      <c r="AQ864">
        <v>244.27225098963231</v>
      </c>
      <c r="AR864">
        <v>34.887509279618122</v>
      </c>
      <c r="AS864">
        <v>324.81039690788492</v>
      </c>
      <c r="AT864">
        <v>13.278256747421304</v>
      </c>
      <c r="AU864">
        <v>-21.121078922516862</v>
      </c>
      <c r="AV864"/>
      <c r="AW864"/>
      <c r="FY864" s="213">
        <v>859</v>
      </c>
      <c r="FZ864">
        <v>47.240253397374104</v>
      </c>
      <c r="GA864">
        <v>49.990623216066261</v>
      </c>
      <c r="GB864">
        <v>9.6236301992549276</v>
      </c>
      <c r="GC864">
        <v>7.9199839471929208</v>
      </c>
      <c r="GD864">
        <v>5.9295622971327937</v>
      </c>
      <c r="GE864">
        <v>3.9713066260693228</v>
      </c>
      <c r="GF864">
        <v>20.228655527486691</v>
      </c>
      <c r="GG864">
        <v>17.769440887439661</v>
      </c>
      <c r="GH864">
        <v>7.1553050425022686</v>
      </c>
      <c r="GI864">
        <v>17.832658513589003</v>
      </c>
      <c r="GJ864"/>
      <c r="GK864"/>
      <c r="GL864"/>
      <c r="GM864"/>
      <c r="GN864" s="208"/>
      <c r="GO864" s="208"/>
      <c r="GP864" s="208"/>
      <c r="GQ864" s="208"/>
      <c r="GR864" s="208"/>
      <c r="GS864" s="208"/>
      <c r="GT864" s="208"/>
      <c r="GU864" s="213">
        <v>859</v>
      </c>
    </row>
    <row r="865" spans="1:203" s="7" customFormat="1">
      <c r="A865" s="4"/>
      <c r="B865" s="4"/>
      <c r="C865" s="4"/>
      <c r="D865" s="4"/>
      <c r="E865" s="4"/>
      <c r="F865" s="28"/>
      <c r="G865" s="28"/>
      <c r="H865" s="83"/>
      <c r="I865" s="4"/>
      <c r="J865" s="4"/>
      <c r="K865" s="4"/>
      <c r="L865" s="4"/>
      <c r="M865" s="4"/>
      <c r="N865" s="28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  <c r="AA865" s="4"/>
      <c r="AB865" s="4"/>
      <c r="AC865" s="4"/>
      <c r="AD865" s="4"/>
      <c r="AE865" s="4"/>
      <c r="AF865" s="81"/>
      <c r="AG865" s="81"/>
      <c r="AH865" s="81"/>
      <c r="AI865" s="4"/>
      <c r="AJ865" s="81"/>
      <c r="AK865" s="81"/>
      <c r="AL865" s="81"/>
      <c r="AM865" s="43">
        <v>849</v>
      </c>
      <c r="AN865">
        <v>317.75464603381852</v>
      </c>
      <c r="AO865">
        <v>33.803530389834009</v>
      </c>
      <c r="AP865">
        <v>41.913807760001362</v>
      </c>
      <c r="AQ865">
        <v>247.24421791856324</v>
      </c>
      <c r="AR865">
        <v>33.975864508751016</v>
      </c>
      <c r="AS865">
        <v>298.64820294995656</v>
      </c>
      <c r="AT865">
        <v>14.240149312005265</v>
      </c>
      <c r="AU865">
        <v>-12.467431103311426</v>
      </c>
      <c r="AV865"/>
      <c r="AW865"/>
      <c r="FY865" s="213">
        <v>860</v>
      </c>
      <c r="FZ865">
        <v>54.889336402488389</v>
      </c>
      <c r="GA865">
        <v>68.74684847096205</v>
      </c>
      <c r="GB865">
        <v>16.303644737440234</v>
      </c>
      <c r="GC865">
        <v>9.3123431015355589</v>
      </c>
      <c r="GD865">
        <v>7.6259416276660517</v>
      </c>
      <c r="GE865">
        <v>6.1918063645573582</v>
      </c>
      <c r="GF865">
        <v>12.849629007604605</v>
      </c>
      <c r="GG865">
        <v>10.229260195625182</v>
      </c>
      <c r="GH865">
        <v>11.525140502791636</v>
      </c>
      <c r="GI865">
        <v>21.320103531550021</v>
      </c>
      <c r="GJ865"/>
      <c r="GK865"/>
      <c r="GL865"/>
      <c r="GM865"/>
      <c r="GN865" s="208"/>
      <c r="GO865" s="208"/>
      <c r="GP865" s="208"/>
      <c r="GQ865" s="208"/>
      <c r="GR865" s="208"/>
      <c r="GS865" s="208"/>
      <c r="GT865" s="208"/>
      <c r="GU865" s="213">
        <v>860</v>
      </c>
    </row>
    <row r="866" spans="1:203" s="7" customFormat="1">
      <c r="A866" s="4"/>
      <c r="B866" s="4"/>
      <c r="C866" s="4"/>
      <c r="D866" s="4"/>
      <c r="E866" s="4"/>
      <c r="F866" s="28"/>
      <c r="G866" s="28"/>
      <c r="H866" s="83"/>
      <c r="I866" s="4"/>
      <c r="J866" s="4"/>
      <c r="K866" s="4"/>
      <c r="L866" s="4"/>
      <c r="M866" s="4"/>
      <c r="N866" s="28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  <c r="AA866" s="4"/>
      <c r="AB866" s="4"/>
      <c r="AC866" s="4"/>
      <c r="AD866" s="4"/>
      <c r="AE866" s="4"/>
      <c r="AF866" s="81"/>
      <c r="AG866" s="81"/>
      <c r="AH866" s="81"/>
      <c r="AI866" s="4"/>
      <c r="AJ866" s="81"/>
      <c r="AK866" s="81"/>
      <c r="AL866" s="81"/>
      <c r="AM866" s="43">
        <v>850</v>
      </c>
      <c r="AN866">
        <v>307.27950941623124</v>
      </c>
      <c r="AO866">
        <v>20.206677488603823</v>
      </c>
      <c r="AP866">
        <v>80.61342871173909</v>
      </c>
      <c r="AQ866">
        <v>132.32285791052931</v>
      </c>
      <c r="AR866">
        <v>19.66356108710394</v>
      </c>
      <c r="AS866">
        <v>220.6461060978838</v>
      </c>
      <c r="AT866">
        <v>8.9600403265724093</v>
      </c>
      <c r="AU866">
        <v>44.123321479085845</v>
      </c>
      <c r="AV866"/>
      <c r="AW866"/>
      <c r="FY866" s="213">
        <v>861</v>
      </c>
      <c r="FZ866">
        <v>50.673668635194332</v>
      </c>
      <c r="GA866">
        <v>50.660815131827029</v>
      </c>
      <c r="GB866">
        <v>12.075585512482204</v>
      </c>
      <c r="GC866">
        <v>5.1185089639627233</v>
      </c>
      <c r="GD866">
        <v>4.456686307173416</v>
      </c>
      <c r="GE866">
        <v>5.2346794386734405</v>
      </c>
      <c r="GF866">
        <v>18.006005743743611</v>
      </c>
      <c r="GG866">
        <v>15.954053469538136</v>
      </c>
      <c r="GH866">
        <v>11.248446359328046</v>
      </c>
      <c r="GI866">
        <v>18.500340930115744</v>
      </c>
      <c r="GJ866"/>
      <c r="GK866"/>
      <c r="GL866"/>
      <c r="GM866"/>
      <c r="GN866" s="208"/>
      <c r="GO866" s="208"/>
      <c r="GP866" s="208"/>
      <c r="GQ866" s="208"/>
      <c r="GR866" s="208"/>
      <c r="GS866" s="208"/>
      <c r="GT866" s="208"/>
      <c r="GU866" s="213">
        <v>861</v>
      </c>
    </row>
    <row r="867" spans="1:203" s="7" customFormat="1">
      <c r="A867" s="4"/>
      <c r="B867" s="4"/>
      <c r="C867" s="4"/>
      <c r="D867" s="4"/>
      <c r="E867" s="4"/>
      <c r="F867" s="28"/>
      <c r="G867" s="28"/>
      <c r="H867" s="83"/>
      <c r="I867" s="4"/>
      <c r="J867" s="4"/>
      <c r="K867" s="4"/>
      <c r="L867" s="4"/>
      <c r="M867" s="4"/>
      <c r="N867" s="28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  <c r="AA867" s="4"/>
      <c r="AB867" s="4"/>
      <c r="AC867" s="4"/>
      <c r="AD867" s="4"/>
      <c r="AE867" s="4"/>
      <c r="AF867" s="81"/>
      <c r="AG867" s="81"/>
      <c r="AH867" s="81"/>
      <c r="AI867" s="4"/>
      <c r="AJ867" s="81"/>
      <c r="AK867" s="81"/>
      <c r="AL867" s="81"/>
      <c r="AM867" s="43">
        <v>851</v>
      </c>
      <c r="AN867">
        <v>356.77471261231892</v>
      </c>
      <c r="AO867">
        <v>34.46538708062792</v>
      </c>
      <c r="AP867">
        <v>130.3375902658812</v>
      </c>
      <c r="AQ867">
        <v>239.76175048877494</v>
      </c>
      <c r="AR867">
        <v>33.58434822361815</v>
      </c>
      <c r="AS867">
        <v>321.20690754246044</v>
      </c>
      <c r="AT867">
        <v>13.690956982753747</v>
      </c>
      <c r="AU867">
        <v>-84.007614752466097</v>
      </c>
      <c r="AV867"/>
      <c r="AW867"/>
      <c r="FY867" s="213">
        <v>862</v>
      </c>
      <c r="FZ867">
        <v>39.355326676184703</v>
      </c>
      <c r="GA867">
        <v>43.074298845590171</v>
      </c>
      <c r="GB867">
        <v>7.889167491145443</v>
      </c>
      <c r="GC867">
        <v>7.8293451621790977</v>
      </c>
      <c r="GD867">
        <v>7.6367538027655506</v>
      </c>
      <c r="GE867">
        <v>9.4822234268435484</v>
      </c>
      <c r="GF867">
        <v>17.959746568699046</v>
      </c>
      <c r="GG867">
        <v>12.928569603929674</v>
      </c>
      <c r="GH867">
        <v>8.9507267536995876</v>
      </c>
      <c r="GI867">
        <v>17.061144566541319</v>
      </c>
      <c r="GJ867"/>
      <c r="GK867"/>
      <c r="GL867"/>
      <c r="GM867"/>
      <c r="GN867" s="208"/>
      <c r="GO867" s="208"/>
      <c r="GP867" s="208"/>
      <c r="GQ867" s="208"/>
      <c r="GR867" s="208"/>
      <c r="GS867" s="208"/>
      <c r="GT867" s="208"/>
      <c r="GU867" s="213">
        <v>862</v>
      </c>
    </row>
    <row r="868" spans="1:203" s="7" customFormat="1">
      <c r="A868" s="4"/>
      <c r="B868" s="4"/>
      <c r="C868" s="4"/>
      <c r="D868" s="4"/>
      <c r="E868" s="4"/>
      <c r="F868" s="28"/>
      <c r="G868" s="28"/>
      <c r="H868" s="83"/>
      <c r="I868" s="4"/>
      <c r="J868" s="4"/>
      <c r="K868" s="4"/>
      <c r="L868" s="4"/>
      <c r="M868" s="4"/>
      <c r="N868" s="28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  <c r="AA868" s="4"/>
      <c r="AB868" s="4"/>
      <c r="AC868" s="4"/>
      <c r="AD868" s="4"/>
      <c r="AE868" s="4"/>
      <c r="AF868" s="81"/>
      <c r="AG868" s="81"/>
      <c r="AH868" s="81"/>
      <c r="AI868" s="4"/>
      <c r="AJ868" s="81"/>
      <c r="AK868" s="81"/>
      <c r="AL868" s="81"/>
      <c r="AM868" s="43">
        <v>852</v>
      </c>
      <c r="AN868">
        <v>323.39257656011716</v>
      </c>
      <c r="AO868">
        <v>36.432366798781644</v>
      </c>
      <c r="AP868">
        <v>109.15602173588816</v>
      </c>
      <c r="AQ868">
        <v>241.53243895895048</v>
      </c>
      <c r="AR868">
        <v>37.434031299720075</v>
      </c>
      <c r="AS868">
        <v>334.05659889304144</v>
      </c>
      <c r="AT868">
        <v>12.159482887174628</v>
      </c>
      <c r="AU868">
        <v>0.73479011486495693</v>
      </c>
      <c r="AV868"/>
      <c r="AW868"/>
      <c r="FY868" s="213">
        <v>863</v>
      </c>
      <c r="FZ868">
        <v>30.464022204809861</v>
      </c>
      <c r="GA868">
        <v>21.304954672942706</v>
      </c>
      <c r="GB868">
        <v>4.5457397971102758</v>
      </c>
      <c r="GC868">
        <v>7.2918933199339131</v>
      </c>
      <c r="GD868">
        <v>5.5034736999582954</v>
      </c>
      <c r="GE868">
        <v>2.9476050710997712</v>
      </c>
      <c r="GF868">
        <v>19.235336431895366</v>
      </c>
      <c r="GG868">
        <v>20.082302732696409</v>
      </c>
      <c r="GH868">
        <v>13.065307455964406</v>
      </c>
      <c r="GI868">
        <v>14.341113461631725</v>
      </c>
      <c r="GJ868"/>
      <c r="GK868"/>
      <c r="GL868"/>
      <c r="GM868"/>
      <c r="GN868" s="208"/>
      <c r="GO868" s="208"/>
      <c r="GP868" s="208"/>
      <c r="GQ868" s="208"/>
      <c r="GR868" s="208"/>
      <c r="GS868" s="208"/>
      <c r="GT868" s="208"/>
      <c r="GU868" s="213">
        <v>863</v>
      </c>
    </row>
    <row r="869" spans="1:203" s="7" customFormat="1">
      <c r="A869" s="4"/>
      <c r="B869" s="4"/>
      <c r="C869" s="4"/>
      <c r="D869" s="4"/>
      <c r="E869" s="4"/>
      <c r="F869" s="28"/>
      <c r="G869" s="28"/>
      <c r="H869" s="83"/>
      <c r="I869" s="4"/>
      <c r="J869" s="4"/>
      <c r="K869" s="4"/>
      <c r="L869" s="4"/>
      <c r="M869" s="4"/>
      <c r="N869" s="28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  <c r="AA869" s="4"/>
      <c r="AB869" s="4"/>
      <c r="AC869" s="4"/>
      <c r="AD869" s="4"/>
      <c r="AE869" s="4"/>
      <c r="AF869" s="81"/>
      <c r="AG869" s="81"/>
      <c r="AH869" s="81"/>
      <c r="AI869" s="4"/>
      <c r="AJ869" s="81"/>
      <c r="AK869" s="81"/>
      <c r="AL869" s="81"/>
      <c r="AM869" s="43">
        <v>853</v>
      </c>
      <c r="AN869">
        <v>359.15799993291341</v>
      </c>
      <c r="AO869">
        <v>28.259098163827531</v>
      </c>
      <c r="AP869">
        <v>77.077620132242785</v>
      </c>
      <c r="AQ869">
        <v>196.14633156699585</v>
      </c>
      <c r="AR869">
        <v>28.288844481574941</v>
      </c>
      <c r="AS869">
        <v>289.73816768681735</v>
      </c>
      <c r="AT869">
        <v>11.138681283891676</v>
      </c>
      <c r="AU869">
        <v>10.618670841554788</v>
      </c>
      <c r="AV869"/>
      <c r="AW869"/>
      <c r="FY869" s="213">
        <v>864</v>
      </c>
      <c r="FZ869">
        <v>40.569252228907821</v>
      </c>
      <c r="GA869">
        <v>44.855630469034345</v>
      </c>
      <c r="GB869">
        <v>11.442503515827333</v>
      </c>
      <c r="GC869">
        <v>5.870608308717002</v>
      </c>
      <c r="GD869">
        <v>5.3641668223489942</v>
      </c>
      <c r="GE869">
        <v>4.4413458460985691</v>
      </c>
      <c r="GF869">
        <v>15.893799330760586</v>
      </c>
      <c r="GG869">
        <v>15.741421857914096</v>
      </c>
      <c r="GH869">
        <v>25.92891039932255</v>
      </c>
      <c r="GI869">
        <v>19.48056339904565</v>
      </c>
      <c r="GJ869"/>
      <c r="GK869"/>
      <c r="GL869"/>
      <c r="GM869"/>
      <c r="GN869" s="208"/>
      <c r="GO869" s="208"/>
      <c r="GP869" s="208"/>
      <c r="GQ869" s="208"/>
      <c r="GR869" s="208"/>
      <c r="GS869" s="208"/>
      <c r="GT869" s="208"/>
      <c r="GU869" s="213">
        <v>864</v>
      </c>
    </row>
    <row r="870" spans="1:203" s="7" customFormat="1">
      <c r="A870" s="4"/>
      <c r="B870" s="4"/>
      <c r="C870" s="4"/>
      <c r="D870" s="4"/>
      <c r="E870" s="4"/>
      <c r="F870" s="28"/>
      <c r="G870" s="28"/>
      <c r="H870" s="83"/>
      <c r="I870" s="4"/>
      <c r="J870" s="4"/>
      <c r="K870" s="4"/>
      <c r="L870" s="4"/>
      <c r="M870" s="4"/>
      <c r="N870" s="28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  <c r="AA870" s="4"/>
      <c r="AB870" s="4"/>
      <c r="AC870" s="4"/>
      <c r="AD870" s="4"/>
      <c r="AE870" s="4"/>
      <c r="AF870" s="81"/>
      <c r="AG870" s="81"/>
      <c r="AH870" s="81"/>
      <c r="AI870" s="4"/>
      <c r="AJ870" s="81"/>
      <c r="AK870" s="81"/>
      <c r="AL870" s="81"/>
      <c r="AM870" s="43">
        <v>854</v>
      </c>
      <c r="AN870">
        <v>258.92565283748161</v>
      </c>
      <c r="AO870">
        <v>22.601996281673912</v>
      </c>
      <c r="AP870">
        <v>69.294395446554773</v>
      </c>
      <c r="AQ870">
        <v>159.72901041617877</v>
      </c>
      <c r="AR870">
        <v>25.573255104662046</v>
      </c>
      <c r="AS870">
        <v>207.50134824510494</v>
      </c>
      <c r="AT870">
        <v>10.079939214242458</v>
      </c>
      <c r="AU870">
        <v>11.249994676701903</v>
      </c>
      <c r="AV870"/>
      <c r="AW870"/>
      <c r="FY870" s="213">
        <v>865</v>
      </c>
      <c r="FZ870">
        <v>69.618450416473152</v>
      </c>
      <c r="GA870">
        <v>69.963477697304469</v>
      </c>
      <c r="GB870">
        <v>12.296770636948882</v>
      </c>
      <c r="GC870">
        <v>9.2678242292496193</v>
      </c>
      <c r="GD870">
        <v>6.9641337506843728</v>
      </c>
      <c r="GE870">
        <v>4.3672433610799164</v>
      </c>
      <c r="GF870">
        <v>20.525857703222712</v>
      </c>
      <c r="GG870">
        <v>19.508080344480131</v>
      </c>
      <c r="GH870">
        <v>17.707652200161696</v>
      </c>
      <c r="GI870">
        <v>24.225374536501793</v>
      </c>
      <c r="GJ870"/>
      <c r="GK870"/>
      <c r="GL870"/>
      <c r="GM870"/>
      <c r="GN870" s="208"/>
      <c r="GO870" s="208"/>
      <c r="GP870" s="208"/>
      <c r="GQ870" s="208"/>
      <c r="GR870" s="208"/>
      <c r="GS870" s="208"/>
      <c r="GT870" s="208"/>
      <c r="GU870" s="213">
        <v>865</v>
      </c>
    </row>
    <row r="871" spans="1:203" s="7" customFormat="1">
      <c r="A871" s="4"/>
      <c r="B871" s="4"/>
      <c r="C871" s="4"/>
      <c r="D871" s="4"/>
      <c r="E871" s="4"/>
      <c r="F871" s="28"/>
      <c r="G871" s="28"/>
      <c r="H871" s="83"/>
      <c r="I871" s="4"/>
      <c r="J871" s="4"/>
      <c r="K871" s="4"/>
      <c r="L871" s="4"/>
      <c r="M871" s="4"/>
      <c r="N871" s="28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  <c r="AA871" s="4"/>
      <c r="AB871" s="4"/>
      <c r="AC871" s="4"/>
      <c r="AD871" s="4"/>
      <c r="AE871" s="4"/>
      <c r="AF871" s="81"/>
      <c r="AG871" s="81"/>
      <c r="AH871" s="81"/>
      <c r="AI871" s="4"/>
      <c r="AJ871" s="81"/>
      <c r="AK871" s="81"/>
      <c r="AL871" s="81"/>
      <c r="AM871" s="43">
        <v>855</v>
      </c>
      <c r="AN871">
        <v>277.44521145844749</v>
      </c>
      <c r="AO871">
        <v>17.787586596502511</v>
      </c>
      <c r="AP871">
        <v>55.613348894991482</v>
      </c>
      <c r="AQ871">
        <v>127.57597183571772</v>
      </c>
      <c r="AR871">
        <v>18.113777198406403</v>
      </c>
      <c r="AS871">
        <v>197.86167656235173</v>
      </c>
      <c r="AT871">
        <v>9.2080852880832182</v>
      </c>
      <c r="AU871">
        <v>11.516972879255315</v>
      </c>
      <c r="AV871"/>
      <c r="AW871"/>
      <c r="FY871" s="213">
        <v>866</v>
      </c>
      <c r="FZ871">
        <v>38.213050983847154</v>
      </c>
      <c r="GA871">
        <v>56.346396765176642</v>
      </c>
      <c r="GB871">
        <v>17.215267209803653</v>
      </c>
      <c r="GC871">
        <v>6.2028274157672083</v>
      </c>
      <c r="GD871">
        <v>4.939927891529865</v>
      </c>
      <c r="GE871">
        <v>5.1374947412933043</v>
      </c>
      <c r="GF871">
        <v>20.700676478285548</v>
      </c>
      <c r="GG871">
        <v>19.186686506122225</v>
      </c>
      <c r="GH871">
        <v>20.259925162316335</v>
      </c>
      <c r="GI871">
        <v>20.536593615986384</v>
      </c>
      <c r="GJ871"/>
      <c r="GK871"/>
      <c r="GL871"/>
      <c r="GM871"/>
      <c r="GN871" s="208"/>
      <c r="GO871" s="208"/>
      <c r="GP871" s="208"/>
      <c r="GQ871" s="208"/>
      <c r="GR871" s="208"/>
      <c r="GS871" s="208"/>
      <c r="GT871" s="208"/>
      <c r="GU871" s="213">
        <v>866</v>
      </c>
    </row>
    <row r="872" spans="1:203" s="7" customFormat="1">
      <c r="A872" s="4"/>
      <c r="B872" s="4"/>
      <c r="C872" s="4"/>
      <c r="D872" s="4"/>
      <c r="E872" s="4"/>
      <c r="F872" s="28"/>
      <c r="G872" s="28"/>
      <c r="H872" s="83"/>
      <c r="I872" s="4"/>
      <c r="J872" s="4"/>
      <c r="K872" s="4"/>
      <c r="L872" s="4"/>
      <c r="M872" s="4"/>
      <c r="N872" s="28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4"/>
      <c r="AB872" s="4"/>
      <c r="AC872" s="4"/>
      <c r="AD872" s="4"/>
      <c r="AE872" s="4"/>
      <c r="AF872" s="81"/>
      <c r="AG872" s="81"/>
      <c r="AH872" s="81"/>
      <c r="AI872" s="4"/>
      <c r="AJ872" s="81"/>
      <c r="AK872" s="81"/>
      <c r="AL872" s="81"/>
      <c r="AM872" s="43">
        <v>856</v>
      </c>
      <c r="AN872">
        <v>348.52112788542161</v>
      </c>
      <c r="AO872">
        <v>33.26195603118628</v>
      </c>
      <c r="AP872">
        <v>88.898103774789121</v>
      </c>
      <c r="AQ872">
        <v>252.84509417674292</v>
      </c>
      <c r="AR872">
        <v>33.741065444826788</v>
      </c>
      <c r="AS872">
        <v>298.54920732110168</v>
      </c>
      <c r="AT872">
        <v>16.557431303358715</v>
      </c>
      <c r="AU872">
        <v>11.391994808307103</v>
      </c>
      <c r="AV872"/>
      <c r="AW872"/>
      <c r="FY872" s="213">
        <v>867</v>
      </c>
      <c r="FZ872">
        <v>41.123874691661278</v>
      </c>
      <c r="GA872">
        <v>73.134578485587852</v>
      </c>
      <c r="GB872">
        <v>19.578705827208072</v>
      </c>
      <c r="GC872">
        <v>4.4854478120775196</v>
      </c>
      <c r="GD872">
        <v>3.7448290976841001</v>
      </c>
      <c r="GE872">
        <v>3.5283874521195013</v>
      </c>
      <c r="GF872">
        <v>12.723029922623452</v>
      </c>
      <c r="GG872">
        <v>11.992940412409547</v>
      </c>
      <c r="GH872">
        <v>16.764404746365081</v>
      </c>
      <c r="GI872">
        <v>19.084076390533468</v>
      </c>
      <c r="GJ872"/>
      <c r="GK872"/>
      <c r="GL872"/>
      <c r="GM872"/>
      <c r="GN872" s="208"/>
      <c r="GO872" s="208"/>
      <c r="GP872" s="208"/>
      <c r="GQ872" s="208"/>
      <c r="GR872" s="208"/>
      <c r="GS872" s="208"/>
      <c r="GT872" s="208"/>
      <c r="GU872" s="213">
        <v>867</v>
      </c>
    </row>
    <row r="873" spans="1:203" s="7" customFormat="1">
      <c r="A873" s="4"/>
      <c r="B873" s="4"/>
      <c r="C873" s="4"/>
      <c r="D873" s="4"/>
      <c r="E873" s="4"/>
      <c r="F873" s="28"/>
      <c r="G873" s="28"/>
      <c r="H873" s="83"/>
      <c r="I873" s="4"/>
      <c r="J873" s="4"/>
      <c r="K873" s="4"/>
      <c r="L873" s="4"/>
      <c r="M873" s="4"/>
      <c r="N873" s="28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  <c r="AA873" s="4"/>
      <c r="AB873" s="4"/>
      <c r="AC873" s="4"/>
      <c r="AD873" s="4"/>
      <c r="AE873" s="4"/>
      <c r="AF873" s="81"/>
      <c r="AG873" s="81"/>
      <c r="AH873" s="81"/>
      <c r="AI873" s="4"/>
      <c r="AJ873" s="81"/>
      <c r="AK873" s="81"/>
      <c r="AL873" s="81"/>
      <c r="AM873" s="43">
        <v>857</v>
      </c>
      <c r="AN873">
        <v>285.09185527298143</v>
      </c>
      <c r="AO873">
        <v>27.522710391389598</v>
      </c>
      <c r="AP873">
        <v>99.601725873380786</v>
      </c>
      <c r="AQ873">
        <v>198.10226765921385</v>
      </c>
      <c r="AR873">
        <v>29.011300786429924</v>
      </c>
      <c r="AS873">
        <v>241.00941880595929</v>
      </c>
      <c r="AT873">
        <v>13.232957934976051</v>
      </c>
      <c r="AU873">
        <v>6.7924737450234502</v>
      </c>
      <c r="AV873"/>
      <c r="AW873"/>
      <c r="FY873" s="213">
        <v>868</v>
      </c>
      <c r="FZ873">
        <v>28.512472475092295</v>
      </c>
      <c r="GA873">
        <v>33.765764098864366</v>
      </c>
      <c r="GB873">
        <v>11.049051381824244</v>
      </c>
      <c r="GC873">
        <v>6.2709475936345056</v>
      </c>
      <c r="GD873">
        <v>5.8515691918271306</v>
      </c>
      <c r="GE873">
        <v>6.0687824741811642</v>
      </c>
      <c r="GF873">
        <v>17.926923605360184</v>
      </c>
      <c r="GG873">
        <v>16.749236887622018</v>
      </c>
      <c r="GH873">
        <v>23.144428017718116</v>
      </c>
      <c r="GI873">
        <v>17.703794402280945</v>
      </c>
      <c r="GJ873"/>
      <c r="GK873"/>
      <c r="GL873"/>
      <c r="GM873"/>
      <c r="GN873" s="208"/>
      <c r="GO873" s="208"/>
      <c r="GP873" s="208"/>
      <c r="GQ873" s="208"/>
      <c r="GR873" s="208"/>
      <c r="GS873" s="208"/>
      <c r="GT873" s="208"/>
      <c r="GU873" s="213">
        <v>868</v>
      </c>
    </row>
    <row r="874" spans="1:203" s="7" customFormat="1">
      <c r="A874" s="4"/>
      <c r="B874" s="4"/>
      <c r="C874" s="4"/>
      <c r="D874" s="4"/>
      <c r="E874" s="4"/>
      <c r="F874" s="28"/>
      <c r="G874" s="28"/>
      <c r="H874" s="83"/>
      <c r="I874" s="4"/>
      <c r="J874" s="4"/>
      <c r="K874" s="4"/>
      <c r="L874" s="4"/>
      <c r="M874" s="4"/>
      <c r="N874" s="28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  <c r="AA874" s="4"/>
      <c r="AB874" s="4"/>
      <c r="AC874" s="4"/>
      <c r="AD874" s="4"/>
      <c r="AE874" s="4"/>
      <c r="AF874" s="81"/>
      <c r="AG874" s="81"/>
      <c r="AH874" s="81"/>
      <c r="AI874" s="4"/>
      <c r="AJ874" s="81"/>
      <c r="AK874" s="81"/>
      <c r="AL874" s="81"/>
      <c r="AM874" s="43">
        <v>858</v>
      </c>
      <c r="AN874">
        <v>343.01402691632859</v>
      </c>
      <c r="AO874">
        <v>33.569022691056453</v>
      </c>
      <c r="AP874">
        <v>88.933597744625501</v>
      </c>
      <c r="AQ874">
        <v>264.45241576577291</v>
      </c>
      <c r="AR874">
        <v>34.28384621986752</v>
      </c>
      <c r="AS874">
        <v>307.70984601546456</v>
      </c>
      <c r="AT874">
        <v>16.978321239983991</v>
      </c>
      <c r="AU874">
        <v>-0.26106353838155982</v>
      </c>
      <c r="AV874"/>
      <c r="AW874"/>
      <c r="FY874" s="213">
        <v>869</v>
      </c>
      <c r="FZ874">
        <v>77.443998153516176</v>
      </c>
      <c r="GA874">
        <v>68.723740061724584</v>
      </c>
      <c r="GB874">
        <v>4.4054863431973175</v>
      </c>
      <c r="GC874">
        <v>5.8587956506396859</v>
      </c>
      <c r="GD874">
        <v>5.3106427628092927</v>
      </c>
      <c r="GE874">
        <v>4.7957335434375015</v>
      </c>
      <c r="GF874">
        <v>16.498739801979813</v>
      </c>
      <c r="GG874">
        <v>15.971538131027163</v>
      </c>
      <c r="GH874">
        <v>12.317212774135637</v>
      </c>
      <c r="GI874">
        <v>20.450212481236328</v>
      </c>
      <c r="GJ874"/>
      <c r="GK874"/>
      <c r="GL874"/>
      <c r="GM874"/>
      <c r="GN874" s="208"/>
      <c r="GO874" s="208"/>
      <c r="GP874" s="208"/>
      <c r="GQ874" s="208"/>
      <c r="GR874" s="208"/>
      <c r="GS874" s="208"/>
      <c r="GT874" s="208"/>
      <c r="GU874" s="213">
        <v>869</v>
      </c>
    </row>
    <row r="875" spans="1:203" s="7" customFormat="1">
      <c r="A875" s="4"/>
      <c r="B875" s="4"/>
      <c r="C875" s="4"/>
      <c r="D875" s="4"/>
      <c r="E875" s="4"/>
      <c r="F875" s="28"/>
      <c r="G875" s="28"/>
      <c r="H875" s="83"/>
      <c r="I875" s="4"/>
      <c r="J875" s="4"/>
      <c r="K875" s="4"/>
      <c r="L875" s="4"/>
      <c r="M875" s="4"/>
      <c r="N875" s="28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  <c r="AA875" s="4"/>
      <c r="AB875" s="4"/>
      <c r="AC875" s="4"/>
      <c r="AD875" s="4"/>
      <c r="AE875" s="4"/>
      <c r="AF875" s="81"/>
      <c r="AG875" s="81"/>
      <c r="AH875" s="81"/>
      <c r="AI875" s="4"/>
      <c r="AJ875" s="81"/>
      <c r="AK875" s="81"/>
      <c r="AL875" s="81"/>
      <c r="AM875" s="43">
        <v>859</v>
      </c>
      <c r="AN875">
        <v>305.31008807320489</v>
      </c>
      <c r="AO875">
        <v>25.93068381323102</v>
      </c>
      <c r="AP875">
        <v>117.99477954703669</v>
      </c>
      <c r="AQ875">
        <v>187.66141965410793</v>
      </c>
      <c r="AR875">
        <v>25.704509442498772</v>
      </c>
      <c r="AS875">
        <v>250.81243348511492</v>
      </c>
      <c r="AT875">
        <v>13.293718805814422</v>
      </c>
      <c r="AU875">
        <v>44.600921922353386</v>
      </c>
      <c r="AV875"/>
      <c r="AW875"/>
      <c r="FY875" s="213">
        <v>870</v>
      </c>
      <c r="FZ875">
        <v>40.917990366988832</v>
      </c>
      <c r="GA875">
        <v>53.614072182467304</v>
      </c>
      <c r="GB875">
        <v>12.883191799220501</v>
      </c>
      <c r="GC875">
        <v>4.9763098709749292</v>
      </c>
      <c r="GD875">
        <v>4.1395769590158444</v>
      </c>
      <c r="GE875">
        <v>7.5336987755255436</v>
      </c>
      <c r="GF875">
        <v>24.808798928514594</v>
      </c>
      <c r="GG875">
        <v>17.93623022585265</v>
      </c>
      <c r="GH875">
        <v>16.954275281892286</v>
      </c>
      <c r="GI875">
        <v>19.361673053102706</v>
      </c>
      <c r="GJ875"/>
      <c r="GK875"/>
      <c r="GL875"/>
      <c r="GM875"/>
      <c r="GN875" s="208"/>
      <c r="GO875" s="208"/>
      <c r="GP875" s="208"/>
      <c r="GQ875" s="208"/>
      <c r="GR875" s="208"/>
      <c r="GS875" s="208"/>
      <c r="GT875" s="208"/>
      <c r="GU875" s="213">
        <v>870</v>
      </c>
    </row>
    <row r="876" spans="1:203" s="7" customFormat="1">
      <c r="A876" s="4"/>
      <c r="B876" s="4"/>
      <c r="C876" s="4"/>
      <c r="D876" s="4"/>
      <c r="E876" s="4"/>
      <c r="F876" s="28"/>
      <c r="G876" s="28"/>
      <c r="H876" s="83"/>
      <c r="I876" s="4"/>
      <c r="J876" s="4"/>
      <c r="K876" s="4"/>
      <c r="L876" s="4"/>
      <c r="M876" s="4"/>
      <c r="N876" s="28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  <c r="AA876" s="4"/>
      <c r="AB876" s="4"/>
      <c r="AC876" s="4"/>
      <c r="AD876" s="4"/>
      <c r="AE876" s="4"/>
      <c r="AF876" s="81"/>
      <c r="AG876" s="81"/>
      <c r="AH876" s="81"/>
      <c r="AI876" s="4"/>
      <c r="AJ876" s="81"/>
      <c r="AK876" s="81"/>
      <c r="AL876" s="81"/>
      <c r="AM876" s="43">
        <v>860</v>
      </c>
      <c r="AN876">
        <v>363.79873345018115</v>
      </c>
      <c r="AO876">
        <v>31.133427715980719</v>
      </c>
      <c r="AP876">
        <v>87.115996328456177</v>
      </c>
      <c r="AQ876">
        <v>218.99405394222109</v>
      </c>
      <c r="AR876">
        <v>31.359952533869723</v>
      </c>
      <c r="AS876">
        <v>278.64608435594118</v>
      </c>
      <c r="AT876">
        <v>13.636389587317971</v>
      </c>
      <c r="AU876">
        <v>1.0976408681635093</v>
      </c>
      <c r="AV876"/>
      <c r="AW876"/>
      <c r="FY876" s="213">
        <v>871</v>
      </c>
      <c r="FZ876">
        <v>49.814351688556584</v>
      </c>
      <c r="GA876">
        <v>54.613502091392483</v>
      </c>
      <c r="GB876">
        <v>11.470822243126339</v>
      </c>
      <c r="GC876">
        <v>4.4586726400058749</v>
      </c>
      <c r="GD876">
        <v>4.1133102381922475</v>
      </c>
      <c r="GE876">
        <v>5.5783064478490951</v>
      </c>
      <c r="GF876">
        <v>17.059077869780619</v>
      </c>
      <c r="GG876">
        <v>15.028344352375882</v>
      </c>
      <c r="GH876">
        <v>10.835254004967528</v>
      </c>
      <c r="GI876">
        <v>17.817100432690623</v>
      </c>
      <c r="GJ876"/>
      <c r="GK876"/>
      <c r="GL876"/>
      <c r="GM876"/>
      <c r="GN876" s="208"/>
      <c r="GO876" s="208"/>
      <c r="GP876" s="208"/>
      <c r="GQ876" s="208"/>
      <c r="GR876" s="208"/>
      <c r="GS876" s="208"/>
      <c r="GT876" s="208"/>
      <c r="GU876" s="213">
        <v>871</v>
      </c>
    </row>
    <row r="877" spans="1:203" s="7" customFormat="1">
      <c r="A877" s="4"/>
      <c r="B877" s="4"/>
      <c r="C877" s="4"/>
      <c r="D877" s="4"/>
      <c r="E877" s="4"/>
      <c r="F877" s="28"/>
      <c r="G877" s="28"/>
      <c r="H877" s="83"/>
      <c r="I877" s="4"/>
      <c r="J877" s="4"/>
      <c r="K877" s="4"/>
      <c r="L877" s="4"/>
      <c r="M877" s="4"/>
      <c r="N877" s="28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  <c r="AA877" s="4"/>
      <c r="AB877" s="4"/>
      <c r="AC877" s="4"/>
      <c r="AD877" s="4"/>
      <c r="AE877" s="4"/>
      <c r="AF877" s="81"/>
      <c r="AG877" s="81"/>
      <c r="AH877" s="81"/>
      <c r="AI877" s="4"/>
      <c r="AJ877" s="81"/>
      <c r="AK877" s="81"/>
      <c r="AL877" s="81"/>
      <c r="AM877" s="43">
        <v>861</v>
      </c>
      <c r="AN877">
        <v>304.36041326182033</v>
      </c>
      <c r="AO877">
        <v>26.472548786639173</v>
      </c>
      <c r="AP877">
        <v>90.338287117166999</v>
      </c>
      <c r="AQ877">
        <v>191.9287904920387</v>
      </c>
      <c r="AR877">
        <v>27.647359951331222</v>
      </c>
      <c r="AS877">
        <v>249.57780531992736</v>
      </c>
      <c r="AT877">
        <v>12.635820795152894</v>
      </c>
      <c r="AU877">
        <v>72.281486739269013</v>
      </c>
      <c r="AV877"/>
      <c r="AW877"/>
      <c r="FY877" s="213">
        <v>872</v>
      </c>
      <c r="FZ877">
        <v>55.27678203820998</v>
      </c>
      <c r="GA877">
        <v>92.006594712886965</v>
      </c>
      <c r="GB877">
        <v>18.849713277523453</v>
      </c>
      <c r="GC877">
        <v>5.6900021600641546</v>
      </c>
      <c r="GD877">
        <v>5.026600346158121</v>
      </c>
      <c r="GE877">
        <v>3.823741524893737</v>
      </c>
      <c r="GF877">
        <v>21.552905747592803</v>
      </c>
      <c r="GG877">
        <v>20.233066607829194</v>
      </c>
      <c r="GH877">
        <v>12.393255336321747</v>
      </c>
      <c r="GI877">
        <v>22.493057897214289</v>
      </c>
      <c r="GJ877"/>
      <c r="GK877"/>
      <c r="GL877"/>
      <c r="GM877"/>
      <c r="GN877" s="208"/>
      <c r="GO877" s="208"/>
      <c r="GP877" s="208"/>
      <c r="GQ877" s="208"/>
      <c r="GR877" s="208"/>
      <c r="GS877" s="208"/>
      <c r="GT877" s="208"/>
      <c r="GU877" s="213">
        <v>872</v>
      </c>
    </row>
    <row r="878" spans="1:203" s="7" customFormat="1">
      <c r="A878" s="4"/>
      <c r="B878" s="4"/>
      <c r="C878" s="4"/>
      <c r="D878" s="4"/>
      <c r="E878" s="4"/>
      <c r="F878" s="28"/>
      <c r="G878" s="28"/>
      <c r="H878" s="83"/>
      <c r="I878" s="4"/>
      <c r="J878" s="4"/>
      <c r="K878" s="4"/>
      <c r="L878" s="4"/>
      <c r="M878" s="4"/>
      <c r="N878" s="28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  <c r="AA878" s="4"/>
      <c r="AB878" s="4"/>
      <c r="AC878" s="4"/>
      <c r="AD878" s="4"/>
      <c r="AE878" s="4"/>
      <c r="AF878" s="81"/>
      <c r="AG878" s="81"/>
      <c r="AH878" s="81"/>
      <c r="AI878" s="4"/>
      <c r="AJ878" s="81"/>
      <c r="AK878" s="81"/>
      <c r="AL878" s="81"/>
      <c r="AM878" s="43">
        <v>862</v>
      </c>
      <c r="AN878">
        <v>359.56824002610801</v>
      </c>
      <c r="AO878">
        <v>25.153834446956559</v>
      </c>
      <c r="AP878">
        <v>70.201266077360998</v>
      </c>
      <c r="AQ878">
        <v>172.16730289757814</v>
      </c>
      <c r="AR878">
        <v>24.912746680168478</v>
      </c>
      <c r="AS878">
        <v>253.48540549087372</v>
      </c>
      <c r="AT878">
        <v>11.598198344798377</v>
      </c>
      <c r="AU878">
        <v>17.437260703479069</v>
      </c>
      <c r="AV878"/>
      <c r="AW878"/>
      <c r="FY878" s="213">
        <v>873</v>
      </c>
      <c r="FZ878">
        <v>54.833950288084154</v>
      </c>
      <c r="GA878">
        <v>58.501198275570324</v>
      </c>
      <c r="GB878">
        <v>12.069852863340001</v>
      </c>
      <c r="GC878">
        <v>5.8801636076714194</v>
      </c>
      <c r="GD878">
        <v>4.6037973032307384</v>
      </c>
      <c r="GE878">
        <v>6.3605559891600993</v>
      </c>
      <c r="GF878">
        <v>20.097911410441498</v>
      </c>
      <c r="GG878">
        <v>15.699592642674137</v>
      </c>
      <c r="GH878">
        <v>11.634245537069582</v>
      </c>
      <c r="GI878">
        <v>19.655846582994688</v>
      </c>
      <c r="GJ878"/>
      <c r="GK878"/>
      <c r="GL878"/>
      <c r="GM878"/>
      <c r="GN878" s="208"/>
      <c r="GO878" s="208"/>
      <c r="GP878" s="208"/>
      <c r="GQ878" s="208"/>
      <c r="GR878" s="208"/>
      <c r="GS878" s="208"/>
      <c r="GT878" s="208"/>
      <c r="GU878" s="213">
        <v>873</v>
      </c>
    </row>
    <row r="879" spans="1:203" s="7" customFormat="1">
      <c r="A879" s="4"/>
      <c r="B879" s="4"/>
      <c r="C879" s="4"/>
      <c r="D879" s="4"/>
      <c r="E879" s="4"/>
      <c r="F879" s="28"/>
      <c r="G879" s="28"/>
      <c r="H879" s="83"/>
      <c r="I879" s="4"/>
      <c r="J879" s="4"/>
      <c r="K879" s="4"/>
      <c r="L879" s="4"/>
      <c r="M879" s="4"/>
      <c r="N879" s="28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  <c r="AA879" s="4"/>
      <c r="AB879" s="4"/>
      <c r="AC879" s="4"/>
      <c r="AD879" s="4"/>
      <c r="AE879" s="4"/>
      <c r="AF879" s="81"/>
      <c r="AG879" s="81"/>
      <c r="AH879" s="81"/>
      <c r="AI879" s="4"/>
      <c r="AJ879" s="81"/>
      <c r="AK879" s="81"/>
      <c r="AL879" s="81"/>
      <c r="AM879" s="43">
        <v>863</v>
      </c>
      <c r="AN879">
        <v>296.80653454891853</v>
      </c>
      <c r="AO879">
        <v>19.689457958259659</v>
      </c>
      <c r="AP879">
        <v>73.542979000614011</v>
      </c>
      <c r="AQ879">
        <v>138.78174884804272</v>
      </c>
      <c r="AR879">
        <v>20.240866509122679</v>
      </c>
      <c r="AS879">
        <v>216.22931352134958</v>
      </c>
      <c r="AT879">
        <v>10.717656244306134</v>
      </c>
      <c r="AU879">
        <v>40.763425123170613</v>
      </c>
      <c r="AV879"/>
      <c r="AW879"/>
      <c r="FY879" s="213">
        <v>874</v>
      </c>
      <c r="FZ879">
        <v>43.440012744686683</v>
      </c>
      <c r="GA879">
        <v>52.037749680069972</v>
      </c>
      <c r="GB879">
        <v>16.208791046445622</v>
      </c>
      <c r="GC879">
        <v>7.7163240526101626</v>
      </c>
      <c r="GD879">
        <v>6.0657037218930601</v>
      </c>
      <c r="GE879">
        <v>5.7457474853628074</v>
      </c>
      <c r="GF879">
        <v>25.922759991440774</v>
      </c>
      <c r="GG879">
        <v>19.599996491123886</v>
      </c>
      <c r="GH879">
        <v>11.444407765915287</v>
      </c>
      <c r="GI879">
        <v>21.11374955631306</v>
      </c>
      <c r="GJ879"/>
      <c r="GK879"/>
      <c r="GL879"/>
      <c r="GM879"/>
      <c r="GN879" s="208"/>
      <c r="GO879" s="208"/>
      <c r="GP879" s="208"/>
      <c r="GQ879" s="208"/>
      <c r="GR879" s="208"/>
      <c r="GS879" s="208"/>
      <c r="GT879" s="208"/>
      <c r="GU879" s="213">
        <v>874</v>
      </c>
    </row>
    <row r="880" spans="1:203" s="7" customFormat="1">
      <c r="A880" s="4"/>
      <c r="B880" s="4"/>
      <c r="C880" s="4"/>
      <c r="D880" s="4"/>
      <c r="E880" s="4"/>
      <c r="F880" s="28"/>
      <c r="G880" s="28"/>
      <c r="H880" s="83"/>
      <c r="I880" s="4"/>
      <c r="J880" s="4"/>
      <c r="K880" s="4"/>
      <c r="L880" s="4"/>
      <c r="M880" s="4"/>
      <c r="N880" s="28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  <c r="AA880" s="4"/>
      <c r="AB880" s="4"/>
      <c r="AC880" s="4"/>
      <c r="AD880" s="4"/>
      <c r="AE880" s="4"/>
      <c r="AF880" s="81"/>
      <c r="AG880" s="81"/>
      <c r="AH880" s="81"/>
      <c r="AI880" s="4"/>
      <c r="AJ880" s="81"/>
      <c r="AK880" s="81"/>
      <c r="AL880" s="81"/>
      <c r="AM880" s="43">
        <v>864</v>
      </c>
      <c r="AN880">
        <v>302.14427618777694</v>
      </c>
      <c r="AO880">
        <v>26.432189815467478</v>
      </c>
      <c r="AP880">
        <v>69.799406523247427</v>
      </c>
      <c r="AQ880">
        <v>189.58820217797694</v>
      </c>
      <c r="AR880">
        <v>28.496926564878866</v>
      </c>
      <c r="AS880">
        <v>259.76492367437834</v>
      </c>
      <c r="AT880">
        <v>12.678299357181212</v>
      </c>
      <c r="AU880">
        <v>23.321659210053767</v>
      </c>
      <c r="AV880"/>
      <c r="AW880"/>
      <c r="FY880" s="213">
        <v>875</v>
      </c>
      <c r="FZ880">
        <v>49.856530520374427</v>
      </c>
      <c r="GA880">
        <v>49.881391452209598</v>
      </c>
      <c r="GB880">
        <v>5.4883630215926287</v>
      </c>
      <c r="GC880">
        <v>6.7302570641950021</v>
      </c>
      <c r="GD880">
        <v>4.9027975335906211</v>
      </c>
      <c r="GE880">
        <v>5.9348461087589657</v>
      </c>
      <c r="GF880">
        <v>32.080063943152723</v>
      </c>
      <c r="GG880">
        <v>27.260534885202532</v>
      </c>
      <c r="GH880">
        <v>15.410503068134899</v>
      </c>
      <c r="GI880">
        <v>19.809650704117924</v>
      </c>
      <c r="GJ880"/>
      <c r="GK880"/>
      <c r="GL880"/>
      <c r="GM880"/>
      <c r="GN880" s="208"/>
      <c r="GO880" s="208"/>
      <c r="GP880" s="208"/>
      <c r="GQ880" s="208"/>
      <c r="GR880" s="208"/>
      <c r="GS880" s="208"/>
      <c r="GT880" s="208"/>
      <c r="GU880" s="213">
        <v>875</v>
      </c>
    </row>
    <row r="881" spans="1:203" s="7" customFormat="1">
      <c r="A881" s="4"/>
      <c r="B881" s="4"/>
      <c r="C881" s="4"/>
      <c r="D881" s="4"/>
      <c r="E881" s="4"/>
      <c r="F881" s="28"/>
      <c r="G881" s="28"/>
      <c r="H881" s="83"/>
      <c r="I881" s="4"/>
      <c r="J881" s="4"/>
      <c r="K881" s="4"/>
      <c r="L881" s="4"/>
      <c r="M881" s="4"/>
      <c r="N881" s="28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  <c r="AA881" s="4"/>
      <c r="AB881" s="4"/>
      <c r="AC881" s="4"/>
      <c r="AD881" s="4"/>
      <c r="AE881" s="4"/>
      <c r="AF881" s="81"/>
      <c r="AG881" s="81"/>
      <c r="AH881" s="81"/>
      <c r="AI881" s="4"/>
      <c r="AJ881" s="81"/>
      <c r="AK881" s="81"/>
      <c r="AL881" s="81"/>
      <c r="AM881" s="43">
        <v>865</v>
      </c>
      <c r="AN881">
        <v>375.75927961647159</v>
      </c>
      <c r="AO881">
        <v>34.652822290068983</v>
      </c>
      <c r="AP881">
        <v>107.2788913278311</v>
      </c>
      <c r="AQ881">
        <v>254.44486487610675</v>
      </c>
      <c r="AR881">
        <v>35.757690030937482</v>
      </c>
      <c r="AS881">
        <v>318.86288168061179</v>
      </c>
      <c r="AT881">
        <v>17.280331995307417</v>
      </c>
      <c r="AU881">
        <v>25.52615308879032</v>
      </c>
      <c r="AV881"/>
      <c r="AW881"/>
      <c r="FY881" s="213">
        <v>876</v>
      </c>
      <c r="FZ881">
        <v>59.074404228245328</v>
      </c>
      <c r="GA881">
        <v>66.038183755940324</v>
      </c>
      <c r="GB881">
        <v>12.073953729573372</v>
      </c>
      <c r="GC881">
        <v>4.5441028061243696</v>
      </c>
      <c r="GD881">
        <v>3.1998405165213519</v>
      </c>
      <c r="GE881">
        <v>4.3060851695024809</v>
      </c>
      <c r="GF881">
        <v>23.375580390124913</v>
      </c>
      <c r="GG881">
        <v>19.641030552767624</v>
      </c>
      <c r="GH881">
        <v>9.0637086555313484</v>
      </c>
      <c r="GI881">
        <v>19.69206311339482</v>
      </c>
      <c r="GJ881"/>
      <c r="GK881"/>
      <c r="GL881"/>
      <c r="GM881"/>
      <c r="GN881" s="208"/>
      <c r="GO881" s="208"/>
      <c r="GP881" s="208"/>
      <c r="GQ881" s="208"/>
      <c r="GR881" s="208"/>
      <c r="GS881" s="208"/>
      <c r="GT881" s="208"/>
      <c r="GU881" s="213">
        <v>876</v>
      </c>
    </row>
    <row r="882" spans="1:203" s="7" customFormat="1">
      <c r="A882" s="4"/>
      <c r="B882" s="4"/>
      <c r="C882" s="4"/>
      <c r="D882" s="4"/>
      <c r="E882" s="4"/>
      <c r="F882" s="28"/>
      <c r="G882" s="28"/>
      <c r="H882" s="83"/>
      <c r="I882" s="4"/>
      <c r="J882" s="4"/>
      <c r="K882" s="4"/>
      <c r="L882" s="4"/>
      <c r="M882" s="4"/>
      <c r="N882" s="28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  <c r="AA882" s="4"/>
      <c r="AB882" s="4"/>
      <c r="AC882" s="4"/>
      <c r="AD882" s="4"/>
      <c r="AE882" s="4"/>
      <c r="AF882" s="81"/>
      <c r="AG882" s="81"/>
      <c r="AH882" s="81"/>
      <c r="AI882" s="4"/>
      <c r="AJ882" s="81"/>
      <c r="AK882" s="81"/>
      <c r="AL882" s="81"/>
      <c r="AM882" s="43">
        <v>866</v>
      </c>
      <c r="AN882">
        <v>322.95451763249048</v>
      </c>
      <c r="AO882">
        <v>29.895963761012702</v>
      </c>
      <c r="AP882">
        <v>136.80919455432144</v>
      </c>
      <c r="AQ882">
        <v>208.7388467701283</v>
      </c>
      <c r="AR882">
        <v>30.677311479666894</v>
      </c>
      <c r="AS882">
        <v>250.50757424766942</v>
      </c>
      <c r="AT882">
        <v>12.772563552934519</v>
      </c>
      <c r="AU882">
        <v>17.726405806203555</v>
      </c>
      <c r="AV882"/>
      <c r="AW882"/>
      <c r="FY882" s="213">
        <v>877</v>
      </c>
      <c r="FZ882">
        <v>58.815629266537997</v>
      </c>
      <c r="GA882">
        <v>81.052344802850413</v>
      </c>
      <c r="GB882">
        <v>20.541131234560684</v>
      </c>
      <c r="GC882">
        <v>5.6742040184804043</v>
      </c>
      <c r="GD882">
        <v>3.78347649027251</v>
      </c>
      <c r="GE882">
        <v>4.9485233687213386</v>
      </c>
      <c r="GF882">
        <v>16.430269515180417</v>
      </c>
      <c r="GG882">
        <v>12.754046906619454</v>
      </c>
      <c r="GH882">
        <v>16.453465980765912</v>
      </c>
      <c r="GI882">
        <v>22.386622237930307</v>
      </c>
      <c r="GJ882"/>
      <c r="GK882"/>
      <c r="GL882"/>
      <c r="GM882"/>
      <c r="GN882" s="208"/>
      <c r="GO882" s="208"/>
      <c r="GP882" s="208"/>
      <c r="GQ882" s="208"/>
      <c r="GR882" s="208"/>
      <c r="GS882" s="208"/>
      <c r="GT882" s="208"/>
      <c r="GU882" s="213">
        <v>877</v>
      </c>
    </row>
    <row r="883" spans="1:203" s="7" customFormat="1">
      <c r="A883" s="4"/>
      <c r="B883" s="4"/>
      <c r="C883" s="4"/>
      <c r="D883" s="4"/>
      <c r="E883" s="4"/>
      <c r="F883" s="28"/>
      <c r="G883" s="28"/>
      <c r="H883" s="83"/>
      <c r="I883" s="4"/>
      <c r="J883" s="4"/>
      <c r="K883" s="4"/>
      <c r="L883" s="4"/>
      <c r="M883" s="4"/>
      <c r="N883" s="28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  <c r="AA883" s="4"/>
      <c r="AB883" s="4"/>
      <c r="AC883" s="4"/>
      <c r="AD883" s="4"/>
      <c r="AE883" s="4"/>
      <c r="AF883" s="81"/>
      <c r="AG883" s="81"/>
      <c r="AH883" s="81"/>
      <c r="AI883" s="4"/>
      <c r="AJ883" s="81"/>
      <c r="AK883" s="81"/>
      <c r="AL883" s="81"/>
      <c r="AM883" s="43">
        <v>867</v>
      </c>
      <c r="AN883">
        <v>226.57461763204742</v>
      </c>
      <c r="AO883">
        <v>28.606574384855058</v>
      </c>
      <c r="AP883">
        <v>69.600495475450813</v>
      </c>
      <c r="AQ883">
        <v>206.16027483826986</v>
      </c>
      <c r="AR883">
        <v>28.937993784769034</v>
      </c>
      <c r="AS883">
        <v>226.98090181141191</v>
      </c>
      <c r="AT883">
        <v>11.045029830841889</v>
      </c>
      <c r="AU883">
        <v>-19.556142186519104</v>
      </c>
      <c r="AV883"/>
      <c r="AW883"/>
      <c r="FY883" s="213">
        <v>878</v>
      </c>
      <c r="FZ883">
        <v>39.491094292913061</v>
      </c>
      <c r="GA883">
        <v>55.502145119922218</v>
      </c>
      <c r="GB883">
        <v>12.508766277547776</v>
      </c>
      <c r="GC883">
        <v>5.6551331317197926</v>
      </c>
      <c r="GD883">
        <v>4.8085156740040782</v>
      </c>
      <c r="GE883">
        <v>4.2116245359926587</v>
      </c>
      <c r="GF883">
        <v>11.966265007750744</v>
      </c>
      <c r="GG883">
        <v>11.732664925897955</v>
      </c>
      <c r="GH883">
        <v>6.8889808474015393</v>
      </c>
      <c r="GI883">
        <v>15.436755228251851</v>
      </c>
      <c r="GJ883"/>
      <c r="GK883"/>
      <c r="GL883"/>
      <c r="GM883"/>
      <c r="GN883" s="208"/>
      <c r="GO883" s="208"/>
      <c r="GP883" s="208"/>
      <c r="GQ883" s="208"/>
      <c r="GR883" s="208"/>
      <c r="GS883" s="208"/>
      <c r="GT883" s="208"/>
      <c r="GU883" s="213">
        <v>878</v>
      </c>
    </row>
    <row r="884" spans="1:203" s="7" customFormat="1">
      <c r="A884" s="4"/>
      <c r="B884" s="4"/>
      <c r="C884" s="4"/>
      <c r="D884" s="4"/>
      <c r="E884" s="4"/>
      <c r="F884" s="28"/>
      <c r="G884" s="28"/>
      <c r="H884" s="83"/>
      <c r="I884" s="4"/>
      <c r="J884" s="4"/>
      <c r="K884" s="4"/>
      <c r="L884" s="4"/>
      <c r="M884" s="4"/>
      <c r="N884" s="28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  <c r="AA884" s="4"/>
      <c r="AB884" s="4"/>
      <c r="AC884" s="4"/>
      <c r="AD884" s="4"/>
      <c r="AE884" s="4"/>
      <c r="AF884" s="81"/>
      <c r="AG884" s="81"/>
      <c r="AH884" s="81"/>
      <c r="AI884" s="4"/>
      <c r="AJ884" s="81"/>
      <c r="AK884" s="81"/>
      <c r="AL884" s="81"/>
      <c r="AM884" s="43">
        <v>868</v>
      </c>
      <c r="AN884">
        <v>346.93798092713729</v>
      </c>
      <c r="AO884">
        <v>24.441045564490619</v>
      </c>
      <c r="AP884">
        <v>94.146761477567708</v>
      </c>
      <c r="AQ884">
        <v>167.04297012840496</v>
      </c>
      <c r="AR884">
        <v>25.910510151674032</v>
      </c>
      <c r="AS884">
        <v>265.41324236008438</v>
      </c>
      <c r="AT884">
        <v>11.234245526318658</v>
      </c>
      <c r="AU884">
        <v>11.344624512761492</v>
      </c>
      <c r="AV884"/>
      <c r="AW884"/>
      <c r="FY884" s="213">
        <v>879</v>
      </c>
      <c r="FZ884">
        <v>65.068122116505748</v>
      </c>
      <c r="GA884">
        <v>64.96199794293193</v>
      </c>
      <c r="GB884">
        <v>7.4660089681125275</v>
      </c>
      <c r="GC884">
        <v>5.5756046481600237</v>
      </c>
      <c r="GD884">
        <v>5.259966074104482</v>
      </c>
      <c r="GE884">
        <v>5.611671337894939</v>
      </c>
      <c r="GF884">
        <v>14.401484288719082</v>
      </c>
      <c r="GG884">
        <v>13.863706147255845</v>
      </c>
      <c r="GH884">
        <v>19.359207274121143</v>
      </c>
      <c r="GI884">
        <v>20.350467055166426</v>
      </c>
      <c r="GJ884"/>
      <c r="GK884"/>
      <c r="GL884"/>
      <c r="GM884"/>
      <c r="GN884" s="208"/>
      <c r="GO884" s="208"/>
      <c r="GP884" s="208"/>
      <c r="GQ884" s="208"/>
      <c r="GR884" s="208"/>
      <c r="GS884" s="208"/>
      <c r="GT884" s="208"/>
      <c r="GU884" s="213">
        <v>879</v>
      </c>
    </row>
    <row r="885" spans="1:203" s="7" customFormat="1">
      <c r="A885" s="4"/>
      <c r="B885" s="4"/>
      <c r="C885" s="4"/>
      <c r="D885" s="4"/>
      <c r="E885" s="4"/>
      <c r="F885" s="28"/>
      <c r="G885" s="28"/>
      <c r="H885" s="83"/>
      <c r="I885" s="4"/>
      <c r="J885" s="4"/>
      <c r="K885" s="4"/>
      <c r="L885" s="4"/>
      <c r="M885" s="4"/>
      <c r="N885" s="28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  <c r="AA885" s="4"/>
      <c r="AB885" s="4"/>
      <c r="AC885" s="4"/>
      <c r="AD885" s="4"/>
      <c r="AE885" s="4"/>
      <c r="AF885" s="81"/>
      <c r="AG885" s="81"/>
      <c r="AH885" s="81"/>
      <c r="AI885" s="4"/>
      <c r="AJ885" s="81"/>
      <c r="AK885" s="81"/>
      <c r="AL885" s="81"/>
      <c r="AM885" s="43">
        <v>869</v>
      </c>
      <c r="AN885">
        <v>317.3861627617012</v>
      </c>
      <c r="AO885">
        <v>28.714350464184907</v>
      </c>
      <c r="AP885">
        <v>65.421810415241694</v>
      </c>
      <c r="AQ885">
        <v>231.77609970370349</v>
      </c>
      <c r="AR885">
        <v>29.245535920106679</v>
      </c>
      <c r="AS885">
        <v>283.77501279109589</v>
      </c>
      <c r="AT885">
        <v>16.087699313141673</v>
      </c>
      <c r="AU885">
        <v>12.916142768678963</v>
      </c>
      <c r="AV885"/>
      <c r="AW885"/>
      <c r="FY885" s="213">
        <v>880</v>
      </c>
      <c r="FZ885">
        <v>78.05369822679171</v>
      </c>
      <c r="GA885">
        <v>99.868935947285209</v>
      </c>
      <c r="GB885">
        <v>16.031426944665458</v>
      </c>
      <c r="GC885">
        <v>5.2234057480909559</v>
      </c>
      <c r="GD885">
        <v>4.0637687724723488</v>
      </c>
      <c r="GE885">
        <v>3.0701896947895517</v>
      </c>
      <c r="GF885">
        <v>4.987468446625769</v>
      </c>
      <c r="GG885">
        <v>6.576181991334332</v>
      </c>
      <c r="GH885">
        <v>11.766409915348332</v>
      </c>
      <c r="GI885">
        <v>21.254841333505649</v>
      </c>
      <c r="GJ885"/>
      <c r="GK885"/>
      <c r="GL885"/>
      <c r="GM885"/>
      <c r="GN885" s="208"/>
      <c r="GO885" s="208"/>
      <c r="GP885" s="208"/>
      <c r="GQ885" s="208"/>
      <c r="GR885" s="208"/>
      <c r="GS885" s="208"/>
      <c r="GT885" s="208"/>
      <c r="GU885" s="213">
        <v>880</v>
      </c>
    </row>
    <row r="886" spans="1:203" s="7" customFormat="1">
      <c r="A886" s="4"/>
      <c r="B886" s="4"/>
      <c r="C886" s="4"/>
      <c r="D886" s="4"/>
      <c r="E886" s="4"/>
      <c r="F886" s="28"/>
      <c r="G886" s="28"/>
      <c r="H886" s="83"/>
      <c r="I886" s="4"/>
      <c r="J886" s="4"/>
      <c r="K886" s="4"/>
      <c r="L886" s="4"/>
      <c r="M886" s="4"/>
      <c r="N886" s="28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  <c r="AA886" s="4"/>
      <c r="AB886" s="4"/>
      <c r="AC886" s="4"/>
      <c r="AD886" s="4"/>
      <c r="AE886" s="4"/>
      <c r="AF886" s="81"/>
      <c r="AG886" s="81"/>
      <c r="AH886" s="81"/>
      <c r="AI886" s="4"/>
      <c r="AJ886" s="81"/>
      <c r="AK886" s="81"/>
      <c r="AL886" s="81"/>
      <c r="AM886" s="43">
        <v>870</v>
      </c>
      <c r="AN886">
        <v>350.24032816953695</v>
      </c>
      <c r="AO886">
        <v>27.875375553880286</v>
      </c>
      <c r="AP886">
        <v>107.7901133273067</v>
      </c>
      <c r="AQ886">
        <v>203.12581744355515</v>
      </c>
      <c r="AR886">
        <v>28.421784382291985</v>
      </c>
      <c r="AS886">
        <v>268.01199209422867</v>
      </c>
      <c r="AT886">
        <v>13.534093191955469</v>
      </c>
      <c r="AU886">
        <v>33.679863443527566</v>
      </c>
      <c r="AV886"/>
      <c r="AW886"/>
      <c r="FY886" s="213">
        <v>881</v>
      </c>
      <c r="FZ886">
        <v>60.789722770531171</v>
      </c>
      <c r="GA886">
        <v>68.430384057986956</v>
      </c>
      <c r="GB886">
        <v>11.118831914394628</v>
      </c>
      <c r="GC886">
        <v>4.4533643491390063</v>
      </c>
      <c r="GD886">
        <v>3.8475898396334616</v>
      </c>
      <c r="GE886">
        <v>7.4554243808626737</v>
      </c>
      <c r="GF886">
        <v>17.67145313198435</v>
      </c>
      <c r="GG886">
        <v>12.544017714886966</v>
      </c>
      <c r="GH886">
        <v>16.462889021929527</v>
      </c>
      <c r="GI886">
        <v>20.220488497323558</v>
      </c>
      <c r="GJ886"/>
      <c r="GK886"/>
      <c r="GL886"/>
      <c r="GM886"/>
      <c r="GN886" s="208"/>
      <c r="GO886" s="208"/>
      <c r="GP886" s="208"/>
      <c r="GQ886" s="208"/>
      <c r="GR886" s="208"/>
      <c r="GS886" s="208"/>
      <c r="GT886" s="208"/>
      <c r="GU886" s="213">
        <v>881</v>
      </c>
    </row>
    <row r="887" spans="1:203" s="7" customFormat="1">
      <c r="A887" s="4"/>
      <c r="B887" s="4"/>
      <c r="C887" s="4"/>
      <c r="D887" s="4"/>
      <c r="E887" s="4"/>
      <c r="F887" s="28"/>
      <c r="G887" s="28"/>
      <c r="H887" s="83"/>
      <c r="I887" s="4"/>
      <c r="J887" s="4"/>
      <c r="K887" s="4"/>
      <c r="L887" s="4"/>
      <c r="M887" s="4"/>
      <c r="N887" s="28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  <c r="AA887" s="4"/>
      <c r="AB887" s="4"/>
      <c r="AC887" s="4"/>
      <c r="AD887" s="4"/>
      <c r="AE887" s="4"/>
      <c r="AF887" s="81"/>
      <c r="AG887" s="81"/>
      <c r="AH887" s="81"/>
      <c r="AI887" s="4"/>
      <c r="AJ887" s="81"/>
      <c r="AK887" s="81"/>
      <c r="AL887" s="81"/>
      <c r="AM887" s="43">
        <v>871</v>
      </c>
      <c r="AN887">
        <v>295.66280062314934</v>
      </c>
      <c r="AO887">
        <v>25.520096392042493</v>
      </c>
      <c r="AP887">
        <v>85.122454291495075</v>
      </c>
      <c r="AQ887">
        <v>190.78874200893728</v>
      </c>
      <c r="AR887">
        <v>25.998283202790965</v>
      </c>
      <c r="AS887">
        <v>237.09117361012343</v>
      </c>
      <c r="AT887">
        <v>12.67939761781034</v>
      </c>
      <c r="AU887">
        <v>10.056722795414061</v>
      </c>
      <c r="AV887"/>
      <c r="AW887"/>
      <c r="FY887" s="213">
        <v>882</v>
      </c>
      <c r="FZ887">
        <v>67.827497194000671</v>
      </c>
      <c r="GA887">
        <v>40.036814127645521</v>
      </c>
      <c r="GB887">
        <v>4.6229360972329978</v>
      </c>
      <c r="GC887">
        <v>6.7306918220832115</v>
      </c>
      <c r="GD887">
        <v>5.9004619454835048</v>
      </c>
      <c r="GE887">
        <v>5.8648063607429792</v>
      </c>
      <c r="GF887">
        <v>4.259452479682146</v>
      </c>
      <c r="GG887">
        <v>3.8715137896562624</v>
      </c>
      <c r="GH887">
        <v>12.843332684114403</v>
      </c>
      <c r="GI887">
        <v>17.300581619193469</v>
      </c>
      <c r="GJ887"/>
      <c r="GK887"/>
      <c r="GL887"/>
      <c r="GM887"/>
      <c r="GN887" s="208"/>
      <c r="GO887" s="208"/>
      <c r="GP887" s="208"/>
      <c r="GQ887" s="208"/>
      <c r="GR887" s="208"/>
      <c r="GS887" s="208"/>
      <c r="GT887" s="208"/>
      <c r="GU887" s="213">
        <v>882</v>
      </c>
    </row>
    <row r="888" spans="1:203" s="7" customFormat="1">
      <c r="A888" s="4"/>
      <c r="B888" s="4"/>
      <c r="C888" s="4"/>
      <c r="D888" s="4"/>
      <c r="E888" s="4"/>
      <c r="F888" s="28"/>
      <c r="G888" s="28"/>
      <c r="H888" s="83"/>
      <c r="I888" s="4"/>
      <c r="J888" s="4"/>
      <c r="K888" s="4"/>
      <c r="L888" s="4"/>
      <c r="M888" s="4"/>
      <c r="N888" s="28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  <c r="AA888" s="4"/>
      <c r="AB888" s="4"/>
      <c r="AC888" s="4"/>
      <c r="AD888" s="4"/>
      <c r="AE888" s="4"/>
      <c r="AF888" s="81"/>
      <c r="AG888" s="81"/>
      <c r="AH888" s="81"/>
      <c r="AI888" s="4"/>
      <c r="AJ888" s="81"/>
      <c r="AK888" s="81"/>
      <c r="AL888" s="81"/>
      <c r="AM888" s="43">
        <v>872</v>
      </c>
      <c r="AN888">
        <v>316.42332480795932</v>
      </c>
      <c r="AO888">
        <v>34.504825029140626</v>
      </c>
      <c r="AP888">
        <v>127.3811601702659</v>
      </c>
      <c r="AQ888">
        <v>257.3457196486944</v>
      </c>
      <c r="AR888">
        <v>33.332450103714237</v>
      </c>
      <c r="AS888">
        <v>282.91126312879192</v>
      </c>
      <c r="AT888">
        <v>14.681651393017269</v>
      </c>
      <c r="AU888">
        <v>-0.57747841463354987</v>
      </c>
      <c r="AV888"/>
      <c r="AW888"/>
      <c r="FY888" s="213">
        <v>883</v>
      </c>
      <c r="FZ888">
        <v>65.721843987070017</v>
      </c>
      <c r="GA888">
        <v>55.652818625033497</v>
      </c>
      <c r="GB888">
        <v>8.232559286584749</v>
      </c>
      <c r="GC888">
        <v>3.5654453001390345</v>
      </c>
      <c r="GD888">
        <v>2.4565181809651566</v>
      </c>
      <c r="GE888">
        <v>1.530476380345033</v>
      </c>
      <c r="GF888">
        <v>18.416889642795962</v>
      </c>
      <c r="GG888">
        <v>18.896597353689028</v>
      </c>
      <c r="GH888">
        <v>15.312697395599171</v>
      </c>
      <c r="GI888">
        <v>19.124390377094866</v>
      </c>
      <c r="GJ888"/>
      <c r="GK888"/>
      <c r="GL888"/>
      <c r="GM888"/>
      <c r="GN888" s="208"/>
      <c r="GO888" s="208"/>
      <c r="GP888" s="208"/>
      <c r="GQ888" s="208"/>
      <c r="GR888" s="208"/>
      <c r="GS888" s="208"/>
      <c r="GT888" s="208"/>
      <c r="GU888" s="213">
        <v>883</v>
      </c>
    </row>
    <row r="889" spans="1:203" s="7" customFormat="1">
      <c r="A889" s="4"/>
      <c r="B889" s="4"/>
      <c r="C889" s="4"/>
      <c r="D889" s="4"/>
      <c r="E889" s="4"/>
      <c r="F889" s="28"/>
      <c r="G889" s="28"/>
      <c r="H889" s="83"/>
      <c r="I889" s="4"/>
      <c r="J889" s="4"/>
      <c r="K889" s="4"/>
      <c r="L889" s="4"/>
      <c r="M889" s="4"/>
      <c r="N889" s="28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  <c r="AA889" s="4"/>
      <c r="AB889" s="4"/>
      <c r="AC889" s="4"/>
      <c r="AD889" s="4"/>
      <c r="AE889" s="4"/>
      <c r="AF889" s="81"/>
      <c r="AG889" s="81"/>
      <c r="AH889" s="81"/>
      <c r="AI889" s="4"/>
      <c r="AJ889" s="81"/>
      <c r="AK889" s="81"/>
      <c r="AL889" s="81"/>
      <c r="AM889" s="43">
        <v>873</v>
      </c>
      <c r="AN889">
        <v>322.61978567143922</v>
      </c>
      <c r="AO889">
        <v>28.222950897142063</v>
      </c>
      <c r="AP889">
        <v>72.605817043265404</v>
      </c>
      <c r="AQ889">
        <v>209.33711450023665</v>
      </c>
      <c r="AR889">
        <v>28.82001710072144</v>
      </c>
      <c r="AS889">
        <v>262.06708792650102</v>
      </c>
      <c r="AT889">
        <v>13.363758635547127</v>
      </c>
      <c r="AU889">
        <v>16.214477241660365</v>
      </c>
      <c r="AV889"/>
      <c r="AW889"/>
      <c r="FY889" s="213">
        <v>884</v>
      </c>
      <c r="FZ889">
        <v>90.621186010699248</v>
      </c>
      <c r="GA889">
        <v>88.720713740044502</v>
      </c>
      <c r="GB889">
        <v>12.07262025844731</v>
      </c>
      <c r="GC889">
        <v>5.8272753101589903</v>
      </c>
      <c r="GD889">
        <v>5.5878451065175438</v>
      </c>
      <c r="GE889">
        <v>4.3718775758058488</v>
      </c>
      <c r="GF889">
        <v>15.137144647155882</v>
      </c>
      <c r="GG889">
        <v>14.872807231050237</v>
      </c>
      <c r="GH889">
        <v>6.8542543479954681</v>
      </c>
      <c r="GI889">
        <v>23.771640603247018</v>
      </c>
      <c r="GJ889"/>
      <c r="GK889"/>
      <c r="GL889"/>
      <c r="GM889"/>
      <c r="GN889" s="208"/>
      <c r="GO889" s="208"/>
      <c r="GP889" s="208"/>
      <c r="GQ889" s="208"/>
      <c r="GR889" s="208"/>
      <c r="GS889" s="208"/>
      <c r="GT889" s="208"/>
      <c r="GU889" s="213">
        <v>884</v>
      </c>
    </row>
    <row r="890" spans="1:203" s="7" customFormat="1">
      <c r="A890" s="4"/>
      <c r="B890" s="4"/>
      <c r="C890" s="4"/>
      <c r="D890" s="4"/>
      <c r="E890" s="4"/>
      <c r="F890" s="28"/>
      <c r="G890" s="28"/>
      <c r="H890" s="83"/>
      <c r="I890" s="4"/>
      <c r="J890" s="4"/>
      <c r="K890" s="4"/>
      <c r="L890" s="4"/>
      <c r="M890" s="4"/>
      <c r="N890" s="28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  <c r="AA890" s="4"/>
      <c r="AB890" s="4"/>
      <c r="AC890" s="4"/>
      <c r="AD890" s="4"/>
      <c r="AE890" s="4"/>
      <c r="AF890" s="81"/>
      <c r="AG890" s="81"/>
      <c r="AH890" s="81"/>
      <c r="AI890" s="4"/>
      <c r="AJ890" s="81"/>
      <c r="AK890" s="81"/>
      <c r="AL890" s="81"/>
      <c r="AM890" s="43">
        <v>874</v>
      </c>
      <c r="AN890">
        <v>364.60911531605143</v>
      </c>
      <c r="AO890">
        <v>30.560003015027387</v>
      </c>
      <c r="AP890">
        <v>96.428237347896626</v>
      </c>
      <c r="AQ890">
        <v>209.29524253586132</v>
      </c>
      <c r="AR890">
        <v>31.606502246570702</v>
      </c>
      <c r="AS890">
        <v>277.69772145675847</v>
      </c>
      <c r="AT890">
        <v>13.412940712881637</v>
      </c>
      <c r="AU890">
        <v>35.945830577325978</v>
      </c>
      <c r="AV890"/>
      <c r="AW890"/>
      <c r="FY890" s="213">
        <v>885</v>
      </c>
      <c r="FZ890">
        <v>63.12944049838368</v>
      </c>
      <c r="GA890">
        <v>52.725753607269603</v>
      </c>
      <c r="GB890">
        <v>9.2595613646446289</v>
      </c>
      <c r="GC890">
        <v>6.8693808466240958</v>
      </c>
      <c r="GD890">
        <v>6.7023982557259769</v>
      </c>
      <c r="GE890">
        <v>8.0116997957289016</v>
      </c>
      <c r="GF890">
        <v>20.60815145305477</v>
      </c>
      <c r="GG890">
        <v>19.265419685980344</v>
      </c>
      <c r="GH890">
        <v>14.708680208541885</v>
      </c>
      <c r="GI890">
        <v>21.647745992647714</v>
      </c>
      <c r="GJ890"/>
      <c r="GK890"/>
      <c r="GL890"/>
      <c r="GM890"/>
      <c r="GN890" s="208"/>
      <c r="GO890" s="208"/>
      <c r="GP890" s="208"/>
      <c r="GQ890" s="208"/>
      <c r="GR890" s="208"/>
      <c r="GS890" s="208"/>
      <c r="GT890" s="208"/>
      <c r="GU890" s="213">
        <v>885</v>
      </c>
    </row>
    <row r="891" spans="1:203" s="7" customFormat="1">
      <c r="A891" s="4"/>
      <c r="B891" s="4"/>
      <c r="C891" s="4"/>
      <c r="D891" s="4"/>
      <c r="E891" s="4"/>
      <c r="F891" s="28"/>
      <c r="G891" s="28"/>
      <c r="H891" s="83"/>
      <c r="I891" s="4"/>
      <c r="J891" s="4"/>
      <c r="K891" s="4"/>
      <c r="L891" s="4"/>
      <c r="M891" s="4"/>
      <c r="N891" s="28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  <c r="AA891" s="4"/>
      <c r="AB891" s="4"/>
      <c r="AC891" s="4"/>
      <c r="AD891" s="4"/>
      <c r="AE891" s="4"/>
      <c r="AF891" s="81"/>
      <c r="AG891" s="81"/>
      <c r="AH891" s="81"/>
      <c r="AI891" s="4"/>
      <c r="AJ891" s="81"/>
      <c r="AK891" s="81"/>
      <c r="AL891" s="81"/>
      <c r="AM891" s="43">
        <v>875</v>
      </c>
      <c r="AN891">
        <v>395.3213989225556</v>
      </c>
      <c r="AO891">
        <v>28.110618988635999</v>
      </c>
      <c r="AP891">
        <v>152.8508314100342</v>
      </c>
      <c r="AQ891">
        <v>217.3549383013293</v>
      </c>
      <c r="AR891">
        <v>27.658108378962478</v>
      </c>
      <c r="AS891">
        <v>298.25459599490733</v>
      </c>
      <c r="AT891">
        <v>14.937059581336456</v>
      </c>
      <c r="AU891">
        <v>43.569404708267598</v>
      </c>
      <c r="AV891"/>
      <c r="AW891"/>
      <c r="FY891" s="213">
        <v>886</v>
      </c>
      <c r="FZ891">
        <v>79.906180473210441</v>
      </c>
      <c r="GA891">
        <v>94.737301165367384</v>
      </c>
      <c r="GB891">
        <v>16.533254926157063</v>
      </c>
      <c r="GC891">
        <v>6.7653201562330416</v>
      </c>
      <c r="GD891">
        <v>5.8232761274216127</v>
      </c>
      <c r="GE891">
        <v>5.4483941551686419</v>
      </c>
      <c r="GF891">
        <v>20.294635142944639</v>
      </c>
      <c r="GG891">
        <v>20.099203142404921</v>
      </c>
      <c r="GH891">
        <v>10.986001647362038</v>
      </c>
      <c r="GI891">
        <v>25.272110522834865</v>
      </c>
      <c r="GJ891"/>
      <c r="GK891"/>
      <c r="GL891"/>
      <c r="GM891"/>
      <c r="GN891" s="208"/>
      <c r="GO891" s="208"/>
      <c r="GP891" s="208"/>
      <c r="GQ891" s="208"/>
      <c r="GR891" s="208"/>
      <c r="GS891" s="208"/>
      <c r="GT891" s="208"/>
      <c r="GU891" s="213">
        <v>886</v>
      </c>
    </row>
    <row r="892" spans="1:203" s="7" customFormat="1">
      <c r="A892" s="4"/>
      <c r="B892" s="4"/>
      <c r="C892" s="4"/>
      <c r="D892" s="4"/>
      <c r="E892" s="4"/>
      <c r="F892" s="28"/>
      <c r="G892" s="28"/>
      <c r="H892" s="83"/>
      <c r="I892" s="4"/>
      <c r="J892" s="4"/>
      <c r="K892" s="4"/>
      <c r="L892" s="4"/>
      <c r="M892" s="4"/>
      <c r="N892" s="28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  <c r="AA892" s="4"/>
      <c r="AB892" s="4"/>
      <c r="AC892" s="4"/>
      <c r="AD892" s="4"/>
      <c r="AE892" s="4"/>
      <c r="AF892" s="81"/>
      <c r="AG892" s="81"/>
      <c r="AH892" s="81"/>
      <c r="AI892" s="4"/>
      <c r="AJ892" s="81"/>
      <c r="AK892" s="81"/>
      <c r="AL892" s="81"/>
      <c r="AM892" s="43">
        <v>876</v>
      </c>
      <c r="AN892">
        <v>306.92651549198553</v>
      </c>
      <c r="AO892">
        <v>28.627191090923578</v>
      </c>
      <c r="AP892">
        <v>108.01944714219688</v>
      </c>
      <c r="AQ892">
        <v>221.00895291772596</v>
      </c>
      <c r="AR892">
        <v>28.708583171210257</v>
      </c>
      <c r="AS892">
        <v>267.06345146703774</v>
      </c>
      <c r="AT892">
        <v>14.3468237281882</v>
      </c>
      <c r="AU892">
        <v>49.866117972734408</v>
      </c>
      <c r="AV892"/>
      <c r="AW892"/>
      <c r="FY892" s="213">
        <v>887</v>
      </c>
      <c r="FZ892">
        <v>35.337250612429997</v>
      </c>
      <c r="GA892">
        <v>32.198137889294323</v>
      </c>
      <c r="GB892">
        <v>8.8671182228278482</v>
      </c>
      <c r="GC892">
        <v>4.611569674838278</v>
      </c>
      <c r="GD892">
        <v>4.6248253152736085</v>
      </c>
      <c r="GE892">
        <v>5.6038546766308448</v>
      </c>
      <c r="GF892">
        <v>17.368620495293424</v>
      </c>
      <c r="GG892">
        <v>17.667636822012295</v>
      </c>
      <c r="GH892">
        <v>14.323128775604317</v>
      </c>
      <c r="GI892">
        <v>15.706800647043918</v>
      </c>
      <c r="GJ892"/>
      <c r="GK892"/>
      <c r="GL892"/>
      <c r="GM892"/>
      <c r="GN892" s="208"/>
      <c r="GO892" s="208"/>
      <c r="GP892" s="208"/>
      <c r="GQ892" s="208"/>
      <c r="GR892" s="208"/>
      <c r="GS892" s="208"/>
      <c r="GT892" s="208"/>
      <c r="GU892" s="213">
        <v>887</v>
      </c>
    </row>
    <row r="893" spans="1:203" s="7" customFormat="1">
      <c r="A893" s="4"/>
      <c r="B893" s="4"/>
      <c r="C893" s="4"/>
      <c r="D893" s="4"/>
      <c r="E893" s="4"/>
      <c r="F893" s="28"/>
      <c r="G893" s="28"/>
      <c r="H893" s="83"/>
      <c r="I893" s="4"/>
      <c r="J893" s="4"/>
      <c r="K893" s="4"/>
      <c r="L893" s="4"/>
      <c r="M893" s="4"/>
      <c r="N893" s="28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  <c r="AA893" s="4"/>
      <c r="AB893" s="4"/>
      <c r="AC893" s="4"/>
      <c r="AD893" s="4"/>
      <c r="AE893" s="4"/>
      <c r="AF893" s="81"/>
      <c r="AG893" s="81"/>
      <c r="AH893" s="81"/>
      <c r="AI893" s="4"/>
      <c r="AJ893" s="81"/>
      <c r="AK893" s="81"/>
      <c r="AL893" s="81"/>
      <c r="AM893" s="43">
        <v>877</v>
      </c>
      <c r="AN893">
        <v>339.75834024096451</v>
      </c>
      <c r="AO893">
        <v>32.980956868259071</v>
      </c>
      <c r="AP893">
        <v>63.527345776451035</v>
      </c>
      <c r="AQ893">
        <v>242.83971382191945</v>
      </c>
      <c r="AR893">
        <v>33.949924961076384</v>
      </c>
      <c r="AS893">
        <v>276.35601706540268</v>
      </c>
      <c r="AT893">
        <v>13.780008611810734</v>
      </c>
      <c r="AU893">
        <v>-19.774236851974944</v>
      </c>
      <c r="AV893"/>
      <c r="AW893"/>
      <c r="FY893" s="213">
        <v>888</v>
      </c>
      <c r="FZ893">
        <v>23.387972967812658</v>
      </c>
      <c r="GA893">
        <v>44.140688305342273</v>
      </c>
      <c r="GB893">
        <v>14.740822028052262</v>
      </c>
      <c r="GC893">
        <v>5.9216179596390548</v>
      </c>
      <c r="GD893">
        <v>4.852434270082882</v>
      </c>
      <c r="GE893">
        <v>4.0076335869854596</v>
      </c>
      <c r="GF893">
        <v>13.534616254778195</v>
      </c>
      <c r="GG893">
        <v>14.931162424366708</v>
      </c>
      <c r="GH893">
        <v>10.680551193392485</v>
      </c>
      <c r="GI893">
        <v>14.7117922113978</v>
      </c>
      <c r="GJ893"/>
      <c r="GK893"/>
      <c r="GL893"/>
      <c r="GM893"/>
      <c r="GN893" s="208"/>
      <c r="GO893" s="208"/>
      <c r="GP893" s="208"/>
      <c r="GQ893" s="208"/>
      <c r="GR893" s="208"/>
      <c r="GS893" s="208"/>
      <c r="GT893" s="208"/>
      <c r="GU893" s="213">
        <v>888</v>
      </c>
    </row>
    <row r="894" spans="1:203" s="7" customFormat="1">
      <c r="A894" s="4"/>
      <c r="B894" s="4"/>
      <c r="C894" s="4"/>
      <c r="D894" s="4"/>
      <c r="E894" s="4"/>
      <c r="F894" s="28"/>
      <c r="G894" s="28"/>
      <c r="H894" s="83"/>
      <c r="I894" s="4"/>
      <c r="J894" s="4"/>
      <c r="K894" s="4"/>
      <c r="L894" s="4"/>
      <c r="M894" s="4"/>
      <c r="N894" s="28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  <c r="AA894" s="4"/>
      <c r="AB894" s="4"/>
      <c r="AC894" s="4"/>
      <c r="AD894" s="4"/>
      <c r="AE894" s="4"/>
      <c r="AF894" s="81"/>
      <c r="AG894" s="81"/>
      <c r="AH894" s="81"/>
      <c r="AI894" s="4"/>
      <c r="AJ894" s="81"/>
      <c r="AK894" s="81"/>
      <c r="AL894" s="81"/>
      <c r="AM894" s="43">
        <v>878</v>
      </c>
      <c r="AN894">
        <v>260.96461977459762</v>
      </c>
      <c r="AO894">
        <v>23.198926898872912</v>
      </c>
      <c r="AP894">
        <v>87.191878177297582</v>
      </c>
      <c r="AQ894">
        <v>168.20194504140167</v>
      </c>
      <c r="AR894">
        <v>22.529762413007393</v>
      </c>
      <c r="AS894">
        <v>208.3769798536629</v>
      </c>
      <c r="AT894">
        <v>10.961431914332456</v>
      </c>
      <c r="AU894">
        <v>22.032077637388618</v>
      </c>
      <c r="AV894"/>
      <c r="AW894"/>
      <c r="FY894" s="213">
        <v>889</v>
      </c>
      <c r="FZ894">
        <v>45.954192877231904</v>
      </c>
      <c r="GA894">
        <v>39.570505073487816</v>
      </c>
      <c r="GB894">
        <v>10.05336392098164</v>
      </c>
      <c r="GC894">
        <v>4.2882882538962495</v>
      </c>
      <c r="GD894">
        <v>2.8227300804926037</v>
      </c>
      <c r="GE894">
        <v>2.3909994518123607</v>
      </c>
      <c r="GF894">
        <v>17.394608183178562</v>
      </c>
      <c r="GG894">
        <v>18.421906463944016</v>
      </c>
      <c r="GH894">
        <v>13.251891004764582</v>
      </c>
      <c r="GI894">
        <v>16.36339414074213</v>
      </c>
      <c r="GJ894"/>
      <c r="GK894"/>
      <c r="GL894"/>
      <c r="GM894"/>
      <c r="GN894" s="208"/>
      <c r="GO894" s="208"/>
      <c r="GP894" s="208"/>
      <c r="GQ894" s="208"/>
      <c r="GR894" s="208"/>
      <c r="GS894" s="208"/>
      <c r="GT894" s="208"/>
      <c r="GU894" s="213">
        <v>889</v>
      </c>
    </row>
    <row r="895" spans="1:203" s="7" customFormat="1">
      <c r="A895" s="4"/>
      <c r="B895" s="4"/>
      <c r="C895" s="4"/>
      <c r="D895" s="4"/>
      <c r="E895" s="4"/>
      <c r="F895" s="28"/>
      <c r="G895" s="28"/>
      <c r="H895" s="83"/>
      <c r="I895" s="4"/>
      <c r="J895" s="4"/>
      <c r="K895" s="4"/>
      <c r="L895" s="4"/>
      <c r="M895" s="4"/>
      <c r="N895" s="28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  <c r="AA895" s="4"/>
      <c r="AB895" s="4"/>
      <c r="AC895" s="4"/>
      <c r="AD895" s="4"/>
      <c r="AE895" s="4"/>
      <c r="AF895" s="81"/>
      <c r="AG895" s="81"/>
      <c r="AH895" s="81"/>
      <c r="AI895" s="4"/>
      <c r="AJ895" s="81"/>
      <c r="AK895" s="81"/>
      <c r="AL895" s="81"/>
      <c r="AM895" s="43">
        <v>879</v>
      </c>
      <c r="AN895">
        <v>304.48121977725293</v>
      </c>
      <c r="AO895">
        <v>28.559383898456804</v>
      </c>
      <c r="AP895">
        <v>83.40577761369596</v>
      </c>
      <c r="AQ895">
        <v>221.91823585297212</v>
      </c>
      <c r="AR895">
        <v>29.625591248979639</v>
      </c>
      <c r="AS895">
        <v>260.30691287258981</v>
      </c>
      <c r="AT895">
        <v>14.921862119948599</v>
      </c>
      <c r="AU895">
        <v>14.63564547506631</v>
      </c>
      <c r="AV895"/>
      <c r="AW895"/>
      <c r="FY895" s="213">
        <v>890</v>
      </c>
      <c r="FZ895">
        <v>47.648421274960214</v>
      </c>
      <c r="GA895">
        <v>32.939121047992266</v>
      </c>
      <c r="GB895">
        <v>8.5438600457590184</v>
      </c>
      <c r="GC895">
        <v>4.3315720592929345</v>
      </c>
      <c r="GD895">
        <v>3.317036612959428</v>
      </c>
      <c r="GE895">
        <v>5.8525767255685768</v>
      </c>
      <c r="GF895">
        <v>35.638282054339406</v>
      </c>
      <c r="GG895">
        <v>29.500317604949306</v>
      </c>
      <c r="GH895">
        <v>9.8406828305841376</v>
      </c>
      <c r="GI895">
        <v>19.229145794426046</v>
      </c>
      <c r="GJ895"/>
      <c r="GK895"/>
      <c r="GL895"/>
      <c r="GM895"/>
      <c r="GN895" s="208"/>
      <c r="GO895" s="208"/>
      <c r="GP895" s="208"/>
      <c r="GQ895" s="208"/>
      <c r="GR895" s="208"/>
      <c r="GS895" s="208"/>
      <c r="GT895" s="208"/>
      <c r="GU895" s="213">
        <v>890</v>
      </c>
    </row>
    <row r="896" spans="1:203" s="7" customFormat="1">
      <c r="A896" s="4"/>
      <c r="B896" s="4"/>
      <c r="C896" s="4"/>
      <c r="D896" s="4"/>
      <c r="E896" s="4"/>
      <c r="F896" s="28"/>
      <c r="G896" s="28"/>
      <c r="H896" s="83"/>
      <c r="I896" s="4"/>
      <c r="J896" s="4"/>
      <c r="K896" s="4"/>
      <c r="L896" s="4"/>
      <c r="M896" s="4"/>
      <c r="N896" s="28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  <c r="AA896" s="4"/>
      <c r="AB896" s="4"/>
      <c r="AC896" s="4"/>
      <c r="AD896" s="4"/>
      <c r="AE896" s="4"/>
      <c r="AF896" s="81"/>
      <c r="AG896" s="81"/>
      <c r="AH896" s="81"/>
      <c r="AI896" s="4"/>
      <c r="AJ896" s="81"/>
      <c r="AK896" s="81"/>
      <c r="AL896" s="81"/>
      <c r="AM896" s="43">
        <v>880</v>
      </c>
      <c r="AN896">
        <v>235.43403772380566</v>
      </c>
      <c r="AO896">
        <v>31.953620623546538</v>
      </c>
      <c r="AP896">
        <v>114.23802140174601</v>
      </c>
      <c r="AQ896">
        <v>250.8963270209093</v>
      </c>
      <c r="AR896">
        <v>31.778639627148536</v>
      </c>
      <c r="AS896">
        <v>225.97761456254742</v>
      </c>
      <c r="AT896">
        <v>15.420640183632813</v>
      </c>
      <c r="AU896">
        <v>41.828701907301735</v>
      </c>
      <c r="AV896"/>
      <c r="AW896"/>
      <c r="FY896" s="213">
        <v>891</v>
      </c>
      <c r="FZ896">
        <v>95.720999984494298</v>
      </c>
      <c r="GA896">
        <v>103.75691697630228</v>
      </c>
      <c r="GB896">
        <v>19.125228196001334</v>
      </c>
      <c r="GC896">
        <v>5.7217576624553308</v>
      </c>
      <c r="GD896">
        <v>4.864736419391912</v>
      </c>
      <c r="GE896">
        <v>5.6014872734399583</v>
      </c>
      <c r="GF896">
        <v>16.753867356696116</v>
      </c>
      <c r="GG896">
        <v>16.92870869540161</v>
      </c>
      <c r="GH896">
        <v>12.684575875470305</v>
      </c>
      <c r="GI896">
        <v>27.401209814915649</v>
      </c>
      <c r="GJ896"/>
      <c r="GK896"/>
      <c r="GL896"/>
      <c r="GM896"/>
      <c r="GN896" s="208"/>
      <c r="GO896" s="208"/>
      <c r="GP896" s="208"/>
      <c r="GQ896" s="208"/>
      <c r="GR896" s="208"/>
      <c r="GS896" s="208"/>
      <c r="GT896" s="208"/>
      <c r="GU896" s="213">
        <v>891</v>
      </c>
    </row>
    <row r="897" spans="1:203" s="7" customFormat="1">
      <c r="A897" s="4"/>
      <c r="B897" s="4"/>
      <c r="C897" s="4"/>
      <c r="D897" s="4"/>
      <c r="E897" s="4"/>
      <c r="F897" s="28"/>
      <c r="G897" s="28"/>
      <c r="H897" s="83"/>
      <c r="I897" s="4"/>
      <c r="J897" s="4"/>
      <c r="K897" s="4"/>
      <c r="L897" s="4"/>
      <c r="M897" s="4"/>
      <c r="N897" s="28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  <c r="AA897" s="4"/>
      <c r="AB897" s="4"/>
      <c r="AC897" s="4"/>
      <c r="AD897" s="4"/>
      <c r="AE897" s="4"/>
      <c r="AF897" s="81"/>
      <c r="AG897" s="81"/>
      <c r="AH897" s="81"/>
      <c r="AI897" s="4"/>
      <c r="AJ897" s="81"/>
      <c r="AK897" s="81"/>
      <c r="AL897" s="81"/>
      <c r="AM897" s="43">
        <v>881</v>
      </c>
      <c r="AN897">
        <v>317.599544998</v>
      </c>
      <c r="AO897">
        <v>28.924128162996965</v>
      </c>
      <c r="AP897">
        <v>94.094882135829536</v>
      </c>
      <c r="AQ897">
        <v>222.99416567867229</v>
      </c>
      <c r="AR897">
        <v>29.547073944499758</v>
      </c>
      <c r="AS897">
        <v>243.81686697110041</v>
      </c>
      <c r="AT897">
        <v>13.89399768991661</v>
      </c>
      <c r="AU897">
        <v>3.8095103553293441</v>
      </c>
      <c r="AV897"/>
      <c r="AW897"/>
      <c r="FY897" s="213">
        <v>892</v>
      </c>
      <c r="FZ897">
        <v>49.951366926046028</v>
      </c>
      <c r="GA897">
        <v>74.693421396560794</v>
      </c>
      <c r="GB897">
        <v>15.373433336548652</v>
      </c>
      <c r="GC897">
        <v>7.619954190766105</v>
      </c>
      <c r="GD897">
        <v>6.7068733398908416</v>
      </c>
      <c r="GE897">
        <v>4.8062707853257605</v>
      </c>
      <c r="GF897">
        <v>2.1348215706938976</v>
      </c>
      <c r="GG897">
        <v>4.5719675660740293</v>
      </c>
      <c r="GH897">
        <v>17.061873329020578</v>
      </c>
      <c r="GI897">
        <v>18.840979905456191</v>
      </c>
      <c r="GJ897"/>
      <c r="GK897"/>
      <c r="GL897"/>
      <c r="GM897"/>
      <c r="GN897" s="208"/>
      <c r="GO897" s="208"/>
      <c r="GP897" s="208"/>
      <c r="GQ897" s="208"/>
      <c r="GR897" s="208"/>
      <c r="GS897" s="208"/>
      <c r="GT897" s="208"/>
      <c r="GU897" s="213">
        <v>892</v>
      </c>
    </row>
    <row r="898" spans="1:203" s="7" customFormat="1">
      <c r="A898" s="4"/>
      <c r="B898" s="4"/>
      <c r="C898" s="4"/>
      <c r="D898" s="4"/>
      <c r="E898" s="4"/>
      <c r="F898" s="28"/>
      <c r="G898" s="28"/>
      <c r="H898" s="83"/>
      <c r="I898" s="4"/>
      <c r="J898" s="4"/>
      <c r="K898" s="4"/>
      <c r="L898" s="4"/>
      <c r="M898" s="4"/>
      <c r="N898" s="28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  <c r="AA898" s="4"/>
      <c r="AB898" s="4"/>
      <c r="AC898" s="4"/>
      <c r="AD898" s="4"/>
      <c r="AE898" s="4"/>
      <c r="AF898" s="81"/>
      <c r="AG898" s="81"/>
      <c r="AH898" s="81"/>
      <c r="AI898" s="4"/>
      <c r="AJ898" s="81"/>
      <c r="AK898" s="81"/>
      <c r="AL898" s="81"/>
      <c r="AM898" s="43">
        <v>882</v>
      </c>
      <c r="AN898">
        <v>254.49969672462939</v>
      </c>
      <c r="AO898">
        <v>22.472678699068222</v>
      </c>
      <c r="AP898">
        <v>63.296139691069314</v>
      </c>
      <c r="AQ898">
        <v>169.25808811983521</v>
      </c>
      <c r="AR898">
        <v>25.111581146752055</v>
      </c>
      <c r="AS898">
        <v>216.6819747335403</v>
      </c>
      <c r="AT898">
        <v>12.609101089863556</v>
      </c>
      <c r="AU898">
        <v>48.025431229124656</v>
      </c>
      <c r="AV898"/>
      <c r="AW898"/>
      <c r="FY898" s="213">
        <v>893</v>
      </c>
      <c r="FZ898">
        <v>25.150171472035435</v>
      </c>
      <c r="GA898">
        <v>35.343590538243916</v>
      </c>
      <c r="GB898">
        <v>15.813680212975441</v>
      </c>
      <c r="GC898">
        <v>5.5923199699639996</v>
      </c>
      <c r="GD898">
        <v>5.8227830952694273</v>
      </c>
      <c r="GE898">
        <v>5.6697212643681114</v>
      </c>
      <c r="GF898">
        <v>22.611375129394961</v>
      </c>
      <c r="GG898">
        <v>22.918571663660348</v>
      </c>
      <c r="GH898">
        <v>12.812296894861536</v>
      </c>
      <c r="GI898">
        <v>17.930288880073469</v>
      </c>
      <c r="GJ898"/>
      <c r="GK898"/>
      <c r="GL898"/>
      <c r="GM898"/>
      <c r="GN898" s="208"/>
      <c r="GO898" s="208"/>
      <c r="GP898" s="208"/>
      <c r="GQ898" s="208"/>
      <c r="GR898" s="208"/>
      <c r="GS898" s="208"/>
      <c r="GT898" s="208"/>
      <c r="GU898" s="213">
        <v>893</v>
      </c>
    </row>
    <row r="899" spans="1:203" s="7" customFormat="1">
      <c r="A899" s="4"/>
      <c r="B899" s="4"/>
      <c r="C899" s="4"/>
      <c r="D899" s="4"/>
      <c r="E899" s="4"/>
      <c r="F899" s="28"/>
      <c r="G899" s="28"/>
      <c r="H899" s="83"/>
      <c r="I899" s="4"/>
      <c r="J899" s="4"/>
      <c r="K899" s="4"/>
      <c r="L899" s="4"/>
      <c r="M899" s="4"/>
      <c r="N899" s="28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  <c r="AA899" s="4"/>
      <c r="AB899" s="4"/>
      <c r="AC899" s="4"/>
      <c r="AD899" s="4"/>
      <c r="AE899" s="4"/>
      <c r="AF899" s="81"/>
      <c r="AG899" s="81"/>
      <c r="AH899" s="81"/>
      <c r="AI899" s="4"/>
      <c r="AJ899" s="81"/>
      <c r="AK899" s="81"/>
      <c r="AL899" s="81"/>
      <c r="AM899" s="43">
        <v>883</v>
      </c>
      <c r="AN899">
        <v>232.78038525789401</v>
      </c>
      <c r="AO899">
        <v>26.39617907026128</v>
      </c>
      <c r="AP899">
        <v>73.758432719993536</v>
      </c>
      <c r="AQ899">
        <v>208.91023652931651</v>
      </c>
      <c r="AR899">
        <v>28.309500204897745</v>
      </c>
      <c r="AS899">
        <v>227.97327502049248</v>
      </c>
      <c r="AT899">
        <v>13.206392059220406</v>
      </c>
      <c r="AU899">
        <v>24.949327717933677</v>
      </c>
      <c r="AV899"/>
      <c r="AW899"/>
      <c r="FY899" s="213">
        <v>894</v>
      </c>
      <c r="FZ899">
        <v>51.190437069890002</v>
      </c>
      <c r="GA899">
        <v>95.38294714653091</v>
      </c>
      <c r="GB899">
        <v>27.798151066542506</v>
      </c>
      <c r="GC899">
        <v>6.4150025873536043</v>
      </c>
      <c r="GD899">
        <v>5.5130222185142328</v>
      </c>
      <c r="GE899">
        <v>4.9948777165534066</v>
      </c>
      <c r="GF899">
        <v>24.376583563830476</v>
      </c>
      <c r="GG899">
        <v>20.117407233182359</v>
      </c>
      <c r="GH899">
        <v>10.550637900969161</v>
      </c>
      <c r="GI899">
        <v>25.12914138150596</v>
      </c>
      <c r="GJ899"/>
      <c r="GK899"/>
      <c r="GL899"/>
      <c r="GM899"/>
      <c r="GN899" s="208"/>
      <c r="GO899" s="208"/>
      <c r="GP899" s="208"/>
      <c r="GQ899" s="208"/>
      <c r="GR899" s="208"/>
      <c r="GS899" s="208"/>
      <c r="GT899" s="208"/>
      <c r="GU899" s="213">
        <v>894</v>
      </c>
    </row>
    <row r="900" spans="1:203" s="7" customFormat="1">
      <c r="A900" s="4"/>
      <c r="B900" s="4"/>
      <c r="C900" s="4"/>
      <c r="D900" s="4"/>
      <c r="E900" s="4"/>
      <c r="F900" s="28"/>
      <c r="G900" s="28"/>
      <c r="H900" s="83"/>
      <c r="I900" s="4"/>
      <c r="J900" s="4"/>
      <c r="K900" s="4"/>
      <c r="L900" s="4"/>
      <c r="M900" s="4"/>
      <c r="N900" s="28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  <c r="AA900" s="4"/>
      <c r="AB900" s="4"/>
      <c r="AC900" s="4"/>
      <c r="AD900" s="4"/>
      <c r="AE900" s="4"/>
      <c r="AF900" s="81"/>
      <c r="AG900" s="81"/>
      <c r="AH900" s="81"/>
      <c r="AI900" s="4"/>
      <c r="AJ900" s="81"/>
      <c r="AK900" s="81"/>
      <c r="AL900" s="81"/>
      <c r="AM900" s="43">
        <v>884</v>
      </c>
      <c r="AN900">
        <v>290.06938474622433</v>
      </c>
      <c r="AO900">
        <v>34.200007306582556</v>
      </c>
      <c r="AP900">
        <v>51.259244756048929</v>
      </c>
      <c r="AQ900">
        <v>267.83736483112204</v>
      </c>
      <c r="AR900">
        <v>34.967956664734153</v>
      </c>
      <c r="AS900">
        <v>290.26709891693514</v>
      </c>
      <c r="AT900">
        <v>17.17986524684256</v>
      </c>
      <c r="AU900">
        <v>9.3423646889343246</v>
      </c>
      <c r="AV900"/>
      <c r="AW900"/>
      <c r="FY900" s="213">
        <v>895</v>
      </c>
      <c r="FZ900">
        <v>49.479581858347693</v>
      </c>
      <c r="GA900">
        <v>58.781908359813748</v>
      </c>
      <c r="GB900">
        <v>15.839910436863297</v>
      </c>
      <c r="GC900">
        <v>4.9005304081313588</v>
      </c>
      <c r="GD900">
        <v>4.3574778109774996</v>
      </c>
      <c r="GE900">
        <v>7.1740537429424531</v>
      </c>
      <c r="GF900">
        <v>9.9023378155301209</v>
      </c>
      <c r="GG900">
        <v>7.1314512001653068</v>
      </c>
      <c r="GH900">
        <v>14.28892922900619</v>
      </c>
      <c r="GI900">
        <v>18.407895863241308</v>
      </c>
      <c r="GJ900"/>
      <c r="GK900"/>
      <c r="GL900"/>
      <c r="GM900"/>
      <c r="GN900" s="208"/>
      <c r="GO900" s="208"/>
      <c r="GP900" s="208"/>
      <c r="GQ900" s="208"/>
      <c r="GR900" s="208"/>
      <c r="GS900" s="208"/>
      <c r="GT900" s="208"/>
      <c r="GU900" s="213">
        <v>895</v>
      </c>
    </row>
    <row r="901" spans="1:203" s="7" customFormat="1">
      <c r="A901" s="4"/>
      <c r="B901" s="4"/>
      <c r="C901" s="4"/>
      <c r="D901" s="4"/>
      <c r="E901" s="4"/>
      <c r="F901" s="28"/>
      <c r="G901" s="28"/>
      <c r="H901" s="83"/>
      <c r="I901" s="4"/>
      <c r="J901" s="4"/>
      <c r="K901" s="4"/>
      <c r="L901" s="4"/>
      <c r="M901" s="4"/>
      <c r="N901" s="28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  <c r="AA901" s="4"/>
      <c r="AB901" s="4"/>
      <c r="AC901" s="4"/>
      <c r="AD901" s="4"/>
      <c r="AE901" s="4"/>
      <c r="AF901" s="81"/>
      <c r="AG901" s="81"/>
      <c r="AH901" s="81"/>
      <c r="AI901" s="4"/>
      <c r="AJ901" s="81"/>
      <c r="AK901" s="81"/>
      <c r="AL901" s="81"/>
      <c r="AM901" s="43">
        <v>885</v>
      </c>
      <c r="AN901">
        <v>374.31598326185781</v>
      </c>
      <c r="AO901">
        <v>30.341966936209921</v>
      </c>
      <c r="AP901">
        <v>96.84743623911244</v>
      </c>
      <c r="AQ901">
        <v>222.92823170860157</v>
      </c>
      <c r="AR901">
        <v>31.628493424843107</v>
      </c>
      <c r="AS901">
        <v>291.00722716987872</v>
      </c>
      <c r="AT901">
        <v>15.526825437738983</v>
      </c>
      <c r="AU901">
        <v>40.67195528914808</v>
      </c>
      <c r="AV901"/>
      <c r="AW901"/>
      <c r="FY901" s="213">
        <v>896</v>
      </c>
      <c r="FZ901">
        <v>55.601878534818987</v>
      </c>
      <c r="GA901">
        <v>58.179792576533927</v>
      </c>
      <c r="GB901">
        <v>12.777084890418362</v>
      </c>
      <c r="GC901">
        <v>5.5544033717495775</v>
      </c>
      <c r="GD901">
        <v>5.5402735682601971</v>
      </c>
      <c r="GE901">
        <v>7.5019419968552263</v>
      </c>
      <c r="GF901">
        <v>12.203076804538354</v>
      </c>
      <c r="GG901">
        <v>9.197749530817422</v>
      </c>
      <c r="GH901">
        <v>16.354651537484468</v>
      </c>
      <c r="GI901">
        <v>19.77381426879893</v>
      </c>
      <c r="GJ901"/>
      <c r="GK901"/>
      <c r="GL901"/>
      <c r="GM901"/>
      <c r="GN901" s="208"/>
      <c r="GO901" s="208"/>
      <c r="GP901" s="208"/>
      <c r="GQ901" s="208"/>
      <c r="GR901" s="208"/>
      <c r="GS901" s="208"/>
      <c r="GT901" s="208"/>
      <c r="GU901" s="213">
        <v>896</v>
      </c>
    </row>
    <row r="902" spans="1:203" s="7" customFormat="1">
      <c r="A902" s="4"/>
      <c r="B902" s="4"/>
      <c r="C902" s="4"/>
      <c r="D902" s="4"/>
      <c r="E902" s="4"/>
      <c r="F902" s="28"/>
      <c r="G902" s="28"/>
      <c r="H902" s="83"/>
      <c r="I902" s="4"/>
      <c r="J902" s="4"/>
      <c r="K902" s="4"/>
      <c r="L902" s="4"/>
      <c r="M902" s="4"/>
      <c r="N902" s="28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  <c r="AA902" s="4"/>
      <c r="AB902" s="4"/>
      <c r="AC902" s="4"/>
      <c r="AD902" s="4"/>
      <c r="AE902" s="4"/>
      <c r="AF902" s="81"/>
      <c r="AG902" s="81"/>
      <c r="AH902" s="81"/>
      <c r="AI902" s="4"/>
      <c r="AJ902" s="81"/>
      <c r="AK902" s="81"/>
      <c r="AL902" s="81"/>
      <c r="AM902" s="43">
        <v>886</v>
      </c>
      <c r="AN902">
        <v>363.78608142256644</v>
      </c>
      <c r="AO902">
        <v>37.566246721276343</v>
      </c>
      <c r="AP902">
        <v>87.634113031520926</v>
      </c>
      <c r="AQ902">
        <v>285.86567745910463</v>
      </c>
      <c r="AR902">
        <v>37.286024360353743</v>
      </c>
      <c r="AS902">
        <v>313.53559178591541</v>
      </c>
      <c r="AT902">
        <v>17.419810420541534</v>
      </c>
      <c r="AU902">
        <v>60.039102989013998</v>
      </c>
      <c r="AV902"/>
      <c r="AW902"/>
      <c r="FY902" s="213">
        <v>897</v>
      </c>
      <c r="FZ902">
        <v>43.695570164437648</v>
      </c>
      <c r="GA902">
        <v>70.344473628080422</v>
      </c>
      <c r="GB902">
        <v>15.086919064289273</v>
      </c>
      <c r="GC902">
        <v>6.9611952161865274</v>
      </c>
      <c r="GD902">
        <v>6.149551324569531</v>
      </c>
      <c r="GE902">
        <v>5.8055992075657112</v>
      </c>
      <c r="GF902">
        <v>17.558623960428921</v>
      </c>
      <c r="GG902">
        <v>15.829308496917097</v>
      </c>
      <c r="GH902">
        <v>21.078620308560108</v>
      </c>
      <c r="GI902">
        <v>21.045038943921394</v>
      </c>
      <c r="GJ902"/>
      <c r="GK902"/>
      <c r="GL902"/>
      <c r="GM902"/>
      <c r="GN902" s="208"/>
      <c r="GO902" s="208"/>
      <c r="GP902" s="208"/>
      <c r="GQ902" s="208"/>
      <c r="GR902" s="208"/>
      <c r="GS902" s="208"/>
      <c r="GT902" s="208"/>
      <c r="GU902" s="213">
        <v>897</v>
      </c>
    </row>
    <row r="903" spans="1:203" s="7" customFormat="1">
      <c r="A903" s="4"/>
      <c r="B903" s="4"/>
      <c r="C903" s="4"/>
      <c r="D903" s="4"/>
      <c r="E903" s="4"/>
      <c r="F903" s="28"/>
      <c r="G903" s="28"/>
      <c r="H903" s="83"/>
      <c r="I903" s="4"/>
      <c r="J903" s="4"/>
      <c r="K903" s="4"/>
      <c r="L903" s="4"/>
      <c r="M903" s="4"/>
      <c r="N903" s="28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  <c r="AA903" s="4"/>
      <c r="AB903" s="4"/>
      <c r="AC903" s="4"/>
      <c r="AD903" s="4"/>
      <c r="AE903" s="4"/>
      <c r="AF903" s="81"/>
      <c r="AG903" s="81"/>
      <c r="AH903" s="81"/>
      <c r="AI903" s="4"/>
      <c r="AJ903" s="81"/>
      <c r="AK903" s="81"/>
      <c r="AL903" s="81"/>
      <c r="AM903" s="43">
        <v>887</v>
      </c>
      <c r="AN903">
        <v>300.83894958061694</v>
      </c>
      <c r="AO903">
        <v>22.000233384697317</v>
      </c>
      <c r="AP903">
        <v>79.287138209342501</v>
      </c>
      <c r="AQ903">
        <v>156.30894313124887</v>
      </c>
      <c r="AR903">
        <v>23.017639730210856</v>
      </c>
      <c r="AS903">
        <v>225.22322847315249</v>
      </c>
      <c r="AT903">
        <v>10.23835565144917</v>
      </c>
      <c r="AU903">
        <v>27.47087552267238</v>
      </c>
      <c r="AV903"/>
      <c r="AW903"/>
      <c r="FY903" s="213">
        <v>898</v>
      </c>
      <c r="FZ903">
        <v>49.545724368748616</v>
      </c>
      <c r="GA903">
        <v>48.39168038580393</v>
      </c>
      <c r="GB903">
        <v>13.009488287186475</v>
      </c>
      <c r="GC903">
        <v>6.6555752673247417</v>
      </c>
      <c r="GD903">
        <v>4.705249552608179</v>
      </c>
      <c r="GE903">
        <v>3.580754153474687</v>
      </c>
      <c r="GF903">
        <v>27.194839557606009</v>
      </c>
      <c r="GG903">
        <v>25.282513511746068</v>
      </c>
      <c r="GH903">
        <v>7.9481623141203936</v>
      </c>
      <c r="GI903">
        <v>19.798440116703198</v>
      </c>
      <c r="GJ903"/>
      <c r="GK903"/>
      <c r="GL903"/>
      <c r="GM903"/>
      <c r="GN903" s="208"/>
      <c r="GO903" s="208"/>
      <c r="GP903" s="208"/>
      <c r="GQ903" s="208"/>
      <c r="GR903" s="208"/>
      <c r="GS903" s="208"/>
      <c r="GT903" s="208"/>
      <c r="GU903" s="213">
        <v>898</v>
      </c>
    </row>
    <row r="904" spans="1:203" s="7" customFormat="1">
      <c r="A904" s="4"/>
      <c r="B904" s="4"/>
      <c r="C904" s="4"/>
      <c r="D904" s="4"/>
      <c r="E904" s="4"/>
      <c r="F904" s="28"/>
      <c r="G904" s="28"/>
      <c r="H904" s="83"/>
      <c r="I904" s="4"/>
      <c r="J904" s="4"/>
      <c r="K904" s="4"/>
      <c r="L904" s="4"/>
      <c r="M904" s="4"/>
      <c r="N904" s="28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  <c r="AA904" s="4"/>
      <c r="AB904" s="4"/>
      <c r="AC904" s="4"/>
      <c r="AD904" s="4"/>
      <c r="AE904" s="4"/>
      <c r="AF904" s="81"/>
      <c r="AG904" s="81"/>
      <c r="AH904" s="81"/>
      <c r="AI904" s="4"/>
      <c r="AJ904" s="81"/>
      <c r="AK904" s="81"/>
      <c r="AL904" s="81"/>
      <c r="AM904" s="43">
        <v>888</v>
      </c>
      <c r="AN904">
        <v>283.07245556449601</v>
      </c>
      <c r="AO904">
        <v>22.318892803424973</v>
      </c>
      <c r="AP904">
        <v>105.4862030861014</v>
      </c>
      <c r="AQ904">
        <v>150.90929120184978</v>
      </c>
      <c r="AR904">
        <v>21.688265482379165</v>
      </c>
      <c r="AS904">
        <v>221.50448527166182</v>
      </c>
      <c r="AT904">
        <v>9.1771249146531257</v>
      </c>
      <c r="AU904">
        <v>-17.118764748849223</v>
      </c>
      <c r="AV904"/>
      <c r="AW904"/>
      <c r="FY904" s="213">
        <v>899</v>
      </c>
      <c r="FZ904">
        <v>31.094885329502088</v>
      </c>
      <c r="GA904">
        <v>41.983502049100785</v>
      </c>
      <c r="GB904">
        <v>11.687173431215617</v>
      </c>
      <c r="GC904">
        <v>5.4144708398684971</v>
      </c>
      <c r="GD904">
        <v>5.1109019665876776</v>
      </c>
      <c r="GE904">
        <v>5.4498736281299811</v>
      </c>
      <c r="GF904">
        <v>13.192378370541991</v>
      </c>
      <c r="GG904">
        <v>13.115508969403331</v>
      </c>
      <c r="GH904">
        <v>12.725665830359922</v>
      </c>
      <c r="GI904">
        <v>15.279771408205747</v>
      </c>
      <c r="GJ904"/>
      <c r="GK904"/>
      <c r="GL904"/>
      <c r="GM904"/>
      <c r="GN904" s="208"/>
      <c r="GO904" s="208"/>
      <c r="GP904" s="208"/>
      <c r="GQ904" s="208"/>
      <c r="GR904" s="208"/>
      <c r="GS904" s="208"/>
      <c r="GT904" s="208"/>
      <c r="GU904" s="213">
        <v>899</v>
      </c>
    </row>
    <row r="905" spans="1:203" s="7" customFormat="1">
      <c r="A905" s="4"/>
      <c r="B905" s="4"/>
      <c r="C905" s="4"/>
      <c r="D905" s="4"/>
      <c r="E905" s="4"/>
      <c r="F905" s="28"/>
      <c r="G905" s="28"/>
      <c r="H905" s="83"/>
      <c r="I905" s="4"/>
      <c r="J905" s="4"/>
      <c r="K905" s="4"/>
      <c r="L905" s="4"/>
      <c r="M905" s="4"/>
      <c r="N905" s="28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  <c r="AA905" s="4"/>
      <c r="AB905" s="4"/>
      <c r="AC905" s="4"/>
      <c r="AD905" s="4"/>
      <c r="AE905" s="4"/>
      <c r="AF905" s="81"/>
      <c r="AG905" s="81"/>
      <c r="AH905" s="81"/>
      <c r="AI905" s="4"/>
      <c r="AJ905" s="81"/>
      <c r="AK905" s="81"/>
      <c r="AL905" s="81"/>
      <c r="AM905" s="43">
        <v>889</v>
      </c>
      <c r="AN905">
        <v>251.5216164050556</v>
      </c>
      <c r="AO905">
        <v>22.696996685491122</v>
      </c>
      <c r="AP905">
        <v>44.071948276909843</v>
      </c>
      <c r="AQ905">
        <v>170.51187945053186</v>
      </c>
      <c r="AR905">
        <v>24.208810402752352</v>
      </c>
      <c r="AS905">
        <v>212.49353680370234</v>
      </c>
      <c r="AT905">
        <v>11.378374605833926</v>
      </c>
      <c r="AU905">
        <v>8.6338208326388823</v>
      </c>
      <c r="AV905"/>
      <c r="AW905"/>
      <c r="FY905" s="213">
        <v>900</v>
      </c>
      <c r="FZ905">
        <v>51.412481130580581</v>
      </c>
      <c r="GA905">
        <v>68.506870283154939</v>
      </c>
      <c r="GB905">
        <v>11.640676766527442</v>
      </c>
      <c r="GC905">
        <v>6.7624215996918871</v>
      </c>
      <c r="GD905">
        <v>5.3286820999659188</v>
      </c>
      <c r="GE905">
        <v>5.7365452731695097</v>
      </c>
      <c r="GF905">
        <v>23.307160068492333</v>
      </c>
      <c r="GG905">
        <v>19.170413177488591</v>
      </c>
      <c r="GH905">
        <v>7.183844762672102</v>
      </c>
      <c r="GI905">
        <v>19.326417919633073</v>
      </c>
      <c r="GJ905"/>
      <c r="GK905"/>
      <c r="GL905"/>
      <c r="GM905"/>
      <c r="GN905" s="208"/>
      <c r="GO905" s="208"/>
      <c r="GP905" s="208"/>
      <c r="GQ905" s="208"/>
      <c r="GR905" s="208"/>
      <c r="GS905" s="208"/>
      <c r="GT905" s="208"/>
      <c r="GU905" s="213">
        <v>900</v>
      </c>
    </row>
    <row r="906" spans="1:203" s="7" customFormat="1">
      <c r="A906" s="4"/>
      <c r="B906" s="4"/>
      <c r="C906" s="4"/>
      <c r="D906" s="4"/>
      <c r="E906" s="4"/>
      <c r="F906" s="28"/>
      <c r="G906" s="28"/>
      <c r="H906" s="83"/>
      <c r="I906" s="4"/>
      <c r="J906" s="4"/>
      <c r="K906" s="4"/>
      <c r="L906" s="4"/>
      <c r="M906" s="4"/>
      <c r="N906" s="28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  <c r="AA906" s="4"/>
      <c r="AB906" s="4"/>
      <c r="AC906" s="4"/>
      <c r="AD906" s="4"/>
      <c r="AE906" s="4"/>
      <c r="AF906" s="81"/>
      <c r="AG906" s="81"/>
      <c r="AH906" s="81"/>
      <c r="AI906" s="4"/>
      <c r="AJ906" s="81"/>
      <c r="AK906" s="81"/>
      <c r="AL906" s="81"/>
      <c r="AM906" s="43">
        <v>890</v>
      </c>
      <c r="AN906">
        <v>379.27018439390633</v>
      </c>
      <c r="AO906">
        <v>26.482591045939138</v>
      </c>
      <c r="AP906">
        <v>88.386986302083642</v>
      </c>
      <c r="AQ906">
        <v>196.84101605083137</v>
      </c>
      <c r="AR906">
        <v>27.857787945619965</v>
      </c>
      <c r="AS906">
        <v>283.92229135098552</v>
      </c>
      <c r="AT906">
        <v>13.869250656464196</v>
      </c>
      <c r="AU906">
        <v>35.453137336421406</v>
      </c>
      <c r="AV906"/>
      <c r="AW906"/>
      <c r="FY906" s="213">
        <v>901</v>
      </c>
      <c r="FZ906">
        <v>31.78475890801241</v>
      </c>
      <c r="GA906">
        <v>28.643021335768204</v>
      </c>
      <c r="GB906">
        <v>3.5339826769548401</v>
      </c>
      <c r="GC906">
        <v>3.9910410395189624</v>
      </c>
      <c r="GD906">
        <v>3.5241493830376065</v>
      </c>
      <c r="GE906">
        <v>3.0272530443602781</v>
      </c>
      <c r="GF906">
        <v>1.302228697791407</v>
      </c>
      <c r="GG906">
        <v>5.2445196632840121</v>
      </c>
      <c r="GH906">
        <v>8.4685548254494041</v>
      </c>
      <c r="GI906">
        <v>9.1688507994709934</v>
      </c>
      <c r="GJ906"/>
      <c r="GK906"/>
      <c r="GL906"/>
      <c r="GM906"/>
      <c r="GN906" s="208"/>
      <c r="GO906" s="208"/>
      <c r="GP906" s="208"/>
      <c r="GQ906" s="208"/>
      <c r="GR906" s="208"/>
      <c r="GS906" s="208"/>
      <c r="GT906" s="208"/>
      <c r="GU906" s="213">
        <v>901</v>
      </c>
    </row>
    <row r="907" spans="1:203" s="7" customFormat="1">
      <c r="A907" s="4"/>
      <c r="B907" s="4"/>
      <c r="C907" s="4"/>
      <c r="D907" s="4"/>
      <c r="E907" s="4"/>
      <c r="F907" s="28"/>
      <c r="G907" s="28"/>
      <c r="H907" s="83"/>
      <c r="I907" s="4"/>
      <c r="J907" s="4"/>
      <c r="K907" s="4"/>
      <c r="L907" s="4"/>
      <c r="M907" s="4"/>
      <c r="N907" s="28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  <c r="AA907" s="4"/>
      <c r="AB907" s="4"/>
      <c r="AC907" s="4"/>
      <c r="AD907" s="4"/>
      <c r="AE907" s="4"/>
      <c r="AF907" s="81"/>
      <c r="AG907" s="81"/>
      <c r="AH907" s="81"/>
      <c r="AI907" s="4"/>
      <c r="AJ907" s="81"/>
      <c r="AK907" s="81"/>
      <c r="AL907" s="81"/>
      <c r="AM907" s="43">
        <v>891</v>
      </c>
      <c r="AN907">
        <v>331.71016071490703</v>
      </c>
      <c r="AO907">
        <v>39.9543093799617</v>
      </c>
      <c r="AP907">
        <v>72.561303977263762</v>
      </c>
      <c r="AQ907">
        <v>308.55948825456881</v>
      </c>
      <c r="AR907">
        <v>41.009078982834005</v>
      </c>
      <c r="AS907">
        <v>319.2303426203473</v>
      </c>
      <c r="AT907">
        <v>19.030023658052588</v>
      </c>
      <c r="AU907">
        <v>19.915894838235268</v>
      </c>
      <c r="AV907"/>
      <c r="AW907"/>
      <c r="FY907" s="213">
        <v>902</v>
      </c>
      <c r="FZ907">
        <v>67.05966160871931</v>
      </c>
      <c r="GA907">
        <v>74.331923624973527</v>
      </c>
      <c r="GB907">
        <v>15.041798421910148</v>
      </c>
      <c r="GC907">
        <v>4.533510098003517</v>
      </c>
      <c r="GD907">
        <v>3.830553067289066</v>
      </c>
      <c r="GE907">
        <v>5.9095217983381287</v>
      </c>
      <c r="GF907">
        <v>19.41001124037458</v>
      </c>
      <c r="GG907">
        <v>15.947029359501528</v>
      </c>
      <c r="GH907">
        <v>7.7819068744926909</v>
      </c>
      <c r="GI907">
        <v>21.170025787202274</v>
      </c>
      <c r="GJ907"/>
      <c r="GK907"/>
      <c r="GL907"/>
      <c r="GM907"/>
      <c r="GN907" s="208"/>
      <c r="GO907" s="208"/>
      <c r="GP907" s="208"/>
      <c r="GQ907" s="208"/>
      <c r="GR907" s="208"/>
      <c r="GS907" s="208"/>
      <c r="GT907" s="208"/>
      <c r="GU907" s="213">
        <v>902</v>
      </c>
    </row>
    <row r="908" spans="1:203" s="7" customFormat="1">
      <c r="A908" s="4"/>
      <c r="B908" s="4"/>
      <c r="C908" s="4"/>
      <c r="D908" s="4"/>
      <c r="E908" s="4"/>
      <c r="F908" s="28"/>
      <c r="G908" s="28"/>
      <c r="H908" s="83"/>
      <c r="I908" s="4"/>
      <c r="J908" s="4"/>
      <c r="K908" s="4"/>
      <c r="L908" s="4"/>
      <c r="M908" s="4"/>
      <c r="N908" s="28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  <c r="AA908" s="4"/>
      <c r="AB908" s="4"/>
      <c r="AC908" s="4"/>
      <c r="AD908" s="4"/>
      <c r="AE908" s="4"/>
      <c r="AF908" s="81"/>
      <c r="AG908" s="81"/>
      <c r="AH908" s="81"/>
      <c r="AI908" s="4"/>
      <c r="AJ908" s="81"/>
      <c r="AK908" s="81"/>
      <c r="AL908" s="81"/>
      <c r="AM908" s="43">
        <v>892</v>
      </c>
      <c r="AN908">
        <v>279.99497971593797</v>
      </c>
      <c r="AO908">
        <v>28.209672456549583</v>
      </c>
      <c r="AP908">
        <v>104.52681762457054</v>
      </c>
      <c r="AQ908">
        <v>201.76096234638285</v>
      </c>
      <c r="AR908">
        <v>28.220829472173186</v>
      </c>
      <c r="AS908">
        <v>233.71651497472538</v>
      </c>
      <c r="AT908">
        <v>12.187991062230116</v>
      </c>
      <c r="AU908">
        <v>-6.2150948547689069</v>
      </c>
      <c r="AV908"/>
      <c r="AW908"/>
      <c r="FY908" s="213">
        <v>903</v>
      </c>
      <c r="FZ908">
        <v>46.601300680142437</v>
      </c>
      <c r="GA908">
        <v>68.223952789710182</v>
      </c>
      <c r="GB908">
        <v>13.232471116597599</v>
      </c>
      <c r="GC908">
        <v>4.7971565478597293</v>
      </c>
      <c r="GD908">
        <v>3.4632094173951389</v>
      </c>
      <c r="GE908">
        <v>5.3372277710966403</v>
      </c>
      <c r="GF908">
        <v>25.861684964722873</v>
      </c>
      <c r="GG908">
        <v>20.403544752926319</v>
      </c>
      <c r="GH908">
        <v>10.591143663935148</v>
      </c>
      <c r="GI908">
        <v>19.030393029108282</v>
      </c>
      <c r="GJ908"/>
      <c r="GK908"/>
      <c r="GL908"/>
      <c r="GM908"/>
      <c r="GN908" s="208"/>
      <c r="GO908" s="208"/>
      <c r="GP908" s="208"/>
      <c r="GQ908" s="208"/>
      <c r="GR908" s="208"/>
      <c r="GS908" s="208"/>
      <c r="GT908" s="208"/>
      <c r="GU908" s="213">
        <v>903</v>
      </c>
    </row>
    <row r="909" spans="1:203" s="7" customFormat="1">
      <c r="A909" s="4"/>
      <c r="B909" s="4"/>
      <c r="C909" s="4"/>
      <c r="D909" s="4"/>
      <c r="E909" s="4"/>
      <c r="F909" s="28"/>
      <c r="G909" s="28"/>
      <c r="H909" s="83"/>
      <c r="I909" s="4"/>
      <c r="J909" s="4"/>
      <c r="K909" s="4"/>
      <c r="L909" s="4"/>
      <c r="M909" s="4"/>
      <c r="N909" s="28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  <c r="AA909" s="4"/>
      <c r="AB909" s="4"/>
      <c r="AC909" s="4"/>
      <c r="AD909" s="4"/>
      <c r="AE909" s="4"/>
      <c r="AF909" s="81"/>
      <c r="AG909" s="81"/>
      <c r="AH909" s="81"/>
      <c r="AI909" s="4"/>
      <c r="AJ909" s="81"/>
      <c r="AK909" s="81"/>
      <c r="AL909" s="81"/>
      <c r="AM909" s="43">
        <v>893</v>
      </c>
      <c r="AN909">
        <v>310.47307607456025</v>
      </c>
      <c r="AO909">
        <v>25.969572021331125</v>
      </c>
      <c r="AP909">
        <v>110.59765249691088</v>
      </c>
      <c r="AQ909">
        <v>169.66479912084665</v>
      </c>
      <c r="AR909">
        <v>26.736088685284578</v>
      </c>
      <c r="AS909">
        <v>234.72060315582351</v>
      </c>
      <c r="AT909">
        <v>10.269028764518087</v>
      </c>
      <c r="AU909">
        <v>31.521493747310501</v>
      </c>
      <c r="AV909"/>
      <c r="AW909"/>
      <c r="FY909" s="213">
        <v>904</v>
      </c>
      <c r="FZ909">
        <v>44.500602961792985</v>
      </c>
      <c r="GA909">
        <v>78.306233385755874</v>
      </c>
      <c r="GB909">
        <v>24.45650611169571</v>
      </c>
      <c r="GC909">
        <v>4.7049433670434153</v>
      </c>
      <c r="GD909">
        <v>4.2350021326366285</v>
      </c>
      <c r="GE909">
        <v>6.8123655304847563</v>
      </c>
      <c r="GF909">
        <v>19.350883162338512</v>
      </c>
      <c r="GG909">
        <v>15.379620399715609</v>
      </c>
      <c r="GH909">
        <v>10.709663487156668</v>
      </c>
      <c r="GI909">
        <v>21.406097981387433</v>
      </c>
      <c r="GJ909"/>
      <c r="GK909"/>
      <c r="GL909"/>
      <c r="GM909"/>
      <c r="GN909" s="208"/>
      <c r="GO909" s="208"/>
      <c r="GP909" s="208"/>
      <c r="GQ909" s="208"/>
      <c r="GR909" s="208"/>
      <c r="GS909" s="208"/>
      <c r="GT909" s="208"/>
      <c r="GU909" s="213">
        <v>904</v>
      </c>
    </row>
    <row r="910" spans="1:203" s="7" customFormat="1">
      <c r="A910" s="4"/>
      <c r="B910" s="4"/>
      <c r="C910" s="4"/>
      <c r="D910" s="4"/>
      <c r="E910" s="4"/>
      <c r="F910" s="28"/>
      <c r="G910" s="28"/>
      <c r="H910" s="83"/>
      <c r="I910" s="4"/>
      <c r="J910" s="4"/>
      <c r="K910" s="4"/>
      <c r="L910" s="4"/>
      <c r="M910" s="4"/>
      <c r="N910" s="28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  <c r="AA910" s="4"/>
      <c r="AB910" s="4"/>
      <c r="AC910" s="4"/>
      <c r="AD910" s="4"/>
      <c r="AE910" s="4"/>
      <c r="AF910" s="81"/>
      <c r="AG910" s="81"/>
      <c r="AH910" s="81"/>
      <c r="AI910" s="4"/>
      <c r="AJ910" s="81"/>
      <c r="AK910" s="81"/>
      <c r="AL910" s="81"/>
      <c r="AM910" s="43">
        <v>894</v>
      </c>
      <c r="AN910">
        <v>361.63076643829618</v>
      </c>
      <c r="AO910">
        <v>38.806887912210982</v>
      </c>
      <c r="AP910">
        <v>110.87841956686653</v>
      </c>
      <c r="AQ910">
        <v>271.46820788487264</v>
      </c>
      <c r="AR910">
        <v>38.445472312489301</v>
      </c>
      <c r="AS910">
        <v>333.01172547042711</v>
      </c>
      <c r="AT910">
        <v>14.406814710760669</v>
      </c>
      <c r="AU910">
        <v>40.411597513184233</v>
      </c>
      <c r="AV910"/>
      <c r="AW910"/>
      <c r="FY910" s="213">
        <v>905</v>
      </c>
      <c r="FZ910">
        <v>45.242838618562097</v>
      </c>
      <c r="GA910">
        <v>44.876713862205939</v>
      </c>
      <c r="GB910">
        <v>16.45298220091809</v>
      </c>
      <c r="GC910">
        <v>4.8916597357000766</v>
      </c>
      <c r="GD910">
        <v>4.1104683538992788</v>
      </c>
      <c r="GE910">
        <v>6.1049743234629217</v>
      </c>
      <c r="GF910">
        <v>25.631336013169797</v>
      </c>
      <c r="GG910">
        <v>20.545360971055899</v>
      </c>
      <c r="GH910">
        <v>17.875198869152243</v>
      </c>
      <c r="GI910">
        <v>21.285012989604251</v>
      </c>
      <c r="GJ910"/>
      <c r="GK910"/>
      <c r="GL910"/>
      <c r="GM910"/>
      <c r="GN910" s="208"/>
      <c r="GO910" s="208"/>
      <c r="GP910" s="208"/>
      <c r="GQ910" s="208"/>
      <c r="GR910" s="208"/>
      <c r="GS910" s="208"/>
      <c r="GT910" s="208"/>
      <c r="GU910" s="213">
        <v>905</v>
      </c>
    </row>
    <row r="911" spans="1:203" s="7" customFormat="1">
      <c r="A911" s="4"/>
      <c r="B911" s="4"/>
      <c r="C911" s="4"/>
      <c r="D911" s="4"/>
      <c r="E911" s="4"/>
      <c r="F911" s="28"/>
      <c r="G911" s="28"/>
      <c r="H911" s="83"/>
      <c r="I911" s="4"/>
      <c r="J911" s="4"/>
      <c r="K911" s="4"/>
      <c r="L911" s="4"/>
      <c r="M911" s="4"/>
      <c r="N911" s="28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  <c r="AA911" s="4"/>
      <c r="AB911" s="4"/>
      <c r="AC911" s="4"/>
      <c r="AD911" s="4"/>
      <c r="AE911" s="4"/>
      <c r="AF911" s="81"/>
      <c r="AG911" s="81"/>
      <c r="AH911" s="81"/>
      <c r="AI911" s="4"/>
      <c r="AJ911" s="81"/>
      <c r="AK911" s="81"/>
      <c r="AL911" s="81"/>
      <c r="AM911" s="43">
        <v>895</v>
      </c>
      <c r="AN911">
        <v>274.34861666877936</v>
      </c>
      <c r="AO911">
        <v>26.688899308582858</v>
      </c>
      <c r="AP911">
        <v>64.984812486953501</v>
      </c>
      <c r="AQ911">
        <v>190.26407672501898</v>
      </c>
      <c r="AR911">
        <v>28.031829361780751</v>
      </c>
      <c r="AS911">
        <v>225.6326588806582</v>
      </c>
      <c r="AT911">
        <v>11.328712711021076</v>
      </c>
      <c r="AU911">
        <v>-18.917546864019286</v>
      </c>
      <c r="AV911"/>
      <c r="AW911"/>
      <c r="FY911" s="213">
        <v>906</v>
      </c>
      <c r="FZ911">
        <v>54.199037622339965</v>
      </c>
      <c r="GA911">
        <v>72.531037692051996</v>
      </c>
      <c r="GB911">
        <v>17.631072777348503</v>
      </c>
      <c r="GC911">
        <v>4.5890786457950883</v>
      </c>
      <c r="GD911">
        <v>3.8916228933589041</v>
      </c>
      <c r="GE911">
        <v>7.151605070213451</v>
      </c>
      <c r="GF911">
        <v>19.149915363307681</v>
      </c>
      <c r="GG911">
        <v>15.976913736612845</v>
      </c>
      <c r="GH911">
        <v>8.3786074586733577</v>
      </c>
      <c r="GI911">
        <v>20.120354953317381</v>
      </c>
      <c r="GJ911"/>
      <c r="GK911"/>
      <c r="GL911"/>
      <c r="GM911"/>
      <c r="GN911" s="208"/>
      <c r="GO911" s="208"/>
      <c r="GP911" s="208"/>
      <c r="GQ911" s="208"/>
      <c r="GR911" s="208"/>
      <c r="GS911" s="208"/>
      <c r="GT911" s="208"/>
      <c r="GU911" s="213">
        <v>906</v>
      </c>
    </row>
    <row r="912" spans="1:203" s="7" customFormat="1">
      <c r="A912" s="4"/>
      <c r="B912" s="4"/>
      <c r="C912" s="4"/>
      <c r="D912" s="4"/>
      <c r="E912" s="4"/>
      <c r="F912" s="28"/>
      <c r="G912" s="28"/>
      <c r="H912" s="83"/>
      <c r="I912" s="4"/>
      <c r="J912" s="4"/>
      <c r="K912" s="4"/>
      <c r="L912" s="4"/>
      <c r="M912" s="4"/>
      <c r="N912" s="28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  <c r="AA912" s="4"/>
      <c r="AB912" s="4"/>
      <c r="AC912" s="4"/>
      <c r="AD912" s="4"/>
      <c r="AE912" s="4"/>
      <c r="AF912" s="81"/>
      <c r="AG912" s="81"/>
      <c r="AH912" s="81"/>
      <c r="AI912" s="4"/>
      <c r="AJ912" s="81"/>
      <c r="AK912" s="81"/>
      <c r="AL912" s="81"/>
      <c r="AM912" s="43">
        <v>896</v>
      </c>
      <c r="AN912">
        <v>312.93869059450827</v>
      </c>
      <c r="AO912">
        <v>27.437575148510462</v>
      </c>
      <c r="AP912">
        <v>64.451859717921238</v>
      </c>
      <c r="AQ912">
        <v>202.68466708027546</v>
      </c>
      <c r="AR912">
        <v>28.999308974947606</v>
      </c>
      <c r="AS912">
        <v>236.68185474211455</v>
      </c>
      <c r="AT912">
        <v>12.836100293322383</v>
      </c>
      <c r="AU912">
        <v>4.0212728725550306</v>
      </c>
      <c r="AV912"/>
      <c r="AW912"/>
      <c r="FY912" s="213">
        <v>907</v>
      </c>
      <c r="FZ912">
        <v>47.894597678666948</v>
      </c>
      <c r="GA912">
        <v>65.283424178616116</v>
      </c>
      <c r="GB912">
        <v>24.268731529024766</v>
      </c>
      <c r="GC912">
        <v>5.8416110647319952</v>
      </c>
      <c r="GD912">
        <v>5.6944990193629348</v>
      </c>
      <c r="GE912">
        <v>7.0666406415715688</v>
      </c>
      <c r="GF912">
        <v>23.785386652994184</v>
      </c>
      <c r="GG912">
        <v>22.6871795204754</v>
      </c>
      <c r="GH912">
        <v>9.0298057588211886</v>
      </c>
      <c r="GI912">
        <v>23.180661397210482</v>
      </c>
      <c r="GJ912"/>
      <c r="GK912"/>
      <c r="GL912"/>
      <c r="GM912"/>
      <c r="GN912" s="208"/>
      <c r="GO912" s="208"/>
      <c r="GP912" s="208"/>
      <c r="GQ912" s="208"/>
      <c r="GR912" s="208"/>
      <c r="GS912" s="208"/>
      <c r="GT912" s="208"/>
      <c r="GU912" s="213">
        <v>907</v>
      </c>
    </row>
    <row r="913" spans="1:203" s="7" customFormat="1">
      <c r="A913" s="4"/>
      <c r="B913" s="4"/>
      <c r="C913" s="4"/>
      <c r="D913" s="4"/>
      <c r="E913" s="4"/>
      <c r="F913" s="28"/>
      <c r="G913" s="28"/>
      <c r="H913" s="83"/>
      <c r="I913" s="4"/>
      <c r="J913" s="4"/>
      <c r="K913" s="4"/>
      <c r="L913" s="4"/>
      <c r="M913" s="4"/>
      <c r="N913" s="28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  <c r="AA913" s="4"/>
      <c r="AB913" s="4"/>
      <c r="AC913" s="4"/>
      <c r="AD913" s="4"/>
      <c r="AE913" s="4"/>
      <c r="AF913" s="81"/>
      <c r="AG913" s="81"/>
      <c r="AH913" s="81"/>
      <c r="AI913" s="4"/>
      <c r="AJ913" s="81"/>
      <c r="AK913" s="81"/>
      <c r="AL913" s="81"/>
      <c r="AM913" s="43">
        <v>897</v>
      </c>
      <c r="AN913">
        <v>342.15389071818601</v>
      </c>
      <c r="AO913">
        <v>30.90497022248071</v>
      </c>
      <c r="AP913">
        <v>108.08498402485159</v>
      </c>
      <c r="AQ913">
        <v>223.55490031495663</v>
      </c>
      <c r="AR913">
        <v>30.798165108607776</v>
      </c>
      <c r="AS913">
        <v>288.85365053436988</v>
      </c>
      <c r="AT913">
        <v>13.515233938591358</v>
      </c>
      <c r="AU913">
        <v>-8.0501212429775677</v>
      </c>
      <c r="AV913"/>
      <c r="AW913"/>
      <c r="FY913" s="213">
        <v>908</v>
      </c>
      <c r="FZ913">
        <v>24.848292183347315</v>
      </c>
      <c r="GA913">
        <v>29.491205247727287</v>
      </c>
      <c r="GB913">
        <v>8.2622489515912871</v>
      </c>
      <c r="GC913">
        <v>7.2064681671689135</v>
      </c>
      <c r="GD913">
        <v>6.2164534294016391</v>
      </c>
      <c r="GE913">
        <v>4.3125027006462613</v>
      </c>
      <c r="GF913">
        <v>5.7708930501795468</v>
      </c>
      <c r="GG913">
        <v>6.4376977062599643</v>
      </c>
      <c r="GH913">
        <v>17.404734433857286</v>
      </c>
      <c r="GI913">
        <v>13.388301923843921</v>
      </c>
      <c r="GJ913"/>
      <c r="GK913"/>
      <c r="GL913"/>
      <c r="GM913"/>
      <c r="GN913" s="208"/>
      <c r="GO913" s="208"/>
      <c r="GP913" s="208"/>
      <c r="GQ913" s="208"/>
      <c r="GR913" s="208"/>
      <c r="GS913" s="208"/>
      <c r="GT913" s="208"/>
      <c r="GU913" s="213">
        <v>908</v>
      </c>
    </row>
    <row r="914" spans="1:203" s="7" customFormat="1">
      <c r="A914" s="4"/>
      <c r="B914" s="4"/>
      <c r="C914" s="4"/>
      <c r="D914" s="4"/>
      <c r="E914" s="4"/>
      <c r="F914" s="28"/>
      <c r="G914" s="28"/>
      <c r="H914" s="83"/>
      <c r="I914" s="4"/>
      <c r="J914" s="4"/>
      <c r="K914" s="4"/>
      <c r="L914" s="4"/>
      <c r="M914" s="4"/>
      <c r="N914" s="28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  <c r="AA914" s="4"/>
      <c r="AB914" s="4"/>
      <c r="AC914" s="4"/>
      <c r="AD914" s="4"/>
      <c r="AE914" s="4"/>
      <c r="AF914" s="81"/>
      <c r="AG914" s="81"/>
      <c r="AH914" s="81"/>
      <c r="AI914" s="4"/>
      <c r="AJ914" s="81"/>
      <c r="AK914" s="81"/>
      <c r="AL914" s="81"/>
      <c r="AM914" s="43">
        <v>898</v>
      </c>
      <c r="AN914">
        <v>359.9263504474917</v>
      </c>
      <c r="AO914">
        <v>28.53419704617114</v>
      </c>
      <c r="AP914">
        <v>74.986418642312302</v>
      </c>
      <c r="AQ914">
        <v>206.11242751532228</v>
      </c>
      <c r="AR914">
        <v>29.140050136911928</v>
      </c>
      <c r="AS914">
        <v>280.53230036449702</v>
      </c>
      <c r="AT914">
        <v>12.929471887300011</v>
      </c>
      <c r="AU914">
        <v>27.929485322638669</v>
      </c>
      <c r="AV914"/>
      <c r="AW914"/>
      <c r="FY914" s="213">
        <v>909</v>
      </c>
      <c r="FZ914">
        <v>60.448572472747209</v>
      </c>
      <c r="GA914">
        <v>70.353322071988657</v>
      </c>
      <c r="GB914">
        <v>12.571127882852302</v>
      </c>
      <c r="GC914">
        <v>6.5617599611969286</v>
      </c>
      <c r="GD914">
        <v>4.5685038509651257</v>
      </c>
      <c r="GE914">
        <v>2.3113688242068631</v>
      </c>
      <c r="GF914">
        <v>8.3179106005185535</v>
      </c>
      <c r="GG914">
        <v>8.7767349194188871</v>
      </c>
      <c r="GH914">
        <v>7.967369770455524</v>
      </c>
      <c r="GI914">
        <v>17.889164935669818</v>
      </c>
      <c r="GJ914"/>
      <c r="GK914"/>
      <c r="GL914"/>
      <c r="GM914"/>
      <c r="GN914" s="208"/>
      <c r="GO914" s="208"/>
      <c r="GP914" s="208"/>
      <c r="GQ914" s="208"/>
      <c r="GR914" s="208"/>
      <c r="GS914" s="208"/>
      <c r="GT914" s="208"/>
      <c r="GU914" s="213">
        <v>909</v>
      </c>
    </row>
    <row r="915" spans="1:203" s="7" customFormat="1">
      <c r="A915" s="4"/>
      <c r="B915" s="4"/>
      <c r="C915" s="4"/>
      <c r="D915" s="4"/>
      <c r="E915" s="4"/>
      <c r="F915" s="28"/>
      <c r="G915" s="28"/>
      <c r="H915" s="83"/>
      <c r="I915" s="4"/>
      <c r="J915" s="4"/>
      <c r="K915" s="4"/>
      <c r="L915" s="4"/>
      <c r="M915" s="4"/>
      <c r="N915" s="28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  <c r="AA915" s="4"/>
      <c r="AB915" s="4"/>
      <c r="AC915" s="4"/>
      <c r="AD915" s="4"/>
      <c r="AE915" s="4"/>
      <c r="AF915" s="81"/>
      <c r="AG915" s="81"/>
      <c r="AH915" s="81"/>
      <c r="AI915" s="4"/>
      <c r="AJ915" s="81"/>
      <c r="AK915" s="81"/>
      <c r="AL915" s="81"/>
      <c r="AM915" s="43">
        <v>899</v>
      </c>
      <c r="AN915">
        <v>293.63834793856103</v>
      </c>
      <c r="AO915">
        <v>22.194778279181993</v>
      </c>
      <c r="AP915">
        <v>85.087406671453181</v>
      </c>
      <c r="AQ915">
        <v>155.05413182291562</v>
      </c>
      <c r="AR915">
        <v>22.452878486819593</v>
      </c>
      <c r="AS915">
        <v>220.87316325632898</v>
      </c>
      <c r="AT915">
        <v>10.410430435591772</v>
      </c>
      <c r="AU915">
        <v>15.505611280236501</v>
      </c>
      <c r="AV915"/>
      <c r="AW915"/>
      <c r="FY915" s="213">
        <v>910</v>
      </c>
      <c r="FZ915">
        <v>45.721568858477532</v>
      </c>
      <c r="GA915">
        <v>60.547023235225545</v>
      </c>
      <c r="GB915">
        <v>11.599502861040209</v>
      </c>
      <c r="GC915">
        <v>4.9995372710161075</v>
      </c>
      <c r="GD915">
        <v>4.7410443904971915</v>
      </c>
      <c r="GE915">
        <v>4.676135163252221</v>
      </c>
      <c r="GF915">
        <v>15.458787277174535</v>
      </c>
      <c r="GG915">
        <v>13.896604811496614</v>
      </c>
      <c r="GH915">
        <v>17.778557365425158</v>
      </c>
      <c r="GI915">
        <v>18.482835233312969</v>
      </c>
      <c r="GJ915"/>
      <c r="GK915"/>
      <c r="GL915"/>
      <c r="GM915"/>
      <c r="GN915" s="208"/>
      <c r="GO915" s="208"/>
      <c r="GP915" s="208"/>
      <c r="GQ915" s="208"/>
      <c r="GR915" s="208"/>
      <c r="GS915" s="208"/>
      <c r="GT915" s="208"/>
      <c r="GU915" s="213">
        <v>910</v>
      </c>
    </row>
    <row r="916" spans="1:203" s="7" customFormat="1">
      <c r="A916" s="4"/>
      <c r="B916" s="4"/>
      <c r="C916" s="4"/>
      <c r="D916" s="4"/>
      <c r="E916" s="4"/>
      <c r="F916" s="28"/>
      <c r="G916" s="28"/>
      <c r="H916" s="83"/>
      <c r="I916" s="4"/>
      <c r="J916" s="4"/>
      <c r="K916" s="4"/>
      <c r="L916" s="4"/>
      <c r="M916" s="4"/>
      <c r="N916" s="28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  <c r="AA916" s="4"/>
      <c r="AB916" s="4"/>
      <c r="AC916" s="4"/>
      <c r="AD916" s="4"/>
      <c r="AE916" s="4"/>
      <c r="AF916" s="81"/>
      <c r="AG916" s="81"/>
      <c r="AH916" s="81"/>
      <c r="AI916" s="4"/>
      <c r="AJ916" s="81"/>
      <c r="AK916" s="81"/>
      <c r="AL916" s="81"/>
      <c r="AM916" s="43">
        <v>900</v>
      </c>
      <c r="AN916">
        <v>364.03077303335999</v>
      </c>
      <c r="AO916">
        <v>29.088660920712037</v>
      </c>
      <c r="AP916">
        <v>85.265048916168155</v>
      </c>
      <c r="AQ916">
        <v>218.37551308137637</v>
      </c>
      <c r="AR916">
        <v>27.728048237014391</v>
      </c>
      <c r="AS916">
        <v>272.74931288884636</v>
      </c>
      <c r="AT916">
        <v>13.247056024080281</v>
      </c>
      <c r="AU916">
        <v>-5.728189987247692</v>
      </c>
      <c r="AV916"/>
      <c r="AW916"/>
      <c r="FY916" s="213">
        <v>911</v>
      </c>
      <c r="FZ916">
        <v>34.604529298522742</v>
      </c>
      <c r="GA916">
        <v>31.821346233973742</v>
      </c>
      <c r="GB916">
        <v>8.6304357281909567</v>
      </c>
      <c r="GC916">
        <v>5.4480116537520455</v>
      </c>
      <c r="GD916">
        <v>4.7061542976789443</v>
      </c>
      <c r="GE916">
        <v>3.9380278712590302</v>
      </c>
      <c r="GF916">
        <v>27.600998118422897</v>
      </c>
      <c r="GG916">
        <v>27.342028038089211</v>
      </c>
      <c r="GH916">
        <v>21.015810415214428</v>
      </c>
      <c r="GI916">
        <v>18.579210304453881</v>
      </c>
      <c r="GJ916"/>
      <c r="GK916"/>
      <c r="GL916"/>
      <c r="GM916"/>
      <c r="GN916" s="208"/>
      <c r="GO916" s="208"/>
      <c r="GP916" s="208"/>
      <c r="GQ916" s="208"/>
      <c r="GR916" s="208"/>
      <c r="GS916" s="208"/>
      <c r="GT916" s="208"/>
      <c r="GU916" s="213">
        <v>911</v>
      </c>
    </row>
    <row r="917" spans="1:203" s="7" customFormat="1">
      <c r="A917" s="4"/>
      <c r="B917" s="4"/>
      <c r="C917" s="4"/>
      <c r="D917" s="4"/>
      <c r="E917" s="4"/>
      <c r="F917" s="28"/>
      <c r="G917" s="28"/>
      <c r="H917" s="83"/>
      <c r="I917" s="4"/>
      <c r="J917" s="4"/>
      <c r="K917" s="4"/>
      <c r="L917" s="4"/>
      <c r="M917" s="4"/>
      <c r="N917" s="28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  <c r="AA917" s="4"/>
      <c r="AB917" s="4"/>
      <c r="AC917" s="4"/>
      <c r="AD917" s="4"/>
      <c r="AE917" s="4"/>
      <c r="AF917" s="81"/>
      <c r="AG917" s="81"/>
      <c r="AH917" s="81"/>
      <c r="AI917" s="4"/>
      <c r="AJ917" s="81"/>
      <c r="AK917" s="81"/>
      <c r="AL917" s="81"/>
      <c r="AM917" s="43">
        <v>901</v>
      </c>
      <c r="AN917">
        <v>164.5986706540566</v>
      </c>
      <c r="AO917">
        <v>12.800943618041094</v>
      </c>
      <c r="AP917">
        <v>69.281846603605374</v>
      </c>
      <c r="AQ917">
        <v>98.688360373648123</v>
      </c>
      <c r="AR917">
        <v>12.800960483067783</v>
      </c>
      <c r="AS917">
        <v>130.13270920448119</v>
      </c>
      <c r="AT917">
        <v>7.4438073092887107</v>
      </c>
      <c r="AU917">
        <v>87.162139327990857</v>
      </c>
      <c r="AV917"/>
      <c r="AW917"/>
      <c r="FY917" s="213">
        <v>912</v>
      </c>
      <c r="FZ917">
        <v>50.521094266916485</v>
      </c>
      <c r="GA917">
        <v>55.105526496033811</v>
      </c>
      <c r="GB917">
        <v>12.822744107019643</v>
      </c>
      <c r="GC917">
        <v>5.3222644951013693</v>
      </c>
      <c r="GD917">
        <v>4.2947286602087926</v>
      </c>
      <c r="GE917">
        <v>3.1697868650580192</v>
      </c>
      <c r="GF917">
        <v>11.495942607293898</v>
      </c>
      <c r="GG917">
        <v>13.189700348178341</v>
      </c>
      <c r="GH917">
        <v>19.188785334133382</v>
      </c>
      <c r="GI917">
        <v>18.683185005191696</v>
      </c>
      <c r="GJ917"/>
      <c r="GK917"/>
      <c r="GL917"/>
      <c r="GM917"/>
      <c r="GN917" s="208"/>
      <c r="GO917" s="208"/>
      <c r="GP917" s="208"/>
      <c r="GQ917" s="208"/>
      <c r="GR917" s="208"/>
      <c r="GS917" s="208"/>
      <c r="GT917" s="208"/>
      <c r="GU917" s="213">
        <v>912</v>
      </c>
    </row>
    <row r="918" spans="1:203" s="7" customFormat="1">
      <c r="A918" s="4"/>
      <c r="B918" s="4"/>
      <c r="C918" s="4"/>
      <c r="D918" s="4"/>
      <c r="E918" s="4"/>
      <c r="F918" s="28"/>
      <c r="G918" s="28"/>
      <c r="H918" s="83"/>
      <c r="I918" s="4"/>
      <c r="J918" s="4"/>
      <c r="K918" s="4"/>
      <c r="L918" s="4"/>
      <c r="M918" s="4"/>
      <c r="N918" s="28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  <c r="AA918" s="4"/>
      <c r="AB918" s="4"/>
      <c r="AC918" s="4"/>
      <c r="AD918" s="4"/>
      <c r="AE918" s="4"/>
      <c r="AF918" s="81"/>
      <c r="AG918" s="81"/>
      <c r="AH918" s="81"/>
      <c r="AI918" s="4"/>
      <c r="AJ918" s="81"/>
      <c r="AK918" s="81"/>
      <c r="AL918" s="81"/>
      <c r="AM918" s="43">
        <v>902</v>
      </c>
      <c r="AN918">
        <v>312.97312539164966</v>
      </c>
      <c r="AO918">
        <v>30.931345572265116</v>
      </c>
      <c r="AP918">
        <v>87.890223598610191</v>
      </c>
      <c r="AQ918">
        <v>235.01594188080477</v>
      </c>
      <c r="AR918">
        <v>31.337757008587733</v>
      </c>
      <c r="AS918">
        <v>254.77812558052091</v>
      </c>
      <c r="AT918">
        <v>14.719630672418296</v>
      </c>
      <c r="AU918">
        <v>19.803086442761114</v>
      </c>
      <c r="AV918"/>
      <c r="AW918"/>
      <c r="FY918" s="213">
        <v>913</v>
      </c>
      <c r="FZ918">
        <v>47.142587022808797</v>
      </c>
      <c r="GA918">
        <v>24.701392262647712</v>
      </c>
      <c r="GB918">
        <v>2.7262699226135005</v>
      </c>
      <c r="GC918">
        <v>4.704702160517094</v>
      </c>
      <c r="GD918">
        <v>5.7950038957406047</v>
      </c>
      <c r="GE918">
        <v>6.1647549672230628</v>
      </c>
      <c r="GF918">
        <v>4.7808983609847475</v>
      </c>
      <c r="GG918">
        <v>7.6675650153124542</v>
      </c>
      <c r="GH918">
        <v>20.199471565571329</v>
      </c>
      <c r="GI918">
        <v>15.01824146345511</v>
      </c>
      <c r="GJ918"/>
      <c r="GK918"/>
      <c r="GL918"/>
      <c r="GM918"/>
      <c r="GN918" s="208"/>
      <c r="GO918" s="208"/>
      <c r="GP918" s="208"/>
      <c r="GQ918" s="208"/>
      <c r="GR918" s="208"/>
      <c r="GS918" s="208"/>
      <c r="GT918" s="208"/>
      <c r="GU918" s="213">
        <v>913</v>
      </c>
    </row>
    <row r="919" spans="1:203" s="7" customFormat="1">
      <c r="A919" s="4"/>
      <c r="B919" s="4"/>
      <c r="C919" s="4"/>
      <c r="D919" s="4"/>
      <c r="E919" s="4"/>
      <c r="F919" s="28"/>
      <c r="G919" s="28"/>
      <c r="H919" s="83"/>
      <c r="I919" s="4"/>
      <c r="J919" s="4"/>
      <c r="K919" s="4"/>
      <c r="L919" s="4"/>
      <c r="M919" s="4"/>
      <c r="N919" s="28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  <c r="AA919" s="4"/>
      <c r="AB919" s="4"/>
      <c r="AC919" s="4"/>
      <c r="AD919" s="4"/>
      <c r="AE919" s="4"/>
      <c r="AF919" s="81"/>
      <c r="AG919" s="81"/>
      <c r="AH919" s="81"/>
      <c r="AI919" s="4"/>
      <c r="AJ919" s="81"/>
      <c r="AK919" s="81"/>
      <c r="AL919" s="81"/>
      <c r="AM919" s="43">
        <v>903</v>
      </c>
      <c r="AN919">
        <v>331.89484178362272</v>
      </c>
      <c r="AO919">
        <v>28.560932237556834</v>
      </c>
      <c r="AP919">
        <v>118.67676702799928</v>
      </c>
      <c r="AQ919">
        <v>217.54208473349439</v>
      </c>
      <c r="AR919">
        <v>27.578880267915739</v>
      </c>
      <c r="AS919">
        <v>247.70472658249034</v>
      </c>
      <c r="AT919">
        <v>13.001670748914053</v>
      </c>
      <c r="AU919">
        <v>14.769178319823791</v>
      </c>
      <c r="AV919"/>
      <c r="AW919"/>
      <c r="FY919" s="213">
        <v>914</v>
      </c>
      <c r="FZ919">
        <v>42.079003850704161</v>
      </c>
      <c r="GA919">
        <v>70.71855224083815</v>
      </c>
      <c r="GB919">
        <v>16.143822969460107</v>
      </c>
      <c r="GC919">
        <v>6.701779220830459</v>
      </c>
      <c r="GD919">
        <v>6.5580800313880365</v>
      </c>
      <c r="GE919">
        <v>6.4149345072167394</v>
      </c>
      <c r="GF919">
        <v>15.729156499516154</v>
      </c>
      <c r="GG919">
        <v>14.891636100224273</v>
      </c>
      <c r="GH919">
        <v>13.182725443239901</v>
      </c>
      <c r="GI919">
        <v>19.684345917141133</v>
      </c>
      <c r="GJ919"/>
      <c r="GK919"/>
      <c r="GL919"/>
      <c r="GM919"/>
      <c r="GN919" s="208"/>
      <c r="GO919" s="208"/>
      <c r="GP919" s="208"/>
      <c r="GQ919" s="208"/>
      <c r="GR919" s="208"/>
      <c r="GS919" s="208"/>
      <c r="GT919" s="208"/>
      <c r="GU919" s="213">
        <v>914</v>
      </c>
    </row>
    <row r="920" spans="1:203" s="7" customFormat="1">
      <c r="A920" s="4"/>
      <c r="B920" s="4"/>
      <c r="C920" s="4"/>
      <c r="D920" s="4"/>
      <c r="E920" s="4"/>
      <c r="F920" s="28"/>
      <c r="G920" s="28"/>
      <c r="H920" s="83"/>
      <c r="I920" s="4"/>
      <c r="J920" s="4"/>
      <c r="K920" s="4"/>
      <c r="L920" s="4"/>
      <c r="M920" s="4"/>
      <c r="N920" s="28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  <c r="AA920" s="4"/>
      <c r="AB920" s="4"/>
      <c r="AC920" s="4"/>
      <c r="AD920" s="4"/>
      <c r="AE920" s="4"/>
      <c r="AF920" s="81"/>
      <c r="AG920" s="81"/>
      <c r="AH920" s="81"/>
      <c r="AI920" s="4"/>
      <c r="AJ920" s="81"/>
      <c r="AK920" s="81"/>
      <c r="AL920" s="81"/>
      <c r="AM920" s="43">
        <v>904</v>
      </c>
      <c r="AN920">
        <v>335.18309653549727</v>
      </c>
      <c r="AO920">
        <v>32.608671450472571</v>
      </c>
      <c r="AP920">
        <v>84.225081986869711</v>
      </c>
      <c r="AQ920">
        <v>229.86191852000758</v>
      </c>
      <c r="AR920">
        <v>32.61470062040889</v>
      </c>
      <c r="AS920">
        <v>287.43870188714527</v>
      </c>
      <c r="AT920">
        <v>12.436468514133166</v>
      </c>
      <c r="AU920">
        <v>13.36816470282664</v>
      </c>
      <c r="AV920"/>
      <c r="AW920"/>
      <c r="FY920" s="213">
        <v>915</v>
      </c>
      <c r="FZ920">
        <v>32.163928476210593</v>
      </c>
      <c r="GA920">
        <v>20.226259547249796</v>
      </c>
      <c r="GB920">
        <v>4.3773257399324388</v>
      </c>
      <c r="GC920">
        <v>6.9723324132045077</v>
      </c>
      <c r="GD920">
        <v>7.2967031390290344</v>
      </c>
      <c r="GE920">
        <v>8.0204733923874194</v>
      </c>
      <c r="GF920">
        <v>13.255967228376734</v>
      </c>
      <c r="GG920">
        <v>13.011201889664635</v>
      </c>
      <c r="GH920">
        <v>11.453520818894235</v>
      </c>
      <c r="GI920">
        <v>14.182112293869977</v>
      </c>
      <c r="GJ920"/>
      <c r="GK920"/>
      <c r="GL920"/>
      <c r="GM920"/>
      <c r="GN920" s="208"/>
      <c r="GO920" s="208"/>
      <c r="GP920" s="208"/>
      <c r="GQ920" s="208"/>
      <c r="GR920" s="208"/>
      <c r="GS920" s="208"/>
      <c r="GT920" s="208"/>
      <c r="GU920" s="213">
        <v>915</v>
      </c>
    </row>
    <row r="921" spans="1:203" s="7" customFormat="1">
      <c r="A921" s="4"/>
      <c r="B921" s="4"/>
      <c r="C921" s="4"/>
      <c r="D921" s="4"/>
      <c r="E921" s="4"/>
      <c r="F921" s="28"/>
      <c r="G921" s="28"/>
      <c r="H921" s="83"/>
      <c r="I921" s="4"/>
      <c r="J921" s="4"/>
      <c r="K921" s="4"/>
      <c r="L921" s="4"/>
      <c r="M921" s="4"/>
      <c r="N921" s="28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  <c r="AA921" s="4"/>
      <c r="AB921" s="4"/>
      <c r="AC921" s="4"/>
      <c r="AD921" s="4"/>
      <c r="AE921" s="4"/>
      <c r="AF921" s="81"/>
      <c r="AG921" s="81"/>
      <c r="AH921" s="81"/>
      <c r="AI921" s="4"/>
      <c r="AJ921" s="81"/>
      <c r="AK921" s="81"/>
      <c r="AL921" s="81"/>
      <c r="AM921" s="43">
        <v>905</v>
      </c>
      <c r="AN921">
        <v>349.85860248910456</v>
      </c>
      <c r="AO921">
        <v>29.479232873161248</v>
      </c>
      <c r="AP921">
        <v>85.141673748811968</v>
      </c>
      <c r="AQ921">
        <v>207.0165459377306</v>
      </c>
      <c r="AR921">
        <v>32.106190353937897</v>
      </c>
      <c r="AS921">
        <v>268.73047033163942</v>
      </c>
      <c r="AT921">
        <v>13.004924556156865</v>
      </c>
      <c r="AU921">
        <v>50.083944711175704</v>
      </c>
      <c r="AV921"/>
      <c r="AW921"/>
      <c r="FY921" s="213">
        <v>916</v>
      </c>
      <c r="FZ921">
        <v>54.251690808775614</v>
      </c>
      <c r="GA921">
        <v>59.282217710091345</v>
      </c>
      <c r="GB921">
        <v>16.829092914360341</v>
      </c>
      <c r="GC921">
        <v>6.1076253512852805</v>
      </c>
      <c r="GD921">
        <v>5.8326833163606793</v>
      </c>
      <c r="GE921">
        <v>5.4911431565680831</v>
      </c>
      <c r="GF921">
        <v>20.837387484503804</v>
      </c>
      <c r="GG921">
        <v>18.398887121659008</v>
      </c>
      <c r="GH921">
        <v>7.8668653838158082</v>
      </c>
      <c r="GI921">
        <v>21.292620798614397</v>
      </c>
      <c r="GJ921"/>
      <c r="GK921"/>
      <c r="GL921"/>
      <c r="GM921"/>
      <c r="GN921" s="208"/>
      <c r="GO921" s="208"/>
      <c r="GP921" s="208"/>
      <c r="GQ921" s="208"/>
      <c r="GR921" s="208"/>
      <c r="GS921" s="208"/>
      <c r="GT921" s="208"/>
      <c r="GU921" s="213">
        <v>916</v>
      </c>
    </row>
    <row r="922" spans="1:203" s="7" customFormat="1">
      <c r="A922" s="4"/>
      <c r="B922" s="4"/>
      <c r="C922" s="4"/>
      <c r="D922" s="4"/>
      <c r="E922" s="4"/>
      <c r="F922" s="28"/>
      <c r="G922" s="28"/>
      <c r="H922" s="83"/>
      <c r="I922" s="4"/>
      <c r="J922" s="4"/>
      <c r="K922" s="4"/>
      <c r="L922" s="4"/>
      <c r="M922" s="4"/>
      <c r="N922" s="28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  <c r="AA922" s="4"/>
      <c r="AB922" s="4"/>
      <c r="AC922" s="4"/>
      <c r="AD922" s="4"/>
      <c r="AE922" s="4"/>
      <c r="AF922" s="81"/>
      <c r="AG922" s="81"/>
      <c r="AH922" s="81"/>
      <c r="AI922" s="4"/>
      <c r="AJ922" s="81"/>
      <c r="AK922" s="81"/>
      <c r="AL922" s="81"/>
      <c r="AM922" s="43">
        <v>906</v>
      </c>
      <c r="AN922">
        <v>323.70733079746464</v>
      </c>
      <c r="AO922">
        <v>30.42329999493516</v>
      </c>
      <c r="AP922">
        <v>63.077393692426966</v>
      </c>
      <c r="AQ922">
        <v>223.61924621301924</v>
      </c>
      <c r="AR922">
        <v>30.136576550527494</v>
      </c>
      <c r="AS922">
        <v>258.1715682101248</v>
      </c>
      <c r="AT922">
        <v>12.997819642810049</v>
      </c>
      <c r="AU922">
        <v>0.61335852931309631</v>
      </c>
      <c r="AV922"/>
      <c r="AW922"/>
      <c r="FY922" s="213">
        <v>917</v>
      </c>
      <c r="FZ922">
        <v>74.842562813247042</v>
      </c>
      <c r="GA922">
        <v>82.393568621296282</v>
      </c>
      <c r="GB922">
        <v>11.579489958014117</v>
      </c>
      <c r="GC922">
        <v>6.7340525120243928</v>
      </c>
      <c r="GD922">
        <v>4.8015852369754093</v>
      </c>
      <c r="GE922">
        <v>3.831584312532708</v>
      </c>
      <c r="GF922">
        <v>20.774353118933625</v>
      </c>
      <c r="GG922">
        <v>19.589309192300263</v>
      </c>
      <c r="GH922">
        <v>20.535508206096534</v>
      </c>
      <c r="GI922">
        <v>24.084069816216601</v>
      </c>
      <c r="GJ922"/>
      <c r="GK922"/>
      <c r="GL922"/>
      <c r="GM922"/>
      <c r="GN922" s="208"/>
      <c r="GO922" s="208"/>
      <c r="GP922" s="208"/>
      <c r="GQ922" s="208"/>
      <c r="GR922" s="208"/>
      <c r="GS922" s="208"/>
      <c r="GT922" s="208"/>
      <c r="GU922" s="213">
        <v>917</v>
      </c>
    </row>
    <row r="923" spans="1:203" s="7" customFormat="1">
      <c r="A923" s="4"/>
      <c r="B923" s="4"/>
      <c r="C923" s="4"/>
      <c r="D923" s="4"/>
      <c r="E923" s="4"/>
      <c r="F923" s="28"/>
      <c r="G923" s="28"/>
      <c r="H923" s="83"/>
      <c r="I923" s="4"/>
      <c r="J923" s="4"/>
      <c r="K923" s="4"/>
      <c r="L923" s="4"/>
      <c r="M923" s="4"/>
      <c r="N923" s="28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  <c r="AA923" s="4"/>
      <c r="AB923" s="4"/>
      <c r="AC923" s="4"/>
      <c r="AD923" s="4"/>
      <c r="AE923" s="4"/>
      <c r="AF923" s="81"/>
      <c r="AG923" s="81"/>
      <c r="AH923" s="81"/>
      <c r="AI923" s="4"/>
      <c r="AJ923" s="81"/>
      <c r="AK923" s="81"/>
      <c r="AL923" s="81"/>
      <c r="AM923" s="43">
        <v>907</v>
      </c>
      <c r="AN923">
        <v>393.53258645121213</v>
      </c>
      <c r="AO923">
        <v>34.028407867448358</v>
      </c>
      <c r="AP923">
        <v>53.436276013630419</v>
      </c>
      <c r="AQ923">
        <v>234.73253744147561</v>
      </c>
      <c r="AR923">
        <v>34.771119950862975</v>
      </c>
      <c r="AS923">
        <v>317.02336464915686</v>
      </c>
      <c r="AT923">
        <v>13.87574521448334</v>
      </c>
      <c r="AU923">
        <v>4.3716567607946573</v>
      </c>
      <c r="AV923"/>
      <c r="AW923"/>
      <c r="FY923" s="213">
        <v>918</v>
      </c>
      <c r="FZ923">
        <v>63.687340207237909</v>
      </c>
      <c r="GA923">
        <v>67.521463625486021</v>
      </c>
      <c r="GB923">
        <v>11.920035897728864</v>
      </c>
      <c r="GC923">
        <v>6.0109119890324765</v>
      </c>
      <c r="GD923">
        <v>5.2632928641053143</v>
      </c>
      <c r="GE923">
        <v>6.7096567976399237</v>
      </c>
      <c r="GF923">
        <v>34.883883624786534</v>
      </c>
      <c r="GG923">
        <v>29.179682871600882</v>
      </c>
      <c r="GH923">
        <v>11.654313761491437</v>
      </c>
      <c r="GI923">
        <v>23.914734883823961</v>
      </c>
      <c r="GJ923"/>
      <c r="GK923"/>
      <c r="GL923"/>
      <c r="GM923"/>
      <c r="GN923" s="208"/>
      <c r="GO923" s="208"/>
      <c r="GP923" s="208"/>
      <c r="GQ923" s="208"/>
      <c r="GR923" s="208"/>
      <c r="GS923" s="208"/>
      <c r="GT923" s="208"/>
      <c r="GU923" s="213">
        <v>918</v>
      </c>
    </row>
    <row r="924" spans="1:203" s="7" customFormat="1">
      <c r="A924" s="4"/>
      <c r="B924" s="4"/>
      <c r="C924" s="4"/>
      <c r="D924" s="4"/>
      <c r="E924" s="4"/>
      <c r="F924" s="28"/>
      <c r="G924" s="28"/>
      <c r="H924" s="83"/>
      <c r="I924" s="4"/>
      <c r="J924" s="4"/>
      <c r="K924" s="4"/>
      <c r="L924" s="4"/>
      <c r="M924" s="4"/>
      <c r="N924" s="28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  <c r="AA924" s="4"/>
      <c r="AB924" s="4"/>
      <c r="AC924" s="4"/>
      <c r="AD924" s="4"/>
      <c r="AE924" s="4"/>
      <c r="AF924" s="81"/>
      <c r="AG924" s="81"/>
      <c r="AH924" s="81"/>
      <c r="AI924" s="4"/>
      <c r="AJ924" s="81"/>
      <c r="AK924" s="81"/>
      <c r="AL924" s="81"/>
      <c r="AM924" s="43">
        <v>908</v>
      </c>
      <c r="AN924">
        <v>260.01958279077905</v>
      </c>
      <c r="AO924">
        <v>18.675183834808895</v>
      </c>
      <c r="AP924">
        <v>82.378282165572884</v>
      </c>
      <c r="AQ924">
        <v>123.33879779402344</v>
      </c>
      <c r="AR924">
        <v>19.686500726066985</v>
      </c>
      <c r="AS924">
        <v>189.91663456256427</v>
      </c>
      <c r="AT924">
        <v>8.5850497922814686</v>
      </c>
      <c r="AU924">
        <v>14.56057579608299</v>
      </c>
      <c r="AV924"/>
      <c r="AW924"/>
      <c r="FY924" s="213">
        <v>919</v>
      </c>
      <c r="FZ924">
        <v>38.903430033268179</v>
      </c>
      <c r="GA924">
        <v>17.626382196126062</v>
      </c>
      <c r="GB924">
        <v>4.5376204849923294</v>
      </c>
      <c r="GC924">
        <v>5.3853588778095398</v>
      </c>
      <c r="GD924">
        <v>5.0495633492798788</v>
      </c>
      <c r="GE924">
        <v>6.8594467313651482</v>
      </c>
      <c r="GF924">
        <v>25.390114596113033</v>
      </c>
      <c r="GG924">
        <v>20.19736156326012</v>
      </c>
      <c r="GH924">
        <v>6.1123823358121232</v>
      </c>
      <c r="GI924">
        <v>15.352967455526414</v>
      </c>
      <c r="GJ924"/>
      <c r="GK924"/>
      <c r="GL924"/>
      <c r="GM924"/>
      <c r="GN924" s="208"/>
      <c r="GO924" s="208"/>
      <c r="GP924" s="208"/>
      <c r="GQ924" s="208"/>
      <c r="GR924" s="208"/>
      <c r="GS924" s="208"/>
      <c r="GT924" s="208"/>
      <c r="GU924" s="213">
        <v>919</v>
      </c>
    </row>
    <row r="925" spans="1:203" s="7" customFormat="1">
      <c r="A925" s="4"/>
      <c r="B925" s="4"/>
      <c r="C925" s="4"/>
      <c r="D925" s="4"/>
      <c r="E925" s="4"/>
      <c r="F925" s="28"/>
      <c r="G925" s="28"/>
      <c r="H925" s="83"/>
      <c r="I925" s="4"/>
      <c r="J925" s="4"/>
      <c r="K925" s="4"/>
      <c r="L925" s="4"/>
      <c r="M925" s="4"/>
      <c r="N925" s="28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  <c r="AA925" s="4"/>
      <c r="AB925" s="4"/>
      <c r="AC925" s="4"/>
      <c r="AD925" s="4"/>
      <c r="AE925" s="4"/>
      <c r="AF925" s="81"/>
      <c r="AG925" s="81"/>
      <c r="AH925" s="81"/>
      <c r="AI925" s="4"/>
      <c r="AJ925" s="81"/>
      <c r="AK925" s="81"/>
      <c r="AL925" s="81"/>
      <c r="AM925" s="43">
        <v>909</v>
      </c>
      <c r="AN925">
        <v>247.89803520459591</v>
      </c>
      <c r="AO925">
        <v>26.222966711144615</v>
      </c>
      <c r="AP925">
        <v>64.515913686967593</v>
      </c>
      <c r="AQ925">
        <v>199.76583529001985</v>
      </c>
      <c r="AR925">
        <v>26.226045142087436</v>
      </c>
      <c r="AS925">
        <v>215.57992459400481</v>
      </c>
      <c r="AT925">
        <v>12.504035351352597</v>
      </c>
      <c r="AU925">
        <v>-1.0198392888413252</v>
      </c>
      <c r="AV925"/>
      <c r="AW925"/>
      <c r="FY925" s="213">
        <v>920</v>
      </c>
      <c r="FZ925">
        <v>40.2942967788603</v>
      </c>
      <c r="GA925">
        <v>62.6243003390613</v>
      </c>
      <c r="GB925">
        <v>16.534187513864641</v>
      </c>
      <c r="GC925">
        <v>6.3512324767419157</v>
      </c>
      <c r="GD925">
        <v>5.4570820890141079</v>
      </c>
      <c r="GE925">
        <v>5.4945415499494006</v>
      </c>
      <c r="GF925">
        <v>23.282098061521051</v>
      </c>
      <c r="GG925">
        <v>22.302325050201276</v>
      </c>
      <c r="GH925">
        <v>13.415458035337991</v>
      </c>
      <c r="GI925">
        <v>20.222998110006401</v>
      </c>
      <c r="GJ925"/>
      <c r="GK925"/>
      <c r="GL925"/>
      <c r="GM925"/>
      <c r="GN925" s="208"/>
      <c r="GO925" s="208"/>
      <c r="GP925" s="208"/>
      <c r="GQ925" s="208"/>
      <c r="GR925" s="208"/>
      <c r="GS925" s="208"/>
      <c r="GT925" s="208"/>
      <c r="GU925" s="213">
        <v>920</v>
      </c>
    </row>
    <row r="926" spans="1:203" s="7" customFormat="1">
      <c r="A926" s="4"/>
      <c r="B926" s="4"/>
      <c r="C926" s="4"/>
      <c r="D926" s="4"/>
      <c r="E926" s="4"/>
      <c r="F926" s="28"/>
      <c r="G926" s="28"/>
      <c r="H926" s="83"/>
      <c r="I926" s="4"/>
      <c r="J926" s="4"/>
      <c r="K926" s="4"/>
      <c r="L926" s="4"/>
      <c r="M926" s="4"/>
      <c r="N926" s="28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  <c r="AA926" s="4"/>
      <c r="AB926" s="4"/>
      <c r="AC926" s="4"/>
      <c r="AD926" s="4"/>
      <c r="AE926" s="4"/>
      <c r="AF926" s="81"/>
      <c r="AG926" s="81"/>
      <c r="AH926" s="81"/>
      <c r="AI926" s="4"/>
      <c r="AJ926" s="81"/>
      <c r="AK926" s="81"/>
      <c r="AL926" s="81"/>
      <c r="AM926" s="43">
        <v>910</v>
      </c>
      <c r="AN926">
        <v>261.9660939849295</v>
      </c>
      <c r="AO926">
        <v>26.667637824707761</v>
      </c>
      <c r="AP926">
        <v>135.94898612134352</v>
      </c>
      <c r="AQ926">
        <v>197.90159646691808</v>
      </c>
      <c r="AR926">
        <v>27.103810423637849</v>
      </c>
      <c r="AS926">
        <v>219.06716969403823</v>
      </c>
      <c r="AT926">
        <v>12.608037704147963</v>
      </c>
      <c r="AU926">
        <v>-6.8039793881423662</v>
      </c>
      <c r="AV926"/>
      <c r="AW926"/>
      <c r="FY926" s="213">
        <v>921</v>
      </c>
      <c r="FZ926">
        <v>45.156772051474711</v>
      </c>
      <c r="GA926">
        <v>54.215737027660488</v>
      </c>
      <c r="GB926">
        <v>12.259694073855403</v>
      </c>
      <c r="GC926">
        <v>5.2506444901501856</v>
      </c>
      <c r="GD926">
        <v>4.6403820270708351</v>
      </c>
      <c r="GE926">
        <v>4.4932744265408591</v>
      </c>
      <c r="GF926">
        <v>16.624817286994567</v>
      </c>
      <c r="GG926">
        <v>16.117495129719053</v>
      </c>
      <c r="GH926">
        <v>14.853411830451435</v>
      </c>
      <c r="GI926">
        <v>18.210272114570873</v>
      </c>
      <c r="GJ926"/>
      <c r="GK926"/>
      <c r="GL926"/>
      <c r="GM926"/>
      <c r="GN926" s="208"/>
      <c r="GO926" s="208"/>
      <c r="GP926" s="208"/>
      <c r="GQ926" s="208"/>
      <c r="GR926" s="208"/>
      <c r="GS926" s="208"/>
      <c r="GT926" s="208"/>
      <c r="GU926" s="213">
        <v>921</v>
      </c>
    </row>
    <row r="927" spans="1:203" s="7" customFormat="1">
      <c r="A927" s="4"/>
      <c r="B927" s="4"/>
      <c r="C927" s="4"/>
      <c r="D927" s="4"/>
      <c r="E927" s="4"/>
      <c r="F927" s="28"/>
      <c r="G927" s="28"/>
      <c r="H927" s="83"/>
      <c r="I927" s="4"/>
      <c r="J927" s="4"/>
      <c r="K927" s="4"/>
      <c r="L927" s="4"/>
      <c r="M927" s="4"/>
      <c r="N927" s="28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  <c r="AA927" s="4"/>
      <c r="AB927" s="4"/>
      <c r="AC927" s="4"/>
      <c r="AD927" s="4"/>
      <c r="AE927" s="4"/>
      <c r="AF927" s="81"/>
      <c r="AG927" s="81"/>
      <c r="AH927" s="81"/>
      <c r="AI927" s="4"/>
      <c r="AJ927" s="81"/>
      <c r="AK927" s="81"/>
      <c r="AL927" s="81"/>
      <c r="AM927" s="43">
        <v>911</v>
      </c>
      <c r="AN927">
        <v>337.75241377138673</v>
      </c>
      <c r="AO927">
        <v>25.354039142310654</v>
      </c>
      <c r="AP927">
        <v>104.98639835930888</v>
      </c>
      <c r="AQ927">
        <v>183.68655195955787</v>
      </c>
      <c r="AR927">
        <v>26.651040773488891</v>
      </c>
      <c r="AS927">
        <v>259.8692825943707</v>
      </c>
      <c r="AT927">
        <v>12.596542804768019</v>
      </c>
      <c r="AU927">
        <v>22.017555967680522</v>
      </c>
      <c r="AV927"/>
      <c r="AW927"/>
      <c r="FY927" s="213">
        <v>922</v>
      </c>
      <c r="FZ927">
        <v>47.045789756654905</v>
      </c>
      <c r="GA927">
        <v>41.086455650997358</v>
      </c>
      <c r="GB927">
        <v>7.0268653777711023</v>
      </c>
      <c r="GC927">
        <v>4.622788303817706</v>
      </c>
      <c r="GD927">
        <v>5.6848760273733916</v>
      </c>
      <c r="GE927">
        <v>8.0418602680870617</v>
      </c>
      <c r="GF927">
        <v>19.953849128234776</v>
      </c>
      <c r="GG927">
        <v>17.267926269625711</v>
      </c>
      <c r="GH927">
        <v>11.819426294995198</v>
      </c>
      <c r="GI927">
        <v>17.5960173727936</v>
      </c>
      <c r="GJ927"/>
      <c r="GK927"/>
      <c r="GL927"/>
      <c r="GM927"/>
      <c r="GN927" s="208"/>
      <c r="GO927" s="208"/>
      <c r="GP927" s="208"/>
      <c r="GQ927" s="208"/>
      <c r="GR927" s="208"/>
      <c r="GS927" s="208"/>
      <c r="GT927" s="208"/>
      <c r="GU927" s="213">
        <v>922</v>
      </c>
    </row>
    <row r="928" spans="1:203" s="7" customFormat="1">
      <c r="A928" s="4"/>
      <c r="B928" s="4"/>
      <c r="C928" s="4"/>
      <c r="D928" s="4"/>
      <c r="E928" s="4"/>
      <c r="F928" s="28"/>
      <c r="G928" s="28"/>
      <c r="H928" s="83"/>
      <c r="I928" s="4"/>
      <c r="J928" s="4"/>
      <c r="K928" s="4"/>
      <c r="L928" s="4"/>
      <c r="M928" s="4"/>
      <c r="N928" s="28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  <c r="AA928" s="4"/>
      <c r="AB928" s="4"/>
      <c r="AC928" s="4"/>
      <c r="AD928" s="4"/>
      <c r="AE928" s="4"/>
      <c r="AF928" s="81"/>
      <c r="AG928" s="81"/>
      <c r="AH928" s="81"/>
      <c r="AI928" s="4"/>
      <c r="AJ928" s="81"/>
      <c r="AK928" s="81"/>
      <c r="AL928" s="81"/>
      <c r="AM928" s="43">
        <v>912</v>
      </c>
      <c r="AN928">
        <v>270.12632681046125</v>
      </c>
      <c r="AO928">
        <v>26.367583255237257</v>
      </c>
      <c r="AP928">
        <v>53.11632877141151</v>
      </c>
      <c r="AQ928">
        <v>193.79375818513543</v>
      </c>
      <c r="AR928">
        <v>28.058121865469698</v>
      </c>
      <c r="AS928">
        <v>230.32606965492286</v>
      </c>
      <c r="AT928">
        <v>11.771722711579391</v>
      </c>
      <c r="AU928">
        <v>-7.3244978542188193</v>
      </c>
      <c r="AV928"/>
      <c r="AW928"/>
      <c r="FY928" s="213">
        <v>923</v>
      </c>
      <c r="FZ928">
        <v>54.285369884303599</v>
      </c>
      <c r="GA928">
        <v>43.88992326900398</v>
      </c>
      <c r="GB928">
        <v>7.3460433383866146</v>
      </c>
      <c r="GC928">
        <v>5.4149879158784051</v>
      </c>
      <c r="GD928">
        <v>4.8426629196411648</v>
      </c>
      <c r="GE928">
        <v>6.9402767296939354</v>
      </c>
      <c r="GF928">
        <v>5.8209783859177691</v>
      </c>
      <c r="GG928">
        <v>4.2926267785696961</v>
      </c>
      <c r="GH928">
        <v>18.944782175665438</v>
      </c>
      <c r="GI928">
        <v>16.854966489291066</v>
      </c>
      <c r="GJ928"/>
      <c r="GK928"/>
      <c r="GL928"/>
      <c r="GM928"/>
      <c r="GN928" s="208"/>
      <c r="GO928" s="208"/>
      <c r="GP928" s="208"/>
      <c r="GQ928" s="208"/>
      <c r="GR928" s="208"/>
      <c r="GS928" s="208"/>
      <c r="GT928" s="208"/>
      <c r="GU928" s="213">
        <v>923</v>
      </c>
    </row>
    <row r="929" spans="1:203" s="7" customFormat="1">
      <c r="A929" s="4"/>
      <c r="B929" s="4"/>
      <c r="C929" s="4"/>
      <c r="D929" s="4"/>
      <c r="E929" s="4"/>
      <c r="F929" s="28"/>
      <c r="G929" s="28"/>
      <c r="H929" s="83"/>
      <c r="I929" s="4"/>
      <c r="J929" s="4"/>
      <c r="K929" s="4"/>
      <c r="L929" s="4"/>
      <c r="M929" s="4"/>
      <c r="N929" s="28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  <c r="AA929" s="4"/>
      <c r="AB929" s="4"/>
      <c r="AC929" s="4"/>
      <c r="AD929" s="4"/>
      <c r="AE929" s="4"/>
      <c r="AF929" s="81"/>
      <c r="AG929" s="81"/>
      <c r="AH929" s="81"/>
      <c r="AI929" s="4"/>
      <c r="AJ929" s="81"/>
      <c r="AK929" s="81"/>
      <c r="AL929" s="81"/>
      <c r="AM929" s="43">
        <v>913</v>
      </c>
      <c r="AN929">
        <v>231.56840044106838</v>
      </c>
      <c r="AO929">
        <v>18.768310242109731</v>
      </c>
      <c r="AP929">
        <v>94.781045757573352</v>
      </c>
      <c r="AQ929">
        <v>138.90088663687439</v>
      </c>
      <c r="AR929">
        <v>21.475302871147363</v>
      </c>
      <c r="AS929">
        <v>211.51056673596563</v>
      </c>
      <c r="AT929">
        <v>11.601438665420808</v>
      </c>
      <c r="AU929">
        <v>-59.206792198367125</v>
      </c>
      <c r="AV929"/>
      <c r="AW929"/>
      <c r="FY929" s="213">
        <v>924</v>
      </c>
      <c r="FZ929">
        <v>70.206471736361351</v>
      </c>
      <c r="GA929">
        <v>54.352259578838044</v>
      </c>
      <c r="GB929">
        <v>7.2475544640785969</v>
      </c>
      <c r="GC929">
        <v>5.1453472727200182</v>
      </c>
      <c r="GD929">
        <v>4.874447736198869</v>
      </c>
      <c r="GE929">
        <v>5.1713607317101156</v>
      </c>
      <c r="GF929">
        <v>32.537495911646651</v>
      </c>
      <c r="GG929">
        <v>29.603018540226898</v>
      </c>
      <c r="GH929">
        <v>13.708732892812</v>
      </c>
      <c r="GI929">
        <v>23.096827981810723</v>
      </c>
      <c r="GJ929"/>
      <c r="GK929"/>
      <c r="GL929"/>
      <c r="GM929"/>
      <c r="GN929" s="208"/>
      <c r="GO929" s="208"/>
      <c r="GP929" s="208"/>
      <c r="GQ929" s="208"/>
      <c r="GR929" s="208"/>
      <c r="GS929" s="208"/>
      <c r="GT929" s="208"/>
      <c r="GU929" s="213">
        <v>924</v>
      </c>
    </row>
    <row r="930" spans="1:203" s="7" customFormat="1">
      <c r="A930" s="4"/>
      <c r="B930" s="4"/>
      <c r="C930" s="4"/>
      <c r="D930" s="4"/>
      <c r="E930" s="4"/>
      <c r="F930" s="28"/>
      <c r="G930" s="28"/>
      <c r="H930" s="83"/>
      <c r="I930" s="4"/>
      <c r="J930" s="4"/>
      <c r="K930" s="4"/>
      <c r="L930" s="4"/>
      <c r="M930" s="4"/>
      <c r="N930" s="28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  <c r="AA930" s="4"/>
      <c r="AB930" s="4"/>
      <c r="AC930" s="4"/>
      <c r="AD930" s="4"/>
      <c r="AE930" s="4"/>
      <c r="AF930" s="81"/>
      <c r="AG930" s="81"/>
      <c r="AH930" s="81"/>
      <c r="AI930" s="4"/>
      <c r="AJ930" s="81"/>
      <c r="AK930" s="81"/>
      <c r="AL930" s="81"/>
      <c r="AM930" s="43">
        <v>914</v>
      </c>
      <c r="AN930">
        <v>324.17664004254499</v>
      </c>
      <c r="AO930">
        <v>30.042377384046517</v>
      </c>
      <c r="AP930">
        <v>132.03710710148948</v>
      </c>
      <c r="AQ930">
        <v>212.10403678055911</v>
      </c>
      <c r="AR930">
        <v>29.15856638584447</v>
      </c>
      <c r="AS930">
        <v>249.88625839938985</v>
      </c>
      <c r="AT930">
        <v>13.789530926932166</v>
      </c>
      <c r="AU930">
        <v>56.866921318934416</v>
      </c>
      <c r="AV930"/>
      <c r="AW930"/>
      <c r="FY930" s="213">
        <v>925</v>
      </c>
      <c r="FZ930">
        <v>60.779134186918235</v>
      </c>
      <c r="GA930">
        <v>68.064617072501605</v>
      </c>
      <c r="GB930">
        <v>13.480213145220628</v>
      </c>
      <c r="GC930">
        <v>5.9138898641600326</v>
      </c>
      <c r="GD930">
        <v>5.1954480151678917</v>
      </c>
      <c r="GE930">
        <v>5.62527512591081</v>
      </c>
      <c r="GF930">
        <v>17.58223205125806</v>
      </c>
      <c r="GG930">
        <v>15.769836097713158</v>
      </c>
      <c r="GH930">
        <v>18.314378674772307</v>
      </c>
      <c r="GI930">
        <v>21.876687474576453</v>
      </c>
      <c r="GJ930"/>
      <c r="GK930"/>
      <c r="GL930"/>
      <c r="GM930"/>
      <c r="GN930" s="208"/>
      <c r="GO930" s="208"/>
      <c r="GP930" s="208"/>
      <c r="GQ930" s="208"/>
      <c r="GR930" s="208"/>
      <c r="GS930" s="208"/>
      <c r="GT930" s="208"/>
      <c r="GU930" s="213">
        <v>925</v>
      </c>
    </row>
    <row r="931" spans="1:203" s="7" customFormat="1">
      <c r="A931" s="4"/>
      <c r="B931" s="4"/>
      <c r="C931" s="4"/>
      <c r="D931" s="4"/>
      <c r="E931" s="4"/>
      <c r="F931" s="28"/>
      <c r="G931" s="28"/>
      <c r="H931" s="83"/>
      <c r="I931" s="4"/>
      <c r="J931" s="4"/>
      <c r="K931" s="4"/>
      <c r="L931" s="4"/>
      <c r="M931" s="4"/>
      <c r="N931" s="28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  <c r="AA931" s="4"/>
      <c r="AB931" s="4"/>
      <c r="AC931" s="4"/>
      <c r="AD931" s="4"/>
      <c r="AE931" s="4"/>
      <c r="AF931" s="81"/>
      <c r="AG931" s="81"/>
      <c r="AH931" s="81"/>
      <c r="AI931" s="4"/>
      <c r="AJ931" s="81"/>
      <c r="AK931" s="81"/>
      <c r="AL931" s="81"/>
      <c r="AM931" s="43">
        <v>915</v>
      </c>
      <c r="AN931">
        <v>317.7369931733212</v>
      </c>
      <c r="AO931">
        <v>19.59700606149498</v>
      </c>
      <c r="AP931">
        <v>117.97903822950401</v>
      </c>
      <c r="AQ931">
        <v>130.95982493881934</v>
      </c>
      <c r="AR931">
        <v>20.405243121517</v>
      </c>
      <c r="AS931">
        <v>211.9804533583025</v>
      </c>
      <c r="AT931">
        <v>11.632644545594687</v>
      </c>
      <c r="AU931">
        <v>143.04376667722352</v>
      </c>
      <c r="AV931"/>
      <c r="AW931"/>
      <c r="FY931" s="213">
        <v>926</v>
      </c>
      <c r="FZ931">
        <v>47.828997653028821</v>
      </c>
      <c r="GA931">
        <v>51.372097729132527</v>
      </c>
      <c r="GB931">
        <v>16.195663644326828</v>
      </c>
      <c r="GC931">
        <v>5.172768704367483</v>
      </c>
      <c r="GD931">
        <v>3.6956772298593998</v>
      </c>
      <c r="GE931">
        <v>2.7207646259415883</v>
      </c>
      <c r="GF931">
        <v>8.7590086722542111</v>
      </c>
      <c r="GG931">
        <v>10.722453225670366</v>
      </c>
      <c r="GH931">
        <v>17.29753869985775</v>
      </c>
      <c r="GI931">
        <v>18.174012894143274</v>
      </c>
      <c r="GJ931"/>
      <c r="GK931"/>
      <c r="GL931"/>
      <c r="GM931"/>
      <c r="GN931" s="208"/>
      <c r="GO931" s="208"/>
      <c r="GP931" s="208"/>
      <c r="GQ931" s="208"/>
      <c r="GR931" s="208"/>
      <c r="GS931" s="208"/>
      <c r="GT931" s="208"/>
      <c r="GU931" s="213">
        <v>926</v>
      </c>
    </row>
    <row r="932" spans="1:203" s="7" customFormat="1">
      <c r="A932" s="4"/>
      <c r="B932" s="4"/>
      <c r="C932" s="4"/>
      <c r="D932" s="4"/>
      <c r="E932" s="4"/>
      <c r="F932" s="28"/>
      <c r="G932" s="28"/>
      <c r="H932" s="83"/>
      <c r="I932" s="4"/>
      <c r="J932" s="4"/>
      <c r="K932" s="4"/>
      <c r="L932" s="4"/>
      <c r="M932" s="4"/>
      <c r="N932" s="28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  <c r="AA932" s="4"/>
      <c r="AB932" s="4"/>
      <c r="AC932" s="4"/>
      <c r="AD932" s="4"/>
      <c r="AE932" s="4"/>
      <c r="AF932" s="81"/>
      <c r="AG932" s="81"/>
      <c r="AH932" s="81"/>
      <c r="AI932" s="4"/>
      <c r="AJ932" s="81"/>
      <c r="AK932" s="81"/>
      <c r="AL932" s="81"/>
      <c r="AM932" s="43">
        <v>916</v>
      </c>
      <c r="AN932">
        <v>344.64720218742605</v>
      </c>
      <c r="AO932">
        <v>30.675371421635909</v>
      </c>
      <c r="AP932">
        <v>95.097243409336187</v>
      </c>
      <c r="AQ932">
        <v>216.19021404603438</v>
      </c>
      <c r="AR932">
        <v>31.818037760483662</v>
      </c>
      <c r="AS932">
        <v>280.26772483835015</v>
      </c>
      <c r="AT932">
        <v>14.206772131881122</v>
      </c>
      <c r="AU932">
        <v>53.950886477514025</v>
      </c>
      <c r="AV932"/>
      <c r="AW932"/>
      <c r="FY932" s="213">
        <v>927</v>
      </c>
      <c r="FZ932">
        <v>44.183606547873147</v>
      </c>
      <c r="GA932">
        <v>48.869368951858327</v>
      </c>
      <c r="GB932">
        <v>11.767031528302047</v>
      </c>
      <c r="GC932">
        <v>7.9960171409047298</v>
      </c>
      <c r="GD932">
        <v>5.8742087649821508</v>
      </c>
      <c r="GE932">
        <v>5.2912324432319009</v>
      </c>
      <c r="GF932">
        <v>18.957521140548977</v>
      </c>
      <c r="GG932">
        <v>14.997219740332168</v>
      </c>
      <c r="GH932">
        <v>25.024553105798464</v>
      </c>
      <c r="GI932">
        <v>20.699749678162419</v>
      </c>
      <c r="GJ932"/>
      <c r="GK932"/>
      <c r="GL932"/>
      <c r="GM932"/>
      <c r="GN932" s="208"/>
      <c r="GO932" s="208"/>
      <c r="GP932" s="208"/>
      <c r="GQ932" s="208"/>
      <c r="GR932" s="208"/>
      <c r="GS932" s="208"/>
      <c r="GT932" s="208"/>
      <c r="GU932" s="213">
        <v>927</v>
      </c>
    </row>
    <row r="933" spans="1:203" s="7" customFormat="1">
      <c r="A933" s="4"/>
      <c r="B933" s="4"/>
      <c r="C933" s="4"/>
      <c r="D933" s="4"/>
      <c r="E933" s="4"/>
      <c r="F933" s="28"/>
      <c r="G933" s="28"/>
      <c r="H933" s="83"/>
      <c r="I933" s="4"/>
      <c r="J933" s="4"/>
      <c r="K933" s="4"/>
      <c r="L933" s="4"/>
      <c r="M933" s="4"/>
      <c r="N933" s="28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  <c r="AA933" s="4"/>
      <c r="AB933" s="4"/>
      <c r="AC933" s="4"/>
      <c r="AD933" s="4"/>
      <c r="AE933" s="4"/>
      <c r="AF933" s="81"/>
      <c r="AG933" s="81"/>
      <c r="AH933" s="81"/>
      <c r="AI933" s="4"/>
      <c r="AJ933" s="81"/>
      <c r="AK933" s="81"/>
      <c r="AL933" s="81"/>
      <c r="AM933" s="43">
        <v>917</v>
      </c>
      <c r="AN933">
        <v>367.92983356815819</v>
      </c>
      <c r="AO933">
        <v>34.690123401363309</v>
      </c>
      <c r="AP933">
        <v>103.02070768205442</v>
      </c>
      <c r="AQ933">
        <v>269.16608378763692</v>
      </c>
      <c r="AR933">
        <v>35.395918050502871</v>
      </c>
      <c r="AS933">
        <v>311.93493188459274</v>
      </c>
      <c r="AT933">
        <v>16.863708649956358</v>
      </c>
      <c r="AU933">
        <v>-7.8216185490423662</v>
      </c>
      <c r="AV933"/>
      <c r="AW933"/>
      <c r="FY933" s="213">
        <v>928</v>
      </c>
      <c r="FZ933">
        <v>37.632332483888455</v>
      </c>
      <c r="GA933">
        <v>47.378691004631932</v>
      </c>
      <c r="GB933">
        <v>12.413375819334981</v>
      </c>
      <c r="GC933">
        <v>7.091280574941135</v>
      </c>
      <c r="GD933">
        <v>5.1853470450038683</v>
      </c>
      <c r="GE933">
        <v>4.0188495542912577</v>
      </c>
      <c r="GF933">
        <v>17.74179456574571</v>
      </c>
      <c r="GG933">
        <v>16.973313077329461</v>
      </c>
      <c r="GH933">
        <v>21.393156055773822</v>
      </c>
      <c r="GI933">
        <v>18.644673292647983</v>
      </c>
      <c r="GJ933"/>
      <c r="GK933"/>
      <c r="GL933"/>
      <c r="GM933"/>
      <c r="GN933" s="208"/>
      <c r="GO933" s="208"/>
      <c r="GP933" s="208"/>
      <c r="GQ933" s="208"/>
      <c r="GR933" s="208"/>
      <c r="GS933" s="208"/>
      <c r="GT933" s="208"/>
      <c r="GU933" s="213">
        <v>928</v>
      </c>
    </row>
    <row r="934" spans="1:203" s="7" customFormat="1">
      <c r="A934" s="4"/>
      <c r="B934" s="4"/>
      <c r="C934" s="4"/>
      <c r="D934" s="4"/>
      <c r="E934" s="4"/>
      <c r="F934" s="28"/>
      <c r="G934" s="28"/>
      <c r="H934" s="83"/>
      <c r="I934" s="4"/>
      <c r="J934" s="4"/>
      <c r="K934" s="4"/>
      <c r="L934" s="4"/>
      <c r="M934" s="4"/>
      <c r="N934" s="28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  <c r="AA934" s="4"/>
      <c r="AB934" s="4"/>
      <c r="AC934" s="4"/>
      <c r="AD934" s="4"/>
      <c r="AE934" s="4"/>
      <c r="AF934" s="81"/>
      <c r="AG934" s="81"/>
      <c r="AH934" s="81"/>
      <c r="AI934" s="4"/>
      <c r="AJ934" s="81"/>
      <c r="AK934" s="81"/>
      <c r="AL934" s="81"/>
      <c r="AM934" s="43">
        <v>918</v>
      </c>
      <c r="AN934">
        <v>377.69119452037859</v>
      </c>
      <c r="AO934">
        <v>34.998537723373907</v>
      </c>
      <c r="AP934">
        <v>110.16114721785884</v>
      </c>
      <c r="AQ934">
        <v>260.74531652293331</v>
      </c>
      <c r="AR934">
        <v>35.22804008199769</v>
      </c>
      <c r="AS934">
        <v>313.53581757214761</v>
      </c>
      <c r="AT934">
        <v>16.694707191605357</v>
      </c>
      <c r="AU934">
        <v>36.668984675874476</v>
      </c>
      <c r="AV934"/>
      <c r="AW934"/>
      <c r="FY934" s="213">
        <v>929</v>
      </c>
      <c r="FZ934">
        <v>60.853708971564203</v>
      </c>
      <c r="GA934">
        <v>79.562868651314176</v>
      </c>
      <c r="GB934">
        <v>12.141982795061272</v>
      </c>
      <c r="GC934">
        <v>5.6030050676411252</v>
      </c>
      <c r="GD934">
        <v>5.9855176145423501</v>
      </c>
      <c r="GE934">
        <v>9.28475119332834</v>
      </c>
      <c r="GF934">
        <v>26.316060925761281</v>
      </c>
      <c r="GG934">
        <v>22.758668730833115</v>
      </c>
      <c r="GH934">
        <v>12.233960147842472</v>
      </c>
      <c r="GI934">
        <v>22.554297792630106</v>
      </c>
      <c r="GJ934"/>
      <c r="GK934"/>
      <c r="GL934"/>
      <c r="GM934"/>
      <c r="GN934" s="208"/>
      <c r="GO934" s="208"/>
      <c r="GP934" s="208"/>
      <c r="GQ934" s="208"/>
      <c r="GR934" s="208"/>
      <c r="GS934" s="208"/>
      <c r="GT934" s="208"/>
      <c r="GU934" s="213">
        <v>929</v>
      </c>
    </row>
    <row r="935" spans="1:203" s="7" customFormat="1">
      <c r="A935" s="4"/>
      <c r="B935" s="4"/>
      <c r="C935" s="4"/>
      <c r="D935" s="4"/>
      <c r="E935" s="4"/>
      <c r="F935" s="28"/>
      <c r="G935" s="28"/>
      <c r="H935" s="83"/>
      <c r="I935" s="4"/>
      <c r="J935" s="4"/>
      <c r="K935" s="4"/>
      <c r="L935" s="4"/>
      <c r="M935" s="4"/>
      <c r="N935" s="28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  <c r="AA935" s="4"/>
      <c r="AB935" s="4"/>
      <c r="AC935" s="4"/>
      <c r="AD935" s="4"/>
      <c r="AE935" s="4"/>
      <c r="AF935" s="81"/>
      <c r="AG935" s="81"/>
      <c r="AH935" s="81"/>
      <c r="AI935" s="4"/>
      <c r="AJ935" s="81"/>
      <c r="AK935" s="81"/>
      <c r="AL935" s="81"/>
      <c r="AM935" s="43">
        <v>919</v>
      </c>
      <c r="AN935">
        <v>310.7022858305686</v>
      </c>
      <c r="AO935">
        <v>20.434392530234756</v>
      </c>
      <c r="AP935">
        <v>84.045337426147285</v>
      </c>
      <c r="AQ935">
        <v>145.41462762355283</v>
      </c>
      <c r="AR935">
        <v>21.680279846403977</v>
      </c>
      <c r="AS935">
        <v>232.32143076556892</v>
      </c>
      <c r="AT935">
        <v>11.341787144253537</v>
      </c>
      <c r="AU935">
        <v>86.230095978013253</v>
      </c>
      <c r="AV935"/>
      <c r="AW935"/>
      <c r="FY935" s="213">
        <v>930</v>
      </c>
      <c r="FZ935">
        <v>55.957647954824658</v>
      </c>
      <c r="GA935">
        <v>69.956271825991692</v>
      </c>
      <c r="GB935">
        <v>21.305911845334805</v>
      </c>
      <c r="GC935">
        <v>6.5226128738615134</v>
      </c>
      <c r="GD935">
        <v>4.3995869270986558</v>
      </c>
      <c r="GE935">
        <v>4.8400397460101861</v>
      </c>
      <c r="GF935">
        <v>19.79399910912954</v>
      </c>
      <c r="GG935">
        <v>17.020000191346089</v>
      </c>
      <c r="GH935">
        <v>10.795814456928607</v>
      </c>
      <c r="GI935">
        <v>22.188830944602795</v>
      </c>
      <c r="GJ935"/>
      <c r="GK935"/>
      <c r="GL935"/>
      <c r="GM935"/>
      <c r="GN935" s="208"/>
      <c r="GO935" s="208"/>
      <c r="GP935" s="208"/>
      <c r="GQ935" s="208"/>
      <c r="GR935" s="208"/>
      <c r="GS935" s="208"/>
      <c r="GT935" s="208"/>
      <c r="GU935" s="213">
        <v>930</v>
      </c>
    </row>
    <row r="936" spans="1:203" s="7" customFormat="1">
      <c r="A936" s="4"/>
      <c r="B936" s="4"/>
      <c r="C936" s="4"/>
      <c r="D936" s="4"/>
      <c r="E936" s="4"/>
      <c r="F936" s="28"/>
      <c r="G936" s="28"/>
      <c r="H936" s="83"/>
      <c r="I936" s="4"/>
      <c r="J936" s="4"/>
      <c r="K936" s="4"/>
      <c r="L936" s="4"/>
      <c r="M936" s="4"/>
      <c r="N936" s="28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  <c r="AA936" s="4"/>
      <c r="AB936" s="4"/>
      <c r="AC936" s="4"/>
      <c r="AD936" s="4"/>
      <c r="AE936" s="4"/>
      <c r="AF936" s="81"/>
      <c r="AG936" s="81"/>
      <c r="AH936" s="81"/>
      <c r="AI936" s="4"/>
      <c r="AJ936" s="81"/>
      <c r="AK936" s="81"/>
      <c r="AL936" s="81"/>
      <c r="AM936" s="43">
        <v>920</v>
      </c>
      <c r="AN936">
        <v>365.08549882524022</v>
      </c>
      <c r="AO936">
        <v>30.407237497837695</v>
      </c>
      <c r="AP936">
        <v>112.86882066877283</v>
      </c>
      <c r="AQ936">
        <v>215.97852000455833</v>
      </c>
      <c r="AR936">
        <v>29.894733982275195</v>
      </c>
      <c r="AS936">
        <v>284.15865646228008</v>
      </c>
      <c r="AT936">
        <v>12.897995930355705</v>
      </c>
      <c r="AU936">
        <v>9.66300644588976</v>
      </c>
      <c r="AV936"/>
      <c r="AW936"/>
      <c r="FY936" s="213">
        <v>931</v>
      </c>
      <c r="FZ936">
        <v>30.97461726634851</v>
      </c>
      <c r="GA936">
        <v>55.055400321810716</v>
      </c>
      <c r="GB936">
        <v>20.05933532224924</v>
      </c>
      <c r="GC936">
        <v>6.172411249021077</v>
      </c>
      <c r="GD936">
        <v>5.8688978115764119</v>
      </c>
      <c r="GE936">
        <v>6.7462702182297107</v>
      </c>
      <c r="GF936">
        <v>23.712897992850639</v>
      </c>
      <c r="GG936">
        <v>20.460874725867175</v>
      </c>
      <c r="GH936">
        <v>10.686966165230642</v>
      </c>
      <c r="GI936">
        <v>19.826269533660813</v>
      </c>
      <c r="GJ936"/>
      <c r="GK936"/>
      <c r="GL936"/>
      <c r="GM936"/>
      <c r="GN936" s="208"/>
      <c r="GO936" s="208"/>
      <c r="GP936" s="208"/>
      <c r="GQ936" s="208"/>
      <c r="GR936" s="208"/>
      <c r="GS936" s="208"/>
      <c r="GT936" s="208"/>
      <c r="GU936" s="213">
        <v>931</v>
      </c>
    </row>
    <row r="937" spans="1:203" s="7" customFormat="1">
      <c r="A937" s="4"/>
      <c r="B937" s="4"/>
      <c r="C937" s="4"/>
      <c r="D937" s="4"/>
      <c r="E937" s="4"/>
      <c r="F937" s="28"/>
      <c r="G937" s="28"/>
      <c r="H937" s="83"/>
      <c r="I937" s="4"/>
      <c r="J937" s="4"/>
      <c r="K937" s="4"/>
      <c r="L937" s="4"/>
      <c r="M937" s="4"/>
      <c r="N937" s="28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  <c r="AA937" s="4"/>
      <c r="AB937" s="4"/>
      <c r="AC937" s="4"/>
      <c r="AD937" s="4"/>
      <c r="AE937" s="4"/>
      <c r="AF937" s="81"/>
      <c r="AG937" s="81"/>
      <c r="AH937" s="81"/>
      <c r="AI937" s="4"/>
      <c r="AJ937" s="81"/>
      <c r="AK937" s="81"/>
      <c r="AL937" s="81"/>
      <c r="AM937" s="43">
        <v>921</v>
      </c>
      <c r="AN937">
        <v>283.02449435019315</v>
      </c>
      <c r="AO937">
        <v>26.461275863062678</v>
      </c>
      <c r="AP937">
        <v>69.886575510976797</v>
      </c>
      <c r="AQ937">
        <v>191.82250045848841</v>
      </c>
      <c r="AR937">
        <v>27.162868466653109</v>
      </c>
      <c r="AS937">
        <v>229.9245380121761</v>
      </c>
      <c r="AT937">
        <v>10.900941121885189</v>
      </c>
      <c r="AU937">
        <v>9.6477720982231752</v>
      </c>
      <c r="AV937"/>
      <c r="AW937"/>
      <c r="FY937" s="213">
        <v>932</v>
      </c>
      <c r="FZ937">
        <v>33.851256021925579</v>
      </c>
      <c r="GA937">
        <v>48.334680235736201</v>
      </c>
      <c r="GB937">
        <v>17.160863462816131</v>
      </c>
      <c r="GC937">
        <v>6.0933357721029591</v>
      </c>
      <c r="GD937">
        <v>4.181354096902373</v>
      </c>
      <c r="GE937">
        <v>4.0820812706112202</v>
      </c>
      <c r="GF937">
        <v>24.464203382617612</v>
      </c>
      <c r="GG937">
        <v>21.599370517441248</v>
      </c>
      <c r="GH937">
        <v>14.023233535780582</v>
      </c>
      <c r="GI937">
        <v>19.117763225943353</v>
      </c>
      <c r="GJ937"/>
      <c r="GK937"/>
      <c r="GL937"/>
      <c r="GM937"/>
      <c r="GN937" s="208"/>
      <c r="GO937" s="208"/>
      <c r="GP937" s="208"/>
      <c r="GQ937" s="208"/>
      <c r="GR937" s="208"/>
      <c r="GS937" s="208"/>
      <c r="GT937" s="208"/>
      <c r="GU937" s="213">
        <v>932</v>
      </c>
    </row>
    <row r="938" spans="1:203" s="7" customFormat="1">
      <c r="A938" s="4"/>
      <c r="B938" s="4"/>
      <c r="C938" s="4"/>
      <c r="D938" s="4"/>
      <c r="E938" s="4"/>
      <c r="F938" s="28"/>
      <c r="G938" s="28"/>
      <c r="H938" s="83"/>
      <c r="I938" s="4"/>
      <c r="J938" s="4"/>
      <c r="K938" s="4"/>
      <c r="L938" s="4"/>
      <c r="M938" s="4"/>
      <c r="N938" s="28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  <c r="AA938" s="4"/>
      <c r="AB938" s="4"/>
      <c r="AC938" s="4"/>
      <c r="AD938" s="4"/>
      <c r="AE938" s="4"/>
      <c r="AF938" s="81"/>
      <c r="AG938" s="81"/>
      <c r="AH938" s="81"/>
      <c r="AI938" s="4"/>
      <c r="AJ938" s="81"/>
      <c r="AK938" s="81"/>
      <c r="AL938" s="81"/>
      <c r="AM938" s="43">
        <v>922</v>
      </c>
      <c r="AN938">
        <v>307.9598900629868</v>
      </c>
      <c r="AO938">
        <v>24.554951897467227</v>
      </c>
      <c r="AP938">
        <v>75.038456787596317</v>
      </c>
      <c r="AQ938">
        <v>180.14585445035081</v>
      </c>
      <c r="AR938">
        <v>25.44606317682398</v>
      </c>
      <c r="AS938">
        <v>243.90467391556163</v>
      </c>
      <c r="AT938">
        <v>12.902930274212153</v>
      </c>
      <c r="AU938">
        <v>15.924126702516469</v>
      </c>
      <c r="AV938"/>
      <c r="AW938"/>
      <c r="FY938" s="213">
        <v>933</v>
      </c>
      <c r="FZ938">
        <v>49.119411615544166</v>
      </c>
      <c r="GA938">
        <v>47.700109262648262</v>
      </c>
      <c r="GB938">
        <v>8.6104937725879456</v>
      </c>
      <c r="GC938">
        <v>8.8564208882047062</v>
      </c>
      <c r="GD938">
        <v>6.7738731045422691</v>
      </c>
      <c r="GE938">
        <v>5.7181032887848966</v>
      </c>
      <c r="GF938">
        <v>9.4731345574935926</v>
      </c>
      <c r="GG938">
        <v>6.4779515530035043</v>
      </c>
      <c r="GH938">
        <v>11.747642989820294</v>
      </c>
      <c r="GI938">
        <v>17.050337327240197</v>
      </c>
      <c r="GJ938"/>
      <c r="GK938"/>
      <c r="GL938"/>
      <c r="GM938"/>
      <c r="GN938" s="208"/>
      <c r="GO938" s="208"/>
      <c r="GP938" s="208"/>
      <c r="GQ938" s="208"/>
      <c r="GR938" s="208"/>
      <c r="GS938" s="208"/>
      <c r="GT938" s="208"/>
      <c r="GU938" s="213">
        <v>933</v>
      </c>
    </row>
    <row r="939" spans="1:203" s="7" customFormat="1">
      <c r="A939" s="4"/>
      <c r="B939" s="4"/>
      <c r="C939" s="4"/>
      <c r="D939" s="4"/>
      <c r="E939" s="4"/>
      <c r="F939" s="28"/>
      <c r="G939" s="28"/>
      <c r="H939" s="83"/>
      <c r="I939" s="4"/>
      <c r="J939" s="4"/>
      <c r="K939" s="4"/>
      <c r="L939" s="4"/>
      <c r="M939" s="4"/>
      <c r="N939" s="28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  <c r="AA939" s="4"/>
      <c r="AB939" s="4"/>
      <c r="AC939" s="4"/>
      <c r="AD939" s="4"/>
      <c r="AE939" s="4"/>
      <c r="AF939" s="81"/>
      <c r="AG939" s="81"/>
      <c r="AH939" s="81"/>
      <c r="AI939" s="4"/>
      <c r="AJ939" s="81"/>
      <c r="AK939" s="81"/>
      <c r="AL939" s="81"/>
      <c r="AM939" s="43">
        <v>923</v>
      </c>
      <c r="AN939">
        <v>281.08193883024308</v>
      </c>
      <c r="AO939">
        <v>22.654720675681052</v>
      </c>
      <c r="AP939">
        <v>96.738150505158899</v>
      </c>
      <c r="AQ939">
        <v>168.63261788635165</v>
      </c>
      <c r="AR939">
        <v>24.7538430753551</v>
      </c>
      <c r="AS939">
        <v>209.65606700756112</v>
      </c>
      <c r="AT939">
        <v>12.260583910789096</v>
      </c>
      <c r="AU939">
        <v>27.346915427283413</v>
      </c>
      <c r="AV939"/>
      <c r="AW939"/>
      <c r="FY939" s="213">
        <v>934</v>
      </c>
      <c r="FZ939">
        <v>42.501940523084301</v>
      </c>
      <c r="GA939">
        <v>52.326815013469982</v>
      </c>
      <c r="GB939">
        <v>9.5494457796474812</v>
      </c>
      <c r="GC939">
        <v>7.2051570697559129</v>
      </c>
      <c r="GD939">
        <v>5.8431672164948294</v>
      </c>
      <c r="GE939">
        <v>7.1112002363779752</v>
      </c>
      <c r="GF939">
        <v>18.630960153346535</v>
      </c>
      <c r="GG939">
        <v>15.631083170504299</v>
      </c>
      <c r="GH939">
        <v>13.723335911442705</v>
      </c>
      <c r="GI939">
        <v>17.814156372046668</v>
      </c>
      <c r="GJ939"/>
      <c r="GK939"/>
      <c r="GL939"/>
      <c r="GM939"/>
      <c r="GN939" s="208"/>
      <c r="GO939" s="208"/>
      <c r="GP939" s="208"/>
      <c r="GQ939" s="208"/>
      <c r="GR939" s="208"/>
      <c r="GS939" s="208"/>
      <c r="GT939" s="208"/>
      <c r="GU939" s="213">
        <v>934</v>
      </c>
    </row>
    <row r="940" spans="1:203" s="7" customFormat="1">
      <c r="A940" s="4"/>
      <c r="B940" s="4"/>
      <c r="C940" s="4"/>
      <c r="D940" s="4"/>
      <c r="E940" s="4"/>
      <c r="F940" s="28"/>
      <c r="G940" s="28"/>
      <c r="H940" s="83"/>
      <c r="I940" s="4"/>
      <c r="J940" s="4"/>
      <c r="K940" s="4"/>
      <c r="L940" s="4"/>
      <c r="M940" s="4"/>
      <c r="N940" s="28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  <c r="AA940" s="4"/>
      <c r="AB940" s="4"/>
      <c r="AC940" s="4"/>
      <c r="AD940" s="4"/>
      <c r="AE940" s="4"/>
      <c r="AF940" s="81"/>
      <c r="AG940" s="81"/>
      <c r="AH940" s="81"/>
      <c r="AI940" s="4"/>
      <c r="AJ940" s="81"/>
      <c r="AK940" s="81"/>
      <c r="AL940" s="81"/>
      <c r="AM940" s="43">
        <v>924</v>
      </c>
      <c r="AN940">
        <v>324.42068963680919</v>
      </c>
      <c r="AO940">
        <v>32.348216672066286</v>
      </c>
      <c r="AP940">
        <v>97.966568828517126</v>
      </c>
      <c r="AQ940">
        <v>245.9435168464033</v>
      </c>
      <c r="AR940">
        <v>34.132959371629624</v>
      </c>
      <c r="AS940">
        <v>305.62982250177839</v>
      </c>
      <c r="AT940">
        <v>16.99087618708241</v>
      </c>
      <c r="AU940">
        <v>56.626623545829176</v>
      </c>
      <c r="AV940"/>
      <c r="AW940"/>
      <c r="FY940" s="213">
        <v>935</v>
      </c>
      <c r="FZ940">
        <v>61.842318940064253</v>
      </c>
      <c r="GA940">
        <v>34.324027016327058</v>
      </c>
      <c r="GB940">
        <v>7.2114735355245951</v>
      </c>
      <c r="GC940">
        <v>5.4244983561493116</v>
      </c>
      <c r="GD940">
        <v>3.9583375410223334</v>
      </c>
      <c r="GE940">
        <v>4.3695946251384408</v>
      </c>
      <c r="GF940">
        <v>25.747360083382201</v>
      </c>
      <c r="GG940">
        <v>21.428873359935356</v>
      </c>
      <c r="GH940">
        <v>14.515531083214015</v>
      </c>
      <c r="GI940">
        <v>20.27102865239231</v>
      </c>
      <c r="GJ940"/>
      <c r="GK940"/>
      <c r="GL940"/>
      <c r="GM940"/>
      <c r="GN940" s="208"/>
      <c r="GO940" s="208"/>
      <c r="GP940" s="208"/>
      <c r="GQ940" s="208"/>
      <c r="GR940" s="208"/>
      <c r="GS940" s="208"/>
      <c r="GT940" s="208"/>
      <c r="GU940" s="213">
        <v>935</v>
      </c>
    </row>
    <row r="941" spans="1:203" s="7" customFormat="1">
      <c r="A941" s="4"/>
      <c r="B941" s="4"/>
      <c r="C941" s="4"/>
      <c r="D941" s="4"/>
      <c r="E941" s="4"/>
      <c r="F941" s="28"/>
      <c r="G941" s="28"/>
      <c r="H941" s="83"/>
      <c r="I941" s="4"/>
      <c r="J941" s="4"/>
      <c r="K941" s="4"/>
      <c r="L941" s="4"/>
      <c r="M941" s="4"/>
      <c r="N941" s="28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  <c r="AA941" s="4"/>
      <c r="AB941" s="4"/>
      <c r="AC941" s="4"/>
      <c r="AD941" s="4"/>
      <c r="AE941" s="4"/>
      <c r="AF941" s="81"/>
      <c r="AG941" s="81"/>
      <c r="AH941" s="81"/>
      <c r="AI941" s="4"/>
      <c r="AJ941" s="81"/>
      <c r="AK941" s="81"/>
      <c r="AL941" s="81"/>
      <c r="AM941" s="43">
        <v>925</v>
      </c>
      <c r="AN941">
        <v>314.25257519016498</v>
      </c>
      <c r="AO941">
        <v>31.187341314836555</v>
      </c>
      <c r="AP941">
        <v>93.473959083092495</v>
      </c>
      <c r="AQ941">
        <v>232.60171170819919</v>
      </c>
      <c r="AR941">
        <v>32.30841927616359</v>
      </c>
      <c r="AS941">
        <v>282.65212464979749</v>
      </c>
      <c r="AT941">
        <v>14.548169741527154</v>
      </c>
      <c r="AU941">
        <v>0.29597637998281456</v>
      </c>
      <c r="AV941"/>
      <c r="AW941"/>
      <c r="FY941" s="213">
        <v>936</v>
      </c>
      <c r="FZ941">
        <v>44.252366141359282</v>
      </c>
      <c r="GA941">
        <v>72.560768953877243</v>
      </c>
      <c r="GB941">
        <v>17.322118448947844</v>
      </c>
      <c r="GC941">
        <v>5.6856178440606957</v>
      </c>
      <c r="GD941">
        <v>3.1000206786708171</v>
      </c>
      <c r="GE941">
        <v>1.2795008216572787</v>
      </c>
      <c r="GF941">
        <v>8.5790593368150425</v>
      </c>
      <c r="GG941">
        <v>10.000152737205855</v>
      </c>
      <c r="GH941">
        <v>8.0596178567541479</v>
      </c>
      <c r="GI941">
        <v>16.246821292765027</v>
      </c>
      <c r="GJ941"/>
      <c r="GK941"/>
      <c r="GL941"/>
      <c r="GM941"/>
      <c r="GN941" s="208"/>
      <c r="GO941" s="208"/>
      <c r="GP941" s="208"/>
      <c r="GQ941" s="208"/>
      <c r="GR941" s="208"/>
      <c r="GS941" s="208"/>
      <c r="GT941" s="208"/>
      <c r="GU941" s="213">
        <v>936</v>
      </c>
    </row>
    <row r="942" spans="1:203" s="7" customFormat="1">
      <c r="A942" s="4"/>
      <c r="B942" s="4"/>
      <c r="C942" s="4"/>
      <c r="D942" s="4"/>
      <c r="E942" s="4"/>
      <c r="F942" s="28"/>
      <c r="G942" s="28"/>
      <c r="H942" s="83"/>
      <c r="I942" s="4"/>
      <c r="J942" s="4"/>
      <c r="K942" s="4"/>
      <c r="L942" s="4"/>
      <c r="M942" s="4"/>
      <c r="N942" s="28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  <c r="AA942" s="4"/>
      <c r="AB942" s="4"/>
      <c r="AC942" s="4"/>
      <c r="AD942" s="4"/>
      <c r="AE942" s="4"/>
      <c r="AF942" s="81"/>
      <c r="AG942" s="81"/>
      <c r="AH942" s="81"/>
      <c r="AI942" s="4"/>
      <c r="AJ942" s="81"/>
      <c r="AK942" s="81"/>
      <c r="AL942" s="81"/>
      <c r="AM942" s="43">
        <v>926</v>
      </c>
      <c r="AN942">
        <v>248.93848139887933</v>
      </c>
      <c r="AO942">
        <v>25.474081750453138</v>
      </c>
      <c r="AP942">
        <v>88.178962977170556</v>
      </c>
      <c r="AQ942">
        <v>181.93898307858223</v>
      </c>
      <c r="AR942">
        <v>27.630014906106961</v>
      </c>
      <c r="AS942">
        <v>214.81029152989487</v>
      </c>
      <c r="AT942">
        <v>11.220088779921566</v>
      </c>
      <c r="AU942">
        <v>11.828803174972492</v>
      </c>
      <c r="AV942"/>
      <c r="AW942"/>
      <c r="FY942" s="213">
        <v>937</v>
      </c>
      <c r="FZ942">
        <v>49.372285951113369</v>
      </c>
      <c r="GA942">
        <v>63.822196250597322</v>
      </c>
      <c r="GB942">
        <v>12.736500484374835</v>
      </c>
      <c r="GC942">
        <v>4.3813816501907379</v>
      </c>
      <c r="GD942">
        <v>3.8304496513454334</v>
      </c>
      <c r="GE942">
        <v>4.5168092883780666</v>
      </c>
      <c r="GF942">
        <v>26.800593444057981</v>
      </c>
      <c r="GG942">
        <v>23.499623884578636</v>
      </c>
      <c r="GH942">
        <v>21.171635646880272</v>
      </c>
      <c r="GI942">
        <v>21.355021947596061</v>
      </c>
      <c r="GJ942"/>
      <c r="GK942"/>
      <c r="GL942"/>
      <c r="GM942"/>
      <c r="GN942" s="208"/>
      <c r="GO942" s="208"/>
      <c r="GP942" s="208"/>
      <c r="GQ942" s="208"/>
      <c r="GR942" s="208"/>
      <c r="GS942" s="208"/>
      <c r="GT942" s="208"/>
      <c r="GU942" s="213">
        <v>937</v>
      </c>
    </row>
    <row r="943" spans="1:203" s="7" customFormat="1">
      <c r="A943" s="4"/>
      <c r="B943" s="4"/>
      <c r="C943" s="4"/>
      <c r="D943" s="4"/>
      <c r="E943" s="4"/>
      <c r="F943" s="28"/>
      <c r="G943" s="28"/>
      <c r="H943" s="83"/>
      <c r="I943" s="4"/>
      <c r="J943" s="4"/>
      <c r="K943" s="4"/>
      <c r="L943" s="4"/>
      <c r="M943" s="4"/>
      <c r="N943" s="28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  <c r="AA943" s="4"/>
      <c r="AB943" s="4"/>
      <c r="AC943" s="4"/>
      <c r="AD943" s="4"/>
      <c r="AE943" s="4"/>
      <c r="AF943" s="81"/>
      <c r="AG943" s="81"/>
      <c r="AH943" s="81"/>
      <c r="AI943" s="4"/>
      <c r="AJ943" s="81"/>
      <c r="AK943" s="81"/>
      <c r="AL943" s="81"/>
      <c r="AM943" s="43">
        <v>927</v>
      </c>
      <c r="AN943">
        <v>349.69380702309047</v>
      </c>
      <c r="AO943">
        <v>28.526006326827662</v>
      </c>
      <c r="AP943">
        <v>125.16087186171941</v>
      </c>
      <c r="AQ943">
        <v>203.66050904199432</v>
      </c>
      <c r="AR943">
        <v>30.24465521540818</v>
      </c>
      <c r="AS943">
        <v>286.22023157628354</v>
      </c>
      <c r="AT943">
        <v>13.702979804097248</v>
      </c>
      <c r="AU943">
        <v>21.714904250930839</v>
      </c>
      <c r="AV943"/>
      <c r="AW943"/>
      <c r="FY943" s="213">
        <v>938</v>
      </c>
      <c r="FZ943">
        <v>38.99140547995426</v>
      </c>
      <c r="GA943">
        <v>36.579735573206364</v>
      </c>
      <c r="GB943">
        <v>7.5154667402568442</v>
      </c>
      <c r="GC943">
        <v>7.9305203985468928</v>
      </c>
      <c r="GD943">
        <v>7.2822926663368541</v>
      </c>
      <c r="GE943">
        <v>5.4084160273793991</v>
      </c>
      <c r="GF943">
        <v>20.698420224233711</v>
      </c>
      <c r="GG943">
        <v>17.974585032116792</v>
      </c>
      <c r="GH943">
        <v>7.7156573261066574</v>
      </c>
      <c r="GI943">
        <v>17.00734442868805</v>
      </c>
      <c r="GJ943"/>
      <c r="GK943"/>
      <c r="GL943"/>
      <c r="GM943"/>
      <c r="GN943" s="208"/>
      <c r="GO943" s="208"/>
      <c r="GP943" s="208"/>
      <c r="GQ943" s="208"/>
      <c r="GR943" s="208"/>
      <c r="GS943" s="208"/>
      <c r="GT943" s="208"/>
      <c r="GU943" s="213">
        <v>938</v>
      </c>
    </row>
    <row r="944" spans="1:203" s="7" customFormat="1">
      <c r="A944" s="4"/>
      <c r="B944" s="4"/>
      <c r="C944" s="4"/>
      <c r="D944" s="4"/>
      <c r="E944" s="4"/>
      <c r="F944" s="28"/>
      <c r="G944" s="28"/>
      <c r="H944" s="83"/>
      <c r="I944" s="4"/>
      <c r="J944" s="4"/>
      <c r="K944" s="4"/>
      <c r="L944" s="4"/>
      <c r="M944" s="4"/>
      <c r="N944" s="28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  <c r="AA944" s="4"/>
      <c r="AB944" s="4"/>
      <c r="AC944" s="4"/>
      <c r="AD944" s="4"/>
      <c r="AE944" s="4"/>
      <c r="AF944" s="81"/>
      <c r="AG944" s="81"/>
      <c r="AH944" s="81"/>
      <c r="AI944" s="4"/>
      <c r="AJ944" s="81"/>
      <c r="AK944" s="81"/>
      <c r="AL944" s="81"/>
      <c r="AM944" s="43">
        <v>928</v>
      </c>
      <c r="AN944">
        <v>319.76750005987799</v>
      </c>
      <c r="AO944">
        <v>26.802762555696052</v>
      </c>
      <c r="AP944">
        <v>113.44643711539186</v>
      </c>
      <c r="AQ944">
        <v>188.47281347358862</v>
      </c>
      <c r="AR944">
        <v>27.806357422797007</v>
      </c>
      <c r="AS944">
        <v>229.11271795867597</v>
      </c>
      <c r="AT944">
        <v>11.903306780584956</v>
      </c>
      <c r="AU944">
        <v>-0.82353683344766182</v>
      </c>
      <c r="AV944"/>
      <c r="AW944"/>
      <c r="FY944" s="213">
        <v>939</v>
      </c>
      <c r="FZ944">
        <v>33.951383003125038</v>
      </c>
      <c r="GA944">
        <v>45.811633033093649</v>
      </c>
      <c r="GB944">
        <v>15.786978035406355</v>
      </c>
      <c r="GC944">
        <v>6.9792218927310063</v>
      </c>
      <c r="GD944">
        <v>4.7998820122612136</v>
      </c>
      <c r="GE944">
        <v>3.4098481488187504</v>
      </c>
      <c r="GF944">
        <v>24.484378000376591</v>
      </c>
      <c r="GG944">
        <v>21.735667698989335</v>
      </c>
      <c r="GH944">
        <v>7.5906297251401735</v>
      </c>
      <c r="GI944">
        <v>18.015779025446385</v>
      </c>
      <c r="GJ944"/>
      <c r="GK944"/>
      <c r="GL944"/>
      <c r="GM944"/>
      <c r="GN944" s="208"/>
      <c r="GO944" s="208"/>
      <c r="GP944" s="208"/>
      <c r="GQ944" s="208"/>
      <c r="GR944" s="208"/>
      <c r="GS944" s="208"/>
      <c r="GT944" s="208"/>
      <c r="GU944" s="213">
        <v>939</v>
      </c>
    </row>
    <row r="945" spans="1:203" s="7" customFormat="1">
      <c r="A945" s="4"/>
      <c r="B945" s="4"/>
      <c r="C945" s="4"/>
      <c r="D945" s="4"/>
      <c r="E945" s="4"/>
      <c r="F945" s="28"/>
      <c r="G945" s="28"/>
      <c r="H945" s="83"/>
      <c r="I945" s="4"/>
      <c r="J945" s="4"/>
      <c r="K945" s="4"/>
      <c r="L945" s="4"/>
      <c r="M945" s="4"/>
      <c r="N945" s="28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  <c r="AA945" s="4"/>
      <c r="AB945" s="4"/>
      <c r="AC945" s="4"/>
      <c r="AD945" s="4"/>
      <c r="AE945" s="4"/>
      <c r="AF945" s="81"/>
      <c r="AG945" s="81"/>
      <c r="AH945" s="81"/>
      <c r="AI945" s="4"/>
      <c r="AJ945" s="81"/>
      <c r="AK945" s="81"/>
      <c r="AL945" s="81"/>
      <c r="AM945" s="43">
        <v>929</v>
      </c>
      <c r="AN945">
        <v>428.73477212827868</v>
      </c>
      <c r="AO945">
        <v>33.984408907944385</v>
      </c>
      <c r="AP945">
        <v>110.85275365008403</v>
      </c>
      <c r="AQ945">
        <v>257.29482189051845</v>
      </c>
      <c r="AR945">
        <v>32.756372610899561</v>
      </c>
      <c r="AS945">
        <v>330.3599257450602</v>
      </c>
      <c r="AT945">
        <v>15.79091587782132</v>
      </c>
      <c r="AU945">
        <v>-0.67068869930392516</v>
      </c>
      <c r="AV945"/>
      <c r="AW945"/>
      <c r="FY945" s="213">
        <v>940</v>
      </c>
      <c r="FZ945">
        <v>49.294543172048087</v>
      </c>
      <c r="GA945">
        <v>46.588558974524268</v>
      </c>
      <c r="GB945">
        <v>11.488091661691913</v>
      </c>
      <c r="GC945">
        <v>5.0619793697548561</v>
      </c>
      <c r="GD945">
        <v>4.1970757093682609</v>
      </c>
      <c r="GE945">
        <v>7.2332460605507078</v>
      </c>
      <c r="GF945">
        <v>23.976467402603628</v>
      </c>
      <c r="GG945">
        <v>17.27042837188193</v>
      </c>
      <c r="GH945">
        <v>14.16415361115115</v>
      </c>
      <c r="GI945">
        <v>19.501464413568979</v>
      </c>
      <c r="GJ945"/>
      <c r="GK945"/>
      <c r="GL945"/>
      <c r="GM945"/>
      <c r="GN945" s="208"/>
      <c r="GO945" s="208"/>
      <c r="GP945" s="208"/>
      <c r="GQ945" s="208"/>
      <c r="GR945" s="208"/>
      <c r="GS945" s="208"/>
      <c r="GT945" s="208"/>
      <c r="GU945" s="213">
        <v>940</v>
      </c>
    </row>
    <row r="946" spans="1:203" s="7" customFormat="1">
      <c r="A946" s="4"/>
      <c r="B946" s="4"/>
      <c r="C946" s="4"/>
      <c r="D946" s="4"/>
      <c r="E946" s="4"/>
      <c r="F946" s="28"/>
      <c r="G946" s="28"/>
      <c r="H946" s="83"/>
      <c r="I946" s="4"/>
      <c r="J946" s="4"/>
      <c r="K946" s="4"/>
      <c r="L946" s="4"/>
      <c r="M946" s="4"/>
      <c r="N946" s="28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  <c r="AA946" s="4"/>
      <c r="AB946" s="4"/>
      <c r="AC946" s="4"/>
      <c r="AD946" s="4"/>
      <c r="AE946" s="4"/>
      <c r="AF946" s="81"/>
      <c r="AG946" s="81"/>
      <c r="AH946" s="81"/>
      <c r="AI946" s="4"/>
      <c r="AJ946" s="81"/>
      <c r="AK946" s="81"/>
      <c r="AL946" s="81"/>
      <c r="AM946" s="43">
        <v>930</v>
      </c>
      <c r="AN946">
        <v>350.47670811408864</v>
      </c>
      <c r="AO946">
        <v>33.054855729100822</v>
      </c>
      <c r="AP946">
        <v>76.662857738540254</v>
      </c>
      <c r="AQ946">
        <v>232.78071587512852</v>
      </c>
      <c r="AR946">
        <v>34.222147228046474</v>
      </c>
      <c r="AS946">
        <v>284.95189655200414</v>
      </c>
      <c r="AT946">
        <v>13.858424428853871</v>
      </c>
      <c r="AU946">
        <v>60.622519618045388</v>
      </c>
      <c r="AV946"/>
      <c r="AW946"/>
      <c r="FY946" s="213">
        <v>941</v>
      </c>
      <c r="FZ946">
        <v>30.124934689142631</v>
      </c>
      <c r="GA946">
        <v>27.387779569910187</v>
      </c>
      <c r="GB946">
        <v>12.535533773781285</v>
      </c>
      <c r="GC946">
        <v>5.6848640882691805</v>
      </c>
      <c r="GD946">
        <v>5.3444748700608775</v>
      </c>
      <c r="GE946">
        <v>4.9549305145492566</v>
      </c>
      <c r="GF946">
        <v>19.046288241695013</v>
      </c>
      <c r="GG946">
        <v>18.844744307490576</v>
      </c>
      <c r="GH946">
        <v>12.365796101977192</v>
      </c>
      <c r="GI946">
        <v>16.515606769923526</v>
      </c>
      <c r="GJ946"/>
      <c r="GK946"/>
      <c r="GL946"/>
      <c r="GM946"/>
      <c r="GN946" s="208"/>
      <c r="GO946" s="208"/>
      <c r="GP946" s="208"/>
      <c r="GQ946" s="208"/>
      <c r="GR946" s="208"/>
      <c r="GS946" s="208"/>
      <c r="GT946" s="208"/>
      <c r="GU946" s="213">
        <v>941</v>
      </c>
    </row>
    <row r="947" spans="1:203" s="7" customFormat="1">
      <c r="A947" s="4"/>
      <c r="B947" s="4"/>
      <c r="C947" s="4"/>
      <c r="D947" s="4"/>
      <c r="E947" s="4"/>
      <c r="F947" s="28"/>
      <c r="G947" s="28"/>
      <c r="H947" s="83"/>
      <c r="I947" s="4"/>
      <c r="J947" s="4"/>
      <c r="K947" s="4"/>
      <c r="L947" s="4"/>
      <c r="M947" s="4"/>
      <c r="N947" s="28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  <c r="AA947" s="4"/>
      <c r="AB947" s="4"/>
      <c r="AC947" s="4"/>
      <c r="AD947" s="4"/>
      <c r="AE947" s="4"/>
      <c r="AF947" s="81"/>
      <c r="AG947" s="81"/>
      <c r="AH947" s="81"/>
      <c r="AI947" s="4"/>
      <c r="AJ947" s="81"/>
      <c r="AK947" s="81"/>
      <c r="AL947" s="81"/>
      <c r="AM947" s="43">
        <v>931</v>
      </c>
      <c r="AN947">
        <v>365.22154404011661</v>
      </c>
      <c r="AO947">
        <v>29.573364852641085</v>
      </c>
      <c r="AP947">
        <v>106.78157048289555</v>
      </c>
      <c r="AQ947">
        <v>199.56394060684494</v>
      </c>
      <c r="AR947">
        <v>29.520001575291893</v>
      </c>
      <c r="AS947">
        <v>293.40436565575362</v>
      </c>
      <c r="AT947">
        <v>12.744843628392077</v>
      </c>
      <c r="AU947">
        <v>41.074495861578001</v>
      </c>
      <c r="AV947"/>
      <c r="AW947"/>
      <c r="FY947" s="213">
        <v>942</v>
      </c>
      <c r="FZ947">
        <v>57.936343589064258</v>
      </c>
      <c r="GA947">
        <v>60.61448822557773</v>
      </c>
      <c r="GB947">
        <v>9.0979857803647199</v>
      </c>
      <c r="GC947">
        <v>7.6056109653891228</v>
      </c>
      <c r="GD947">
        <v>6.0418961599171102</v>
      </c>
      <c r="GE947">
        <v>3.9961402706964564</v>
      </c>
      <c r="GF947">
        <v>35.131753738708433</v>
      </c>
      <c r="GG947">
        <v>32.861048114859187</v>
      </c>
      <c r="GH947">
        <v>17.643930040785463</v>
      </c>
      <c r="GI947">
        <v>23.675821993566942</v>
      </c>
      <c r="GJ947"/>
      <c r="GK947"/>
      <c r="GL947"/>
      <c r="GM947"/>
      <c r="GN947" s="208"/>
      <c r="GO947" s="208"/>
      <c r="GP947" s="208"/>
      <c r="GQ947" s="208"/>
      <c r="GR947" s="208"/>
      <c r="GS947" s="208"/>
      <c r="GT947" s="208"/>
      <c r="GU947" s="213">
        <v>942</v>
      </c>
    </row>
    <row r="948" spans="1:203" s="7" customFormat="1">
      <c r="A948" s="4"/>
      <c r="B948" s="4"/>
      <c r="C948" s="4"/>
      <c r="D948" s="4"/>
      <c r="E948" s="4"/>
      <c r="F948" s="28"/>
      <c r="G948" s="28"/>
      <c r="H948" s="83"/>
      <c r="I948" s="4"/>
      <c r="J948" s="4"/>
      <c r="K948" s="4"/>
      <c r="L948" s="4"/>
      <c r="M948" s="4"/>
      <c r="N948" s="28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  <c r="AA948" s="4"/>
      <c r="AB948" s="4"/>
      <c r="AC948" s="4"/>
      <c r="AD948" s="4"/>
      <c r="AE948" s="4"/>
      <c r="AF948" s="81"/>
      <c r="AG948" s="81"/>
      <c r="AH948" s="81"/>
      <c r="AI948" s="4"/>
      <c r="AJ948" s="81"/>
      <c r="AK948" s="81"/>
      <c r="AL948" s="81"/>
      <c r="AM948" s="43">
        <v>932</v>
      </c>
      <c r="AN948">
        <v>310.96561727335262</v>
      </c>
      <c r="AO948">
        <v>28.068880211519353</v>
      </c>
      <c r="AP948">
        <v>97.635308015976491</v>
      </c>
      <c r="AQ948">
        <v>192.90814152187727</v>
      </c>
      <c r="AR948">
        <v>28.729418328066249</v>
      </c>
      <c r="AS948">
        <v>253.34250991019306</v>
      </c>
      <c r="AT948">
        <v>11.584831631143588</v>
      </c>
      <c r="AU948">
        <v>6.3026164178609108</v>
      </c>
      <c r="AV948"/>
      <c r="AW948"/>
      <c r="FY948" s="213">
        <v>943</v>
      </c>
      <c r="FZ948">
        <v>19.456010028565647</v>
      </c>
      <c r="GA948">
        <v>14.117376943327772</v>
      </c>
      <c r="GB948">
        <v>4.4885413015614786</v>
      </c>
      <c r="GC948">
        <v>6.4282242244367129</v>
      </c>
      <c r="GD948">
        <v>4.9584457261321937</v>
      </c>
      <c r="GE948">
        <v>4.0244398829393946</v>
      </c>
      <c r="GF948">
        <v>14.469661439187639</v>
      </c>
      <c r="GG948">
        <v>10.951868081121129</v>
      </c>
      <c r="GH948">
        <v>10.507428862709119</v>
      </c>
      <c r="GI948">
        <v>11.223218174705469</v>
      </c>
      <c r="GJ948"/>
      <c r="GK948"/>
      <c r="GL948"/>
      <c r="GM948"/>
      <c r="GN948" s="208"/>
      <c r="GO948" s="208"/>
      <c r="GP948" s="208"/>
      <c r="GQ948" s="208"/>
      <c r="GR948" s="208"/>
      <c r="GS948" s="208"/>
      <c r="GT948" s="208"/>
      <c r="GU948" s="213">
        <v>943</v>
      </c>
    </row>
    <row r="949" spans="1:203" s="7" customFormat="1">
      <c r="A949" s="4"/>
      <c r="B949" s="4"/>
      <c r="C949" s="4"/>
      <c r="D949" s="4"/>
      <c r="E949" s="4"/>
      <c r="F949" s="28"/>
      <c r="G949" s="28"/>
      <c r="H949" s="83"/>
      <c r="I949" s="4"/>
      <c r="J949" s="4"/>
      <c r="K949" s="4"/>
      <c r="L949" s="4"/>
      <c r="M949" s="4"/>
      <c r="N949" s="28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  <c r="AA949" s="4"/>
      <c r="AB949" s="4"/>
      <c r="AC949" s="4"/>
      <c r="AD949" s="4"/>
      <c r="AE949" s="4"/>
      <c r="AF949" s="81"/>
      <c r="AG949" s="81"/>
      <c r="AH949" s="81"/>
      <c r="AI949" s="4"/>
      <c r="AJ949" s="81"/>
      <c r="AK949" s="81"/>
      <c r="AL949" s="81"/>
      <c r="AM949" s="43">
        <v>933</v>
      </c>
      <c r="AN949">
        <v>316.00443816893056</v>
      </c>
      <c r="AO949">
        <v>24.117071073248827</v>
      </c>
      <c r="AP949">
        <v>68.297421618691686</v>
      </c>
      <c r="AQ949">
        <v>171.52747835986983</v>
      </c>
      <c r="AR949">
        <v>24.870049055176935</v>
      </c>
      <c r="AS949">
        <v>234.18334158789412</v>
      </c>
      <c r="AT949">
        <v>12.547764739467068</v>
      </c>
      <c r="AU949">
        <v>24.574036353274384</v>
      </c>
      <c r="AV949"/>
      <c r="AW949"/>
      <c r="FY949" s="213">
        <v>944</v>
      </c>
      <c r="FZ949">
        <v>82.098591287782881</v>
      </c>
      <c r="GA949">
        <v>97.873189035364703</v>
      </c>
      <c r="GB949">
        <v>16.539264741083578</v>
      </c>
      <c r="GC949">
        <v>4.867151292952645</v>
      </c>
      <c r="GD949">
        <v>5.4846559401341404</v>
      </c>
      <c r="GE949">
        <v>8.850470439944317</v>
      </c>
      <c r="GF949">
        <v>9.4078114154604133</v>
      </c>
      <c r="GG949">
        <v>6.3472329431070502</v>
      </c>
      <c r="GH949">
        <v>11.493437167313694</v>
      </c>
      <c r="GI949">
        <v>23.58072003985502</v>
      </c>
      <c r="GJ949"/>
      <c r="GK949"/>
      <c r="GL949"/>
      <c r="GM949"/>
      <c r="GN949" s="208"/>
      <c r="GO949" s="208"/>
      <c r="GP949" s="208"/>
      <c r="GQ949" s="208"/>
      <c r="GR949" s="208"/>
      <c r="GS949" s="208"/>
      <c r="GT949" s="208"/>
      <c r="GU949" s="213">
        <v>944</v>
      </c>
    </row>
    <row r="950" spans="1:203" s="7" customFormat="1">
      <c r="A950" s="4"/>
      <c r="B950" s="4"/>
      <c r="C950" s="4"/>
      <c r="D950" s="4"/>
      <c r="E950" s="4"/>
      <c r="F950" s="28"/>
      <c r="G950" s="28"/>
      <c r="H950" s="83"/>
      <c r="I950" s="4"/>
      <c r="J950" s="4"/>
      <c r="K950" s="4"/>
      <c r="L950" s="4"/>
      <c r="M950" s="4"/>
      <c r="N950" s="28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  <c r="AA950" s="4"/>
      <c r="AB950" s="4"/>
      <c r="AC950" s="4"/>
      <c r="AD950" s="4"/>
      <c r="AE950" s="4"/>
      <c r="AF950" s="81"/>
      <c r="AG950" s="81"/>
      <c r="AH950" s="81"/>
      <c r="AI950" s="4"/>
      <c r="AJ950" s="81"/>
      <c r="AK950" s="81"/>
      <c r="AL950" s="81"/>
      <c r="AM950" s="43">
        <v>934</v>
      </c>
      <c r="AN950">
        <v>350.22723488873697</v>
      </c>
      <c r="AO950">
        <v>25.943903718494891</v>
      </c>
      <c r="AP950">
        <v>113.80934750482832</v>
      </c>
      <c r="AQ950">
        <v>190.33726144617071</v>
      </c>
      <c r="AR950">
        <v>25.365633555549909</v>
      </c>
      <c r="AS950">
        <v>252.42041915443238</v>
      </c>
      <c r="AT950">
        <v>12.836585783089973</v>
      </c>
      <c r="AU950">
        <v>12.992094632023399</v>
      </c>
      <c r="AV950"/>
      <c r="AW950"/>
      <c r="FY950" s="213">
        <v>945</v>
      </c>
      <c r="FZ950">
        <v>57.746018993547182</v>
      </c>
      <c r="GA950">
        <v>65.570639127808946</v>
      </c>
      <c r="GB950">
        <v>12.747836050783576</v>
      </c>
      <c r="GC950">
        <v>6.207565300946694</v>
      </c>
      <c r="GD950">
        <v>5.4562061270452009</v>
      </c>
      <c r="GE950">
        <v>5.5359498450064617</v>
      </c>
      <c r="GF950">
        <v>17.373355929236514</v>
      </c>
      <c r="GG950">
        <v>14.862511686499539</v>
      </c>
      <c r="GH950">
        <v>8.0112219485991947</v>
      </c>
      <c r="GI950">
        <v>19.693198953117886</v>
      </c>
      <c r="GJ950"/>
      <c r="GK950"/>
      <c r="GL950"/>
      <c r="GM950"/>
      <c r="GN950" s="208"/>
      <c r="GO950" s="208"/>
      <c r="GP950" s="208"/>
      <c r="GQ950" s="208"/>
      <c r="GR950" s="208"/>
      <c r="GS950" s="208"/>
      <c r="GT950" s="208"/>
      <c r="GU950" s="213">
        <v>945</v>
      </c>
    </row>
    <row r="951" spans="1:203" s="7" customFormat="1">
      <c r="A951" s="4"/>
      <c r="B951" s="4"/>
      <c r="C951" s="4"/>
      <c r="D951" s="4"/>
      <c r="E951" s="4"/>
      <c r="F951" s="28"/>
      <c r="G951" s="28"/>
      <c r="H951" s="83"/>
      <c r="I951" s="4"/>
      <c r="J951" s="4"/>
      <c r="K951" s="4"/>
      <c r="L951" s="4"/>
      <c r="M951" s="4"/>
      <c r="N951" s="28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  <c r="AA951" s="4"/>
      <c r="AB951" s="4"/>
      <c r="AC951" s="4"/>
      <c r="AD951" s="4"/>
      <c r="AE951" s="4"/>
      <c r="AF951" s="81"/>
      <c r="AG951" s="81"/>
      <c r="AH951" s="81"/>
      <c r="AI951" s="4"/>
      <c r="AJ951" s="81"/>
      <c r="AK951" s="81"/>
      <c r="AL951" s="81"/>
      <c r="AM951" s="43">
        <v>935</v>
      </c>
      <c r="AN951">
        <v>294.7564258874761</v>
      </c>
      <c r="AO951">
        <v>26.972635311502209</v>
      </c>
      <c r="AP951">
        <v>95.992807224397865</v>
      </c>
      <c r="AQ951">
        <v>199.09304319314987</v>
      </c>
      <c r="AR951">
        <v>30.125094910482698</v>
      </c>
      <c r="AS951">
        <v>254.63370635518024</v>
      </c>
      <c r="AT951">
        <v>14.017211478984462</v>
      </c>
      <c r="AU951">
        <v>66.09512502698324</v>
      </c>
      <c r="AV951"/>
      <c r="AW951"/>
      <c r="FY951" s="213">
        <v>946</v>
      </c>
      <c r="FZ951">
        <v>21.69878259371729</v>
      </c>
      <c r="GA951">
        <v>24.965824525820828</v>
      </c>
      <c r="GB951">
        <v>8.7694967372655341</v>
      </c>
      <c r="GC951">
        <v>7.0387605690808641</v>
      </c>
      <c r="GD951">
        <v>5.6646694249786567</v>
      </c>
      <c r="GE951">
        <v>4.7815646025001177</v>
      </c>
      <c r="GF951">
        <v>19.606648736199347</v>
      </c>
      <c r="GG951">
        <v>19.121537579533491</v>
      </c>
      <c r="GH951">
        <v>11.617475928819688</v>
      </c>
      <c r="GI951">
        <v>14.34134951382006</v>
      </c>
      <c r="GJ951"/>
      <c r="GK951"/>
      <c r="GL951"/>
      <c r="GM951"/>
      <c r="GN951" s="208"/>
      <c r="GO951" s="208"/>
      <c r="GP951" s="208"/>
      <c r="GQ951" s="208"/>
      <c r="GR951" s="208"/>
      <c r="GS951" s="208"/>
      <c r="GT951" s="208"/>
      <c r="GU951" s="213">
        <v>946</v>
      </c>
    </row>
    <row r="952" spans="1:203" s="7" customFormat="1">
      <c r="A952" s="4"/>
      <c r="B952" s="4"/>
      <c r="C952" s="4"/>
      <c r="D952" s="4"/>
      <c r="E952" s="4"/>
      <c r="F952" s="28"/>
      <c r="G952" s="28"/>
      <c r="H952" s="83"/>
      <c r="I952" s="4"/>
      <c r="J952" s="4"/>
      <c r="K952" s="4"/>
      <c r="L952" s="4"/>
      <c r="M952" s="4"/>
      <c r="N952" s="28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  <c r="AA952" s="4"/>
      <c r="AB952" s="4"/>
      <c r="AC952" s="4"/>
      <c r="AD952" s="4"/>
      <c r="AE952" s="4"/>
      <c r="AF952" s="81"/>
      <c r="AG952" s="81"/>
      <c r="AH952" s="81"/>
      <c r="AI952" s="4"/>
      <c r="AJ952" s="81"/>
      <c r="AK952" s="81"/>
      <c r="AL952" s="81"/>
      <c r="AM952" s="43">
        <v>936</v>
      </c>
      <c r="AN952">
        <v>244.83790479445665</v>
      </c>
      <c r="AO952">
        <v>25.30942823736784</v>
      </c>
      <c r="AP952">
        <v>77.643896034810069</v>
      </c>
      <c r="AQ952">
        <v>187.08604411211326</v>
      </c>
      <c r="AR952">
        <v>24.300431835271134</v>
      </c>
      <c r="AS952">
        <v>205.65567893955046</v>
      </c>
      <c r="AT952">
        <v>10.126489416821453</v>
      </c>
      <c r="AU952">
        <v>-18.741727279376345</v>
      </c>
      <c r="AV952"/>
      <c r="AW952"/>
      <c r="FY952" s="213">
        <v>947</v>
      </c>
      <c r="FZ952">
        <v>39.862022768073473</v>
      </c>
      <c r="GA952">
        <v>46.557543395539817</v>
      </c>
      <c r="GB952">
        <v>11.919041972521441</v>
      </c>
      <c r="GC952">
        <v>3.756186008633958</v>
      </c>
      <c r="GD952">
        <v>3.0738093188662488</v>
      </c>
      <c r="GE952">
        <v>6.6509568470515754</v>
      </c>
      <c r="GF952">
        <v>18.467455715694676</v>
      </c>
      <c r="GG952">
        <v>12.200601785044773</v>
      </c>
      <c r="GH952">
        <v>11.787131333998545</v>
      </c>
      <c r="GI952">
        <v>16.296308606283247</v>
      </c>
      <c r="GJ952"/>
      <c r="GK952"/>
      <c r="GL952"/>
      <c r="GM952"/>
      <c r="GN952" s="208"/>
      <c r="GO952" s="208"/>
      <c r="GP952" s="208"/>
      <c r="GQ952" s="208"/>
      <c r="GR952" s="208"/>
      <c r="GS952" s="208"/>
      <c r="GT952" s="208"/>
      <c r="GU952" s="213">
        <v>947</v>
      </c>
    </row>
    <row r="953" spans="1:203" s="7" customFormat="1">
      <c r="A953" s="4"/>
      <c r="B953" s="4"/>
      <c r="C953" s="4"/>
      <c r="D953" s="4"/>
      <c r="E953" s="4"/>
      <c r="F953" s="28"/>
      <c r="G953" s="28"/>
      <c r="H953" s="83"/>
      <c r="I953" s="4"/>
      <c r="J953" s="4"/>
      <c r="K953" s="4"/>
      <c r="L953" s="4"/>
      <c r="M953" s="4"/>
      <c r="N953" s="28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  <c r="AA953" s="4"/>
      <c r="AB953" s="4"/>
      <c r="AC953" s="4"/>
      <c r="AD953" s="4"/>
      <c r="AE953" s="4"/>
      <c r="AF953" s="81"/>
      <c r="AG953" s="81"/>
      <c r="AH953" s="81"/>
      <c r="AI953" s="4"/>
      <c r="AJ953" s="81"/>
      <c r="AK953" s="81"/>
      <c r="AL953" s="81"/>
      <c r="AM953" s="43">
        <v>937</v>
      </c>
      <c r="AN953">
        <v>306.62927884012726</v>
      </c>
      <c r="AO953">
        <v>30.852134966828999</v>
      </c>
      <c r="AP953">
        <v>106.80388255502768</v>
      </c>
      <c r="AQ953">
        <v>231.48649819911273</v>
      </c>
      <c r="AR953">
        <v>31.7205014407444</v>
      </c>
      <c r="AS953">
        <v>275.33574954496169</v>
      </c>
      <c r="AT953">
        <v>14.199296756169787</v>
      </c>
      <c r="AU953">
        <v>10.804912336692365</v>
      </c>
      <c r="AV953"/>
      <c r="AW953"/>
      <c r="FY953" s="213">
        <v>948</v>
      </c>
      <c r="FZ953">
        <v>31.218177018376519</v>
      </c>
      <c r="GA953">
        <v>39.7822295736256</v>
      </c>
      <c r="GB953">
        <v>11.650796151805032</v>
      </c>
      <c r="GC953">
        <v>6.4066925985018601</v>
      </c>
      <c r="GD953">
        <v>6.8693138901706217</v>
      </c>
      <c r="GE953">
        <v>6.6136268347276435</v>
      </c>
      <c r="GF953">
        <v>19.237939371884984</v>
      </c>
      <c r="GG953">
        <v>18.297488970766569</v>
      </c>
      <c r="GH953">
        <v>26.518179024833756</v>
      </c>
      <c r="GI953">
        <v>19.7294804165812</v>
      </c>
      <c r="GJ953"/>
      <c r="GK953"/>
      <c r="GL953"/>
      <c r="GM953"/>
      <c r="GN953" s="208"/>
      <c r="GO953" s="208"/>
      <c r="GP953" s="208"/>
      <c r="GQ953" s="208"/>
      <c r="GR953" s="208"/>
      <c r="GS953" s="208"/>
      <c r="GT953" s="208"/>
      <c r="GU953" s="213">
        <v>948</v>
      </c>
    </row>
    <row r="954" spans="1:203" s="7" customFormat="1">
      <c r="A954" s="4"/>
      <c r="B954" s="4"/>
      <c r="C954" s="4"/>
      <c r="D954" s="4"/>
      <c r="E954" s="4"/>
      <c r="F954" s="28"/>
      <c r="G954" s="28"/>
      <c r="H954" s="83"/>
      <c r="I954" s="4"/>
      <c r="J954" s="4"/>
      <c r="K954" s="4"/>
      <c r="L954" s="4"/>
      <c r="M954" s="4"/>
      <c r="N954" s="28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  <c r="AA954" s="4"/>
      <c r="AB954" s="4"/>
      <c r="AC954" s="4"/>
      <c r="AD954" s="4"/>
      <c r="AE954" s="4"/>
      <c r="AF954" s="81"/>
      <c r="AG954" s="81"/>
      <c r="AH954" s="81"/>
      <c r="AI954" s="4"/>
      <c r="AJ954" s="81"/>
      <c r="AK954" s="81"/>
      <c r="AL954" s="81"/>
      <c r="AM954" s="43">
        <v>938</v>
      </c>
      <c r="AN954">
        <v>333.22672637018826</v>
      </c>
      <c r="AO954">
        <v>24.038554729234153</v>
      </c>
      <c r="AP954">
        <v>96.899485593549258</v>
      </c>
      <c r="AQ954">
        <v>167.10384389682582</v>
      </c>
      <c r="AR954">
        <v>24.262338790664934</v>
      </c>
      <c r="AS954">
        <v>254.03891986016131</v>
      </c>
      <c r="AT954">
        <v>12.353932750794007</v>
      </c>
      <c r="AU954">
        <v>71.823549549187078</v>
      </c>
      <c r="AV954"/>
      <c r="AW954"/>
      <c r="FY954" s="213">
        <v>949</v>
      </c>
      <c r="FZ954">
        <v>55.58398385553366</v>
      </c>
      <c r="GA954">
        <v>53.728783825596594</v>
      </c>
      <c r="GB954">
        <v>8.0632270502562911</v>
      </c>
      <c r="GC954">
        <v>5.7289299203675172</v>
      </c>
      <c r="GD954">
        <v>4.6844416645100315</v>
      </c>
      <c r="GE954">
        <v>6.6372577011255736</v>
      </c>
      <c r="GF954">
        <v>20.483511828098084</v>
      </c>
      <c r="GG954">
        <v>16.598297621280171</v>
      </c>
      <c r="GH954">
        <v>14.183957372540284</v>
      </c>
      <c r="GI954">
        <v>19.014065161071787</v>
      </c>
      <c r="GJ954"/>
      <c r="GK954"/>
      <c r="GL954"/>
      <c r="GM954"/>
      <c r="GN954" s="208"/>
      <c r="GO954" s="208"/>
      <c r="GP954" s="208"/>
      <c r="GQ954" s="208"/>
      <c r="GR954" s="208"/>
      <c r="GS954" s="208"/>
      <c r="GT954" s="208"/>
      <c r="GU954" s="213">
        <v>949</v>
      </c>
    </row>
    <row r="955" spans="1:203" s="7" customFormat="1">
      <c r="A955" s="4"/>
      <c r="B955" s="4"/>
      <c r="C955" s="4"/>
      <c r="D955" s="4"/>
      <c r="E955" s="4"/>
      <c r="F955" s="28"/>
      <c r="G955" s="28"/>
      <c r="H955" s="83"/>
      <c r="I955" s="4"/>
      <c r="J955" s="4"/>
      <c r="K955" s="4"/>
      <c r="L955" s="4"/>
      <c r="M955" s="4"/>
      <c r="N955" s="28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  <c r="AA955" s="4"/>
      <c r="AB955" s="4"/>
      <c r="AC955" s="4"/>
      <c r="AD955" s="4"/>
      <c r="AE955" s="4"/>
      <c r="AF955" s="81"/>
      <c r="AG955" s="81"/>
      <c r="AH955" s="81"/>
      <c r="AI955" s="4"/>
      <c r="AJ955" s="81"/>
      <c r="AK955" s="81"/>
      <c r="AL955" s="81"/>
      <c r="AM955" s="43">
        <v>939</v>
      </c>
      <c r="AN955">
        <v>309.26393382290115</v>
      </c>
      <c r="AO955">
        <v>27.013508929195361</v>
      </c>
      <c r="AP955">
        <v>75.162270050317204</v>
      </c>
      <c r="AQ955">
        <v>182.56540057538848</v>
      </c>
      <c r="AR955">
        <v>27.213637094768423</v>
      </c>
      <c r="AS955">
        <v>258.67674328187712</v>
      </c>
      <c r="AT955">
        <v>10.384924289341399</v>
      </c>
      <c r="AU955">
        <v>18.573564547842771</v>
      </c>
      <c r="AV955"/>
      <c r="AW955"/>
      <c r="FY955" s="213">
        <v>950</v>
      </c>
      <c r="FZ955">
        <v>67.49096222155265</v>
      </c>
      <c r="GA955">
        <v>43.247763107606254</v>
      </c>
      <c r="GB955">
        <v>9.1388588694781436</v>
      </c>
      <c r="GC955">
        <v>3.9827866726748584</v>
      </c>
      <c r="GD955">
        <v>3.427677550727716</v>
      </c>
      <c r="GE955">
        <v>6.4672586898786193</v>
      </c>
      <c r="GF955">
        <v>9.3100175771815632</v>
      </c>
      <c r="GG955">
        <v>7.4801364051412786</v>
      </c>
      <c r="GH955">
        <v>15.141898296984566</v>
      </c>
      <c r="GI955">
        <v>18.379914678042649</v>
      </c>
      <c r="GJ955"/>
      <c r="GK955"/>
      <c r="GL955"/>
      <c r="GM955"/>
      <c r="GN955" s="208"/>
      <c r="GO955" s="208"/>
      <c r="GP955" s="208"/>
      <c r="GQ955" s="208"/>
      <c r="GR955" s="208"/>
      <c r="GS955" s="208"/>
      <c r="GT955" s="208"/>
      <c r="GU955" s="213">
        <v>950</v>
      </c>
    </row>
    <row r="956" spans="1:203" s="7" customFormat="1">
      <c r="A956" s="4"/>
      <c r="B956" s="4"/>
      <c r="C956" s="4"/>
      <c r="D956" s="4"/>
      <c r="E956" s="4"/>
      <c r="F956" s="28"/>
      <c r="G956" s="28"/>
      <c r="H956" s="83"/>
      <c r="I956" s="4"/>
      <c r="J956" s="4"/>
      <c r="K956" s="4"/>
      <c r="L956" s="4"/>
      <c r="M956" s="4"/>
      <c r="N956" s="28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  <c r="AA956" s="4"/>
      <c r="AB956" s="4"/>
      <c r="AC956" s="4"/>
      <c r="AD956" s="4"/>
      <c r="AE956" s="4"/>
      <c r="AF956" s="81"/>
      <c r="AG956" s="81"/>
      <c r="AH956" s="81"/>
      <c r="AI956" s="4"/>
      <c r="AJ956" s="81"/>
      <c r="AK956" s="81"/>
      <c r="AL956" s="81"/>
      <c r="AM956" s="43">
        <v>940</v>
      </c>
      <c r="AN956">
        <v>337.58457880008802</v>
      </c>
      <c r="AO956">
        <v>27.611447543101406</v>
      </c>
      <c r="AP956">
        <v>124.5115247145288</v>
      </c>
      <c r="AQ956">
        <v>198.77600874714378</v>
      </c>
      <c r="AR956">
        <v>29.193102785634725</v>
      </c>
      <c r="AS956">
        <v>254.09773357131292</v>
      </c>
      <c r="AT956">
        <v>13.214722349769586</v>
      </c>
      <c r="AU956">
        <v>43.44236312385712</v>
      </c>
      <c r="AV956"/>
      <c r="AW956"/>
      <c r="FY956" s="213">
        <v>951</v>
      </c>
      <c r="FZ956">
        <v>46.072174270625965</v>
      </c>
      <c r="GA956">
        <v>47.219158328353693</v>
      </c>
      <c r="GB956">
        <v>13.08768125751571</v>
      </c>
      <c r="GC956">
        <v>5.7614951843464439</v>
      </c>
      <c r="GD956">
        <v>4.9517268828871721</v>
      </c>
      <c r="GE956">
        <v>4.3844972823278123</v>
      </c>
      <c r="GF956">
        <v>18.363968752902586</v>
      </c>
      <c r="GG956">
        <v>18.666906111950624</v>
      </c>
      <c r="GH956">
        <v>27.947829267596198</v>
      </c>
      <c r="GI956">
        <v>21.152640642812532</v>
      </c>
      <c r="GJ956"/>
      <c r="GK956"/>
      <c r="GL956"/>
      <c r="GM956"/>
      <c r="GN956" s="208"/>
      <c r="GO956" s="208"/>
      <c r="GP956" s="208"/>
      <c r="GQ956" s="208"/>
      <c r="GR956" s="208"/>
      <c r="GS956" s="208"/>
      <c r="GT956" s="208"/>
      <c r="GU956" s="213">
        <v>951</v>
      </c>
    </row>
    <row r="957" spans="1:203" s="7" customFormat="1">
      <c r="A957" s="4"/>
      <c r="B957" s="4"/>
      <c r="C957" s="4"/>
      <c r="D957" s="4"/>
      <c r="E957" s="4"/>
      <c r="F957" s="28"/>
      <c r="G957" s="28"/>
      <c r="H957" s="83"/>
      <c r="I957" s="4"/>
      <c r="J957" s="4"/>
      <c r="K957" s="4"/>
      <c r="L957" s="4"/>
      <c r="M957" s="4"/>
      <c r="N957" s="28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  <c r="AA957" s="4"/>
      <c r="AB957" s="4"/>
      <c r="AC957" s="4"/>
      <c r="AD957" s="4"/>
      <c r="AE957" s="4"/>
      <c r="AF957" s="81"/>
      <c r="AG957" s="81"/>
      <c r="AH957" s="81"/>
      <c r="AI957" s="4"/>
      <c r="AJ957" s="81"/>
      <c r="AK957" s="81"/>
      <c r="AL957" s="81"/>
      <c r="AM957" s="43">
        <v>941</v>
      </c>
      <c r="AN957">
        <v>312.60355951217736</v>
      </c>
      <c r="AO957">
        <v>23.055237001188893</v>
      </c>
      <c r="AP957">
        <v>59.801137636329102</v>
      </c>
      <c r="AQ957">
        <v>152.8049529267997</v>
      </c>
      <c r="AR957">
        <v>24.628714595965736</v>
      </c>
      <c r="AS957">
        <v>227.72951566285332</v>
      </c>
      <c r="AT957">
        <v>10.322300540666403</v>
      </c>
      <c r="AU957">
        <v>22.793291280020512</v>
      </c>
      <c r="AV957"/>
      <c r="AW957"/>
      <c r="FY957" s="213">
        <v>952</v>
      </c>
      <c r="FZ957">
        <v>26.846049843535521</v>
      </c>
      <c r="GA957">
        <v>43.711858604721861</v>
      </c>
      <c r="GB957">
        <v>17.025848008420773</v>
      </c>
      <c r="GC957">
        <v>5.8744997075383125</v>
      </c>
      <c r="GD957">
        <v>5.8330731178445792</v>
      </c>
      <c r="GE957">
        <v>8.9288128894018683</v>
      </c>
      <c r="GF957">
        <v>15.964856091093715</v>
      </c>
      <c r="GG957">
        <v>12.666413514408925</v>
      </c>
      <c r="GH957">
        <v>19.750119405512205</v>
      </c>
      <c r="GI957">
        <v>18.345074499464513</v>
      </c>
      <c r="GJ957"/>
      <c r="GK957"/>
      <c r="GL957"/>
      <c r="GM957"/>
      <c r="GN957" s="208"/>
      <c r="GO957" s="208"/>
      <c r="GP957" s="208"/>
      <c r="GQ957" s="208"/>
      <c r="GR957" s="208"/>
      <c r="GS957" s="208"/>
      <c r="GT957" s="208"/>
      <c r="GU957" s="213">
        <v>952</v>
      </c>
    </row>
    <row r="958" spans="1:203" s="7" customFormat="1">
      <c r="A958" s="4"/>
      <c r="B958" s="4"/>
      <c r="C958" s="4"/>
      <c r="D958" s="4"/>
      <c r="E958" s="4"/>
      <c r="F958" s="28"/>
      <c r="G958" s="28"/>
      <c r="H958" s="83"/>
      <c r="I958" s="4"/>
      <c r="J958" s="4"/>
      <c r="K958" s="4"/>
      <c r="L958" s="4"/>
      <c r="M958" s="4"/>
      <c r="N958" s="28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  <c r="AA958" s="4"/>
      <c r="AB958" s="4"/>
      <c r="AC958" s="4"/>
      <c r="AD958" s="4"/>
      <c r="AE958" s="4"/>
      <c r="AF958" s="81"/>
      <c r="AG958" s="81"/>
      <c r="AH958" s="81"/>
      <c r="AI958" s="4"/>
      <c r="AJ958" s="81"/>
      <c r="AK958" s="81"/>
      <c r="AL958" s="81"/>
      <c r="AM958" s="43">
        <v>942</v>
      </c>
      <c r="AN958">
        <v>393.36857575708757</v>
      </c>
      <c r="AO958">
        <v>33.78920288292484</v>
      </c>
      <c r="AP958">
        <v>134.26134127773906</v>
      </c>
      <c r="AQ958">
        <v>254.60501887892946</v>
      </c>
      <c r="AR958">
        <v>33.871663659652683</v>
      </c>
      <c r="AS958">
        <v>324.48008217278323</v>
      </c>
      <c r="AT958">
        <v>16.654584373722379</v>
      </c>
      <c r="AU958">
        <v>60.6393347283433</v>
      </c>
      <c r="AV958"/>
      <c r="AW958"/>
      <c r="FY958" s="213">
        <v>953</v>
      </c>
      <c r="FZ958">
        <v>34.533922858317396</v>
      </c>
      <c r="GA958">
        <v>35.868159260179318</v>
      </c>
      <c r="GB958">
        <v>9.0508651242493414</v>
      </c>
      <c r="GC958">
        <v>6.4475812928238252</v>
      </c>
      <c r="GD958">
        <v>4.9096069805874256</v>
      </c>
      <c r="GE958">
        <v>4.1547918220856612</v>
      </c>
      <c r="GF958">
        <v>17.857907106301159</v>
      </c>
      <c r="GG958">
        <v>15.759862482363145</v>
      </c>
      <c r="GH958">
        <v>14.338519661043408</v>
      </c>
      <c r="GI958">
        <v>15.970440992821938</v>
      </c>
      <c r="GJ958"/>
      <c r="GK958"/>
      <c r="GL958"/>
      <c r="GM958"/>
      <c r="GN958" s="208"/>
      <c r="GO958" s="208"/>
      <c r="GP958" s="208"/>
      <c r="GQ958" s="208"/>
      <c r="GR958" s="208"/>
      <c r="GS958" s="208"/>
      <c r="GT958" s="208"/>
      <c r="GU958" s="213">
        <v>953</v>
      </c>
    </row>
    <row r="959" spans="1:203" s="7" customFormat="1">
      <c r="A959" s="4"/>
      <c r="B959" s="4"/>
      <c r="C959" s="4"/>
      <c r="D959" s="4"/>
      <c r="E959" s="4"/>
      <c r="F959" s="28"/>
      <c r="G959" s="28"/>
      <c r="H959" s="83"/>
      <c r="I959" s="4"/>
      <c r="J959" s="4"/>
      <c r="K959" s="4"/>
      <c r="L959" s="4"/>
      <c r="M959" s="4"/>
      <c r="N959" s="28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  <c r="AA959" s="4"/>
      <c r="AB959" s="4"/>
      <c r="AC959" s="4"/>
      <c r="AD959" s="4"/>
      <c r="AE959" s="4"/>
      <c r="AF959" s="81"/>
      <c r="AG959" s="81"/>
      <c r="AH959" s="81"/>
      <c r="AI959" s="4"/>
      <c r="AJ959" s="81"/>
      <c r="AK959" s="81"/>
      <c r="AL959" s="81"/>
      <c r="AM959" s="43">
        <v>943</v>
      </c>
      <c r="AN959">
        <v>265.13816859569647</v>
      </c>
      <c r="AO959">
        <v>14.938060429486608</v>
      </c>
      <c r="AP959">
        <v>56.249733128341923</v>
      </c>
      <c r="AQ959">
        <v>100.62521466468655</v>
      </c>
      <c r="AR959">
        <v>15.624760730714467</v>
      </c>
      <c r="AS959">
        <v>177.90081553184572</v>
      </c>
      <c r="AT959">
        <v>8.1806319804811345</v>
      </c>
      <c r="AU959">
        <v>53.860391845161885</v>
      </c>
      <c r="AV959"/>
      <c r="AW959"/>
      <c r="FY959" s="213">
        <v>954</v>
      </c>
      <c r="FZ959">
        <v>44.888412798216457</v>
      </c>
      <c r="GA959">
        <v>58.839053934899347</v>
      </c>
      <c r="GB959">
        <v>12.620972387304768</v>
      </c>
      <c r="GC959">
        <v>9.1046952063176736</v>
      </c>
      <c r="GD959">
        <v>7.5920345351324983</v>
      </c>
      <c r="GE959">
        <v>5.7676319750112723</v>
      </c>
      <c r="GF959">
        <v>18.061005030857661</v>
      </c>
      <c r="GG959">
        <v>15.738563334765768</v>
      </c>
      <c r="GH959">
        <v>9.3814033861198336</v>
      </c>
      <c r="GI959">
        <v>19.344212466953472</v>
      </c>
      <c r="GJ959"/>
      <c r="GK959"/>
      <c r="GL959"/>
      <c r="GM959"/>
      <c r="GN959" s="208"/>
      <c r="GO959" s="208"/>
      <c r="GP959" s="208"/>
      <c r="GQ959" s="208"/>
      <c r="GR959" s="208"/>
      <c r="GS959" s="208"/>
      <c r="GT959" s="208"/>
      <c r="GU959" s="213">
        <v>954</v>
      </c>
    </row>
    <row r="960" spans="1:203" s="7" customFormat="1">
      <c r="A960" s="4"/>
      <c r="B960" s="4"/>
      <c r="C960" s="4"/>
      <c r="D960" s="4"/>
      <c r="E960" s="4"/>
      <c r="F960" s="28"/>
      <c r="G960" s="28"/>
      <c r="H960" s="83"/>
      <c r="I960" s="4"/>
      <c r="J960" s="4"/>
      <c r="K960" s="4"/>
      <c r="L960" s="4"/>
      <c r="M960" s="4"/>
      <c r="N960" s="28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  <c r="AA960" s="4"/>
      <c r="AB960" s="4"/>
      <c r="AC960" s="4"/>
      <c r="AD960" s="4"/>
      <c r="AE960" s="4"/>
      <c r="AF960" s="81"/>
      <c r="AG960" s="81"/>
      <c r="AH960" s="81"/>
      <c r="AI960" s="4"/>
      <c r="AJ960" s="81"/>
      <c r="AK960" s="81"/>
      <c r="AL960" s="81"/>
      <c r="AM960" s="43">
        <v>944</v>
      </c>
      <c r="AN960">
        <v>324.38831583426378</v>
      </c>
      <c r="AO960">
        <v>34.879282711668431</v>
      </c>
      <c r="AP960">
        <v>51.245495131891495</v>
      </c>
      <c r="AQ960">
        <v>266.54252430299846</v>
      </c>
      <c r="AR960">
        <v>35.425650641077631</v>
      </c>
      <c r="AS960">
        <v>280.80403940161023</v>
      </c>
      <c r="AT960">
        <v>16.504300387653913</v>
      </c>
      <c r="AU960">
        <v>-14.945465304744303</v>
      </c>
      <c r="AV960"/>
      <c r="AW960"/>
      <c r="FY960" s="213">
        <v>955</v>
      </c>
      <c r="FZ960">
        <v>54.967133803314091</v>
      </c>
      <c r="GA960">
        <v>67.417544724353462</v>
      </c>
      <c r="GB960">
        <v>16.651036262158598</v>
      </c>
      <c r="GC960">
        <v>7.1672446691601941</v>
      </c>
      <c r="GD960">
        <v>6.4618767937151471</v>
      </c>
      <c r="GE960">
        <v>6.3681440351515457</v>
      </c>
      <c r="GF960">
        <v>23.242476666266125</v>
      </c>
      <c r="GG960">
        <v>21.11518816695882</v>
      </c>
      <c r="GH960">
        <v>6.4685306520279022</v>
      </c>
      <c r="GI960">
        <v>21.850333459447381</v>
      </c>
      <c r="GJ960"/>
      <c r="GK960"/>
      <c r="GL960"/>
      <c r="GM960"/>
      <c r="GN960" s="208"/>
      <c r="GO960" s="208"/>
      <c r="GP960" s="208"/>
      <c r="GQ960" s="208"/>
      <c r="GR960" s="208"/>
      <c r="GS960" s="208"/>
      <c r="GT960" s="208"/>
      <c r="GU960" s="213">
        <v>955</v>
      </c>
    </row>
    <row r="961" spans="1:203" s="7" customFormat="1">
      <c r="A961" s="4"/>
      <c r="B961" s="4"/>
      <c r="C961" s="4"/>
      <c r="D961" s="4"/>
      <c r="E961" s="4"/>
      <c r="F961" s="28"/>
      <c r="G961" s="28"/>
      <c r="H961" s="83"/>
      <c r="I961" s="4"/>
      <c r="J961" s="4"/>
      <c r="K961" s="4"/>
      <c r="L961" s="4"/>
      <c r="M961" s="4"/>
      <c r="N961" s="28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  <c r="AA961" s="4"/>
      <c r="AB961" s="4"/>
      <c r="AC961" s="4"/>
      <c r="AD961" s="4"/>
      <c r="AE961" s="4"/>
      <c r="AF961" s="81"/>
      <c r="AG961" s="81"/>
      <c r="AH961" s="81"/>
      <c r="AI961" s="4"/>
      <c r="AJ961" s="81"/>
      <c r="AK961" s="81"/>
      <c r="AL961" s="81"/>
      <c r="AM961" s="43">
        <v>945</v>
      </c>
      <c r="AN961">
        <v>317.29084024118526</v>
      </c>
      <c r="AO961">
        <v>28.600019449157099</v>
      </c>
      <c r="AP961">
        <v>86.110095562153802</v>
      </c>
      <c r="AQ961">
        <v>213.20450396259116</v>
      </c>
      <c r="AR961">
        <v>28.651835216670062</v>
      </c>
      <c r="AS961">
        <v>264.73419101074512</v>
      </c>
      <c r="AT961">
        <v>13.918206029203231</v>
      </c>
      <c r="AU961">
        <v>31.597588682618408</v>
      </c>
      <c r="AV961"/>
      <c r="AW961"/>
      <c r="FY961" s="213">
        <v>956</v>
      </c>
      <c r="FZ961">
        <v>54.032633653713148</v>
      </c>
      <c r="GA961">
        <v>62.993348778843412</v>
      </c>
      <c r="GB961">
        <v>18.303849022401508</v>
      </c>
      <c r="GC961">
        <v>7.4713707629883821</v>
      </c>
      <c r="GD961">
        <v>5.3082703098419106</v>
      </c>
      <c r="GE961">
        <v>4.4945171850924952</v>
      </c>
      <c r="GF961">
        <v>14.341107142709445</v>
      </c>
      <c r="GG961">
        <v>13.234365522896299</v>
      </c>
      <c r="GH961">
        <v>15.220162376131089</v>
      </c>
      <c r="GI961">
        <v>21.314701267395773</v>
      </c>
      <c r="GJ961"/>
      <c r="GK961"/>
      <c r="GL961"/>
      <c r="GM961"/>
      <c r="GN961" s="208"/>
      <c r="GO961" s="208"/>
      <c r="GP961" s="208"/>
      <c r="GQ961" s="208"/>
      <c r="GR961" s="208"/>
      <c r="GS961" s="208"/>
      <c r="GT961" s="208"/>
      <c r="GU961" s="213">
        <v>956</v>
      </c>
    </row>
    <row r="962" spans="1:203" s="7" customFormat="1">
      <c r="A962" s="4"/>
      <c r="B962" s="4"/>
      <c r="C962" s="4"/>
      <c r="D962" s="4"/>
      <c r="E962" s="4"/>
      <c r="F962" s="28"/>
      <c r="G962" s="28"/>
      <c r="H962" s="83"/>
      <c r="I962" s="4"/>
      <c r="J962" s="4"/>
      <c r="K962" s="4"/>
      <c r="L962" s="4"/>
      <c r="M962" s="4"/>
      <c r="N962" s="28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  <c r="AA962" s="4"/>
      <c r="AB962" s="4"/>
      <c r="AC962" s="4"/>
      <c r="AD962" s="4"/>
      <c r="AE962" s="4"/>
      <c r="AF962" s="81"/>
      <c r="AG962" s="81"/>
      <c r="AH962" s="81"/>
      <c r="AI962" s="4"/>
      <c r="AJ962" s="81"/>
      <c r="AK962" s="81"/>
      <c r="AL962" s="81"/>
      <c r="AM962" s="43">
        <v>946</v>
      </c>
      <c r="AN962">
        <v>323.65490039338113</v>
      </c>
      <c r="AO962">
        <v>20.403975033389887</v>
      </c>
      <c r="AP962">
        <v>110.35273223920335</v>
      </c>
      <c r="AQ962">
        <v>137.60611021173588</v>
      </c>
      <c r="AR962">
        <v>20.324440024999454</v>
      </c>
      <c r="AS962">
        <v>224.63440550089055</v>
      </c>
      <c r="AT962">
        <v>10.669489103617835</v>
      </c>
      <c r="AU962">
        <v>89.564108886304311</v>
      </c>
      <c r="AV962"/>
      <c r="AW962"/>
      <c r="FY962" s="213">
        <v>957</v>
      </c>
      <c r="FZ962">
        <v>33.880372484269706</v>
      </c>
      <c r="GA962">
        <v>66.260486323216384</v>
      </c>
      <c r="GB962">
        <v>19.733918296444013</v>
      </c>
      <c r="GC962">
        <v>4.1238077105093209</v>
      </c>
      <c r="GD962">
        <v>4.3658232775530843</v>
      </c>
      <c r="GE962">
        <v>5.2067686416063461</v>
      </c>
      <c r="GF962">
        <v>28.393309373545318</v>
      </c>
      <c r="GG962">
        <v>28.102885298102759</v>
      </c>
      <c r="GH962">
        <v>10.088429581106054</v>
      </c>
      <c r="GI962">
        <v>20.08678628926975</v>
      </c>
      <c r="GJ962"/>
      <c r="GK962"/>
      <c r="GL962"/>
      <c r="GM962"/>
      <c r="GN962" s="208"/>
      <c r="GO962" s="208"/>
      <c r="GP962" s="208"/>
      <c r="GQ962" s="208"/>
      <c r="GR962" s="208"/>
      <c r="GS962" s="208"/>
      <c r="GT962" s="208"/>
      <c r="GU962" s="213">
        <v>957</v>
      </c>
    </row>
    <row r="963" spans="1:203" s="7" customFormat="1">
      <c r="A963" s="4"/>
      <c r="B963" s="4"/>
      <c r="C963" s="4"/>
      <c r="D963" s="4"/>
      <c r="E963" s="4"/>
      <c r="F963" s="28"/>
      <c r="G963" s="28"/>
      <c r="H963" s="83"/>
      <c r="I963" s="4"/>
      <c r="J963" s="4"/>
      <c r="K963" s="4"/>
      <c r="L963" s="4"/>
      <c r="M963" s="4"/>
      <c r="N963" s="28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  <c r="AA963" s="4"/>
      <c r="AB963" s="4"/>
      <c r="AC963" s="4"/>
      <c r="AD963" s="4"/>
      <c r="AE963" s="4"/>
      <c r="AF963" s="81"/>
      <c r="AG963" s="81"/>
      <c r="AH963" s="81"/>
      <c r="AI963" s="4"/>
      <c r="AJ963" s="81"/>
      <c r="AK963" s="81"/>
      <c r="AL963" s="81"/>
      <c r="AM963" s="43">
        <v>947</v>
      </c>
      <c r="AN963">
        <v>289.83034147062904</v>
      </c>
      <c r="AO963">
        <v>23.276117322997329</v>
      </c>
      <c r="AP963">
        <v>83.353850863137538</v>
      </c>
      <c r="AQ963">
        <v>170.57105775170774</v>
      </c>
      <c r="AR963">
        <v>24.024169571471319</v>
      </c>
      <c r="AS963">
        <v>212.24591611526478</v>
      </c>
      <c r="AT963">
        <v>10.714065696744081</v>
      </c>
      <c r="AU963">
        <v>18.711557353200899</v>
      </c>
      <c r="AV963"/>
      <c r="AW963"/>
      <c r="FY963" s="213">
        <v>958</v>
      </c>
      <c r="FZ963">
        <v>45.50216562133965</v>
      </c>
      <c r="GA963">
        <v>48.672639719432105</v>
      </c>
      <c r="GB963">
        <v>8.3918039400130144</v>
      </c>
      <c r="GC963">
        <v>6.1525027441421338</v>
      </c>
      <c r="GD963">
        <v>4.0386451676030228</v>
      </c>
      <c r="GE963">
        <v>3.6320009867233423</v>
      </c>
      <c r="GF963">
        <v>11.859425885143775</v>
      </c>
      <c r="GG963">
        <v>9.96666562975226</v>
      </c>
      <c r="GH963">
        <v>7.5084778249880664</v>
      </c>
      <c r="GI963">
        <v>14.686067549301761</v>
      </c>
      <c r="GJ963"/>
      <c r="GK963"/>
      <c r="GL963"/>
      <c r="GM963"/>
      <c r="GN963" s="208"/>
      <c r="GO963" s="208"/>
      <c r="GP963" s="208"/>
      <c r="GQ963" s="208"/>
      <c r="GR963" s="208"/>
      <c r="GS963" s="208"/>
      <c r="GT963" s="208"/>
      <c r="GU963" s="213">
        <v>958</v>
      </c>
    </row>
    <row r="964" spans="1:203" s="7" customFormat="1">
      <c r="A964" s="4"/>
      <c r="B964" s="4"/>
      <c r="C964" s="4"/>
      <c r="D964" s="4"/>
      <c r="E964" s="4"/>
      <c r="F964" s="28"/>
      <c r="G964" s="28"/>
      <c r="H964" s="83"/>
      <c r="I964" s="4"/>
      <c r="J964" s="4"/>
      <c r="K964" s="4"/>
      <c r="L964" s="4"/>
      <c r="M964" s="4"/>
      <c r="N964" s="28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  <c r="AA964" s="4"/>
      <c r="AB964" s="4"/>
      <c r="AC964" s="4"/>
      <c r="AD964" s="4"/>
      <c r="AE964" s="4"/>
      <c r="AF964" s="81"/>
      <c r="AG964" s="81"/>
      <c r="AH964" s="81"/>
      <c r="AI964" s="4"/>
      <c r="AJ964" s="81"/>
      <c r="AK964" s="81"/>
      <c r="AL964" s="81"/>
      <c r="AM964" s="43">
        <v>948</v>
      </c>
      <c r="AN964">
        <v>337.11848485002582</v>
      </c>
      <c r="AO964">
        <v>27.199908941212463</v>
      </c>
      <c r="AP964">
        <v>99.351381095578574</v>
      </c>
      <c r="AQ964">
        <v>186.32392385127378</v>
      </c>
      <c r="AR964">
        <v>28.901312132005614</v>
      </c>
      <c r="AS964">
        <v>257.05031005993737</v>
      </c>
      <c r="AT964">
        <v>11.882973602980906</v>
      </c>
      <c r="AU964">
        <v>16.968041508455983</v>
      </c>
      <c r="AV964"/>
      <c r="AW964"/>
      <c r="FY964" s="213">
        <v>959</v>
      </c>
      <c r="FZ964">
        <v>60.968082341620651</v>
      </c>
      <c r="GA964">
        <v>66.368890727210868</v>
      </c>
      <c r="GB964">
        <v>12.545126694669591</v>
      </c>
      <c r="GC964">
        <v>4.9661693069797037</v>
      </c>
      <c r="GD964">
        <v>3.0877579438635223</v>
      </c>
      <c r="GE964">
        <v>2.3941199492365426</v>
      </c>
      <c r="GF964">
        <v>12.18003724309067</v>
      </c>
      <c r="GG964">
        <v>12.687894925092733</v>
      </c>
      <c r="GH964">
        <v>10.61373774471396</v>
      </c>
      <c r="GI964">
        <v>18.153439942160546</v>
      </c>
      <c r="GJ964"/>
      <c r="GK964"/>
      <c r="GL964"/>
      <c r="GM964"/>
      <c r="GN964" s="208"/>
      <c r="GO964" s="208"/>
      <c r="GP964" s="208"/>
      <c r="GQ964" s="208"/>
      <c r="GR964" s="208"/>
      <c r="GS964" s="208"/>
      <c r="GT964" s="208"/>
      <c r="GU964" s="213">
        <v>959</v>
      </c>
    </row>
    <row r="965" spans="1:203" s="7" customFormat="1">
      <c r="A965" s="4"/>
      <c r="B965" s="4"/>
      <c r="C965" s="4"/>
      <c r="D965" s="4"/>
      <c r="E965" s="4"/>
      <c r="F965" s="28"/>
      <c r="G965" s="28"/>
      <c r="H965" s="83"/>
      <c r="I965" s="4"/>
      <c r="J965" s="4"/>
      <c r="K965" s="4"/>
      <c r="L965" s="4"/>
      <c r="M965" s="4"/>
      <c r="N965" s="28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  <c r="AA965" s="4"/>
      <c r="AB965" s="4"/>
      <c r="AC965" s="4"/>
      <c r="AD965" s="4"/>
      <c r="AE965" s="4"/>
      <c r="AF965" s="81"/>
      <c r="AG965" s="81"/>
      <c r="AH965" s="81"/>
      <c r="AI965" s="4"/>
      <c r="AJ965" s="81"/>
      <c r="AK965" s="81"/>
      <c r="AL965" s="81"/>
      <c r="AM965" s="43">
        <v>949</v>
      </c>
      <c r="AN965">
        <v>349.34312931076954</v>
      </c>
      <c r="AO965">
        <v>27.017446126552251</v>
      </c>
      <c r="AP965">
        <v>87.095983667876865</v>
      </c>
      <c r="AQ965">
        <v>204.70645600037997</v>
      </c>
      <c r="AR965">
        <v>27.619488415196656</v>
      </c>
      <c r="AS965">
        <v>274.52740891216456</v>
      </c>
      <c r="AT965">
        <v>13.914369201540806</v>
      </c>
      <c r="AU965">
        <v>11.388200677980686</v>
      </c>
      <c r="AV965"/>
      <c r="AW965"/>
      <c r="FY965" s="213">
        <v>960</v>
      </c>
      <c r="FZ965">
        <v>28.91633341652183</v>
      </c>
      <c r="GA965">
        <v>35.373390654201224</v>
      </c>
      <c r="GB965">
        <v>9.7328722497973637</v>
      </c>
      <c r="GC965">
        <v>6.4348865836550146</v>
      </c>
      <c r="GD965">
        <v>4.4585781127818889</v>
      </c>
      <c r="GE965">
        <v>3.4194551180932478</v>
      </c>
      <c r="GF965">
        <v>10.174909547888035</v>
      </c>
      <c r="GG965">
        <v>10.510205917280269</v>
      </c>
      <c r="GH965">
        <v>12.105957412035757</v>
      </c>
      <c r="GI965">
        <v>13.289535505200973</v>
      </c>
      <c r="GJ965"/>
      <c r="GK965"/>
      <c r="GL965"/>
      <c r="GM965"/>
      <c r="GN965" s="208"/>
      <c r="GO965" s="208"/>
      <c r="GP965" s="208"/>
      <c r="GQ965" s="208"/>
      <c r="GR965" s="208"/>
      <c r="GS965" s="208"/>
      <c r="GT965" s="208"/>
      <c r="GU965" s="213">
        <v>960</v>
      </c>
    </row>
    <row r="966" spans="1:203" s="7" customFormat="1">
      <c r="A966" s="4"/>
      <c r="B966" s="4"/>
      <c r="C966" s="4"/>
      <c r="D966" s="4"/>
      <c r="E966" s="4"/>
      <c r="F966" s="28"/>
      <c r="G966" s="28"/>
      <c r="H966" s="83"/>
      <c r="I966" s="4"/>
      <c r="J966" s="4"/>
      <c r="K966" s="4"/>
      <c r="L966" s="4"/>
      <c r="M966" s="4"/>
      <c r="N966" s="28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  <c r="AA966" s="4"/>
      <c r="AB966" s="4"/>
      <c r="AC966" s="4"/>
      <c r="AD966" s="4"/>
      <c r="AE966" s="4"/>
      <c r="AF966" s="81"/>
      <c r="AG966" s="81"/>
      <c r="AH966" s="81"/>
      <c r="AI966" s="4"/>
      <c r="AJ966" s="81"/>
      <c r="AK966" s="81"/>
      <c r="AL966" s="81"/>
      <c r="AM966" s="43">
        <v>950</v>
      </c>
      <c r="AN966">
        <v>261.04860074762502</v>
      </c>
      <c r="AO966">
        <v>24.628967973308754</v>
      </c>
      <c r="AP966">
        <v>76.854658066832314</v>
      </c>
      <c r="AQ966">
        <v>184.06727406926831</v>
      </c>
      <c r="AR966">
        <v>28.145370133541348</v>
      </c>
      <c r="AS966">
        <v>213.92906194664911</v>
      </c>
      <c r="AT966">
        <v>13.173550402179155</v>
      </c>
      <c r="AU966">
        <v>44.784697018343529</v>
      </c>
      <c r="AV966"/>
      <c r="AW966"/>
      <c r="FY966" s="213">
        <v>961</v>
      </c>
      <c r="FZ966">
        <v>35.3453700237446</v>
      </c>
      <c r="GA966">
        <v>35.097614158155132</v>
      </c>
      <c r="GB966">
        <v>8.2291439952777878</v>
      </c>
      <c r="GC966">
        <v>7.460607366206701</v>
      </c>
      <c r="GD966">
        <v>6.4322522227380698</v>
      </c>
      <c r="GE966">
        <v>5.3581332509380566</v>
      </c>
      <c r="GF966">
        <v>19.650116507704197</v>
      </c>
      <c r="GG966">
        <v>17.063725420078846</v>
      </c>
      <c r="GH966">
        <v>9.3149964427906422</v>
      </c>
      <c r="GI966">
        <v>16.200493034364783</v>
      </c>
      <c r="GJ966"/>
      <c r="GK966"/>
      <c r="GL966"/>
      <c r="GM966"/>
      <c r="GN966" s="208"/>
      <c r="GO966" s="208"/>
      <c r="GP966" s="208"/>
      <c r="GQ966" s="208"/>
      <c r="GR966" s="208"/>
      <c r="GS966" s="208"/>
      <c r="GT966" s="208"/>
      <c r="GU966" s="213">
        <v>961</v>
      </c>
    </row>
    <row r="967" spans="1:203" s="7" customFormat="1">
      <c r="A967" s="4"/>
      <c r="B967" s="4"/>
      <c r="C967" s="4"/>
      <c r="D967" s="4"/>
      <c r="E967" s="4"/>
      <c r="F967" s="28"/>
      <c r="G967" s="28"/>
      <c r="H967" s="83"/>
      <c r="I967" s="4"/>
      <c r="J967" s="4"/>
      <c r="K967" s="4"/>
      <c r="L967" s="4"/>
      <c r="M967" s="4"/>
      <c r="N967" s="28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  <c r="AA967" s="4"/>
      <c r="AB967" s="4"/>
      <c r="AC967" s="4"/>
      <c r="AD967" s="4"/>
      <c r="AE967" s="4"/>
      <c r="AF967" s="81"/>
      <c r="AG967" s="81"/>
      <c r="AH967" s="81"/>
      <c r="AI967" s="4"/>
      <c r="AJ967" s="81"/>
      <c r="AK967" s="81"/>
      <c r="AL967" s="81"/>
      <c r="AM967" s="43">
        <v>951</v>
      </c>
      <c r="AN967">
        <v>306.33158705320659</v>
      </c>
      <c r="AO967">
        <v>28.825361641181235</v>
      </c>
      <c r="AP967">
        <v>79.86350524394345</v>
      </c>
      <c r="AQ967">
        <v>207.60807798131876</v>
      </c>
      <c r="AR967">
        <v>31.499204952076877</v>
      </c>
      <c r="AS967">
        <v>271.0025715576931</v>
      </c>
      <c r="AT967">
        <v>13.18645725085767</v>
      </c>
      <c r="AU967">
        <v>9.2600636659222815</v>
      </c>
      <c r="AV967"/>
      <c r="AW967"/>
      <c r="FY967" s="213">
        <v>962</v>
      </c>
      <c r="FZ967">
        <v>47.247632703526456</v>
      </c>
      <c r="GA967">
        <v>62.489389605423135</v>
      </c>
      <c r="GB967">
        <v>18.696529903622835</v>
      </c>
      <c r="GC967">
        <v>5.4055256928425042</v>
      </c>
      <c r="GD967">
        <v>5.0963466711109495</v>
      </c>
      <c r="GE967">
        <v>5.1222464650559809</v>
      </c>
      <c r="GF967">
        <v>16.659045409036199</v>
      </c>
      <c r="GG967">
        <v>15.142770967673073</v>
      </c>
      <c r="GH967">
        <v>11.512203637723795</v>
      </c>
      <c r="GI967">
        <v>20.222950252536204</v>
      </c>
      <c r="GJ967"/>
      <c r="GK967"/>
      <c r="GL967"/>
      <c r="GM967"/>
      <c r="GN967" s="208"/>
      <c r="GO967" s="208"/>
      <c r="GP967" s="208"/>
      <c r="GQ967" s="208"/>
      <c r="GR967" s="208"/>
      <c r="GS967" s="208"/>
      <c r="GT967" s="208"/>
      <c r="GU967" s="213">
        <v>962</v>
      </c>
    </row>
    <row r="968" spans="1:203" s="7" customFormat="1">
      <c r="A968" s="4"/>
      <c r="B968" s="4"/>
      <c r="C968" s="4"/>
      <c r="D968" s="4"/>
      <c r="E968" s="4"/>
      <c r="F968" s="28"/>
      <c r="G968" s="28"/>
      <c r="H968" s="83"/>
      <c r="I968" s="4"/>
      <c r="J968" s="4"/>
      <c r="K968" s="4"/>
      <c r="L968" s="4"/>
      <c r="M968" s="4"/>
      <c r="N968" s="28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  <c r="AA968" s="4"/>
      <c r="AB968" s="4"/>
      <c r="AC968" s="4"/>
      <c r="AD968" s="4"/>
      <c r="AE968" s="4"/>
      <c r="AF968" s="81"/>
      <c r="AG968" s="81"/>
      <c r="AH968" s="81"/>
      <c r="AI968" s="4"/>
      <c r="AJ968" s="81"/>
      <c r="AK968" s="81"/>
      <c r="AL968" s="81"/>
      <c r="AM968" s="43">
        <v>952</v>
      </c>
      <c r="AN968">
        <v>341.44431965143434</v>
      </c>
      <c r="AO968">
        <v>26.23020531516778</v>
      </c>
      <c r="AP968">
        <v>84.564312136805142</v>
      </c>
      <c r="AQ968">
        <v>174.94660568194229</v>
      </c>
      <c r="AR968">
        <v>27.226114995081559</v>
      </c>
      <c r="AS968">
        <v>254.06736681782431</v>
      </c>
      <c r="AT968">
        <v>11.242665614282297</v>
      </c>
      <c r="AU968">
        <v>-14.1995353091718</v>
      </c>
      <c r="AV968"/>
      <c r="AW968"/>
      <c r="FY968" s="213">
        <v>963</v>
      </c>
      <c r="FZ968">
        <v>25.492195563748936</v>
      </c>
      <c r="GA968">
        <v>46.808613273364806</v>
      </c>
      <c r="GB968">
        <v>15.409887096442944</v>
      </c>
      <c r="GC968">
        <v>6.1882798891656385</v>
      </c>
      <c r="GD968">
        <v>4.6849243618552663</v>
      </c>
      <c r="GE968">
        <v>4.9893747859977484</v>
      </c>
      <c r="GF968">
        <v>15.972689544181909</v>
      </c>
      <c r="GG968">
        <v>14.874719731053061</v>
      </c>
      <c r="GH968">
        <v>18.49972941839723</v>
      </c>
      <c r="GI968">
        <v>16.786326598053417</v>
      </c>
      <c r="GJ968"/>
      <c r="GK968"/>
      <c r="GL968"/>
      <c r="GM968"/>
      <c r="GN968" s="208"/>
      <c r="GO968" s="208"/>
      <c r="GP968" s="208"/>
      <c r="GQ968" s="208"/>
      <c r="GR968" s="208"/>
      <c r="GS968" s="208"/>
      <c r="GT968" s="208"/>
      <c r="GU968" s="213">
        <v>963</v>
      </c>
    </row>
    <row r="969" spans="1:203" s="7" customFormat="1">
      <c r="A969" s="4"/>
      <c r="B969" s="4"/>
      <c r="C969" s="4"/>
      <c r="D969" s="4"/>
      <c r="E969" s="4"/>
      <c r="F969" s="28"/>
      <c r="G969" s="28"/>
      <c r="H969" s="83"/>
      <c r="I969" s="4"/>
      <c r="J969" s="4"/>
      <c r="K969" s="4"/>
      <c r="L969" s="4"/>
      <c r="M969" s="4"/>
      <c r="N969" s="28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  <c r="AA969" s="4"/>
      <c r="AB969" s="4"/>
      <c r="AC969" s="4"/>
      <c r="AD969" s="4"/>
      <c r="AE969" s="4"/>
      <c r="AF969" s="81"/>
      <c r="AG969" s="81"/>
      <c r="AH969" s="81"/>
      <c r="AI969" s="4"/>
      <c r="AJ969" s="81"/>
      <c r="AK969" s="81"/>
      <c r="AL969" s="81"/>
      <c r="AM969" s="43">
        <v>953</v>
      </c>
      <c r="AN969">
        <v>313.72838616336702</v>
      </c>
      <c r="AO969">
        <v>22.466902422845671</v>
      </c>
      <c r="AP969">
        <v>87.524977265496133</v>
      </c>
      <c r="AQ969">
        <v>158.89165758077263</v>
      </c>
      <c r="AR969">
        <v>23.212143268739766</v>
      </c>
      <c r="AS969">
        <v>221.00515266755184</v>
      </c>
      <c r="AT969">
        <v>10.400103637142637</v>
      </c>
      <c r="AU969">
        <v>19.592344359379965</v>
      </c>
      <c r="AV969"/>
      <c r="AW969"/>
      <c r="FY969" s="213">
        <v>964</v>
      </c>
      <c r="FZ969">
        <v>39.263774311923079</v>
      </c>
      <c r="GA969">
        <v>39.105076245849069</v>
      </c>
      <c r="GB969">
        <v>12.025855498857171</v>
      </c>
      <c r="GC969">
        <v>4.20182170224306</v>
      </c>
      <c r="GD969">
        <v>3.0379115768528466</v>
      </c>
      <c r="GE969">
        <v>3.0511404301506064</v>
      </c>
      <c r="GF969">
        <v>5.9752068817687309</v>
      </c>
      <c r="GG969">
        <v>8.2253752398281836</v>
      </c>
      <c r="GH969">
        <v>10.475125535071156</v>
      </c>
      <c r="GI969">
        <v>13.738789737269338</v>
      </c>
      <c r="GJ969"/>
      <c r="GK969"/>
      <c r="GL969"/>
      <c r="GM969"/>
      <c r="GN969" s="208"/>
      <c r="GO969" s="208"/>
      <c r="GP969" s="208"/>
      <c r="GQ969" s="208"/>
      <c r="GR969" s="208"/>
      <c r="GS969" s="208"/>
      <c r="GT969" s="208"/>
      <c r="GU969" s="213">
        <v>964</v>
      </c>
    </row>
    <row r="970" spans="1:203" s="7" customFormat="1">
      <c r="A970" s="4"/>
      <c r="B970" s="4"/>
      <c r="C970" s="4"/>
      <c r="D970" s="4"/>
      <c r="E970" s="4"/>
      <c r="F970" s="28"/>
      <c r="G970" s="28"/>
      <c r="H970" s="83"/>
      <c r="I970" s="4"/>
      <c r="J970" s="4"/>
      <c r="K970" s="4"/>
      <c r="L970" s="4"/>
      <c r="M970" s="4"/>
      <c r="N970" s="28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  <c r="AA970" s="4"/>
      <c r="AB970" s="4"/>
      <c r="AC970" s="4"/>
      <c r="AD970" s="4"/>
      <c r="AE970" s="4"/>
      <c r="AF970" s="81"/>
      <c r="AG970" s="81"/>
      <c r="AH970" s="81"/>
      <c r="AI970" s="4"/>
      <c r="AJ970" s="81"/>
      <c r="AK970" s="81"/>
      <c r="AL970" s="81"/>
      <c r="AM970" s="43">
        <v>954</v>
      </c>
      <c r="AN970">
        <v>360.53563764414497</v>
      </c>
      <c r="AO970">
        <v>28.672203687060051</v>
      </c>
      <c r="AP970">
        <v>97.190847607278656</v>
      </c>
      <c r="AQ970">
        <v>201.3379850555788</v>
      </c>
      <c r="AR970">
        <v>28.096864858753513</v>
      </c>
      <c r="AS970">
        <v>280.18163566754521</v>
      </c>
      <c r="AT970">
        <v>14.267648198918714</v>
      </c>
      <c r="AU970">
        <v>48.986139728674495</v>
      </c>
      <c r="AV970"/>
      <c r="AW970"/>
      <c r="FY970" s="213">
        <v>965</v>
      </c>
      <c r="FZ970">
        <v>23.070801760292451</v>
      </c>
      <c r="GA970">
        <v>29.539678104654165</v>
      </c>
      <c r="GB970">
        <v>7.2165068518155415</v>
      </c>
      <c r="GC970">
        <v>11.108356735934887</v>
      </c>
      <c r="GD970">
        <v>8.8475008751708888</v>
      </c>
      <c r="GE970">
        <v>4.0318995868043954</v>
      </c>
      <c r="GF970">
        <v>17.694998559255161</v>
      </c>
      <c r="GG970">
        <v>17.710009979154542</v>
      </c>
      <c r="GH970">
        <v>11.921316500586284</v>
      </c>
      <c r="GI970">
        <v>15.612265882466108</v>
      </c>
      <c r="GJ970"/>
      <c r="GK970"/>
      <c r="GL970"/>
      <c r="GM970"/>
      <c r="GN970" s="208"/>
      <c r="GO970" s="208"/>
      <c r="GP970" s="208"/>
      <c r="GQ970" s="208"/>
      <c r="GR970" s="208"/>
      <c r="GS970" s="208"/>
      <c r="GT970" s="208"/>
      <c r="GU970" s="213">
        <v>965</v>
      </c>
    </row>
    <row r="971" spans="1:203" s="7" customFormat="1">
      <c r="A971" s="4"/>
      <c r="B971" s="4"/>
      <c r="C971" s="4"/>
      <c r="D971" s="4"/>
      <c r="E971" s="4"/>
      <c r="F971" s="28"/>
      <c r="G971" s="28"/>
      <c r="H971" s="83"/>
      <c r="I971" s="4"/>
      <c r="J971" s="4"/>
      <c r="K971" s="4"/>
      <c r="L971" s="4"/>
      <c r="M971" s="4"/>
      <c r="N971" s="28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  <c r="AA971" s="4"/>
      <c r="AB971" s="4"/>
      <c r="AC971" s="4"/>
      <c r="AD971" s="4"/>
      <c r="AE971" s="4"/>
      <c r="AF971" s="81"/>
      <c r="AG971" s="81"/>
      <c r="AH971" s="81"/>
      <c r="AI971" s="4"/>
      <c r="AJ971" s="81"/>
      <c r="AK971" s="81"/>
      <c r="AL971" s="81"/>
      <c r="AM971" s="43">
        <v>955</v>
      </c>
      <c r="AN971">
        <v>367.48414676272967</v>
      </c>
      <c r="AO971">
        <v>32.671875255622261</v>
      </c>
      <c r="AP971">
        <v>71.312686736349477</v>
      </c>
      <c r="AQ971">
        <v>231.70950923255327</v>
      </c>
      <c r="AR971">
        <v>32.56603830551888</v>
      </c>
      <c r="AS971">
        <v>294.92522342365396</v>
      </c>
      <c r="AT971">
        <v>14.385812615968968</v>
      </c>
      <c r="AU971">
        <v>26.059310658263858</v>
      </c>
      <c r="AV971"/>
      <c r="AW971"/>
      <c r="FY971" s="213">
        <v>966</v>
      </c>
      <c r="FZ971">
        <v>65.950163082770601</v>
      </c>
      <c r="GA971">
        <v>66.948963773547135</v>
      </c>
      <c r="GB971">
        <v>20.084959838267174</v>
      </c>
      <c r="GC971">
        <v>4.6833732403482955</v>
      </c>
      <c r="GD971">
        <v>3.6506464468109514</v>
      </c>
      <c r="GE971">
        <v>3.8159935834747962</v>
      </c>
      <c r="GF971">
        <v>13.788612623704473</v>
      </c>
      <c r="GG971">
        <v>12.333831354339857</v>
      </c>
      <c r="GH971">
        <v>17.458653415275965</v>
      </c>
      <c r="GI971">
        <v>23.018035391603394</v>
      </c>
      <c r="GJ971"/>
      <c r="GK971"/>
      <c r="GL971"/>
      <c r="GM971"/>
      <c r="GN971" s="208"/>
      <c r="GO971" s="208"/>
      <c r="GP971" s="208"/>
      <c r="GQ971" s="208"/>
      <c r="GR971" s="208"/>
      <c r="GS971" s="208"/>
      <c r="GT971" s="208"/>
      <c r="GU971" s="213">
        <v>966</v>
      </c>
    </row>
    <row r="972" spans="1:203" s="7" customFormat="1">
      <c r="A972" s="4"/>
      <c r="B972" s="4"/>
      <c r="C972" s="4"/>
      <c r="D972" s="4"/>
      <c r="E972" s="4"/>
      <c r="F972" s="28"/>
      <c r="G972" s="28"/>
      <c r="H972" s="83"/>
      <c r="I972" s="4"/>
      <c r="J972" s="4"/>
      <c r="K972" s="4"/>
      <c r="L972" s="4"/>
      <c r="M972" s="4"/>
      <c r="N972" s="28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  <c r="AA972" s="4"/>
      <c r="AB972" s="4"/>
      <c r="AC972" s="4"/>
      <c r="AD972" s="4"/>
      <c r="AE972" s="4"/>
      <c r="AF972" s="81"/>
      <c r="AG972" s="81"/>
      <c r="AH972" s="81"/>
      <c r="AI972" s="4"/>
      <c r="AJ972" s="81"/>
      <c r="AK972" s="81"/>
      <c r="AL972" s="81"/>
      <c r="AM972" s="43">
        <v>956</v>
      </c>
      <c r="AN972">
        <v>329.5972548399003</v>
      </c>
      <c r="AO972">
        <v>30.831094180069869</v>
      </c>
      <c r="AP972">
        <v>79.832329656629952</v>
      </c>
      <c r="AQ972">
        <v>216.71432602201347</v>
      </c>
      <c r="AR972">
        <v>32.232795571434124</v>
      </c>
      <c r="AS972">
        <v>273.93487999476002</v>
      </c>
      <c r="AT972">
        <v>12.849780616597362</v>
      </c>
      <c r="AU972">
        <v>0.41309347296475352</v>
      </c>
      <c r="AV972"/>
      <c r="AW972"/>
      <c r="FY972" s="213">
        <v>967</v>
      </c>
      <c r="FZ972">
        <v>15.950282744374007</v>
      </c>
      <c r="GA972">
        <v>47.779915661445344</v>
      </c>
      <c r="GB972">
        <v>21.984278736682064</v>
      </c>
      <c r="GC972">
        <v>9.3058247041510711</v>
      </c>
      <c r="GD972">
        <v>7.241373478048426</v>
      </c>
      <c r="GE972">
        <v>6.3668550288302308</v>
      </c>
      <c r="GF972">
        <v>14.996796500486376</v>
      </c>
      <c r="GG972">
        <v>11.966120130760078</v>
      </c>
      <c r="GH972">
        <v>10.761054292163934</v>
      </c>
      <c r="GI972">
        <v>17.430345910042018</v>
      </c>
      <c r="GJ972"/>
      <c r="GK972"/>
      <c r="GL972"/>
      <c r="GM972"/>
      <c r="GN972" s="208"/>
      <c r="GO972" s="208"/>
      <c r="GP972" s="208"/>
      <c r="GQ972" s="208"/>
      <c r="GR972" s="208"/>
      <c r="GS972" s="208"/>
      <c r="GT972" s="208"/>
      <c r="GU972" s="213">
        <v>967</v>
      </c>
    </row>
    <row r="973" spans="1:203" s="7" customFormat="1">
      <c r="A973" s="4"/>
      <c r="B973" s="4"/>
      <c r="C973" s="4"/>
      <c r="D973" s="4"/>
      <c r="E973" s="4"/>
      <c r="F973" s="28"/>
      <c r="G973" s="28"/>
      <c r="H973" s="83"/>
      <c r="I973" s="4"/>
      <c r="J973" s="4"/>
      <c r="K973" s="4"/>
      <c r="L973" s="4"/>
      <c r="M973" s="4"/>
      <c r="N973" s="28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  <c r="AA973" s="4"/>
      <c r="AB973" s="4"/>
      <c r="AC973" s="4"/>
      <c r="AD973" s="4"/>
      <c r="AE973" s="4"/>
      <c r="AF973" s="81"/>
      <c r="AG973" s="81"/>
      <c r="AH973" s="81"/>
      <c r="AI973" s="4"/>
      <c r="AJ973" s="81"/>
      <c r="AK973" s="81"/>
      <c r="AL973" s="81"/>
      <c r="AM973" s="43">
        <v>957</v>
      </c>
      <c r="AN973">
        <v>339.58414241255178</v>
      </c>
      <c r="AO973">
        <v>30.739093446613076</v>
      </c>
      <c r="AP973">
        <v>89.037738205314056</v>
      </c>
      <c r="AQ973">
        <v>220.24258727562275</v>
      </c>
      <c r="AR973">
        <v>29.541072396123514</v>
      </c>
      <c r="AS973">
        <v>298.17266117773926</v>
      </c>
      <c r="AT973">
        <v>12.847310751136945</v>
      </c>
      <c r="AU973">
        <v>57.673210634348102</v>
      </c>
      <c r="AV973"/>
      <c r="AW973"/>
      <c r="FY973" s="213">
        <v>968</v>
      </c>
      <c r="FZ973">
        <v>61.24345233475993</v>
      </c>
      <c r="GA973">
        <v>40.861568424763227</v>
      </c>
      <c r="GB973">
        <v>5.4198371613338487</v>
      </c>
      <c r="GC973">
        <v>5.3843679967644933</v>
      </c>
      <c r="GD973">
        <v>4.8233194136333797</v>
      </c>
      <c r="GE973">
        <v>6.0697122753227388</v>
      </c>
      <c r="GF973">
        <v>17.535174697775993</v>
      </c>
      <c r="GG973">
        <v>15.886157550165834</v>
      </c>
      <c r="GH973">
        <v>17.026709324556435</v>
      </c>
      <c r="GI973">
        <v>18.953272053727325</v>
      </c>
      <c r="GJ973"/>
      <c r="GK973"/>
      <c r="GL973"/>
      <c r="GM973"/>
      <c r="GN973" s="208"/>
      <c r="GO973" s="208"/>
      <c r="GP973" s="208"/>
      <c r="GQ973" s="208"/>
      <c r="GR973" s="208"/>
      <c r="GS973" s="208"/>
      <c r="GT973" s="208"/>
      <c r="GU973" s="213">
        <v>968</v>
      </c>
    </row>
    <row r="974" spans="1:203" s="7" customFormat="1">
      <c r="A974" s="4"/>
      <c r="B974" s="4"/>
      <c r="C974" s="4"/>
      <c r="D974" s="4"/>
      <c r="E974" s="4"/>
      <c r="F974" s="28"/>
      <c r="G974" s="28"/>
      <c r="H974" s="83"/>
      <c r="I974" s="4"/>
      <c r="J974" s="4"/>
      <c r="K974" s="4"/>
      <c r="L974" s="4"/>
      <c r="M974" s="4"/>
      <c r="N974" s="28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  <c r="AA974" s="4"/>
      <c r="AB974" s="4"/>
      <c r="AC974" s="4"/>
      <c r="AD974" s="4"/>
      <c r="AE974" s="4"/>
      <c r="AF974" s="81"/>
      <c r="AG974" s="81"/>
      <c r="AH974" s="81"/>
      <c r="AI974" s="4"/>
      <c r="AJ974" s="81"/>
      <c r="AK974" s="81"/>
      <c r="AL974" s="81"/>
      <c r="AM974" s="43">
        <v>958</v>
      </c>
      <c r="AN974">
        <v>244.40635659707823</v>
      </c>
      <c r="AO974">
        <v>21.857510216812607</v>
      </c>
      <c r="AP974">
        <v>73.580025632874083</v>
      </c>
      <c r="AQ974">
        <v>160.41039506843913</v>
      </c>
      <c r="AR974">
        <v>21.859392928910314</v>
      </c>
      <c r="AS974">
        <v>189.80056930706027</v>
      </c>
      <c r="AT974">
        <v>10.310388527597565</v>
      </c>
      <c r="AU974">
        <v>15.733488393672351</v>
      </c>
      <c r="AV974"/>
      <c r="AW974"/>
      <c r="FY974" s="213">
        <v>969</v>
      </c>
      <c r="FZ974">
        <v>24.896613827811379</v>
      </c>
      <c r="GA974">
        <v>26.746635590762303</v>
      </c>
      <c r="GB974">
        <v>8.3437432224180199</v>
      </c>
      <c r="GC974">
        <v>9.1830286219088233</v>
      </c>
      <c r="GD974">
        <v>8.3303791750278862</v>
      </c>
      <c r="GE974">
        <v>6.829783572424394</v>
      </c>
      <c r="GF974">
        <v>11.520879512333593</v>
      </c>
      <c r="GG974">
        <v>9.9715323145529204</v>
      </c>
      <c r="GH974">
        <v>16.388897033049073</v>
      </c>
      <c r="GI974">
        <v>15.502446983457146</v>
      </c>
      <c r="GJ974"/>
      <c r="GK974"/>
      <c r="GL974"/>
      <c r="GM974"/>
      <c r="GN974" s="208"/>
      <c r="GO974" s="208"/>
      <c r="GP974" s="208"/>
      <c r="GQ974" s="208"/>
      <c r="GR974" s="208"/>
      <c r="GS974" s="208"/>
      <c r="GT974" s="208"/>
      <c r="GU974" s="213">
        <v>969</v>
      </c>
    </row>
    <row r="975" spans="1:203" s="7" customFormat="1">
      <c r="A975" s="4"/>
      <c r="B975" s="4"/>
      <c r="C975" s="4"/>
      <c r="D975" s="4"/>
      <c r="E975" s="4"/>
      <c r="F975" s="28"/>
      <c r="G975" s="28"/>
      <c r="H975" s="83"/>
      <c r="I975" s="4"/>
      <c r="J975" s="4"/>
      <c r="K975" s="4"/>
      <c r="L975" s="4"/>
      <c r="M975" s="4"/>
      <c r="N975" s="28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  <c r="AA975" s="4"/>
      <c r="AB975" s="4"/>
      <c r="AC975" s="4"/>
      <c r="AD975" s="4"/>
      <c r="AE975" s="4"/>
      <c r="AF975" s="81"/>
      <c r="AG975" s="81"/>
      <c r="AH975" s="81"/>
      <c r="AI975" s="4"/>
      <c r="AJ975" s="81"/>
      <c r="AK975" s="81"/>
      <c r="AL975" s="81"/>
      <c r="AM975" s="43">
        <v>959</v>
      </c>
      <c r="AN975">
        <v>243.80691572987203</v>
      </c>
      <c r="AO975">
        <v>26.368434794597086</v>
      </c>
      <c r="AP975">
        <v>92.632552749641661</v>
      </c>
      <c r="AQ975">
        <v>203.96525681863881</v>
      </c>
      <c r="AR975">
        <v>26.95763075265323</v>
      </c>
      <c r="AS975">
        <v>214.89935236933266</v>
      </c>
      <c r="AT975">
        <v>13.18343824305437</v>
      </c>
      <c r="AU975">
        <v>47.128804655042543</v>
      </c>
      <c r="AV975"/>
      <c r="AW975"/>
      <c r="FY975" s="213">
        <v>970</v>
      </c>
      <c r="FZ975">
        <v>36.253337544498194</v>
      </c>
      <c r="GA975">
        <v>39.217201562849674</v>
      </c>
      <c r="GB975">
        <v>12.429531811526697</v>
      </c>
      <c r="GC975">
        <v>4.6852445861777579</v>
      </c>
      <c r="GD975">
        <v>3.2011416719975143</v>
      </c>
      <c r="GE975">
        <v>2.4499225174390507</v>
      </c>
      <c r="GF975">
        <v>5.8403192686216769</v>
      </c>
      <c r="GG975">
        <v>5.8705380372464155</v>
      </c>
      <c r="GH975">
        <v>18.356195286111802</v>
      </c>
      <c r="GI975">
        <v>14.783244503539191</v>
      </c>
      <c r="GJ975"/>
      <c r="GK975"/>
      <c r="GL975"/>
      <c r="GM975"/>
      <c r="GN975" s="208"/>
      <c r="GO975" s="208"/>
      <c r="GP975" s="208"/>
      <c r="GQ975" s="208"/>
      <c r="GR975" s="208"/>
      <c r="GS975" s="208"/>
      <c r="GT975" s="208"/>
      <c r="GU975" s="213">
        <v>970</v>
      </c>
    </row>
    <row r="976" spans="1:203" s="7" customFormat="1">
      <c r="A976" s="4"/>
      <c r="B976" s="4"/>
      <c r="C976" s="4"/>
      <c r="D976" s="4"/>
      <c r="E976" s="4"/>
      <c r="F976" s="28"/>
      <c r="G976" s="28"/>
      <c r="H976" s="83"/>
      <c r="I976" s="4"/>
      <c r="J976" s="4"/>
      <c r="K976" s="4"/>
      <c r="L976" s="4"/>
      <c r="M976" s="4"/>
      <c r="N976" s="28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  <c r="AA976" s="4"/>
      <c r="AB976" s="4"/>
      <c r="AC976" s="4"/>
      <c r="AD976" s="4"/>
      <c r="AE976" s="4"/>
      <c r="AF976" s="81"/>
      <c r="AG976" s="81"/>
      <c r="AH976" s="81"/>
      <c r="AI976" s="4"/>
      <c r="AJ976" s="81"/>
      <c r="AK976" s="81"/>
      <c r="AL976" s="81"/>
      <c r="AM976" s="43">
        <v>960</v>
      </c>
      <c r="AN976">
        <v>271.44284356244418</v>
      </c>
      <c r="AO976">
        <v>19.099024817983196</v>
      </c>
      <c r="AP976">
        <v>93.218549142254673</v>
      </c>
      <c r="AQ976">
        <v>134.41612451745561</v>
      </c>
      <c r="AR976">
        <v>19.180562966512277</v>
      </c>
      <c r="AS976">
        <v>190.33515656173228</v>
      </c>
      <c r="AT976">
        <v>9.8630963010155472</v>
      </c>
      <c r="AU976">
        <v>31.215141970566144</v>
      </c>
      <c r="AV976"/>
      <c r="AW976"/>
      <c r="FY976" s="213">
        <v>971</v>
      </c>
      <c r="FZ976">
        <v>35.968174318579116</v>
      </c>
      <c r="GA976">
        <v>36.821048155652157</v>
      </c>
      <c r="GB976">
        <v>10.956181764592712</v>
      </c>
      <c r="GC976">
        <v>5.5073452343153777</v>
      </c>
      <c r="GD976">
        <v>4.4839377613350448</v>
      </c>
      <c r="GE976">
        <v>5.7589945033634162</v>
      </c>
      <c r="GF976">
        <v>16.125617429935385</v>
      </c>
      <c r="GG976">
        <v>13.789033337353539</v>
      </c>
      <c r="GH976">
        <v>24.658493304980475</v>
      </c>
      <c r="GI976">
        <v>17.924192717372588</v>
      </c>
      <c r="GJ976"/>
      <c r="GK976"/>
      <c r="GL976"/>
      <c r="GM976"/>
      <c r="GN976" s="208"/>
      <c r="GO976" s="208"/>
      <c r="GP976" s="208"/>
      <c r="GQ976" s="208"/>
      <c r="GR976" s="208"/>
      <c r="GS976" s="208"/>
      <c r="GT976" s="208"/>
      <c r="GU976" s="213">
        <v>971</v>
      </c>
    </row>
    <row r="977" spans="1:203" s="7" customFormat="1">
      <c r="A977" s="4"/>
      <c r="B977" s="4"/>
      <c r="C977" s="4"/>
      <c r="D977" s="4"/>
      <c r="E977" s="4"/>
      <c r="F977" s="28"/>
      <c r="G977" s="28"/>
      <c r="H977" s="83"/>
      <c r="I977" s="4"/>
      <c r="J977" s="4"/>
      <c r="K977" s="4"/>
      <c r="L977" s="4"/>
      <c r="M977" s="4"/>
      <c r="N977" s="28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  <c r="AA977" s="4"/>
      <c r="AB977" s="4"/>
      <c r="AC977" s="4"/>
      <c r="AD977" s="4"/>
      <c r="AE977" s="4"/>
      <c r="AF977" s="81"/>
      <c r="AG977" s="81"/>
      <c r="AH977" s="81"/>
      <c r="AI977" s="4"/>
      <c r="AJ977" s="81"/>
      <c r="AK977" s="81"/>
      <c r="AL977" s="81"/>
      <c r="AM977" s="43">
        <v>961</v>
      </c>
      <c r="AN977">
        <v>313.78058243197819</v>
      </c>
      <c r="AO977">
        <v>23.115297143029686</v>
      </c>
      <c r="AP977">
        <v>106.63551244120222</v>
      </c>
      <c r="AQ977">
        <v>160.15245242199882</v>
      </c>
      <c r="AR977">
        <v>23.312566549015898</v>
      </c>
      <c r="AS977">
        <v>245.50643074723135</v>
      </c>
      <c r="AT977">
        <v>11.742771057501846</v>
      </c>
      <c r="AU977">
        <v>21.059773173124452</v>
      </c>
      <c r="AV977"/>
      <c r="AW977"/>
      <c r="FY977" s="213">
        <v>972</v>
      </c>
      <c r="FZ977">
        <v>62.189575842933785</v>
      </c>
      <c r="GA977">
        <v>51.741979087690382</v>
      </c>
      <c r="GB977">
        <v>2.4631589358972281</v>
      </c>
      <c r="GC977">
        <v>5.2736390092089858</v>
      </c>
      <c r="GD977">
        <v>5.3669853673901544</v>
      </c>
      <c r="GE977">
        <v>5.5534948126697046</v>
      </c>
      <c r="GF977">
        <v>17.210792265004205</v>
      </c>
      <c r="GG977">
        <v>17.410606723276576</v>
      </c>
      <c r="GH977">
        <v>11.071772259647853</v>
      </c>
      <c r="GI977">
        <v>17.682038470070673</v>
      </c>
      <c r="GJ977"/>
      <c r="GK977"/>
      <c r="GL977"/>
      <c r="GM977"/>
      <c r="GN977" s="208"/>
      <c r="GO977" s="208"/>
      <c r="GP977" s="208"/>
      <c r="GQ977" s="208"/>
      <c r="GR977" s="208"/>
      <c r="GS977" s="208"/>
      <c r="GT977" s="208"/>
      <c r="GU977" s="213">
        <v>972</v>
      </c>
    </row>
    <row r="978" spans="1:203" s="7" customFormat="1">
      <c r="A978" s="4"/>
      <c r="B978" s="4"/>
      <c r="C978" s="4"/>
      <c r="D978" s="4"/>
      <c r="E978" s="4"/>
      <c r="F978" s="28"/>
      <c r="G978" s="28"/>
      <c r="H978" s="83"/>
      <c r="I978" s="4"/>
      <c r="J978" s="4"/>
      <c r="K978" s="4"/>
      <c r="L978" s="4"/>
      <c r="M978" s="4"/>
      <c r="N978" s="28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  <c r="AA978" s="4"/>
      <c r="AB978" s="4"/>
      <c r="AC978" s="4"/>
      <c r="AD978" s="4"/>
      <c r="AE978" s="4"/>
      <c r="AF978" s="81"/>
      <c r="AG978" s="81"/>
      <c r="AH978" s="81"/>
      <c r="AI978" s="4"/>
      <c r="AJ978" s="81"/>
      <c r="AK978" s="81"/>
      <c r="AL978" s="81"/>
      <c r="AM978" s="43">
        <v>962</v>
      </c>
      <c r="AN978">
        <v>314.76563183766501</v>
      </c>
      <c r="AO978">
        <v>29.545959228142852</v>
      </c>
      <c r="AP978">
        <v>49.044135463185484</v>
      </c>
      <c r="AQ978">
        <v>207.59464130855113</v>
      </c>
      <c r="AR978">
        <v>30.589363592650969</v>
      </c>
      <c r="AS978">
        <v>264.65215541824489</v>
      </c>
      <c r="AT978">
        <v>12.015563265677438</v>
      </c>
      <c r="AU978">
        <v>-12.849894163384036</v>
      </c>
      <c r="AV978"/>
      <c r="AW978"/>
      <c r="FY978" s="213">
        <v>973</v>
      </c>
      <c r="FZ978">
        <v>44.280185582625641</v>
      </c>
      <c r="GA978">
        <v>44.44537568544915</v>
      </c>
      <c r="GB978">
        <v>7.9379852998595837</v>
      </c>
      <c r="GC978">
        <v>6.1026146070372622</v>
      </c>
      <c r="GD978">
        <v>4.7182755231116689</v>
      </c>
      <c r="GE978">
        <v>2.5486973956565979</v>
      </c>
      <c r="GF978">
        <v>12.024983754468561</v>
      </c>
      <c r="GG978">
        <v>13.422866046556774</v>
      </c>
      <c r="GH978">
        <v>19.857144975915421</v>
      </c>
      <c r="GI978">
        <v>16.78494003166303</v>
      </c>
      <c r="GJ978"/>
      <c r="GK978"/>
      <c r="GL978"/>
      <c r="GM978"/>
      <c r="GN978" s="208"/>
      <c r="GO978" s="208"/>
      <c r="GP978" s="208"/>
      <c r="GQ978" s="208"/>
      <c r="GR978" s="208"/>
      <c r="GS978" s="208"/>
      <c r="GT978" s="208"/>
      <c r="GU978" s="213">
        <v>973</v>
      </c>
    </row>
    <row r="979" spans="1:203" s="7" customFormat="1">
      <c r="A979" s="4"/>
      <c r="B979" s="4"/>
      <c r="C979" s="4"/>
      <c r="D979" s="4"/>
      <c r="E979" s="4"/>
      <c r="F979" s="28"/>
      <c r="G979" s="28"/>
      <c r="H979" s="83"/>
      <c r="I979" s="4"/>
      <c r="J979" s="4"/>
      <c r="K979" s="4"/>
      <c r="L979" s="4"/>
      <c r="M979" s="4"/>
      <c r="N979" s="28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  <c r="AA979" s="4"/>
      <c r="AB979" s="4"/>
      <c r="AC979" s="4"/>
      <c r="AD979" s="4"/>
      <c r="AE979" s="4"/>
      <c r="AF979" s="81"/>
      <c r="AG979" s="81"/>
      <c r="AH979" s="81"/>
      <c r="AI979" s="4"/>
      <c r="AJ979" s="81"/>
      <c r="AK979" s="81"/>
      <c r="AL979" s="81"/>
      <c r="AM979" s="43">
        <v>963</v>
      </c>
      <c r="AN979">
        <v>327.75508198600795</v>
      </c>
      <c r="AO979">
        <v>24.82381787558829</v>
      </c>
      <c r="AP979">
        <v>96.811583577831058</v>
      </c>
      <c r="AQ979">
        <v>169.70674026226098</v>
      </c>
      <c r="AR979">
        <v>25.052360720649816</v>
      </c>
      <c r="AS979">
        <v>239.2469227756938</v>
      </c>
      <c r="AT979">
        <v>10.062333797809757</v>
      </c>
      <c r="AU979">
        <v>-37.093751695695097</v>
      </c>
      <c r="AV979"/>
      <c r="AW979"/>
      <c r="FY979" s="213">
        <v>974</v>
      </c>
      <c r="FZ979">
        <v>35.457899088466249</v>
      </c>
      <c r="GA979">
        <v>24.810688842765074</v>
      </c>
      <c r="GB979">
        <v>8.4080828937917946</v>
      </c>
      <c r="GC979">
        <v>8.6228708170493089</v>
      </c>
      <c r="GD979">
        <v>7.0624698007031093</v>
      </c>
      <c r="GE979">
        <v>5.9848656389360269</v>
      </c>
      <c r="GF979">
        <v>19.583824775335447</v>
      </c>
      <c r="GG979">
        <v>14.729577275168904</v>
      </c>
      <c r="GH979">
        <v>12.502207134276361</v>
      </c>
      <c r="GI979">
        <v>17.149951465150142</v>
      </c>
      <c r="GJ979"/>
      <c r="GK979"/>
      <c r="GL979"/>
      <c r="GM979"/>
      <c r="GN979" s="208"/>
      <c r="GO979" s="208"/>
      <c r="GP979" s="208"/>
      <c r="GQ979" s="208"/>
      <c r="GR979" s="208"/>
      <c r="GS979" s="208"/>
      <c r="GT979" s="208"/>
      <c r="GU979" s="213">
        <v>974</v>
      </c>
    </row>
    <row r="980" spans="1:203" s="7" customFormat="1">
      <c r="A980" s="4"/>
      <c r="B980" s="4"/>
      <c r="C980" s="4"/>
      <c r="D980" s="4"/>
      <c r="E980" s="4"/>
      <c r="F980" s="28"/>
      <c r="G980" s="28"/>
      <c r="H980" s="83"/>
      <c r="I980" s="4"/>
      <c r="J980" s="4"/>
      <c r="K980" s="4"/>
      <c r="L980" s="4"/>
      <c r="M980" s="4"/>
      <c r="N980" s="28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  <c r="AA980" s="4"/>
      <c r="AB980" s="4"/>
      <c r="AC980" s="4"/>
      <c r="AD980" s="4"/>
      <c r="AE980" s="4"/>
      <c r="AF980" s="81"/>
      <c r="AG980" s="81"/>
      <c r="AH980" s="81"/>
      <c r="AI980" s="4"/>
      <c r="AJ980" s="81"/>
      <c r="AK980" s="81"/>
      <c r="AL980" s="81"/>
      <c r="AM980" s="43">
        <v>964</v>
      </c>
      <c r="AN980">
        <v>209.54665503399369</v>
      </c>
      <c r="AO980">
        <v>19.431713228102542</v>
      </c>
      <c r="AP980">
        <v>48.62190380514248</v>
      </c>
      <c r="AQ980">
        <v>139.10007715981325</v>
      </c>
      <c r="AR980">
        <v>20.658435828047484</v>
      </c>
      <c r="AS980">
        <v>175.99247736384177</v>
      </c>
      <c r="AT980">
        <v>8.5582142993402233</v>
      </c>
      <c r="AU980">
        <v>10.037014032547788</v>
      </c>
      <c r="AV980"/>
      <c r="AW980"/>
      <c r="FY980" s="213">
        <v>975</v>
      </c>
      <c r="FZ980">
        <v>66.000991041418658</v>
      </c>
      <c r="GA980">
        <v>78.318520554879669</v>
      </c>
      <c r="GB980">
        <v>16.827380044584643</v>
      </c>
      <c r="GC980">
        <v>6.0926821722323465</v>
      </c>
      <c r="GD980">
        <v>4.8405245709463669</v>
      </c>
      <c r="GE980">
        <v>5.7826382707055446</v>
      </c>
      <c r="GF980">
        <v>15.825059501576517</v>
      </c>
      <c r="GG980">
        <v>12.53096018181895</v>
      </c>
      <c r="GH980">
        <v>20.910561646287551</v>
      </c>
      <c r="GI980">
        <v>23.54463019528745</v>
      </c>
      <c r="GJ980"/>
      <c r="GK980"/>
      <c r="GL980"/>
      <c r="GM980"/>
      <c r="GN980" s="208"/>
      <c r="GO980" s="208"/>
      <c r="GP980" s="208"/>
      <c r="GQ980" s="208"/>
      <c r="GR980" s="208"/>
      <c r="GS980" s="208"/>
      <c r="GT980" s="208"/>
      <c r="GU980" s="213">
        <v>975</v>
      </c>
    </row>
    <row r="981" spans="1:203" s="7" customFormat="1">
      <c r="A981" s="4"/>
      <c r="B981" s="4"/>
      <c r="C981" s="4"/>
      <c r="D981" s="4"/>
      <c r="E981" s="4"/>
      <c r="F981" s="28"/>
      <c r="G981" s="28"/>
      <c r="H981" s="83"/>
      <c r="I981" s="4"/>
      <c r="J981" s="4"/>
      <c r="K981" s="4"/>
      <c r="L981" s="4"/>
      <c r="M981" s="4"/>
      <c r="N981" s="28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  <c r="AA981" s="4"/>
      <c r="AB981" s="4"/>
      <c r="AC981" s="4"/>
      <c r="AD981" s="4"/>
      <c r="AE981" s="4"/>
      <c r="AF981" s="81"/>
      <c r="AG981" s="81"/>
      <c r="AH981" s="81"/>
      <c r="AI981" s="4"/>
      <c r="AJ981" s="81"/>
      <c r="AK981" s="81"/>
      <c r="AL981" s="81"/>
      <c r="AM981" s="43">
        <v>965</v>
      </c>
      <c r="AN981">
        <v>374.2719945784861</v>
      </c>
      <c r="AO981">
        <v>22.796483501691185</v>
      </c>
      <c r="AP981">
        <v>147.47125012146211</v>
      </c>
      <c r="AQ981">
        <v>146.75333483613443</v>
      </c>
      <c r="AR981">
        <v>22.104157067048444</v>
      </c>
      <c r="AS981">
        <v>250.29601987542583</v>
      </c>
      <c r="AT981">
        <v>11.497960304631279</v>
      </c>
      <c r="AU981">
        <v>137.50469743916352</v>
      </c>
      <c r="AV981"/>
      <c r="AW981"/>
      <c r="FY981" s="213">
        <v>976</v>
      </c>
      <c r="FZ981">
        <v>40.029839182159392</v>
      </c>
      <c r="GA981">
        <v>66.248682401166235</v>
      </c>
      <c r="GB981">
        <v>19.782065412547642</v>
      </c>
      <c r="GC981">
        <v>4.7827558346367409</v>
      </c>
      <c r="GD981">
        <v>4.9648922286310793</v>
      </c>
      <c r="GE981">
        <v>5.1893833960267441</v>
      </c>
      <c r="GF981">
        <v>18.34237853712882</v>
      </c>
      <c r="GG981">
        <v>18.242336331918114</v>
      </c>
      <c r="GH981">
        <v>8.9814059464980005</v>
      </c>
      <c r="GI981">
        <v>19.417729944028643</v>
      </c>
      <c r="GJ981"/>
      <c r="GK981"/>
      <c r="GL981"/>
      <c r="GM981"/>
      <c r="GN981" s="208"/>
      <c r="GO981" s="208"/>
      <c r="GP981" s="208"/>
      <c r="GQ981" s="208"/>
      <c r="GR981" s="208"/>
      <c r="GS981" s="208"/>
      <c r="GT981" s="208"/>
      <c r="GU981" s="213">
        <v>976</v>
      </c>
    </row>
    <row r="982" spans="1:203" s="7" customFormat="1">
      <c r="A982" s="4"/>
      <c r="B982" s="4"/>
      <c r="C982" s="4"/>
      <c r="D982" s="4"/>
      <c r="E982" s="4"/>
      <c r="F982" s="28"/>
      <c r="G982" s="28"/>
      <c r="H982" s="83"/>
      <c r="I982" s="4"/>
      <c r="J982" s="4"/>
      <c r="K982" s="4"/>
      <c r="L982" s="4"/>
      <c r="M982" s="4"/>
      <c r="N982" s="28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  <c r="AA982" s="4"/>
      <c r="AB982" s="4"/>
      <c r="AC982" s="4"/>
      <c r="AD982" s="4"/>
      <c r="AE982" s="4"/>
      <c r="AF982" s="81"/>
      <c r="AG982" s="81"/>
      <c r="AH982" s="81"/>
      <c r="AI982" s="4"/>
      <c r="AJ982" s="81"/>
      <c r="AK982" s="81"/>
      <c r="AL982" s="81"/>
      <c r="AM982" s="43">
        <v>966</v>
      </c>
      <c r="AN982">
        <v>257.0262543481752</v>
      </c>
      <c r="AO982">
        <v>31.970277561467462</v>
      </c>
      <c r="AP982">
        <v>95.815846512888953</v>
      </c>
      <c r="AQ982">
        <v>231.73323275014263</v>
      </c>
      <c r="AR982">
        <v>35.107057938568296</v>
      </c>
      <c r="AS982">
        <v>258.8703553326759</v>
      </c>
      <c r="AT982">
        <v>14.515208171513928</v>
      </c>
      <c r="AU982">
        <v>12.986143982302131</v>
      </c>
      <c r="AV982"/>
      <c r="AW982"/>
      <c r="FY982" s="213">
        <v>977</v>
      </c>
      <c r="FZ982">
        <v>31.451763399905516</v>
      </c>
      <c r="GA982">
        <v>53.475868656295994</v>
      </c>
      <c r="GB982">
        <v>15.661604624664738</v>
      </c>
      <c r="GC982">
        <v>7.6962651074790962</v>
      </c>
      <c r="GD982">
        <v>6.0850962494135006</v>
      </c>
      <c r="GE982">
        <v>2.7156208524127776</v>
      </c>
      <c r="GF982">
        <v>12.122985564722594</v>
      </c>
      <c r="GG982">
        <v>13.319498310591019</v>
      </c>
      <c r="GH982">
        <v>9.0975268519509882</v>
      </c>
      <c r="GI982">
        <v>16.395029407605641</v>
      </c>
      <c r="GJ982"/>
      <c r="GK982"/>
      <c r="GL982"/>
      <c r="GM982"/>
      <c r="GN982" s="208"/>
      <c r="GO982" s="208"/>
      <c r="GP982" s="208"/>
      <c r="GQ982" s="208"/>
      <c r="GR982" s="208"/>
      <c r="GS982" s="208"/>
      <c r="GT982" s="208"/>
      <c r="GU982" s="213">
        <v>977</v>
      </c>
    </row>
    <row r="983" spans="1:203" s="7" customFormat="1">
      <c r="A983" s="4"/>
      <c r="B983" s="4"/>
      <c r="C983" s="4"/>
      <c r="D983" s="4"/>
      <c r="E983" s="4"/>
      <c r="F983" s="28"/>
      <c r="G983" s="28"/>
      <c r="H983" s="83"/>
      <c r="I983" s="4"/>
      <c r="J983" s="4"/>
      <c r="K983" s="4"/>
      <c r="L983" s="4"/>
      <c r="M983" s="4"/>
      <c r="N983" s="28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  <c r="AA983" s="4"/>
      <c r="AB983" s="4"/>
      <c r="AC983" s="4"/>
      <c r="AD983" s="4"/>
      <c r="AE983" s="4"/>
      <c r="AF983" s="81"/>
      <c r="AG983" s="81"/>
      <c r="AH983" s="81"/>
      <c r="AI983" s="4"/>
      <c r="AJ983" s="81"/>
      <c r="AK983" s="81"/>
      <c r="AL983" s="81"/>
      <c r="AM983" s="43">
        <v>967</v>
      </c>
      <c r="AN983">
        <v>357.93460491177075</v>
      </c>
      <c r="AO983">
        <v>26.441451501543224</v>
      </c>
      <c r="AP983">
        <v>76.833630922627592</v>
      </c>
      <c r="AQ983">
        <v>163.78284718698356</v>
      </c>
      <c r="AR983">
        <v>25.927001787467248</v>
      </c>
      <c r="AS983">
        <v>285.0423527481218</v>
      </c>
      <c r="AT983">
        <v>10.407188388277079</v>
      </c>
      <c r="AU983">
        <v>-4.1324942954911101</v>
      </c>
      <c r="AV983"/>
      <c r="AW983"/>
      <c r="FY983" s="213">
        <v>978</v>
      </c>
      <c r="FZ983">
        <v>44.7797487723833</v>
      </c>
      <c r="GA983">
        <v>32.958160012010126</v>
      </c>
      <c r="GB983">
        <v>8.4724335471971379</v>
      </c>
      <c r="GC983">
        <v>7.0372020357714398</v>
      </c>
      <c r="GD983">
        <v>6.6908650808017889</v>
      </c>
      <c r="GE983">
        <v>5.7395873041684418</v>
      </c>
      <c r="GF983">
        <v>27.950477017611224</v>
      </c>
      <c r="GG983">
        <v>25.040054641808897</v>
      </c>
      <c r="GH983">
        <v>13.532473584632394</v>
      </c>
      <c r="GI983">
        <v>19.914924386616409</v>
      </c>
      <c r="GJ983"/>
      <c r="GK983"/>
      <c r="GL983"/>
      <c r="GM983"/>
      <c r="GN983" s="208"/>
      <c r="GO983" s="208"/>
      <c r="GP983" s="208"/>
      <c r="GQ983" s="208"/>
      <c r="GR983" s="208"/>
      <c r="GS983" s="208"/>
      <c r="GT983" s="208"/>
      <c r="GU983" s="213">
        <v>978</v>
      </c>
    </row>
    <row r="984" spans="1:203" s="7" customFormat="1">
      <c r="A984" s="4"/>
      <c r="B984" s="4"/>
      <c r="C984" s="4"/>
      <c r="D984" s="4"/>
      <c r="E984" s="4"/>
      <c r="F984" s="28"/>
      <c r="G984" s="28"/>
      <c r="H984" s="83"/>
      <c r="I984" s="4"/>
      <c r="J984" s="4"/>
      <c r="K984" s="4"/>
      <c r="L984" s="4"/>
      <c r="M984" s="4"/>
      <c r="N984" s="28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  <c r="AA984" s="4"/>
      <c r="AB984" s="4"/>
      <c r="AC984" s="4"/>
      <c r="AD984" s="4"/>
      <c r="AE984" s="4"/>
      <c r="AF984" s="81"/>
      <c r="AG984" s="81"/>
      <c r="AH984" s="81"/>
      <c r="AI984" s="4"/>
      <c r="AJ984" s="81"/>
      <c r="AK984" s="81"/>
      <c r="AL984" s="81"/>
      <c r="AM984" s="43">
        <v>968</v>
      </c>
      <c r="AN984">
        <v>333.95141621675413</v>
      </c>
      <c r="AO984">
        <v>25.258283100282018</v>
      </c>
      <c r="AP984">
        <v>75.557988203508742</v>
      </c>
      <c r="AQ984">
        <v>193.2035712328032</v>
      </c>
      <c r="AR984">
        <v>27.448799964233284</v>
      </c>
      <c r="AS984">
        <v>252.97510457160277</v>
      </c>
      <c r="AT984">
        <v>13.877721167366255</v>
      </c>
      <c r="AU984">
        <v>29.288046491165069</v>
      </c>
      <c r="AV984"/>
      <c r="AW984"/>
      <c r="FY984" s="213">
        <v>979</v>
      </c>
      <c r="FZ984">
        <v>58.920287333144131</v>
      </c>
      <c r="GA984">
        <v>49.921039125080888</v>
      </c>
      <c r="GB984">
        <v>3.5131197143593464</v>
      </c>
      <c r="GC984">
        <v>6.5270736311232724</v>
      </c>
      <c r="GD984">
        <v>5.1047630442006078</v>
      </c>
      <c r="GE984">
        <v>5.1533578453518034</v>
      </c>
      <c r="GF984">
        <v>13.291858265130269</v>
      </c>
      <c r="GG984">
        <v>10.420929869151186</v>
      </c>
      <c r="GH984">
        <v>11.345948817763187</v>
      </c>
      <c r="GI984">
        <v>16.647191341475814</v>
      </c>
      <c r="GJ984"/>
      <c r="GK984"/>
      <c r="GL984"/>
      <c r="GM984"/>
      <c r="GN984" s="208"/>
      <c r="GO984" s="208"/>
      <c r="GP984" s="208"/>
      <c r="GQ984" s="208"/>
      <c r="GR984" s="208"/>
      <c r="GS984" s="208"/>
      <c r="GT984" s="208"/>
      <c r="GU984" s="213">
        <v>979</v>
      </c>
    </row>
    <row r="985" spans="1:203" s="7" customFormat="1">
      <c r="A985" s="4"/>
      <c r="B985" s="4"/>
      <c r="C985" s="4"/>
      <c r="D985" s="4"/>
      <c r="E985" s="4"/>
      <c r="F985" s="28"/>
      <c r="G985" s="28"/>
      <c r="H985" s="83"/>
      <c r="I985" s="4"/>
      <c r="J985" s="4"/>
      <c r="K985" s="4"/>
      <c r="L985" s="4"/>
      <c r="M985" s="4"/>
      <c r="N985" s="28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  <c r="AA985" s="4"/>
      <c r="AB985" s="4"/>
      <c r="AC985" s="4"/>
      <c r="AD985" s="4"/>
      <c r="AE985" s="4"/>
      <c r="AF985" s="81"/>
      <c r="AG985" s="81"/>
      <c r="AH985" s="81"/>
      <c r="AI985" s="4"/>
      <c r="AJ985" s="81"/>
      <c r="AK985" s="81"/>
      <c r="AL985" s="81"/>
      <c r="AM985" s="43">
        <v>969</v>
      </c>
      <c r="AN985">
        <v>326.00923259467658</v>
      </c>
      <c r="AO985">
        <v>21.634243628902261</v>
      </c>
      <c r="AP985">
        <v>82.253713945641948</v>
      </c>
      <c r="AQ985">
        <v>137.71393985374553</v>
      </c>
      <c r="AR985">
        <v>22.459787026101115</v>
      </c>
      <c r="AS985">
        <v>232.12847216530901</v>
      </c>
      <c r="AT985">
        <v>10.382914330799037</v>
      </c>
      <c r="AU985">
        <v>13.012625796641561</v>
      </c>
      <c r="AV985"/>
      <c r="AW985"/>
      <c r="FY985" s="213">
        <v>980</v>
      </c>
      <c r="FZ985">
        <v>47.834173098514647</v>
      </c>
      <c r="GA985">
        <v>59.05625730460212</v>
      </c>
      <c r="GB985">
        <v>14.12448703715633</v>
      </c>
      <c r="GC985">
        <v>4.2758883245775001</v>
      </c>
      <c r="GD985">
        <v>5.2992285418633411</v>
      </c>
      <c r="GE985">
        <v>7.7555908274411767</v>
      </c>
      <c r="GF985">
        <v>17.319136827570595</v>
      </c>
      <c r="GG985">
        <v>14.437193819223943</v>
      </c>
      <c r="GH985">
        <v>16.142380550194986</v>
      </c>
      <c r="GI985">
        <v>19.945288399488696</v>
      </c>
      <c r="GJ985"/>
      <c r="GK985"/>
      <c r="GL985"/>
      <c r="GM985"/>
      <c r="GN985" s="208"/>
      <c r="GO985" s="208"/>
      <c r="GP985" s="208"/>
      <c r="GQ985" s="208"/>
      <c r="GR985" s="208"/>
      <c r="GS985" s="208"/>
      <c r="GT985" s="208"/>
      <c r="GU985" s="213">
        <v>980</v>
      </c>
    </row>
    <row r="986" spans="1:203" s="7" customFormat="1">
      <c r="A986" s="4"/>
      <c r="B986" s="4"/>
      <c r="C986" s="4"/>
      <c r="D986" s="4"/>
      <c r="E986" s="4"/>
      <c r="F986" s="28"/>
      <c r="G986" s="28"/>
      <c r="H986" s="83"/>
      <c r="I986" s="4"/>
      <c r="J986" s="4"/>
      <c r="K986" s="4"/>
      <c r="L986" s="4"/>
      <c r="M986" s="4"/>
      <c r="N986" s="28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  <c r="AA986" s="4"/>
      <c r="AB986" s="4"/>
      <c r="AC986" s="4"/>
      <c r="AD986" s="4"/>
      <c r="AE986" s="4"/>
      <c r="AF986" s="81"/>
      <c r="AG986" s="81"/>
      <c r="AH986" s="81"/>
      <c r="AI986" s="4"/>
      <c r="AJ986" s="81"/>
      <c r="AK986" s="81"/>
      <c r="AL986" s="81"/>
      <c r="AM986" s="43">
        <v>970</v>
      </c>
      <c r="AN986">
        <v>201.29166647616864</v>
      </c>
      <c r="AO986">
        <v>20.142245935142753</v>
      </c>
      <c r="AP986">
        <v>48.015467095619925</v>
      </c>
      <c r="AQ986">
        <v>143.08667679000797</v>
      </c>
      <c r="AR986">
        <v>22.35095051171438</v>
      </c>
      <c r="AS986">
        <v>181.26953939835619</v>
      </c>
      <c r="AT986">
        <v>8.9910791604640288</v>
      </c>
      <c r="AU986">
        <v>8.0190357678824178</v>
      </c>
      <c r="AV986"/>
      <c r="AW986"/>
      <c r="FY986" s="213">
        <v>981</v>
      </c>
      <c r="FZ986">
        <v>55.800088376476658</v>
      </c>
      <c r="GA986">
        <v>78.608764409215738</v>
      </c>
      <c r="GB986">
        <v>17.01996864753367</v>
      </c>
      <c r="GC986">
        <v>3.925770064256068</v>
      </c>
      <c r="GD986">
        <v>2.9757582464806553</v>
      </c>
      <c r="GE986">
        <v>5.3498736974600831</v>
      </c>
      <c r="GF986">
        <v>18.923576609364275</v>
      </c>
      <c r="GG986">
        <v>16.439782657176831</v>
      </c>
      <c r="GH986">
        <v>11.963382319073187</v>
      </c>
      <c r="GI986">
        <v>20.279353725197272</v>
      </c>
      <c r="GJ986"/>
      <c r="GK986"/>
      <c r="GL986"/>
      <c r="GM986"/>
      <c r="GN986" s="208"/>
      <c r="GO986" s="208"/>
      <c r="GP986" s="208"/>
      <c r="GQ986" s="208"/>
      <c r="GR986" s="208"/>
      <c r="GS986" s="208"/>
      <c r="GT986" s="208"/>
      <c r="GU986" s="213">
        <v>981</v>
      </c>
    </row>
    <row r="987" spans="1:203" s="7" customFormat="1">
      <c r="A987" s="4"/>
      <c r="B987" s="4"/>
      <c r="C987" s="4"/>
      <c r="D987" s="4"/>
      <c r="E987" s="4"/>
      <c r="F987" s="28"/>
      <c r="G987" s="28"/>
      <c r="H987" s="83"/>
      <c r="I987" s="4"/>
      <c r="J987" s="4"/>
      <c r="K987" s="4"/>
      <c r="L987" s="4"/>
      <c r="M987" s="4"/>
      <c r="N987" s="28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  <c r="AA987" s="4"/>
      <c r="AB987" s="4"/>
      <c r="AC987" s="4"/>
      <c r="AD987" s="4"/>
      <c r="AE987" s="4"/>
      <c r="AF987" s="81"/>
      <c r="AG987" s="81"/>
      <c r="AH987" s="81"/>
      <c r="AI987" s="4"/>
      <c r="AJ987" s="81"/>
      <c r="AK987" s="81"/>
      <c r="AL987" s="81"/>
      <c r="AM987" s="43">
        <v>971</v>
      </c>
      <c r="AN987">
        <v>307.02828090526566</v>
      </c>
      <c r="AO987">
        <v>24.245380294463569</v>
      </c>
      <c r="AP987">
        <v>100.22054243486599</v>
      </c>
      <c r="AQ987">
        <v>171.99301852747982</v>
      </c>
      <c r="AR987">
        <v>26.282224092961801</v>
      </c>
      <c r="AS987">
        <v>249.69990316920888</v>
      </c>
      <c r="AT987">
        <v>12.059217424799916</v>
      </c>
      <c r="AU987">
        <v>40.371661726647297</v>
      </c>
      <c r="AV987"/>
      <c r="AW987"/>
      <c r="FY987" s="213">
        <v>982</v>
      </c>
      <c r="FZ987">
        <v>25.194745108626567</v>
      </c>
      <c r="GA987">
        <v>21.789798951155475</v>
      </c>
      <c r="GB987">
        <v>8.5066441588555026</v>
      </c>
      <c r="GC987">
        <v>3.6900494746876116</v>
      </c>
      <c r="GD987">
        <v>2.4332815559927079</v>
      </c>
      <c r="GE987">
        <v>3.3974590546895933</v>
      </c>
      <c r="GF987">
        <v>16.796163079605037</v>
      </c>
      <c r="GG987">
        <v>14.570621697214561</v>
      </c>
      <c r="GH987">
        <v>11.144990610907556</v>
      </c>
      <c r="GI987">
        <v>12.245578841446969</v>
      </c>
      <c r="GJ987"/>
      <c r="GK987"/>
      <c r="GL987"/>
      <c r="GM987"/>
      <c r="GN987" s="208"/>
      <c r="GO987" s="208"/>
      <c r="GP987" s="208"/>
      <c r="GQ987" s="208"/>
      <c r="GR987" s="208"/>
      <c r="GS987" s="208"/>
      <c r="GT987" s="208"/>
      <c r="GU987" s="213">
        <v>982</v>
      </c>
    </row>
    <row r="988" spans="1:203" s="7" customFormat="1">
      <c r="A988" s="4"/>
      <c r="B988" s="4"/>
      <c r="C988" s="4"/>
      <c r="D988" s="4"/>
      <c r="E988" s="4"/>
      <c r="F988" s="28"/>
      <c r="G988" s="28"/>
      <c r="H988" s="83"/>
      <c r="I988" s="4"/>
      <c r="J988" s="4"/>
      <c r="K988" s="4"/>
      <c r="L988" s="4"/>
      <c r="M988" s="4"/>
      <c r="N988" s="28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  <c r="AA988" s="4"/>
      <c r="AB988" s="4"/>
      <c r="AC988" s="4"/>
      <c r="AD988" s="4"/>
      <c r="AE988" s="4"/>
      <c r="AF988" s="81"/>
      <c r="AG988" s="81"/>
      <c r="AH988" s="81"/>
      <c r="AI988" s="4"/>
      <c r="AJ988" s="81"/>
      <c r="AK988" s="81"/>
      <c r="AL988" s="81"/>
      <c r="AM988" s="43">
        <v>972</v>
      </c>
      <c r="AN988">
        <v>295.87766373302242</v>
      </c>
      <c r="AO988">
        <v>24.770912757616195</v>
      </c>
      <c r="AP988">
        <v>92.644323035827256</v>
      </c>
      <c r="AQ988">
        <v>195.96404277378954</v>
      </c>
      <c r="AR988">
        <v>24.945253846840721</v>
      </c>
      <c r="AS988">
        <v>249.83892704033488</v>
      </c>
      <c r="AT988">
        <v>14.004355652908778</v>
      </c>
      <c r="AU988">
        <v>49.003979698703091</v>
      </c>
      <c r="AV988"/>
      <c r="AW988"/>
      <c r="FY988" s="213">
        <v>983</v>
      </c>
      <c r="FZ988">
        <v>31.666307520746802</v>
      </c>
      <c r="GA988">
        <v>52.047533440341709</v>
      </c>
      <c r="GB988">
        <v>21.12892114763747</v>
      </c>
      <c r="GC988">
        <v>5.5506794775350397</v>
      </c>
      <c r="GD988">
        <v>3.9079121824380176</v>
      </c>
      <c r="GE988">
        <v>6.6658052064888818</v>
      </c>
      <c r="GF988">
        <v>14.556465586486814</v>
      </c>
      <c r="GG988">
        <v>11.034909815169607</v>
      </c>
      <c r="GH988">
        <v>16.48838892803531</v>
      </c>
      <c r="GI988">
        <v>18.363047713515044</v>
      </c>
      <c r="GJ988"/>
      <c r="GK988"/>
      <c r="GL988"/>
      <c r="GM988"/>
      <c r="GN988" s="208"/>
      <c r="GO988" s="208"/>
      <c r="GP988" s="208"/>
      <c r="GQ988" s="208"/>
      <c r="GR988" s="208"/>
      <c r="GS988" s="208"/>
      <c r="GT988" s="208"/>
      <c r="GU988" s="213">
        <v>983</v>
      </c>
    </row>
    <row r="989" spans="1:203" s="7" customFormat="1">
      <c r="A989" s="4"/>
      <c r="B989" s="4"/>
      <c r="C989" s="4"/>
      <c r="D989" s="4"/>
      <c r="E989" s="4"/>
      <c r="F989" s="28"/>
      <c r="G989" s="28"/>
      <c r="H989" s="83"/>
      <c r="I989" s="4"/>
      <c r="J989" s="4"/>
      <c r="K989" s="4"/>
      <c r="L989" s="4"/>
      <c r="M989" s="4"/>
      <c r="N989" s="28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  <c r="AA989" s="4"/>
      <c r="AB989" s="4"/>
      <c r="AC989" s="4"/>
      <c r="AD989" s="4"/>
      <c r="AE989" s="4"/>
      <c r="AF989" s="81"/>
      <c r="AG989" s="81"/>
      <c r="AH989" s="81"/>
      <c r="AI989" s="4"/>
      <c r="AJ989" s="81"/>
      <c r="AK989" s="81"/>
      <c r="AL989" s="81"/>
      <c r="AM989" s="43">
        <v>973</v>
      </c>
      <c r="AN989">
        <v>274.42594174816446</v>
      </c>
      <c r="AO989">
        <v>23.129575219677541</v>
      </c>
      <c r="AP989">
        <v>87.300255693262983</v>
      </c>
      <c r="AQ989">
        <v>172.1230689023437</v>
      </c>
      <c r="AR989">
        <v>24.37387319848278</v>
      </c>
      <c r="AS989">
        <v>225.14348185348007</v>
      </c>
      <c r="AT989">
        <v>10.774044382235127</v>
      </c>
      <c r="AU989">
        <v>15.715042073228933</v>
      </c>
      <c r="AV989"/>
      <c r="AW989"/>
      <c r="FY989" s="213">
        <v>984</v>
      </c>
      <c r="FZ989">
        <v>51.554629569151302</v>
      </c>
      <c r="GA989">
        <v>41.653216690533675</v>
      </c>
      <c r="GB989">
        <v>9.8507245075571959</v>
      </c>
      <c r="GC989">
        <v>7.204763257533231</v>
      </c>
      <c r="GD989">
        <v>6.1339249748645024</v>
      </c>
      <c r="GE989">
        <v>6.7099618031342247</v>
      </c>
      <c r="GF989">
        <v>30.442657331813031</v>
      </c>
      <c r="GG989">
        <v>26.923652320006457</v>
      </c>
      <c r="GH989">
        <v>11.563757593926379</v>
      </c>
      <c r="GI989">
        <v>21.10475519313151</v>
      </c>
      <c r="GJ989"/>
      <c r="GK989"/>
      <c r="GL989"/>
      <c r="GM989"/>
      <c r="GN989" s="208"/>
      <c r="GO989" s="208"/>
      <c r="GP989" s="208"/>
      <c r="GQ989" s="208"/>
      <c r="GR989" s="208"/>
      <c r="GS989" s="208"/>
      <c r="GT989" s="208"/>
      <c r="GU989" s="213">
        <v>984</v>
      </c>
    </row>
    <row r="990" spans="1:203" s="7" customFormat="1">
      <c r="A990" s="4"/>
      <c r="B990" s="4"/>
      <c r="C990" s="4"/>
      <c r="D990" s="4"/>
      <c r="E990" s="4"/>
      <c r="F990" s="28"/>
      <c r="G990" s="28"/>
      <c r="H990" s="83"/>
      <c r="I990" s="4"/>
      <c r="J990" s="4"/>
      <c r="K990" s="4"/>
      <c r="L990" s="4"/>
      <c r="M990" s="4"/>
      <c r="N990" s="28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  <c r="AA990" s="4"/>
      <c r="AB990" s="4"/>
      <c r="AC990" s="4"/>
      <c r="AD990" s="4"/>
      <c r="AE990" s="4"/>
      <c r="AF990" s="81"/>
      <c r="AG990" s="81"/>
      <c r="AH990" s="81"/>
      <c r="AI990" s="4"/>
      <c r="AJ990" s="81"/>
      <c r="AK990" s="81"/>
      <c r="AL990" s="81"/>
      <c r="AM990" s="43">
        <v>974</v>
      </c>
      <c r="AN990">
        <v>353.79367517752081</v>
      </c>
      <c r="AO990">
        <v>23.408854021745981</v>
      </c>
      <c r="AP990">
        <v>104.07510330814472</v>
      </c>
      <c r="AQ990">
        <v>154.31243773164243</v>
      </c>
      <c r="AR990">
        <v>25.191678697319436</v>
      </c>
      <c r="AS990">
        <v>244.96025056777842</v>
      </c>
      <c r="AT990">
        <v>12.005539456013894</v>
      </c>
      <c r="AU990">
        <v>32.387019167760151</v>
      </c>
      <c r="AV990"/>
      <c r="AW990"/>
      <c r="FY990" s="213">
        <v>985</v>
      </c>
      <c r="FZ990">
        <v>39.791047589729061</v>
      </c>
      <c r="GA990">
        <v>70.730321657148906</v>
      </c>
      <c r="GB990">
        <v>24.456494920679027</v>
      </c>
      <c r="GC990">
        <v>5.1050681452909945</v>
      </c>
      <c r="GD990">
        <v>3.2702300018521759</v>
      </c>
      <c r="GE990">
        <v>3.5550534070822182</v>
      </c>
      <c r="GF990">
        <v>29.168150079805468</v>
      </c>
      <c r="GG990">
        <v>26.084768697884694</v>
      </c>
      <c r="GH990">
        <v>12.428832458377363</v>
      </c>
      <c r="GI990">
        <v>22.240780154610789</v>
      </c>
      <c r="GJ990"/>
      <c r="GK990"/>
      <c r="GL990"/>
      <c r="GM990"/>
      <c r="GN990" s="208"/>
      <c r="GO990" s="208"/>
      <c r="GP990" s="208"/>
      <c r="GQ990" s="208"/>
      <c r="GR990" s="208"/>
      <c r="GS990" s="208"/>
      <c r="GT990" s="208"/>
      <c r="GU990" s="213">
        <v>985</v>
      </c>
    </row>
    <row r="991" spans="1:203" s="7" customFormat="1">
      <c r="A991" s="4"/>
      <c r="B991" s="4"/>
      <c r="C991" s="4"/>
      <c r="D991" s="4"/>
      <c r="E991" s="4"/>
      <c r="F991" s="28"/>
      <c r="G991" s="28"/>
      <c r="H991" s="83"/>
      <c r="I991" s="4"/>
      <c r="J991" s="4"/>
      <c r="K991" s="4"/>
      <c r="L991" s="4"/>
      <c r="M991" s="4"/>
      <c r="N991" s="28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  <c r="AA991" s="4"/>
      <c r="AB991" s="4"/>
      <c r="AC991" s="4"/>
      <c r="AD991" s="4"/>
      <c r="AE991" s="4"/>
      <c r="AF991" s="81"/>
      <c r="AG991" s="81"/>
      <c r="AH991" s="81"/>
      <c r="AI991" s="4"/>
      <c r="AJ991" s="81"/>
      <c r="AK991" s="81"/>
      <c r="AL991" s="81"/>
      <c r="AM991" s="43">
        <v>975</v>
      </c>
      <c r="AN991">
        <v>312.72272948461642</v>
      </c>
      <c r="AO991">
        <v>33.979519038093713</v>
      </c>
      <c r="AP991">
        <v>77.916452126829142</v>
      </c>
      <c r="AQ991">
        <v>250.67394817973772</v>
      </c>
      <c r="AR991">
        <v>35.775795838279365</v>
      </c>
      <c r="AS991">
        <v>288.64446316916724</v>
      </c>
      <c r="AT991">
        <v>15.047496702484418</v>
      </c>
      <c r="AU991">
        <v>9.3110289758122846</v>
      </c>
      <c r="AV991"/>
      <c r="AW991"/>
      <c r="FY991" s="213">
        <v>986</v>
      </c>
      <c r="FZ991">
        <v>51.965521271074508</v>
      </c>
      <c r="GA991">
        <v>52.363889111204081</v>
      </c>
      <c r="GB991">
        <v>8.0795012011551197</v>
      </c>
      <c r="GC991">
        <v>5.407821223425338</v>
      </c>
      <c r="GD991">
        <v>4.5486163429049657</v>
      </c>
      <c r="GE991">
        <v>6.1530119022728336</v>
      </c>
      <c r="GF991">
        <v>7.9587053312841132</v>
      </c>
      <c r="GG991">
        <v>6.2626472711651546</v>
      </c>
      <c r="GH991">
        <v>12.293812774615851</v>
      </c>
      <c r="GI991">
        <v>15.941268923993679</v>
      </c>
      <c r="GJ991"/>
      <c r="GK991"/>
      <c r="GL991"/>
      <c r="GM991"/>
      <c r="GN991" s="208"/>
      <c r="GO991" s="208"/>
      <c r="GP991" s="208"/>
      <c r="GQ991" s="208"/>
      <c r="GR991" s="208"/>
      <c r="GS991" s="208"/>
      <c r="GT991" s="208"/>
      <c r="GU991" s="213">
        <v>986</v>
      </c>
    </row>
    <row r="992" spans="1:203" s="7" customFormat="1">
      <c r="A992" s="4"/>
      <c r="B992" s="4"/>
      <c r="C992" s="4"/>
      <c r="D992" s="4"/>
      <c r="E992" s="4"/>
      <c r="F992" s="28"/>
      <c r="G992" s="28"/>
      <c r="H992" s="83"/>
      <c r="I992" s="4"/>
      <c r="J992" s="4"/>
      <c r="K992" s="4"/>
      <c r="L992" s="4"/>
      <c r="M992" s="4"/>
      <c r="N992" s="28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  <c r="AA992" s="4"/>
      <c r="AB992" s="4"/>
      <c r="AC992" s="4"/>
      <c r="AD992" s="4"/>
      <c r="AE992" s="4"/>
      <c r="AF992" s="81"/>
      <c r="AG992" s="81"/>
      <c r="AH992" s="81"/>
      <c r="AI992" s="4"/>
      <c r="AJ992" s="81"/>
      <c r="AK992" s="81"/>
      <c r="AL992" s="81"/>
      <c r="AM992" s="43">
        <v>976</v>
      </c>
      <c r="AN992">
        <v>281.05458734448587</v>
      </c>
      <c r="AO992">
        <v>29.583838446583997</v>
      </c>
      <c r="AP992">
        <v>106.51151801397123</v>
      </c>
      <c r="AQ992">
        <v>205.98146921474142</v>
      </c>
      <c r="AR992">
        <v>29.267715124696203</v>
      </c>
      <c r="AS992">
        <v>253.08486796197781</v>
      </c>
      <c r="AT992">
        <v>11.455642806003624</v>
      </c>
      <c r="AU992">
        <v>15.073273108127131</v>
      </c>
      <c r="AV992"/>
      <c r="AW992"/>
      <c r="FY992" s="213">
        <v>987</v>
      </c>
      <c r="FZ992">
        <v>52.403080639895293</v>
      </c>
      <c r="GA992">
        <v>52.20899698771963</v>
      </c>
      <c r="GB992">
        <v>11.707522299337409</v>
      </c>
      <c r="GC992">
        <v>8.1043117964910856</v>
      </c>
      <c r="GD992">
        <v>6.5026987663863443</v>
      </c>
      <c r="GE992">
        <v>2.6247494334871178</v>
      </c>
      <c r="GF992">
        <v>21.005136566823296</v>
      </c>
      <c r="GG992">
        <v>22.542130354938777</v>
      </c>
      <c r="GH992">
        <v>21.033529678837688</v>
      </c>
      <c r="GI992">
        <v>21.940304267432587</v>
      </c>
      <c r="GJ992"/>
      <c r="GK992"/>
      <c r="GL992"/>
      <c r="GM992"/>
      <c r="GN992" s="208"/>
      <c r="GO992" s="208"/>
      <c r="GP992" s="208"/>
      <c r="GQ992" s="208"/>
      <c r="GR992" s="208"/>
      <c r="GS992" s="208"/>
      <c r="GT992" s="208"/>
      <c r="GU992" s="213">
        <v>987</v>
      </c>
    </row>
    <row r="993" spans="1:203" s="7" customFormat="1">
      <c r="A993" s="4"/>
      <c r="B993" s="4"/>
      <c r="C993" s="4"/>
      <c r="D993" s="4"/>
      <c r="E993" s="4"/>
      <c r="F993" s="28"/>
      <c r="G993" s="28"/>
      <c r="H993" s="83"/>
      <c r="I993" s="4"/>
      <c r="J993" s="4"/>
      <c r="K993" s="4"/>
      <c r="L993" s="4"/>
      <c r="M993" s="4"/>
      <c r="N993" s="28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  <c r="AA993" s="4"/>
      <c r="AB993" s="4"/>
      <c r="AC993" s="4"/>
      <c r="AD993" s="4"/>
      <c r="AE993" s="4"/>
      <c r="AF993" s="81"/>
      <c r="AG993" s="81"/>
      <c r="AH993" s="81"/>
      <c r="AI993" s="4"/>
      <c r="AJ993" s="81"/>
      <c r="AK993" s="81"/>
      <c r="AL993" s="81"/>
      <c r="AM993" s="43">
        <v>977</v>
      </c>
      <c r="AN993">
        <v>278.19559137755226</v>
      </c>
      <c r="AO993">
        <v>24.984039126188293</v>
      </c>
      <c r="AP993">
        <v>68.729518709126751</v>
      </c>
      <c r="AQ993">
        <v>168.02125902504187</v>
      </c>
      <c r="AR993">
        <v>24.524109394966949</v>
      </c>
      <c r="AS993">
        <v>210.62791083658314</v>
      </c>
      <c r="AT993">
        <v>9.7043249228318249</v>
      </c>
      <c r="AU993">
        <v>-6.9900238452630106</v>
      </c>
      <c r="AV993"/>
      <c r="AW993"/>
      <c r="FY993" s="213">
        <v>988</v>
      </c>
      <c r="FZ993">
        <v>59.47081814195171</v>
      </c>
      <c r="GA993">
        <v>70.290313263352061</v>
      </c>
      <c r="GB993">
        <v>15.295969888533024</v>
      </c>
      <c r="GC993">
        <v>7.5217739292119328</v>
      </c>
      <c r="GD993">
        <v>5.9655356689300332</v>
      </c>
      <c r="GE993">
        <v>3.0812715020909196</v>
      </c>
      <c r="GF993">
        <v>21.984553294681604</v>
      </c>
      <c r="GG993">
        <v>21.359024407795072</v>
      </c>
      <c r="GH993">
        <v>14.359412722650394</v>
      </c>
      <c r="GI993">
        <v>22.897438815891853</v>
      </c>
      <c r="GJ993"/>
      <c r="GK993"/>
      <c r="GL993"/>
      <c r="GM993"/>
      <c r="GN993" s="208"/>
      <c r="GO993" s="208"/>
      <c r="GP993" s="208"/>
      <c r="GQ993" s="208"/>
      <c r="GR993" s="208"/>
      <c r="GS993" s="208"/>
      <c r="GT993" s="208"/>
      <c r="GU993" s="213">
        <v>988</v>
      </c>
    </row>
    <row r="994" spans="1:203" s="7" customFormat="1">
      <c r="A994" s="4"/>
      <c r="B994" s="4"/>
      <c r="C994" s="4"/>
      <c r="D994" s="4"/>
      <c r="E994" s="4"/>
      <c r="F994" s="28"/>
      <c r="G994" s="28"/>
      <c r="H994" s="83"/>
      <c r="I994" s="4"/>
      <c r="J994" s="4"/>
      <c r="K994" s="4"/>
      <c r="L994" s="4"/>
      <c r="M994" s="4"/>
      <c r="N994" s="28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  <c r="AA994" s="4"/>
      <c r="AB994" s="4"/>
      <c r="AC994" s="4"/>
      <c r="AD994" s="4"/>
      <c r="AE994" s="4"/>
      <c r="AF994" s="81"/>
      <c r="AG994" s="81"/>
      <c r="AH994" s="81"/>
      <c r="AI994" s="4"/>
      <c r="AJ994" s="81"/>
      <c r="AK994" s="81"/>
      <c r="AL994" s="81"/>
      <c r="AM994" s="43">
        <v>978</v>
      </c>
      <c r="AN994">
        <v>370.14023604926734</v>
      </c>
      <c r="AO994">
        <v>27.248347885671713</v>
      </c>
      <c r="AP994">
        <v>79.711185431454481</v>
      </c>
      <c r="AQ994">
        <v>192.11592638300115</v>
      </c>
      <c r="AR994">
        <v>28.907274182919309</v>
      </c>
      <c r="AS994">
        <v>287.4760461556985</v>
      </c>
      <c r="AT994">
        <v>13.646082020436419</v>
      </c>
      <c r="AU994">
        <v>63.722474196813643</v>
      </c>
      <c r="AV994"/>
      <c r="AW994"/>
      <c r="FY994" s="213">
        <v>989</v>
      </c>
      <c r="FZ994">
        <v>60.470950962134566</v>
      </c>
      <c r="GA994">
        <v>81.914099732684988</v>
      </c>
      <c r="GB994">
        <v>15.979770187051942</v>
      </c>
      <c r="GC994">
        <v>3.503613472798389</v>
      </c>
      <c r="GD994">
        <v>2.8210483276628344</v>
      </c>
      <c r="GE994">
        <v>4.2031872313039775</v>
      </c>
      <c r="GF994">
        <v>14.396145295076714</v>
      </c>
      <c r="GG994">
        <v>14.185013525358888</v>
      </c>
      <c r="GH994">
        <v>15.81845976286596</v>
      </c>
      <c r="GI994">
        <v>20.353958330146551</v>
      </c>
      <c r="GJ994"/>
      <c r="GK994"/>
      <c r="GL994"/>
      <c r="GM994"/>
      <c r="GN994" s="208"/>
      <c r="GO994" s="208"/>
      <c r="GP994" s="208"/>
      <c r="GQ994" s="208"/>
      <c r="GR994" s="208"/>
      <c r="GS994" s="208"/>
      <c r="GT994" s="208"/>
      <c r="GU994" s="213">
        <v>989</v>
      </c>
    </row>
    <row r="995" spans="1:203" s="7" customFormat="1">
      <c r="A995" s="4"/>
      <c r="B995" s="4"/>
      <c r="C995" s="4"/>
      <c r="D995" s="4"/>
      <c r="E995" s="4"/>
      <c r="F995" s="28"/>
      <c r="G995" s="28"/>
      <c r="H995" s="83"/>
      <c r="I995" s="4"/>
      <c r="J995" s="4"/>
      <c r="K995" s="4"/>
      <c r="L995" s="4"/>
      <c r="M995" s="4"/>
      <c r="N995" s="28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  <c r="AA995" s="4"/>
      <c r="AB995" s="4"/>
      <c r="AC995" s="4"/>
      <c r="AD995" s="4"/>
      <c r="AE995" s="4"/>
      <c r="AF995" s="81"/>
      <c r="AG995" s="81"/>
      <c r="AH995" s="81"/>
      <c r="AI995" s="4"/>
      <c r="AJ995" s="81"/>
      <c r="AK995" s="81"/>
      <c r="AL995" s="81"/>
      <c r="AM995" s="43">
        <v>979</v>
      </c>
      <c r="AN995">
        <v>291.38962018419022</v>
      </c>
      <c r="AO995">
        <v>23.634178486304421</v>
      </c>
      <c r="AP995">
        <v>118.58738545655018</v>
      </c>
      <c r="AQ995">
        <v>180.84556898678048</v>
      </c>
      <c r="AR995">
        <v>24.216946944501963</v>
      </c>
      <c r="AS995">
        <v>224.80576193398693</v>
      </c>
      <c r="AT995">
        <v>12.286598126451509</v>
      </c>
      <c r="AU995">
        <v>56.387555765195472</v>
      </c>
      <c r="AV995"/>
      <c r="AW995"/>
      <c r="FY995" s="213">
        <v>990</v>
      </c>
      <c r="FZ995">
        <v>63.03209346134706</v>
      </c>
      <c r="GA995">
        <v>48.791210121972632</v>
      </c>
      <c r="GB995">
        <v>7.4058452497195582</v>
      </c>
      <c r="GC995">
        <v>4.3469058658566277</v>
      </c>
      <c r="GD995">
        <v>4.5732860996321341</v>
      </c>
      <c r="GE995">
        <v>4.5799274456698322</v>
      </c>
      <c r="GF995">
        <v>18.136962063981347</v>
      </c>
      <c r="GG995">
        <v>19.277271871811127</v>
      </c>
      <c r="GH995">
        <v>24.058559525255781</v>
      </c>
      <c r="GI995">
        <v>21.03554844191806</v>
      </c>
      <c r="GJ995"/>
      <c r="GK995"/>
      <c r="GL995"/>
      <c r="GM995"/>
      <c r="GN995" s="208"/>
      <c r="GO995" s="208"/>
      <c r="GP995" s="208"/>
      <c r="GQ995" s="208"/>
      <c r="GR995" s="208"/>
      <c r="GS995" s="208"/>
      <c r="GT995" s="208"/>
      <c r="GU995" s="213">
        <v>990</v>
      </c>
    </row>
    <row r="996" spans="1:203" s="7" customFormat="1">
      <c r="A996" s="4"/>
      <c r="B996" s="4"/>
      <c r="C996" s="4"/>
      <c r="D996" s="4"/>
      <c r="E996" s="4"/>
      <c r="F996" s="28"/>
      <c r="G996" s="28"/>
      <c r="H996" s="83"/>
      <c r="I996" s="4"/>
      <c r="J996" s="4"/>
      <c r="K996" s="4"/>
      <c r="L996" s="4"/>
      <c r="M996" s="4"/>
      <c r="N996" s="28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  <c r="AA996" s="4"/>
      <c r="AB996" s="4"/>
      <c r="AC996" s="4"/>
      <c r="AD996" s="4"/>
      <c r="AE996" s="4"/>
      <c r="AF996" s="81"/>
      <c r="AG996" s="81"/>
      <c r="AH996" s="81"/>
      <c r="AI996" s="4"/>
      <c r="AJ996" s="81"/>
      <c r="AK996" s="81"/>
      <c r="AL996" s="81"/>
      <c r="AM996" s="43">
        <v>980</v>
      </c>
      <c r="AN996">
        <v>314.01393698295146</v>
      </c>
      <c r="AO996">
        <v>28.654653752930329</v>
      </c>
      <c r="AP996">
        <v>79.699245273893752</v>
      </c>
      <c r="AQ996">
        <v>206.18962473063334</v>
      </c>
      <c r="AR996">
        <v>29.769516071036623</v>
      </c>
      <c r="AS996">
        <v>247.10321358605384</v>
      </c>
      <c r="AT996">
        <v>12.725834785911765</v>
      </c>
      <c r="AU996">
        <v>9.4239739457514204</v>
      </c>
      <c r="AV996"/>
      <c r="AW996"/>
      <c r="FY996" s="213">
        <v>991</v>
      </c>
      <c r="FZ996">
        <v>37.708342161641909</v>
      </c>
      <c r="GA996">
        <v>43.576851843756437</v>
      </c>
      <c r="GB996">
        <v>12.149029935501035</v>
      </c>
      <c r="GC996">
        <v>6.3717879913287909</v>
      </c>
      <c r="GD996">
        <v>4.8026354885377627</v>
      </c>
      <c r="GE996">
        <v>4.3327213324379965</v>
      </c>
      <c r="GF996">
        <v>30.781314574420946</v>
      </c>
      <c r="GG996">
        <v>27.815073564373783</v>
      </c>
      <c r="GH996">
        <v>17.273507801279866</v>
      </c>
      <c r="GI996">
        <v>20.135882551300949</v>
      </c>
      <c r="GJ996"/>
      <c r="GK996"/>
      <c r="GL996"/>
      <c r="GM996"/>
      <c r="GN996" s="208"/>
      <c r="GO996" s="208"/>
      <c r="GP996" s="208"/>
      <c r="GQ996" s="208"/>
      <c r="GR996" s="208"/>
      <c r="GS996" s="208"/>
      <c r="GT996" s="208"/>
      <c r="GU996" s="213">
        <v>991</v>
      </c>
    </row>
    <row r="997" spans="1:203" s="7" customFormat="1">
      <c r="A997" s="4"/>
      <c r="B997" s="4"/>
      <c r="C997" s="4"/>
      <c r="D997" s="4"/>
      <c r="E997" s="4"/>
      <c r="F997" s="28"/>
      <c r="G997" s="28"/>
      <c r="H997" s="83"/>
      <c r="I997" s="4"/>
      <c r="J997" s="4"/>
      <c r="K997" s="4"/>
      <c r="L997" s="4"/>
      <c r="M997" s="4"/>
      <c r="N997" s="28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  <c r="AA997" s="4"/>
      <c r="AB997" s="4"/>
      <c r="AC997" s="4"/>
      <c r="AD997" s="4"/>
      <c r="AE997" s="4"/>
      <c r="AF997" s="81"/>
      <c r="AG997" s="81"/>
      <c r="AH997" s="81"/>
      <c r="AI997" s="4"/>
      <c r="AJ997" s="81"/>
      <c r="AK997" s="81"/>
      <c r="AL997" s="81"/>
      <c r="AM997" s="43">
        <v>981</v>
      </c>
      <c r="AN997">
        <v>285.07833378845419</v>
      </c>
      <c r="AO997">
        <v>30.460279947049884</v>
      </c>
      <c r="AP997">
        <v>111.16592668886773</v>
      </c>
      <c r="AQ997">
        <v>231.28631875223442</v>
      </c>
      <c r="AR997">
        <v>30.136517128727569</v>
      </c>
      <c r="AS997">
        <v>240.71374916323114</v>
      </c>
      <c r="AT997">
        <v>13.648553856761588</v>
      </c>
      <c r="AU997">
        <v>58.972804631651798</v>
      </c>
      <c r="AV997"/>
      <c r="AW997"/>
      <c r="FY997" s="213">
        <v>992</v>
      </c>
      <c r="FZ997">
        <v>40.897452589616961</v>
      </c>
      <c r="GA997">
        <v>37.12189712523972</v>
      </c>
      <c r="GB997">
        <v>11.778334816073373</v>
      </c>
      <c r="GC997">
        <v>5.7211270160259753</v>
      </c>
      <c r="GD997">
        <v>4.8584043287677376</v>
      </c>
      <c r="GE997">
        <v>6.7255802897879198</v>
      </c>
      <c r="GF997">
        <v>39.224495085633102</v>
      </c>
      <c r="GG997">
        <v>31.976388947906671</v>
      </c>
      <c r="GH997">
        <v>9.4351411491595769</v>
      </c>
      <c r="GI997">
        <v>20.761076885111159</v>
      </c>
      <c r="GJ997"/>
      <c r="GK997"/>
      <c r="GL997"/>
      <c r="GM997"/>
      <c r="GN997" s="208"/>
      <c r="GO997" s="208"/>
      <c r="GP997" s="208"/>
      <c r="GQ997" s="208"/>
      <c r="GR997" s="208"/>
      <c r="GS997" s="208"/>
      <c r="GT997" s="208"/>
      <c r="GU997" s="213">
        <v>992</v>
      </c>
    </row>
    <row r="998" spans="1:203" s="7" customFormat="1">
      <c r="A998" s="4"/>
      <c r="B998" s="4"/>
      <c r="C998" s="4"/>
      <c r="D998" s="4"/>
      <c r="E998" s="4"/>
      <c r="F998" s="28"/>
      <c r="G998" s="28"/>
      <c r="H998" s="83"/>
      <c r="I998" s="4"/>
      <c r="J998" s="4"/>
      <c r="K998" s="4"/>
      <c r="L998" s="4"/>
      <c r="M998" s="4"/>
      <c r="N998" s="28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  <c r="AA998" s="4"/>
      <c r="AB998" s="4"/>
      <c r="AC998" s="4"/>
      <c r="AD998" s="4"/>
      <c r="AE998" s="4"/>
      <c r="AF998" s="81"/>
      <c r="AG998" s="81"/>
      <c r="AH998" s="81"/>
      <c r="AI998" s="4"/>
      <c r="AJ998" s="81"/>
      <c r="AK998" s="81"/>
      <c r="AL998" s="81"/>
      <c r="AM998" s="43">
        <v>982</v>
      </c>
      <c r="AN998">
        <v>244.29379434714087</v>
      </c>
      <c r="AO998">
        <v>16.792334133269357</v>
      </c>
      <c r="AP998">
        <v>73.529648849210915</v>
      </c>
      <c r="AQ998">
        <v>119.76933253318158</v>
      </c>
      <c r="AR998">
        <v>18.053835461671941</v>
      </c>
      <c r="AS998">
        <v>169.43052314874097</v>
      </c>
      <c r="AT998">
        <v>9.0517014193962382</v>
      </c>
      <c r="AU998">
        <v>59.581791836751478</v>
      </c>
      <c r="AV998"/>
      <c r="AW998"/>
      <c r="FY998" s="213">
        <v>993</v>
      </c>
      <c r="FZ998">
        <v>67.77300576814612</v>
      </c>
      <c r="GA998">
        <v>50.02200210807181</v>
      </c>
      <c r="GB998">
        <v>12.395925475024427</v>
      </c>
      <c r="GC998">
        <v>7.1163552519571516</v>
      </c>
      <c r="GD998">
        <v>5.985392287623732</v>
      </c>
      <c r="GE998">
        <v>3.9337122597377712</v>
      </c>
      <c r="GF998">
        <v>5.9560597479771413</v>
      </c>
      <c r="GG998">
        <v>6.95492907492455</v>
      </c>
      <c r="GH998">
        <v>11.444514060159513</v>
      </c>
      <c r="GI998">
        <v>19.728512502174823</v>
      </c>
      <c r="GJ998"/>
      <c r="GK998"/>
      <c r="GL998"/>
      <c r="GM998"/>
      <c r="GN998" s="208"/>
      <c r="GO998" s="208"/>
      <c r="GP998" s="208"/>
      <c r="GQ998" s="208"/>
      <c r="GR998" s="208"/>
      <c r="GS998" s="208"/>
      <c r="GT998" s="208"/>
      <c r="GU998" s="213">
        <v>993</v>
      </c>
    </row>
    <row r="999" spans="1:203" s="7" customFormat="1">
      <c r="A999" s="4"/>
      <c r="B999" s="4"/>
      <c r="C999" s="4"/>
      <c r="D999" s="4"/>
      <c r="E999" s="4"/>
      <c r="F999" s="28"/>
      <c r="G999" s="28"/>
      <c r="H999" s="83"/>
      <c r="I999" s="4"/>
      <c r="J999" s="4"/>
      <c r="K999" s="4"/>
      <c r="L999" s="4"/>
      <c r="M999" s="4"/>
      <c r="N999" s="28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  <c r="AA999" s="4"/>
      <c r="AB999" s="4"/>
      <c r="AC999" s="4"/>
      <c r="AD999" s="4"/>
      <c r="AE999" s="4"/>
      <c r="AF999" s="81"/>
      <c r="AG999" s="81"/>
      <c r="AH999" s="81"/>
      <c r="AI999" s="4"/>
      <c r="AJ999" s="81"/>
      <c r="AK999" s="81"/>
      <c r="AL999" s="81"/>
      <c r="AM999" s="43">
        <v>983</v>
      </c>
      <c r="AN999">
        <v>329.22788465406529</v>
      </c>
      <c r="AO999">
        <v>27.061899300511186</v>
      </c>
      <c r="AP999">
        <v>67.988275797865583</v>
      </c>
      <c r="AQ999">
        <v>181.40997101839469</v>
      </c>
      <c r="AR999">
        <v>28.277401118719752</v>
      </c>
      <c r="AS999">
        <v>236.95046136115386</v>
      </c>
      <c r="AT999">
        <v>10.352829288445742</v>
      </c>
      <c r="AU999">
        <v>-3.4900032383628599E-2</v>
      </c>
      <c r="AV999"/>
      <c r="AW999"/>
      <c r="FY999" s="213">
        <v>994</v>
      </c>
      <c r="FZ999">
        <v>51.66049859623935</v>
      </c>
      <c r="GA999">
        <v>50.291729321990466</v>
      </c>
      <c r="GB999">
        <v>11.444925573374135</v>
      </c>
      <c r="GC999">
        <v>7.6098774781714233</v>
      </c>
      <c r="GD999">
        <v>5.8709668561918544</v>
      </c>
      <c r="GE999">
        <v>7.2341733898927911</v>
      </c>
      <c r="GF999">
        <v>32.231735500699791</v>
      </c>
      <c r="GG999">
        <v>23.064477515755105</v>
      </c>
      <c r="GH999">
        <v>18.977889476592757</v>
      </c>
      <c r="GI999">
        <v>23.171662050107013</v>
      </c>
      <c r="GJ999"/>
      <c r="GK999"/>
      <c r="GL999"/>
      <c r="GM999"/>
      <c r="GN999" s="208"/>
      <c r="GO999" s="208"/>
      <c r="GP999" s="208"/>
      <c r="GQ999" s="208"/>
      <c r="GR999" s="208"/>
      <c r="GS999" s="208"/>
      <c r="GT999" s="208"/>
      <c r="GU999" s="213">
        <v>994</v>
      </c>
    </row>
    <row r="1000" spans="1:203" s="7" customFormat="1">
      <c r="A1000" s="4"/>
      <c r="B1000" s="4"/>
      <c r="C1000" s="4"/>
      <c r="D1000" s="4"/>
      <c r="E1000" s="4"/>
      <c r="F1000" s="28"/>
      <c r="G1000" s="28"/>
      <c r="H1000" s="83"/>
      <c r="I1000" s="4"/>
      <c r="J1000" s="4"/>
      <c r="K1000" s="4"/>
      <c r="L1000" s="4"/>
      <c r="M1000" s="4"/>
      <c r="N1000" s="28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  <c r="AA1000" s="4"/>
      <c r="AB1000" s="4"/>
      <c r="AC1000" s="4"/>
      <c r="AD1000" s="4"/>
      <c r="AE1000" s="4"/>
      <c r="AF1000" s="81"/>
      <c r="AG1000" s="81"/>
      <c r="AH1000" s="81"/>
      <c r="AI1000" s="4"/>
      <c r="AJ1000" s="81"/>
      <c r="AK1000" s="81"/>
      <c r="AL1000" s="81"/>
      <c r="AM1000" s="43">
        <v>984</v>
      </c>
      <c r="AN1000">
        <v>417.72208760142274</v>
      </c>
      <c r="AO1000">
        <v>29.568458020569334</v>
      </c>
      <c r="AP1000">
        <v>80.876040172842281</v>
      </c>
      <c r="AQ1000">
        <v>213.14204324165149</v>
      </c>
      <c r="AR1000">
        <v>30.572008880353305</v>
      </c>
      <c r="AS1000">
        <v>317.73632432385284</v>
      </c>
      <c r="AT1000">
        <v>15.175211155628416</v>
      </c>
      <c r="AU1000">
        <v>38.474466341837889</v>
      </c>
      <c r="AV1000"/>
      <c r="AW1000"/>
      <c r="FY1000" s="213">
        <v>995</v>
      </c>
      <c r="FZ1000">
        <v>38.707083739888311</v>
      </c>
      <c r="GA1000">
        <v>26.661205054493912</v>
      </c>
      <c r="GB1000">
        <v>4.5452199028477125</v>
      </c>
      <c r="GC1000">
        <v>6.5570722178714478</v>
      </c>
      <c r="GD1000">
        <v>5.2928178016741008</v>
      </c>
      <c r="GE1000">
        <v>4.3321459465883425</v>
      </c>
      <c r="GF1000">
        <v>12.246948991886233</v>
      </c>
      <c r="GG1000">
        <v>12.712496131303189</v>
      </c>
      <c r="GH1000">
        <v>10.176125840561227</v>
      </c>
      <c r="GI1000">
        <v>13.599511957577215</v>
      </c>
      <c r="GJ1000"/>
      <c r="GK1000"/>
      <c r="GL1000"/>
      <c r="GM1000"/>
      <c r="GN1000" s="208"/>
      <c r="GO1000" s="208"/>
      <c r="GP1000" s="208"/>
      <c r="GQ1000" s="208"/>
      <c r="GR1000" s="208"/>
      <c r="GS1000" s="208"/>
      <c r="GT1000" s="208"/>
      <c r="GU1000" s="213">
        <v>995</v>
      </c>
    </row>
    <row r="1001" spans="1:203" s="7" customFormat="1">
      <c r="A1001" s="4"/>
      <c r="B1001" s="4"/>
      <c r="C1001" s="4"/>
      <c r="D1001" s="4"/>
      <c r="E1001" s="4"/>
      <c r="F1001" s="28"/>
      <c r="G1001" s="28"/>
      <c r="H1001" s="83"/>
      <c r="I1001" s="4"/>
      <c r="J1001" s="4"/>
      <c r="K1001" s="4"/>
      <c r="L1001" s="4"/>
      <c r="M1001" s="4"/>
      <c r="N1001" s="28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  <c r="AA1001" s="4"/>
      <c r="AB1001" s="4"/>
      <c r="AC1001" s="4"/>
      <c r="AD1001" s="4"/>
      <c r="AE1001" s="4"/>
      <c r="AF1001" s="81"/>
      <c r="AG1001" s="81"/>
      <c r="AH1001" s="81"/>
      <c r="AI1001" s="4"/>
      <c r="AJ1001" s="81"/>
      <c r="AK1001" s="81"/>
      <c r="AL1001" s="81"/>
      <c r="AM1001" s="43">
        <v>985</v>
      </c>
      <c r="AN1001">
        <v>328.08156244281946</v>
      </c>
      <c r="AO1001">
        <v>33.716823388313301</v>
      </c>
      <c r="AP1001">
        <v>83.336499602588475</v>
      </c>
      <c r="AQ1001">
        <v>236.8307471124607</v>
      </c>
      <c r="AR1001">
        <v>33.784853659080206</v>
      </c>
      <c r="AS1001">
        <v>294.45012192991805</v>
      </c>
      <c r="AT1001">
        <v>12.727560728169513</v>
      </c>
      <c r="AU1001">
        <v>-9.5061123933219598</v>
      </c>
      <c r="AV1001"/>
      <c r="AW1001"/>
      <c r="FY1001" s="213">
        <v>996</v>
      </c>
      <c r="FZ1001">
        <v>24.120088683124234</v>
      </c>
      <c r="GA1001">
        <v>35.262973767721405</v>
      </c>
      <c r="GB1001">
        <v>13.426856074396099</v>
      </c>
      <c r="GC1001">
        <v>5.6881765597594018</v>
      </c>
      <c r="GD1001">
        <v>4.3096605234552436</v>
      </c>
      <c r="GE1001">
        <v>8.0330477271081673</v>
      </c>
      <c r="GF1001">
        <v>22.806887536431429</v>
      </c>
      <c r="GG1001">
        <v>17.562236140769087</v>
      </c>
      <c r="GH1001">
        <v>15.466699761133956</v>
      </c>
      <c r="GI1001">
        <v>16.461866485177065</v>
      </c>
      <c r="GJ1001"/>
      <c r="GK1001"/>
      <c r="GL1001"/>
      <c r="GM1001"/>
      <c r="GN1001" s="208"/>
      <c r="GO1001" s="208"/>
      <c r="GP1001" s="208"/>
      <c r="GQ1001" s="208"/>
      <c r="GR1001" s="208"/>
      <c r="GS1001" s="208"/>
      <c r="GT1001" s="208"/>
      <c r="GU1001" s="213">
        <v>996</v>
      </c>
    </row>
    <row r="1002" spans="1:203" s="7" customFormat="1">
      <c r="A1002" s="4"/>
      <c r="B1002" s="4"/>
      <c r="C1002" s="4"/>
      <c r="D1002" s="4"/>
      <c r="E1002" s="4"/>
      <c r="F1002" s="28"/>
      <c r="G1002" s="28"/>
      <c r="H1002" s="83"/>
      <c r="I1002" s="4"/>
      <c r="J1002" s="4"/>
      <c r="K1002" s="4"/>
      <c r="L1002" s="4"/>
      <c r="M1002" s="4"/>
      <c r="N1002" s="28"/>
      <c r="O1002" s="4"/>
      <c r="P1002" s="4"/>
      <c r="Q1002" s="4"/>
      <c r="R1002" s="4"/>
      <c r="S1002" s="4"/>
      <c r="T1002" s="4"/>
      <c r="U1002" s="4"/>
      <c r="V1002" s="4"/>
      <c r="W1002" s="4"/>
      <c r="X1002" s="4"/>
      <c r="Y1002" s="4"/>
      <c r="Z1002" s="4"/>
      <c r="AA1002" s="4"/>
      <c r="AB1002" s="4"/>
      <c r="AC1002" s="4"/>
      <c r="AD1002" s="4"/>
      <c r="AE1002" s="4"/>
      <c r="AF1002" s="81"/>
      <c r="AG1002" s="81"/>
      <c r="AH1002" s="81"/>
      <c r="AI1002" s="4"/>
      <c r="AJ1002" s="81"/>
      <c r="AK1002" s="81"/>
      <c r="AL1002" s="81"/>
      <c r="AM1002" s="43">
        <v>986</v>
      </c>
      <c r="AN1002">
        <v>244.3736385107033</v>
      </c>
      <c r="AO1002">
        <v>22.78756633688673</v>
      </c>
      <c r="AP1002">
        <v>56.634726385450726</v>
      </c>
      <c r="AQ1002">
        <v>170.97479535309563</v>
      </c>
      <c r="AR1002">
        <v>23.473436007087532</v>
      </c>
      <c r="AS1002">
        <v>205.63659411812256</v>
      </c>
      <c r="AT1002">
        <v>11.076311860992133</v>
      </c>
      <c r="AU1002">
        <v>4.6356838844604553</v>
      </c>
      <c r="AV1002"/>
      <c r="AW1002"/>
      <c r="FY1002" s="213">
        <v>997</v>
      </c>
      <c r="FZ1002">
        <v>25.900602329933626</v>
      </c>
      <c r="GA1002">
        <v>35.305485181710004</v>
      </c>
      <c r="GB1002">
        <v>11.09223014597025</v>
      </c>
      <c r="GC1002">
        <v>5.3157115531775405</v>
      </c>
      <c r="GD1002">
        <v>4.7947550121440869</v>
      </c>
      <c r="GE1002">
        <v>3.9957171262472979</v>
      </c>
      <c r="GF1002">
        <v>14.875946128530696</v>
      </c>
      <c r="GG1002">
        <v>14.9723547041171</v>
      </c>
      <c r="GH1002">
        <v>13.846434742796665</v>
      </c>
      <c r="GI1002">
        <v>14.697194604568901</v>
      </c>
      <c r="GJ1002"/>
      <c r="GK1002"/>
      <c r="GL1002"/>
      <c r="GM1002"/>
      <c r="GN1002" s="208"/>
      <c r="GO1002" s="208"/>
      <c r="GP1002" s="208"/>
      <c r="GQ1002" s="208"/>
      <c r="GR1002" s="208"/>
      <c r="GS1002" s="208"/>
      <c r="GT1002" s="208"/>
      <c r="GU1002" s="213">
        <v>997</v>
      </c>
    </row>
    <row r="1003" spans="1:203" s="7" customFormat="1">
      <c r="A1003" s="4"/>
      <c r="B1003" s="4"/>
      <c r="C1003" s="4"/>
      <c r="D1003" s="4"/>
      <c r="E1003" s="4"/>
      <c r="F1003" s="28"/>
      <c r="G1003" s="28"/>
      <c r="H1003" s="83"/>
      <c r="I1003" s="4"/>
      <c r="J1003" s="4"/>
      <c r="K1003" s="4"/>
      <c r="L1003" s="4"/>
      <c r="M1003" s="4"/>
      <c r="N1003" s="28"/>
      <c r="O1003" s="4"/>
      <c r="P1003" s="4"/>
      <c r="Q1003" s="4"/>
      <c r="R1003" s="4"/>
      <c r="S1003" s="4"/>
      <c r="T1003" s="4"/>
      <c r="U1003" s="4"/>
      <c r="V1003" s="4"/>
      <c r="W1003" s="4"/>
      <c r="X1003" s="4"/>
      <c r="Y1003" s="4"/>
      <c r="Z1003" s="4"/>
      <c r="AA1003" s="4"/>
      <c r="AB1003" s="4"/>
      <c r="AC1003" s="4"/>
      <c r="AD1003" s="4"/>
      <c r="AE1003" s="4"/>
      <c r="AF1003" s="81"/>
      <c r="AG1003" s="81"/>
      <c r="AH1003" s="81"/>
      <c r="AI1003" s="4"/>
      <c r="AJ1003" s="81"/>
      <c r="AK1003" s="81"/>
      <c r="AL1003" s="81"/>
      <c r="AM1003" s="43">
        <v>987</v>
      </c>
      <c r="AN1003">
        <v>327.4751613123687</v>
      </c>
      <c r="AO1003">
        <v>30.567908706032391</v>
      </c>
      <c r="AP1003">
        <v>387.35477152910317</v>
      </c>
      <c r="AQ1003">
        <v>220.07246079134924</v>
      </c>
      <c r="AR1003">
        <v>32.119473481249798</v>
      </c>
      <c r="AS1003">
        <v>279.16506945994382</v>
      </c>
      <c r="AT1003" t="e">
        <v>#DIV/0!</v>
      </c>
      <c r="AU1003" t="e">
        <v>#DIV/0!</v>
      </c>
      <c r="AV1003"/>
      <c r="AW1003"/>
      <c r="FY1003" s="213">
        <v>998</v>
      </c>
      <c r="FZ1003">
        <v>31.933866980040307</v>
      </c>
      <c r="GA1003">
        <v>29.893055418267522</v>
      </c>
      <c r="GB1003">
        <v>11.470859013116225</v>
      </c>
      <c r="GC1003">
        <v>6.5570743021375248</v>
      </c>
      <c r="GD1003">
        <v>6.7484166350963486</v>
      </c>
      <c r="GE1003">
        <v>6.2214008131656113</v>
      </c>
      <c r="GF1003">
        <v>11.61758291539835</v>
      </c>
      <c r="GG1003">
        <v>11.261288577399172</v>
      </c>
      <c r="GH1003">
        <v>11.642408115520118</v>
      </c>
      <c r="GI1003">
        <v>15.782031898538103</v>
      </c>
      <c r="GJ1003"/>
      <c r="GK1003"/>
      <c r="GL1003"/>
      <c r="GM1003"/>
      <c r="GN1003" s="208"/>
      <c r="GO1003" s="208"/>
      <c r="GP1003" s="208"/>
      <c r="GQ1003" s="208"/>
      <c r="GR1003" s="208"/>
      <c r="GS1003" s="208"/>
      <c r="GT1003" s="208"/>
      <c r="GU1003" s="213">
        <v>998</v>
      </c>
    </row>
    <row r="1004" spans="1:203" s="7" customFormat="1">
      <c r="A1004" s="4"/>
      <c r="B1004" s="4"/>
      <c r="C1004" s="4"/>
      <c r="D1004" s="4"/>
      <c r="E1004" s="4"/>
      <c r="F1004" s="28"/>
      <c r="G1004" s="28"/>
      <c r="H1004" s="83"/>
      <c r="I1004" s="4"/>
      <c r="J1004" s="4"/>
      <c r="K1004" s="4"/>
      <c r="L1004" s="4"/>
      <c r="M1004" s="4"/>
      <c r="N1004" s="28"/>
      <c r="O1004" s="4"/>
      <c r="P1004" s="4"/>
      <c r="Q1004" s="4"/>
      <c r="R1004" s="4"/>
      <c r="S1004" s="4"/>
      <c r="T1004" s="4"/>
      <c r="U1004" s="4"/>
      <c r="V1004" s="4"/>
      <c r="W1004" s="4"/>
      <c r="X1004" s="4"/>
      <c r="Y1004" s="4"/>
      <c r="Z1004" s="4"/>
      <c r="AA1004" s="4"/>
      <c r="AB1004" s="4"/>
      <c r="AC1004" s="4"/>
      <c r="AD1004" s="4"/>
      <c r="AE1004" s="4"/>
      <c r="AF1004" s="81"/>
      <c r="AG1004" s="81"/>
      <c r="AH1004" s="81"/>
      <c r="AI1004" s="4"/>
      <c r="AJ1004" s="81"/>
      <c r="AK1004" s="81"/>
      <c r="AL1004" s="81"/>
      <c r="AM1004" s="43">
        <v>988</v>
      </c>
      <c r="AN1004">
        <v>342.18266026432855</v>
      </c>
      <c r="AO1004">
        <v>33.114035565171392</v>
      </c>
      <c r="AP1004">
        <v>75.968330353430019</v>
      </c>
      <c r="AQ1004">
        <v>242.22611163508864</v>
      </c>
      <c r="AR1004">
        <v>33.770168731321682</v>
      </c>
      <c r="AS1004">
        <v>299.2448836986942</v>
      </c>
      <c r="AT1004">
        <v>14.89718759145633</v>
      </c>
      <c r="AU1004">
        <v>-8.4371742422819054</v>
      </c>
      <c r="AV1004"/>
      <c r="AW1004"/>
      <c r="FY1004" s="213">
        <v>999</v>
      </c>
      <c r="FZ1004">
        <v>56.952621493994684</v>
      </c>
      <c r="GA1004">
        <v>36.04627829252064</v>
      </c>
      <c r="GB1004">
        <v>4.9971222463169154</v>
      </c>
      <c r="GC1004">
        <v>5.6035227793988502</v>
      </c>
      <c r="GD1004">
        <v>5.3521652608190902</v>
      </c>
      <c r="GE1004">
        <v>6.6651884973522773</v>
      </c>
      <c r="GF1004">
        <v>23.786823856344668</v>
      </c>
      <c r="GG1004">
        <v>20.851945150408508</v>
      </c>
      <c r="GH1004">
        <v>14.486022172257949</v>
      </c>
      <c r="GI1004">
        <v>19.243731125656549</v>
      </c>
      <c r="GJ1004"/>
      <c r="GK1004"/>
      <c r="GL1004"/>
      <c r="GM1004"/>
      <c r="GN1004" s="208"/>
      <c r="GO1004" s="208"/>
      <c r="GP1004" s="208"/>
      <c r="GQ1004" s="208"/>
      <c r="GR1004" s="208"/>
      <c r="GS1004" s="208"/>
      <c r="GT1004" s="208"/>
      <c r="GU1004" s="213">
        <v>999</v>
      </c>
    </row>
    <row r="1005" spans="1:203" s="7" customFormat="1">
      <c r="A1005" s="4"/>
      <c r="B1005" s="4"/>
      <c r="C1005" s="4"/>
      <c r="D1005" s="4"/>
      <c r="E1005" s="4"/>
      <c r="F1005" s="28"/>
      <c r="G1005" s="28"/>
      <c r="H1005" s="83"/>
      <c r="I1005" s="4"/>
      <c r="J1005" s="4"/>
      <c r="K1005" s="4"/>
      <c r="L1005" s="4"/>
      <c r="M1005" s="4"/>
      <c r="N1005" s="28"/>
      <c r="O1005" s="4"/>
      <c r="P1005" s="4"/>
      <c r="Q1005" s="4"/>
      <c r="R1005" s="4"/>
      <c r="S1005" s="4"/>
      <c r="T1005" s="4"/>
      <c r="U1005" s="4"/>
      <c r="V1005" s="4"/>
      <c r="W1005" s="4"/>
      <c r="X1005" s="4"/>
      <c r="Y1005" s="4"/>
      <c r="Z1005" s="4"/>
      <c r="AA1005" s="4"/>
      <c r="AB1005" s="4"/>
      <c r="AC1005" s="4"/>
      <c r="AD1005" s="4"/>
      <c r="AE1005" s="4"/>
      <c r="AF1005" s="81"/>
      <c r="AG1005" s="81"/>
      <c r="AH1005" s="81"/>
      <c r="AI1005" s="4"/>
      <c r="AJ1005" s="81"/>
      <c r="AK1005" s="81"/>
      <c r="AL1005" s="81"/>
      <c r="AM1005" s="43">
        <v>989</v>
      </c>
      <c r="AN1005">
        <v>248.99580692212817</v>
      </c>
      <c r="AO1005">
        <v>30.583189900566413</v>
      </c>
      <c r="AP1005">
        <v>95.038193430563865</v>
      </c>
      <c r="AQ1005">
        <v>233.64624682708478</v>
      </c>
      <c r="AR1005">
        <v>30.860340305224394</v>
      </c>
      <c r="AS1005">
        <v>244.30335270181939</v>
      </c>
      <c r="AT1005">
        <v>13.414901871461206</v>
      </c>
      <c r="AU1005">
        <v>19.864219670606005</v>
      </c>
      <c r="AV1005"/>
      <c r="AW1005"/>
      <c r="FY1005" s="213">
        <v>1000</v>
      </c>
      <c r="FZ1005">
        <v>42.67407986046527</v>
      </c>
      <c r="GA1005">
        <v>25.704657621344477</v>
      </c>
      <c r="GB1005">
        <v>8.6250593843699797</v>
      </c>
      <c r="GC1005">
        <v>7.1531297272148935</v>
      </c>
      <c r="GD1005">
        <v>6.0720254889381664</v>
      </c>
      <c r="GE1005">
        <v>8.192688124352113</v>
      </c>
      <c r="GF1005">
        <v>18.532917110399598</v>
      </c>
      <c r="GG1005">
        <v>14.008964172569712</v>
      </c>
      <c r="GH1005">
        <v>11.827064837747431</v>
      </c>
      <c r="GI1005">
        <v>17.30728442204029</v>
      </c>
      <c r="GJ1005"/>
      <c r="GK1005"/>
      <c r="GL1005"/>
      <c r="GM1005"/>
      <c r="GN1005" s="208"/>
      <c r="GO1005" s="208"/>
      <c r="GP1005" s="208"/>
      <c r="GQ1005" s="208"/>
      <c r="GR1005" s="208"/>
      <c r="GS1005" s="208"/>
      <c r="GT1005" s="208"/>
      <c r="GU1005" s="213">
        <v>1000</v>
      </c>
    </row>
    <row r="1006" spans="1:203" s="7" customFormat="1">
      <c r="A1006" s="4"/>
      <c r="B1006" s="4"/>
      <c r="C1006" s="4"/>
      <c r="D1006" s="4"/>
      <c r="E1006" s="4"/>
      <c r="F1006" s="28"/>
      <c r="G1006" s="28"/>
      <c r="H1006" s="83"/>
      <c r="I1006" s="4"/>
      <c r="J1006" s="4"/>
      <c r="K1006" s="4"/>
      <c r="L1006" s="4"/>
      <c r="M1006" s="4"/>
      <c r="N1006" s="28"/>
      <c r="O1006" s="4"/>
      <c r="P1006" s="4"/>
      <c r="Q1006" s="4"/>
      <c r="R1006" s="4"/>
      <c r="S1006" s="4"/>
      <c r="T1006" s="4"/>
      <c r="U1006" s="4"/>
      <c r="V1006" s="4"/>
      <c r="W1006" s="4"/>
      <c r="X1006" s="4"/>
      <c r="Y1006" s="4"/>
      <c r="Z1006" s="4"/>
      <c r="AA1006" s="4"/>
      <c r="AB1006" s="4"/>
      <c r="AC1006" s="4"/>
      <c r="AD1006" s="4"/>
      <c r="AE1006" s="4"/>
      <c r="AF1006" s="81"/>
      <c r="AG1006" s="81"/>
      <c r="AH1006" s="81"/>
      <c r="AI1006" s="4"/>
      <c r="AJ1006" s="81"/>
      <c r="AK1006" s="81"/>
      <c r="AL1006" s="81"/>
      <c r="AM1006" s="43">
        <v>990</v>
      </c>
      <c r="AN1006">
        <v>279.98754817965533</v>
      </c>
      <c r="AO1006">
        <v>28.15106681327876</v>
      </c>
      <c r="AP1006">
        <v>110.9171096757937</v>
      </c>
      <c r="AQ1006">
        <v>215.23761014716416</v>
      </c>
      <c r="AR1006">
        <v>30.904224713759753</v>
      </c>
      <c r="AS1006">
        <v>256.72332046123512</v>
      </c>
      <c r="AT1006">
        <v>14.680223657582225</v>
      </c>
      <c r="AU1006">
        <v>35.47717769053461</v>
      </c>
      <c r="AV1006"/>
      <c r="AW1006"/>
    </row>
    <row r="1007" spans="1:203" s="7" customFormat="1">
      <c r="A1007" s="4"/>
      <c r="B1007" s="4"/>
      <c r="C1007" s="4"/>
      <c r="D1007" s="4"/>
      <c r="E1007" s="4"/>
      <c r="F1007" s="28"/>
      <c r="G1007" s="28"/>
      <c r="H1007" s="83"/>
      <c r="I1007" s="4"/>
      <c r="J1007" s="4"/>
      <c r="K1007" s="4"/>
      <c r="L1007" s="4"/>
      <c r="M1007" s="4"/>
      <c r="N1007" s="28"/>
      <c r="O1007" s="4"/>
      <c r="P1007" s="4"/>
      <c r="Q1007" s="4"/>
      <c r="R1007" s="4"/>
      <c r="S1007" s="4"/>
      <c r="T1007" s="4"/>
      <c r="U1007" s="4"/>
      <c r="V1007" s="4"/>
      <c r="W1007" s="4"/>
      <c r="X1007" s="4"/>
      <c r="Y1007" s="4"/>
      <c r="Z1007" s="4"/>
      <c r="AA1007" s="4"/>
      <c r="AB1007" s="4"/>
      <c r="AC1007" s="4"/>
      <c r="AD1007" s="4"/>
      <c r="AE1007" s="4"/>
      <c r="AF1007" s="81"/>
      <c r="AG1007" s="81"/>
      <c r="AH1007" s="81"/>
      <c r="AI1007" s="4"/>
      <c r="AJ1007" s="81"/>
      <c r="AK1007" s="81"/>
      <c r="AL1007" s="81"/>
      <c r="AM1007" s="43">
        <v>991</v>
      </c>
      <c r="AN1007">
        <v>360.06200566441919</v>
      </c>
      <c r="AO1007">
        <v>28.679548312989915</v>
      </c>
      <c r="AP1007">
        <v>106.5491523681618</v>
      </c>
      <c r="AQ1007">
        <v>204.94714724457947</v>
      </c>
      <c r="AR1007">
        <v>29.253174420209096</v>
      </c>
      <c r="AS1007">
        <v>272.66531975644466</v>
      </c>
      <c r="AT1007">
        <v>12.870925734208621</v>
      </c>
      <c r="AU1007">
        <v>14.328467453198032</v>
      </c>
      <c r="AV1007"/>
      <c r="AW1007"/>
    </row>
    <row r="1008" spans="1:203" s="7" customFormat="1">
      <c r="A1008" s="4"/>
      <c r="B1008" s="4"/>
      <c r="C1008" s="4"/>
      <c r="D1008" s="4"/>
      <c r="E1008" s="4"/>
      <c r="F1008" s="28"/>
      <c r="G1008" s="28"/>
      <c r="H1008" s="83"/>
      <c r="I1008" s="4"/>
      <c r="J1008" s="4"/>
      <c r="K1008" s="4"/>
      <c r="L1008" s="4"/>
      <c r="M1008" s="4"/>
      <c r="N1008" s="28"/>
      <c r="O1008" s="4"/>
      <c r="P1008" s="4"/>
      <c r="Q1008" s="4"/>
      <c r="R1008" s="4"/>
      <c r="S1008" s="4"/>
      <c r="T1008" s="4"/>
      <c r="U1008" s="4"/>
      <c r="V1008" s="4"/>
      <c r="W1008" s="4"/>
      <c r="X1008" s="4"/>
      <c r="Y1008" s="4"/>
      <c r="Z1008" s="4"/>
      <c r="AA1008" s="4"/>
      <c r="AB1008" s="4"/>
      <c r="AC1008" s="4"/>
      <c r="AD1008" s="4"/>
      <c r="AE1008" s="4"/>
      <c r="AF1008" s="81"/>
      <c r="AG1008" s="81"/>
      <c r="AH1008" s="81"/>
      <c r="AI1008" s="4"/>
      <c r="AJ1008" s="81"/>
      <c r="AK1008" s="81"/>
      <c r="AL1008" s="81"/>
      <c r="AM1008" s="43">
        <v>992</v>
      </c>
      <c r="AN1008">
        <v>410.4674905379631</v>
      </c>
      <c r="AO1008">
        <v>29.340758311944263</v>
      </c>
      <c r="AP1008">
        <v>132.96652049374353</v>
      </c>
      <c r="AQ1008">
        <v>208.49989823332214</v>
      </c>
      <c r="AR1008">
        <v>30.057242379940277</v>
      </c>
      <c r="AS1008">
        <v>303.91645265777947</v>
      </c>
      <c r="AT1008">
        <v>15.071507756776212</v>
      </c>
      <c r="AU1008">
        <v>95.26630942153534</v>
      </c>
      <c r="AV1008"/>
      <c r="AW1008"/>
    </row>
    <row r="1009" spans="1:49" s="7" customFormat="1">
      <c r="A1009" s="4"/>
      <c r="B1009" s="4"/>
      <c r="C1009" s="4"/>
      <c r="D1009" s="4"/>
      <c r="E1009" s="4"/>
      <c r="F1009" s="28"/>
      <c r="G1009" s="28"/>
      <c r="H1009" s="83"/>
      <c r="I1009" s="4"/>
      <c r="J1009" s="4"/>
      <c r="K1009" s="4"/>
      <c r="L1009" s="4"/>
      <c r="M1009" s="4"/>
      <c r="N1009" s="28"/>
      <c r="O1009" s="4"/>
      <c r="P1009" s="4"/>
      <c r="Q1009" s="4"/>
      <c r="R1009" s="4"/>
      <c r="S1009" s="4"/>
      <c r="T1009" s="4"/>
      <c r="U1009" s="4"/>
      <c r="V1009" s="4"/>
      <c r="W1009" s="4"/>
      <c r="X1009" s="4"/>
      <c r="Y1009" s="4"/>
      <c r="Z1009" s="4"/>
      <c r="AA1009" s="4"/>
      <c r="AB1009" s="4"/>
      <c r="AC1009" s="4"/>
      <c r="AD1009" s="4"/>
      <c r="AE1009" s="4"/>
      <c r="AF1009" s="81"/>
      <c r="AG1009" s="81"/>
      <c r="AH1009" s="81"/>
      <c r="AI1009" s="4"/>
      <c r="AJ1009" s="81"/>
      <c r="AK1009" s="81"/>
      <c r="AL1009" s="81"/>
      <c r="AM1009" s="43">
        <v>993</v>
      </c>
      <c r="AN1009">
        <v>241.8574649626029</v>
      </c>
      <c r="AO1009">
        <v>27.207227887457869</v>
      </c>
      <c r="AP1009">
        <v>76.459015681448392</v>
      </c>
      <c r="AQ1009">
        <v>191.31040853579705</v>
      </c>
      <c r="AR1009">
        <v>30.36941036761673</v>
      </c>
      <c r="AS1009">
        <v>222.59404292110224</v>
      </c>
      <c r="AT1009">
        <v>13.325338054222051</v>
      </c>
      <c r="AU1009">
        <v>31.522357050470703</v>
      </c>
      <c r="AV1009"/>
      <c r="AW1009"/>
    </row>
    <row r="1010" spans="1:49" s="7" customFormat="1">
      <c r="A1010" s="4"/>
      <c r="B1010" s="4"/>
      <c r="C1010" s="4"/>
      <c r="D1010" s="4"/>
      <c r="E1010" s="4"/>
      <c r="F1010" s="28"/>
      <c r="G1010" s="28"/>
      <c r="H1010" s="83"/>
      <c r="I1010" s="4"/>
      <c r="J1010" s="4"/>
      <c r="K1010" s="4"/>
      <c r="L1010" s="4"/>
      <c r="M1010" s="4"/>
      <c r="N1010" s="28"/>
      <c r="O1010" s="4"/>
      <c r="P1010" s="4"/>
      <c r="Q1010" s="4"/>
      <c r="R1010" s="4"/>
      <c r="S1010" s="4"/>
      <c r="T1010" s="4"/>
      <c r="U1010" s="4"/>
      <c r="V1010" s="4"/>
      <c r="W1010" s="4"/>
      <c r="X1010" s="4"/>
      <c r="Y1010" s="4"/>
      <c r="Z1010" s="4"/>
      <c r="AA1010" s="4"/>
      <c r="AB1010" s="4"/>
      <c r="AC1010" s="4"/>
      <c r="AD1010" s="4"/>
      <c r="AE1010" s="4"/>
      <c r="AF1010" s="81"/>
      <c r="AG1010" s="81"/>
      <c r="AH1010" s="81"/>
      <c r="AI1010" s="4"/>
      <c r="AJ1010" s="81"/>
      <c r="AK1010" s="81"/>
      <c r="AL1010" s="81"/>
      <c r="AM1010" s="43">
        <v>994</v>
      </c>
      <c r="AN1010">
        <v>400.67663572823091</v>
      </c>
      <c r="AO1010">
        <v>32.481840545603198</v>
      </c>
      <c r="AP1010">
        <v>111.57433981828942</v>
      </c>
      <c r="AQ1010">
        <v>231.5579357590147</v>
      </c>
      <c r="AR1010">
        <v>34.149846403344021</v>
      </c>
      <c r="AS1010">
        <v>307.94123753879194</v>
      </c>
      <c r="AT1010">
        <v>15.505173966566083</v>
      </c>
      <c r="AU1010">
        <v>56.357469108277762</v>
      </c>
      <c r="AV1010"/>
      <c r="AW1010"/>
    </row>
    <row r="1011" spans="1:49" s="7" customFormat="1">
      <c r="A1011" s="4"/>
      <c r="B1011" s="4"/>
      <c r="C1011" s="4"/>
      <c r="D1011" s="4"/>
      <c r="E1011" s="4"/>
      <c r="F1011" s="28"/>
      <c r="G1011" s="28"/>
      <c r="H1011" s="83"/>
      <c r="I1011" s="4"/>
      <c r="J1011" s="4"/>
      <c r="K1011" s="4"/>
      <c r="L1011" s="4"/>
      <c r="M1011" s="4"/>
      <c r="N1011" s="28"/>
      <c r="O1011" s="4"/>
      <c r="P1011" s="4"/>
      <c r="Q1011" s="4"/>
      <c r="R1011" s="4"/>
      <c r="S1011" s="4"/>
      <c r="T1011" s="4"/>
      <c r="U1011" s="4"/>
      <c r="V1011" s="4"/>
      <c r="W1011" s="4"/>
      <c r="X1011" s="4"/>
      <c r="Y1011" s="4"/>
      <c r="Z1011" s="4"/>
      <c r="AA1011" s="4"/>
      <c r="AB1011" s="4"/>
      <c r="AC1011" s="4"/>
      <c r="AD1011" s="4"/>
      <c r="AE1011" s="4"/>
      <c r="AF1011" s="81"/>
      <c r="AG1011" s="81"/>
      <c r="AH1011" s="81"/>
      <c r="AI1011" s="4"/>
      <c r="AJ1011" s="81"/>
      <c r="AK1011" s="81"/>
      <c r="AL1011" s="81"/>
      <c r="AM1011" s="43">
        <v>995</v>
      </c>
      <c r="AN1011">
        <v>302.22676396544421</v>
      </c>
      <c r="AO1011">
        <v>18.734772925753994</v>
      </c>
      <c r="AP1011">
        <v>51.158266121671893</v>
      </c>
      <c r="AQ1011">
        <v>134.83062758469168</v>
      </c>
      <c r="AR1011">
        <v>19.552654628615254</v>
      </c>
      <c r="AS1011">
        <v>212.29055554106984</v>
      </c>
      <c r="AT1011">
        <v>10.029468352276027</v>
      </c>
      <c r="AU1011">
        <v>40.101646391162589</v>
      </c>
      <c r="AV1011"/>
      <c r="AW1011"/>
    </row>
    <row r="1012" spans="1:49" s="7" customFormat="1">
      <c r="A1012" s="4"/>
      <c r="B1012" s="4"/>
      <c r="C1012" s="4"/>
      <c r="D1012" s="4"/>
      <c r="E1012" s="4"/>
      <c r="F1012" s="28"/>
      <c r="G1012" s="28"/>
      <c r="H1012" s="83"/>
      <c r="I1012" s="4"/>
      <c r="J1012" s="4"/>
      <c r="K1012" s="4"/>
      <c r="L1012" s="4"/>
      <c r="M1012" s="4"/>
      <c r="N1012" s="28"/>
      <c r="O1012" s="4"/>
      <c r="P1012" s="4"/>
      <c r="Q1012" s="4"/>
      <c r="R1012" s="4"/>
      <c r="S1012" s="4"/>
      <c r="T1012" s="4"/>
      <c r="U1012" s="4"/>
      <c r="V1012" s="4"/>
      <c r="W1012" s="4"/>
      <c r="X1012" s="4"/>
      <c r="Y1012" s="4"/>
      <c r="Z1012" s="4"/>
      <c r="AA1012" s="4"/>
      <c r="AB1012" s="4"/>
      <c r="AC1012" s="4"/>
      <c r="AD1012" s="4"/>
      <c r="AE1012" s="4"/>
      <c r="AF1012" s="81"/>
      <c r="AG1012" s="81"/>
      <c r="AH1012" s="81"/>
      <c r="AI1012" s="4"/>
      <c r="AJ1012" s="81"/>
      <c r="AK1012" s="81"/>
      <c r="AL1012" s="81"/>
      <c r="AM1012" s="43">
        <v>996</v>
      </c>
      <c r="AN1012">
        <v>338.96439686307775</v>
      </c>
      <c r="AO1012">
        <v>23.884836280229255</v>
      </c>
      <c r="AP1012">
        <v>112.91709717153643</v>
      </c>
      <c r="AQ1012">
        <v>163.13849325907611</v>
      </c>
      <c r="AR1012">
        <v>24.104810569462796</v>
      </c>
      <c r="AS1012">
        <v>239.22994542828314</v>
      </c>
      <c r="AT1012">
        <v>10.312350426139181</v>
      </c>
      <c r="AU1012">
        <v>-3.3301859345872025</v>
      </c>
      <c r="AV1012"/>
      <c r="AW1012"/>
    </row>
    <row r="1013" spans="1:49" s="7" customFormat="1">
      <c r="A1013" s="4"/>
      <c r="B1013" s="4"/>
      <c r="C1013" s="4"/>
      <c r="D1013" s="4"/>
      <c r="E1013" s="4"/>
      <c r="F1013" s="28"/>
      <c r="G1013" s="28"/>
      <c r="H1013" s="83"/>
      <c r="I1013" s="4"/>
      <c r="J1013" s="4"/>
      <c r="K1013" s="4"/>
      <c r="L1013" s="4"/>
      <c r="M1013" s="4"/>
      <c r="N1013" s="28"/>
      <c r="O1013" s="4"/>
      <c r="P1013" s="4"/>
      <c r="Q1013" s="4"/>
      <c r="R1013" s="4"/>
      <c r="S1013" s="4"/>
      <c r="T1013" s="4"/>
      <c r="U1013" s="4"/>
      <c r="V1013" s="4"/>
      <c r="W1013" s="4"/>
      <c r="X1013" s="4"/>
      <c r="Y1013" s="4"/>
      <c r="Z1013" s="4"/>
      <c r="AA1013" s="4"/>
      <c r="AB1013" s="4"/>
      <c r="AC1013" s="4"/>
      <c r="AD1013" s="4"/>
      <c r="AE1013" s="4"/>
      <c r="AF1013" s="81"/>
      <c r="AG1013" s="81"/>
      <c r="AH1013" s="81"/>
      <c r="AI1013" s="4"/>
      <c r="AJ1013" s="81"/>
      <c r="AK1013" s="81"/>
      <c r="AL1013" s="81"/>
      <c r="AM1013" s="43">
        <v>997</v>
      </c>
      <c r="AN1013">
        <v>245.7957059174766</v>
      </c>
      <c r="AO1013">
        <v>21.2012166687948</v>
      </c>
      <c r="AP1013">
        <v>84.518633376360313</v>
      </c>
      <c r="AQ1013">
        <v>144.79643152919616</v>
      </c>
      <c r="AR1013">
        <v>21.769696364541666</v>
      </c>
      <c r="AS1013">
        <v>198.62245224953429</v>
      </c>
      <c r="AT1013">
        <v>8.8654370380754788</v>
      </c>
      <c r="AU1013">
        <v>37.381460025138921</v>
      </c>
      <c r="AV1013"/>
      <c r="AW1013"/>
    </row>
    <row r="1014" spans="1:49" s="7" customFormat="1">
      <c r="A1014" s="4"/>
      <c r="B1014" s="4"/>
      <c r="C1014" s="4"/>
      <c r="D1014" s="4"/>
      <c r="E1014" s="4"/>
      <c r="F1014" s="28"/>
      <c r="G1014" s="28"/>
      <c r="H1014" s="83"/>
      <c r="I1014" s="4"/>
      <c r="J1014" s="4"/>
      <c r="K1014" s="4"/>
      <c r="L1014" s="4"/>
      <c r="M1014" s="4"/>
      <c r="N1014" s="28"/>
      <c r="O1014" s="4"/>
      <c r="P1014" s="4"/>
      <c r="Q1014" s="4"/>
      <c r="R1014" s="4"/>
      <c r="S1014" s="4"/>
      <c r="T1014" s="4"/>
      <c r="U1014" s="4"/>
      <c r="V1014" s="4"/>
      <c r="W1014" s="4"/>
      <c r="X1014" s="4"/>
      <c r="Y1014" s="4"/>
      <c r="Z1014" s="4"/>
      <c r="AA1014" s="4"/>
      <c r="AB1014" s="4"/>
      <c r="AC1014" s="4"/>
      <c r="AD1014" s="4"/>
      <c r="AE1014" s="4"/>
      <c r="AF1014" s="81"/>
      <c r="AG1014" s="81"/>
      <c r="AH1014" s="81"/>
      <c r="AI1014" s="4"/>
      <c r="AJ1014" s="81"/>
      <c r="AK1014" s="81"/>
      <c r="AL1014" s="81"/>
      <c r="AM1014" s="43">
        <v>998</v>
      </c>
      <c r="AN1014">
        <v>294.01929161390655</v>
      </c>
      <c r="AO1014">
        <v>21.725966339758315</v>
      </c>
      <c r="AP1014">
        <v>50.721979561506046</v>
      </c>
      <c r="AQ1014">
        <v>143.12798466867926</v>
      </c>
      <c r="AR1014">
        <v>23.200369756443759</v>
      </c>
      <c r="AS1014">
        <v>215.90096698380361</v>
      </c>
      <c r="AT1014">
        <v>10.154876866548259</v>
      </c>
      <c r="AU1014">
        <v>15.392359615457707</v>
      </c>
      <c r="AV1014"/>
      <c r="AW1014"/>
    </row>
    <row r="1015" spans="1:49" s="7" customFormat="1">
      <c r="A1015" s="4"/>
      <c r="B1015" s="4"/>
      <c r="C1015" s="4"/>
      <c r="D1015" s="4"/>
      <c r="E1015" s="4"/>
      <c r="F1015" s="28"/>
      <c r="G1015" s="28"/>
      <c r="H1015" s="83"/>
      <c r="I1015" s="4"/>
      <c r="J1015" s="4"/>
      <c r="K1015" s="4"/>
      <c r="L1015" s="4"/>
      <c r="M1015" s="4"/>
      <c r="N1015" s="28"/>
      <c r="O1015" s="4"/>
      <c r="P1015" s="4"/>
      <c r="Q1015" s="4"/>
      <c r="R1015" s="4"/>
      <c r="S1015" s="4"/>
      <c r="T1015" s="4"/>
      <c r="U1015" s="4"/>
      <c r="V1015" s="4"/>
      <c r="W1015" s="4"/>
      <c r="X1015" s="4"/>
      <c r="Y1015" s="4"/>
      <c r="Z1015" s="4"/>
      <c r="AA1015" s="4"/>
      <c r="AB1015" s="4"/>
      <c r="AC1015" s="4"/>
      <c r="AD1015" s="4"/>
      <c r="AE1015" s="4"/>
      <c r="AF1015" s="81"/>
      <c r="AG1015" s="81"/>
      <c r="AH1015" s="81"/>
      <c r="AI1015" s="4"/>
      <c r="AJ1015" s="81"/>
      <c r="AK1015" s="81"/>
      <c r="AL1015" s="81"/>
      <c r="AM1015" s="43">
        <v>999</v>
      </c>
      <c r="AN1015">
        <v>339.18298878448388</v>
      </c>
      <c r="AO1015">
        <v>25.843099968692581</v>
      </c>
      <c r="AP1015">
        <v>80.937980516298595</v>
      </c>
      <c r="AQ1015">
        <v>193.98542087507013</v>
      </c>
      <c r="AR1015">
        <v>27.708515880774879</v>
      </c>
      <c r="AS1015">
        <v>256.05403402717195</v>
      </c>
      <c r="AT1015">
        <v>14.113265540340038</v>
      </c>
      <c r="AU1015">
        <v>42.75802094925865</v>
      </c>
      <c r="AV1015"/>
      <c r="AW1015"/>
    </row>
    <row r="1016" spans="1:49" s="7" customFormat="1">
      <c r="A1016" s="4"/>
      <c r="B1016" s="4"/>
      <c r="C1016" s="4"/>
      <c r="D1016" s="4"/>
      <c r="E1016" s="4"/>
      <c r="F1016" s="28"/>
      <c r="G1016" s="28"/>
      <c r="H1016" s="83"/>
      <c r="I1016" s="4"/>
      <c r="J1016" s="4"/>
      <c r="K1016" s="4"/>
      <c r="L1016" s="4"/>
      <c r="M1016" s="4"/>
      <c r="N1016" s="28"/>
      <c r="O1016" s="4"/>
      <c r="P1016" s="4"/>
      <c r="Q1016" s="4"/>
      <c r="R1016" s="4"/>
      <c r="S1016" s="4"/>
      <c r="T1016" s="4"/>
      <c r="U1016" s="4"/>
      <c r="V1016" s="4"/>
      <c r="W1016" s="4"/>
      <c r="X1016" s="4"/>
      <c r="Y1016" s="4"/>
      <c r="Z1016" s="4"/>
      <c r="AA1016" s="4"/>
      <c r="AB1016" s="4"/>
      <c r="AC1016" s="4"/>
      <c r="AD1016" s="4"/>
      <c r="AE1016" s="4"/>
      <c r="AF1016" s="81"/>
      <c r="AG1016" s="81"/>
      <c r="AH1016" s="81"/>
      <c r="AI1016" s="4"/>
      <c r="AJ1016" s="81"/>
      <c r="AK1016" s="81"/>
      <c r="AL1016" s="81"/>
      <c r="AM1016" s="43">
        <v>1000</v>
      </c>
      <c r="AN1016">
        <v>358.87383665535106</v>
      </c>
      <c r="AO1016">
        <v>23.367927354513043</v>
      </c>
      <c r="AP1016">
        <v>66.166079049599816</v>
      </c>
      <c r="AQ1016">
        <v>160.09787074944191</v>
      </c>
      <c r="AR1016">
        <v>25.226603878025141</v>
      </c>
      <c r="AS1016">
        <v>264.68983208996247</v>
      </c>
      <c r="AT1016">
        <v>12.129830652909805</v>
      </c>
      <c r="AU1016">
        <v>47.269636432186701</v>
      </c>
      <c r="AV1016"/>
      <c r="AW1016"/>
    </row>
    <row r="1017" spans="1:49" s="7" customFormat="1">
      <c r="A1017" s="4"/>
      <c r="B1017" s="4"/>
      <c r="C1017" s="4"/>
      <c r="D1017" s="4"/>
      <c r="E1017" s="4"/>
      <c r="F1017" s="28"/>
      <c r="G1017" s="28"/>
      <c r="H1017" s="83"/>
      <c r="I1017" s="4"/>
      <c r="J1017" s="4"/>
      <c r="K1017" s="4"/>
      <c r="L1017" s="4"/>
      <c r="M1017" s="4"/>
      <c r="N1017" s="28"/>
      <c r="O1017" s="4"/>
      <c r="P1017" s="4"/>
      <c r="Q1017" s="4"/>
      <c r="R1017" s="4"/>
      <c r="S1017" s="4"/>
      <c r="T1017" s="4"/>
      <c r="U1017" s="4"/>
      <c r="V1017" s="4"/>
      <c r="W1017" s="4"/>
      <c r="X1017" s="4"/>
      <c r="Y1017" s="4"/>
      <c r="Z1017" s="4"/>
      <c r="AA1017" s="4"/>
      <c r="AB1017" s="4"/>
      <c r="AC1017" s="4"/>
      <c r="AD1017" s="4"/>
      <c r="AE1017" s="4"/>
      <c r="AF1017" s="81"/>
      <c r="AG1017" s="81"/>
      <c r="AH1017" s="81"/>
      <c r="AI1017" s="4"/>
      <c r="AJ1017" s="81"/>
      <c r="AK1017" s="81"/>
      <c r="AL1017" s="81"/>
      <c r="AM1017" s="35" t="s">
        <v>117</v>
      </c>
      <c r="AN1017" s="35" t="s">
        <v>117</v>
      </c>
      <c r="AO1017" s="35" t="s">
        <v>117</v>
      </c>
      <c r="AP1017" s="35" t="s">
        <v>117</v>
      </c>
      <c r="AQ1017" s="35" t="s">
        <v>117</v>
      </c>
      <c r="AR1017" s="35" t="s">
        <v>117</v>
      </c>
      <c r="AS1017" s="35" t="s">
        <v>117</v>
      </c>
      <c r="AT1017" s="35" t="s">
        <v>117</v>
      </c>
      <c r="AU1017" s="35" t="s">
        <v>117</v>
      </c>
      <c r="AV1017" s="121"/>
    </row>
    <row r="1018" spans="1:49" s="7" customFormat="1">
      <c r="A1018" s="4"/>
      <c r="B1018" s="4"/>
      <c r="C1018" s="4"/>
      <c r="D1018" s="4"/>
      <c r="E1018" s="4"/>
      <c r="F1018" s="28"/>
      <c r="G1018" s="28"/>
      <c r="H1018" s="83"/>
      <c r="I1018" s="4"/>
      <c r="J1018" s="4"/>
      <c r="K1018" s="4"/>
      <c r="L1018" s="4"/>
      <c r="M1018" s="4"/>
      <c r="N1018" s="28"/>
      <c r="O1018" s="4"/>
      <c r="P1018" s="4"/>
      <c r="Q1018" s="4"/>
      <c r="R1018" s="4"/>
      <c r="S1018" s="4"/>
      <c r="T1018" s="4"/>
      <c r="U1018" s="4"/>
      <c r="V1018" s="4"/>
      <c r="W1018" s="4"/>
      <c r="X1018" s="4"/>
      <c r="Y1018" s="4"/>
      <c r="Z1018" s="4"/>
      <c r="AA1018" s="4"/>
      <c r="AB1018" s="4"/>
      <c r="AC1018" s="4"/>
      <c r="AD1018" s="4"/>
      <c r="AE1018" s="4"/>
      <c r="AF1018" s="81"/>
      <c r="AG1018" s="81"/>
      <c r="AH1018" s="81"/>
      <c r="AI1018" s="4"/>
      <c r="AJ1018" s="81"/>
      <c r="AK1018" s="81"/>
      <c r="AL1018" s="81"/>
      <c r="AM1018" s="35" t="s">
        <v>117</v>
      </c>
      <c r="AN1018" s="35" t="s">
        <v>117</v>
      </c>
      <c r="AO1018" s="35" t="s">
        <v>117</v>
      </c>
      <c r="AP1018" s="35" t="s">
        <v>117</v>
      </c>
      <c r="AQ1018" s="35" t="s">
        <v>117</v>
      </c>
      <c r="AR1018" s="35" t="s">
        <v>117</v>
      </c>
      <c r="AS1018" s="35" t="s">
        <v>117</v>
      </c>
      <c r="AT1018" s="35" t="s">
        <v>117</v>
      </c>
      <c r="AU1018" s="35" t="s">
        <v>117</v>
      </c>
      <c r="AV1018" s="121"/>
    </row>
    <row r="1019" spans="1:49" s="7" customFormat="1">
      <c r="A1019" s="4"/>
      <c r="B1019" s="4"/>
      <c r="C1019" s="4"/>
      <c r="D1019" s="4"/>
      <c r="E1019" s="4"/>
      <c r="F1019" s="28"/>
      <c r="G1019" s="28"/>
      <c r="H1019" s="83"/>
      <c r="I1019" s="4"/>
      <c r="J1019" s="4"/>
      <c r="K1019" s="4"/>
      <c r="L1019" s="4"/>
      <c r="M1019" s="4"/>
      <c r="N1019" s="28"/>
      <c r="O1019" s="4"/>
      <c r="P1019" s="4"/>
      <c r="Q1019" s="4"/>
      <c r="R1019" s="4"/>
      <c r="S1019" s="4"/>
      <c r="T1019" s="4"/>
      <c r="U1019" s="4"/>
      <c r="V1019" s="4"/>
      <c r="W1019" s="4"/>
      <c r="X1019" s="4"/>
      <c r="Y1019" s="4"/>
      <c r="Z1019" s="4"/>
      <c r="AA1019" s="4"/>
      <c r="AB1019" s="4"/>
      <c r="AC1019" s="4"/>
      <c r="AD1019" s="4"/>
      <c r="AE1019" s="4"/>
      <c r="AF1019" s="81"/>
      <c r="AG1019" s="81"/>
      <c r="AH1019" s="81"/>
      <c r="AI1019" s="4"/>
      <c r="AJ1019" s="81"/>
      <c r="AK1019" s="81"/>
      <c r="AL1019" s="81"/>
      <c r="AM1019" s="81"/>
      <c r="AN1019" s="81"/>
      <c r="AO1019" s="81"/>
      <c r="AP1019" s="81"/>
      <c r="AQ1019" s="81"/>
      <c r="AR1019" s="81"/>
      <c r="AS1019" s="81"/>
    </row>
    <row r="1020" spans="1:49" s="7" customFormat="1">
      <c r="A1020" s="4"/>
      <c r="B1020" s="4"/>
      <c r="C1020" s="4"/>
      <c r="D1020" s="4"/>
      <c r="E1020" s="4"/>
      <c r="F1020" s="28"/>
      <c r="G1020" s="28"/>
      <c r="H1020" s="83"/>
      <c r="I1020" s="4"/>
      <c r="J1020" s="4"/>
      <c r="K1020" s="4"/>
      <c r="L1020" s="4"/>
      <c r="M1020" s="4"/>
      <c r="N1020" s="28"/>
      <c r="O1020" s="4"/>
      <c r="P1020" s="4"/>
      <c r="Q1020" s="4"/>
      <c r="R1020" s="4"/>
      <c r="S1020" s="4"/>
      <c r="T1020" s="4"/>
      <c r="U1020" s="4"/>
      <c r="V1020" s="4"/>
      <c r="W1020" s="4"/>
      <c r="X1020" s="4"/>
      <c r="Y1020" s="4"/>
      <c r="Z1020" s="4"/>
      <c r="AA1020" s="4"/>
      <c r="AB1020" s="4"/>
      <c r="AC1020" s="4"/>
      <c r="AD1020" s="4"/>
      <c r="AE1020" s="4"/>
      <c r="AF1020" s="81"/>
      <c r="AG1020" s="81"/>
      <c r="AH1020" s="81"/>
      <c r="AI1020" s="4"/>
      <c r="AJ1020" s="81"/>
      <c r="AK1020" s="81"/>
      <c r="AL1020" s="81"/>
      <c r="AM1020" s="81"/>
      <c r="AN1020" s="81"/>
      <c r="AO1020" s="81"/>
      <c r="AP1020" s="81"/>
      <c r="AQ1020" s="81"/>
      <c r="AR1020" s="81"/>
      <c r="AS1020" s="81"/>
    </row>
    <row r="1021" spans="1:49" s="7" customFormat="1">
      <c r="A1021" s="4"/>
      <c r="B1021" s="4"/>
      <c r="C1021" s="4"/>
      <c r="D1021" s="4"/>
      <c r="E1021" s="4"/>
      <c r="F1021" s="28"/>
      <c r="G1021" s="28"/>
      <c r="H1021" s="83"/>
      <c r="I1021" s="4"/>
      <c r="J1021" s="4"/>
      <c r="K1021" s="4"/>
      <c r="L1021" s="4"/>
      <c r="M1021" s="4"/>
      <c r="N1021" s="28"/>
      <c r="O1021" s="4"/>
      <c r="P1021" s="4"/>
      <c r="Q1021" s="4"/>
      <c r="R1021" s="4"/>
      <c r="S1021" s="4"/>
      <c r="T1021" s="4"/>
      <c r="U1021" s="4"/>
      <c r="V1021" s="4"/>
      <c r="W1021" s="4"/>
      <c r="X1021" s="4"/>
      <c r="Y1021" s="4"/>
      <c r="Z1021" s="4"/>
      <c r="AA1021" s="4"/>
      <c r="AB1021" s="4"/>
      <c r="AC1021" s="4"/>
      <c r="AD1021" s="4"/>
      <c r="AE1021" s="4"/>
      <c r="AF1021" s="81"/>
      <c r="AG1021" s="81"/>
      <c r="AH1021" s="81"/>
      <c r="AI1021" s="4"/>
      <c r="AJ1021" s="81"/>
      <c r="AK1021" s="81"/>
      <c r="AL1021" s="81"/>
      <c r="AM1021" s="81"/>
      <c r="AN1021" s="81"/>
      <c r="AO1021" s="81"/>
      <c r="AP1021" s="81"/>
      <c r="AQ1021" s="81"/>
      <c r="AR1021" s="81"/>
      <c r="AS1021" s="81"/>
    </row>
    <row r="1022" spans="1:49" s="7" customFormat="1">
      <c r="A1022" s="4"/>
      <c r="B1022" s="4"/>
      <c r="C1022" s="4"/>
      <c r="D1022" s="4"/>
      <c r="E1022" s="4"/>
      <c r="F1022" s="28"/>
      <c r="G1022" s="28"/>
      <c r="H1022" s="83"/>
      <c r="I1022" s="4"/>
      <c r="J1022" s="4"/>
      <c r="K1022" s="4"/>
      <c r="L1022" s="4"/>
      <c r="M1022" s="4"/>
      <c r="N1022" s="28"/>
      <c r="O1022" s="4"/>
      <c r="P1022" s="4"/>
      <c r="Q1022" s="4"/>
      <c r="R1022" s="4"/>
      <c r="S1022" s="4"/>
      <c r="T1022" s="4"/>
      <c r="U1022" s="4"/>
      <c r="V1022" s="4"/>
      <c r="W1022" s="4"/>
      <c r="X1022" s="4"/>
      <c r="Y1022" s="4"/>
      <c r="Z1022" s="4"/>
      <c r="AA1022" s="4"/>
      <c r="AB1022" s="4"/>
      <c r="AC1022" s="4"/>
      <c r="AD1022" s="4"/>
      <c r="AE1022" s="4"/>
      <c r="AF1022" s="81"/>
      <c r="AG1022" s="81"/>
      <c r="AH1022" s="81"/>
      <c r="AI1022" s="4"/>
      <c r="AJ1022" s="81"/>
      <c r="AK1022" s="81"/>
      <c r="AL1022" s="81"/>
      <c r="AM1022" s="81"/>
      <c r="AN1022" s="81"/>
      <c r="AO1022" s="81"/>
      <c r="AP1022" s="81"/>
      <c r="AQ1022" s="81"/>
      <c r="AR1022" s="81"/>
      <c r="AS1022" s="81"/>
    </row>
    <row r="1023" spans="1:49" s="7" customFormat="1">
      <c r="A1023" s="4"/>
      <c r="B1023" s="4"/>
      <c r="C1023" s="4"/>
      <c r="D1023" s="4"/>
      <c r="E1023" s="4"/>
      <c r="F1023" s="28"/>
      <c r="G1023" s="28"/>
      <c r="H1023" s="83"/>
      <c r="I1023" s="4"/>
      <c r="J1023" s="4"/>
      <c r="K1023" s="4"/>
      <c r="L1023" s="4"/>
      <c r="M1023" s="4"/>
      <c r="N1023" s="28"/>
      <c r="O1023" s="4"/>
      <c r="P1023" s="4"/>
      <c r="Q1023" s="4"/>
      <c r="R1023" s="4"/>
      <c r="S1023" s="4"/>
      <c r="T1023" s="4"/>
      <c r="U1023" s="4"/>
      <c r="V1023" s="4"/>
      <c r="W1023" s="4"/>
      <c r="X1023" s="4"/>
      <c r="Y1023" s="4"/>
      <c r="Z1023" s="4"/>
      <c r="AA1023" s="4"/>
      <c r="AB1023" s="4"/>
      <c r="AC1023" s="4"/>
      <c r="AD1023" s="4"/>
      <c r="AE1023" s="4"/>
      <c r="AF1023" s="81"/>
      <c r="AG1023" s="81"/>
      <c r="AH1023" s="81"/>
      <c r="AI1023" s="4"/>
      <c r="AJ1023" s="81"/>
      <c r="AK1023" s="81"/>
      <c r="AL1023" s="81"/>
      <c r="AM1023" s="81"/>
      <c r="AN1023" s="81"/>
      <c r="AO1023" s="81"/>
      <c r="AP1023" s="81"/>
      <c r="AQ1023" s="81"/>
      <c r="AR1023" s="81"/>
      <c r="AS1023" s="81"/>
    </row>
    <row r="1024" spans="1:49" s="7" customFormat="1">
      <c r="A1024" s="4"/>
      <c r="B1024" s="4"/>
      <c r="C1024" s="4"/>
      <c r="D1024" s="4"/>
      <c r="E1024" s="4"/>
      <c r="F1024" s="28"/>
      <c r="G1024" s="28"/>
      <c r="H1024" s="83"/>
      <c r="I1024" s="4"/>
      <c r="J1024" s="4"/>
      <c r="K1024" s="4"/>
      <c r="L1024" s="4"/>
      <c r="M1024" s="4"/>
      <c r="N1024" s="28"/>
      <c r="O1024" s="4"/>
      <c r="P1024" s="4"/>
      <c r="Q1024" s="4"/>
      <c r="R1024" s="4"/>
      <c r="S1024" s="4"/>
      <c r="T1024" s="4"/>
      <c r="U1024" s="4"/>
      <c r="V1024" s="4"/>
      <c r="W1024" s="4"/>
      <c r="X1024" s="4"/>
      <c r="Y1024" s="4"/>
      <c r="Z1024" s="4"/>
      <c r="AA1024" s="4"/>
      <c r="AB1024" s="4"/>
      <c r="AC1024" s="4"/>
      <c r="AD1024" s="4"/>
      <c r="AE1024" s="4"/>
      <c r="AF1024" s="81"/>
      <c r="AG1024" s="81"/>
      <c r="AH1024" s="81"/>
      <c r="AI1024" s="4"/>
      <c r="AJ1024" s="81"/>
      <c r="AK1024" s="81"/>
      <c r="AL1024" s="81"/>
      <c r="AM1024" s="81"/>
      <c r="AN1024" s="81"/>
      <c r="AO1024" s="81"/>
      <c r="AP1024" s="81"/>
      <c r="AQ1024" s="81"/>
      <c r="AR1024" s="81"/>
      <c r="AS1024" s="81"/>
    </row>
    <row r="1025" spans="1:45" s="7" customFormat="1">
      <c r="A1025" s="4"/>
      <c r="B1025" s="4"/>
      <c r="C1025" s="4"/>
      <c r="D1025" s="4"/>
      <c r="E1025" s="4"/>
      <c r="F1025" s="28"/>
      <c r="G1025" s="28"/>
      <c r="H1025" s="83"/>
      <c r="I1025" s="4"/>
      <c r="J1025" s="4"/>
      <c r="K1025" s="4"/>
      <c r="L1025" s="4"/>
      <c r="M1025" s="4"/>
      <c r="N1025" s="28"/>
      <c r="O1025" s="4"/>
      <c r="P1025" s="4"/>
      <c r="Q1025" s="4"/>
      <c r="R1025" s="4"/>
      <c r="S1025" s="4"/>
      <c r="T1025" s="4"/>
      <c r="U1025" s="4"/>
      <c r="V1025" s="4"/>
      <c r="W1025" s="4"/>
      <c r="X1025" s="4"/>
      <c r="Y1025" s="4"/>
      <c r="Z1025" s="4"/>
      <c r="AA1025" s="4"/>
      <c r="AB1025" s="4"/>
      <c r="AC1025" s="4"/>
      <c r="AD1025" s="4"/>
      <c r="AE1025" s="4"/>
      <c r="AF1025" s="81"/>
      <c r="AG1025" s="81"/>
      <c r="AH1025" s="81"/>
      <c r="AI1025" s="4"/>
      <c r="AJ1025" s="81"/>
      <c r="AK1025" s="81"/>
      <c r="AL1025" s="81"/>
      <c r="AM1025" s="81"/>
      <c r="AN1025" s="81"/>
      <c r="AO1025" s="81"/>
      <c r="AP1025" s="81"/>
      <c r="AQ1025" s="81"/>
      <c r="AR1025" s="81"/>
      <c r="AS1025" s="81"/>
    </row>
    <row r="1026" spans="1:45" s="7" customFormat="1">
      <c r="A1026" s="4"/>
      <c r="B1026" s="4"/>
      <c r="C1026" s="4"/>
      <c r="D1026" s="4"/>
      <c r="E1026" s="4"/>
      <c r="F1026" s="28"/>
      <c r="G1026" s="28"/>
      <c r="H1026" s="83"/>
      <c r="I1026" s="4"/>
      <c r="J1026" s="4"/>
      <c r="K1026" s="4"/>
      <c r="L1026" s="4"/>
      <c r="M1026" s="4"/>
      <c r="N1026" s="28"/>
      <c r="O1026" s="4"/>
      <c r="P1026" s="4"/>
      <c r="Q1026" s="4"/>
      <c r="R1026" s="4"/>
      <c r="S1026" s="4"/>
      <c r="T1026" s="4"/>
      <c r="U1026" s="4"/>
      <c r="V1026" s="4"/>
      <c r="W1026" s="4"/>
      <c r="X1026" s="4"/>
      <c r="Y1026" s="4"/>
      <c r="Z1026" s="4"/>
      <c r="AA1026" s="4"/>
      <c r="AB1026" s="4"/>
      <c r="AC1026" s="4"/>
      <c r="AD1026" s="4"/>
      <c r="AE1026" s="4"/>
      <c r="AF1026" s="81"/>
      <c r="AG1026" s="81"/>
      <c r="AH1026" s="81"/>
      <c r="AI1026" s="4"/>
      <c r="AJ1026" s="81"/>
      <c r="AK1026" s="81"/>
      <c r="AL1026" s="81"/>
      <c r="AM1026" s="81"/>
      <c r="AN1026" s="81"/>
      <c r="AO1026" s="81"/>
      <c r="AP1026" s="81"/>
      <c r="AQ1026" s="81"/>
      <c r="AR1026" s="81"/>
      <c r="AS1026" s="81"/>
    </row>
    <row r="1027" spans="1:45" s="7" customFormat="1">
      <c r="A1027" s="4"/>
      <c r="B1027" s="4"/>
      <c r="C1027" s="4"/>
      <c r="D1027" s="4"/>
      <c r="E1027" s="4"/>
      <c r="F1027" s="28"/>
      <c r="G1027" s="28"/>
      <c r="H1027" s="83"/>
      <c r="I1027" s="4"/>
      <c r="J1027" s="4"/>
      <c r="K1027" s="4"/>
      <c r="L1027" s="4"/>
      <c r="M1027" s="4"/>
      <c r="N1027" s="28"/>
      <c r="O1027" s="4"/>
      <c r="P1027" s="4"/>
      <c r="Q1027" s="4"/>
      <c r="R1027" s="4"/>
      <c r="S1027" s="4"/>
      <c r="T1027" s="4"/>
      <c r="U1027" s="4"/>
      <c r="V1027" s="4"/>
      <c r="W1027" s="4"/>
      <c r="X1027" s="4"/>
      <c r="Y1027" s="4"/>
      <c r="Z1027" s="4"/>
      <c r="AA1027" s="4"/>
      <c r="AB1027" s="4"/>
      <c r="AC1027" s="4"/>
      <c r="AD1027" s="4"/>
      <c r="AE1027" s="4"/>
      <c r="AF1027" s="81"/>
      <c r="AG1027" s="81"/>
      <c r="AH1027" s="81"/>
      <c r="AI1027" s="4"/>
      <c r="AJ1027" s="81"/>
      <c r="AK1027" s="81"/>
      <c r="AL1027" s="81"/>
      <c r="AM1027" s="81"/>
      <c r="AN1027" s="81"/>
      <c r="AO1027" s="81"/>
      <c r="AP1027" s="81"/>
      <c r="AQ1027" s="81"/>
      <c r="AR1027" s="81"/>
      <c r="AS1027" s="81"/>
    </row>
    <row r="1028" spans="1:45" s="7" customFormat="1">
      <c r="A1028" s="4"/>
      <c r="B1028" s="4"/>
      <c r="C1028" s="4"/>
      <c r="D1028" s="4"/>
      <c r="E1028" s="4"/>
      <c r="F1028" s="28"/>
      <c r="G1028" s="28"/>
      <c r="H1028" s="83"/>
      <c r="I1028" s="4"/>
      <c r="J1028" s="4"/>
      <c r="K1028" s="4"/>
      <c r="L1028" s="4"/>
      <c r="M1028" s="4"/>
      <c r="N1028" s="28"/>
      <c r="O1028" s="4"/>
      <c r="P1028" s="4"/>
      <c r="Q1028" s="4"/>
      <c r="R1028" s="4"/>
      <c r="S1028" s="4"/>
      <c r="T1028" s="4"/>
      <c r="U1028" s="4"/>
      <c r="V1028" s="4"/>
      <c r="W1028" s="4"/>
      <c r="X1028" s="4"/>
      <c r="Y1028" s="4"/>
      <c r="Z1028" s="4"/>
      <c r="AA1028" s="4"/>
      <c r="AB1028" s="4"/>
      <c r="AC1028" s="4"/>
      <c r="AD1028" s="4"/>
      <c r="AE1028" s="4"/>
      <c r="AF1028" s="81"/>
      <c r="AG1028" s="81"/>
      <c r="AH1028" s="81"/>
      <c r="AI1028" s="4"/>
      <c r="AJ1028" s="81"/>
      <c r="AK1028" s="81"/>
      <c r="AL1028" s="81"/>
      <c r="AM1028" s="81"/>
      <c r="AN1028" s="81"/>
      <c r="AO1028" s="81"/>
      <c r="AP1028" s="81"/>
      <c r="AQ1028" s="81"/>
      <c r="AR1028" s="81"/>
      <c r="AS1028" s="81"/>
    </row>
    <row r="1029" spans="1:45" s="7" customFormat="1">
      <c r="A1029" s="4"/>
      <c r="B1029" s="4"/>
      <c r="C1029" s="4"/>
      <c r="D1029" s="4"/>
      <c r="E1029" s="4"/>
      <c r="F1029" s="28"/>
      <c r="G1029" s="28"/>
      <c r="H1029" s="83"/>
      <c r="I1029" s="4"/>
      <c r="J1029" s="4"/>
      <c r="K1029" s="4"/>
      <c r="L1029" s="4"/>
      <c r="M1029" s="4"/>
      <c r="N1029" s="28"/>
      <c r="O1029" s="4"/>
      <c r="P1029" s="4"/>
      <c r="Q1029" s="4"/>
      <c r="R1029" s="4"/>
      <c r="S1029" s="4"/>
      <c r="T1029" s="4"/>
      <c r="U1029" s="4"/>
      <c r="V1029" s="4"/>
      <c r="W1029" s="4"/>
      <c r="X1029" s="4"/>
      <c r="Y1029" s="4"/>
      <c r="Z1029" s="4"/>
      <c r="AA1029" s="4"/>
      <c r="AB1029" s="4"/>
      <c r="AC1029" s="4"/>
      <c r="AD1029" s="4"/>
      <c r="AE1029" s="4"/>
      <c r="AF1029" s="81"/>
      <c r="AG1029" s="81"/>
      <c r="AH1029" s="81"/>
      <c r="AI1029" s="4"/>
      <c r="AJ1029" s="81"/>
      <c r="AK1029" s="81"/>
      <c r="AL1029" s="81"/>
      <c r="AM1029" s="81"/>
      <c r="AN1029" s="81"/>
      <c r="AO1029" s="81"/>
      <c r="AP1029" s="81"/>
      <c r="AQ1029" s="81"/>
      <c r="AR1029" s="81"/>
      <c r="AS1029" s="81"/>
    </row>
    <row r="1030" spans="1:45" s="7" customFormat="1">
      <c r="A1030" s="4"/>
      <c r="B1030" s="4"/>
      <c r="C1030" s="4"/>
      <c r="D1030" s="4"/>
      <c r="E1030" s="4"/>
      <c r="F1030" s="28"/>
      <c r="G1030" s="28"/>
      <c r="H1030" s="83"/>
      <c r="I1030" s="4"/>
      <c r="J1030" s="4"/>
      <c r="K1030" s="4"/>
      <c r="L1030" s="4"/>
      <c r="M1030" s="4"/>
      <c r="N1030" s="28"/>
      <c r="O1030" s="4"/>
      <c r="P1030" s="4"/>
      <c r="Q1030" s="4"/>
      <c r="R1030" s="4"/>
      <c r="S1030" s="4"/>
      <c r="T1030" s="4"/>
      <c r="U1030" s="4"/>
      <c r="V1030" s="4"/>
      <c r="W1030" s="4"/>
      <c r="X1030" s="4"/>
      <c r="Y1030" s="4"/>
      <c r="Z1030" s="4"/>
      <c r="AA1030" s="4"/>
      <c r="AB1030" s="4"/>
      <c r="AC1030" s="4"/>
      <c r="AD1030" s="4"/>
      <c r="AE1030" s="4"/>
      <c r="AF1030" s="81"/>
      <c r="AG1030" s="81"/>
      <c r="AH1030" s="81"/>
      <c r="AI1030" s="4"/>
      <c r="AJ1030" s="81"/>
      <c r="AK1030" s="81"/>
      <c r="AL1030" s="81"/>
      <c r="AM1030" s="81"/>
      <c r="AN1030" s="81"/>
      <c r="AO1030" s="81"/>
      <c r="AP1030" s="81"/>
      <c r="AQ1030" s="81"/>
      <c r="AR1030" s="81"/>
      <c r="AS1030" s="81"/>
    </row>
    <row r="1031" spans="1:45" s="7" customFormat="1">
      <c r="A1031" s="4"/>
      <c r="B1031" s="4"/>
      <c r="C1031" s="4"/>
      <c r="D1031" s="4"/>
      <c r="E1031" s="4"/>
      <c r="F1031" s="28"/>
      <c r="G1031" s="28"/>
      <c r="H1031" s="83"/>
      <c r="I1031" s="4"/>
      <c r="J1031" s="4"/>
      <c r="K1031" s="4"/>
      <c r="L1031" s="4"/>
      <c r="M1031" s="4"/>
      <c r="N1031" s="28"/>
      <c r="O1031" s="4"/>
      <c r="P1031" s="4"/>
      <c r="Q1031" s="4"/>
      <c r="R1031" s="4"/>
      <c r="S1031" s="4"/>
      <c r="T1031" s="4"/>
      <c r="U1031" s="4"/>
      <c r="V1031" s="4"/>
      <c r="W1031" s="4"/>
      <c r="X1031" s="4"/>
      <c r="Y1031" s="4"/>
      <c r="Z1031" s="4"/>
      <c r="AA1031" s="4"/>
      <c r="AB1031" s="4"/>
      <c r="AC1031" s="4"/>
      <c r="AD1031" s="4"/>
      <c r="AE1031" s="4"/>
      <c r="AF1031" s="81"/>
      <c r="AG1031" s="81"/>
      <c r="AH1031" s="81"/>
      <c r="AI1031" s="4"/>
      <c r="AJ1031" s="81"/>
      <c r="AK1031" s="81"/>
      <c r="AL1031" s="81"/>
      <c r="AM1031" s="81"/>
      <c r="AN1031" s="81"/>
      <c r="AO1031" s="81"/>
      <c r="AP1031" s="81"/>
      <c r="AQ1031" s="81"/>
      <c r="AR1031" s="81"/>
      <c r="AS1031" s="81"/>
    </row>
    <row r="1032" spans="1:45" s="7" customFormat="1">
      <c r="A1032" s="4"/>
      <c r="B1032" s="4"/>
      <c r="C1032" s="4"/>
      <c r="D1032" s="4"/>
      <c r="E1032" s="4"/>
      <c r="F1032" s="28"/>
      <c r="G1032" s="28"/>
      <c r="H1032" s="83"/>
      <c r="I1032" s="4"/>
      <c r="J1032" s="4"/>
      <c r="K1032" s="4"/>
      <c r="L1032" s="4"/>
      <c r="M1032" s="4"/>
      <c r="N1032" s="28"/>
      <c r="O1032" s="4"/>
      <c r="P1032" s="4"/>
      <c r="Q1032" s="4"/>
      <c r="R1032" s="4"/>
      <c r="S1032" s="4"/>
      <c r="T1032" s="4"/>
      <c r="U1032" s="4"/>
      <c r="V1032" s="4"/>
      <c r="W1032" s="4"/>
      <c r="X1032" s="4"/>
      <c r="Y1032" s="4"/>
      <c r="Z1032" s="4"/>
      <c r="AA1032" s="4"/>
      <c r="AB1032" s="4"/>
      <c r="AC1032" s="4"/>
      <c r="AD1032" s="4"/>
      <c r="AE1032" s="4"/>
      <c r="AF1032" s="81"/>
      <c r="AG1032" s="81"/>
      <c r="AH1032" s="81"/>
      <c r="AI1032" s="4"/>
      <c r="AJ1032" s="81"/>
      <c r="AK1032" s="81"/>
      <c r="AL1032" s="81"/>
      <c r="AM1032" s="81"/>
      <c r="AN1032" s="81"/>
      <c r="AO1032" s="81"/>
      <c r="AP1032" s="81"/>
      <c r="AQ1032" s="81"/>
      <c r="AR1032" s="81"/>
      <c r="AS1032" s="81"/>
    </row>
    <row r="1033" spans="1:45" s="7" customFormat="1">
      <c r="A1033" s="4"/>
      <c r="B1033" s="4"/>
      <c r="C1033" s="4"/>
      <c r="D1033" s="4"/>
      <c r="E1033" s="4"/>
      <c r="F1033" s="28"/>
      <c r="G1033" s="28"/>
      <c r="H1033" s="83"/>
      <c r="I1033" s="4"/>
      <c r="J1033" s="4"/>
      <c r="K1033" s="4"/>
      <c r="L1033" s="4"/>
      <c r="M1033" s="4"/>
      <c r="N1033" s="28"/>
      <c r="O1033" s="4"/>
      <c r="P1033" s="4"/>
      <c r="Q1033" s="4"/>
      <c r="R1033" s="4"/>
      <c r="S1033" s="4"/>
      <c r="T1033" s="4"/>
      <c r="U1033" s="4"/>
      <c r="V1033" s="4"/>
      <c r="W1033" s="4"/>
      <c r="X1033" s="4"/>
      <c r="Y1033" s="4"/>
      <c r="Z1033" s="4"/>
      <c r="AA1033" s="4"/>
      <c r="AB1033" s="4"/>
      <c r="AC1033" s="4"/>
      <c r="AD1033" s="4"/>
      <c r="AE1033" s="4"/>
      <c r="AF1033" s="81"/>
      <c r="AG1033" s="81"/>
      <c r="AH1033" s="81"/>
      <c r="AI1033" s="4"/>
      <c r="AJ1033" s="81"/>
      <c r="AK1033" s="81"/>
      <c r="AL1033" s="81"/>
    </row>
    <row r="1034" spans="1:45" s="7" customFormat="1">
      <c r="A1034" s="4"/>
      <c r="B1034" s="4"/>
      <c r="C1034" s="4"/>
      <c r="D1034" s="4"/>
      <c r="E1034" s="4"/>
      <c r="F1034" s="28"/>
      <c r="G1034" s="28"/>
      <c r="H1034" s="83"/>
      <c r="I1034" s="4"/>
      <c r="J1034" s="4"/>
      <c r="K1034" s="4"/>
      <c r="L1034" s="4"/>
      <c r="M1034" s="4"/>
      <c r="N1034" s="28"/>
      <c r="O1034" s="4"/>
      <c r="P1034" s="4"/>
      <c r="Q1034" s="4"/>
      <c r="R1034" s="4"/>
      <c r="S1034" s="4"/>
      <c r="T1034" s="4"/>
      <c r="U1034" s="4"/>
      <c r="V1034" s="4"/>
      <c r="W1034" s="4"/>
      <c r="X1034" s="4"/>
      <c r="Y1034" s="4"/>
      <c r="Z1034" s="4"/>
      <c r="AA1034" s="4"/>
      <c r="AB1034" s="4"/>
      <c r="AC1034" s="4"/>
      <c r="AD1034" s="4"/>
      <c r="AE1034" s="4"/>
      <c r="AF1034" s="81"/>
      <c r="AG1034" s="81"/>
      <c r="AH1034" s="81"/>
      <c r="AI1034" s="4"/>
      <c r="AJ1034" s="81"/>
      <c r="AK1034" s="81"/>
      <c r="AL1034" s="81"/>
    </row>
    <row r="1035" spans="1:45" s="7" customFormat="1">
      <c r="A1035" s="4"/>
      <c r="B1035" s="4"/>
      <c r="C1035" s="4"/>
      <c r="D1035" s="4"/>
      <c r="E1035" s="4"/>
      <c r="F1035" s="28"/>
      <c r="G1035" s="28"/>
      <c r="H1035" s="83"/>
      <c r="I1035" s="4"/>
      <c r="J1035" s="4"/>
      <c r="K1035" s="4"/>
      <c r="L1035" s="4"/>
      <c r="M1035" s="4"/>
      <c r="N1035" s="28"/>
      <c r="O1035" s="4"/>
      <c r="P1035" s="4"/>
      <c r="Q1035" s="4"/>
      <c r="R1035" s="4"/>
      <c r="S1035" s="4"/>
      <c r="T1035" s="4"/>
      <c r="U1035" s="4"/>
      <c r="V1035" s="4"/>
      <c r="W1035" s="4"/>
      <c r="X1035" s="4"/>
      <c r="Y1035" s="4"/>
      <c r="Z1035" s="4"/>
      <c r="AA1035" s="4"/>
      <c r="AB1035" s="4"/>
      <c r="AC1035" s="4"/>
      <c r="AD1035" s="4"/>
      <c r="AE1035" s="4"/>
      <c r="AF1035" s="81"/>
      <c r="AG1035" s="81"/>
      <c r="AH1035" s="81"/>
      <c r="AI1035" s="4"/>
      <c r="AJ1035" s="81"/>
      <c r="AK1035" s="81"/>
      <c r="AL1035" s="81"/>
    </row>
    <row r="1036" spans="1:45" s="7" customFormat="1">
      <c r="A1036" s="4"/>
      <c r="B1036" s="4"/>
      <c r="C1036" s="4"/>
      <c r="D1036" s="4"/>
      <c r="E1036" s="4"/>
      <c r="F1036" s="28"/>
      <c r="G1036" s="28"/>
      <c r="H1036" s="83"/>
      <c r="I1036" s="4"/>
      <c r="J1036" s="4"/>
      <c r="K1036" s="4"/>
      <c r="L1036" s="4"/>
      <c r="M1036" s="4"/>
      <c r="N1036" s="28"/>
      <c r="O1036" s="4"/>
      <c r="P1036" s="4"/>
      <c r="Q1036" s="4"/>
      <c r="R1036" s="4"/>
      <c r="S1036" s="4"/>
      <c r="T1036" s="4"/>
      <c r="U1036" s="4"/>
      <c r="V1036" s="4"/>
      <c r="W1036" s="4"/>
      <c r="X1036" s="4"/>
      <c r="Y1036" s="4"/>
      <c r="Z1036" s="4"/>
      <c r="AA1036" s="4"/>
      <c r="AB1036" s="4"/>
      <c r="AC1036" s="4"/>
      <c r="AD1036" s="4"/>
      <c r="AE1036" s="4"/>
      <c r="AF1036" s="81"/>
      <c r="AG1036" s="81"/>
      <c r="AH1036" s="81"/>
      <c r="AI1036" s="4"/>
      <c r="AJ1036" s="81"/>
      <c r="AK1036" s="81"/>
      <c r="AL1036" s="81"/>
    </row>
    <row r="1037" spans="1:45" s="7" customFormat="1">
      <c r="A1037" s="4"/>
      <c r="B1037" s="4"/>
      <c r="C1037" s="4"/>
      <c r="D1037" s="4"/>
      <c r="E1037" s="4"/>
      <c r="F1037" s="28"/>
      <c r="G1037" s="28"/>
      <c r="H1037" s="83"/>
      <c r="I1037" s="4"/>
      <c r="J1037" s="4"/>
      <c r="K1037" s="4"/>
      <c r="L1037" s="4"/>
      <c r="M1037" s="4"/>
      <c r="N1037" s="28"/>
      <c r="O1037" s="4"/>
      <c r="P1037" s="4"/>
      <c r="Q1037" s="4"/>
      <c r="R1037" s="4"/>
      <c r="S1037" s="4"/>
      <c r="T1037" s="4"/>
      <c r="U1037" s="4"/>
      <c r="V1037" s="4"/>
      <c r="W1037" s="4"/>
      <c r="X1037" s="4"/>
      <c r="Y1037" s="4"/>
      <c r="Z1037" s="4"/>
      <c r="AA1037" s="4"/>
      <c r="AB1037" s="4"/>
      <c r="AC1037" s="4"/>
      <c r="AD1037" s="4"/>
      <c r="AE1037" s="4"/>
      <c r="AF1037" s="81"/>
      <c r="AG1037" s="81"/>
      <c r="AH1037" s="81"/>
      <c r="AI1037" s="4"/>
      <c r="AJ1037" s="81"/>
      <c r="AK1037" s="81"/>
      <c r="AL1037" s="81"/>
    </row>
    <row r="1038" spans="1:45" s="7" customFormat="1">
      <c r="A1038" s="4"/>
      <c r="B1038" s="4"/>
      <c r="C1038" s="4"/>
      <c r="D1038" s="4"/>
      <c r="E1038" s="4"/>
      <c r="F1038" s="28"/>
      <c r="G1038" s="28"/>
      <c r="H1038" s="83"/>
      <c r="I1038" s="4"/>
      <c r="J1038" s="4"/>
      <c r="K1038" s="4"/>
      <c r="L1038" s="4"/>
      <c r="M1038" s="4"/>
      <c r="N1038" s="28"/>
      <c r="O1038" s="4"/>
      <c r="P1038" s="4"/>
      <c r="Q1038" s="4"/>
      <c r="R1038" s="4"/>
      <c r="S1038" s="4"/>
      <c r="T1038" s="4"/>
      <c r="U1038" s="4"/>
      <c r="V1038" s="4"/>
      <c r="W1038" s="4"/>
      <c r="X1038" s="4"/>
      <c r="Y1038" s="4"/>
      <c r="Z1038" s="4"/>
      <c r="AA1038" s="4"/>
      <c r="AB1038" s="4"/>
      <c r="AC1038" s="4"/>
      <c r="AD1038" s="4"/>
      <c r="AE1038" s="4"/>
      <c r="AF1038" s="81"/>
      <c r="AG1038" s="81"/>
      <c r="AH1038" s="81"/>
      <c r="AI1038" s="4"/>
      <c r="AJ1038" s="81"/>
      <c r="AK1038" s="81"/>
      <c r="AL1038" s="81"/>
    </row>
    <row r="1039" spans="1:45" s="7" customFormat="1">
      <c r="A1039" s="4"/>
      <c r="B1039" s="4"/>
      <c r="C1039" s="4"/>
      <c r="D1039" s="4"/>
      <c r="E1039" s="4"/>
      <c r="F1039" s="28"/>
      <c r="G1039" s="28"/>
      <c r="H1039" s="83"/>
      <c r="I1039" s="4"/>
      <c r="J1039" s="4"/>
      <c r="K1039" s="4"/>
      <c r="L1039" s="4"/>
      <c r="M1039" s="4"/>
      <c r="N1039" s="28"/>
      <c r="O1039" s="4"/>
      <c r="P1039" s="4"/>
      <c r="Q1039" s="4"/>
      <c r="R1039" s="4"/>
      <c r="S1039" s="4"/>
      <c r="T1039" s="4"/>
      <c r="U1039" s="4"/>
      <c r="V1039" s="4"/>
      <c r="W1039" s="4"/>
      <c r="X1039" s="4"/>
      <c r="Y1039" s="4"/>
      <c r="Z1039" s="4"/>
      <c r="AA1039" s="4"/>
      <c r="AB1039" s="4"/>
      <c r="AC1039" s="4"/>
      <c r="AD1039" s="4"/>
      <c r="AE1039" s="4"/>
      <c r="AF1039" s="81"/>
      <c r="AG1039" s="81"/>
      <c r="AH1039" s="81"/>
      <c r="AI1039" s="4"/>
      <c r="AJ1039" s="81"/>
      <c r="AK1039" s="81"/>
      <c r="AL1039" s="81"/>
    </row>
    <row r="1040" spans="1:45" s="7" customFormat="1">
      <c r="A1040" s="4"/>
      <c r="B1040" s="4"/>
      <c r="C1040" s="4"/>
      <c r="D1040" s="4"/>
      <c r="E1040" s="4"/>
      <c r="F1040" s="28"/>
      <c r="G1040" s="28"/>
      <c r="H1040" s="83"/>
      <c r="I1040" s="4"/>
      <c r="J1040" s="4"/>
      <c r="K1040" s="4"/>
      <c r="L1040" s="4"/>
      <c r="M1040" s="4"/>
      <c r="N1040" s="28"/>
      <c r="O1040" s="4"/>
      <c r="P1040" s="4"/>
      <c r="Q1040" s="4"/>
      <c r="R1040" s="4"/>
      <c r="S1040" s="4"/>
      <c r="T1040" s="4"/>
      <c r="U1040" s="4"/>
      <c r="V1040" s="4"/>
      <c r="W1040" s="4"/>
      <c r="X1040" s="4"/>
      <c r="Y1040" s="4"/>
      <c r="Z1040" s="4"/>
      <c r="AA1040" s="4"/>
      <c r="AB1040" s="4"/>
      <c r="AC1040" s="4"/>
      <c r="AD1040" s="4"/>
      <c r="AE1040" s="4"/>
      <c r="AF1040" s="81"/>
      <c r="AG1040" s="81"/>
      <c r="AH1040" s="81"/>
      <c r="AI1040" s="4"/>
      <c r="AJ1040" s="81"/>
      <c r="AK1040" s="81"/>
      <c r="AL1040" s="81"/>
    </row>
    <row r="1041" spans="1:38" s="7" customFormat="1">
      <c r="A1041" s="4"/>
      <c r="B1041" s="4"/>
      <c r="C1041" s="4"/>
      <c r="D1041" s="4"/>
      <c r="E1041" s="4"/>
      <c r="F1041" s="28"/>
      <c r="G1041" s="28"/>
      <c r="H1041" s="83"/>
      <c r="I1041" s="4"/>
      <c r="J1041" s="4"/>
      <c r="K1041" s="4"/>
      <c r="L1041" s="4"/>
      <c r="M1041" s="4"/>
      <c r="N1041" s="28"/>
      <c r="O1041" s="4"/>
      <c r="P1041" s="4"/>
      <c r="Q1041" s="4"/>
      <c r="R1041" s="4"/>
      <c r="S1041" s="4"/>
      <c r="T1041" s="4"/>
      <c r="U1041" s="4"/>
      <c r="V1041" s="4"/>
      <c r="W1041" s="4"/>
      <c r="X1041" s="4"/>
      <c r="Y1041" s="4"/>
      <c r="Z1041" s="4"/>
      <c r="AA1041" s="4"/>
      <c r="AB1041" s="4"/>
      <c r="AC1041" s="4"/>
      <c r="AD1041" s="4"/>
      <c r="AE1041" s="4"/>
      <c r="AF1041" s="81"/>
      <c r="AG1041" s="81"/>
      <c r="AH1041" s="81"/>
      <c r="AI1041" s="4"/>
      <c r="AJ1041" s="81"/>
      <c r="AK1041" s="81"/>
      <c r="AL1041" s="81"/>
    </row>
    <row r="1042" spans="1:38" s="7" customFormat="1">
      <c r="A1042" s="4"/>
      <c r="B1042" s="4"/>
      <c r="C1042" s="4"/>
      <c r="D1042" s="4"/>
      <c r="E1042" s="4"/>
      <c r="F1042" s="28"/>
      <c r="G1042" s="28"/>
      <c r="H1042" s="83"/>
      <c r="I1042" s="4"/>
      <c r="J1042" s="4"/>
      <c r="K1042" s="4"/>
      <c r="L1042" s="4"/>
      <c r="M1042" s="4"/>
      <c r="N1042" s="28"/>
      <c r="O1042" s="4"/>
      <c r="P1042" s="4"/>
      <c r="Q1042" s="4"/>
      <c r="R1042" s="4"/>
      <c r="S1042" s="4"/>
      <c r="T1042" s="4"/>
      <c r="U1042" s="4"/>
      <c r="V1042" s="4"/>
      <c r="W1042" s="4"/>
      <c r="X1042" s="4"/>
      <c r="Y1042" s="4"/>
      <c r="Z1042" s="4"/>
      <c r="AA1042" s="4"/>
      <c r="AB1042" s="4"/>
      <c r="AC1042" s="4"/>
      <c r="AD1042" s="4"/>
      <c r="AE1042" s="4"/>
      <c r="AF1042" s="81"/>
      <c r="AG1042" s="81"/>
      <c r="AH1042" s="81"/>
      <c r="AI1042" s="4"/>
      <c r="AJ1042" s="81"/>
      <c r="AK1042" s="81"/>
      <c r="AL1042" s="81"/>
    </row>
    <row r="1043" spans="1:38" s="7" customFormat="1">
      <c r="A1043" s="4"/>
      <c r="B1043" s="4"/>
      <c r="C1043" s="4"/>
      <c r="D1043" s="4"/>
      <c r="E1043" s="4"/>
      <c r="F1043" s="28"/>
      <c r="G1043" s="28"/>
      <c r="H1043" s="83"/>
      <c r="I1043" s="4"/>
      <c r="J1043" s="4"/>
      <c r="K1043" s="4"/>
      <c r="L1043" s="4"/>
      <c r="M1043" s="4"/>
      <c r="N1043" s="28"/>
      <c r="O1043" s="4"/>
      <c r="P1043" s="4"/>
      <c r="Q1043" s="4"/>
      <c r="R1043" s="4"/>
      <c r="S1043" s="4"/>
      <c r="T1043" s="4"/>
      <c r="U1043" s="4"/>
      <c r="V1043" s="4"/>
      <c r="W1043" s="4"/>
      <c r="X1043" s="4"/>
      <c r="Y1043" s="4"/>
      <c r="Z1043" s="4"/>
      <c r="AA1043" s="4"/>
      <c r="AB1043" s="4"/>
      <c r="AC1043" s="4"/>
      <c r="AD1043" s="4"/>
      <c r="AE1043" s="4"/>
      <c r="AF1043" s="81"/>
      <c r="AG1043" s="81"/>
      <c r="AH1043" s="81"/>
      <c r="AI1043" s="4"/>
      <c r="AJ1043" s="81"/>
      <c r="AK1043" s="81"/>
      <c r="AL1043" s="81"/>
    </row>
    <row r="1044" spans="1:38" s="7" customFormat="1">
      <c r="A1044" s="4"/>
      <c r="B1044" s="4"/>
      <c r="C1044" s="4"/>
      <c r="D1044" s="4"/>
      <c r="E1044" s="4"/>
      <c r="F1044" s="28"/>
      <c r="G1044" s="28"/>
      <c r="H1044" s="83"/>
      <c r="I1044" s="4"/>
      <c r="J1044" s="4"/>
      <c r="K1044" s="4"/>
      <c r="L1044" s="4"/>
      <c r="M1044" s="4"/>
      <c r="N1044" s="28"/>
      <c r="O1044" s="4"/>
      <c r="P1044" s="4"/>
      <c r="Q1044" s="4"/>
      <c r="R1044" s="4"/>
      <c r="S1044" s="4"/>
      <c r="T1044" s="4"/>
      <c r="U1044" s="4"/>
      <c r="V1044" s="4"/>
      <c r="W1044" s="4"/>
      <c r="X1044" s="4"/>
      <c r="Y1044" s="4"/>
      <c r="Z1044" s="4"/>
      <c r="AA1044" s="4"/>
      <c r="AB1044" s="4"/>
      <c r="AC1044" s="4"/>
      <c r="AD1044" s="4"/>
      <c r="AE1044" s="4"/>
      <c r="AF1044" s="81"/>
      <c r="AG1044" s="81"/>
      <c r="AH1044" s="81"/>
      <c r="AI1044" s="4"/>
      <c r="AJ1044" s="81"/>
      <c r="AK1044" s="81"/>
      <c r="AL1044" s="81"/>
    </row>
    <row r="1045" spans="1:38" s="7" customFormat="1">
      <c r="A1045" s="4"/>
      <c r="B1045" s="4"/>
      <c r="C1045" s="4"/>
      <c r="D1045" s="4"/>
      <c r="E1045" s="4"/>
      <c r="F1045" s="28"/>
      <c r="G1045" s="28"/>
      <c r="H1045" s="83"/>
      <c r="I1045" s="4"/>
      <c r="J1045" s="4"/>
      <c r="K1045" s="4"/>
      <c r="L1045" s="4"/>
      <c r="M1045" s="4"/>
      <c r="N1045" s="28"/>
      <c r="O1045" s="4"/>
      <c r="P1045" s="4"/>
      <c r="Q1045" s="4"/>
      <c r="R1045" s="4"/>
      <c r="S1045" s="4"/>
      <c r="T1045" s="4"/>
      <c r="U1045" s="4"/>
      <c r="V1045" s="4"/>
      <c r="W1045" s="4"/>
      <c r="X1045" s="4"/>
      <c r="Y1045" s="4"/>
      <c r="Z1045" s="4"/>
      <c r="AA1045" s="4"/>
      <c r="AB1045" s="4"/>
      <c r="AC1045" s="4"/>
      <c r="AD1045" s="4"/>
      <c r="AE1045" s="4"/>
      <c r="AF1045" s="81"/>
      <c r="AG1045" s="81"/>
      <c r="AH1045" s="81"/>
      <c r="AI1045" s="4"/>
      <c r="AJ1045" s="81"/>
      <c r="AK1045" s="81"/>
      <c r="AL1045" s="81"/>
    </row>
    <row r="1046" spans="1:38" s="7" customFormat="1">
      <c r="A1046" s="4"/>
      <c r="B1046" s="4"/>
      <c r="C1046" s="4"/>
      <c r="D1046" s="4"/>
      <c r="E1046" s="4"/>
      <c r="F1046" s="28"/>
      <c r="G1046" s="28"/>
      <c r="H1046" s="83"/>
      <c r="I1046" s="4"/>
      <c r="J1046" s="4"/>
      <c r="K1046" s="4"/>
      <c r="L1046" s="4"/>
      <c r="M1046" s="4"/>
      <c r="N1046" s="28"/>
      <c r="O1046" s="4"/>
      <c r="P1046" s="4"/>
      <c r="Q1046" s="4"/>
      <c r="R1046" s="4"/>
      <c r="S1046" s="4"/>
      <c r="T1046" s="4"/>
      <c r="U1046" s="4"/>
      <c r="V1046" s="4"/>
      <c r="W1046" s="4"/>
      <c r="X1046" s="4"/>
      <c r="Y1046" s="4"/>
      <c r="Z1046" s="4"/>
      <c r="AA1046" s="4"/>
      <c r="AB1046" s="4"/>
      <c r="AC1046" s="4"/>
      <c r="AD1046" s="4"/>
      <c r="AE1046" s="4"/>
      <c r="AF1046" s="81"/>
      <c r="AG1046" s="81"/>
      <c r="AH1046" s="81"/>
      <c r="AI1046" s="4"/>
      <c r="AJ1046" s="81"/>
      <c r="AK1046" s="81"/>
      <c r="AL1046" s="81"/>
    </row>
    <row r="1047" spans="1:38" s="7" customFormat="1">
      <c r="A1047" s="4"/>
      <c r="B1047" s="4"/>
      <c r="C1047" s="4"/>
      <c r="D1047" s="4"/>
      <c r="E1047" s="4"/>
      <c r="F1047" s="28"/>
      <c r="G1047" s="28"/>
      <c r="H1047" s="83"/>
      <c r="I1047" s="4"/>
      <c r="J1047" s="4"/>
      <c r="K1047" s="4"/>
      <c r="L1047" s="4"/>
      <c r="M1047" s="4"/>
      <c r="N1047" s="28"/>
      <c r="O1047" s="4"/>
      <c r="P1047" s="4"/>
      <c r="Q1047" s="4"/>
      <c r="R1047" s="4"/>
      <c r="S1047" s="4"/>
      <c r="T1047" s="4"/>
      <c r="U1047" s="4"/>
      <c r="V1047" s="4"/>
      <c r="W1047" s="4"/>
      <c r="X1047" s="4"/>
      <c r="Y1047" s="4"/>
      <c r="Z1047" s="4"/>
      <c r="AA1047" s="4"/>
      <c r="AB1047" s="4"/>
      <c r="AC1047" s="4"/>
      <c r="AD1047" s="4"/>
      <c r="AE1047" s="4"/>
      <c r="AF1047" s="81"/>
      <c r="AG1047" s="81"/>
      <c r="AH1047" s="81"/>
      <c r="AI1047" s="4"/>
      <c r="AJ1047" s="81"/>
      <c r="AK1047" s="81"/>
      <c r="AL1047" s="81"/>
    </row>
    <row r="1048" spans="1:38" s="7" customFormat="1">
      <c r="A1048" s="4"/>
      <c r="B1048" s="4"/>
      <c r="C1048" s="4"/>
      <c r="D1048" s="4"/>
      <c r="E1048" s="4"/>
      <c r="F1048" s="28"/>
      <c r="G1048" s="28"/>
      <c r="H1048" s="83"/>
      <c r="I1048" s="4"/>
      <c r="J1048" s="4"/>
      <c r="K1048" s="4"/>
      <c r="L1048" s="4"/>
      <c r="M1048" s="4"/>
      <c r="N1048" s="28"/>
      <c r="O1048" s="4"/>
      <c r="P1048" s="4"/>
      <c r="Q1048" s="4"/>
      <c r="R1048" s="4"/>
      <c r="S1048" s="4"/>
      <c r="T1048" s="4"/>
      <c r="U1048" s="4"/>
      <c r="V1048" s="4"/>
      <c r="W1048" s="4"/>
      <c r="X1048" s="4"/>
      <c r="Y1048" s="4"/>
      <c r="Z1048" s="4"/>
      <c r="AA1048" s="4"/>
      <c r="AB1048" s="4"/>
      <c r="AC1048" s="4"/>
      <c r="AD1048" s="4"/>
      <c r="AE1048" s="4"/>
      <c r="AF1048" s="81"/>
      <c r="AG1048" s="81"/>
      <c r="AH1048" s="81"/>
      <c r="AI1048" s="4"/>
      <c r="AJ1048" s="81"/>
      <c r="AK1048" s="81"/>
      <c r="AL1048" s="81"/>
    </row>
    <row r="1049" spans="1:38" s="7" customFormat="1">
      <c r="A1049" s="4"/>
      <c r="B1049" s="4"/>
      <c r="C1049" s="4"/>
      <c r="D1049" s="4"/>
      <c r="E1049" s="4"/>
      <c r="F1049" s="28"/>
      <c r="G1049" s="28"/>
      <c r="H1049" s="83"/>
      <c r="I1049" s="4"/>
      <c r="J1049" s="4"/>
      <c r="K1049" s="4"/>
      <c r="L1049" s="4"/>
      <c r="M1049" s="4"/>
      <c r="N1049" s="28"/>
      <c r="O1049" s="4"/>
      <c r="P1049" s="4"/>
      <c r="Q1049" s="4"/>
      <c r="R1049" s="4"/>
      <c r="S1049" s="4"/>
      <c r="T1049" s="4"/>
      <c r="U1049" s="4"/>
      <c r="V1049" s="4"/>
      <c r="W1049" s="4"/>
      <c r="X1049" s="4"/>
      <c r="Y1049" s="4"/>
      <c r="Z1049" s="4"/>
      <c r="AA1049" s="4"/>
      <c r="AB1049" s="4"/>
      <c r="AC1049" s="4"/>
      <c r="AD1049" s="4"/>
      <c r="AE1049" s="4"/>
      <c r="AF1049" s="81"/>
      <c r="AG1049" s="81"/>
      <c r="AH1049" s="81"/>
      <c r="AI1049" s="4"/>
      <c r="AJ1049" s="81"/>
      <c r="AK1049" s="81"/>
      <c r="AL1049" s="81"/>
    </row>
    <row r="1050" spans="1:38" s="7" customFormat="1">
      <c r="A1050" s="4"/>
      <c r="B1050" s="4"/>
      <c r="C1050" s="4"/>
      <c r="D1050" s="4"/>
      <c r="E1050" s="4"/>
      <c r="F1050" s="28"/>
      <c r="G1050" s="28"/>
      <c r="H1050" s="83"/>
      <c r="I1050" s="4"/>
      <c r="J1050" s="4"/>
      <c r="K1050" s="4"/>
      <c r="L1050" s="4"/>
      <c r="M1050" s="4"/>
      <c r="N1050" s="28"/>
      <c r="O1050" s="4"/>
      <c r="P1050" s="4"/>
      <c r="Q1050" s="4"/>
      <c r="R1050" s="4"/>
      <c r="S1050" s="4"/>
      <c r="T1050" s="4"/>
      <c r="U1050" s="4"/>
      <c r="V1050" s="4"/>
      <c r="W1050" s="4"/>
      <c r="X1050" s="4"/>
      <c r="Y1050" s="4"/>
      <c r="Z1050" s="4"/>
      <c r="AA1050" s="4"/>
      <c r="AB1050" s="4"/>
      <c r="AC1050" s="4"/>
      <c r="AD1050" s="4"/>
      <c r="AE1050" s="4"/>
      <c r="AF1050" s="81"/>
      <c r="AG1050" s="81"/>
      <c r="AH1050" s="81"/>
      <c r="AI1050" s="4"/>
      <c r="AJ1050" s="81"/>
      <c r="AK1050" s="81"/>
      <c r="AL1050" s="81"/>
    </row>
    <row r="1051" spans="1:38" s="7" customFormat="1">
      <c r="A1051" s="4"/>
      <c r="B1051" s="4"/>
      <c r="C1051" s="4"/>
      <c r="D1051" s="4"/>
      <c r="E1051" s="4"/>
      <c r="F1051" s="28"/>
      <c r="G1051" s="28"/>
      <c r="H1051" s="83"/>
      <c r="I1051" s="4"/>
      <c r="J1051" s="4"/>
      <c r="K1051" s="4"/>
      <c r="L1051" s="4"/>
      <c r="M1051" s="4"/>
      <c r="N1051" s="28"/>
      <c r="O1051" s="4"/>
      <c r="P1051" s="4"/>
      <c r="Q1051" s="4"/>
      <c r="R1051" s="4"/>
      <c r="S1051" s="4"/>
      <c r="T1051" s="4"/>
      <c r="U1051" s="4"/>
      <c r="V1051" s="4"/>
      <c r="W1051" s="4"/>
      <c r="X1051" s="4"/>
      <c r="Y1051" s="4"/>
      <c r="Z1051" s="4"/>
      <c r="AA1051" s="4"/>
      <c r="AB1051" s="4"/>
      <c r="AC1051" s="4"/>
      <c r="AD1051" s="4"/>
      <c r="AE1051" s="4"/>
      <c r="AF1051" s="81"/>
      <c r="AG1051" s="81"/>
      <c r="AH1051" s="81"/>
      <c r="AI1051" s="4"/>
      <c r="AJ1051" s="81"/>
      <c r="AK1051" s="81"/>
      <c r="AL1051" s="81"/>
    </row>
    <row r="1052" spans="1:38" s="7" customFormat="1">
      <c r="A1052" s="4"/>
      <c r="B1052" s="4"/>
      <c r="C1052" s="4"/>
      <c r="D1052" s="4"/>
      <c r="E1052" s="4"/>
      <c r="F1052" s="28"/>
      <c r="G1052" s="28"/>
      <c r="H1052" s="83"/>
      <c r="I1052" s="4"/>
      <c r="J1052" s="4"/>
      <c r="K1052" s="4"/>
      <c r="L1052" s="4"/>
      <c r="M1052" s="4"/>
      <c r="N1052" s="28"/>
      <c r="O1052" s="4"/>
      <c r="P1052" s="4"/>
      <c r="Q1052" s="4"/>
      <c r="R1052" s="4"/>
      <c r="S1052" s="4"/>
      <c r="T1052" s="4"/>
      <c r="U1052" s="4"/>
      <c r="V1052" s="4"/>
      <c r="W1052" s="4"/>
      <c r="X1052" s="4"/>
      <c r="Y1052" s="4"/>
      <c r="Z1052" s="4"/>
      <c r="AA1052" s="4"/>
      <c r="AB1052" s="4"/>
      <c r="AC1052" s="4"/>
      <c r="AD1052" s="4"/>
      <c r="AE1052" s="4"/>
      <c r="AF1052" s="81"/>
      <c r="AG1052" s="81"/>
      <c r="AH1052" s="81"/>
      <c r="AI1052" s="4"/>
      <c r="AJ1052" s="81"/>
      <c r="AK1052" s="81"/>
      <c r="AL1052" s="81"/>
    </row>
    <row r="1053" spans="1:38" s="7" customFormat="1">
      <c r="A1053" s="4"/>
      <c r="B1053" s="4"/>
      <c r="C1053" s="4"/>
      <c r="D1053" s="4"/>
      <c r="E1053" s="4"/>
      <c r="F1053" s="28"/>
      <c r="G1053" s="28"/>
      <c r="H1053" s="83"/>
      <c r="I1053" s="4"/>
      <c r="J1053" s="4"/>
      <c r="K1053" s="4"/>
      <c r="L1053" s="4"/>
      <c r="M1053" s="4"/>
      <c r="N1053" s="28"/>
      <c r="O1053" s="4"/>
      <c r="P1053" s="4"/>
      <c r="Q1053" s="4"/>
      <c r="R1053" s="4"/>
      <c r="S1053" s="4"/>
      <c r="T1053" s="4"/>
      <c r="U1053" s="4"/>
      <c r="V1053" s="4"/>
      <c r="W1053" s="4"/>
      <c r="X1053" s="4"/>
      <c r="Y1053" s="4"/>
      <c r="Z1053" s="4"/>
      <c r="AA1053" s="4"/>
      <c r="AB1053" s="4"/>
      <c r="AC1053" s="4"/>
      <c r="AD1053" s="4"/>
      <c r="AE1053" s="4"/>
      <c r="AF1053" s="81"/>
      <c r="AG1053" s="81"/>
      <c r="AH1053" s="81"/>
      <c r="AI1053" s="4"/>
      <c r="AJ1053" s="81"/>
      <c r="AK1053" s="81"/>
      <c r="AL1053" s="81"/>
    </row>
    <row r="1054" spans="1:38" s="7" customFormat="1">
      <c r="A1054" s="4"/>
      <c r="B1054" s="4"/>
      <c r="C1054" s="4"/>
      <c r="D1054" s="4"/>
      <c r="E1054" s="4"/>
      <c r="F1054" s="28"/>
      <c r="G1054" s="28"/>
      <c r="H1054" s="83"/>
      <c r="I1054" s="4"/>
      <c r="J1054" s="4"/>
      <c r="K1054" s="4"/>
      <c r="L1054" s="4"/>
      <c r="M1054" s="4"/>
      <c r="N1054" s="28"/>
      <c r="O1054" s="4"/>
      <c r="P1054" s="4"/>
      <c r="Q1054" s="4"/>
      <c r="R1054" s="4"/>
      <c r="S1054" s="4"/>
      <c r="T1054" s="4"/>
      <c r="U1054" s="4"/>
      <c r="V1054" s="4"/>
      <c r="W1054" s="4"/>
      <c r="X1054" s="4"/>
      <c r="Y1054" s="4"/>
      <c r="Z1054" s="4"/>
      <c r="AA1054" s="4"/>
      <c r="AB1054" s="4"/>
      <c r="AC1054" s="4"/>
      <c r="AD1054" s="4"/>
      <c r="AE1054" s="4"/>
      <c r="AF1054" s="81"/>
      <c r="AG1054" s="81"/>
      <c r="AH1054" s="81"/>
      <c r="AI1054" s="4"/>
      <c r="AJ1054" s="81"/>
      <c r="AK1054" s="81"/>
      <c r="AL1054" s="81"/>
    </row>
    <row r="1055" spans="1:38" s="7" customFormat="1">
      <c r="A1055" s="4"/>
      <c r="B1055" s="4"/>
      <c r="C1055" s="4"/>
      <c r="D1055" s="4"/>
      <c r="E1055" s="4"/>
      <c r="F1055" s="28"/>
      <c r="G1055" s="28"/>
      <c r="H1055" s="83"/>
      <c r="I1055" s="4"/>
      <c r="J1055" s="4"/>
      <c r="K1055" s="4"/>
      <c r="L1055" s="4"/>
      <c r="M1055" s="4"/>
      <c r="N1055" s="28"/>
      <c r="O1055" s="4"/>
      <c r="P1055" s="4"/>
      <c r="Q1055" s="4"/>
      <c r="R1055" s="4"/>
      <c r="S1055" s="4"/>
      <c r="T1055" s="4"/>
      <c r="U1055" s="4"/>
      <c r="V1055" s="4"/>
      <c r="W1055" s="4"/>
      <c r="X1055" s="4"/>
      <c r="Y1055" s="4"/>
      <c r="Z1055" s="4"/>
      <c r="AA1055" s="4"/>
      <c r="AB1055" s="4"/>
      <c r="AC1055" s="4"/>
      <c r="AD1055" s="4"/>
      <c r="AE1055" s="4"/>
      <c r="AF1055" s="81"/>
      <c r="AG1055" s="81"/>
      <c r="AH1055" s="81"/>
      <c r="AI1055" s="4"/>
      <c r="AJ1055" s="81"/>
      <c r="AK1055" s="81"/>
      <c r="AL1055" s="81"/>
    </row>
    <row r="1056" spans="1:38" s="7" customFormat="1">
      <c r="A1056" s="4"/>
      <c r="B1056" s="4"/>
      <c r="C1056" s="4"/>
      <c r="D1056" s="4"/>
      <c r="E1056" s="4"/>
      <c r="F1056" s="28"/>
      <c r="G1056" s="28"/>
      <c r="H1056" s="83"/>
      <c r="I1056" s="4"/>
      <c r="J1056" s="4"/>
      <c r="K1056" s="4"/>
      <c r="L1056" s="4"/>
      <c r="M1056" s="4"/>
      <c r="N1056" s="28"/>
      <c r="O1056" s="4"/>
      <c r="P1056" s="4"/>
      <c r="Q1056" s="4"/>
      <c r="R1056" s="4"/>
      <c r="S1056" s="4"/>
      <c r="T1056" s="4"/>
      <c r="U1056" s="4"/>
      <c r="V1056" s="4"/>
      <c r="W1056" s="4"/>
      <c r="X1056" s="4"/>
      <c r="Y1056" s="4"/>
      <c r="Z1056" s="4"/>
      <c r="AA1056" s="4"/>
      <c r="AB1056" s="4"/>
      <c r="AC1056" s="4"/>
      <c r="AD1056" s="4"/>
      <c r="AE1056" s="4"/>
      <c r="AF1056" s="81"/>
      <c r="AG1056" s="81"/>
      <c r="AH1056" s="81"/>
      <c r="AI1056" s="4"/>
      <c r="AJ1056" s="81"/>
      <c r="AK1056" s="81"/>
      <c r="AL1056" s="81"/>
    </row>
    <row r="1057" spans="1:38" s="7" customFormat="1">
      <c r="A1057" s="4"/>
      <c r="B1057" s="4"/>
      <c r="C1057" s="4"/>
      <c r="D1057" s="4"/>
      <c r="E1057" s="4"/>
      <c r="F1057" s="28"/>
      <c r="G1057" s="28"/>
      <c r="H1057" s="83"/>
      <c r="I1057" s="4"/>
      <c r="J1057" s="4"/>
      <c r="K1057" s="4"/>
      <c r="L1057" s="4"/>
      <c r="M1057" s="4"/>
      <c r="N1057" s="28"/>
      <c r="O1057" s="4"/>
      <c r="P1057" s="4"/>
      <c r="Q1057" s="4"/>
      <c r="R1057" s="4"/>
      <c r="S1057" s="4"/>
      <c r="T1057" s="4"/>
      <c r="U1057" s="4"/>
      <c r="V1057" s="4"/>
      <c r="W1057" s="4"/>
      <c r="X1057" s="4"/>
      <c r="Y1057" s="4"/>
      <c r="Z1057" s="4"/>
      <c r="AA1057" s="4"/>
      <c r="AB1057" s="4"/>
      <c r="AC1057" s="4"/>
      <c r="AD1057" s="4"/>
      <c r="AE1057" s="4"/>
      <c r="AF1057" s="81"/>
      <c r="AG1057" s="81"/>
      <c r="AH1057" s="81"/>
      <c r="AI1057" s="4"/>
      <c r="AJ1057" s="81"/>
      <c r="AK1057" s="81"/>
      <c r="AL1057" s="81"/>
    </row>
    <row r="1058" spans="1:38" s="7" customFormat="1">
      <c r="A1058" s="4"/>
      <c r="B1058" s="4"/>
      <c r="C1058" s="4"/>
      <c r="D1058" s="4"/>
      <c r="E1058" s="4"/>
      <c r="F1058" s="28"/>
      <c r="G1058" s="28"/>
      <c r="H1058" s="83"/>
      <c r="I1058" s="4"/>
      <c r="J1058" s="4"/>
      <c r="K1058" s="4"/>
      <c r="L1058" s="4"/>
      <c r="M1058" s="4"/>
      <c r="N1058" s="28"/>
      <c r="O1058" s="4"/>
      <c r="P1058" s="4"/>
      <c r="Q1058" s="4"/>
      <c r="R1058" s="4"/>
      <c r="S1058" s="4"/>
      <c r="T1058" s="4"/>
      <c r="U1058" s="4"/>
      <c r="V1058" s="4"/>
      <c r="W1058" s="4"/>
      <c r="X1058" s="4"/>
      <c r="Y1058" s="4"/>
      <c r="Z1058" s="4"/>
      <c r="AA1058" s="4"/>
      <c r="AB1058" s="4"/>
      <c r="AC1058" s="4"/>
      <c r="AD1058" s="4"/>
      <c r="AE1058" s="4"/>
      <c r="AF1058" s="81"/>
      <c r="AG1058" s="81"/>
      <c r="AH1058" s="81"/>
      <c r="AI1058" s="4"/>
      <c r="AJ1058" s="81"/>
      <c r="AK1058" s="81"/>
      <c r="AL1058" s="81"/>
    </row>
    <row r="1059" spans="1:38" s="7" customFormat="1">
      <c r="A1059" s="4"/>
      <c r="B1059" s="4"/>
      <c r="C1059" s="4"/>
      <c r="D1059" s="4"/>
      <c r="E1059" s="4"/>
      <c r="F1059" s="28"/>
      <c r="G1059" s="28"/>
      <c r="H1059" s="83"/>
      <c r="I1059" s="4"/>
      <c r="J1059" s="4"/>
      <c r="K1059" s="4"/>
      <c r="L1059" s="4"/>
      <c r="M1059" s="4"/>
      <c r="N1059" s="28"/>
      <c r="O1059" s="4"/>
      <c r="P1059" s="4"/>
      <c r="Q1059" s="4"/>
      <c r="R1059" s="4"/>
      <c r="S1059" s="4"/>
      <c r="T1059" s="4"/>
      <c r="U1059" s="4"/>
      <c r="V1059" s="4"/>
      <c r="W1059" s="4"/>
      <c r="X1059" s="4"/>
      <c r="Y1059" s="4"/>
      <c r="Z1059" s="4"/>
      <c r="AA1059" s="4"/>
      <c r="AB1059" s="4"/>
      <c r="AC1059" s="4"/>
      <c r="AD1059" s="4"/>
      <c r="AE1059" s="4"/>
      <c r="AF1059" s="81"/>
      <c r="AG1059" s="81"/>
      <c r="AH1059" s="81"/>
      <c r="AI1059" s="4"/>
      <c r="AJ1059" s="81"/>
      <c r="AK1059" s="81"/>
      <c r="AL1059" s="81"/>
    </row>
    <row r="1060" spans="1:38" s="7" customFormat="1">
      <c r="A1060" s="4"/>
      <c r="B1060" s="4"/>
      <c r="C1060" s="4"/>
      <c r="D1060" s="4"/>
      <c r="E1060" s="4"/>
      <c r="F1060" s="28"/>
      <c r="G1060" s="28"/>
      <c r="H1060" s="83"/>
      <c r="I1060" s="4"/>
      <c r="J1060" s="4"/>
      <c r="K1060" s="4"/>
      <c r="L1060" s="4"/>
      <c r="M1060" s="4"/>
      <c r="N1060" s="28"/>
      <c r="O1060" s="4"/>
      <c r="P1060" s="4"/>
      <c r="Q1060" s="4"/>
      <c r="R1060" s="4"/>
      <c r="S1060" s="4"/>
      <c r="T1060" s="4"/>
      <c r="U1060" s="4"/>
      <c r="V1060" s="4"/>
      <c r="W1060" s="4"/>
      <c r="X1060" s="4"/>
      <c r="Y1060" s="4"/>
      <c r="Z1060" s="4"/>
      <c r="AA1060" s="4"/>
      <c r="AB1060" s="4"/>
      <c r="AC1060" s="4"/>
      <c r="AD1060" s="4"/>
      <c r="AE1060" s="4"/>
      <c r="AF1060" s="81"/>
      <c r="AG1060" s="81"/>
      <c r="AH1060" s="81"/>
      <c r="AI1060" s="4"/>
      <c r="AJ1060" s="81"/>
      <c r="AK1060" s="81"/>
      <c r="AL1060" s="81"/>
    </row>
    <row r="1061" spans="1:38" s="7" customFormat="1">
      <c r="A1061" s="4"/>
      <c r="B1061" s="4"/>
      <c r="C1061" s="4"/>
      <c r="D1061" s="4"/>
      <c r="E1061" s="4"/>
      <c r="F1061" s="28"/>
      <c r="G1061" s="28"/>
      <c r="H1061" s="83"/>
      <c r="I1061" s="4"/>
      <c r="J1061" s="4"/>
      <c r="K1061" s="4"/>
      <c r="L1061" s="4"/>
      <c r="M1061" s="4"/>
      <c r="N1061" s="28"/>
      <c r="O1061" s="4"/>
      <c r="P1061" s="4"/>
      <c r="Q1061" s="4"/>
      <c r="R1061" s="4"/>
      <c r="S1061" s="4"/>
      <c r="T1061" s="4"/>
      <c r="U1061" s="4"/>
      <c r="V1061" s="4"/>
      <c r="W1061" s="4"/>
      <c r="X1061" s="4"/>
      <c r="Y1061" s="4"/>
      <c r="Z1061" s="4"/>
      <c r="AA1061" s="4"/>
      <c r="AB1061" s="4"/>
      <c r="AC1061" s="4"/>
      <c r="AD1061" s="4"/>
      <c r="AE1061" s="4"/>
      <c r="AF1061" s="81"/>
      <c r="AG1061" s="81"/>
      <c r="AH1061" s="81"/>
      <c r="AI1061" s="4"/>
      <c r="AJ1061" s="81"/>
      <c r="AK1061" s="81"/>
      <c r="AL1061" s="81"/>
    </row>
    <row r="1062" spans="1:38" s="7" customFormat="1">
      <c r="A1062" s="4"/>
      <c r="B1062" s="4"/>
      <c r="C1062" s="4"/>
      <c r="D1062" s="4"/>
      <c r="E1062" s="4"/>
      <c r="F1062" s="28"/>
      <c r="G1062" s="28"/>
      <c r="H1062" s="83"/>
      <c r="I1062" s="4"/>
      <c r="J1062" s="4"/>
      <c r="K1062" s="4"/>
      <c r="L1062" s="4"/>
      <c r="M1062" s="4"/>
      <c r="N1062" s="28"/>
      <c r="O1062" s="4"/>
      <c r="P1062" s="4"/>
      <c r="Q1062" s="4"/>
      <c r="R1062" s="4"/>
      <c r="S1062" s="4"/>
      <c r="T1062" s="4"/>
      <c r="U1062" s="4"/>
      <c r="V1062" s="4"/>
      <c r="W1062" s="4"/>
      <c r="X1062" s="4"/>
      <c r="Y1062" s="4"/>
      <c r="Z1062" s="4"/>
      <c r="AA1062" s="4"/>
      <c r="AB1062" s="4"/>
      <c r="AC1062" s="4"/>
      <c r="AD1062" s="4"/>
      <c r="AE1062" s="4"/>
      <c r="AF1062" s="81"/>
      <c r="AG1062" s="81"/>
      <c r="AH1062" s="81"/>
      <c r="AI1062" s="4"/>
      <c r="AJ1062" s="81"/>
      <c r="AK1062" s="81"/>
      <c r="AL1062" s="81"/>
    </row>
    <row r="1063" spans="1:38" s="7" customFormat="1">
      <c r="A1063" s="4"/>
      <c r="B1063" s="4"/>
      <c r="C1063" s="4"/>
      <c r="D1063" s="4"/>
      <c r="E1063" s="4"/>
      <c r="F1063" s="28"/>
      <c r="G1063" s="28"/>
      <c r="H1063" s="83"/>
      <c r="I1063" s="4"/>
      <c r="J1063" s="4"/>
      <c r="K1063" s="4"/>
      <c r="L1063" s="4"/>
      <c r="M1063" s="4"/>
      <c r="N1063" s="28"/>
      <c r="O1063" s="4"/>
      <c r="P1063" s="4"/>
      <c r="Q1063" s="4"/>
      <c r="R1063" s="4"/>
      <c r="S1063" s="4"/>
      <c r="T1063" s="4"/>
      <c r="U1063" s="4"/>
      <c r="V1063" s="4"/>
      <c r="W1063" s="4"/>
      <c r="X1063" s="4"/>
      <c r="Y1063" s="4"/>
      <c r="Z1063" s="4"/>
      <c r="AA1063" s="4"/>
      <c r="AB1063" s="4"/>
      <c r="AC1063" s="4"/>
      <c r="AD1063" s="4"/>
      <c r="AE1063" s="4"/>
      <c r="AF1063" s="81"/>
      <c r="AG1063" s="81"/>
      <c r="AH1063" s="81"/>
      <c r="AI1063" s="4"/>
      <c r="AJ1063" s="81"/>
      <c r="AK1063" s="81"/>
      <c r="AL1063" s="81"/>
    </row>
    <row r="1064" spans="1:38" s="7" customFormat="1">
      <c r="A1064" s="4"/>
      <c r="B1064" s="4"/>
      <c r="C1064" s="4"/>
      <c r="D1064" s="4"/>
      <c r="E1064" s="4"/>
      <c r="F1064" s="28"/>
      <c r="G1064" s="28"/>
      <c r="H1064" s="83"/>
      <c r="I1064" s="4"/>
      <c r="J1064" s="4"/>
      <c r="K1064" s="4"/>
      <c r="L1064" s="4"/>
      <c r="M1064" s="4"/>
      <c r="N1064" s="28"/>
      <c r="O1064" s="4"/>
      <c r="P1064" s="4"/>
      <c r="Q1064" s="4"/>
      <c r="R1064" s="4"/>
      <c r="S1064" s="4"/>
      <c r="T1064" s="4"/>
      <c r="U1064" s="4"/>
      <c r="V1064" s="4"/>
      <c r="W1064" s="4"/>
      <c r="X1064" s="4"/>
      <c r="Y1064" s="4"/>
      <c r="Z1064" s="4"/>
      <c r="AA1064" s="4"/>
      <c r="AB1064" s="4"/>
      <c r="AC1064" s="4"/>
      <c r="AD1064" s="4"/>
      <c r="AE1064" s="4"/>
      <c r="AF1064" s="81"/>
      <c r="AG1064" s="81"/>
      <c r="AH1064" s="81"/>
      <c r="AI1064" s="4"/>
      <c r="AJ1064" s="81"/>
      <c r="AK1064" s="81"/>
      <c r="AL1064" s="81"/>
    </row>
    <row r="1065" spans="1:38" s="7" customFormat="1">
      <c r="A1065" s="4"/>
      <c r="B1065" s="4"/>
      <c r="C1065" s="4"/>
      <c r="D1065" s="4"/>
      <c r="E1065" s="4"/>
      <c r="F1065" s="28"/>
      <c r="G1065" s="28"/>
      <c r="H1065" s="83"/>
      <c r="I1065" s="4"/>
      <c r="J1065" s="4"/>
      <c r="K1065" s="4"/>
      <c r="L1065" s="4"/>
      <c r="M1065" s="4"/>
      <c r="N1065" s="28"/>
      <c r="O1065" s="4"/>
      <c r="P1065" s="4"/>
      <c r="Q1065" s="4"/>
      <c r="R1065" s="4"/>
      <c r="S1065" s="4"/>
      <c r="T1065" s="4"/>
      <c r="U1065" s="4"/>
      <c r="V1065" s="4"/>
      <c r="W1065" s="4"/>
      <c r="X1065" s="4"/>
      <c r="Y1065" s="4"/>
      <c r="Z1065" s="4"/>
      <c r="AA1065" s="4"/>
      <c r="AB1065" s="4"/>
      <c r="AC1065" s="4"/>
      <c r="AD1065" s="4"/>
      <c r="AE1065" s="4"/>
      <c r="AF1065" s="81"/>
      <c r="AG1065" s="81"/>
      <c r="AH1065" s="81"/>
      <c r="AI1065" s="4"/>
      <c r="AJ1065" s="81"/>
      <c r="AK1065" s="81"/>
      <c r="AL1065" s="81"/>
    </row>
    <row r="1066" spans="1:38" s="7" customFormat="1">
      <c r="A1066" s="4"/>
      <c r="B1066" s="4"/>
      <c r="C1066" s="4"/>
      <c r="D1066" s="4"/>
      <c r="E1066" s="4"/>
      <c r="F1066" s="28"/>
      <c r="G1066" s="28"/>
      <c r="H1066" s="83"/>
      <c r="I1066" s="4"/>
      <c r="J1066" s="4"/>
      <c r="K1066" s="4"/>
      <c r="L1066" s="4"/>
      <c r="M1066" s="4"/>
      <c r="N1066" s="28"/>
      <c r="O1066" s="4"/>
      <c r="P1066" s="4"/>
      <c r="Q1066" s="4"/>
      <c r="R1066" s="4"/>
      <c r="S1066" s="4"/>
      <c r="T1066" s="4"/>
      <c r="U1066" s="4"/>
      <c r="V1066" s="4"/>
      <c r="W1066" s="4"/>
      <c r="X1066" s="4"/>
      <c r="Y1066" s="4"/>
      <c r="Z1066" s="4"/>
      <c r="AA1066" s="4"/>
      <c r="AB1066" s="4"/>
      <c r="AC1066" s="4"/>
      <c r="AD1066" s="4"/>
      <c r="AE1066" s="4"/>
      <c r="AF1066" s="81"/>
      <c r="AG1066" s="81"/>
      <c r="AH1066" s="81"/>
      <c r="AI1066" s="4"/>
      <c r="AJ1066" s="81"/>
      <c r="AK1066" s="81"/>
      <c r="AL1066" s="81"/>
    </row>
    <row r="1067" spans="1:38" s="7" customFormat="1">
      <c r="A1067" s="4"/>
      <c r="B1067" s="4"/>
      <c r="C1067" s="4"/>
      <c r="D1067" s="4"/>
      <c r="E1067" s="4"/>
      <c r="F1067" s="28"/>
      <c r="G1067" s="28"/>
      <c r="H1067" s="83"/>
      <c r="I1067" s="4"/>
      <c r="J1067" s="4"/>
      <c r="K1067" s="4"/>
      <c r="L1067" s="4"/>
      <c r="M1067" s="4"/>
      <c r="N1067" s="28"/>
      <c r="O1067" s="4"/>
      <c r="P1067" s="4"/>
      <c r="Q1067" s="4"/>
      <c r="R1067" s="4"/>
      <c r="S1067" s="4"/>
      <c r="T1067" s="4"/>
      <c r="U1067" s="4"/>
      <c r="V1067" s="4"/>
      <c r="W1067" s="4"/>
      <c r="X1067" s="4"/>
      <c r="Y1067" s="4"/>
      <c r="Z1067" s="4"/>
      <c r="AA1067" s="4"/>
      <c r="AB1067" s="4"/>
      <c r="AC1067" s="4"/>
      <c r="AD1067" s="4"/>
      <c r="AE1067" s="4"/>
      <c r="AF1067" s="81"/>
      <c r="AG1067" s="81"/>
      <c r="AH1067" s="81"/>
      <c r="AI1067" s="4"/>
      <c r="AJ1067" s="81"/>
      <c r="AK1067" s="81"/>
      <c r="AL1067" s="81"/>
    </row>
    <row r="1068" spans="1:38" s="7" customFormat="1">
      <c r="A1068" s="4"/>
      <c r="B1068" s="4"/>
      <c r="C1068" s="4"/>
      <c r="D1068" s="4"/>
      <c r="E1068" s="4"/>
      <c r="F1068" s="28"/>
      <c r="G1068" s="28"/>
      <c r="H1068" s="83"/>
      <c r="I1068" s="4"/>
      <c r="J1068" s="4"/>
      <c r="K1068" s="4"/>
      <c r="L1068" s="4"/>
      <c r="M1068" s="4"/>
      <c r="N1068" s="28"/>
      <c r="O1068" s="4"/>
      <c r="P1068" s="4"/>
      <c r="Q1068" s="4"/>
      <c r="R1068" s="4"/>
      <c r="S1068" s="4"/>
      <c r="T1068" s="4"/>
      <c r="U1068" s="4"/>
      <c r="V1068" s="4"/>
      <c r="W1068" s="4"/>
      <c r="X1068" s="4"/>
      <c r="Y1068" s="4"/>
      <c r="Z1068" s="4"/>
      <c r="AA1068" s="4"/>
      <c r="AB1068" s="4"/>
      <c r="AC1068" s="4"/>
      <c r="AD1068" s="4"/>
      <c r="AE1068" s="4"/>
      <c r="AF1068" s="81"/>
      <c r="AG1068" s="81"/>
      <c r="AH1068" s="81"/>
      <c r="AI1068" s="4"/>
      <c r="AJ1068" s="81"/>
      <c r="AK1068" s="81"/>
      <c r="AL1068" s="81"/>
    </row>
    <row r="1069" spans="1:38" s="7" customFormat="1">
      <c r="A1069" s="4"/>
      <c r="B1069" s="4"/>
      <c r="C1069" s="4"/>
      <c r="D1069" s="4"/>
      <c r="E1069" s="4"/>
      <c r="F1069" s="28"/>
      <c r="G1069" s="28"/>
      <c r="H1069" s="83"/>
      <c r="I1069" s="4"/>
      <c r="J1069" s="4"/>
      <c r="K1069" s="4"/>
      <c r="L1069" s="4"/>
      <c r="M1069" s="4"/>
      <c r="N1069" s="28"/>
      <c r="O1069" s="4"/>
      <c r="P1069" s="4"/>
      <c r="Q1069" s="4"/>
      <c r="R1069" s="4"/>
      <c r="S1069" s="4"/>
      <c r="T1069" s="4"/>
      <c r="U1069" s="4"/>
      <c r="V1069" s="4"/>
      <c r="W1069" s="4"/>
      <c r="X1069" s="4"/>
      <c r="Y1069" s="4"/>
      <c r="Z1069" s="4"/>
      <c r="AA1069" s="4"/>
      <c r="AB1069" s="4"/>
      <c r="AC1069" s="4"/>
      <c r="AD1069" s="4"/>
      <c r="AE1069" s="4"/>
      <c r="AF1069" s="81"/>
      <c r="AG1069" s="81"/>
      <c r="AH1069" s="81"/>
      <c r="AI1069" s="4"/>
      <c r="AJ1069" s="81"/>
      <c r="AK1069" s="81"/>
      <c r="AL1069" s="81"/>
    </row>
    <row r="1070" spans="1:38" s="7" customFormat="1">
      <c r="A1070" s="4"/>
      <c r="B1070" s="4"/>
      <c r="C1070" s="4"/>
      <c r="D1070" s="4"/>
      <c r="E1070" s="4"/>
      <c r="F1070" s="28"/>
      <c r="G1070" s="28"/>
      <c r="H1070" s="83"/>
      <c r="I1070" s="4"/>
      <c r="J1070" s="4"/>
      <c r="K1070" s="4"/>
      <c r="L1070" s="4"/>
      <c r="M1070" s="4"/>
      <c r="N1070" s="28"/>
      <c r="O1070" s="4"/>
      <c r="P1070" s="4"/>
      <c r="Q1070" s="4"/>
      <c r="R1070" s="4"/>
      <c r="S1070" s="4"/>
      <c r="T1070" s="4"/>
      <c r="U1070" s="4"/>
      <c r="V1070" s="4"/>
      <c r="W1070" s="4"/>
      <c r="X1070" s="4"/>
      <c r="Y1070" s="4"/>
      <c r="Z1070" s="4"/>
      <c r="AA1070" s="4"/>
      <c r="AB1070" s="4"/>
      <c r="AC1070" s="4"/>
      <c r="AD1070" s="4"/>
      <c r="AE1070" s="4"/>
      <c r="AF1070" s="81"/>
      <c r="AG1070" s="81"/>
      <c r="AH1070" s="81"/>
      <c r="AI1070" s="4"/>
      <c r="AJ1070" s="81"/>
      <c r="AK1070" s="81"/>
      <c r="AL1070" s="81"/>
    </row>
    <row r="1071" spans="1:38" s="7" customFormat="1">
      <c r="A1071" s="4"/>
      <c r="B1071" s="4"/>
      <c r="C1071" s="4"/>
      <c r="D1071" s="4"/>
      <c r="E1071" s="4"/>
      <c r="F1071" s="28"/>
      <c r="G1071" s="28"/>
      <c r="H1071" s="83"/>
      <c r="I1071" s="4"/>
      <c r="J1071" s="4"/>
      <c r="K1071" s="4"/>
      <c r="L1071" s="4"/>
      <c r="M1071" s="4"/>
      <c r="N1071" s="28"/>
      <c r="O1071" s="4"/>
      <c r="P1071" s="4"/>
      <c r="Q1071" s="4"/>
      <c r="R1071" s="4"/>
      <c r="S1071" s="4"/>
      <c r="T1071" s="4"/>
      <c r="U1071" s="4"/>
      <c r="V1071" s="4"/>
      <c r="W1071" s="4"/>
      <c r="X1071" s="4"/>
      <c r="Y1071" s="4"/>
      <c r="Z1071" s="4"/>
      <c r="AA1071" s="4"/>
      <c r="AB1071" s="4"/>
      <c r="AC1071" s="4"/>
      <c r="AD1071" s="4"/>
      <c r="AE1071" s="4"/>
      <c r="AF1071" s="81"/>
      <c r="AG1071" s="81"/>
      <c r="AH1071" s="81"/>
      <c r="AI1071" s="4"/>
      <c r="AJ1071" s="81"/>
      <c r="AK1071" s="81"/>
      <c r="AL1071" s="81"/>
    </row>
    <row r="1072" spans="1:38" s="7" customFormat="1">
      <c r="A1072" s="4"/>
      <c r="B1072" s="4"/>
      <c r="C1072" s="4"/>
      <c r="D1072" s="4"/>
      <c r="E1072" s="4"/>
      <c r="F1072" s="28"/>
      <c r="G1072" s="28"/>
      <c r="H1072" s="83"/>
      <c r="I1072" s="4"/>
      <c r="J1072" s="4"/>
      <c r="K1072" s="4"/>
      <c r="L1072" s="4"/>
      <c r="M1072" s="4"/>
      <c r="N1072" s="28"/>
      <c r="O1072" s="4"/>
      <c r="P1072" s="4"/>
      <c r="Q1072" s="4"/>
      <c r="R1072" s="4"/>
      <c r="S1072" s="4"/>
      <c r="T1072" s="4"/>
      <c r="U1072" s="4"/>
      <c r="V1072" s="4"/>
      <c r="W1072" s="4"/>
      <c r="X1072" s="4"/>
      <c r="Y1072" s="4"/>
      <c r="Z1072" s="4"/>
      <c r="AA1072" s="4"/>
      <c r="AB1072" s="4"/>
      <c r="AC1072" s="4"/>
      <c r="AD1072" s="4"/>
      <c r="AE1072" s="4"/>
      <c r="AF1072" s="81"/>
      <c r="AG1072" s="81"/>
      <c r="AH1072" s="81"/>
      <c r="AI1072" s="4"/>
      <c r="AJ1072" s="81"/>
      <c r="AK1072" s="81"/>
      <c r="AL1072" s="81"/>
    </row>
    <row r="1073" spans="1:38" s="7" customFormat="1">
      <c r="A1073" s="4"/>
      <c r="B1073" s="4"/>
      <c r="C1073" s="4"/>
      <c r="D1073" s="4"/>
      <c r="E1073" s="4"/>
      <c r="F1073" s="28"/>
      <c r="G1073" s="28"/>
      <c r="H1073" s="83"/>
      <c r="I1073" s="4"/>
      <c r="J1073" s="4"/>
      <c r="K1073" s="4"/>
      <c r="L1073" s="4"/>
      <c r="M1073" s="4"/>
      <c r="N1073" s="28"/>
      <c r="O1073" s="4"/>
      <c r="P1073" s="4"/>
      <c r="Q1073" s="4"/>
      <c r="R1073" s="4"/>
      <c r="S1073" s="4"/>
      <c r="T1073" s="4"/>
      <c r="U1073" s="4"/>
      <c r="V1073" s="4"/>
      <c r="W1073" s="4"/>
      <c r="X1073" s="4"/>
      <c r="Y1073" s="4"/>
      <c r="Z1073" s="4"/>
      <c r="AA1073" s="4"/>
      <c r="AB1073" s="4"/>
      <c r="AC1073" s="4"/>
      <c r="AD1073" s="4"/>
      <c r="AE1073" s="4"/>
      <c r="AF1073" s="81"/>
      <c r="AG1073" s="81"/>
      <c r="AH1073" s="81"/>
      <c r="AI1073" s="4"/>
      <c r="AJ1073" s="81"/>
      <c r="AK1073" s="81"/>
      <c r="AL1073" s="81"/>
    </row>
    <row r="1074" spans="1:38" s="7" customFormat="1">
      <c r="A1074" s="4"/>
      <c r="B1074" s="4"/>
      <c r="C1074" s="4"/>
      <c r="D1074" s="4"/>
      <c r="E1074" s="4"/>
      <c r="F1074" s="28"/>
      <c r="G1074" s="28"/>
      <c r="H1074" s="83"/>
      <c r="I1074" s="4"/>
      <c r="J1074" s="4"/>
      <c r="K1074" s="4"/>
      <c r="L1074" s="4"/>
      <c r="M1074" s="4"/>
      <c r="N1074" s="28"/>
      <c r="O1074" s="4"/>
      <c r="P1074" s="4"/>
      <c r="Q1074" s="4"/>
      <c r="R1074" s="4"/>
      <c r="S1074" s="4"/>
      <c r="T1074" s="4"/>
      <c r="U1074" s="4"/>
      <c r="V1074" s="4"/>
      <c r="W1074" s="4"/>
      <c r="X1074" s="4"/>
      <c r="Y1074" s="4"/>
      <c r="Z1074" s="4"/>
      <c r="AA1074" s="4"/>
      <c r="AB1074" s="4"/>
      <c r="AC1074" s="4"/>
      <c r="AD1074" s="4"/>
      <c r="AE1074" s="4"/>
      <c r="AF1074" s="81"/>
      <c r="AG1074" s="81"/>
      <c r="AH1074" s="81"/>
      <c r="AI1074" s="4"/>
      <c r="AJ1074" s="81"/>
      <c r="AK1074" s="81"/>
      <c r="AL1074" s="81"/>
    </row>
    <row r="1075" spans="1:38" s="7" customFormat="1">
      <c r="A1075" s="4"/>
      <c r="B1075" s="4"/>
      <c r="C1075" s="4"/>
      <c r="D1075" s="4"/>
      <c r="E1075" s="4"/>
      <c r="F1075" s="28"/>
      <c r="G1075" s="28"/>
      <c r="H1075" s="83"/>
      <c r="I1075" s="4"/>
      <c r="J1075" s="4"/>
      <c r="K1075" s="4"/>
      <c r="L1075" s="4"/>
      <c r="M1075" s="4"/>
      <c r="N1075" s="28"/>
      <c r="O1075" s="4"/>
      <c r="P1075" s="4"/>
      <c r="Q1075" s="4"/>
      <c r="R1075" s="4"/>
      <c r="S1075" s="4"/>
      <c r="T1075" s="4"/>
      <c r="U1075" s="4"/>
      <c r="V1075" s="4"/>
      <c r="W1075" s="4"/>
      <c r="X1075" s="4"/>
      <c r="Y1075" s="4"/>
      <c r="Z1075" s="4"/>
      <c r="AA1075" s="4"/>
      <c r="AB1075" s="4"/>
      <c r="AC1075" s="4"/>
      <c r="AD1075" s="4"/>
      <c r="AE1075" s="4"/>
      <c r="AF1075" s="81"/>
      <c r="AG1075" s="81"/>
      <c r="AH1075" s="81"/>
      <c r="AI1075" s="4"/>
      <c r="AJ1075" s="81"/>
      <c r="AK1075" s="81"/>
      <c r="AL1075" s="81"/>
    </row>
    <row r="1076" spans="1:38" s="7" customFormat="1">
      <c r="A1076" s="4"/>
      <c r="B1076" s="4"/>
      <c r="C1076" s="4"/>
      <c r="D1076" s="4"/>
      <c r="E1076" s="4"/>
      <c r="F1076" s="28"/>
      <c r="G1076" s="28"/>
      <c r="H1076" s="83"/>
      <c r="I1076" s="4"/>
      <c r="J1076" s="4"/>
      <c r="K1076" s="4"/>
      <c r="L1076" s="4"/>
      <c r="M1076" s="4"/>
      <c r="N1076" s="28"/>
      <c r="O1076" s="4"/>
      <c r="P1076" s="4"/>
      <c r="Q1076" s="4"/>
      <c r="R1076" s="4"/>
      <c r="S1076" s="4"/>
      <c r="T1076" s="4"/>
      <c r="U1076" s="4"/>
      <c r="V1076" s="4"/>
      <c r="W1076" s="4"/>
      <c r="X1076" s="4"/>
      <c r="Y1076" s="4"/>
      <c r="Z1076" s="4"/>
      <c r="AA1076" s="4"/>
      <c r="AB1076" s="4"/>
      <c r="AC1076" s="4"/>
      <c r="AD1076" s="4"/>
      <c r="AE1076" s="4"/>
      <c r="AF1076" s="81"/>
      <c r="AG1076" s="81"/>
      <c r="AH1076" s="81"/>
      <c r="AI1076" s="4"/>
      <c r="AJ1076" s="81"/>
      <c r="AK1076" s="81"/>
      <c r="AL1076" s="81"/>
    </row>
    <row r="1077" spans="1:38" s="7" customFormat="1">
      <c r="A1077" s="4"/>
      <c r="B1077" s="4"/>
      <c r="C1077" s="4"/>
      <c r="D1077" s="4"/>
      <c r="E1077" s="4"/>
      <c r="F1077" s="28"/>
      <c r="G1077" s="28"/>
      <c r="H1077" s="83"/>
      <c r="I1077" s="4"/>
      <c r="J1077" s="4"/>
      <c r="K1077" s="4"/>
      <c r="L1077" s="4"/>
      <c r="M1077" s="4"/>
      <c r="N1077" s="28"/>
      <c r="O1077" s="4"/>
      <c r="P1077" s="4"/>
      <c r="Q1077" s="4"/>
      <c r="R1077" s="4"/>
      <c r="S1077" s="4"/>
      <c r="T1077" s="4"/>
      <c r="U1077" s="4"/>
      <c r="V1077" s="4"/>
      <c r="W1077" s="4"/>
      <c r="X1077" s="4"/>
      <c r="Y1077" s="4"/>
      <c r="Z1077" s="4"/>
      <c r="AA1077" s="4"/>
      <c r="AB1077" s="4"/>
      <c r="AC1077" s="4"/>
      <c r="AD1077" s="4"/>
      <c r="AE1077" s="4"/>
      <c r="AF1077" s="81"/>
      <c r="AG1077" s="81"/>
      <c r="AH1077" s="81"/>
      <c r="AI1077" s="4"/>
      <c r="AJ1077" s="81"/>
      <c r="AK1077" s="81"/>
      <c r="AL1077" s="81"/>
    </row>
    <row r="1078" spans="1:38" s="7" customFormat="1">
      <c r="A1078" s="4"/>
      <c r="B1078" s="4"/>
      <c r="C1078" s="4"/>
      <c r="D1078" s="4"/>
      <c r="E1078" s="4"/>
      <c r="F1078" s="28"/>
      <c r="G1078" s="28"/>
      <c r="H1078" s="83"/>
      <c r="I1078" s="4"/>
      <c r="J1078" s="4"/>
      <c r="K1078" s="4"/>
      <c r="L1078" s="4"/>
      <c r="M1078" s="4"/>
      <c r="N1078" s="28"/>
      <c r="O1078" s="4"/>
      <c r="P1078" s="4"/>
      <c r="Q1078" s="4"/>
      <c r="R1078" s="4"/>
      <c r="S1078" s="4"/>
      <c r="T1078" s="4"/>
      <c r="U1078" s="4"/>
      <c r="V1078" s="4"/>
      <c r="W1078" s="4"/>
      <c r="X1078" s="4"/>
      <c r="Y1078" s="4"/>
      <c r="Z1078" s="4"/>
      <c r="AA1078" s="4"/>
      <c r="AB1078" s="4"/>
      <c r="AC1078" s="4"/>
      <c r="AD1078" s="4"/>
      <c r="AE1078" s="4"/>
      <c r="AF1078" s="81"/>
      <c r="AG1078" s="81"/>
      <c r="AH1078" s="81"/>
      <c r="AI1078" s="4"/>
      <c r="AJ1078" s="81"/>
      <c r="AK1078" s="81"/>
      <c r="AL1078" s="81"/>
    </row>
    <row r="1079" spans="1:38" s="7" customFormat="1">
      <c r="A1079" s="4"/>
      <c r="B1079" s="4"/>
      <c r="C1079" s="4"/>
      <c r="D1079" s="4"/>
      <c r="E1079" s="4"/>
      <c r="F1079" s="28"/>
      <c r="G1079" s="28"/>
      <c r="H1079" s="83"/>
      <c r="I1079" s="4"/>
      <c r="J1079" s="4"/>
      <c r="K1079" s="4"/>
      <c r="L1079" s="4"/>
      <c r="M1079" s="4"/>
      <c r="N1079" s="28"/>
      <c r="O1079" s="4"/>
      <c r="P1079" s="4"/>
      <c r="Q1079" s="4"/>
      <c r="R1079" s="4"/>
      <c r="S1079" s="4"/>
      <c r="T1079" s="4"/>
      <c r="U1079" s="4"/>
      <c r="V1079" s="4"/>
      <c r="W1079" s="4"/>
      <c r="X1079" s="4"/>
      <c r="Y1079" s="4"/>
      <c r="Z1079" s="4"/>
      <c r="AA1079" s="4"/>
      <c r="AB1079" s="4"/>
      <c r="AC1079" s="4"/>
      <c r="AD1079" s="4"/>
      <c r="AE1079" s="4"/>
      <c r="AF1079" s="81"/>
      <c r="AG1079" s="81"/>
      <c r="AH1079" s="81"/>
      <c r="AI1079" s="4"/>
      <c r="AJ1079" s="81"/>
      <c r="AK1079" s="81"/>
      <c r="AL1079" s="81"/>
    </row>
    <row r="1080" spans="1:38" s="7" customFormat="1">
      <c r="A1080" s="4"/>
      <c r="B1080" s="4"/>
      <c r="C1080" s="4"/>
      <c r="D1080" s="4"/>
      <c r="E1080" s="4"/>
      <c r="F1080" s="28"/>
      <c r="G1080" s="28"/>
      <c r="H1080" s="83"/>
      <c r="I1080" s="4"/>
      <c r="J1080" s="4"/>
      <c r="K1080" s="4"/>
      <c r="L1080" s="4"/>
      <c r="M1080" s="4"/>
      <c r="N1080" s="28"/>
      <c r="O1080" s="4"/>
      <c r="P1080" s="4"/>
      <c r="Q1080" s="4"/>
      <c r="R1080" s="4"/>
      <c r="S1080" s="4"/>
      <c r="T1080" s="4"/>
      <c r="U1080" s="4"/>
      <c r="V1080" s="4"/>
      <c r="W1080" s="4"/>
      <c r="X1080" s="4"/>
      <c r="Y1080" s="4"/>
      <c r="Z1080" s="4"/>
      <c r="AA1080" s="4"/>
      <c r="AB1080" s="4"/>
      <c r="AC1080" s="4"/>
      <c r="AD1080" s="4"/>
      <c r="AE1080" s="4"/>
      <c r="AF1080" s="81"/>
      <c r="AG1080" s="81"/>
      <c r="AH1080" s="81"/>
      <c r="AI1080" s="4"/>
      <c r="AJ1080" s="81"/>
      <c r="AK1080" s="81"/>
      <c r="AL1080" s="81"/>
    </row>
    <row r="1081" spans="1:38" s="7" customFormat="1">
      <c r="A1081" s="4"/>
      <c r="B1081" s="4"/>
      <c r="C1081" s="4"/>
      <c r="D1081" s="4"/>
      <c r="E1081" s="4"/>
      <c r="F1081" s="28"/>
      <c r="G1081" s="28"/>
      <c r="H1081" s="83"/>
      <c r="I1081" s="4"/>
      <c r="J1081" s="4"/>
      <c r="K1081" s="4"/>
      <c r="L1081" s="4"/>
      <c r="M1081" s="4"/>
      <c r="N1081" s="28"/>
      <c r="O1081" s="4"/>
      <c r="P1081" s="4"/>
      <c r="Q1081" s="4"/>
      <c r="R1081" s="4"/>
      <c r="S1081" s="4"/>
      <c r="T1081" s="4"/>
      <c r="U1081" s="4"/>
      <c r="V1081" s="4"/>
      <c r="W1081" s="4"/>
      <c r="X1081" s="4"/>
      <c r="Y1081" s="4"/>
      <c r="Z1081" s="4"/>
      <c r="AA1081" s="4"/>
      <c r="AB1081" s="4"/>
      <c r="AC1081" s="4"/>
      <c r="AD1081" s="4"/>
      <c r="AE1081" s="4"/>
      <c r="AF1081" s="81"/>
      <c r="AG1081" s="81"/>
      <c r="AH1081" s="81"/>
      <c r="AI1081" s="4"/>
      <c r="AJ1081" s="81"/>
      <c r="AK1081" s="81"/>
      <c r="AL1081" s="81"/>
    </row>
    <row r="1082" spans="1:38" s="7" customFormat="1">
      <c r="A1082" s="4"/>
      <c r="B1082" s="4"/>
      <c r="C1082" s="4"/>
      <c r="D1082" s="4"/>
      <c r="E1082" s="4"/>
      <c r="F1082" s="28"/>
      <c r="G1082" s="28"/>
      <c r="H1082" s="83"/>
      <c r="I1082" s="4"/>
      <c r="J1082" s="4"/>
      <c r="K1082" s="4"/>
      <c r="L1082" s="4"/>
      <c r="M1082" s="4"/>
      <c r="N1082" s="28"/>
      <c r="O1082" s="4"/>
      <c r="P1082" s="4"/>
      <c r="Q1082" s="4"/>
      <c r="R1082" s="4"/>
      <c r="S1082" s="4"/>
      <c r="T1082" s="4"/>
      <c r="U1082" s="4"/>
      <c r="V1082" s="4"/>
      <c r="W1082" s="4"/>
      <c r="X1082" s="4"/>
      <c r="Y1082" s="4"/>
      <c r="Z1082" s="4"/>
      <c r="AA1082" s="4"/>
      <c r="AB1082" s="4"/>
      <c r="AC1082" s="4"/>
      <c r="AD1082" s="4"/>
      <c r="AE1082" s="4"/>
      <c r="AF1082" s="81"/>
      <c r="AG1082" s="81"/>
      <c r="AH1082" s="81"/>
      <c r="AI1082" s="4"/>
      <c r="AJ1082" s="81"/>
      <c r="AK1082" s="81"/>
      <c r="AL1082" s="81"/>
    </row>
    <row r="1083" spans="1:38" s="7" customFormat="1">
      <c r="A1083" s="4"/>
      <c r="B1083" s="4"/>
      <c r="C1083" s="4"/>
      <c r="D1083" s="4"/>
      <c r="E1083" s="4"/>
      <c r="F1083" s="28"/>
      <c r="G1083" s="28"/>
      <c r="H1083" s="83"/>
      <c r="I1083" s="4"/>
      <c r="J1083" s="4"/>
      <c r="K1083" s="4"/>
      <c r="L1083" s="4"/>
      <c r="M1083" s="4"/>
      <c r="N1083" s="28"/>
      <c r="O1083" s="4"/>
      <c r="P1083" s="4"/>
      <c r="Q1083" s="4"/>
      <c r="R1083" s="4"/>
      <c r="S1083" s="4"/>
      <c r="T1083" s="4"/>
      <c r="U1083" s="4"/>
      <c r="V1083" s="4"/>
      <c r="W1083" s="4"/>
      <c r="X1083" s="4"/>
      <c r="Y1083" s="4"/>
      <c r="Z1083" s="4"/>
      <c r="AA1083" s="4"/>
      <c r="AB1083" s="4"/>
      <c r="AC1083" s="4"/>
      <c r="AD1083" s="4"/>
      <c r="AE1083" s="4"/>
      <c r="AF1083" s="81"/>
      <c r="AG1083" s="81"/>
      <c r="AH1083" s="81"/>
      <c r="AI1083" s="4"/>
      <c r="AJ1083" s="81"/>
      <c r="AK1083" s="81"/>
      <c r="AL1083" s="81"/>
    </row>
    <row r="1084" spans="1:38" s="7" customFormat="1">
      <c r="A1084" s="4"/>
      <c r="B1084" s="4"/>
      <c r="C1084" s="4"/>
      <c r="D1084" s="4"/>
      <c r="E1084" s="4"/>
      <c r="F1084" s="28"/>
      <c r="G1084" s="28"/>
      <c r="H1084" s="83"/>
      <c r="I1084" s="4"/>
      <c r="J1084" s="4"/>
      <c r="K1084" s="4"/>
      <c r="L1084" s="4"/>
      <c r="M1084" s="4"/>
      <c r="N1084" s="28"/>
      <c r="O1084" s="4"/>
      <c r="P1084" s="4"/>
      <c r="Q1084" s="4"/>
      <c r="R1084" s="4"/>
      <c r="S1084" s="4"/>
      <c r="T1084" s="4"/>
      <c r="U1084" s="4"/>
      <c r="V1084" s="4"/>
      <c r="W1084" s="4"/>
      <c r="X1084" s="4"/>
      <c r="Y1084" s="4"/>
      <c r="Z1084" s="4"/>
      <c r="AA1084" s="4"/>
      <c r="AB1084" s="4"/>
      <c r="AC1084" s="4"/>
      <c r="AD1084" s="4"/>
      <c r="AE1084" s="4"/>
      <c r="AF1084" s="81"/>
      <c r="AG1084" s="81"/>
      <c r="AH1084" s="81"/>
      <c r="AI1084" s="4"/>
      <c r="AJ1084" s="81"/>
      <c r="AK1084" s="81"/>
      <c r="AL1084" s="81"/>
    </row>
    <row r="1085" spans="1:38" s="7" customFormat="1">
      <c r="A1085" s="4"/>
      <c r="B1085" s="4"/>
      <c r="C1085" s="4"/>
      <c r="D1085" s="4"/>
      <c r="E1085" s="4"/>
      <c r="F1085" s="28"/>
      <c r="G1085" s="28"/>
      <c r="H1085" s="83"/>
      <c r="I1085" s="4"/>
      <c r="J1085" s="4"/>
      <c r="K1085" s="4"/>
      <c r="L1085" s="4"/>
      <c r="M1085" s="4"/>
      <c r="N1085" s="28"/>
      <c r="O1085" s="4"/>
      <c r="P1085" s="4"/>
      <c r="Q1085" s="4"/>
      <c r="R1085" s="4"/>
      <c r="S1085" s="4"/>
      <c r="T1085" s="4"/>
      <c r="U1085" s="4"/>
      <c r="V1085" s="4"/>
      <c r="W1085" s="4"/>
      <c r="X1085" s="4"/>
      <c r="Y1085" s="4"/>
      <c r="Z1085" s="4"/>
      <c r="AA1085" s="4"/>
      <c r="AB1085" s="4"/>
      <c r="AC1085" s="4"/>
      <c r="AD1085" s="4"/>
      <c r="AE1085" s="4"/>
      <c r="AF1085" s="81"/>
      <c r="AG1085" s="81"/>
      <c r="AH1085" s="81"/>
      <c r="AI1085" s="4"/>
      <c r="AJ1085" s="81"/>
      <c r="AK1085" s="81"/>
      <c r="AL1085" s="81"/>
    </row>
    <row r="1086" spans="1:38" s="7" customFormat="1">
      <c r="A1086" s="4"/>
      <c r="B1086" s="4"/>
      <c r="C1086" s="4"/>
      <c r="D1086" s="4"/>
      <c r="E1086" s="4"/>
      <c r="F1086" s="28"/>
      <c r="G1086" s="28"/>
      <c r="H1086" s="83"/>
      <c r="I1086" s="4"/>
      <c r="J1086" s="4"/>
      <c r="K1086" s="4"/>
      <c r="L1086" s="4"/>
      <c r="M1086" s="4"/>
      <c r="N1086" s="28"/>
      <c r="O1086" s="4"/>
      <c r="P1086" s="4"/>
      <c r="Q1086" s="4"/>
      <c r="R1086" s="4"/>
      <c r="S1086" s="4"/>
      <c r="T1086" s="4"/>
      <c r="U1086" s="4"/>
      <c r="V1086" s="4"/>
      <c r="W1086" s="4"/>
      <c r="X1086" s="4"/>
      <c r="Y1086" s="4"/>
      <c r="Z1086" s="4"/>
      <c r="AA1086" s="4"/>
      <c r="AB1086" s="4"/>
      <c r="AC1086" s="4"/>
      <c r="AD1086" s="4"/>
      <c r="AE1086" s="4"/>
      <c r="AF1086" s="81"/>
      <c r="AG1086" s="81"/>
      <c r="AH1086" s="81"/>
      <c r="AI1086" s="4"/>
      <c r="AJ1086" s="81"/>
      <c r="AK1086" s="81"/>
      <c r="AL1086" s="81"/>
    </row>
    <row r="1087" spans="1:38" s="7" customFormat="1">
      <c r="A1087" s="4"/>
      <c r="B1087" s="4"/>
      <c r="C1087" s="4"/>
      <c r="D1087" s="4"/>
      <c r="E1087" s="4"/>
      <c r="F1087" s="28"/>
      <c r="G1087" s="28"/>
      <c r="H1087" s="83"/>
      <c r="I1087" s="4"/>
      <c r="J1087" s="4"/>
      <c r="K1087" s="4"/>
      <c r="L1087" s="4"/>
      <c r="M1087" s="4"/>
      <c r="N1087" s="28"/>
      <c r="O1087" s="4"/>
      <c r="P1087" s="4"/>
      <c r="Q1087" s="4"/>
      <c r="R1087" s="4"/>
      <c r="S1087" s="4"/>
      <c r="T1087" s="4"/>
      <c r="U1087" s="4"/>
      <c r="V1087" s="4"/>
      <c r="W1087" s="4"/>
      <c r="X1087" s="4"/>
      <c r="Y1087" s="4"/>
      <c r="Z1087" s="4"/>
      <c r="AA1087" s="4"/>
      <c r="AB1087" s="4"/>
      <c r="AC1087" s="4"/>
      <c r="AD1087" s="4"/>
      <c r="AE1087" s="4"/>
      <c r="AF1087" s="81"/>
      <c r="AG1087" s="81"/>
      <c r="AH1087" s="81"/>
      <c r="AI1087" s="4"/>
      <c r="AJ1087" s="81"/>
      <c r="AK1087" s="81"/>
      <c r="AL1087" s="81"/>
    </row>
    <row r="1088" spans="1:38" s="7" customFormat="1">
      <c r="A1088" s="4"/>
      <c r="B1088" s="4"/>
      <c r="C1088" s="4"/>
      <c r="D1088" s="4"/>
      <c r="E1088" s="4"/>
      <c r="F1088" s="28"/>
      <c r="G1088" s="28"/>
      <c r="H1088" s="83"/>
      <c r="I1088" s="4"/>
      <c r="J1088" s="4"/>
      <c r="K1088" s="4"/>
      <c r="L1088" s="4"/>
      <c r="M1088" s="4"/>
      <c r="N1088" s="28"/>
      <c r="O1088" s="4"/>
      <c r="P1088" s="4"/>
      <c r="Q1088" s="4"/>
      <c r="R1088" s="4"/>
      <c r="S1088" s="4"/>
      <c r="T1088" s="4"/>
      <c r="U1088" s="4"/>
      <c r="V1088" s="4"/>
      <c r="W1088" s="4"/>
      <c r="X1088" s="4"/>
      <c r="Y1088" s="4"/>
      <c r="Z1088" s="4"/>
      <c r="AA1088" s="4"/>
      <c r="AB1088" s="4"/>
      <c r="AC1088" s="4"/>
      <c r="AD1088" s="4"/>
      <c r="AE1088" s="4"/>
      <c r="AF1088" s="81"/>
      <c r="AG1088" s="81"/>
      <c r="AH1088" s="81"/>
      <c r="AI1088" s="4"/>
      <c r="AJ1088" s="81"/>
      <c r="AK1088" s="81"/>
      <c r="AL1088" s="81"/>
    </row>
    <row r="1089" spans="1:38" s="7" customFormat="1">
      <c r="A1089" s="4"/>
      <c r="B1089" s="4"/>
      <c r="C1089" s="4"/>
      <c r="D1089" s="4"/>
      <c r="E1089" s="4"/>
      <c r="F1089" s="28"/>
      <c r="G1089" s="28"/>
      <c r="H1089" s="83"/>
      <c r="I1089" s="4"/>
      <c r="J1089" s="4"/>
      <c r="K1089" s="4"/>
      <c r="L1089" s="4"/>
      <c r="M1089" s="4"/>
      <c r="N1089" s="28"/>
      <c r="O1089" s="4"/>
      <c r="P1089" s="4"/>
      <c r="Q1089" s="4"/>
      <c r="R1089" s="4"/>
      <c r="S1089" s="4"/>
      <c r="T1089" s="4"/>
      <c r="U1089" s="4"/>
      <c r="V1089" s="4"/>
      <c r="W1089" s="4"/>
      <c r="X1089" s="4"/>
      <c r="Y1089" s="4"/>
      <c r="Z1089" s="4"/>
      <c r="AA1089" s="4"/>
      <c r="AB1089" s="4"/>
      <c r="AC1089" s="4"/>
      <c r="AD1089" s="4"/>
      <c r="AE1089" s="4"/>
      <c r="AF1089" s="81"/>
      <c r="AG1089" s="81"/>
      <c r="AH1089" s="81"/>
      <c r="AI1089" s="4"/>
      <c r="AJ1089" s="81"/>
      <c r="AK1089" s="81"/>
      <c r="AL1089" s="81"/>
    </row>
    <row r="1090" spans="1:38" s="7" customFormat="1">
      <c r="A1090" s="4"/>
      <c r="B1090" s="4"/>
      <c r="C1090" s="4"/>
      <c r="D1090" s="4"/>
      <c r="E1090" s="4"/>
      <c r="F1090" s="28"/>
      <c r="G1090" s="28"/>
      <c r="H1090" s="83"/>
      <c r="I1090" s="4"/>
      <c r="J1090" s="4"/>
      <c r="K1090" s="4"/>
      <c r="L1090" s="4"/>
      <c r="M1090" s="4"/>
      <c r="N1090" s="28"/>
      <c r="O1090" s="4"/>
      <c r="P1090" s="4"/>
      <c r="Q1090" s="4"/>
      <c r="R1090" s="4"/>
      <c r="S1090" s="4"/>
      <c r="T1090" s="4"/>
      <c r="U1090" s="4"/>
      <c r="V1090" s="4"/>
      <c r="W1090" s="4"/>
      <c r="X1090" s="4"/>
      <c r="Y1090" s="4"/>
      <c r="Z1090" s="4"/>
      <c r="AA1090" s="4"/>
      <c r="AB1090" s="4"/>
      <c r="AC1090" s="4"/>
      <c r="AD1090" s="4"/>
      <c r="AE1090" s="4"/>
      <c r="AF1090" s="81"/>
      <c r="AG1090" s="81"/>
      <c r="AH1090" s="81"/>
      <c r="AI1090" s="4"/>
      <c r="AJ1090" s="81"/>
      <c r="AK1090" s="81"/>
      <c r="AL1090" s="81"/>
    </row>
    <row r="1091" spans="1:38" s="7" customFormat="1">
      <c r="A1091" s="4"/>
      <c r="B1091" s="4"/>
      <c r="C1091" s="4"/>
      <c r="D1091" s="4"/>
      <c r="E1091" s="4"/>
      <c r="F1091" s="28"/>
      <c r="G1091" s="28"/>
      <c r="H1091" s="83"/>
      <c r="I1091" s="4"/>
      <c r="J1091" s="4"/>
      <c r="K1091" s="4"/>
      <c r="L1091" s="4"/>
      <c r="M1091" s="4"/>
      <c r="N1091" s="28"/>
      <c r="O1091" s="4"/>
      <c r="P1091" s="4"/>
      <c r="Q1091" s="4"/>
      <c r="R1091" s="4"/>
      <c r="S1091" s="4"/>
      <c r="T1091" s="4"/>
      <c r="U1091" s="4"/>
      <c r="V1091" s="4"/>
      <c r="W1091" s="4"/>
      <c r="X1091" s="4"/>
      <c r="Y1091" s="4"/>
      <c r="Z1091" s="4"/>
      <c r="AA1091" s="4"/>
      <c r="AB1091" s="4"/>
      <c r="AC1091" s="4"/>
      <c r="AD1091" s="4"/>
      <c r="AE1091" s="4"/>
      <c r="AF1091" s="81"/>
      <c r="AG1091" s="81"/>
      <c r="AH1091" s="81"/>
      <c r="AI1091" s="4"/>
      <c r="AJ1091" s="81"/>
      <c r="AK1091" s="81"/>
      <c r="AL1091" s="81"/>
    </row>
    <row r="1092" spans="1:38" s="7" customFormat="1">
      <c r="A1092" s="4"/>
      <c r="B1092" s="4"/>
      <c r="C1092" s="4"/>
      <c r="D1092" s="4"/>
      <c r="E1092" s="4"/>
      <c r="F1092" s="28"/>
      <c r="G1092" s="28"/>
      <c r="H1092" s="83"/>
      <c r="I1092" s="4"/>
      <c r="J1092" s="4"/>
      <c r="K1092" s="4"/>
      <c r="L1092" s="4"/>
      <c r="M1092" s="4"/>
      <c r="N1092" s="28"/>
      <c r="O1092" s="4"/>
      <c r="P1092" s="4"/>
      <c r="Q1092" s="4"/>
      <c r="R1092" s="4"/>
      <c r="S1092" s="4"/>
      <c r="T1092" s="4"/>
      <c r="U1092" s="4"/>
      <c r="V1092" s="4"/>
      <c r="W1092" s="4"/>
      <c r="X1092" s="4"/>
      <c r="Y1092" s="4"/>
      <c r="Z1092" s="4"/>
      <c r="AA1092" s="4"/>
      <c r="AB1092" s="4"/>
      <c r="AC1092" s="4"/>
      <c r="AD1092" s="4"/>
      <c r="AE1092" s="4"/>
      <c r="AF1092" s="81"/>
      <c r="AG1092" s="81"/>
      <c r="AH1092" s="81"/>
      <c r="AI1092" s="4"/>
      <c r="AJ1092" s="81"/>
      <c r="AK1092" s="81"/>
      <c r="AL1092" s="81"/>
    </row>
    <row r="1093" spans="1:38" s="7" customFormat="1">
      <c r="A1093" s="4"/>
      <c r="B1093" s="4"/>
      <c r="C1093" s="4"/>
      <c r="D1093" s="4"/>
      <c r="E1093" s="4"/>
      <c r="F1093" s="28"/>
      <c r="G1093" s="28"/>
      <c r="H1093" s="83"/>
      <c r="I1093" s="4"/>
      <c r="J1093" s="4"/>
      <c r="K1093" s="4"/>
      <c r="L1093" s="4"/>
      <c r="M1093" s="4"/>
      <c r="N1093" s="28"/>
      <c r="O1093" s="4"/>
      <c r="P1093" s="4"/>
      <c r="Q1093" s="4"/>
      <c r="R1093" s="4"/>
      <c r="S1093" s="4"/>
      <c r="T1093" s="4"/>
      <c r="U1093" s="4"/>
      <c r="V1093" s="4"/>
      <c r="W1093" s="4"/>
      <c r="X1093" s="4"/>
      <c r="Y1093" s="4"/>
      <c r="Z1093" s="4"/>
      <c r="AA1093" s="4"/>
      <c r="AB1093" s="4"/>
      <c r="AC1093" s="4"/>
      <c r="AD1093" s="4"/>
      <c r="AE1093" s="4"/>
      <c r="AF1093" s="81"/>
      <c r="AG1093" s="81"/>
      <c r="AH1093" s="81"/>
      <c r="AI1093" s="4"/>
      <c r="AJ1093" s="81"/>
      <c r="AK1093" s="81"/>
      <c r="AL1093" s="81"/>
    </row>
    <row r="1094" spans="1:38" s="7" customFormat="1">
      <c r="A1094" s="4"/>
      <c r="B1094" s="4"/>
      <c r="C1094" s="4"/>
      <c r="D1094" s="4"/>
      <c r="E1094" s="4"/>
      <c r="F1094" s="28"/>
      <c r="G1094" s="28"/>
      <c r="H1094" s="83"/>
      <c r="I1094" s="4"/>
      <c r="J1094" s="4"/>
      <c r="K1094" s="4"/>
      <c r="L1094" s="4"/>
      <c r="M1094" s="4"/>
      <c r="N1094" s="28"/>
      <c r="O1094" s="4"/>
      <c r="P1094" s="4"/>
      <c r="Q1094" s="4"/>
      <c r="R1094" s="4"/>
      <c r="S1094" s="4"/>
      <c r="T1094" s="4"/>
      <c r="U1094" s="4"/>
      <c r="V1094" s="4"/>
      <c r="W1094" s="4"/>
      <c r="X1094" s="4"/>
      <c r="Y1094" s="4"/>
      <c r="Z1094" s="4"/>
      <c r="AA1094" s="4"/>
      <c r="AB1094" s="4"/>
      <c r="AC1094" s="4"/>
      <c r="AD1094" s="4"/>
      <c r="AE1094" s="4"/>
      <c r="AF1094" s="81"/>
      <c r="AG1094" s="81"/>
      <c r="AH1094" s="81"/>
      <c r="AI1094" s="4"/>
      <c r="AJ1094" s="81"/>
      <c r="AK1094" s="81"/>
      <c r="AL1094" s="81"/>
    </row>
    <row r="1095" spans="1:38" s="7" customFormat="1">
      <c r="A1095" s="4"/>
      <c r="B1095" s="4"/>
      <c r="C1095" s="4"/>
      <c r="D1095" s="4"/>
      <c r="E1095" s="4"/>
      <c r="F1095" s="28"/>
      <c r="G1095" s="28"/>
      <c r="H1095" s="83"/>
      <c r="I1095" s="4"/>
      <c r="J1095" s="4"/>
      <c r="K1095" s="4"/>
      <c r="L1095" s="4"/>
      <c r="M1095" s="4"/>
      <c r="N1095" s="28"/>
      <c r="O1095" s="4"/>
      <c r="P1095" s="4"/>
      <c r="Q1095" s="4"/>
      <c r="R1095" s="4"/>
      <c r="S1095" s="4"/>
      <c r="T1095" s="4"/>
      <c r="U1095" s="4"/>
      <c r="V1095" s="4"/>
      <c r="W1095" s="4"/>
      <c r="X1095" s="4"/>
      <c r="Y1095" s="4"/>
      <c r="Z1095" s="4"/>
      <c r="AA1095" s="4"/>
      <c r="AB1095" s="4"/>
      <c r="AC1095" s="4"/>
      <c r="AD1095" s="4"/>
      <c r="AE1095" s="4"/>
      <c r="AF1095" s="81"/>
      <c r="AG1095" s="81"/>
      <c r="AH1095" s="81"/>
      <c r="AI1095" s="4"/>
      <c r="AJ1095" s="81"/>
      <c r="AK1095" s="81"/>
      <c r="AL1095" s="81"/>
    </row>
    <row r="1096" spans="1:38" s="7" customFormat="1">
      <c r="A1096" s="4"/>
      <c r="B1096" s="4"/>
      <c r="C1096" s="4"/>
      <c r="D1096" s="4"/>
      <c r="E1096" s="4"/>
      <c r="F1096" s="28"/>
      <c r="G1096" s="28"/>
      <c r="H1096" s="83"/>
      <c r="I1096" s="4"/>
      <c r="J1096" s="4"/>
      <c r="K1096" s="4"/>
      <c r="L1096" s="4"/>
      <c r="M1096" s="4"/>
      <c r="N1096" s="28"/>
      <c r="O1096" s="4"/>
      <c r="P1096" s="4"/>
      <c r="Q1096" s="4"/>
      <c r="R1096" s="4"/>
      <c r="S1096" s="4"/>
      <c r="T1096" s="4"/>
      <c r="U1096" s="4"/>
      <c r="V1096" s="4"/>
      <c r="W1096" s="4"/>
      <c r="X1096" s="4"/>
      <c r="Y1096" s="4"/>
      <c r="Z1096" s="4"/>
      <c r="AA1096" s="4"/>
      <c r="AB1096" s="4"/>
      <c r="AC1096" s="4"/>
      <c r="AD1096" s="4"/>
      <c r="AE1096" s="4"/>
      <c r="AF1096" s="81"/>
      <c r="AG1096" s="81"/>
      <c r="AH1096" s="81"/>
      <c r="AI1096" s="4"/>
      <c r="AJ1096" s="81"/>
      <c r="AK1096" s="81"/>
      <c r="AL1096" s="81"/>
    </row>
    <row r="1097" spans="1:38" s="7" customFormat="1">
      <c r="A1097" s="4"/>
      <c r="B1097" s="4"/>
      <c r="C1097" s="4"/>
      <c r="D1097" s="4"/>
      <c r="E1097" s="4"/>
      <c r="F1097" s="28"/>
      <c r="G1097" s="28"/>
      <c r="H1097" s="83"/>
      <c r="I1097" s="4"/>
      <c r="J1097" s="4"/>
      <c r="K1097" s="4"/>
      <c r="L1097" s="4"/>
      <c r="M1097" s="4"/>
      <c r="N1097" s="28"/>
      <c r="O1097" s="4"/>
      <c r="P1097" s="4"/>
      <c r="Q1097" s="4"/>
      <c r="R1097" s="4"/>
      <c r="S1097" s="4"/>
      <c r="T1097" s="4"/>
      <c r="U1097" s="4"/>
      <c r="V1097" s="4"/>
      <c r="W1097" s="4"/>
      <c r="X1097" s="4"/>
      <c r="Y1097" s="4"/>
      <c r="Z1097" s="4"/>
      <c r="AA1097" s="4"/>
      <c r="AB1097" s="4"/>
      <c r="AC1097" s="4"/>
      <c r="AD1097" s="4"/>
      <c r="AE1097" s="4"/>
      <c r="AF1097" s="81"/>
      <c r="AG1097" s="81"/>
      <c r="AH1097" s="81"/>
      <c r="AI1097" s="4"/>
      <c r="AJ1097" s="81"/>
      <c r="AK1097" s="81"/>
      <c r="AL1097" s="81"/>
    </row>
    <row r="1098" spans="1:38" s="7" customFormat="1">
      <c r="A1098" s="4"/>
      <c r="B1098" s="4"/>
      <c r="C1098" s="4"/>
      <c r="D1098" s="4"/>
      <c r="E1098" s="4"/>
      <c r="F1098" s="28"/>
      <c r="G1098" s="28"/>
      <c r="H1098" s="83"/>
      <c r="I1098" s="4"/>
      <c r="J1098" s="4"/>
      <c r="K1098" s="4"/>
      <c r="L1098" s="4"/>
      <c r="M1098" s="4"/>
      <c r="N1098" s="28"/>
      <c r="O1098" s="4"/>
      <c r="P1098" s="4"/>
      <c r="Q1098" s="4"/>
      <c r="R1098" s="4"/>
      <c r="S1098" s="4"/>
      <c r="T1098" s="4"/>
      <c r="U1098" s="4"/>
      <c r="V1098" s="4"/>
      <c r="W1098" s="4"/>
      <c r="X1098" s="4"/>
      <c r="Y1098" s="4"/>
      <c r="Z1098" s="4"/>
      <c r="AA1098" s="4"/>
      <c r="AB1098" s="4"/>
      <c r="AC1098" s="4"/>
      <c r="AD1098" s="4"/>
      <c r="AE1098" s="4"/>
      <c r="AF1098" s="81"/>
      <c r="AG1098" s="81"/>
      <c r="AH1098" s="81"/>
      <c r="AI1098" s="4"/>
      <c r="AJ1098" s="81"/>
      <c r="AK1098" s="81"/>
      <c r="AL1098" s="81"/>
    </row>
    <row r="1099" spans="1:38" s="7" customFormat="1">
      <c r="A1099" s="4"/>
      <c r="B1099" s="4"/>
      <c r="C1099" s="4"/>
      <c r="D1099" s="4"/>
      <c r="E1099" s="4"/>
      <c r="F1099" s="28"/>
      <c r="G1099" s="28"/>
      <c r="H1099" s="83"/>
      <c r="I1099" s="4"/>
      <c r="J1099" s="4"/>
      <c r="K1099" s="4"/>
      <c r="L1099" s="4"/>
      <c r="M1099" s="4"/>
      <c r="N1099" s="28"/>
      <c r="O1099" s="4"/>
      <c r="P1099" s="4"/>
      <c r="Q1099" s="4"/>
      <c r="R1099" s="4"/>
      <c r="S1099" s="4"/>
      <c r="T1099" s="4"/>
      <c r="U1099" s="4"/>
      <c r="V1099" s="4"/>
      <c r="W1099" s="4"/>
      <c r="X1099" s="4"/>
      <c r="Y1099" s="4"/>
      <c r="Z1099" s="4"/>
      <c r="AA1099" s="4"/>
      <c r="AB1099" s="4"/>
      <c r="AC1099" s="4"/>
      <c r="AD1099" s="4"/>
      <c r="AE1099" s="4"/>
      <c r="AF1099" s="81"/>
      <c r="AG1099" s="81"/>
      <c r="AH1099" s="81"/>
      <c r="AI1099" s="4"/>
      <c r="AJ1099" s="81"/>
      <c r="AK1099" s="81"/>
      <c r="AL1099" s="81"/>
    </row>
    <row r="1100" spans="1:38" s="7" customFormat="1">
      <c r="A1100" s="4"/>
      <c r="B1100" s="4"/>
      <c r="C1100" s="4"/>
      <c r="D1100" s="4"/>
      <c r="E1100" s="4"/>
      <c r="F1100" s="28"/>
      <c r="G1100" s="28"/>
      <c r="H1100" s="83"/>
      <c r="I1100" s="4"/>
      <c r="J1100" s="4"/>
      <c r="K1100" s="4"/>
      <c r="L1100" s="4"/>
      <c r="M1100" s="4"/>
      <c r="N1100" s="28"/>
      <c r="O1100" s="4"/>
      <c r="P1100" s="4"/>
      <c r="Q1100" s="4"/>
      <c r="R1100" s="4"/>
      <c r="S1100" s="4"/>
      <c r="T1100" s="4"/>
      <c r="U1100" s="4"/>
      <c r="V1100" s="4"/>
      <c r="W1100" s="4"/>
      <c r="X1100" s="4"/>
      <c r="Y1100" s="4"/>
      <c r="Z1100" s="4"/>
      <c r="AA1100" s="4"/>
      <c r="AB1100" s="4"/>
      <c r="AC1100" s="4"/>
      <c r="AD1100" s="4"/>
      <c r="AE1100" s="4"/>
      <c r="AF1100" s="81"/>
      <c r="AG1100" s="81"/>
      <c r="AH1100" s="81"/>
      <c r="AI1100" s="4"/>
      <c r="AJ1100" s="81"/>
      <c r="AK1100" s="81"/>
      <c r="AL1100" s="81"/>
    </row>
    <row r="1101" spans="1:38" s="7" customFormat="1">
      <c r="A1101" s="4"/>
      <c r="B1101" s="4"/>
      <c r="C1101" s="4"/>
      <c r="D1101" s="4"/>
      <c r="E1101" s="4"/>
      <c r="F1101" s="28"/>
      <c r="G1101" s="28"/>
      <c r="H1101" s="83"/>
      <c r="I1101" s="4"/>
      <c r="J1101" s="4"/>
      <c r="K1101" s="4"/>
      <c r="L1101" s="4"/>
      <c r="M1101" s="4"/>
      <c r="N1101" s="28"/>
      <c r="O1101" s="4"/>
      <c r="P1101" s="4"/>
      <c r="Q1101" s="4"/>
      <c r="R1101" s="4"/>
      <c r="S1101" s="4"/>
      <c r="T1101" s="4"/>
      <c r="U1101" s="4"/>
      <c r="V1101" s="4"/>
      <c r="W1101" s="4"/>
      <c r="X1101" s="4"/>
      <c r="Y1101" s="4"/>
      <c r="Z1101" s="4"/>
      <c r="AA1101" s="4"/>
      <c r="AB1101" s="4"/>
      <c r="AC1101" s="4"/>
      <c r="AD1101" s="4"/>
      <c r="AE1101" s="4"/>
      <c r="AF1101" s="81"/>
      <c r="AG1101" s="81"/>
      <c r="AH1101" s="81"/>
      <c r="AI1101" s="4"/>
      <c r="AJ1101" s="81"/>
      <c r="AK1101" s="81"/>
      <c r="AL1101" s="81"/>
    </row>
    <row r="1102" spans="1:38" s="7" customFormat="1">
      <c r="A1102" s="4"/>
      <c r="B1102" s="4"/>
      <c r="C1102" s="4"/>
      <c r="D1102" s="4"/>
      <c r="E1102" s="4"/>
      <c r="F1102" s="28"/>
      <c r="G1102" s="28"/>
      <c r="H1102" s="83"/>
      <c r="I1102" s="4"/>
      <c r="J1102" s="4"/>
      <c r="K1102" s="4"/>
      <c r="L1102" s="4"/>
      <c r="M1102" s="4"/>
      <c r="N1102" s="28"/>
      <c r="O1102" s="4"/>
      <c r="P1102" s="4"/>
      <c r="Q1102" s="4"/>
      <c r="R1102" s="4"/>
      <c r="S1102" s="4"/>
      <c r="T1102" s="4"/>
      <c r="U1102" s="4"/>
      <c r="V1102" s="4"/>
      <c r="W1102" s="4"/>
      <c r="X1102" s="4"/>
      <c r="Y1102" s="4"/>
      <c r="Z1102" s="4"/>
      <c r="AA1102" s="4"/>
      <c r="AB1102" s="4"/>
      <c r="AC1102" s="4"/>
      <c r="AD1102" s="4"/>
      <c r="AE1102" s="4"/>
      <c r="AF1102" s="81"/>
      <c r="AG1102" s="81"/>
      <c r="AH1102" s="81"/>
      <c r="AI1102" s="4"/>
      <c r="AJ1102" s="81"/>
      <c r="AK1102" s="81"/>
      <c r="AL1102" s="81"/>
    </row>
    <row r="1103" spans="1:38" s="7" customFormat="1">
      <c r="A1103" s="4"/>
      <c r="B1103" s="4"/>
      <c r="C1103" s="4"/>
      <c r="D1103" s="4"/>
      <c r="E1103" s="4"/>
      <c r="F1103" s="28"/>
      <c r="G1103" s="28"/>
      <c r="H1103" s="83"/>
      <c r="I1103" s="4"/>
      <c r="J1103" s="4"/>
      <c r="K1103" s="4"/>
      <c r="L1103" s="4"/>
      <c r="M1103" s="4"/>
      <c r="N1103" s="28"/>
      <c r="O1103" s="4"/>
      <c r="P1103" s="4"/>
      <c r="Q1103" s="4"/>
      <c r="R1103" s="4"/>
      <c r="S1103" s="4"/>
      <c r="T1103" s="4"/>
      <c r="U1103" s="4"/>
      <c r="V1103" s="4"/>
      <c r="W1103" s="4"/>
      <c r="X1103" s="4"/>
      <c r="Y1103" s="4"/>
      <c r="Z1103" s="4"/>
      <c r="AA1103" s="4"/>
      <c r="AB1103" s="4"/>
      <c r="AC1103" s="4"/>
      <c r="AD1103" s="4"/>
      <c r="AE1103" s="4"/>
      <c r="AF1103" s="81"/>
      <c r="AG1103" s="81"/>
      <c r="AH1103" s="81"/>
      <c r="AI1103" s="4"/>
      <c r="AJ1103" s="81"/>
      <c r="AK1103" s="81"/>
      <c r="AL1103" s="81"/>
    </row>
    <row r="1104" spans="1:38" s="7" customFormat="1">
      <c r="A1104" s="4"/>
      <c r="B1104" s="4"/>
      <c r="C1104" s="4"/>
      <c r="D1104" s="4"/>
      <c r="E1104" s="4"/>
      <c r="F1104" s="28"/>
      <c r="G1104" s="28"/>
      <c r="H1104" s="83"/>
      <c r="I1104" s="4"/>
      <c r="J1104" s="4"/>
      <c r="K1104" s="4"/>
      <c r="L1104" s="4"/>
      <c r="M1104" s="4"/>
      <c r="N1104" s="28"/>
      <c r="O1104" s="4"/>
      <c r="P1104" s="4"/>
      <c r="Q1104" s="4"/>
      <c r="R1104" s="4"/>
      <c r="S1104" s="4"/>
      <c r="T1104" s="4"/>
      <c r="U1104" s="4"/>
      <c r="V1104" s="4"/>
      <c r="W1104" s="4"/>
      <c r="X1104" s="4"/>
      <c r="Y1104" s="4"/>
      <c r="Z1104" s="4"/>
      <c r="AA1104" s="4"/>
      <c r="AB1104" s="4"/>
      <c r="AC1104" s="4"/>
      <c r="AD1104" s="4"/>
      <c r="AE1104" s="4"/>
      <c r="AF1104" s="81"/>
      <c r="AG1104" s="81"/>
      <c r="AH1104" s="81"/>
      <c r="AI1104" s="4"/>
      <c r="AJ1104" s="81"/>
      <c r="AK1104" s="81"/>
      <c r="AL1104" s="81"/>
    </row>
    <row r="1105" spans="1:38" s="7" customFormat="1">
      <c r="A1105" s="4"/>
      <c r="B1105" s="4"/>
      <c r="C1105" s="4"/>
      <c r="D1105" s="4"/>
      <c r="E1105" s="4"/>
      <c r="F1105" s="28"/>
      <c r="G1105" s="28"/>
      <c r="H1105" s="83"/>
      <c r="I1105" s="4"/>
      <c r="J1105" s="4"/>
      <c r="K1105" s="4"/>
      <c r="L1105" s="4"/>
      <c r="M1105" s="4"/>
      <c r="N1105" s="28"/>
      <c r="O1105" s="4"/>
      <c r="P1105" s="4"/>
      <c r="Q1105" s="4"/>
      <c r="R1105" s="4"/>
      <c r="S1105" s="4"/>
      <c r="T1105" s="4"/>
      <c r="U1105" s="4"/>
      <c r="V1105" s="4"/>
      <c r="W1105" s="4"/>
      <c r="X1105" s="4"/>
      <c r="Y1105" s="4"/>
      <c r="Z1105" s="4"/>
      <c r="AA1105" s="4"/>
      <c r="AB1105" s="4"/>
      <c r="AC1105" s="4"/>
      <c r="AD1105" s="4"/>
      <c r="AE1105" s="4"/>
      <c r="AF1105" s="81"/>
      <c r="AG1105" s="81"/>
      <c r="AH1105" s="81"/>
      <c r="AI1105" s="4"/>
      <c r="AJ1105" s="81"/>
      <c r="AK1105" s="81"/>
      <c r="AL1105" s="81"/>
    </row>
    <row r="1106" spans="1:38" s="7" customFormat="1">
      <c r="A1106" s="4"/>
      <c r="B1106" s="4"/>
      <c r="C1106" s="4"/>
      <c r="D1106" s="4"/>
      <c r="E1106" s="4"/>
      <c r="F1106" s="28"/>
      <c r="G1106" s="28"/>
      <c r="H1106" s="83"/>
      <c r="I1106" s="4"/>
      <c r="J1106" s="4"/>
      <c r="K1106" s="4"/>
      <c r="L1106" s="4"/>
      <c r="M1106" s="4"/>
      <c r="N1106" s="28"/>
      <c r="O1106" s="4"/>
      <c r="P1106" s="4"/>
      <c r="Q1106" s="4"/>
      <c r="R1106" s="4"/>
      <c r="S1106" s="4"/>
      <c r="T1106" s="4"/>
      <c r="U1106" s="4"/>
      <c r="V1106" s="4"/>
      <c r="W1106" s="4"/>
      <c r="X1106" s="4"/>
      <c r="Y1106" s="4"/>
      <c r="Z1106" s="4"/>
      <c r="AA1106" s="4"/>
      <c r="AB1106" s="4"/>
      <c r="AC1106" s="4"/>
      <c r="AD1106" s="4"/>
      <c r="AE1106" s="4"/>
      <c r="AF1106" s="81"/>
      <c r="AG1106" s="81"/>
      <c r="AH1106" s="81"/>
      <c r="AI1106" s="4"/>
      <c r="AJ1106" s="81"/>
      <c r="AK1106" s="81"/>
      <c r="AL1106" s="81"/>
    </row>
    <row r="1107" spans="1:38" s="7" customFormat="1">
      <c r="A1107" s="4"/>
      <c r="B1107" s="4"/>
      <c r="C1107" s="4"/>
      <c r="D1107" s="4"/>
      <c r="E1107" s="4"/>
      <c r="F1107" s="28"/>
      <c r="G1107" s="28"/>
      <c r="H1107" s="83"/>
      <c r="I1107" s="4"/>
      <c r="J1107" s="4"/>
      <c r="K1107" s="4"/>
      <c r="L1107" s="4"/>
      <c r="M1107" s="4"/>
      <c r="N1107" s="28"/>
      <c r="O1107" s="4"/>
      <c r="P1107" s="4"/>
      <c r="Q1107" s="4"/>
      <c r="R1107" s="4"/>
      <c r="S1107" s="4"/>
      <c r="T1107" s="4"/>
      <c r="U1107" s="4"/>
      <c r="V1107" s="4"/>
      <c r="W1107" s="4"/>
      <c r="X1107" s="4"/>
      <c r="Y1107" s="4"/>
      <c r="Z1107" s="4"/>
      <c r="AA1107" s="4"/>
      <c r="AB1107" s="4"/>
      <c r="AC1107" s="4"/>
      <c r="AD1107" s="4"/>
      <c r="AE1107" s="4"/>
      <c r="AF1107" s="81"/>
      <c r="AG1107" s="81"/>
      <c r="AH1107" s="81"/>
      <c r="AI1107" s="4"/>
      <c r="AJ1107" s="81"/>
      <c r="AK1107" s="81"/>
      <c r="AL1107" s="81"/>
    </row>
    <row r="1108" spans="1:38" s="7" customFormat="1">
      <c r="A1108" s="4"/>
      <c r="B1108" s="4"/>
      <c r="C1108" s="4"/>
      <c r="D1108" s="4"/>
      <c r="E1108" s="4"/>
      <c r="F1108" s="28"/>
      <c r="G1108" s="28"/>
      <c r="H1108" s="83"/>
      <c r="I1108" s="4"/>
      <c r="J1108" s="4"/>
      <c r="K1108" s="4"/>
      <c r="L1108" s="4"/>
      <c r="M1108" s="4"/>
      <c r="N1108" s="28"/>
      <c r="O1108" s="4"/>
      <c r="P1108" s="4"/>
      <c r="Q1108" s="4"/>
      <c r="R1108" s="4"/>
      <c r="S1108" s="4"/>
      <c r="T1108" s="4"/>
      <c r="U1108" s="4"/>
      <c r="V1108" s="4"/>
      <c r="W1108" s="4"/>
      <c r="X1108" s="4"/>
      <c r="Y1108" s="4"/>
      <c r="Z1108" s="4"/>
      <c r="AA1108" s="4"/>
      <c r="AB1108" s="4"/>
      <c r="AC1108" s="4"/>
      <c r="AD1108" s="4"/>
      <c r="AE1108" s="4"/>
      <c r="AF1108" s="81"/>
      <c r="AG1108" s="81"/>
      <c r="AH1108" s="81"/>
      <c r="AI1108" s="4"/>
      <c r="AJ1108" s="81"/>
      <c r="AK1108" s="81"/>
      <c r="AL1108" s="81"/>
    </row>
    <row r="1109" spans="1:38" s="7" customFormat="1">
      <c r="A1109" s="4"/>
      <c r="B1109" s="4"/>
      <c r="C1109" s="4"/>
      <c r="D1109" s="4"/>
      <c r="E1109" s="4"/>
      <c r="F1109" s="28"/>
      <c r="G1109" s="28"/>
      <c r="H1109" s="83"/>
      <c r="I1109" s="4"/>
      <c r="J1109" s="4"/>
      <c r="K1109" s="4"/>
      <c r="L1109" s="4"/>
      <c r="M1109" s="4"/>
      <c r="N1109" s="28"/>
      <c r="O1109" s="4"/>
      <c r="P1109" s="4"/>
      <c r="Q1109" s="4"/>
      <c r="R1109" s="4"/>
      <c r="S1109" s="4"/>
      <c r="T1109" s="4"/>
      <c r="U1109" s="4"/>
      <c r="V1109" s="4"/>
      <c r="W1109" s="4"/>
      <c r="X1109" s="4"/>
      <c r="Y1109" s="4"/>
      <c r="Z1109" s="4"/>
      <c r="AA1109" s="4"/>
      <c r="AB1109" s="4"/>
      <c r="AC1109" s="4"/>
      <c r="AD1109" s="4"/>
      <c r="AE1109" s="4"/>
      <c r="AF1109" s="81"/>
      <c r="AG1109" s="81"/>
      <c r="AH1109" s="81"/>
      <c r="AI1109" s="4"/>
      <c r="AJ1109" s="81"/>
      <c r="AK1109" s="81"/>
      <c r="AL1109" s="81"/>
    </row>
    <row r="1110" spans="1:38" s="7" customFormat="1">
      <c r="A1110" s="4"/>
      <c r="B1110" s="4"/>
      <c r="C1110" s="4"/>
      <c r="D1110" s="4"/>
      <c r="E1110" s="4"/>
      <c r="F1110" s="28"/>
      <c r="G1110" s="28"/>
      <c r="H1110" s="83"/>
      <c r="I1110" s="4"/>
      <c r="J1110" s="4"/>
      <c r="K1110" s="4"/>
      <c r="L1110" s="4"/>
      <c r="M1110" s="4"/>
      <c r="N1110" s="28"/>
      <c r="O1110" s="4"/>
      <c r="P1110" s="4"/>
      <c r="Q1110" s="4"/>
      <c r="R1110" s="4"/>
      <c r="S1110" s="4"/>
      <c r="T1110" s="4"/>
      <c r="U1110" s="4"/>
      <c r="V1110" s="4"/>
      <c r="W1110" s="4"/>
      <c r="X1110" s="4"/>
      <c r="Y1110" s="4"/>
      <c r="Z1110" s="4"/>
      <c r="AA1110" s="4"/>
      <c r="AB1110" s="4"/>
      <c r="AC1110" s="4"/>
      <c r="AD1110" s="4"/>
      <c r="AE1110" s="4"/>
      <c r="AF1110" s="81"/>
      <c r="AG1110" s="81"/>
      <c r="AH1110" s="81"/>
      <c r="AI1110" s="4"/>
      <c r="AJ1110" s="81"/>
      <c r="AK1110" s="81"/>
      <c r="AL1110" s="81"/>
    </row>
    <row r="1111" spans="1:38" s="7" customFormat="1">
      <c r="A1111" s="4"/>
      <c r="B1111" s="4"/>
      <c r="C1111" s="4"/>
      <c r="D1111" s="4"/>
      <c r="E1111" s="4"/>
      <c r="F1111" s="28"/>
      <c r="G1111" s="28"/>
      <c r="H1111" s="83"/>
      <c r="I1111" s="4"/>
      <c r="J1111" s="4"/>
      <c r="K1111" s="4"/>
      <c r="L1111" s="4"/>
      <c r="M1111" s="4"/>
      <c r="N1111" s="28"/>
      <c r="O1111" s="4"/>
      <c r="P1111" s="4"/>
      <c r="Q1111" s="4"/>
      <c r="R1111" s="4"/>
      <c r="S1111" s="4"/>
      <c r="T1111" s="4"/>
      <c r="U1111" s="4"/>
      <c r="V1111" s="4"/>
      <c r="W1111" s="4"/>
      <c r="X1111" s="4"/>
      <c r="Y1111" s="4"/>
      <c r="Z1111" s="4"/>
      <c r="AA1111" s="4"/>
      <c r="AB1111" s="4"/>
      <c r="AC1111" s="4"/>
      <c r="AD1111" s="4"/>
      <c r="AE1111" s="4"/>
      <c r="AF1111" s="81"/>
      <c r="AG1111" s="81"/>
      <c r="AH1111" s="81"/>
      <c r="AI1111" s="4"/>
      <c r="AJ1111" s="81"/>
      <c r="AK1111" s="81"/>
      <c r="AL1111" s="81"/>
    </row>
    <row r="1112" spans="1:38" s="7" customFormat="1">
      <c r="A1112" s="4"/>
      <c r="B1112" s="4"/>
      <c r="C1112" s="4"/>
      <c r="D1112" s="4"/>
      <c r="E1112" s="4"/>
      <c r="F1112" s="28"/>
      <c r="G1112" s="28"/>
      <c r="H1112" s="83"/>
      <c r="I1112" s="4"/>
      <c r="J1112" s="4"/>
      <c r="K1112" s="4"/>
      <c r="L1112" s="4"/>
      <c r="M1112" s="4"/>
      <c r="N1112" s="28"/>
      <c r="O1112" s="4"/>
      <c r="P1112" s="4"/>
      <c r="Q1112" s="4"/>
      <c r="R1112" s="4"/>
      <c r="S1112" s="4"/>
      <c r="T1112" s="4"/>
      <c r="U1112" s="4"/>
      <c r="V1112" s="4"/>
      <c r="W1112" s="4"/>
      <c r="X1112" s="4"/>
      <c r="Y1112" s="4"/>
      <c r="Z1112" s="4"/>
      <c r="AA1112" s="4"/>
      <c r="AB1112" s="4"/>
      <c r="AC1112" s="4"/>
      <c r="AD1112" s="4"/>
      <c r="AE1112" s="4"/>
      <c r="AF1112" s="81"/>
      <c r="AG1112" s="81"/>
      <c r="AH1112" s="81"/>
      <c r="AI1112" s="4"/>
      <c r="AJ1112" s="81"/>
      <c r="AK1112" s="81"/>
      <c r="AL1112" s="81"/>
    </row>
    <row r="1113" spans="1:38" s="7" customFormat="1">
      <c r="A1113" s="4"/>
      <c r="B1113" s="4"/>
      <c r="C1113" s="4"/>
      <c r="D1113" s="4"/>
      <c r="E1113" s="4"/>
      <c r="F1113" s="28"/>
      <c r="G1113" s="28"/>
      <c r="H1113" s="83"/>
      <c r="I1113" s="4"/>
      <c r="J1113" s="4"/>
      <c r="K1113" s="4"/>
      <c r="L1113" s="4"/>
      <c r="M1113" s="4"/>
      <c r="N1113" s="28"/>
      <c r="O1113" s="4"/>
      <c r="P1113" s="4"/>
      <c r="Q1113" s="4"/>
      <c r="R1113" s="4"/>
      <c r="S1113" s="4"/>
      <c r="T1113" s="4"/>
      <c r="U1113" s="4"/>
      <c r="V1113" s="4"/>
      <c r="W1113" s="4"/>
      <c r="X1113" s="4"/>
      <c r="Y1113" s="4"/>
      <c r="Z1113" s="4"/>
      <c r="AA1113" s="4"/>
      <c r="AB1113" s="4"/>
      <c r="AC1113" s="4"/>
      <c r="AD1113" s="4"/>
      <c r="AE1113" s="4"/>
      <c r="AF1113" s="81"/>
      <c r="AG1113" s="81"/>
      <c r="AH1113" s="81"/>
      <c r="AI1113" s="4"/>
      <c r="AJ1113" s="81"/>
      <c r="AK1113" s="81"/>
      <c r="AL1113" s="81"/>
    </row>
    <row r="1114" spans="1:38" s="7" customFormat="1">
      <c r="A1114" s="4"/>
      <c r="B1114" s="4"/>
      <c r="C1114" s="4"/>
      <c r="D1114" s="4"/>
      <c r="E1114" s="4"/>
      <c r="F1114" s="28"/>
      <c r="G1114" s="28"/>
      <c r="H1114" s="83"/>
      <c r="I1114" s="4"/>
      <c r="J1114" s="4"/>
      <c r="K1114" s="4"/>
      <c r="L1114" s="4"/>
      <c r="M1114" s="4"/>
      <c r="N1114" s="28"/>
      <c r="O1114" s="4"/>
      <c r="P1114" s="4"/>
      <c r="Q1114" s="4"/>
      <c r="R1114" s="4"/>
      <c r="S1114" s="4"/>
      <c r="T1114" s="4"/>
      <c r="U1114" s="4"/>
      <c r="V1114" s="4"/>
      <c r="W1114" s="4"/>
      <c r="X1114" s="4"/>
      <c r="Y1114" s="4"/>
      <c r="Z1114" s="4"/>
      <c r="AA1114" s="4"/>
      <c r="AB1114" s="4"/>
      <c r="AC1114" s="4"/>
      <c r="AD1114" s="4"/>
      <c r="AE1114" s="4"/>
      <c r="AF1114" s="81"/>
      <c r="AG1114" s="81"/>
      <c r="AH1114" s="81"/>
      <c r="AI1114" s="4"/>
      <c r="AJ1114" s="81"/>
      <c r="AK1114" s="81"/>
      <c r="AL1114" s="81"/>
    </row>
    <row r="1115" spans="1:38" s="7" customFormat="1">
      <c r="A1115" s="4"/>
      <c r="B1115" s="4"/>
      <c r="C1115" s="4"/>
      <c r="D1115" s="4"/>
      <c r="E1115" s="4"/>
      <c r="F1115" s="28"/>
      <c r="G1115" s="28"/>
      <c r="H1115" s="83"/>
      <c r="I1115" s="4"/>
      <c r="J1115" s="4"/>
      <c r="K1115" s="4"/>
      <c r="L1115" s="4"/>
      <c r="M1115" s="4"/>
      <c r="N1115" s="28"/>
      <c r="O1115" s="4"/>
      <c r="P1115" s="4"/>
      <c r="Q1115" s="4"/>
      <c r="R1115" s="4"/>
      <c r="S1115" s="4"/>
      <c r="T1115" s="4"/>
      <c r="U1115" s="4"/>
      <c r="V1115" s="4"/>
      <c r="W1115" s="4"/>
      <c r="X1115" s="4"/>
      <c r="Y1115" s="4"/>
      <c r="Z1115" s="4"/>
      <c r="AA1115" s="4"/>
      <c r="AB1115" s="4"/>
      <c r="AC1115" s="4"/>
      <c r="AD1115" s="4"/>
      <c r="AE1115" s="4"/>
      <c r="AF1115" s="81"/>
      <c r="AG1115" s="81"/>
      <c r="AH1115" s="81"/>
      <c r="AI1115" s="4"/>
      <c r="AJ1115" s="81"/>
      <c r="AK1115" s="81"/>
      <c r="AL1115" s="81"/>
    </row>
    <row r="1116" spans="1:38" s="7" customFormat="1">
      <c r="A1116" s="4"/>
      <c r="B1116" s="4"/>
      <c r="C1116" s="4"/>
      <c r="D1116" s="4"/>
      <c r="E1116" s="4"/>
      <c r="F1116" s="28"/>
      <c r="G1116" s="28"/>
      <c r="H1116" s="83"/>
      <c r="I1116" s="4"/>
      <c r="J1116" s="4"/>
      <c r="K1116" s="4"/>
      <c r="L1116" s="4"/>
      <c r="M1116" s="4"/>
      <c r="N1116" s="28"/>
      <c r="O1116" s="4"/>
      <c r="P1116" s="4"/>
      <c r="Q1116" s="4"/>
      <c r="R1116" s="4"/>
      <c r="S1116" s="4"/>
      <c r="T1116" s="4"/>
      <c r="U1116" s="4"/>
      <c r="V1116" s="4"/>
      <c r="W1116" s="4"/>
      <c r="X1116" s="4"/>
      <c r="Y1116" s="4"/>
      <c r="Z1116" s="4"/>
      <c r="AA1116" s="4"/>
      <c r="AB1116" s="4"/>
      <c r="AC1116" s="4"/>
      <c r="AD1116" s="4"/>
      <c r="AE1116" s="4"/>
      <c r="AF1116" s="81"/>
      <c r="AG1116" s="81"/>
      <c r="AH1116" s="81"/>
      <c r="AI1116" s="4"/>
      <c r="AJ1116" s="81"/>
      <c r="AK1116" s="81"/>
      <c r="AL1116" s="81"/>
    </row>
    <row r="1117" spans="1:38" s="7" customFormat="1">
      <c r="A1117" s="4"/>
      <c r="B1117" s="4"/>
      <c r="C1117" s="4"/>
      <c r="D1117" s="4"/>
      <c r="E1117" s="4"/>
      <c r="F1117" s="28"/>
      <c r="G1117" s="28"/>
      <c r="H1117" s="83"/>
      <c r="I1117" s="4"/>
      <c r="J1117" s="4"/>
      <c r="K1117" s="4"/>
      <c r="L1117" s="4"/>
      <c r="M1117" s="4"/>
      <c r="N1117" s="28"/>
      <c r="O1117" s="4"/>
      <c r="P1117" s="4"/>
      <c r="Q1117" s="4"/>
      <c r="R1117" s="4"/>
      <c r="S1117" s="4"/>
      <c r="T1117" s="4"/>
      <c r="U1117" s="4"/>
      <c r="V1117" s="4"/>
      <c r="W1117" s="4"/>
      <c r="X1117" s="4"/>
      <c r="Y1117" s="4"/>
      <c r="Z1117" s="4"/>
      <c r="AA1117" s="4"/>
      <c r="AB1117" s="4"/>
      <c r="AC1117" s="4"/>
      <c r="AD1117" s="4"/>
      <c r="AE1117" s="4"/>
      <c r="AF1117" s="81"/>
      <c r="AG1117" s="81"/>
      <c r="AH1117" s="81"/>
      <c r="AI1117" s="4"/>
      <c r="AJ1117" s="81"/>
      <c r="AK1117" s="81"/>
      <c r="AL1117" s="81"/>
    </row>
    <row r="1118" spans="1:38" s="7" customFormat="1">
      <c r="A1118" s="4"/>
      <c r="B1118" s="4"/>
      <c r="C1118" s="4"/>
      <c r="D1118" s="4"/>
      <c r="E1118" s="4"/>
      <c r="F1118" s="28"/>
      <c r="G1118" s="28"/>
      <c r="H1118" s="83"/>
      <c r="I1118" s="4"/>
      <c r="J1118" s="4"/>
      <c r="K1118" s="4"/>
      <c r="L1118" s="4"/>
      <c r="M1118" s="4"/>
      <c r="N1118" s="28"/>
      <c r="O1118" s="4"/>
      <c r="P1118" s="4"/>
      <c r="Q1118" s="4"/>
      <c r="R1118" s="4"/>
      <c r="S1118" s="4"/>
      <c r="T1118" s="4"/>
      <c r="U1118" s="4"/>
      <c r="V1118" s="4"/>
      <c r="W1118" s="4"/>
      <c r="X1118" s="4"/>
      <c r="Y1118" s="4"/>
      <c r="Z1118" s="4"/>
      <c r="AA1118" s="4"/>
      <c r="AB1118" s="4"/>
      <c r="AC1118" s="4"/>
      <c r="AD1118" s="4"/>
      <c r="AE1118" s="4"/>
      <c r="AF1118" s="81"/>
      <c r="AG1118" s="81"/>
      <c r="AH1118" s="81"/>
      <c r="AI1118" s="4"/>
      <c r="AJ1118" s="81"/>
      <c r="AK1118" s="81"/>
      <c r="AL1118" s="81"/>
    </row>
    <row r="1119" spans="1:38" s="7" customFormat="1">
      <c r="A1119" s="4"/>
      <c r="B1119" s="4"/>
      <c r="C1119" s="4"/>
      <c r="D1119" s="4"/>
      <c r="E1119" s="4"/>
      <c r="F1119" s="28"/>
      <c r="G1119" s="28"/>
      <c r="H1119" s="83"/>
      <c r="I1119" s="4"/>
      <c r="J1119" s="4"/>
      <c r="K1119" s="4"/>
      <c r="L1119" s="4"/>
      <c r="M1119" s="4"/>
      <c r="N1119" s="28"/>
      <c r="O1119" s="4"/>
      <c r="P1119" s="4"/>
      <c r="Q1119" s="4"/>
      <c r="R1119" s="4"/>
      <c r="S1119" s="4"/>
      <c r="T1119" s="4"/>
      <c r="U1119" s="4"/>
      <c r="V1119" s="4"/>
      <c r="W1119" s="4"/>
      <c r="X1119" s="4"/>
      <c r="Y1119" s="4"/>
      <c r="Z1119" s="4"/>
      <c r="AA1119" s="4"/>
      <c r="AB1119" s="4"/>
      <c r="AC1119" s="4"/>
      <c r="AD1119" s="4"/>
      <c r="AE1119" s="4"/>
      <c r="AF1119" s="81"/>
      <c r="AG1119" s="81"/>
      <c r="AH1119" s="81"/>
      <c r="AI1119" s="4"/>
      <c r="AJ1119" s="81"/>
      <c r="AK1119" s="81"/>
      <c r="AL1119" s="81"/>
    </row>
    <row r="1120" spans="1:38" s="7" customFormat="1">
      <c r="A1120" s="4"/>
      <c r="B1120" s="4"/>
      <c r="C1120" s="4"/>
      <c r="D1120" s="4"/>
      <c r="E1120" s="4"/>
      <c r="F1120" s="28"/>
      <c r="G1120" s="28"/>
      <c r="H1120" s="83"/>
      <c r="I1120" s="4"/>
      <c r="J1120" s="4"/>
      <c r="K1120" s="4"/>
      <c r="L1120" s="4"/>
      <c r="M1120" s="4"/>
      <c r="N1120" s="28"/>
      <c r="O1120" s="4"/>
      <c r="P1120" s="4"/>
      <c r="Q1120" s="4"/>
      <c r="R1120" s="4"/>
      <c r="S1120" s="4"/>
      <c r="T1120" s="4"/>
      <c r="U1120" s="4"/>
      <c r="V1120" s="4"/>
      <c r="W1120" s="4"/>
      <c r="X1120" s="4"/>
      <c r="Y1120" s="4"/>
      <c r="Z1120" s="4"/>
      <c r="AA1120" s="4"/>
      <c r="AB1120" s="4"/>
      <c r="AC1120" s="4"/>
      <c r="AD1120" s="4"/>
      <c r="AE1120" s="4"/>
      <c r="AF1120" s="81"/>
      <c r="AG1120" s="81"/>
      <c r="AH1120" s="81"/>
      <c r="AI1120" s="4"/>
      <c r="AJ1120" s="81"/>
      <c r="AK1120" s="81"/>
      <c r="AL1120" s="81"/>
    </row>
    <row r="1121" spans="1:38" s="7" customFormat="1">
      <c r="A1121" s="4"/>
      <c r="B1121" s="4"/>
      <c r="C1121" s="4"/>
      <c r="D1121" s="4"/>
      <c r="E1121" s="4"/>
      <c r="F1121" s="28"/>
      <c r="G1121" s="28"/>
      <c r="H1121" s="83"/>
      <c r="I1121" s="4"/>
      <c r="J1121" s="4"/>
      <c r="K1121" s="4"/>
      <c r="L1121" s="4"/>
      <c r="M1121" s="4"/>
      <c r="N1121" s="28"/>
      <c r="O1121" s="4"/>
      <c r="P1121" s="4"/>
      <c r="Q1121" s="4"/>
      <c r="R1121" s="4"/>
      <c r="S1121" s="4"/>
      <c r="T1121" s="4"/>
      <c r="U1121" s="4"/>
      <c r="V1121" s="4"/>
      <c r="W1121" s="4"/>
      <c r="X1121" s="4"/>
      <c r="Y1121" s="4"/>
      <c r="Z1121" s="4"/>
      <c r="AA1121" s="4"/>
      <c r="AB1121" s="4"/>
      <c r="AC1121" s="4"/>
      <c r="AD1121" s="4"/>
      <c r="AE1121" s="4"/>
      <c r="AF1121" s="81"/>
      <c r="AG1121" s="81"/>
      <c r="AH1121" s="81"/>
      <c r="AI1121" s="4"/>
      <c r="AJ1121" s="81"/>
      <c r="AK1121" s="81"/>
      <c r="AL1121" s="81"/>
    </row>
    <row r="1122" spans="1:38" s="7" customFormat="1">
      <c r="A1122" s="4"/>
      <c r="B1122" s="4"/>
      <c r="C1122" s="4"/>
      <c r="D1122" s="4"/>
      <c r="E1122" s="4"/>
      <c r="F1122" s="28"/>
      <c r="G1122" s="28"/>
      <c r="H1122" s="83"/>
      <c r="I1122" s="4"/>
      <c r="J1122" s="4"/>
      <c r="K1122" s="4"/>
      <c r="L1122" s="4"/>
      <c r="M1122" s="4"/>
      <c r="N1122" s="28"/>
      <c r="O1122" s="4"/>
      <c r="P1122" s="4"/>
      <c r="Q1122" s="4"/>
      <c r="R1122" s="4"/>
      <c r="S1122" s="4"/>
      <c r="T1122" s="4"/>
      <c r="U1122" s="4"/>
      <c r="V1122" s="4"/>
      <c r="W1122" s="4"/>
      <c r="X1122" s="4"/>
      <c r="Y1122" s="4"/>
      <c r="Z1122" s="4"/>
      <c r="AA1122" s="4"/>
      <c r="AB1122" s="4"/>
      <c r="AC1122" s="4"/>
      <c r="AD1122" s="4"/>
      <c r="AE1122" s="4"/>
      <c r="AF1122" s="81"/>
      <c r="AG1122" s="81"/>
      <c r="AH1122" s="81"/>
      <c r="AI1122" s="4"/>
      <c r="AJ1122" s="81"/>
      <c r="AK1122" s="81"/>
      <c r="AL1122" s="81"/>
    </row>
    <row r="1123" spans="1:38" s="7" customFormat="1">
      <c r="A1123" s="4"/>
      <c r="B1123" s="4"/>
      <c r="C1123" s="4"/>
      <c r="D1123" s="4"/>
      <c r="E1123" s="4"/>
      <c r="F1123" s="28"/>
      <c r="G1123" s="28"/>
      <c r="H1123" s="83"/>
      <c r="I1123" s="4"/>
      <c r="J1123" s="4"/>
      <c r="K1123" s="4"/>
      <c r="L1123" s="4"/>
      <c r="M1123" s="4"/>
      <c r="N1123" s="28"/>
      <c r="O1123" s="4"/>
      <c r="P1123" s="4"/>
      <c r="Q1123" s="4"/>
      <c r="R1123" s="4"/>
      <c r="S1123" s="4"/>
      <c r="T1123" s="4"/>
      <c r="U1123" s="4"/>
      <c r="V1123" s="4"/>
      <c r="W1123" s="4"/>
      <c r="X1123" s="4"/>
      <c r="Y1123" s="4"/>
      <c r="Z1123" s="4"/>
      <c r="AA1123" s="4"/>
      <c r="AB1123" s="4"/>
      <c r="AC1123" s="4"/>
      <c r="AD1123" s="4"/>
      <c r="AE1123" s="4"/>
      <c r="AF1123" s="81"/>
      <c r="AG1123" s="81"/>
      <c r="AH1123" s="81"/>
      <c r="AI1123" s="4"/>
      <c r="AJ1123" s="81"/>
      <c r="AK1123" s="81"/>
      <c r="AL1123" s="81"/>
    </row>
    <row r="1124" spans="1:38" s="7" customFormat="1">
      <c r="A1124" s="4"/>
      <c r="B1124" s="4"/>
      <c r="C1124" s="4"/>
      <c r="D1124" s="4"/>
      <c r="E1124" s="4"/>
      <c r="F1124" s="28"/>
      <c r="G1124" s="28"/>
      <c r="H1124" s="83"/>
      <c r="I1124" s="4"/>
      <c r="J1124" s="4"/>
      <c r="K1124" s="4"/>
      <c r="L1124" s="4"/>
      <c r="M1124" s="4"/>
      <c r="N1124" s="28"/>
      <c r="O1124" s="4"/>
      <c r="P1124" s="4"/>
      <c r="Q1124" s="4"/>
      <c r="R1124" s="4"/>
      <c r="S1124" s="4"/>
      <c r="T1124" s="4"/>
      <c r="U1124" s="4"/>
      <c r="V1124" s="4"/>
      <c r="W1124" s="4"/>
      <c r="X1124" s="4"/>
      <c r="Y1124" s="4"/>
      <c r="Z1124" s="4"/>
      <c r="AA1124" s="4"/>
      <c r="AB1124" s="4"/>
      <c r="AC1124" s="4"/>
      <c r="AD1124" s="4"/>
      <c r="AE1124" s="4"/>
      <c r="AF1124" s="81"/>
      <c r="AG1124" s="81"/>
      <c r="AH1124" s="81"/>
      <c r="AI1124" s="4"/>
      <c r="AJ1124" s="81"/>
      <c r="AK1124" s="81"/>
      <c r="AL1124" s="81"/>
    </row>
    <row r="1125" spans="1:38" s="7" customFormat="1">
      <c r="A1125" s="4"/>
      <c r="B1125" s="4"/>
      <c r="C1125" s="4"/>
      <c r="D1125" s="4"/>
      <c r="E1125" s="4"/>
      <c r="F1125" s="28"/>
      <c r="G1125" s="28"/>
      <c r="H1125" s="83"/>
      <c r="I1125" s="4"/>
      <c r="J1125" s="4"/>
      <c r="K1125" s="4"/>
      <c r="L1125" s="4"/>
      <c r="M1125" s="4"/>
      <c r="N1125" s="28"/>
      <c r="O1125" s="4"/>
      <c r="P1125" s="4"/>
      <c r="Q1125" s="4"/>
      <c r="R1125" s="4"/>
      <c r="S1125" s="4"/>
      <c r="T1125" s="4"/>
      <c r="U1125" s="4"/>
      <c r="V1125" s="4"/>
      <c r="W1125" s="4"/>
      <c r="X1125" s="4"/>
      <c r="Y1125" s="4"/>
      <c r="Z1125" s="4"/>
      <c r="AA1125" s="4"/>
      <c r="AB1125" s="4"/>
      <c r="AC1125" s="4"/>
      <c r="AD1125" s="4"/>
      <c r="AE1125" s="4"/>
      <c r="AF1125" s="81"/>
      <c r="AG1125" s="81"/>
      <c r="AH1125" s="81"/>
      <c r="AI1125" s="4"/>
      <c r="AJ1125" s="81"/>
      <c r="AK1125" s="81"/>
      <c r="AL1125" s="81"/>
    </row>
    <row r="1126" spans="1:38" s="7" customFormat="1">
      <c r="A1126" s="4"/>
      <c r="B1126" s="4"/>
      <c r="C1126" s="4"/>
      <c r="D1126" s="4"/>
      <c r="E1126" s="4"/>
      <c r="F1126" s="28"/>
      <c r="G1126" s="28"/>
      <c r="H1126" s="83"/>
      <c r="I1126" s="4"/>
      <c r="J1126" s="4"/>
      <c r="K1126" s="4"/>
      <c r="L1126" s="4"/>
      <c r="M1126" s="4"/>
      <c r="N1126" s="28"/>
      <c r="O1126" s="4"/>
      <c r="P1126" s="4"/>
      <c r="Q1126" s="4"/>
      <c r="R1126" s="4"/>
      <c r="S1126" s="4"/>
      <c r="T1126" s="4"/>
      <c r="U1126" s="4"/>
      <c r="V1126" s="4"/>
      <c r="W1126" s="4"/>
      <c r="X1126" s="4"/>
      <c r="Y1126" s="4"/>
      <c r="Z1126" s="4"/>
      <c r="AA1126" s="4"/>
      <c r="AB1126" s="4"/>
      <c r="AC1126" s="4"/>
      <c r="AD1126" s="4"/>
      <c r="AE1126" s="4"/>
      <c r="AF1126" s="81"/>
      <c r="AG1126" s="81"/>
      <c r="AH1126" s="81"/>
      <c r="AI1126" s="4"/>
      <c r="AJ1126" s="81"/>
      <c r="AK1126" s="81"/>
      <c r="AL1126" s="81"/>
    </row>
    <row r="1127" spans="1:38" s="7" customFormat="1">
      <c r="A1127" s="4"/>
      <c r="B1127" s="4"/>
      <c r="C1127" s="4"/>
      <c r="D1127" s="4"/>
      <c r="E1127" s="4"/>
      <c r="F1127" s="28"/>
      <c r="G1127" s="28"/>
      <c r="H1127" s="83"/>
      <c r="I1127" s="4"/>
      <c r="J1127" s="4"/>
      <c r="K1127" s="4"/>
      <c r="L1127" s="4"/>
      <c r="M1127" s="4"/>
      <c r="N1127" s="28"/>
      <c r="O1127" s="4"/>
      <c r="P1127" s="4"/>
      <c r="Q1127" s="4"/>
      <c r="R1127" s="4"/>
      <c r="S1127" s="4"/>
      <c r="T1127" s="4"/>
      <c r="U1127" s="4"/>
      <c r="V1127" s="4"/>
      <c r="W1127" s="4"/>
      <c r="X1127" s="4"/>
      <c r="Y1127" s="4"/>
      <c r="Z1127" s="4"/>
      <c r="AA1127" s="4"/>
      <c r="AB1127" s="4"/>
      <c r="AC1127" s="4"/>
      <c r="AD1127" s="4"/>
      <c r="AE1127" s="4"/>
      <c r="AF1127" s="81"/>
      <c r="AG1127" s="81"/>
      <c r="AH1127" s="81"/>
      <c r="AI1127" s="4"/>
      <c r="AJ1127" s="81"/>
      <c r="AK1127" s="81"/>
      <c r="AL1127" s="81"/>
    </row>
    <row r="1128" spans="1:38" s="7" customFormat="1">
      <c r="A1128" s="4"/>
      <c r="B1128" s="4"/>
      <c r="C1128" s="4"/>
      <c r="D1128" s="4"/>
      <c r="E1128" s="4"/>
      <c r="F1128" s="28"/>
      <c r="G1128" s="28"/>
      <c r="H1128" s="83"/>
      <c r="I1128" s="4"/>
      <c r="J1128" s="4"/>
      <c r="K1128" s="4"/>
      <c r="L1128" s="4"/>
      <c r="M1128" s="4"/>
      <c r="N1128" s="28"/>
      <c r="O1128" s="4"/>
      <c r="P1128" s="4"/>
      <c r="Q1128" s="4"/>
      <c r="R1128" s="4"/>
      <c r="S1128" s="4"/>
      <c r="T1128" s="4"/>
      <c r="U1128" s="4"/>
      <c r="V1128" s="4"/>
      <c r="W1128" s="4"/>
      <c r="X1128" s="4"/>
      <c r="Y1128" s="4"/>
      <c r="Z1128" s="4"/>
      <c r="AA1128" s="4"/>
      <c r="AB1128" s="4"/>
      <c r="AC1128" s="4"/>
      <c r="AD1128" s="4"/>
      <c r="AE1128" s="4"/>
      <c r="AF1128" s="81"/>
      <c r="AG1128" s="81"/>
      <c r="AH1128" s="81"/>
      <c r="AI1128" s="4"/>
      <c r="AJ1128" s="81"/>
      <c r="AK1128" s="81"/>
      <c r="AL1128" s="81"/>
    </row>
    <row r="1129" spans="1:38" s="7" customFormat="1">
      <c r="A1129" s="4"/>
      <c r="B1129" s="4"/>
      <c r="C1129" s="4"/>
      <c r="D1129" s="4"/>
      <c r="E1129" s="4"/>
      <c r="F1129" s="28"/>
      <c r="G1129" s="28"/>
      <c r="H1129" s="83"/>
      <c r="I1129" s="4"/>
      <c r="J1129" s="4"/>
      <c r="K1129" s="4"/>
      <c r="L1129" s="4"/>
      <c r="M1129" s="4"/>
      <c r="N1129" s="28"/>
      <c r="O1129" s="4"/>
      <c r="P1129" s="4"/>
      <c r="Q1129" s="4"/>
      <c r="R1129" s="4"/>
      <c r="S1129" s="4"/>
      <c r="T1129" s="4"/>
      <c r="U1129" s="4"/>
      <c r="V1129" s="4"/>
      <c r="W1129" s="4"/>
      <c r="X1129" s="4"/>
      <c r="Y1129" s="4"/>
      <c r="Z1129" s="4"/>
      <c r="AA1129" s="4"/>
      <c r="AB1129" s="4"/>
      <c r="AC1129" s="4"/>
      <c r="AD1129" s="4"/>
      <c r="AE1129" s="4"/>
      <c r="AF1129" s="81"/>
      <c r="AG1129" s="81"/>
      <c r="AH1129" s="81"/>
      <c r="AI1129" s="4"/>
      <c r="AJ1129" s="81"/>
      <c r="AK1129" s="81"/>
      <c r="AL1129" s="81"/>
    </row>
    <row r="1130" spans="1:38" s="7" customFormat="1">
      <c r="A1130" s="4"/>
      <c r="B1130" s="4"/>
      <c r="C1130" s="4"/>
      <c r="D1130" s="4"/>
      <c r="E1130" s="4"/>
      <c r="F1130" s="28"/>
      <c r="G1130" s="28"/>
      <c r="H1130" s="83"/>
      <c r="I1130" s="4"/>
      <c r="J1130" s="4"/>
      <c r="K1130" s="4"/>
      <c r="L1130" s="4"/>
      <c r="M1130" s="4"/>
      <c r="N1130" s="28"/>
      <c r="O1130" s="4"/>
      <c r="P1130" s="4"/>
      <c r="Q1130" s="4"/>
      <c r="R1130" s="4"/>
      <c r="S1130" s="4"/>
      <c r="T1130" s="4"/>
      <c r="U1130" s="4"/>
      <c r="V1130" s="4"/>
      <c r="W1130" s="4"/>
      <c r="X1130" s="4"/>
      <c r="Y1130" s="4"/>
      <c r="Z1130" s="4"/>
      <c r="AA1130" s="4"/>
      <c r="AB1130" s="4"/>
      <c r="AC1130" s="4"/>
      <c r="AD1130" s="4"/>
      <c r="AE1130" s="4"/>
      <c r="AF1130" s="81"/>
      <c r="AG1130" s="81"/>
      <c r="AH1130" s="81"/>
      <c r="AI1130" s="4"/>
      <c r="AJ1130" s="81"/>
      <c r="AK1130" s="81"/>
      <c r="AL1130" s="81"/>
    </row>
    <row r="1131" spans="1:38" s="7" customFormat="1">
      <c r="A1131" s="4"/>
      <c r="B1131" s="4"/>
      <c r="C1131" s="4"/>
      <c r="D1131" s="4"/>
      <c r="E1131" s="4"/>
      <c r="F1131" s="28"/>
      <c r="G1131" s="28"/>
      <c r="H1131" s="83"/>
      <c r="I1131" s="4"/>
      <c r="J1131" s="4"/>
      <c r="K1131" s="4"/>
      <c r="L1131" s="4"/>
      <c r="M1131" s="4"/>
      <c r="N1131" s="28"/>
      <c r="O1131" s="4"/>
      <c r="P1131" s="4"/>
      <c r="Q1131" s="4"/>
      <c r="R1131" s="4"/>
      <c r="S1131" s="4"/>
      <c r="T1131" s="4"/>
      <c r="U1131" s="4"/>
      <c r="V1131" s="4"/>
      <c r="W1131" s="4"/>
      <c r="X1131" s="4"/>
      <c r="Y1131" s="4"/>
      <c r="Z1131" s="4"/>
      <c r="AA1131" s="4"/>
      <c r="AB1131" s="4"/>
      <c r="AC1131" s="4"/>
      <c r="AD1131" s="4"/>
      <c r="AE1131" s="4"/>
      <c r="AF1131" s="81"/>
      <c r="AG1131" s="81"/>
      <c r="AH1131" s="81"/>
      <c r="AI1131" s="4"/>
      <c r="AJ1131" s="81"/>
      <c r="AK1131" s="81"/>
      <c r="AL1131" s="81"/>
    </row>
    <row r="1132" spans="1:38" s="7" customFormat="1">
      <c r="A1132" s="4"/>
      <c r="B1132" s="4"/>
      <c r="C1132" s="4"/>
      <c r="D1132" s="4"/>
      <c r="E1132" s="4"/>
      <c r="F1132" s="28"/>
      <c r="G1132" s="28"/>
      <c r="H1132" s="83"/>
      <c r="I1132" s="4"/>
      <c r="J1132" s="4"/>
      <c r="K1132" s="4"/>
      <c r="L1132" s="4"/>
      <c r="M1132" s="4"/>
      <c r="N1132" s="28"/>
      <c r="O1132" s="4"/>
      <c r="P1132" s="4"/>
      <c r="Q1132" s="4"/>
      <c r="R1132" s="4"/>
      <c r="S1132" s="4"/>
      <c r="T1132" s="4"/>
      <c r="U1132" s="4"/>
      <c r="V1132" s="4"/>
      <c r="W1132" s="4"/>
      <c r="X1132" s="4"/>
      <c r="Y1132" s="4"/>
      <c r="Z1132" s="4"/>
      <c r="AA1132" s="4"/>
      <c r="AB1132" s="4"/>
      <c r="AC1132" s="4"/>
      <c r="AD1132" s="4"/>
      <c r="AE1132" s="4"/>
      <c r="AF1132" s="81"/>
      <c r="AG1132" s="81"/>
      <c r="AH1132" s="81"/>
      <c r="AI1132" s="4"/>
      <c r="AJ1132" s="81"/>
      <c r="AK1132" s="81"/>
      <c r="AL1132" s="81"/>
    </row>
    <row r="1133" spans="1:38" s="7" customFormat="1">
      <c r="A1133" s="4"/>
      <c r="B1133" s="4"/>
      <c r="C1133" s="4"/>
      <c r="D1133" s="4"/>
      <c r="E1133" s="4"/>
      <c r="F1133" s="28"/>
      <c r="G1133" s="28"/>
      <c r="H1133" s="83"/>
      <c r="I1133" s="4"/>
      <c r="J1133" s="4"/>
      <c r="K1133" s="4"/>
      <c r="L1133" s="4"/>
      <c r="M1133" s="4"/>
      <c r="N1133" s="28"/>
      <c r="O1133" s="4"/>
      <c r="P1133" s="4"/>
      <c r="Q1133" s="4"/>
      <c r="R1133" s="4"/>
      <c r="S1133" s="4"/>
      <c r="T1133" s="4"/>
      <c r="U1133" s="4"/>
      <c r="V1133" s="4"/>
      <c r="W1133" s="4"/>
      <c r="X1133" s="4"/>
      <c r="Y1133" s="4"/>
      <c r="Z1133" s="4"/>
      <c r="AA1133" s="4"/>
      <c r="AB1133" s="4"/>
      <c r="AC1133" s="4"/>
      <c r="AD1133" s="4"/>
      <c r="AE1133" s="4"/>
      <c r="AF1133" s="81"/>
      <c r="AG1133" s="81"/>
      <c r="AH1133" s="81"/>
      <c r="AI1133" s="4"/>
      <c r="AJ1133" s="81"/>
      <c r="AK1133" s="81"/>
      <c r="AL1133" s="81"/>
    </row>
    <row r="1134" spans="1:38" s="7" customFormat="1">
      <c r="A1134" s="4"/>
      <c r="B1134" s="4"/>
      <c r="C1134" s="4"/>
      <c r="D1134" s="4"/>
      <c r="E1134" s="4"/>
      <c r="F1134" s="28"/>
      <c r="G1134" s="28"/>
      <c r="H1134" s="83"/>
      <c r="I1134" s="4"/>
      <c r="J1134" s="4"/>
      <c r="K1134" s="4"/>
      <c r="L1134" s="4"/>
      <c r="M1134" s="4"/>
      <c r="N1134" s="28"/>
      <c r="O1134" s="4"/>
      <c r="P1134" s="4"/>
      <c r="Q1134" s="4"/>
      <c r="R1134" s="4"/>
      <c r="S1134" s="4"/>
      <c r="T1134" s="4"/>
      <c r="U1134" s="4"/>
      <c r="V1134" s="4"/>
      <c r="W1134" s="4"/>
      <c r="X1134" s="4"/>
      <c r="Y1134" s="4"/>
      <c r="Z1134" s="4"/>
      <c r="AA1134" s="4"/>
      <c r="AB1134" s="4"/>
      <c r="AC1134" s="4"/>
      <c r="AD1134" s="4"/>
      <c r="AE1134" s="4"/>
      <c r="AF1134" s="81"/>
      <c r="AG1134" s="81"/>
      <c r="AH1134" s="81"/>
      <c r="AI1134" s="4"/>
      <c r="AJ1134" s="81"/>
      <c r="AK1134" s="81"/>
      <c r="AL1134" s="81"/>
    </row>
    <row r="1135" spans="1:38" s="7" customFormat="1">
      <c r="A1135" s="4"/>
      <c r="B1135" s="4"/>
      <c r="C1135" s="4"/>
      <c r="D1135" s="4"/>
      <c r="E1135" s="4"/>
      <c r="F1135" s="28"/>
      <c r="G1135" s="28"/>
      <c r="H1135" s="83"/>
      <c r="I1135" s="4"/>
      <c r="J1135" s="4"/>
      <c r="K1135" s="4"/>
      <c r="L1135" s="4"/>
      <c r="M1135" s="4"/>
      <c r="N1135" s="28"/>
      <c r="O1135" s="4"/>
      <c r="P1135" s="4"/>
      <c r="Q1135" s="4"/>
      <c r="R1135" s="4"/>
      <c r="S1135" s="4"/>
      <c r="T1135" s="4"/>
      <c r="U1135" s="4"/>
      <c r="V1135" s="4"/>
      <c r="W1135" s="4"/>
      <c r="X1135" s="4"/>
      <c r="Y1135" s="4"/>
      <c r="Z1135" s="4"/>
      <c r="AA1135" s="4"/>
      <c r="AB1135" s="4"/>
      <c r="AC1135" s="4"/>
      <c r="AD1135" s="4"/>
      <c r="AE1135" s="4"/>
      <c r="AF1135" s="81"/>
      <c r="AG1135" s="81"/>
      <c r="AH1135" s="81"/>
      <c r="AI1135" s="4"/>
      <c r="AJ1135" s="81"/>
      <c r="AK1135" s="81"/>
      <c r="AL1135" s="81"/>
    </row>
    <row r="1136" spans="1:38" s="7" customFormat="1">
      <c r="A1136" s="4"/>
      <c r="B1136" s="4"/>
      <c r="C1136" s="4"/>
      <c r="D1136" s="4"/>
      <c r="E1136" s="4"/>
      <c r="F1136" s="28"/>
      <c r="G1136" s="28"/>
      <c r="H1136" s="83"/>
      <c r="I1136" s="4"/>
      <c r="J1136" s="4"/>
      <c r="K1136" s="4"/>
      <c r="L1136" s="4"/>
      <c r="M1136" s="4"/>
      <c r="N1136" s="28"/>
      <c r="O1136" s="4"/>
      <c r="P1136" s="4"/>
      <c r="Q1136" s="4"/>
      <c r="R1136" s="4"/>
      <c r="S1136" s="4"/>
      <c r="T1136" s="4"/>
      <c r="U1136" s="4"/>
      <c r="V1136" s="4"/>
      <c r="W1136" s="4"/>
      <c r="X1136" s="4"/>
      <c r="Y1136" s="4"/>
      <c r="Z1136" s="4"/>
      <c r="AA1136" s="4"/>
      <c r="AB1136" s="4"/>
      <c r="AC1136" s="4"/>
      <c r="AD1136" s="4"/>
      <c r="AE1136" s="4"/>
      <c r="AF1136" s="81"/>
      <c r="AG1136" s="81"/>
      <c r="AH1136" s="81"/>
      <c r="AI1136" s="4"/>
      <c r="AJ1136" s="81"/>
      <c r="AK1136" s="81"/>
      <c r="AL1136" s="81"/>
    </row>
    <row r="1137" spans="1:38" s="7" customFormat="1">
      <c r="A1137" s="4"/>
      <c r="B1137" s="4"/>
      <c r="C1137" s="4"/>
      <c r="D1137" s="4"/>
      <c r="E1137" s="4"/>
      <c r="F1137" s="28"/>
      <c r="G1137" s="28"/>
      <c r="H1137" s="83"/>
      <c r="I1137" s="4"/>
      <c r="J1137" s="4"/>
      <c r="K1137" s="4"/>
      <c r="L1137" s="4"/>
      <c r="M1137" s="4"/>
      <c r="N1137" s="28"/>
      <c r="O1137" s="4"/>
      <c r="P1137" s="4"/>
      <c r="Q1137" s="4"/>
      <c r="R1137" s="4"/>
      <c r="S1137" s="4"/>
      <c r="T1137" s="4"/>
      <c r="U1137" s="4"/>
      <c r="V1137" s="4"/>
      <c r="W1137" s="4"/>
      <c r="X1137" s="4"/>
      <c r="Y1137" s="4"/>
      <c r="Z1137" s="4"/>
      <c r="AA1137" s="4"/>
      <c r="AB1137" s="4"/>
      <c r="AC1137" s="4"/>
      <c r="AD1137" s="4"/>
      <c r="AE1137" s="4"/>
      <c r="AF1137" s="81"/>
      <c r="AG1137" s="81"/>
      <c r="AH1137" s="81"/>
      <c r="AI1137" s="4"/>
      <c r="AJ1137" s="81"/>
      <c r="AK1137" s="81"/>
      <c r="AL1137" s="81"/>
    </row>
    <row r="1138" spans="1:38" s="7" customFormat="1">
      <c r="A1138" s="4"/>
      <c r="B1138" s="4"/>
      <c r="C1138" s="4"/>
      <c r="D1138" s="4"/>
      <c r="E1138" s="4"/>
      <c r="F1138" s="28"/>
      <c r="G1138" s="28"/>
      <c r="H1138" s="83"/>
      <c r="I1138" s="4"/>
      <c r="J1138" s="4"/>
      <c r="K1138" s="4"/>
      <c r="L1138" s="4"/>
      <c r="M1138" s="4"/>
      <c r="N1138" s="28"/>
      <c r="O1138" s="4"/>
      <c r="P1138" s="4"/>
      <c r="Q1138" s="4"/>
      <c r="R1138" s="4"/>
      <c r="S1138" s="4"/>
      <c r="T1138" s="4"/>
      <c r="U1138" s="4"/>
      <c r="V1138" s="4"/>
      <c r="W1138" s="4"/>
      <c r="X1138" s="4"/>
      <c r="Y1138" s="4"/>
      <c r="Z1138" s="4"/>
      <c r="AA1138" s="4"/>
      <c r="AB1138" s="4"/>
      <c r="AC1138" s="4"/>
      <c r="AD1138" s="4"/>
      <c r="AE1138" s="4"/>
      <c r="AF1138" s="81"/>
      <c r="AG1138" s="81"/>
      <c r="AH1138" s="81"/>
      <c r="AI1138" s="4"/>
      <c r="AJ1138" s="81"/>
      <c r="AK1138" s="81"/>
      <c r="AL1138" s="81"/>
    </row>
    <row r="1139" spans="1:38" s="7" customFormat="1">
      <c r="A1139" s="4"/>
      <c r="B1139" s="4"/>
      <c r="C1139" s="4"/>
      <c r="D1139" s="4"/>
      <c r="E1139" s="4"/>
      <c r="F1139" s="28"/>
      <c r="G1139" s="28"/>
      <c r="H1139" s="83"/>
      <c r="I1139" s="4"/>
      <c r="J1139" s="4"/>
      <c r="K1139" s="4"/>
      <c r="L1139" s="4"/>
      <c r="M1139" s="4"/>
      <c r="N1139" s="28"/>
      <c r="O1139" s="4"/>
      <c r="P1139" s="4"/>
      <c r="Q1139" s="4"/>
      <c r="R1139" s="4"/>
      <c r="S1139" s="4"/>
      <c r="T1139" s="4"/>
      <c r="U1139" s="4"/>
      <c r="V1139" s="4"/>
      <c r="W1139" s="4"/>
      <c r="X1139" s="4"/>
      <c r="Y1139" s="4"/>
      <c r="Z1139" s="4"/>
      <c r="AA1139" s="4"/>
      <c r="AB1139" s="4"/>
      <c r="AC1139" s="4"/>
      <c r="AD1139" s="4"/>
      <c r="AE1139" s="4"/>
      <c r="AF1139" s="81"/>
      <c r="AG1139" s="81"/>
      <c r="AH1139" s="81"/>
      <c r="AI1139" s="4"/>
      <c r="AJ1139" s="81"/>
      <c r="AK1139" s="81"/>
      <c r="AL1139" s="81"/>
    </row>
    <row r="1140" spans="1:38" s="7" customFormat="1">
      <c r="A1140" s="4"/>
      <c r="B1140" s="4"/>
      <c r="C1140" s="4"/>
      <c r="D1140" s="4"/>
      <c r="E1140" s="4"/>
      <c r="F1140" s="28"/>
      <c r="G1140" s="28"/>
      <c r="H1140" s="83"/>
      <c r="I1140" s="4"/>
      <c r="J1140" s="4"/>
      <c r="K1140" s="4"/>
      <c r="L1140" s="4"/>
      <c r="M1140" s="4"/>
      <c r="N1140" s="28"/>
      <c r="O1140" s="4"/>
      <c r="P1140" s="4"/>
      <c r="Q1140" s="4"/>
      <c r="R1140" s="4"/>
      <c r="S1140" s="4"/>
      <c r="T1140" s="4"/>
      <c r="U1140" s="4"/>
      <c r="V1140" s="4"/>
      <c r="W1140" s="4"/>
      <c r="X1140" s="4"/>
      <c r="Y1140" s="4"/>
      <c r="Z1140" s="4"/>
      <c r="AA1140" s="4"/>
      <c r="AB1140" s="4"/>
      <c r="AC1140" s="4"/>
      <c r="AD1140" s="4"/>
      <c r="AE1140" s="4"/>
      <c r="AF1140" s="81"/>
      <c r="AG1140" s="81"/>
      <c r="AH1140" s="81"/>
      <c r="AI1140" s="4"/>
      <c r="AJ1140" s="81"/>
      <c r="AK1140" s="81"/>
      <c r="AL1140" s="81"/>
    </row>
    <row r="1141" spans="1:38" s="7" customFormat="1">
      <c r="A1141" s="4"/>
      <c r="B1141" s="4"/>
      <c r="C1141" s="4"/>
      <c r="D1141" s="4"/>
      <c r="E1141" s="4"/>
      <c r="F1141" s="28"/>
      <c r="G1141" s="28"/>
      <c r="H1141" s="83"/>
      <c r="I1141" s="4"/>
      <c r="J1141" s="4"/>
      <c r="K1141" s="4"/>
      <c r="L1141" s="4"/>
      <c r="M1141" s="4"/>
      <c r="N1141" s="28"/>
      <c r="O1141" s="4"/>
      <c r="P1141" s="4"/>
      <c r="Q1141" s="4"/>
      <c r="R1141" s="4"/>
      <c r="S1141" s="4"/>
      <c r="T1141" s="4"/>
      <c r="U1141" s="4"/>
      <c r="V1141" s="4"/>
      <c r="W1141" s="4"/>
      <c r="X1141" s="4"/>
      <c r="Y1141" s="4"/>
      <c r="Z1141" s="4"/>
      <c r="AA1141" s="4"/>
      <c r="AB1141" s="4"/>
      <c r="AC1141" s="4"/>
      <c r="AD1141" s="4"/>
      <c r="AE1141" s="4"/>
      <c r="AF1141" s="81"/>
      <c r="AG1141" s="81"/>
      <c r="AH1141" s="81"/>
      <c r="AI1141" s="4"/>
      <c r="AJ1141" s="81"/>
      <c r="AK1141" s="81"/>
      <c r="AL1141" s="81"/>
    </row>
    <row r="1142" spans="1:38" s="7" customFormat="1">
      <c r="A1142" s="4"/>
      <c r="B1142" s="4"/>
      <c r="C1142" s="4"/>
      <c r="D1142" s="4"/>
      <c r="E1142" s="4"/>
      <c r="F1142" s="28"/>
      <c r="G1142" s="28"/>
      <c r="H1142" s="83"/>
      <c r="I1142" s="4"/>
      <c r="J1142" s="4"/>
      <c r="K1142" s="4"/>
      <c r="L1142" s="4"/>
      <c r="M1142" s="4"/>
      <c r="N1142" s="28"/>
      <c r="O1142" s="4"/>
      <c r="P1142" s="4"/>
      <c r="Q1142" s="4"/>
      <c r="R1142" s="4"/>
      <c r="S1142" s="4"/>
      <c r="T1142" s="4"/>
      <c r="U1142" s="4"/>
      <c r="V1142" s="4"/>
      <c r="W1142" s="4"/>
      <c r="X1142" s="4"/>
      <c r="Y1142" s="4"/>
      <c r="Z1142" s="4"/>
      <c r="AA1142" s="4"/>
      <c r="AB1142" s="4"/>
      <c r="AC1142" s="4"/>
      <c r="AD1142" s="4"/>
      <c r="AE1142" s="4"/>
      <c r="AF1142" s="81"/>
      <c r="AG1142" s="81"/>
      <c r="AH1142" s="81"/>
      <c r="AI1142" s="4"/>
      <c r="AJ1142" s="81"/>
      <c r="AK1142" s="81"/>
      <c r="AL1142" s="81"/>
    </row>
    <row r="1143" spans="1:38" s="7" customFormat="1">
      <c r="A1143" s="4"/>
      <c r="B1143" s="4"/>
      <c r="C1143" s="4"/>
      <c r="D1143" s="4"/>
      <c r="E1143" s="4"/>
      <c r="F1143" s="28"/>
      <c r="G1143" s="28"/>
      <c r="H1143" s="83"/>
      <c r="I1143" s="4"/>
      <c r="J1143" s="4"/>
      <c r="K1143" s="4"/>
      <c r="L1143" s="4"/>
      <c r="M1143" s="4"/>
      <c r="N1143" s="28"/>
      <c r="O1143" s="4"/>
      <c r="P1143" s="4"/>
      <c r="Q1143" s="4"/>
      <c r="R1143" s="4"/>
      <c r="S1143" s="4"/>
      <c r="T1143" s="4"/>
      <c r="U1143" s="4"/>
      <c r="V1143" s="4"/>
      <c r="W1143" s="4"/>
      <c r="X1143" s="4"/>
      <c r="Y1143" s="4"/>
      <c r="Z1143" s="4"/>
      <c r="AA1143" s="4"/>
      <c r="AB1143" s="4"/>
      <c r="AC1143" s="4"/>
      <c r="AD1143" s="4"/>
      <c r="AE1143" s="4"/>
      <c r="AF1143" s="81"/>
      <c r="AG1143" s="81"/>
      <c r="AH1143" s="81"/>
      <c r="AI1143" s="4"/>
      <c r="AJ1143" s="81"/>
      <c r="AK1143" s="81"/>
      <c r="AL1143" s="81"/>
    </row>
    <row r="1144" spans="1:38" s="7" customFormat="1">
      <c r="A1144" s="4"/>
      <c r="B1144" s="4"/>
      <c r="C1144" s="4"/>
      <c r="D1144" s="4"/>
      <c r="E1144" s="4"/>
      <c r="F1144" s="28"/>
      <c r="G1144" s="28"/>
      <c r="H1144" s="83"/>
      <c r="I1144" s="4"/>
      <c r="J1144" s="4"/>
      <c r="K1144" s="4"/>
      <c r="L1144" s="4"/>
      <c r="M1144" s="4"/>
      <c r="N1144" s="28"/>
      <c r="O1144" s="4"/>
      <c r="P1144" s="4"/>
      <c r="Q1144" s="4"/>
      <c r="R1144" s="4"/>
      <c r="S1144" s="4"/>
      <c r="T1144" s="4"/>
      <c r="U1144" s="4"/>
      <c r="V1144" s="4"/>
      <c r="W1144" s="4"/>
      <c r="X1144" s="4"/>
      <c r="Y1144" s="4"/>
      <c r="Z1144" s="4"/>
      <c r="AA1144" s="4"/>
      <c r="AB1144" s="4"/>
      <c r="AC1144" s="4"/>
      <c r="AD1144" s="4"/>
      <c r="AE1144" s="4"/>
      <c r="AF1144" s="81"/>
      <c r="AG1144" s="81"/>
      <c r="AH1144" s="81"/>
      <c r="AI1144" s="4"/>
      <c r="AJ1144" s="81"/>
      <c r="AK1144" s="81"/>
      <c r="AL1144" s="81"/>
    </row>
    <row r="1145" spans="1:38" s="7" customFormat="1">
      <c r="A1145" s="4"/>
      <c r="B1145" s="4"/>
      <c r="C1145" s="4"/>
      <c r="D1145" s="4"/>
      <c r="E1145" s="4"/>
      <c r="F1145" s="28"/>
      <c r="G1145" s="28"/>
      <c r="H1145" s="83"/>
      <c r="I1145" s="4"/>
      <c r="J1145" s="4"/>
      <c r="K1145" s="4"/>
      <c r="L1145" s="4"/>
      <c r="M1145" s="4"/>
      <c r="N1145" s="28"/>
      <c r="O1145" s="4"/>
      <c r="P1145" s="4"/>
      <c r="Q1145" s="4"/>
      <c r="R1145" s="4"/>
      <c r="S1145" s="4"/>
      <c r="T1145" s="4"/>
      <c r="U1145" s="4"/>
      <c r="V1145" s="4"/>
      <c r="W1145" s="4"/>
      <c r="X1145" s="4"/>
      <c r="Y1145" s="4"/>
      <c r="Z1145" s="4"/>
      <c r="AA1145" s="4"/>
      <c r="AB1145" s="4"/>
      <c r="AC1145" s="4"/>
      <c r="AD1145" s="4"/>
      <c r="AE1145" s="4"/>
      <c r="AF1145" s="81"/>
      <c r="AG1145" s="81"/>
      <c r="AH1145" s="81"/>
      <c r="AI1145" s="4"/>
      <c r="AJ1145" s="81"/>
      <c r="AK1145" s="81"/>
      <c r="AL1145" s="81"/>
    </row>
    <row r="1146" spans="1:38" s="7" customFormat="1">
      <c r="A1146" s="4"/>
      <c r="B1146" s="4"/>
      <c r="C1146" s="4"/>
      <c r="D1146" s="4"/>
      <c r="E1146" s="4"/>
      <c r="F1146" s="28"/>
      <c r="G1146" s="28"/>
      <c r="H1146" s="83"/>
      <c r="I1146" s="4"/>
      <c r="J1146" s="4"/>
      <c r="K1146" s="4"/>
      <c r="L1146" s="4"/>
      <c r="M1146" s="4"/>
      <c r="N1146" s="28"/>
      <c r="O1146" s="4"/>
      <c r="P1146" s="4"/>
      <c r="Q1146" s="4"/>
      <c r="R1146" s="4"/>
      <c r="S1146" s="4"/>
      <c r="T1146" s="4"/>
      <c r="U1146" s="4"/>
      <c r="V1146" s="4"/>
      <c r="W1146" s="4"/>
      <c r="X1146" s="4"/>
      <c r="Y1146" s="4"/>
      <c r="Z1146" s="4"/>
      <c r="AA1146" s="4"/>
      <c r="AB1146" s="4"/>
      <c r="AC1146" s="4"/>
      <c r="AD1146" s="4"/>
      <c r="AE1146" s="4"/>
      <c r="AF1146" s="81"/>
      <c r="AG1146" s="81"/>
      <c r="AH1146" s="81"/>
      <c r="AI1146" s="4"/>
      <c r="AJ1146" s="81"/>
      <c r="AK1146" s="81"/>
      <c r="AL1146" s="81"/>
    </row>
    <row r="1147" spans="1:38" s="7" customFormat="1">
      <c r="A1147" s="4"/>
      <c r="B1147" s="4"/>
      <c r="C1147" s="4"/>
      <c r="D1147" s="4"/>
      <c r="E1147" s="4"/>
      <c r="F1147" s="28"/>
      <c r="G1147" s="28"/>
      <c r="H1147" s="83"/>
      <c r="I1147" s="4"/>
      <c r="J1147" s="4"/>
      <c r="K1147" s="4"/>
      <c r="L1147" s="4"/>
      <c r="M1147" s="4"/>
      <c r="N1147" s="28"/>
      <c r="O1147" s="4"/>
      <c r="P1147" s="4"/>
      <c r="Q1147" s="4"/>
      <c r="R1147" s="4"/>
      <c r="S1147" s="4"/>
      <c r="T1147" s="4"/>
      <c r="U1147" s="4"/>
      <c r="V1147" s="4"/>
      <c r="W1147" s="4"/>
      <c r="X1147" s="4"/>
      <c r="Y1147" s="4"/>
      <c r="Z1147" s="4"/>
      <c r="AA1147" s="4"/>
      <c r="AB1147" s="4"/>
      <c r="AC1147" s="4"/>
      <c r="AD1147" s="4"/>
      <c r="AE1147" s="4"/>
      <c r="AF1147" s="81"/>
      <c r="AG1147" s="81"/>
      <c r="AH1147" s="81"/>
      <c r="AI1147" s="4"/>
      <c r="AJ1147" s="81"/>
      <c r="AK1147" s="81"/>
      <c r="AL1147" s="81"/>
    </row>
    <row r="1148" spans="1:38" s="7" customFormat="1">
      <c r="A1148" s="4"/>
      <c r="B1148" s="4"/>
      <c r="C1148" s="4"/>
      <c r="D1148" s="4"/>
      <c r="E1148" s="4"/>
      <c r="F1148" s="28"/>
      <c r="G1148" s="28"/>
      <c r="H1148" s="83"/>
      <c r="I1148" s="4"/>
      <c r="J1148" s="4"/>
      <c r="K1148" s="4"/>
      <c r="L1148" s="4"/>
      <c r="M1148" s="4"/>
      <c r="N1148" s="28"/>
      <c r="O1148" s="4"/>
      <c r="P1148" s="4"/>
      <c r="Q1148" s="4"/>
      <c r="R1148" s="4"/>
      <c r="S1148" s="4"/>
      <c r="T1148" s="4"/>
      <c r="U1148" s="4"/>
      <c r="V1148" s="4"/>
      <c r="W1148" s="4"/>
      <c r="X1148" s="4"/>
      <c r="Y1148" s="4"/>
      <c r="Z1148" s="4"/>
      <c r="AA1148" s="4"/>
      <c r="AB1148" s="4"/>
      <c r="AC1148" s="4"/>
      <c r="AD1148" s="4"/>
      <c r="AE1148" s="4"/>
      <c r="AF1148" s="81"/>
      <c r="AG1148" s="81"/>
      <c r="AH1148" s="81"/>
      <c r="AI1148" s="4"/>
      <c r="AJ1148" s="81"/>
      <c r="AK1148" s="81"/>
      <c r="AL1148" s="81"/>
    </row>
    <row r="1149" spans="1:38" s="7" customFormat="1">
      <c r="A1149" s="4"/>
      <c r="B1149" s="4"/>
      <c r="C1149" s="4"/>
      <c r="D1149" s="4"/>
      <c r="E1149" s="4"/>
      <c r="F1149" s="28"/>
      <c r="G1149" s="28"/>
      <c r="H1149" s="83"/>
      <c r="I1149" s="4"/>
      <c r="J1149" s="4"/>
      <c r="K1149" s="4"/>
      <c r="L1149" s="4"/>
      <c r="M1149" s="4"/>
      <c r="N1149" s="28"/>
      <c r="O1149" s="4"/>
      <c r="P1149" s="4"/>
      <c r="Q1149" s="4"/>
      <c r="R1149" s="4"/>
      <c r="S1149" s="4"/>
      <c r="T1149" s="4"/>
      <c r="U1149" s="4"/>
      <c r="V1149" s="4"/>
      <c r="W1149" s="4"/>
      <c r="X1149" s="4"/>
      <c r="Y1149" s="4"/>
      <c r="Z1149" s="4"/>
      <c r="AA1149" s="4"/>
      <c r="AB1149" s="4"/>
      <c r="AC1149" s="4"/>
      <c r="AD1149" s="4"/>
      <c r="AE1149" s="4"/>
      <c r="AF1149" s="81"/>
      <c r="AG1149" s="81"/>
      <c r="AH1149" s="81"/>
      <c r="AI1149" s="4"/>
      <c r="AJ1149" s="81"/>
      <c r="AK1149" s="81"/>
      <c r="AL1149" s="81"/>
    </row>
    <row r="1150" spans="1:38" s="7" customFormat="1">
      <c r="A1150" s="4"/>
      <c r="B1150" s="4"/>
      <c r="C1150" s="4"/>
      <c r="D1150" s="4"/>
      <c r="E1150" s="4"/>
      <c r="F1150" s="28"/>
      <c r="G1150" s="28"/>
      <c r="H1150" s="83"/>
      <c r="I1150" s="4"/>
      <c r="J1150" s="4"/>
      <c r="K1150" s="4"/>
      <c r="L1150" s="4"/>
      <c r="M1150" s="4"/>
      <c r="N1150" s="28"/>
      <c r="O1150" s="4"/>
      <c r="P1150" s="4"/>
      <c r="Q1150" s="4"/>
      <c r="R1150" s="4"/>
      <c r="S1150" s="4"/>
      <c r="T1150" s="4"/>
      <c r="U1150" s="4"/>
      <c r="V1150" s="4"/>
      <c r="W1150" s="4"/>
      <c r="X1150" s="4"/>
      <c r="Y1150" s="4"/>
      <c r="Z1150" s="4"/>
      <c r="AA1150" s="4"/>
      <c r="AB1150" s="4"/>
      <c r="AC1150" s="4"/>
      <c r="AD1150" s="4"/>
      <c r="AE1150" s="4"/>
      <c r="AF1150" s="81"/>
      <c r="AG1150" s="81"/>
      <c r="AH1150" s="81"/>
      <c r="AI1150" s="4"/>
      <c r="AJ1150" s="81"/>
      <c r="AK1150" s="81"/>
      <c r="AL1150" s="81"/>
    </row>
    <row r="1151" spans="1:38" s="7" customFormat="1">
      <c r="A1151" s="4"/>
      <c r="B1151" s="4"/>
      <c r="C1151" s="4"/>
      <c r="D1151" s="4"/>
      <c r="E1151" s="4"/>
      <c r="F1151" s="28"/>
      <c r="G1151" s="28"/>
      <c r="H1151" s="83"/>
      <c r="I1151" s="4"/>
      <c r="J1151" s="4"/>
      <c r="K1151" s="4"/>
      <c r="L1151" s="4"/>
      <c r="M1151" s="4"/>
      <c r="N1151" s="28"/>
      <c r="O1151" s="4"/>
      <c r="P1151" s="4"/>
      <c r="Q1151" s="4"/>
      <c r="R1151" s="4"/>
      <c r="S1151" s="4"/>
      <c r="T1151" s="4"/>
      <c r="U1151" s="4"/>
      <c r="V1151" s="4"/>
      <c r="W1151" s="4"/>
      <c r="X1151" s="4"/>
      <c r="Y1151" s="4"/>
      <c r="Z1151" s="4"/>
      <c r="AA1151" s="4"/>
      <c r="AB1151" s="4"/>
      <c r="AC1151" s="4"/>
      <c r="AD1151" s="4"/>
      <c r="AE1151" s="4"/>
      <c r="AF1151" s="81"/>
      <c r="AG1151" s="81"/>
      <c r="AH1151" s="81"/>
      <c r="AI1151" s="4"/>
      <c r="AJ1151" s="81"/>
      <c r="AK1151" s="81"/>
      <c r="AL1151" s="81"/>
    </row>
    <row r="1152" spans="1:38" s="7" customFormat="1">
      <c r="A1152" s="4"/>
      <c r="B1152" s="4"/>
      <c r="C1152" s="4"/>
      <c r="D1152" s="4"/>
      <c r="E1152" s="4"/>
      <c r="F1152" s="28"/>
      <c r="G1152" s="28"/>
      <c r="H1152" s="83"/>
      <c r="I1152" s="4"/>
      <c r="J1152" s="4"/>
      <c r="K1152" s="4"/>
      <c r="L1152" s="4"/>
      <c r="M1152" s="4"/>
      <c r="N1152" s="28"/>
      <c r="O1152" s="4"/>
      <c r="P1152" s="4"/>
      <c r="Q1152" s="4"/>
      <c r="R1152" s="4"/>
      <c r="S1152" s="4"/>
      <c r="T1152" s="4"/>
      <c r="U1152" s="4"/>
      <c r="V1152" s="4"/>
      <c r="W1152" s="4"/>
      <c r="X1152" s="4"/>
      <c r="Y1152" s="4"/>
      <c r="Z1152" s="4"/>
      <c r="AA1152" s="4"/>
      <c r="AB1152" s="4"/>
      <c r="AC1152" s="4"/>
      <c r="AD1152" s="4"/>
      <c r="AE1152" s="4"/>
      <c r="AF1152" s="81"/>
      <c r="AG1152" s="81"/>
      <c r="AH1152" s="81"/>
      <c r="AI1152" s="4"/>
      <c r="AJ1152" s="81"/>
      <c r="AK1152" s="81"/>
      <c r="AL1152" s="81"/>
    </row>
    <row r="1153" spans="1:38" s="7" customFormat="1">
      <c r="A1153" s="4"/>
      <c r="B1153" s="4"/>
      <c r="C1153" s="4"/>
      <c r="D1153" s="4"/>
      <c r="E1153" s="4"/>
      <c r="F1153" s="28"/>
      <c r="G1153" s="28"/>
      <c r="H1153" s="83"/>
      <c r="I1153" s="4"/>
      <c r="J1153" s="4"/>
      <c r="K1153" s="4"/>
      <c r="L1153" s="4"/>
      <c r="M1153" s="4"/>
      <c r="N1153" s="28"/>
      <c r="O1153" s="4"/>
      <c r="P1153" s="4"/>
      <c r="Q1153" s="4"/>
      <c r="R1153" s="4"/>
      <c r="S1153" s="4"/>
      <c r="T1153" s="4"/>
      <c r="U1153" s="4"/>
      <c r="V1153" s="4"/>
      <c r="W1153" s="4"/>
      <c r="X1153" s="4"/>
      <c r="Y1153" s="4"/>
      <c r="Z1153" s="4"/>
      <c r="AA1153" s="4"/>
      <c r="AB1153" s="4"/>
      <c r="AC1153" s="4"/>
      <c r="AD1153" s="4"/>
      <c r="AE1153" s="4"/>
      <c r="AF1153" s="81"/>
      <c r="AG1153" s="81"/>
      <c r="AH1153" s="81"/>
      <c r="AI1153" s="4"/>
      <c r="AJ1153" s="81"/>
      <c r="AK1153" s="81"/>
      <c r="AL1153" s="81"/>
    </row>
    <row r="1154" spans="1:38" s="7" customFormat="1">
      <c r="A1154" s="4"/>
      <c r="B1154" s="4"/>
      <c r="C1154" s="4"/>
      <c r="D1154" s="4"/>
      <c r="E1154" s="4"/>
      <c r="F1154" s="28"/>
      <c r="G1154" s="28"/>
      <c r="H1154" s="83"/>
      <c r="I1154" s="4"/>
      <c r="J1154" s="4"/>
      <c r="K1154" s="4"/>
      <c r="L1154" s="4"/>
      <c r="M1154" s="4"/>
      <c r="N1154" s="28"/>
      <c r="O1154" s="4"/>
      <c r="P1154" s="4"/>
      <c r="Q1154" s="4"/>
      <c r="R1154" s="4"/>
      <c r="S1154" s="4"/>
      <c r="T1154" s="4"/>
      <c r="U1154" s="4"/>
      <c r="V1154" s="4"/>
      <c r="W1154" s="4"/>
      <c r="X1154" s="4"/>
      <c r="Y1154" s="4"/>
      <c r="Z1154" s="4"/>
      <c r="AA1154" s="4"/>
      <c r="AB1154" s="4"/>
      <c r="AC1154" s="4"/>
      <c r="AD1154" s="4"/>
      <c r="AE1154" s="4"/>
      <c r="AF1154" s="81"/>
      <c r="AG1154" s="81"/>
      <c r="AH1154" s="81"/>
      <c r="AI1154" s="4"/>
      <c r="AJ1154" s="81"/>
      <c r="AK1154" s="81"/>
      <c r="AL1154" s="81"/>
    </row>
    <row r="1155" spans="1:38" s="7" customFormat="1">
      <c r="A1155" s="4"/>
      <c r="B1155" s="4"/>
      <c r="C1155" s="4"/>
      <c r="D1155" s="4"/>
      <c r="E1155" s="4"/>
      <c r="F1155" s="28"/>
      <c r="G1155" s="28"/>
      <c r="H1155" s="83"/>
      <c r="I1155" s="4"/>
      <c r="J1155" s="4"/>
      <c r="K1155" s="4"/>
      <c r="L1155" s="4"/>
      <c r="M1155" s="4"/>
      <c r="N1155" s="28"/>
      <c r="O1155" s="4"/>
      <c r="P1155" s="4"/>
      <c r="Q1155" s="4"/>
      <c r="R1155" s="4"/>
      <c r="S1155" s="4"/>
      <c r="T1155" s="4"/>
      <c r="U1155" s="4"/>
      <c r="V1155" s="4"/>
      <c r="W1155" s="4"/>
      <c r="X1155" s="4"/>
      <c r="Y1155" s="4"/>
      <c r="Z1155" s="4"/>
      <c r="AA1155" s="4"/>
      <c r="AB1155" s="4"/>
      <c r="AC1155" s="4"/>
      <c r="AD1155" s="4"/>
      <c r="AE1155" s="4"/>
      <c r="AF1155" s="81"/>
      <c r="AG1155" s="81"/>
      <c r="AH1155" s="81"/>
      <c r="AI1155" s="4"/>
      <c r="AJ1155" s="81"/>
      <c r="AK1155" s="81"/>
      <c r="AL1155" s="81"/>
    </row>
    <row r="1156" spans="1:38" s="7" customFormat="1">
      <c r="A1156" s="4"/>
      <c r="B1156" s="4"/>
      <c r="C1156" s="4"/>
      <c r="D1156" s="4"/>
      <c r="E1156" s="4"/>
      <c r="F1156" s="28"/>
      <c r="G1156" s="28"/>
      <c r="H1156" s="83"/>
      <c r="I1156" s="4"/>
      <c r="J1156" s="4"/>
      <c r="K1156" s="4"/>
      <c r="L1156" s="4"/>
      <c r="M1156" s="4"/>
      <c r="N1156" s="28"/>
      <c r="O1156" s="4"/>
      <c r="P1156" s="4"/>
      <c r="Q1156" s="4"/>
      <c r="R1156" s="4"/>
      <c r="S1156" s="4"/>
      <c r="T1156" s="4"/>
      <c r="U1156" s="4"/>
      <c r="V1156" s="4"/>
      <c r="W1156" s="4"/>
      <c r="X1156" s="4"/>
      <c r="Y1156" s="4"/>
      <c r="Z1156" s="4"/>
      <c r="AA1156" s="4"/>
      <c r="AB1156" s="4"/>
      <c r="AC1156" s="4"/>
      <c r="AD1156" s="4"/>
      <c r="AE1156" s="4"/>
      <c r="AF1156" s="81"/>
      <c r="AG1156" s="81"/>
      <c r="AH1156" s="81"/>
      <c r="AI1156" s="4"/>
      <c r="AJ1156" s="81"/>
      <c r="AK1156" s="81"/>
      <c r="AL1156" s="81"/>
    </row>
    <row r="1157" spans="1:38" s="7" customFormat="1">
      <c r="A1157" s="4"/>
      <c r="B1157" s="4"/>
      <c r="C1157" s="4"/>
      <c r="D1157" s="4"/>
      <c r="E1157" s="4"/>
      <c r="F1157" s="28"/>
      <c r="G1157" s="28"/>
      <c r="H1157" s="83"/>
      <c r="I1157" s="4"/>
      <c r="J1157" s="4"/>
      <c r="K1157" s="4"/>
      <c r="L1157" s="4"/>
      <c r="M1157" s="4"/>
      <c r="N1157" s="28"/>
      <c r="O1157" s="4"/>
      <c r="P1157" s="4"/>
      <c r="Q1157" s="4"/>
      <c r="R1157" s="4"/>
      <c r="S1157" s="4"/>
      <c r="T1157" s="4"/>
      <c r="U1157" s="4"/>
      <c r="V1157" s="4"/>
      <c r="W1157" s="4"/>
      <c r="X1157" s="4"/>
      <c r="Y1157" s="4"/>
      <c r="Z1157" s="4"/>
      <c r="AA1157" s="4"/>
      <c r="AB1157" s="4"/>
      <c r="AC1157" s="4"/>
      <c r="AD1157" s="4"/>
      <c r="AE1157" s="4"/>
      <c r="AF1157" s="81"/>
      <c r="AG1157" s="81"/>
      <c r="AH1157" s="81"/>
      <c r="AI1157" s="4"/>
      <c r="AJ1157" s="81"/>
      <c r="AK1157" s="81"/>
      <c r="AL1157" s="81"/>
    </row>
    <row r="1158" spans="1:38" s="7" customFormat="1">
      <c r="A1158" s="4"/>
      <c r="B1158" s="4"/>
      <c r="C1158" s="4"/>
      <c r="D1158" s="4"/>
      <c r="E1158" s="4"/>
      <c r="F1158" s="28"/>
      <c r="G1158" s="28"/>
      <c r="H1158" s="83"/>
      <c r="I1158" s="4"/>
      <c r="J1158" s="4"/>
      <c r="K1158" s="4"/>
      <c r="L1158" s="4"/>
      <c r="M1158" s="4"/>
      <c r="N1158" s="28"/>
      <c r="O1158" s="4"/>
      <c r="P1158" s="4"/>
      <c r="Q1158" s="4"/>
      <c r="R1158" s="4"/>
      <c r="S1158" s="4"/>
      <c r="T1158" s="4"/>
      <c r="U1158" s="4"/>
      <c r="V1158" s="4"/>
      <c r="W1158" s="4"/>
      <c r="X1158" s="4"/>
      <c r="Y1158" s="4"/>
      <c r="Z1158" s="4"/>
      <c r="AA1158" s="4"/>
      <c r="AB1158" s="4"/>
      <c r="AC1158" s="4"/>
      <c r="AD1158" s="4"/>
      <c r="AE1158" s="4"/>
      <c r="AF1158" s="81"/>
      <c r="AG1158" s="81"/>
      <c r="AH1158" s="81"/>
      <c r="AI1158" s="4"/>
      <c r="AJ1158" s="81"/>
      <c r="AK1158" s="81"/>
      <c r="AL1158" s="81"/>
    </row>
    <row r="1159" spans="1:38" s="7" customFormat="1">
      <c r="A1159" s="4"/>
      <c r="B1159" s="4"/>
      <c r="C1159" s="4"/>
      <c r="D1159" s="4"/>
      <c r="E1159" s="4"/>
      <c r="F1159" s="28"/>
      <c r="G1159" s="28"/>
      <c r="H1159" s="83"/>
      <c r="I1159" s="4"/>
      <c r="J1159" s="4"/>
      <c r="K1159" s="4"/>
      <c r="L1159" s="4"/>
      <c r="M1159" s="4"/>
      <c r="N1159" s="28"/>
      <c r="O1159" s="4"/>
      <c r="P1159" s="4"/>
      <c r="Q1159" s="4"/>
      <c r="R1159" s="4"/>
      <c r="S1159" s="4"/>
      <c r="T1159" s="4"/>
      <c r="U1159" s="4"/>
      <c r="V1159" s="4"/>
      <c r="W1159" s="4"/>
      <c r="X1159" s="4"/>
      <c r="Y1159" s="4"/>
      <c r="Z1159" s="4"/>
      <c r="AA1159" s="4"/>
      <c r="AB1159" s="4"/>
      <c r="AC1159" s="4"/>
      <c r="AD1159" s="4"/>
      <c r="AE1159" s="4"/>
      <c r="AF1159" s="81"/>
      <c r="AG1159" s="81"/>
      <c r="AH1159" s="81"/>
      <c r="AI1159" s="4"/>
      <c r="AJ1159" s="81"/>
      <c r="AK1159" s="81"/>
      <c r="AL1159" s="81"/>
    </row>
    <row r="1160" spans="1:38" s="7" customFormat="1">
      <c r="A1160" s="4"/>
      <c r="B1160" s="4"/>
      <c r="C1160" s="4"/>
      <c r="D1160" s="4"/>
      <c r="E1160" s="4"/>
      <c r="F1160" s="28"/>
      <c r="G1160" s="28"/>
      <c r="H1160" s="83"/>
      <c r="I1160" s="4"/>
      <c r="J1160" s="4"/>
      <c r="K1160" s="4"/>
      <c r="L1160" s="4"/>
      <c r="M1160" s="4"/>
      <c r="N1160" s="28"/>
      <c r="O1160" s="4"/>
      <c r="P1160" s="4"/>
      <c r="Q1160" s="4"/>
      <c r="R1160" s="4"/>
      <c r="S1160" s="4"/>
      <c r="T1160" s="4"/>
      <c r="U1160" s="4"/>
      <c r="V1160" s="4"/>
      <c r="W1160" s="4"/>
      <c r="X1160" s="4"/>
      <c r="Y1160" s="4"/>
      <c r="Z1160" s="4"/>
      <c r="AA1160" s="4"/>
      <c r="AB1160" s="4"/>
      <c r="AC1160" s="4"/>
      <c r="AD1160" s="4"/>
      <c r="AE1160" s="4"/>
      <c r="AF1160" s="81"/>
      <c r="AG1160" s="81"/>
      <c r="AH1160" s="81"/>
      <c r="AI1160" s="4"/>
      <c r="AJ1160" s="81"/>
      <c r="AK1160" s="81"/>
      <c r="AL1160" s="81"/>
    </row>
    <row r="1161" spans="1:38" s="7" customFormat="1">
      <c r="A1161" s="4"/>
      <c r="B1161" s="4"/>
      <c r="C1161" s="4"/>
      <c r="D1161" s="4"/>
      <c r="E1161" s="4"/>
      <c r="F1161" s="28"/>
      <c r="G1161" s="28"/>
      <c r="H1161" s="83"/>
      <c r="I1161" s="4"/>
      <c r="J1161" s="4"/>
      <c r="K1161" s="4"/>
      <c r="L1161" s="4"/>
      <c r="M1161" s="4"/>
      <c r="N1161" s="28"/>
      <c r="O1161" s="4"/>
      <c r="P1161" s="4"/>
      <c r="Q1161" s="4"/>
      <c r="R1161" s="4"/>
      <c r="S1161" s="4"/>
      <c r="T1161" s="4"/>
      <c r="U1161" s="4"/>
      <c r="V1161" s="4"/>
      <c r="W1161" s="4"/>
      <c r="X1161" s="4"/>
      <c r="Y1161" s="4"/>
      <c r="Z1161" s="4"/>
      <c r="AA1161" s="4"/>
      <c r="AB1161" s="4"/>
      <c r="AC1161" s="4"/>
      <c r="AD1161" s="4"/>
      <c r="AE1161" s="4"/>
      <c r="AF1161" s="81"/>
      <c r="AG1161" s="81"/>
      <c r="AH1161" s="81"/>
      <c r="AI1161" s="4"/>
      <c r="AJ1161" s="81"/>
      <c r="AK1161" s="81"/>
      <c r="AL1161" s="81"/>
    </row>
    <row r="1162" spans="1:38" s="7" customFormat="1">
      <c r="A1162" s="4"/>
      <c r="B1162" s="4"/>
      <c r="C1162" s="4"/>
      <c r="D1162" s="4"/>
      <c r="E1162" s="4"/>
      <c r="F1162" s="28"/>
      <c r="G1162" s="28"/>
      <c r="H1162" s="83"/>
      <c r="I1162" s="4"/>
      <c r="J1162" s="4"/>
      <c r="K1162" s="4"/>
      <c r="L1162" s="4"/>
      <c r="M1162" s="4"/>
      <c r="N1162" s="28"/>
      <c r="O1162" s="4"/>
      <c r="P1162" s="4"/>
      <c r="Q1162" s="4"/>
      <c r="R1162" s="4"/>
      <c r="S1162" s="4"/>
      <c r="T1162" s="4"/>
      <c r="U1162" s="4"/>
      <c r="V1162" s="4"/>
      <c r="W1162" s="4"/>
      <c r="X1162" s="4"/>
      <c r="Y1162" s="4"/>
      <c r="Z1162" s="4"/>
      <c r="AA1162" s="4"/>
      <c r="AB1162" s="4"/>
      <c r="AC1162" s="4"/>
      <c r="AD1162" s="4"/>
      <c r="AE1162" s="4"/>
      <c r="AF1162" s="81"/>
      <c r="AG1162" s="81"/>
      <c r="AH1162" s="81"/>
      <c r="AI1162" s="4"/>
      <c r="AJ1162" s="81"/>
      <c r="AK1162" s="81"/>
      <c r="AL1162" s="81"/>
    </row>
    <row r="1163" spans="1:38" s="7" customFormat="1">
      <c r="A1163" s="4"/>
      <c r="B1163" s="4"/>
      <c r="C1163" s="4"/>
      <c r="D1163" s="4"/>
      <c r="E1163" s="4"/>
      <c r="F1163" s="28"/>
      <c r="G1163" s="28"/>
      <c r="H1163" s="83"/>
      <c r="I1163" s="4"/>
      <c r="J1163" s="4"/>
      <c r="K1163" s="4"/>
      <c r="L1163" s="4"/>
      <c r="M1163" s="4"/>
      <c r="N1163" s="28"/>
      <c r="O1163" s="4"/>
      <c r="P1163" s="4"/>
      <c r="Q1163" s="4"/>
      <c r="R1163" s="4"/>
      <c r="S1163" s="4"/>
      <c r="T1163" s="4"/>
      <c r="U1163" s="4"/>
      <c r="V1163" s="4"/>
      <c r="W1163" s="4"/>
      <c r="X1163" s="4"/>
      <c r="Y1163" s="4"/>
      <c r="Z1163" s="4"/>
      <c r="AA1163" s="4"/>
      <c r="AB1163" s="4"/>
      <c r="AC1163" s="4"/>
      <c r="AD1163" s="4"/>
      <c r="AE1163" s="4"/>
      <c r="AF1163" s="81"/>
      <c r="AG1163" s="81"/>
      <c r="AH1163" s="81"/>
      <c r="AI1163" s="4"/>
      <c r="AJ1163" s="81"/>
      <c r="AK1163" s="81"/>
      <c r="AL1163" s="81"/>
    </row>
    <row r="1164" spans="1:38" s="7" customFormat="1">
      <c r="A1164" s="4"/>
      <c r="B1164" s="4"/>
      <c r="C1164" s="4"/>
      <c r="D1164" s="4"/>
      <c r="E1164" s="4"/>
      <c r="F1164" s="28"/>
      <c r="G1164" s="28"/>
      <c r="H1164" s="83"/>
      <c r="I1164" s="4"/>
      <c r="J1164" s="4"/>
      <c r="K1164" s="4"/>
      <c r="L1164" s="4"/>
      <c r="M1164" s="4"/>
      <c r="N1164" s="28"/>
      <c r="O1164" s="4"/>
      <c r="P1164" s="4"/>
      <c r="Q1164" s="4"/>
      <c r="R1164" s="4"/>
      <c r="S1164" s="4"/>
      <c r="T1164" s="4"/>
      <c r="U1164" s="4"/>
      <c r="V1164" s="4"/>
      <c r="W1164" s="4"/>
      <c r="X1164" s="4"/>
      <c r="Y1164" s="4"/>
      <c r="Z1164" s="4"/>
      <c r="AA1164" s="4"/>
      <c r="AB1164" s="4"/>
      <c r="AC1164" s="4"/>
      <c r="AD1164" s="4"/>
      <c r="AE1164" s="4"/>
      <c r="AF1164" s="81"/>
      <c r="AG1164" s="81"/>
      <c r="AH1164" s="81"/>
      <c r="AI1164" s="4"/>
      <c r="AJ1164" s="81"/>
      <c r="AK1164" s="81"/>
      <c r="AL1164" s="81"/>
    </row>
    <row r="1165" spans="1:38" s="7" customFormat="1">
      <c r="A1165" s="4"/>
      <c r="B1165" s="4"/>
      <c r="C1165" s="4"/>
      <c r="D1165" s="4"/>
      <c r="E1165" s="4"/>
      <c r="F1165" s="28"/>
      <c r="G1165" s="28"/>
      <c r="H1165" s="83"/>
      <c r="I1165" s="4"/>
      <c r="J1165" s="4"/>
      <c r="K1165" s="4"/>
      <c r="L1165" s="4"/>
      <c r="M1165" s="4"/>
      <c r="N1165" s="28"/>
      <c r="O1165" s="4"/>
      <c r="P1165" s="4"/>
      <c r="Q1165" s="4"/>
      <c r="R1165" s="4"/>
      <c r="S1165" s="4"/>
      <c r="T1165" s="4"/>
      <c r="U1165" s="4"/>
      <c r="V1165" s="4"/>
      <c r="W1165" s="4"/>
      <c r="X1165" s="4"/>
      <c r="Y1165" s="4"/>
      <c r="Z1165" s="4"/>
      <c r="AA1165" s="4"/>
      <c r="AB1165" s="4"/>
      <c r="AC1165" s="4"/>
      <c r="AD1165" s="4"/>
      <c r="AE1165" s="4"/>
      <c r="AF1165" s="81"/>
      <c r="AG1165" s="81"/>
      <c r="AH1165" s="81"/>
      <c r="AI1165" s="4"/>
      <c r="AJ1165" s="81"/>
      <c r="AK1165" s="81"/>
      <c r="AL1165" s="81"/>
    </row>
    <row r="1166" spans="1:38" s="7" customFormat="1">
      <c r="A1166" s="4"/>
      <c r="B1166" s="4"/>
      <c r="C1166" s="4"/>
      <c r="D1166" s="4"/>
      <c r="E1166" s="4"/>
      <c r="F1166" s="28"/>
      <c r="G1166" s="28"/>
      <c r="H1166" s="83"/>
      <c r="I1166" s="4"/>
      <c r="J1166" s="4"/>
      <c r="K1166" s="4"/>
      <c r="L1166" s="4"/>
      <c r="M1166" s="4"/>
      <c r="N1166" s="28"/>
      <c r="O1166" s="4"/>
      <c r="P1166" s="4"/>
      <c r="Q1166" s="4"/>
      <c r="R1166" s="4"/>
      <c r="S1166" s="4"/>
      <c r="T1166" s="4"/>
      <c r="U1166" s="4"/>
      <c r="V1166" s="4"/>
      <c r="W1166" s="4"/>
      <c r="X1166" s="4"/>
      <c r="Y1166" s="4"/>
      <c r="Z1166" s="4"/>
      <c r="AA1166" s="4"/>
      <c r="AB1166" s="4"/>
      <c r="AC1166" s="4"/>
      <c r="AD1166" s="4"/>
      <c r="AE1166" s="4"/>
      <c r="AF1166" s="81"/>
      <c r="AG1166" s="81"/>
      <c r="AH1166" s="81"/>
      <c r="AI1166" s="4"/>
      <c r="AJ1166" s="81"/>
      <c r="AK1166" s="81"/>
      <c r="AL1166" s="81"/>
    </row>
    <row r="1167" spans="1:38" s="7" customFormat="1">
      <c r="A1167" s="4"/>
      <c r="B1167" s="4"/>
      <c r="C1167" s="4"/>
      <c r="D1167" s="4"/>
      <c r="E1167" s="4"/>
      <c r="F1167" s="28"/>
      <c r="G1167" s="28"/>
      <c r="H1167" s="83"/>
      <c r="I1167" s="4"/>
      <c r="J1167" s="4"/>
      <c r="K1167" s="4"/>
      <c r="L1167" s="4"/>
      <c r="M1167" s="4"/>
      <c r="N1167" s="28"/>
      <c r="O1167" s="4"/>
      <c r="P1167" s="4"/>
      <c r="Q1167" s="4"/>
      <c r="R1167" s="4"/>
      <c r="S1167" s="4"/>
      <c r="T1167" s="4"/>
      <c r="U1167" s="4"/>
      <c r="V1167" s="4"/>
      <c r="W1167" s="4"/>
      <c r="X1167" s="4"/>
      <c r="Y1167" s="4"/>
      <c r="Z1167" s="4"/>
      <c r="AA1167" s="4"/>
      <c r="AB1167" s="4"/>
      <c r="AC1167" s="4"/>
      <c r="AD1167" s="4"/>
      <c r="AE1167" s="4"/>
      <c r="AF1167" s="81"/>
      <c r="AG1167" s="81"/>
      <c r="AH1167" s="81"/>
      <c r="AI1167" s="4"/>
      <c r="AJ1167" s="81"/>
      <c r="AK1167" s="81"/>
      <c r="AL1167" s="81"/>
    </row>
    <row r="1168" spans="1:38" s="7" customFormat="1">
      <c r="A1168" s="4"/>
      <c r="B1168" s="4"/>
      <c r="C1168" s="4"/>
      <c r="D1168" s="4"/>
      <c r="E1168" s="4"/>
      <c r="F1168" s="28"/>
      <c r="G1168" s="28"/>
      <c r="H1168" s="83"/>
      <c r="I1168" s="4"/>
      <c r="J1168" s="4"/>
      <c r="K1168" s="4"/>
      <c r="L1168" s="4"/>
      <c r="M1168" s="4"/>
      <c r="N1168" s="28"/>
      <c r="O1168" s="4"/>
      <c r="P1168" s="4"/>
      <c r="Q1168" s="4"/>
      <c r="R1168" s="4"/>
      <c r="S1168" s="4"/>
      <c r="T1168" s="4"/>
      <c r="U1168" s="4"/>
      <c r="V1168" s="4"/>
      <c r="W1168" s="4"/>
      <c r="X1168" s="4"/>
      <c r="Y1168" s="4"/>
      <c r="Z1168" s="4"/>
      <c r="AA1168" s="4"/>
      <c r="AB1168" s="4"/>
      <c r="AC1168" s="4"/>
      <c r="AD1168" s="4"/>
      <c r="AE1168" s="4"/>
      <c r="AF1168" s="81"/>
      <c r="AG1168" s="81"/>
      <c r="AH1168" s="81"/>
      <c r="AI1168" s="4"/>
      <c r="AJ1168" s="81"/>
      <c r="AK1168" s="81"/>
      <c r="AL1168" s="81"/>
    </row>
    <row r="1169" spans="1:38" s="7" customFormat="1">
      <c r="A1169" s="4"/>
      <c r="B1169" s="4"/>
      <c r="C1169" s="4"/>
      <c r="D1169" s="4"/>
      <c r="E1169" s="4"/>
      <c r="F1169" s="28"/>
      <c r="G1169" s="28"/>
      <c r="H1169" s="83"/>
      <c r="I1169" s="4"/>
      <c r="J1169" s="4"/>
      <c r="K1169" s="4"/>
      <c r="L1169" s="4"/>
      <c r="M1169" s="4"/>
      <c r="N1169" s="28"/>
      <c r="O1169" s="4"/>
      <c r="P1169" s="4"/>
      <c r="Q1169" s="4"/>
      <c r="R1169" s="4"/>
      <c r="S1169" s="4"/>
      <c r="T1169" s="4"/>
      <c r="U1169" s="4"/>
      <c r="V1169" s="4"/>
      <c r="W1169" s="4"/>
      <c r="X1169" s="4"/>
      <c r="Y1169" s="4"/>
      <c r="Z1169" s="4"/>
      <c r="AA1169" s="4"/>
      <c r="AB1169" s="4"/>
      <c r="AC1169" s="4"/>
      <c r="AD1169" s="4"/>
      <c r="AE1169" s="4"/>
      <c r="AF1169" s="81"/>
      <c r="AG1169" s="81"/>
      <c r="AH1169" s="81"/>
      <c r="AI1169" s="4"/>
      <c r="AJ1169" s="81"/>
      <c r="AK1169" s="81"/>
      <c r="AL1169" s="81"/>
    </row>
    <row r="1170" spans="1:38" s="7" customFormat="1">
      <c r="A1170" s="4"/>
      <c r="B1170" s="4"/>
      <c r="C1170" s="4"/>
      <c r="D1170" s="4"/>
      <c r="E1170" s="4"/>
      <c r="F1170" s="28"/>
      <c r="G1170" s="28"/>
      <c r="H1170" s="83"/>
      <c r="I1170" s="4"/>
      <c r="J1170" s="4"/>
      <c r="K1170" s="4"/>
      <c r="L1170" s="4"/>
      <c r="M1170" s="4"/>
      <c r="N1170" s="28"/>
      <c r="O1170" s="4"/>
      <c r="P1170" s="4"/>
      <c r="Q1170" s="4"/>
      <c r="R1170" s="4"/>
      <c r="S1170" s="4"/>
      <c r="T1170" s="4"/>
      <c r="U1170" s="4"/>
      <c r="V1170" s="4"/>
      <c r="W1170" s="4"/>
      <c r="X1170" s="4"/>
      <c r="Y1170" s="4"/>
      <c r="Z1170" s="4"/>
      <c r="AA1170" s="4"/>
      <c r="AB1170" s="4"/>
      <c r="AC1170" s="4"/>
      <c r="AD1170" s="4"/>
      <c r="AE1170" s="4"/>
      <c r="AF1170" s="81"/>
      <c r="AG1170" s="81"/>
      <c r="AH1170" s="81"/>
      <c r="AI1170" s="4"/>
      <c r="AJ1170" s="81"/>
      <c r="AK1170" s="81"/>
      <c r="AL1170" s="81"/>
    </row>
    <row r="1171" spans="1:38" s="7" customFormat="1">
      <c r="A1171" s="4"/>
      <c r="B1171" s="4"/>
      <c r="C1171" s="4"/>
      <c r="D1171" s="4"/>
      <c r="E1171" s="4"/>
      <c r="F1171" s="28"/>
      <c r="G1171" s="28"/>
      <c r="H1171" s="83"/>
      <c r="I1171" s="4"/>
      <c r="J1171" s="4"/>
      <c r="K1171" s="4"/>
      <c r="L1171" s="4"/>
      <c r="M1171" s="4"/>
      <c r="N1171" s="28"/>
      <c r="O1171" s="4"/>
      <c r="P1171" s="4"/>
      <c r="Q1171" s="4"/>
      <c r="R1171" s="4"/>
      <c r="S1171" s="4"/>
      <c r="T1171" s="4"/>
      <c r="U1171" s="4"/>
      <c r="V1171" s="4"/>
      <c r="W1171" s="4"/>
      <c r="X1171" s="4"/>
      <c r="Y1171" s="4"/>
      <c r="Z1171" s="4"/>
      <c r="AA1171" s="4"/>
      <c r="AB1171" s="4"/>
      <c r="AC1171" s="4"/>
      <c r="AD1171" s="4"/>
      <c r="AE1171" s="4"/>
      <c r="AF1171" s="81"/>
      <c r="AG1171" s="81"/>
      <c r="AH1171" s="81"/>
      <c r="AI1171" s="4"/>
      <c r="AJ1171" s="81"/>
      <c r="AK1171" s="81"/>
      <c r="AL1171" s="81"/>
    </row>
    <row r="1172" spans="1:38" s="7" customFormat="1">
      <c r="A1172" s="4"/>
      <c r="B1172" s="4"/>
      <c r="C1172" s="4"/>
      <c r="D1172" s="4"/>
      <c r="E1172" s="4"/>
      <c r="F1172" s="28"/>
      <c r="G1172" s="28"/>
      <c r="H1172" s="83"/>
      <c r="I1172" s="4"/>
      <c r="J1172" s="4"/>
      <c r="K1172" s="4"/>
      <c r="L1172" s="4"/>
      <c r="M1172" s="4"/>
      <c r="N1172" s="28"/>
      <c r="O1172" s="4"/>
      <c r="P1172" s="4"/>
      <c r="Q1172" s="4"/>
      <c r="R1172" s="4"/>
      <c r="S1172" s="4"/>
      <c r="T1172" s="4"/>
      <c r="U1172" s="4"/>
      <c r="V1172" s="4"/>
      <c r="W1172" s="4"/>
      <c r="X1172" s="4"/>
      <c r="Y1172" s="4"/>
      <c r="Z1172" s="4"/>
      <c r="AA1172" s="4"/>
      <c r="AB1172" s="4"/>
      <c r="AC1172" s="4"/>
      <c r="AD1172" s="4"/>
      <c r="AE1172" s="4"/>
      <c r="AF1172" s="81"/>
      <c r="AG1172" s="81"/>
      <c r="AH1172" s="81"/>
      <c r="AI1172" s="4"/>
      <c r="AJ1172" s="81"/>
      <c r="AK1172" s="81"/>
      <c r="AL1172" s="81"/>
    </row>
    <row r="1173" spans="1:38" s="7" customFormat="1">
      <c r="A1173" s="4"/>
      <c r="B1173" s="4"/>
      <c r="C1173" s="4"/>
      <c r="D1173" s="4"/>
      <c r="E1173" s="4"/>
      <c r="F1173" s="28"/>
      <c r="G1173" s="28"/>
      <c r="H1173" s="83"/>
      <c r="I1173" s="4"/>
      <c r="J1173" s="4"/>
      <c r="K1173" s="4"/>
      <c r="L1173" s="4"/>
      <c r="M1173" s="4"/>
      <c r="N1173" s="28"/>
      <c r="O1173" s="4"/>
      <c r="P1173" s="4"/>
      <c r="Q1173" s="4"/>
      <c r="R1173" s="4"/>
      <c r="S1173" s="4"/>
      <c r="T1173" s="4"/>
      <c r="U1173" s="4"/>
      <c r="V1173" s="4"/>
      <c r="W1173" s="4"/>
      <c r="X1173" s="4"/>
      <c r="Y1173" s="4"/>
      <c r="Z1173" s="4"/>
      <c r="AA1173" s="4"/>
      <c r="AB1173" s="4"/>
      <c r="AC1173" s="4"/>
      <c r="AD1173" s="4"/>
      <c r="AE1173" s="4"/>
      <c r="AF1173" s="81"/>
      <c r="AG1173" s="81"/>
      <c r="AH1173" s="81"/>
      <c r="AI1173" s="4"/>
      <c r="AJ1173" s="81"/>
      <c r="AK1173" s="81"/>
      <c r="AL1173" s="81"/>
    </row>
    <row r="1174" spans="1:38" s="7" customFormat="1">
      <c r="A1174" s="4"/>
      <c r="B1174" s="4"/>
      <c r="C1174" s="4"/>
      <c r="D1174" s="4"/>
      <c r="E1174" s="4"/>
      <c r="F1174" s="28"/>
      <c r="G1174" s="28"/>
      <c r="H1174" s="83"/>
      <c r="I1174" s="4"/>
      <c r="J1174" s="4"/>
      <c r="K1174" s="4"/>
      <c r="L1174" s="4"/>
      <c r="M1174" s="4"/>
      <c r="N1174" s="28"/>
      <c r="O1174" s="4"/>
      <c r="P1174" s="4"/>
      <c r="Q1174" s="4"/>
      <c r="R1174" s="4"/>
      <c r="S1174" s="4"/>
      <c r="T1174" s="4"/>
      <c r="U1174" s="4"/>
      <c r="V1174" s="4"/>
      <c r="W1174" s="4"/>
      <c r="X1174" s="4"/>
      <c r="Y1174" s="4"/>
      <c r="Z1174" s="4"/>
      <c r="AA1174" s="4"/>
      <c r="AB1174" s="4"/>
      <c r="AC1174" s="4"/>
      <c r="AD1174" s="4"/>
      <c r="AE1174" s="4"/>
      <c r="AF1174" s="81"/>
      <c r="AG1174" s="81"/>
      <c r="AH1174" s="81"/>
      <c r="AI1174" s="4"/>
      <c r="AJ1174" s="81"/>
      <c r="AK1174" s="81"/>
      <c r="AL1174" s="81"/>
    </row>
    <row r="1175" spans="1:38" s="7" customFormat="1">
      <c r="A1175" s="4"/>
      <c r="B1175" s="4"/>
      <c r="C1175" s="4"/>
      <c r="D1175" s="4"/>
      <c r="E1175" s="4"/>
      <c r="F1175" s="28"/>
      <c r="G1175" s="28"/>
      <c r="H1175" s="83"/>
      <c r="I1175" s="4"/>
      <c r="J1175" s="4"/>
      <c r="K1175" s="4"/>
      <c r="L1175" s="4"/>
      <c r="M1175" s="4"/>
      <c r="N1175" s="28"/>
      <c r="O1175" s="4"/>
      <c r="P1175" s="4"/>
      <c r="Q1175" s="4"/>
      <c r="R1175" s="4"/>
      <c r="S1175" s="4"/>
      <c r="T1175" s="4"/>
      <c r="U1175" s="4"/>
      <c r="V1175" s="4"/>
      <c r="W1175" s="4"/>
      <c r="X1175" s="4"/>
      <c r="Y1175" s="4"/>
      <c r="Z1175" s="4"/>
      <c r="AA1175" s="4"/>
      <c r="AB1175" s="4"/>
      <c r="AC1175" s="4"/>
      <c r="AD1175" s="4"/>
      <c r="AE1175" s="4"/>
      <c r="AF1175" s="81"/>
      <c r="AG1175" s="81"/>
      <c r="AH1175" s="81"/>
      <c r="AI1175" s="4"/>
      <c r="AJ1175" s="81"/>
      <c r="AK1175" s="81"/>
      <c r="AL1175" s="81"/>
    </row>
    <row r="1176" spans="1:38" s="7" customFormat="1">
      <c r="A1176" s="4"/>
      <c r="B1176" s="4"/>
      <c r="C1176" s="4"/>
      <c r="D1176" s="4"/>
      <c r="E1176" s="4"/>
      <c r="F1176" s="28"/>
      <c r="G1176" s="28"/>
      <c r="H1176" s="83"/>
      <c r="I1176" s="4"/>
      <c r="J1176" s="4"/>
      <c r="K1176" s="4"/>
      <c r="L1176" s="4"/>
      <c r="M1176" s="4"/>
      <c r="N1176" s="28"/>
      <c r="O1176" s="4"/>
      <c r="P1176" s="4"/>
      <c r="Q1176" s="4"/>
      <c r="R1176" s="4"/>
      <c r="S1176" s="4"/>
      <c r="T1176" s="4"/>
      <c r="U1176" s="4"/>
      <c r="V1176" s="4"/>
      <c r="W1176" s="4"/>
      <c r="X1176" s="4"/>
      <c r="Y1176" s="4"/>
      <c r="Z1176" s="4"/>
      <c r="AA1176" s="4"/>
      <c r="AB1176" s="4"/>
      <c r="AC1176" s="4"/>
      <c r="AD1176" s="4"/>
      <c r="AE1176" s="4"/>
      <c r="AF1176" s="81"/>
      <c r="AG1176" s="81"/>
      <c r="AH1176" s="81"/>
      <c r="AI1176" s="4"/>
      <c r="AJ1176" s="81"/>
      <c r="AK1176" s="81"/>
      <c r="AL1176" s="81"/>
    </row>
    <row r="1177" spans="1:38" s="7" customFormat="1">
      <c r="A1177" s="4"/>
      <c r="B1177" s="4"/>
      <c r="C1177" s="4"/>
      <c r="D1177" s="4"/>
      <c r="E1177" s="4"/>
      <c r="F1177" s="28"/>
      <c r="G1177" s="28"/>
      <c r="H1177" s="83"/>
      <c r="I1177" s="4"/>
      <c r="J1177" s="4"/>
      <c r="K1177" s="4"/>
      <c r="L1177" s="4"/>
      <c r="M1177" s="4"/>
      <c r="N1177" s="28"/>
      <c r="O1177" s="4"/>
      <c r="P1177" s="4"/>
      <c r="Q1177" s="4"/>
      <c r="R1177" s="4"/>
      <c r="S1177" s="4"/>
      <c r="T1177" s="4"/>
      <c r="U1177" s="4"/>
      <c r="V1177" s="4"/>
      <c r="W1177" s="4"/>
      <c r="X1177" s="4"/>
      <c r="Y1177" s="4"/>
      <c r="Z1177" s="4"/>
      <c r="AA1177" s="4"/>
      <c r="AB1177" s="4"/>
      <c r="AC1177" s="4"/>
      <c r="AD1177" s="4"/>
      <c r="AE1177" s="4"/>
      <c r="AF1177" s="81"/>
      <c r="AG1177" s="81"/>
      <c r="AH1177" s="81"/>
      <c r="AI1177" s="4"/>
      <c r="AJ1177" s="81"/>
      <c r="AK1177" s="81"/>
      <c r="AL1177" s="81"/>
    </row>
    <row r="1178" spans="1:38" s="7" customFormat="1">
      <c r="A1178" s="4"/>
      <c r="B1178" s="4"/>
      <c r="C1178" s="4"/>
      <c r="D1178" s="4"/>
      <c r="E1178" s="4"/>
      <c r="F1178" s="28"/>
      <c r="G1178" s="28"/>
      <c r="H1178" s="83"/>
      <c r="I1178" s="4"/>
      <c r="J1178" s="4"/>
      <c r="K1178" s="4"/>
      <c r="L1178" s="4"/>
      <c r="M1178" s="4"/>
      <c r="N1178" s="28"/>
      <c r="O1178" s="4"/>
      <c r="P1178" s="4"/>
      <c r="Q1178" s="4"/>
      <c r="R1178" s="4"/>
      <c r="S1178" s="4"/>
      <c r="T1178" s="4"/>
      <c r="U1178" s="4"/>
      <c r="V1178" s="4"/>
      <c r="W1178" s="4"/>
      <c r="X1178" s="4"/>
      <c r="Y1178" s="4"/>
      <c r="Z1178" s="4"/>
      <c r="AA1178" s="4"/>
      <c r="AB1178" s="4"/>
      <c r="AC1178" s="4"/>
      <c r="AD1178" s="4"/>
      <c r="AE1178" s="4"/>
      <c r="AF1178" s="81"/>
      <c r="AG1178" s="81"/>
      <c r="AH1178" s="81"/>
      <c r="AI1178" s="4"/>
      <c r="AJ1178" s="81"/>
      <c r="AK1178" s="81"/>
      <c r="AL1178" s="81"/>
    </row>
    <row r="1179" spans="1:38" s="7" customFormat="1">
      <c r="A1179" s="4"/>
      <c r="B1179" s="4"/>
      <c r="C1179" s="4"/>
      <c r="D1179" s="4"/>
      <c r="E1179" s="4"/>
      <c r="F1179" s="28"/>
      <c r="G1179" s="28"/>
      <c r="H1179" s="83"/>
      <c r="I1179" s="4"/>
      <c r="J1179" s="4"/>
      <c r="K1179" s="4"/>
      <c r="L1179" s="4"/>
      <c r="M1179" s="4"/>
      <c r="N1179" s="28"/>
      <c r="O1179" s="4"/>
      <c r="P1179" s="4"/>
      <c r="Q1179" s="4"/>
      <c r="R1179" s="4"/>
      <c r="S1179" s="4"/>
      <c r="T1179" s="4"/>
      <c r="U1179" s="4"/>
      <c r="V1179" s="4"/>
      <c r="W1179" s="4"/>
      <c r="X1179" s="4"/>
      <c r="Y1179" s="4"/>
      <c r="Z1179" s="4"/>
      <c r="AA1179" s="4"/>
      <c r="AB1179" s="4"/>
      <c r="AC1179" s="4"/>
      <c r="AD1179" s="4"/>
      <c r="AE1179" s="4"/>
      <c r="AF1179" s="81"/>
      <c r="AG1179" s="81"/>
      <c r="AH1179" s="81"/>
      <c r="AI1179" s="4"/>
      <c r="AJ1179" s="81"/>
      <c r="AK1179" s="81"/>
      <c r="AL1179" s="81"/>
    </row>
    <row r="1180" spans="1:38" s="7" customFormat="1">
      <c r="A1180" s="4"/>
      <c r="B1180" s="4"/>
      <c r="C1180" s="4"/>
      <c r="D1180" s="4"/>
      <c r="E1180" s="4"/>
      <c r="F1180" s="28"/>
      <c r="G1180" s="28"/>
      <c r="H1180" s="83"/>
      <c r="I1180" s="4"/>
      <c r="J1180" s="4"/>
      <c r="K1180" s="4"/>
      <c r="L1180" s="4"/>
      <c r="M1180" s="4"/>
      <c r="N1180" s="28"/>
      <c r="O1180" s="4"/>
      <c r="P1180" s="4"/>
      <c r="Q1180" s="4"/>
      <c r="R1180" s="4"/>
      <c r="S1180" s="4"/>
      <c r="T1180" s="4"/>
      <c r="U1180" s="4"/>
      <c r="V1180" s="4"/>
      <c r="W1180" s="4"/>
      <c r="X1180" s="4"/>
      <c r="Y1180" s="4"/>
      <c r="Z1180" s="4"/>
      <c r="AA1180" s="4"/>
      <c r="AB1180" s="4"/>
      <c r="AC1180" s="4"/>
      <c r="AD1180" s="4"/>
      <c r="AE1180" s="4"/>
      <c r="AF1180" s="81"/>
      <c r="AG1180" s="81"/>
      <c r="AH1180" s="81"/>
      <c r="AI1180" s="4"/>
      <c r="AJ1180" s="81"/>
      <c r="AK1180" s="81"/>
      <c r="AL1180" s="81"/>
    </row>
    <row r="1181" spans="1:38" s="7" customFormat="1">
      <c r="A1181" s="4"/>
      <c r="B1181" s="4"/>
      <c r="C1181" s="4"/>
      <c r="D1181" s="4"/>
      <c r="E1181" s="4"/>
      <c r="F1181" s="28"/>
      <c r="G1181" s="28"/>
      <c r="H1181" s="83"/>
      <c r="I1181" s="4"/>
      <c r="J1181" s="4"/>
      <c r="K1181" s="4"/>
      <c r="L1181" s="4"/>
      <c r="M1181" s="4"/>
      <c r="N1181" s="28"/>
      <c r="O1181" s="4"/>
      <c r="P1181" s="4"/>
      <c r="Q1181" s="4"/>
      <c r="R1181" s="4"/>
      <c r="S1181" s="4"/>
      <c r="T1181" s="4"/>
      <c r="U1181" s="4"/>
      <c r="V1181" s="4"/>
      <c r="W1181" s="4"/>
      <c r="X1181" s="4"/>
      <c r="Y1181" s="4"/>
      <c r="Z1181" s="4"/>
      <c r="AA1181" s="4"/>
      <c r="AB1181" s="4"/>
      <c r="AC1181" s="4"/>
      <c r="AD1181" s="4"/>
      <c r="AE1181" s="4"/>
      <c r="AF1181" s="81"/>
      <c r="AG1181" s="81"/>
      <c r="AH1181" s="81"/>
      <c r="AI1181" s="4"/>
      <c r="AJ1181" s="81"/>
      <c r="AK1181" s="81"/>
      <c r="AL1181" s="81"/>
    </row>
    <row r="1182" spans="1:38" s="7" customFormat="1">
      <c r="A1182" s="4"/>
      <c r="B1182" s="4"/>
      <c r="C1182" s="4"/>
      <c r="D1182" s="4"/>
      <c r="E1182" s="4"/>
      <c r="F1182" s="28"/>
      <c r="G1182" s="28"/>
      <c r="H1182" s="83"/>
      <c r="I1182" s="4"/>
      <c r="J1182" s="4"/>
      <c r="K1182" s="4"/>
      <c r="L1182" s="4"/>
      <c r="M1182" s="4"/>
      <c r="N1182" s="28"/>
      <c r="O1182" s="4"/>
      <c r="P1182" s="4"/>
      <c r="Q1182" s="4"/>
      <c r="R1182" s="4"/>
      <c r="S1182" s="4"/>
      <c r="T1182" s="4"/>
      <c r="U1182" s="4"/>
      <c r="V1182" s="4"/>
      <c r="W1182" s="4"/>
      <c r="X1182" s="4"/>
      <c r="Y1182" s="4"/>
      <c r="Z1182" s="4"/>
      <c r="AA1182" s="4"/>
      <c r="AB1182" s="4"/>
      <c r="AC1182" s="4"/>
      <c r="AD1182" s="4"/>
      <c r="AE1182" s="4"/>
      <c r="AF1182" s="81"/>
      <c r="AG1182" s="81"/>
      <c r="AH1182" s="81"/>
      <c r="AI1182" s="4"/>
      <c r="AJ1182" s="81"/>
      <c r="AK1182" s="81"/>
      <c r="AL1182" s="81"/>
    </row>
    <row r="1183" spans="1:38" s="7" customFormat="1">
      <c r="A1183" s="4"/>
      <c r="B1183" s="4"/>
      <c r="C1183" s="4"/>
      <c r="D1183" s="4"/>
      <c r="E1183" s="4"/>
      <c r="F1183" s="28"/>
      <c r="G1183" s="28"/>
      <c r="H1183" s="83"/>
      <c r="I1183" s="4"/>
      <c r="J1183" s="4"/>
      <c r="K1183" s="4"/>
      <c r="L1183" s="4"/>
      <c r="M1183" s="4"/>
      <c r="N1183" s="28"/>
      <c r="O1183" s="4"/>
      <c r="P1183" s="4"/>
      <c r="Q1183" s="4"/>
      <c r="R1183" s="4"/>
      <c r="S1183" s="4"/>
      <c r="T1183" s="4"/>
      <c r="U1183" s="4"/>
      <c r="V1183" s="4"/>
      <c r="W1183" s="4"/>
      <c r="X1183" s="4"/>
      <c r="Y1183" s="4"/>
      <c r="Z1183" s="4"/>
      <c r="AA1183" s="4"/>
      <c r="AB1183" s="4"/>
      <c r="AC1183" s="4"/>
      <c r="AD1183" s="4"/>
      <c r="AE1183" s="4"/>
      <c r="AF1183" s="81"/>
      <c r="AG1183" s="81"/>
      <c r="AH1183" s="81"/>
      <c r="AI1183" s="4"/>
      <c r="AJ1183" s="81"/>
      <c r="AK1183" s="81"/>
      <c r="AL1183" s="81"/>
    </row>
    <row r="1184" spans="1:38" s="7" customFormat="1">
      <c r="A1184" s="4"/>
      <c r="B1184" s="4"/>
      <c r="C1184" s="4"/>
      <c r="D1184" s="4"/>
      <c r="E1184" s="4"/>
      <c r="F1184" s="28"/>
      <c r="G1184" s="28"/>
      <c r="H1184" s="83"/>
      <c r="I1184" s="4"/>
      <c r="J1184" s="4"/>
      <c r="K1184" s="4"/>
      <c r="L1184" s="4"/>
      <c r="M1184" s="4"/>
      <c r="N1184" s="28"/>
      <c r="O1184" s="4"/>
      <c r="P1184" s="4"/>
      <c r="Q1184" s="4"/>
      <c r="R1184" s="4"/>
      <c r="S1184" s="4"/>
      <c r="T1184" s="4"/>
      <c r="U1184" s="4"/>
      <c r="V1184" s="4"/>
      <c r="W1184" s="4"/>
      <c r="X1184" s="4"/>
      <c r="Y1184" s="4"/>
      <c r="Z1184" s="4"/>
      <c r="AA1184" s="4"/>
      <c r="AB1184" s="4"/>
      <c r="AC1184" s="4"/>
      <c r="AD1184" s="4"/>
      <c r="AE1184" s="4"/>
      <c r="AF1184" s="81"/>
      <c r="AG1184" s="81"/>
      <c r="AH1184" s="81"/>
      <c r="AI1184" s="4"/>
      <c r="AJ1184" s="81"/>
      <c r="AK1184" s="81"/>
      <c r="AL1184" s="81"/>
    </row>
    <row r="1185" spans="1:38" s="7" customFormat="1">
      <c r="A1185" s="4"/>
      <c r="B1185" s="4"/>
      <c r="C1185" s="4"/>
      <c r="D1185" s="4"/>
      <c r="E1185" s="4"/>
      <c r="F1185" s="28"/>
      <c r="G1185" s="28"/>
      <c r="H1185" s="83"/>
      <c r="I1185" s="4"/>
      <c r="J1185" s="4"/>
      <c r="K1185" s="4"/>
      <c r="L1185" s="4"/>
      <c r="M1185" s="4"/>
      <c r="N1185" s="28"/>
      <c r="O1185" s="4"/>
      <c r="P1185" s="4"/>
      <c r="Q1185" s="4"/>
      <c r="R1185" s="4"/>
      <c r="S1185" s="4"/>
      <c r="T1185" s="4"/>
      <c r="U1185" s="4"/>
      <c r="V1185" s="4"/>
      <c r="W1185" s="4"/>
      <c r="X1185" s="4"/>
      <c r="Y1185" s="4"/>
      <c r="Z1185" s="4"/>
      <c r="AA1185" s="4"/>
      <c r="AB1185" s="4"/>
      <c r="AC1185" s="4"/>
      <c r="AD1185" s="4"/>
      <c r="AE1185" s="4"/>
      <c r="AF1185" s="81"/>
      <c r="AG1185" s="81"/>
      <c r="AH1185" s="81"/>
      <c r="AI1185" s="4"/>
      <c r="AJ1185" s="81"/>
      <c r="AK1185" s="81"/>
      <c r="AL1185" s="81"/>
    </row>
    <row r="1186" spans="1:38" s="7" customFormat="1">
      <c r="A1186" s="4"/>
      <c r="B1186" s="4"/>
      <c r="C1186" s="4"/>
      <c r="D1186" s="4"/>
      <c r="E1186" s="4"/>
      <c r="F1186" s="28"/>
      <c r="G1186" s="28"/>
      <c r="H1186" s="83"/>
      <c r="I1186" s="4"/>
      <c r="J1186" s="4"/>
      <c r="K1186" s="4"/>
      <c r="L1186" s="4"/>
      <c r="M1186" s="4"/>
      <c r="N1186" s="28"/>
      <c r="O1186" s="4"/>
      <c r="P1186" s="4"/>
      <c r="Q1186" s="4"/>
      <c r="R1186" s="4"/>
      <c r="S1186" s="4"/>
      <c r="T1186" s="4"/>
      <c r="U1186" s="4"/>
      <c r="V1186" s="4"/>
      <c r="W1186" s="4"/>
      <c r="X1186" s="4"/>
      <c r="Y1186" s="4"/>
      <c r="Z1186" s="4"/>
      <c r="AA1186" s="4"/>
      <c r="AB1186" s="4"/>
      <c r="AC1186" s="4"/>
      <c r="AD1186" s="4"/>
      <c r="AE1186" s="4"/>
      <c r="AF1186" s="81"/>
      <c r="AG1186" s="81"/>
      <c r="AH1186" s="81"/>
      <c r="AI1186" s="4"/>
      <c r="AJ1186" s="81"/>
      <c r="AK1186" s="81"/>
      <c r="AL1186" s="81"/>
    </row>
    <row r="1187" spans="1:38" s="7" customFormat="1">
      <c r="A1187" s="4"/>
      <c r="B1187" s="4"/>
      <c r="C1187" s="4"/>
      <c r="D1187" s="4"/>
      <c r="E1187" s="4"/>
      <c r="F1187" s="28"/>
      <c r="G1187" s="28"/>
      <c r="H1187" s="83"/>
      <c r="I1187" s="4"/>
      <c r="J1187" s="4"/>
      <c r="K1187" s="4"/>
      <c r="L1187" s="4"/>
      <c r="M1187" s="4"/>
      <c r="N1187" s="28"/>
      <c r="O1187" s="4"/>
      <c r="P1187" s="4"/>
      <c r="Q1187" s="4"/>
      <c r="R1187" s="4"/>
      <c r="S1187" s="4"/>
      <c r="T1187" s="4"/>
      <c r="U1187" s="4"/>
      <c r="V1187" s="4"/>
      <c r="W1187" s="4"/>
      <c r="X1187" s="4"/>
      <c r="Y1187" s="4"/>
      <c r="Z1187" s="4"/>
      <c r="AA1187" s="4"/>
      <c r="AB1187" s="4"/>
      <c r="AC1187" s="4"/>
      <c r="AD1187" s="4"/>
      <c r="AE1187" s="4"/>
      <c r="AF1187" s="81"/>
      <c r="AG1187" s="81"/>
      <c r="AH1187" s="81"/>
      <c r="AI1187" s="4"/>
      <c r="AJ1187" s="81"/>
      <c r="AK1187" s="81"/>
      <c r="AL1187" s="81"/>
    </row>
    <row r="1188" spans="1:38" s="7" customFormat="1">
      <c r="A1188" s="4"/>
      <c r="B1188" s="4"/>
      <c r="C1188" s="4"/>
      <c r="D1188" s="4"/>
      <c r="E1188" s="4"/>
      <c r="F1188" s="28"/>
      <c r="G1188" s="28"/>
      <c r="H1188" s="83"/>
      <c r="I1188" s="4"/>
      <c r="J1188" s="4"/>
      <c r="K1188" s="4"/>
      <c r="L1188" s="4"/>
      <c r="M1188" s="4"/>
      <c r="N1188" s="28"/>
      <c r="O1188" s="4"/>
      <c r="P1188" s="4"/>
      <c r="Q1188" s="4"/>
      <c r="R1188" s="4"/>
      <c r="S1188" s="4"/>
      <c r="T1188" s="4"/>
      <c r="U1188" s="4"/>
      <c r="V1188" s="4"/>
      <c r="W1188" s="4"/>
      <c r="X1188" s="4"/>
      <c r="Y1188" s="4"/>
      <c r="Z1188" s="4"/>
      <c r="AA1188" s="4"/>
      <c r="AB1188" s="4"/>
      <c r="AC1188" s="4"/>
      <c r="AD1188" s="4"/>
      <c r="AE1188" s="4"/>
      <c r="AF1188" s="81"/>
      <c r="AG1188" s="81"/>
      <c r="AH1188" s="81"/>
      <c r="AI1188" s="4"/>
      <c r="AJ1188" s="81"/>
      <c r="AK1188" s="81"/>
      <c r="AL1188" s="81"/>
    </row>
    <row r="1189" spans="1:38" s="7" customFormat="1">
      <c r="A1189" s="4"/>
      <c r="B1189" s="4"/>
      <c r="C1189" s="4"/>
      <c r="D1189" s="4"/>
      <c r="E1189" s="4"/>
      <c r="F1189" s="28"/>
      <c r="G1189" s="28"/>
      <c r="H1189" s="83"/>
      <c r="I1189" s="4"/>
      <c r="J1189" s="4"/>
      <c r="K1189" s="4"/>
      <c r="L1189" s="4"/>
      <c r="M1189" s="4"/>
      <c r="N1189" s="28"/>
      <c r="O1189" s="4"/>
      <c r="P1189" s="4"/>
      <c r="Q1189" s="4"/>
      <c r="R1189" s="4"/>
      <c r="S1189" s="4"/>
      <c r="T1189" s="4"/>
      <c r="U1189" s="4"/>
      <c r="V1189" s="4"/>
      <c r="W1189" s="4"/>
      <c r="X1189" s="4"/>
      <c r="Y1189" s="4"/>
      <c r="Z1189" s="4"/>
      <c r="AA1189" s="4"/>
      <c r="AB1189" s="4"/>
      <c r="AC1189" s="4"/>
      <c r="AD1189" s="4"/>
      <c r="AE1189" s="4"/>
      <c r="AF1189" s="81"/>
      <c r="AG1189" s="81"/>
      <c r="AH1189" s="81"/>
      <c r="AI1189" s="4"/>
      <c r="AJ1189" s="81"/>
      <c r="AK1189" s="81"/>
      <c r="AL1189" s="81"/>
    </row>
    <row r="1190" spans="1:38" s="7" customFormat="1">
      <c r="A1190" s="4"/>
      <c r="B1190" s="4"/>
      <c r="C1190" s="4"/>
      <c r="D1190" s="4"/>
      <c r="E1190" s="4"/>
      <c r="F1190" s="28"/>
      <c r="G1190" s="28"/>
      <c r="H1190" s="83"/>
      <c r="I1190" s="4"/>
      <c r="J1190" s="4"/>
      <c r="K1190" s="4"/>
      <c r="L1190" s="4"/>
      <c r="M1190" s="4"/>
      <c r="N1190" s="28"/>
      <c r="O1190" s="4"/>
      <c r="P1190" s="4"/>
      <c r="Q1190" s="4"/>
      <c r="R1190" s="4"/>
      <c r="S1190" s="4"/>
      <c r="T1190" s="4"/>
      <c r="U1190" s="4"/>
      <c r="V1190" s="4"/>
      <c r="W1190" s="4"/>
      <c r="X1190" s="4"/>
      <c r="Y1190" s="4"/>
      <c r="Z1190" s="4"/>
      <c r="AA1190" s="4"/>
      <c r="AB1190" s="4"/>
      <c r="AC1190" s="4"/>
      <c r="AD1190" s="4"/>
      <c r="AE1190" s="4"/>
      <c r="AF1190" s="81"/>
      <c r="AG1190" s="81"/>
      <c r="AH1190" s="81"/>
      <c r="AI1190" s="4"/>
      <c r="AJ1190" s="81"/>
      <c r="AK1190" s="81"/>
      <c r="AL1190" s="81"/>
    </row>
    <row r="1191" spans="1:38" s="7" customFormat="1">
      <c r="A1191" s="4"/>
      <c r="B1191" s="4"/>
      <c r="C1191" s="4"/>
      <c r="D1191" s="4"/>
      <c r="E1191" s="4"/>
      <c r="F1191" s="28"/>
      <c r="G1191" s="28"/>
      <c r="H1191" s="83"/>
      <c r="I1191" s="4"/>
      <c r="J1191" s="4"/>
      <c r="K1191" s="4"/>
      <c r="L1191" s="4"/>
      <c r="M1191" s="4"/>
      <c r="N1191" s="28"/>
      <c r="O1191" s="4"/>
      <c r="P1191" s="4"/>
      <c r="Q1191" s="4"/>
      <c r="R1191" s="4"/>
      <c r="S1191" s="4"/>
      <c r="T1191" s="4"/>
      <c r="U1191" s="4"/>
      <c r="V1191" s="4"/>
      <c r="W1191" s="4"/>
      <c r="X1191" s="4"/>
      <c r="Y1191" s="4"/>
      <c r="Z1191" s="4"/>
      <c r="AA1191" s="4"/>
      <c r="AB1191" s="4"/>
      <c r="AC1191" s="4"/>
      <c r="AD1191" s="4"/>
      <c r="AE1191" s="4"/>
      <c r="AF1191" s="81"/>
      <c r="AG1191" s="81"/>
      <c r="AH1191" s="81"/>
      <c r="AI1191" s="4"/>
      <c r="AJ1191" s="81"/>
      <c r="AK1191" s="81"/>
      <c r="AL1191" s="81"/>
    </row>
    <row r="1192" spans="1:38" s="7" customFormat="1">
      <c r="A1192" s="4"/>
      <c r="B1192" s="4"/>
      <c r="C1192" s="4"/>
      <c r="D1192" s="4"/>
      <c r="E1192" s="4"/>
      <c r="F1192" s="28"/>
      <c r="G1192" s="28"/>
      <c r="H1192" s="83"/>
      <c r="I1192" s="4"/>
      <c r="J1192" s="4"/>
      <c r="K1192" s="4"/>
      <c r="L1192" s="4"/>
      <c r="M1192" s="4"/>
      <c r="N1192" s="28"/>
      <c r="O1192" s="4"/>
      <c r="P1192" s="4"/>
      <c r="Q1192" s="4"/>
      <c r="R1192" s="4"/>
      <c r="S1192" s="4"/>
      <c r="T1192" s="4"/>
      <c r="U1192" s="4"/>
      <c r="V1192" s="4"/>
      <c r="W1192" s="4"/>
      <c r="X1192" s="4"/>
      <c r="Y1192" s="4"/>
      <c r="Z1192" s="4"/>
      <c r="AA1192" s="4"/>
      <c r="AB1192" s="4"/>
      <c r="AC1192" s="4"/>
      <c r="AD1192" s="4"/>
      <c r="AE1192" s="4"/>
      <c r="AF1192" s="81"/>
      <c r="AG1192" s="81"/>
      <c r="AH1192" s="81"/>
      <c r="AI1192" s="4"/>
      <c r="AJ1192" s="81"/>
      <c r="AK1192" s="81"/>
      <c r="AL1192" s="81"/>
    </row>
    <row r="1193" spans="1:38" s="7" customFormat="1">
      <c r="A1193" s="4"/>
      <c r="B1193" s="4"/>
      <c r="C1193" s="4"/>
      <c r="D1193" s="4"/>
      <c r="E1193" s="4"/>
      <c r="F1193" s="28"/>
      <c r="G1193" s="28"/>
      <c r="H1193" s="83"/>
      <c r="I1193" s="4"/>
      <c r="J1193" s="4"/>
      <c r="K1193" s="4"/>
      <c r="L1193" s="4"/>
      <c r="M1193" s="4"/>
      <c r="N1193" s="28"/>
      <c r="O1193" s="4"/>
      <c r="P1193" s="4"/>
      <c r="Q1193" s="4"/>
      <c r="R1193" s="4"/>
      <c r="S1193" s="4"/>
      <c r="T1193" s="4"/>
      <c r="U1193" s="4"/>
      <c r="V1193" s="4"/>
      <c r="W1193" s="4"/>
      <c r="X1193" s="4"/>
      <c r="Y1193" s="4"/>
      <c r="Z1193" s="4"/>
      <c r="AA1193" s="4"/>
      <c r="AB1193" s="4"/>
      <c r="AC1193" s="4"/>
      <c r="AD1193" s="4"/>
      <c r="AE1193" s="4"/>
      <c r="AF1193" s="81"/>
      <c r="AG1193" s="81"/>
      <c r="AH1193" s="81"/>
      <c r="AI1193" s="4"/>
      <c r="AJ1193" s="81"/>
      <c r="AK1193" s="81"/>
      <c r="AL1193" s="81"/>
    </row>
    <row r="1194" spans="1:38" s="7" customFormat="1">
      <c r="A1194" s="4"/>
      <c r="B1194" s="4"/>
      <c r="C1194" s="4"/>
      <c r="D1194" s="4"/>
      <c r="E1194" s="4"/>
      <c r="F1194" s="28"/>
      <c r="G1194" s="28"/>
      <c r="H1194" s="83"/>
      <c r="I1194" s="4"/>
      <c r="J1194" s="4"/>
      <c r="K1194" s="4"/>
      <c r="L1194" s="4"/>
      <c r="M1194" s="4"/>
      <c r="N1194" s="28"/>
      <c r="O1194" s="4"/>
      <c r="P1194" s="4"/>
      <c r="Q1194" s="4"/>
      <c r="R1194" s="4"/>
      <c r="S1194" s="4"/>
      <c r="T1194" s="4"/>
      <c r="U1194" s="4"/>
      <c r="V1194" s="4"/>
      <c r="W1194" s="4"/>
      <c r="X1194" s="4"/>
      <c r="Y1194" s="4"/>
      <c r="Z1194" s="4"/>
      <c r="AA1194" s="4"/>
      <c r="AB1194" s="4"/>
      <c r="AC1194" s="4"/>
      <c r="AD1194" s="4"/>
      <c r="AE1194" s="4"/>
      <c r="AF1194" s="81"/>
      <c r="AG1194" s="81"/>
      <c r="AH1194" s="81"/>
      <c r="AI1194" s="4"/>
      <c r="AJ1194" s="81"/>
      <c r="AK1194" s="81"/>
      <c r="AL1194" s="81"/>
    </row>
    <row r="1195" spans="1:38" s="7" customFormat="1">
      <c r="A1195" s="4"/>
      <c r="B1195" s="4"/>
      <c r="C1195" s="4"/>
      <c r="D1195" s="4"/>
      <c r="E1195" s="4"/>
      <c r="F1195" s="28"/>
      <c r="G1195" s="28"/>
      <c r="H1195" s="83"/>
      <c r="I1195" s="4"/>
      <c r="J1195" s="4"/>
      <c r="K1195" s="4"/>
      <c r="L1195" s="4"/>
      <c r="M1195" s="4"/>
      <c r="N1195" s="28"/>
      <c r="O1195" s="4"/>
      <c r="P1195" s="4"/>
      <c r="Q1195" s="4"/>
      <c r="R1195" s="4"/>
      <c r="S1195" s="4"/>
      <c r="T1195" s="4"/>
      <c r="U1195" s="4"/>
      <c r="V1195" s="4"/>
      <c r="W1195" s="4"/>
      <c r="X1195" s="4"/>
      <c r="Y1195" s="4"/>
      <c r="Z1195" s="4"/>
      <c r="AA1195" s="4"/>
      <c r="AB1195" s="4"/>
      <c r="AC1195" s="4"/>
      <c r="AD1195" s="4"/>
      <c r="AE1195" s="4"/>
      <c r="AF1195" s="81"/>
      <c r="AG1195" s="81"/>
      <c r="AH1195" s="81"/>
      <c r="AI1195" s="4"/>
      <c r="AJ1195" s="81"/>
      <c r="AK1195" s="81"/>
      <c r="AL1195" s="81"/>
    </row>
    <row r="1196" spans="1:38" s="7" customFormat="1">
      <c r="A1196" s="4"/>
      <c r="B1196" s="4"/>
      <c r="C1196" s="4"/>
      <c r="D1196" s="4"/>
      <c r="E1196" s="4"/>
      <c r="F1196" s="28"/>
      <c r="G1196" s="28"/>
      <c r="H1196" s="83"/>
      <c r="I1196" s="4"/>
      <c r="J1196" s="4"/>
      <c r="K1196" s="4"/>
      <c r="L1196" s="4"/>
      <c r="M1196" s="4"/>
      <c r="N1196" s="28"/>
      <c r="O1196" s="4"/>
      <c r="P1196" s="4"/>
      <c r="Q1196" s="4"/>
      <c r="R1196" s="4"/>
      <c r="S1196" s="4"/>
      <c r="T1196" s="4"/>
      <c r="U1196" s="4"/>
      <c r="V1196" s="4"/>
      <c r="W1196" s="4"/>
      <c r="X1196" s="4"/>
      <c r="Y1196" s="4"/>
      <c r="Z1196" s="4"/>
      <c r="AA1196" s="4"/>
      <c r="AB1196" s="4"/>
      <c r="AC1196" s="4"/>
      <c r="AD1196" s="4"/>
      <c r="AE1196" s="4"/>
      <c r="AF1196" s="81"/>
      <c r="AG1196" s="81"/>
      <c r="AH1196" s="81"/>
      <c r="AI1196" s="4"/>
      <c r="AJ1196" s="81"/>
      <c r="AK1196" s="81"/>
      <c r="AL1196" s="81"/>
    </row>
    <row r="1197" spans="1:38" s="7" customFormat="1">
      <c r="A1197" s="4"/>
      <c r="B1197" s="4"/>
      <c r="C1197" s="4"/>
      <c r="D1197" s="4"/>
      <c r="E1197" s="4"/>
      <c r="F1197" s="28"/>
      <c r="G1197" s="28"/>
      <c r="H1197" s="83"/>
      <c r="I1197" s="4"/>
      <c r="J1197" s="4"/>
      <c r="K1197" s="4"/>
      <c r="L1197" s="4"/>
      <c r="M1197" s="4"/>
      <c r="N1197" s="28"/>
      <c r="O1197" s="4"/>
      <c r="P1197" s="4"/>
      <c r="Q1197" s="4"/>
      <c r="R1197" s="4"/>
      <c r="S1197" s="4"/>
      <c r="T1197" s="4"/>
      <c r="U1197" s="4"/>
      <c r="V1197" s="4"/>
      <c r="W1197" s="4"/>
      <c r="X1197" s="4"/>
      <c r="Y1197" s="4"/>
      <c r="Z1197" s="4"/>
      <c r="AA1197" s="4"/>
      <c r="AB1197" s="4"/>
      <c r="AC1197" s="4"/>
      <c r="AD1197" s="4"/>
      <c r="AE1197" s="4"/>
      <c r="AF1197" s="81"/>
      <c r="AG1197" s="81"/>
      <c r="AH1197" s="81"/>
      <c r="AI1197" s="4"/>
      <c r="AJ1197" s="81"/>
      <c r="AK1197" s="81"/>
      <c r="AL1197" s="81"/>
    </row>
    <row r="1198" spans="1:38" s="7" customFormat="1">
      <c r="A1198" s="4"/>
      <c r="B1198" s="4"/>
      <c r="C1198" s="4"/>
      <c r="D1198" s="4"/>
      <c r="E1198" s="4"/>
      <c r="F1198" s="28"/>
      <c r="G1198" s="28"/>
      <c r="H1198" s="83"/>
      <c r="I1198" s="4"/>
      <c r="J1198" s="4"/>
      <c r="K1198" s="4"/>
      <c r="L1198" s="4"/>
      <c r="M1198" s="4"/>
      <c r="N1198" s="28"/>
      <c r="O1198" s="4"/>
      <c r="P1198" s="4"/>
      <c r="Q1198" s="4"/>
      <c r="R1198" s="4"/>
      <c r="S1198" s="4"/>
      <c r="T1198" s="4"/>
      <c r="U1198" s="4"/>
      <c r="V1198" s="4"/>
      <c r="W1198" s="4"/>
      <c r="X1198" s="4"/>
      <c r="Y1198" s="4"/>
      <c r="Z1198" s="4"/>
      <c r="AA1198" s="4"/>
      <c r="AB1198" s="4"/>
      <c r="AC1198" s="4"/>
      <c r="AD1198" s="4"/>
      <c r="AE1198" s="4"/>
      <c r="AF1198" s="81"/>
      <c r="AG1198" s="81"/>
      <c r="AH1198" s="81"/>
      <c r="AI1198" s="4"/>
      <c r="AJ1198" s="81"/>
      <c r="AK1198" s="81"/>
      <c r="AL1198" s="81"/>
    </row>
    <row r="1199" spans="1:38" s="7" customFormat="1">
      <c r="A1199" s="4"/>
      <c r="B1199" s="4"/>
      <c r="C1199" s="4"/>
      <c r="D1199" s="4"/>
      <c r="E1199" s="4"/>
      <c r="F1199" s="28"/>
      <c r="G1199" s="28"/>
      <c r="H1199" s="83"/>
      <c r="I1199" s="4"/>
      <c r="J1199" s="4"/>
      <c r="K1199" s="4"/>
      <c r="L1199" s="4"/>
      <c r="M1199" s="4"/>
      <c r="N1199" s="28"/>
      <c r="O1199" s="4"/>
      <c r="P1199" s="4"/>
      <c r="Q1199" s="4"/>
      <c r="R1199" s="4"/>
      <c r="S1199" s="4"/>
      <c r="T1199" s="4"/>
      <c r="U1199" s="4"/>
      <c r="V1199" s="4"/>
      <c r="W1199" s="4"/>
      <c r="X1199" s="4"/>
      <c r="Y1199" s="4"/>
      <c r="Z1199" s="4"/>
      <c r="AA1199" s="4"/>
      <c r="AB1199" s="4"/>
      <c r="AC1199" s="4"/>
      <c r="AD1199" s="4"/>
      <c r="AE1199" s="4"/>
      <c r="AF1199" s="81"/>
      <c r="AG1199" s="81"/>
      <c r="AH1199" s="81"/>
      <c r="AI1199" s="4"/>
      <c r="AJ1199" s="81"/>
      <c r="AK1199" s="81"/>
      <c r="AL1199" s="81"/>
    </row>
    <row r="1200" spans="1:38" s="7" customFormat="1">
      <c r="A1200" s="4"/>
      <c r="B1200" s="4"/>
      <c r="C1200" s="4"/>
      <c r="D1200" s="4"/>
      <c r="E1200" s="4"/>
      <c r="F1200" s="28"/>
      <c r="G1200" s="28"/>
      <c r="H1200" s="83"/>
      <c r="I1200" s="4"/>
      <c r="J1200" s="4"/>
      <c r="K1200" s="4"/>
      <c r="L1200" s="4"/>
      <c r="M1200" s="4"/>
      <c r="N1200" s="28"/>
      <c r="O1200" s="4"/>
      <c r="P1200" s="4"/>
      <c r="Q1200" s="4"/>
      <c r="R1200" s="4"/>
      <c r="S1200" s="4"/>
      <c r="T1200" s="4"/>
      <c r="U1200" s="4"/>
      <c r="V1200" s="4"/>
      <c r="W1200" s="4"/>
      <c r="X1200" s="4"/>
      <c r="Y1200" s="4"/>
      <c r="Z1200" s="4"/>
      <c r="AA1200" s="4"/>
      <c r="AB1200" s="4"/>
      <c r="AC1200" s="4"/>
      <c r="AD1200" s="4"/>
      <c r="AE1200" s="4"/>
      <c r="AF1200" s="81"/>
      <c r="AG1200" s="81"/>
      <c r="AH1200" s="81"/>
      <c r="AI1200" s="4"/>
      <c r="AJ1200" s="81"/>
      <c r="AK1200" s="81"/>
      <c r="AL1200" s="81"/>
    </row>
    <row r="1201" spans="1:38" s="7" customFormat="1">
      <c r="A1201" s="4"/>
      <c r="B1201" s="4"/>
      <c r="C1201" s="4"/>
      <c r="D1201" s="4"/>
      <c r="E1201" s="4"/>
      <c r="F1201" s="28"/>
      <c r="G1201" s="28"/>
      <c r="H1201" s="83"/>
      <c r="I1201" s="4"/>
      <c r="J1201" s="4"/>
      <c r="K1201" s="4"/>
      <c r="L1201" s="4"/>
      <c r="M1201" s="4"/>
      <c r="N1201" s="28"/>
      <c r="O1201" s="4"/>
      <c r="P1201" s="4"/>
      <c r="Q1201" s="4"/>
      <c r="R1201" s="4"/>
      <c r="S1201" s="4"/>
      <c r="T1201" s="4"/>
      <c r="U1201" s="4"/>
      <c r="V1201" s="4"/>
      <c r="W1201" s="4"/>
      <c r="X1201" s="4"/>
      <c r="Y1201" s="4"/>
      <c r="Z1201" s="4"/>
      <c r="AA1201" s="4"/>
      <c r="AB1201" s="4"/>
      <c r="AC1201" s="4"/>
      <c r="AD1201" s="4"/>
      <c r="AE1201" s="4"/>
      <c r="AF1201" s="81"/>
      <c r="AG1201" s="81"/>
      <c r="AH1201" s="81"/>
      <c r="AI1201" s="4"/>
      <c r="AJ1201" s="81"/>
      <c r="AK1201" s="81"/>
      <c r="AL1201" s="81"/>
    </row>
    <row r="1202" spans="1:38" s="7" customFormat="1">
      <c r="A1202" s="4"/>
      <c r="B1202" s="4"/>
      <c r="C1202" s="4"/>
      <c r="D1202" s="4"/>
      <c r="E1202" s="4"/>
      <c r="F1202" s="28"/>
      <c r="G1202" s="28"/>
      <c r="H1202" s="83"/>
      <c r="I1202" s="4"/>
      <c r="J1202" s="4"/>
      <c r="K1202" s="4"/>
      <c r="L1202" s="4"/>
      <c r="M1202" s="4"/>
      <c r="N1202" s="28"/>
      <c r="O1202" s="4"/>
      <c r="P1202" s="4"/>
      <c r="Q1202" s="4"/>
      <c r="R1202" s="4"/>
      <c r="S1202" s="4"/>
      <c r="T1202" s="4"/>
      <c r="U1202" s="4"/>
      <c r="V1202" s="4"/>
      <c r="W1202" s="4"/>
      <c r="X1202" s="4"/>
      <c r="Y1202" s="4"/>
      <c r="Z1202" s="4"/>
      <c r="AA1202" s="4"/>
      <c r="AB1202" s="4"/>
      <c r="AC1202" s="4"/>
      <c r="AD1202" s="4"/>
      <c r="AE1202" s="4"/>
      <c r="AF1202" s="81"/>
      <c r="AG1202" s="81"/>
      <c r="AH1202" s="81"/>
      <c r="AI1202" s="4"/>
      <c r="AJ1202" s="81"/>
      <c r="AK1202" s="81"/>
      <c r="AL1202" s="81"/>
    </row>
    <row r="1203" spans="1:38" s="7" customFormat="1">
      <c r="A1203" s="4"/>
      <c r="B1203" s="4"/>
      <c r="C1203" s="4"/>
      <c r="D1203" s="4"/>
      <c r="E1203" s="4"/>
      <c r="F1203" s="28"/>
      <c r="G1203" s="28"/>
      <c r="H1203" s="83"/>
      <c r="I1203" s="4"/>
      <c r="J1203" s="4"/>
      <c r="K1203" s="4"/>
      <c r="L1203" s="4"/>
      <c r="M1203" s="4"/>
      <c r="N1203" s="28"/>
      <c r="O1203" s="4"/>
      <c r="P1203" s="4"/>
      <c r="Q1203" s="4"/>
      <c r="R1203" s="4"/>
      <c r="S1203" s="4"/>
      <c r="T1203" s="4"/>
      <c r="U1203" s="4"/>
      <c r="V1203" s="4"/>
      <c r="W1203" s="4"/>
      <c r="X1203" s="4"/>
      <c r="Y1203" s="4"/>
      <c r="Z1203" s="4"/>
      <c r="AA1203" s="4"/>
      <c r="AB1203" s="4"/>
      <c r="AC1203" s="4"/>
      <c r="AD1203" s="4"/>
      <c r="AE1203" s="4"/>
      <c r="AF1203" s="81"/>
      <c r="AG1203" s="81"/>
      <c r="AH1203" s="81"/>
      <c r="AI1203" s="4"/>
      <c r="AJ1203" s="81"/>
      <c r="AK1203" s="81"/>
      <c r="AL1203" s="81"/>
    </row>
    <row r="1204" spans="1:38" s="7" customFormat="1">
      <c r="A1204" s="4"/>
      <c r="B1204" s="4"/>
      <c r="C1204" s="4"/>
      <c r="D1204" s="4"/>
      <c r="E1204" s="4"/>
      <c r="F1204" s="28"/>
      <c r="G1204" s="28"/>
      <c r="H1204" s="83"/>
      <c r="I1204" s="4"/>
      <c r="J1204" s="4"/>
      <c r="K1204" s="4"/>
      <c r="L1204" s="4"/>
      <c r="M1204" s="4"/>
      <c r="N1204" s="28"/>
      <c r="O1204" s="4"/>
      <c r="P1204" s="4"/>
      <c r="Q1204" s="4"/>
      <c r="R1204" s="4"/>
      <c r="S1204" s="4"/>
      <c r="T1204" s="4"/>
      <c r="U1204" s="4"/>
      <c r="V1204" s="4"/>
      <c r="W1204" s="4"/>
      <c r="X1204" s="4"/>
      <c r="Y1204" s="4"/>
      <c r="Z1204" s="4"/>
      <c r="AA1204" s="4"/>
      <c r="AB1204" s="4"/>
      <c r="AC1204" s="4"/>
      <c r="AD1204" s="4"/>
      <c r="AE1204" s="4"/>
      <c r="AF1204" s="81"/>
      <c r="AG1204" s="81"/>
      <c r="AH1204" s="81"/>
      <c r="AI1204" s="4"/>
      <c r="AJ1204" s="81"/>
      <c r="AK1204" s="81"/>
      <c r="AL1204" s="81"/>
    </row>
    <row r="1205" spans="1:38" s="7" customFormat="1">
      <c r="A1205" s="4"/>
      <c r="B1205" s="4"/>
      <c r="C1205" s="4"/>
      <c r="D1205" s="4"/>
      <c r="E1205" s="4"/>
      <c r="F1205" s="28"/>
      <c r="G1205" s="28"/>
      <c r="H1205" s="83"/>
      <c r="I1205" s="4"/>
      <c r="J1205" s="4"/>
      <c r="K1205" s="4"/>
      <c r="L1205" s="4"/>
      <c r="M1205" s="4"/>
      <c r="N1205" s="28"/>
      <c r="O1205" s="4"/>
      <c r="P1205" s="4"/>
      <c r="Q1205" s="4"/>
      <c r="R1205" s="4"/>
      <c r="S1205" s="4"/>
      <c r="T1205" s="4"/>
      <c r="U1205" s="4"/>
      <c r="V1205" s="4"/>
      <c r="W1205" s="4"/>
      <c r="X1205" s="4"/>
      <c r="Y1205" s="4"/>
      <c r="Z1205" s="4"/>
      <c r="AA1205" s="4"/>
      <c r="AB1205" s="4"/>
      <c r="AC1205" s="4"/>
      <c r="AD1205" s="4"/>
      <c r="AE1205" s="4"/>
      <c r="AF1205" s="81"/>
      <c r="AG1205" s="81"/>
      <c r="AH1205" s="81"/>
      <c r="AI1205" s="4"/>
      <c r="AJ1205" s="81"/>
      <c r="AK1205" s="81"/>
      <c r="AL1205" s="81"/>
    </row>
    <row r="1206" spans="1:38" s="7" customFormat="1">
      <c r="A1206" s="4"/>
      <c r="B1206" s="4"/>
      <c r="C1206" s="4"/>
      <c r="D1206" s="4"/>
      <c r="E1206" s="4"/>
      <c r="F1206" s="28"/>
      <c r="G1206" s="28"/>
      <c r="H1206" s="83"/>
      <c r="I1206" s="4"/>
      <c r="J1206" s="4"/>
      <c r="K1206" s="4"/>
      <c r="L1206" s="4"/>
      <c r="M1206" s="4"/>
      <c r="N1206" s="28"/>
      <c r="O1206" s="4"/>
      <c r="P1206" s="4"/>
      <c r="Q1206" s="4"/>
      <c r="R1206" s="4"/>
      <c r="S1206" s="4"/>
      <c r="T1206" s="4"/>
      <c r="U1206" s="4"/>
      <c r="V1206" s="4"/>
      <c r="W1206" s="4"/>
      <c r="X1206" s="4"/>
      <c r="Y1206" s="4"/>
      <c r="Z1206" s="4"/>
      <c r="AA1206" s="4"/>
      <c r="AB1206" s="4"/>
      <c r="AC1206" s="4"/>
      <c r="AD1206" s="4"/>
      <c r="AE1206" s="4"/>
      <c r="AF1206" s="81"/>
      <c r="AG1206" s="81"/>
      <c r="AH1206" s="81"/>
      <c r="AI1206" s="4"/>
      <c r="AJ1206" s="81"/>
      <c r="AK1206" s="81"/>
      <c r="AL1206" s="81"/>
    </row>
    <row r="1207" spans="1:38" s="7" customFormat="1">
      <c r="A1207" s="4"/>
      <c r="B1207" s="4"/>
      <c r="C1207" s="4"/>
      <c r="D1207" s="4"/>
      <c r="E1207" s="4"/>
      <c r="F1207" s="28"/>
      <c r="G1207" s="28"/>
      <c r="H1207" s="83"/>
      <c r="I1207" s="4"/>
      <c r="J1207" s="4"/>
      <c r="K1207" s="4"/>
      <c r="L1207" s="4"/>
      <c r="M1207" s="4"/>
      <c r="N1207" s="28"/>
      <c r="O1207" s="4"/>
      <c r="P1207" s="4"/>
      <c r="Q1207" s="4"/>
      <c r="R1207" s="4"/>
      <c r="S1207" s="4"/>
      <c r="T1207" s="4"/>
      <c r="U1207" s="4"/>
      <c r="V1207" s="4"/>
      <c r="W1207" s="4"/>
      <c r="X1207" s="4"/>
      <c r="Y1207" s="4"/>
      <c r="Z1207" s="4"/>
      <c r="AA1207" s="4"/>
      <c r="AB1207" s="4"/>
      <c r="AC1207" s="4"/>
      <c r="AD1207" s="4"/>
      <c r="AE1207" s="4"/>
      <c r="AF1207" s="81"/>
      <c r="AG1207" s="81"/>
      <c r="AH1207" s="81"/>
      <c r="AI1207" s="4"/>
      <c r="AJ1207" s="81"/>
      <c r="AK1207" s="81"/>
      <c r="AL1207" s="81"/>
    </row>
    <row r="1208" spans="1:38" s="7" customFormat="1">
      <c r="A1208" s="4"/>
      <c r="B1208" s="4"/>
      <c r="C1208" s="4"/>
      <c r="D1208" s="4"/>
      <c r="E1208" s="4"/>
      <c r="F1208" s="28"/>
      <c r="G1208" s="28"/>
      <c r="H1208" s="83"/>
      <c r="I1208" s="4"/>
      <c r="J1208" s="4"/>
      <c r="K1208" s="4"/>
      <c r="L1208" s="4"/>
      <c r="M1208" s="4"/>
      <c r="N1208" s="28"/>
      <c r="O1208" s="4"/>
      <c r="P1208" s="4"/>
      <c r="Q1208" s="4"/>
      <c r="R1208" s="4"/>
      <c r="S1208" s="4"/>
      <c r="T1208" s="4"/>
      <c r="U1208" s="4"/>
      <c r="V1208" s="4"/>
      <c r="W1208" s="4"/>
      <c r="X1208" s="4"/>
      <c r="Y1208" s="4"/>
      <c r="Z1208" s="4"/>
      <c r="AA1208" s="4"/>
      <c r="AB1208" s="4"/>
      <c r="AC1208" s="4"/>
      <c r="AD1208" s="4"/>
      <c r="AE1208" s="4"/>
      <c r="AF1208" s="81"/>
      <c r="AG1208" s="81"/>
      <c r="AH1208" s="81"/>
      <c r="AI1208" s="4"/>
      <c r="AJ1208" s="81"/>
      <c r="AK1208" s="81"/>
      <c r="AL1208" s="81"/>
    </row>
    <row r="1209" spans="1:38" s="7" customFormat="1">
      <c r="A1209" s="4"/>
      <c r="B1209" s="4"/>
      <c r="C1209" s="4"/>
      <c r="D1209" s="4"/>
      <c r="E1209" s="4"/>
      <c r="F1209" s="28"/>
      <c r="G1209" s="28"/>
      <c r="H1209" s="83"/>
      <c r="I1209" s="4"/>
      <c r="J1209" s="4"/>
      <c r="K1209" s="4"/>
      <c r="L1209" s="4"/>
      <c r="M1209" s="4"/>
      <c r="N1209" s="28"/>
      <c r="O1209" s="4"/>
      <c r="P1209" s="4"/>
      <c r="Q1209" s="4"/>
      <c r="R1209" s="4"/>
      <c r="S1209" s="4"/>
      <c r="T1209" s="4"/>
      <c r="U1209" s="4"/>
      <c r="V1209" s="4"/>
      <c r="W1209" s="4"/>
      <c r="X1209" s="4"/>
      <c r="Y1209" s="4"/>
      <c r="Z1209" s="4"/>
      <c r="AA1209" s="4"/>
      <c r="AB1209" s="4"/>
      <c r="AC1209" s="4"/>
      <c r="AD1209" s="4"/>
      <c r="AE1209" s="4"/>
      <c r="AF1209" s="81"/>
      <c r="AG1209" s="81"/>
      <c r="AH1209" s="81"/>
      <c r="AI1209" s="4"/>
      <c r="AJ1209" s="81"/>
      <c r="AK1209" s="81"/>
      <c r="AL1209" s="81"/>
    </row>
    <row r="1210" spans="1:38" s="7" customFormat="1">
      <c r="A1210" s="4"/>
      <c r="B1210" s="4"/>
      <c r="C1210" s="4"/>
      <c r="D1210" s="4"/>
      <c r="E1210" s="4"/>
      <c r="F1210" s="28"/>
      <c r="G1210" s="28"/>
      <c r="H1210" s="83"/>
      <c r="I1210" s="4"/>
      <c r="J1210" s="4"/>
      <c r="K1210" s="4"/>
      <c r="L1210" s="4"/>
      <c r="M1210" s="4"/>
      <c r="N1210" s="28"/>
      <c r="O1210" s="4"/>
      <c r="P1210" s="4"/>
      <c r="Q1210" s="4"/>
      <c r="R1210" s="4"/>
      <c r="S1210" s="4"/>
      <c r="T1210" s="4"/>
      <c r="U1210" s="4"/>
      <c r="V1210" s="4"/>
      <c r="W1210" s="4"/>
      <c r="X1210" s="4"/>
      <c r="Y1210" s="4"/>
      <c r="Z1210" s="4"/>
      <c r="AA1210" s="4"/>
      <c r="AB1210" s="4"/>
      <c r="AC1210" s="4"/>
      <c r="AD1210" s="4"/>
      <c r="AE1210" s="4"/>
      <c r="AF1210" s="81"/>
      <c r="AG1210" s="81"/>
      <c r="AH1210" s="81"/>
      <c r="AI1210" s="4"/>
      <c r="AJ1210" s="81"/>
      <c r="AK1210" s="81"/>
      <c r="AL1210" s="81"/>
    </row>
    <row r="1211" spans="1:38" s="7" customFormat="1">
      <c r="A1211" s="4"/>
      <c r="B1211" s="4"/>
      <c r="C1211" s="4"/>
      <c r="D1211" s="4"/>
      <c r="E1211" s="4"/>
      <c r="F1211" s="28"/>
      <c r="G1211" s="28"/>
      <c r="H1211" s="83"/>
      <c r="I1211" s="4"/>
      <c r="J1211" s="4"/>
      <c r="K1211" s="4"/>
      <c r="L1211" s="4"/>
      <c r="M1211" s="4"/>
      <c r="N1211" s="28"/>
      <c r="O1211" s="4"/>
      <c r="P1211" s="4"/>
      <c r="Q1211" s="4"/>
      <c r="R1211" s="4"/>
      <c r="S1211" s="4"/>
      <c r="T1211" s="4"/>
      <c r="U1211" s="4"/>
      <c r="V1211" s="4"/>
      <c r="W1211" s="4"/>
      <c r="X1211" s="4"/>
      <c r="Y1211" s="4"/>
      <c r="Z1211" s="4"/>
      <c r="AA1211" s="4"/>
      <c r="AB1211" s="4"/>
      <c r="AC1211" s="4"/>
      <c r="AD1211" s="4"/>
      <c r="AE1211" s="4"/>
      <c r="AF1211" s="81"/>
      <c r="AG1211" s="81"/>
      <c r="AH1211" s="81"/>
      <c r="AI1211" s="4"/>
      <c r="AJ1211" s="81"/>
      <c r="AK1211" s="81"/>
      <c r="AL1211" s="81"/>
    </row>
    <row r="1212" spans="1:38" s="7" customFormat="1">
      <c r="A1212" s="4"/>
      <c r="B1212" s="4"/>
      <c r="C1212" s="4"/>
      <c r="D1212" s="4"/>
      <c r="E1212" s="4"/>
      <c r="F1212" s="28"/>
      <c r="G1212" s="28"/>
      <c r="H1212" s="83"/>
      <c r="I1212" s="4"/>
      <c r="J1212" s="4"/>
      <c r="K1212" s="4"/>
      <c r="L1212" s="4"/>
      <c r="M1212" s="4"/>
      <c r="N1212" s="28"/>
      <c r="O1212" s="4"/>
      <c r="P1212" s="4"/>
      <c r="Q1212" s="4"/>
      <c r="R1212" s="4"/>
      <c r="S1212" s="4"/>
      <c r="T1212" s="4"/>
      <c r="U1212" s="4"/>
      <c r="V1212" s="4"/>
      <c r="W1212" s="4"/>
      <c r="X1212" s="4"/>
      <c r="Y1212" s="4"/>
      <c r="Z1212" s="4"/>
      <c r="AA1212" s="4"/>
      <c r="AB1212" s="4"/>
      <c r="AC1212" s="4"/>
      <c r="AD1212" s="4"/>
      <c r="AE1212" s="4"/>
      <c r="AF1212" s="81"/>
      <c r="AG1212" s="81"/>
      <c r="AH1212" s="81"/>
      <c r="AI1212" s="4"/>
      <c r="AJ1212" s="81"/>
      <c r="AK1212" s="81"/>
      <c r="AL1212" s="81"/>
    </row>
    <row r="1213" spans="1:38" s="7" customFormat="1">
      <c r="A1213" s="4"/>
      <c r="B1213" s="4"/>
      <c r="C1213" s="4"/>
      <c r="D1213" s="4"/>
      <c r="E1213" s="4"/>
      <c r="F1213" s="28"/>
      <c r="G1213" s="28"/>
      <c r="H1213" s="83"/>
      <c r="I1213" s="4"/>
      <c r="J1213" s="4"/>
      <c r="K1213" s="4"/>
      <c r="L1213" s="4"/>
      <c r="M1213" s="4"/>
      <c r="N1213" s="28"/>
      <c r="O1213" s="4"/>
      <c r="P1213" s="4"/>
      <c r="Q1213" s="4"/>
      <c r="R1213" s="4"/>
      <c r="S1213" s="4"/>
      <c r="T1213" s="4"/>
      <c r="U1213" s="4"/>
      <c r="V1213" s="4"/>
      <c r="W1213" s="4"/>
      <c r="X1213" s="4"/>
      <c r="Y1213" s="4"/>
      <c r="Z1213" s="4"/>
      <c r="AA1213" s="4"/>
      <c r="AB1213" s="4"/>
      <c r="AC1213" s="4"/>
      <c r="AD1213" s="4"/>
      <c r="AE1213" s="4"/>
      <c r="AF1213" s="81"/>
      <c r="AG1213" s="81"/>
      <c r="AH1213" s="81"/>
      <c r="AI1213" s="4"/>
      <c r="AJ1213" s="81"/>
      <c r="AK1213" s="81"/>
      <c r="AL1213" s="81"/>
    </row>
    <row r="1214" spans="1:38" s="7" customFormat="1">
      <c r="A1214" s="4"/>
      <c r="B1214" s="4"/>
      <c r="C1214" s="4"/>
      <c r="D1214" s="4"/>
      <c r="E1214" s="4"/>
      <c r="F1214" s="28"/>
      <c r="G1214" s="28"/>
      <c r="H1214" s="83"/>
      <c r="I1214" s="4"/>
      <c r="J1214" s="4"/>
      <c r="K1214" s="4"/>
      <c r="L1214" s="4"/>
      <c r="M1214" s="4"/>
      <c r="N1214" s="28"/>
      <c r="O1214" s="4"/>
      <c r="P1214" s="4"/>
      <c r="Q1214" s="4"/>
      <c r="R1214" s="4"/>
      <c r="S1214" s="4"/>
      <c r="T1214" s="4"/>
      <c r="U1214" s="4"/>
      <c r="V1214" s="4"/>
      <c r="W1214" s="4"/>
      <c r="X1214" s="4"/>
      <c r="Y1214" s="4"/>
      <c r="Z1214" s="4"/>
      <c r="AA1214" s="4"/>
      <c r="AB1214" s="4"/>
      <c r="AC1214" s="4"/>
      <c r="AD1214" s="4"/>
      <c r="AE1214" s="4"/>
      <c r="AF1214" s="81"/>
      <c r="AG1214" s="81"/>
      <c r="AH1214" s="81"/>
      <c r="AI1214" s="4"/>
      <c r="AJ1214" s="81"/>
      <c r="AK1214" s="81"/>
      <c r="AL1214" s="81"/>
    </row>
    <row r="1215" spans="1:38" s="7" customFormat="1">
      <c r="A1215" s="4"/>
      <c r="B1215" s="4"/>
      <c r="C1215" s="4"/>
      <c r="D1215" s="4"/>
      <c r="E1215" s="4"/>
      <c r="F1215" s="28"/>
      <c r="G1215" s="28"/>
      <c r="H1215" s="83"/>
      <c r="I1215" s="4"/>
      <c r="J1215" s="4"/>
      <c r="K1215" s="4"/>
      <c r="L1215" s="4"/>
      <c r="M1215" s="4"/>
      <c r="N1215" s="28"/>
      <c r="O1215" s="4"/>
      <c r="P1215" s="4"/>
      <c r="Q1215" s="4"/>
      <c r="R1215" s="4"/>
      <c r="S1215" s="4"/>
      <c r="T1215" s="4"/>
      <c r="U1215" s="4"/>
      <c r="V1215" s="4"/>
      <c r="W1215" s="4"/>
      <c r="X1215" s="4"/>
      <c r="Y1215" s="4"/>
      <c r="Z1215" s="4"/>
      <c r="AA1215" s="4"/>
      <c r="AB1215" s="4"/>
      <c r="AC1215" s="4"/>
      <c r="AD1215" s="4"/>
      <c r="AE1215" s="4"/>
      <c r="AF1215" s="81"/>
      <c r="AG1215" s="81"/>
      <c r="AH1215" s="81"/>
      <c r="AI1215" s="4"/>
      <c r="AJ1215" s="81"/>
      <c r="AK1215" s="81"/>
      <c r="AL1215" s="81"/>
    </row>
    <row r="1216" spans="1:38" s="7" customFormat="1">
      <c r="A1216" s="4"/>
      <c r="B1216" s="4"/>
      <c r="C1216" s="4"/>
      <c r="D1216" s="4"/>
      <c r="E1216" s="4"/>
      <c r="F1216" s="28"/>
      <c r="G1216" s="28"/>
      <c r="H1216" s="83"/>
      <c r="I1216" s="4"/>
      <c r="J1216" s="4"/>
      <c r="K1216" s="4"/>
      <c r="L1216" s="4"/>
      <c r="M1216" s="4"/>
      <c r="N1216" s="28"/>
      <c r="O1216" s="4"/>
      <c r="P1216" s="4"/>
      <c r="Q1216" s="4"/>
      <c r="R1216" s="4"/>
      <c r="S1216" s="4"/>
      <c r="T1216" s="4"/>
      <c r="U1216" s="4"/>
      <c r="V1216" s="4"/>
      <c r="W1216" s="4"/>
      <c r="X1216" s="4"/>
      <c r="Y1216" s="4"/>
      <c r="Z1216" s="4"/>
      <c r="AA1216" s="4"/>
      <c r="AB1216" s="4"/>
      <c r="AC1216" s="4"/>
      <c r="AD1216" s="4"/>
      <c r="AE1216" s="4"/>
      <c r="AF1216" s="81"/>
      <c r="AG1216" s="81"/>
      <c r="AH1216" s="81"/>
      <c r="AI1216" s="4"/>
      <c r="AJ1216" s="81"/>
      <c r="AK1216" s="81"/>
      <c r="AL1216" s="81"/>
    </row>
    <row r="1217" spans="1:38" s="7" customFormat="1">
      <c r="A1217" s="4"/>
      <c r="B1217" s="4"/>
      <c r="C1217" s="4"/>
      <c r="D1217" s="4"/>
      <c r="E1217" s="4"/>
      <c r="F1217" s="28"/>
      <c r="G1217" s="28"/>
      <c r="H1217" s="83"/>
      <c r="I1217" s="4"/>
      <c r="J1217" s="4"/>
      <c r="K1217" s="4"/>
      <c r="L1217" s="4"/>
      <c r="M1217" s="4"/>
      <c r="N1217" s="28"/>
      <c r="O1217" s="4"/>
      <c r="P1217" s="4"/>
      <c r="Q1217" s="4"/>
      <c r="R1217" s="4"/>
      <c r="S1217" s="4"/>
      <c r="T1217" s="4"/>
      <c r="U1217" s="4"/>
      <c r="V1217" s="4"/>
      <c r="W1217" s="4"/>
      <c r="X1217" s="4"/>
      <c r="Y1217" s="4"/>
      <c r="Z1217" s="4"/>
      <c r="AA1217" s="4"/>
      <c r="AB1217" s="4"/>
      <c r="AC1217" s="4"/>
      <c r="AD1217" s="4"/>
      <c r="AE1217" s="4"/>
      <c r="AF1217" s="81"/>
      <c r="AG1217" s="81"/>
      <c r="AH1217" s="81"/>
      <c r="AI1217" s="4"/>
      <c r="AJ1217" s="81"/>
      <c r="AK1217" s="81"/>
      <c r="AL1217" s="81"/>
    </row>
    <row r="1218" spans="1:38" s="7" customFormat="1">
      <c r="A1218" s="4"/>
      <c r="B1218" s="4"/>
      <c r="C1218" s="4"/>
      <c r="D1218" s="4"/>
      <c r="E1218" s="4"/>
      <c r="F1218" s="28"/>
      <c r="G1218" s="28"/>
      <c r="H1218" s="83"/>
      <c r="I1218" s="4"/>
      <c r="J1218" s="4"/>
      <c r="K1218" s="4"/>
      <c r="L1218" s="4"/>
      <c r="M1218" s="4"/>
      <c r="N1218" s="28"/>
      <c r="O1218" s="4"/>
      <c r="P1218" s="4"/>
      <c r="Q1218" s="4"/>
      <c r="R1218" s="4"/>
      <c r="S1218" s="4"/>
      <c r="T1218" s="4"/>
      <c r="U1218" s="4"/>
      <c r="V1218" s="4"/>
      <c r="W1218" s="4"/>
      <c r="X1218" s="4"/>
      <c r="Y1218" s="4"/>
      <c r="Z1218" s="4"/>
      <c r="AA1218" s="4"/>
      <c r="AB1218" s="4"/>
      <c r="AC1218" s="4"/>
      <c r="AD1218" s="4"/>
      <c r="AE1218" s="4"/>
      <c r="AF1218" s="81"/>
      <c r="AG1218" s="81"/>
      <c r="AH1218" s="81"/>
      <c r="AI1218" s="4"/>
      <c r="AJ1218" s="81"/>
      <c r="AK1218" s="81"/>
      <c r="AL1218" s="81"/>
    </row>
    <row r="1219" spans="1:38" s="7" customFormat="1">
      <c r="A1219" s="4"/>
      <c r="B1219" s="4"/>
      <c r="C1219" s="4"/>
      <c r="D1219" s="4"/>
      <c r="E1219" s="4"/>
      <c r="F1219" s="28"/>
      <c r="G1219" s="28"/>
      <c r="H1219" s="83"/>
      <c r="I1219" s="4"/>
      <c r="J1219" s="4"/>
      <c r="K1219" s="4"/>
      <c r="L1219" s="4"/>
      <c r="M1219" s="4"/>
      <c r="N1219" s="28"/>
      <c r="O1219" s="4"/>
      <c r="P1219" s="4"/>
      <c r="Q1219" s="4"/>
      <c r="R1219" s="4"/>
      <c r="S1219" s="4"/>
      <c r="T1219" s="4"/>
      <c r="U1219" s="4"/>
      <c r="V1219" s="4"/>
      <c r="W1219" s="4"/>
      <c r="X1219" s="4"/>
      <c r="Y1219" s="4"/>
      <c r="Z1219" s="4"/>
      <c r="AA1219" s="4"/>
      <c r="AB1219" s="4"/>
      <c r="AC1219" s="4"/>
      <c r="AD1219" s="4"/>
      <c r="AE1219" s="4"/>
      <c r="AF1219" s="81"/>
      <c r="AG1219" s="81"/>
      <c r="AH1219" s="81"/>
      <c r="AI1219" s="4"/>
      <c r="AJ1219" s="81"/>
      <c r="AK1219" s="81"/>
      <c r="AL1219" s="81"/>
    </row>
    <row r="1220" spans="1:38" s="7" customFormat="1">
      <c r="A1220" s="4"/>
      <c r="B1220" s="4"/>
      <c r="C1220" s="4"/>
      <c r="D1220" s="4"/>
      <c r="E1220" s="4"/>
      <c r="F1220" s="28"/>
      <c r="G1220" s="28"/>
      <c r="H1220" s="83"/>
      <c r="I1220" s="4"/>
      <c r="J1220" s="4"/>
      <c r="K1220" s="4"/>
      <c r="L1220" s="4"/>
      <c r="M1220" s="4"/>
      <c r="N1220" s="28"/>
      <c r="O1220" s="4"/>
      <c r="P1220" s="4"/>
      <c r="Q1220" s="4"/>
      <c r="R1220" s="4"/>
      <c r="S1220" s="4"/>
      <c r="T1220" s="4"/>
      <c r="U1220" s="4"/>
      <c r="V1220" s="4"/>
      <c r="W1220" s="4"/>
      <c r="X1220" s="4"/>
      <c r="Y1220" s="4"/>
      <c r="Z1220" s="4"/>
      <c r="AA1220" s="4"/>
      <c r="AB1220" s="4"/>
      <c r="AC1220" s="4"/>
      <c r="AD1220" s="4"/>
      <c r="AE1220" s="4"/>
      <c r="AF1220" s="81"/>
      <c r="AG1220" s="81"/>
      <c r="AH1220" s="81"/>
      <c r="AI1220" s="4"/>
      <c r="AJ1220" s="81"/>
      <c r="AK1220" s="81"/>
      <c r="AL1220" s="81"/>
    </row>
    <row r="1221" spans="1:38" s="7" customFormat="1">
      <c r="A1221" s="4"/>
      <c r="B1221" s="4"/>
      <c r="C1221" s="4"/>
      <c r="D1221" s="4"/>
      <c r="E1221" s="4"/>
      <c r="F1221" s="28"/>
      <c r="G1221" s="28"/>
      <c r="H1221" s="83"/>
      <c r="I1221" s="4"/>
      <c r="J1221" s="4"/>
      <c r="K1221" s="4"/>
      <c r="L1221" s="4"/>
      <c r="M1221" s="4"/>
      <c r="N1221" s="28"/>
      <c r="O1221" s="4"/>
      <c r="P1221" s="4"/>
      <c r="Q1221" s="4"/>
      <c r="R1221" s="4"/>
      <c r="S1221" s="4"/>
      <c r="T1221" s="4"/>
      <c r="U1221" s="4"/>
      <c r="V1221" s="4"/>
      <c r="W1221" s="4"/>
      <c r="X1221" s="4"/>
      <c r="Y1221" s="4"/>
      <c r="Z1221" s="4"/>
      <c r="AA1221" s="4"/>
      <c r="AB1221" s="4"/>
      <c r="AC1221" s="4"/>
      <c r="AD1221" s="4"/>
      <c r="AE1221" s="4"/>
      <c r="AF1221" s="81"/>
      <c r="AG1221" s="81"/>
      <c r="AH1221" s="81"/>
      <c r="AI1221" s="4"/>
      <c r="AJ1221" s="81"/>
      <c r="AK1221" s="81"/>
      <c r="AL1221" s="81"/>
    </row>
    <row r="1222" spans="1:38" s="7" customFormat="1">
      <c r="A1222" s="4"/>
      <c r="B1222" s="4"/>
      <c r="C1222" s="4"/>
      <c r="D1222" s="4"/>
      <c r="E1222" s="4"/>
      <c r="F1222" s="28"/>
      <c r="G1222" s="28"/>
      <c r="H1222" s="83"/>
      <c r="I1222" s="4"/>
      <c r="J1222" s="4"/>
      <c r="K1222" s="4"/>
      <c r="L1222" s="4"/>
      <c r="M1222" s="4"/>
      <c r="N1222" s="28"/>
      <c r="O1222" s="4"/>
      <c r="P1222" s="4"/>
      <c r="Q1222" s="4"/>
      <c r="R1222" s="4"/>
      <c r="S1222" s="4"/>
      <c r="T1222" s="4"/>
      <c r="U1222" s="4"/>
      <c r="V1222" s="4"/>
      <c r="W1222" s="4"/>
      <c r="X1222" s="4"/>
      <c r="Y1222" s="4"/>
      <c r="Z1222" s="4"/>
      <c r="AA1222" s="4"/>
      <c r="AB1222" s="4"/>
      <c r="AC1222" s="4"/>
      <c r="AD1222" s="4"/>
      <c r="AE1222" s="4"/>
      <c r="AF1222" s="81"/>
      <c r="AG1222" s="81"/>
      <c r="AH1222" s="81"/>
      <c r="AI1222" s="4"/>
      <c r="AJ1222" s="81"/>
      <c r="AK1222" s="81"/>
      <c r="AL1222" s="81"/>
    </row>
    <row r="1223" spans="1:38" s="7" customFormat="1">
      <c r="A1223" s="4"/>
      <c r="B1223" s="4"/>
      <c r="C1223" s="4"/>
      <c r="D1223" s="4"/>
      <c r="E1223" s="4"/>
      <c r="F1223" s="28"/>
      <c r="G1223" s="28"/>
      <c r="H1223" s="83"/>
      <c r="I1223" s="4"/>
      <c r="J1223" s="4"/>
      <c r="K1223" s="4"/>
      <c r="L1223" s="4"/>
      <c r="M1223" s="4"/>
      <c r="N1223" s="28"/>
      <c r="O1223" s="4"/>
      <c r="P1223" s="4"/>
      <c r="Q1223" s="4"/>
      <c r="R1223" s="4"/>
      <c r="S1223" s="4"/>
      <c r="T1223" s="4"/>
      <c r="U1223" s="4"/>
      <c r="V1223" s="4"/>
      <c r="W1223" s="4"/>
      <c r="X1223" s="4"/>
      <c r="Y1223" s="4"/>
      <c r="Z1223" s="4"/>
      <c r="AA1223" s="4"/>
      <c r="AB1223" s="4"/>
      <c r="AC1223" s="4"/>
      <c r="AD1223" s="4"/>
      <c r="AE1223" s="4"/>
      <c r="AF1223" s="81"/>
      <c r="AG1223" s="81"/>
      <c r="AH1223" s="81"/>
      <c r="AI1223" s="4"/>
      <c r="AJ1223" s="81"/>
      <c r="AK1223" s="81"/>
      <c r="AL1223" s="81"/>
    </row>
    <row r="1224" spans="1:38" s="7" customFormat="1">
      <c r="A1224" s="4"/>
      <c r="B1224" s="4"/>
      <c r="C1224" s="4"/>
      <c r="D1224" s="4"/>
      <c r="E1224" s="4"/>
      <c r="F1224" s="28"/>
      <c r="G1224" s="28"/>
      <c r="H1224" s="83"/>
      <c r="I1224" s="4"/>
      <c r="J1224" s="4"/>
      <c r="K1224" s="4"/>
      <c r="L1224" s="4"/>
      <c r="M1224" s="4"/>
      <c r="N1224" s="28"/>
      <c r="O1224" s="4"/>
      <c r="P1224" s="4"/>
      <c r="Q1224" s="4"/>
      <c r="R1224" s="4"/>
      <c r="S1224" s="4"/>
      <c r="T1224" s="4"/>
      <c r="U1224" s="4"/>
      <c r="V1224" s="4"/>
      <c r="W1224" s="4"/>
      <c r="X1224" s="4"/>
      <c r="Y1224" s="4"/>
      <c r="Z1224" s="4"/>
      <c r="AA1224" s="4"/>
      <c r="AB1224" s="4"/>
      <c r="AC1224" s="4"/>
      <c r="AD1224" s="4"/>
      <c r="AE1224" s="4"/>
      <c r="AF1224" s="81"/>
      <c r="AG1224" s="81"/>
      <c r="AH1224" s="81"/>
      <c r="AI1224" s="4"/>
      <c r="AJ1224" s="81"/>
      <c r="AK1224" s="81"/>
      <c r="AL1224" s="81"/>
    </row>
    <row r="1225" spans="1:38" s="7" customFormat="1">
      <c r="A1225" s="4"/>
      <c r="B1225" s="4"/>
      <c r="C1225" s="4"/>
      <c r="D1225" s="4"/>
      <c r="E1225" s="4"/>
      <c r="F1225" s="28"/>
      <c r="G1225" s="28"/>
      <c r="H1225" s="83"/>
      <c r="I1225" s="4"/>
      <c r="J1225" s="4"/>
      <c r="K1225" s="4"/>
      <c r="L1225" s="4"/>
      <c r="M1225" s="4"/>
      <c r="N1225" s="28"/>
      <c r="O1225" s="4"/>
      <c r="P1225" s="4"/>
      <c r="Q1225" s="4"/>
      <c r="R1225" s="4"/>
      <c r="S1225" s="4"/>
      <c r="T1225" s="4"/>
      <c r="U1225" s="4"/>
      <c r="V1225" s="4"/>
      <c r="W1225" s="4"/>
      <c r="X1225" s="4"/>
      <c r="Y1225" s="4"/>
      <c r="Z1225" s="4"/>
      <c r="AA1225" s="4"/>
      <c r="AB1225" s="4"/>
      <c r="AC1225" s="4"/>
      <c r="AD1225" s="4"/>
      <c r="AE1225" s="4"/>
      <c r="AF1225" s="81"/>
      <c r="AG1225" s="81"/>
      <c r="AH1225" s="81"/>
      <c r="AI1225" s="4"/>
      <c r="AJ1225" s="81"/>
      <c r="AK1225" s="81"/>
      <c r="AL1225" s="81"/>
    </row>
    <row r="1226" spans="1:38" s="7" customFormat="1">
      <c r="A1226" s="4"/>
      <c r="B1226" s="4"/>
      <c r="C1226" s="4"/>
      <c r="D1226" s="4"/>
      <c r="E1226" s="4"/>
      <c r="F1226" s="28"/>
      <c r="G1226" s="28"/>
      <c r="H1226" s="83"/>
      <c r="I1226" s="4"/>
      <c r="J1226" s="4"/>
      <c r="K1226" s="4"/>
      <c r="L1226" s="4"/>
      <c r="M1226" s="4"/>
      <c r="N1226" s="28"/>
      <c r="O1226" s="4"/>
      <c r="P1226" s="4"/>
      <c r="Q1226" s="4"/>
      <c r="R1226" s="4"/>
      <c r="S1226" s="4"/>
      <c r="T1226" s="4"/>
      <c r="U1226" s="4"/>
      <c r="V1226" s="4"/>
      <c r="W1226" s="4"/>
      <c r="X1226" s="4"/>
      <c r="Y1226" s="4"/>
      <c r="Z1226" s="4"/>
      <c r="AA1226" s="4"/>
      <c r="AB1226" s="4"/>
      <c r="AC1226" s="4"/>
      <c r="AD1226" s="4"/>
      <c r="AE1226" s="4"/>
      <c r="AF1226" s="81"/>
      <c r="AG1226" s="81"/>
      <c r="AH1226" s="81"/>
      <c r="AI1226" s="4"/>
      <c r="AJ1226" s="81"/>
      <c r="AK1226" s="81"/>
      <c r="AL1226" s="81"/>
    </row>
    <row r="1227" spans="1:38" s="7" customFormat="1">
      <c r="A1227" s="4"/>
      <c r="B1227" s="4"/>
      <c r="C1227" s="4"/>
      <c r="D1227" s="4"/>
      <c r="E1227" s="4"/>
      <c r="F1227" s="28"/>
      <c r="G1227" s="28"/>
      <c r="H1227" s="83"/>
      <c r="I1227" s="4"/>
      <c r="J1227" s="4"/>
      <c r="K1227" s="4"/>
      <c r="L1227" s="4"/>
      <c r="M1227" s="4"/>
      <c r="N1227" s="28"/>
      <c r="O1227" s="4"/>
      <c r="P1227" s="4"/>
      <c r="Q1227" s="4"/>
      <c r="R1227" s="4"/>
      <c r="S1227" s="4"/>
      <c r="T1227" s="4"/>
      <c r="U1227" s="4"/>
      <c r="V1227" s="4"/>
      <c r="W1227" s="4"/>
      <c r="X1227" s="4"/>
      <c r="Y1227" s="4"/>
      <c r="Z1227" s="4"/>
      <c r="AA1227" s="4"/>
      <c r="AB1227" s="4"/>
      <c r="AC1227" s="4"/>
      <c r="AD1227" s="4"/>
      <c r="AE1227" s="4"/>
      <c r="AF1227" s="81"/>
      <c r="AG1227" s="81"/>
      <c r="AH1227" s="81"/>
      <c r="AI1227" s="4"/>
      <c r="AJ1227" s="81"/>
      <c r="AK1227" s="81"/>
      <c r="AL1227" s="81"/>
    </row>
    <row r="1228" spans="1:38" s="7" customFormat="1">
      <c r="A1228" s="4"/>
      <c r="B1228" s="4"/>
      <c r="C1228" s="4"/>
      <c r="D1228" s="4"/>
      <c r="E1228" s="4"/>
      <c r="F1228" s="28"/>
      <c r="G1228" s="28"/>
      <c r="H1228" s="83"/>
      <c r="I1228" s="4"/>
      <c r="J1228" s="4"/>
      <c r="K1228" s="4"/>
      <c r="L1228" s="4"/>
      <c r="M1228" s="4"/>
      <c r="N1228" s="28"/>
      <c r="O1228" s="4"/>
      <c r="P1228" s="4"/>
      <c r="Q1228" s="4"/>
      <c r="R1228" s="4"/>
      <c r="S1228" s="4"/>
      <c r="T1228" s="4"/>
      <c r="U1228" s="4"/>
      <c r="V1228" s="4"/>
      <c r="W1228" s="4"/>
      <c r="X1228" s="4"/>
      <c r="Y1228" s="4"/>
      <c r="Z1228" s="4"/>
      <c r="AA1228" s="4"/>
      <c r="AB1228" s="4"/>
      <c r="AC1228" s="4"/>
      <c r="AD1228" s="4"/>
      <c r="AE1228" s="4"/>
      <c r="AF1228" s="81"/>
      <c r="AG1228" s="81"/>
      <c r="AH1228" s="81"/>
      <c r="AI1228" s="4"/>
      <c r="AJ1228" s="81"/>
      <c r="AK1228" s="81"/>
      <c r="AL1228" s="81"/>
    </row>
    <row r="1229" spans="1:38" s="7" customFormat="1">
      <c r="A1229" s="4"/>
      <c r="B1229" s="4"/>
      <c r="C1229" s="4"/>
      <c r="D1229" s="4"/>
      <c r="E1229" s="4"/>
      <c r="F1229" s="28"/>
      <c r="G1229" s="28"/>
      <c r="H1229" s="83"/>
      <c r="I1229" s="4"/>
      <c r="J1229" s="4"/>
      <c r="K1229" s="4"/>
      <c r="L1229" s="4"/>
      <c r="M1229" s="4"/>
      <c r="N1229" s="28"/>
      <c r="O1229" s="4"/>
      <c r="P1229" s="4"/>
      <c r="Q1229" s="4"/>
      <c r="R1229" s="4"/>
      <c r="S1229" s="4"/>
      <c r="T1229" s="4"/>
      <c r="U1229" s="4"/>
      <c r="V1229" s="4"/>
      <c r="W1229" s="4"/>
      <c r="X1229" s="4"/>
      <c r="Y1229" s="4"/>
      <c r="Z1229" s="4"/>
      <c r="AA1229" s="4"/>
      <c r="AB1229" s="4"/>
      <c r="AC1229" s="4"/>
      <c r="AD1229" s="4"/>
      <c r="AE1229" s="4"/>
      <c r="AF1229" s="81"/>
      <c r="AG1229" s="81"/>
      <c r="AH1229" s="81"/>
      <c r="AI1229" s="4"/>
      <c r="AJ1229" s="81"/>
      <c r="AK1229" s="81"/>
      <c r="AL1229" s="81"/>
    </row>
    <row r="1230" spans="1:38" s="7" customFormat="1">
      <c r="A1230" s="4"/>
      <c r="B1230" s="4"/>
      <c r="C1230" s="4"/>
      <c r="D1230" s="4"/>
      <c r="E1230" s="4"/>
      <c r="F1230" s="28"/>
      <c r="G1230" s="28"/>
      <c r="H1230" s="83"/>
      <c r="I1230" s="4"/>
      <c r="J1230" s="4"/>
      <c r="K1230" s="4"/>
      <c r="L1230" s="4"/>
      <c r="M1230" s="4"/>
      <c r="N1230" s="28"/>
      <c r="O1230" s="4"/>
      <c r="P1230" s="4"/>
      <c r="Q1230" s="4"/>
      <c r="R1230" s="4"/>
      <c r="S1230" s="4"/>
      <c r="T1230" s="4"/>
      <c r="U1230" s="4"/>
      <c r="V1230" s="4"/>
      <c r="W1230" s="4"/>
      <c r="X1230" s="4"/>
      <c r="Y1230" s="4"/>
      <c r="Z1230" s="4"/>
      <c r="AA1230" s="4"/>
      <c r="AB1230" s="4"/>
      <c r="AC1230" s="4"/>
      <c r="AD1230" s="4"/>
      <c r="AE1230" s="4"/>
      <c r="AF1230" s="81"/>
      <c r="AG1230" s="81"/>
      <c r="AH1230" s="81"/>
      <c r="AI1230" s="4"/>
      <c r="AJ1230" s="81"/>
      <c r="AK1230" s="81"/>
      <c r="AL1230" s="81"/>
    </row>
    <row r="1231" spans="1:38" s="7" customFormat="1">
      <c r="A1231" s="4"/>
      <c r="B1231" s="4"/>
      <c r="C1231" s="4"/>
      <c r="D1231" s="4"/>
      <c r="E1231" s="4"/>
      <c r="F1231" s="28"/>
      <c r="G1231" s="28"/>
      <c r="H1231" s="83"/>
      <c r="I1231" s="4"/>
      <c r="J1231" s="4"/>
      <c r="K1231" s="4"/>
      <c r="L1231" s="4"/>
      <c r="M1231" s="4"/>
      <c r="N1231" s="28"/>
      <c r="O1231" s="4"/>
      <c r="P1231" s="4"/>
      <c r="Q1231" s="4"/>
      <c r="R1231" s="4"/>
      <c r="S1231" s="4"/>
      <c r="T1231" s="4"/>
      <c r="U1231" s="4"/>
      <c r="V1231" s="4"/>
      <c r="W1231" s="4"/>
      <c r="X1231" s="4"/>
      <c r="Y1231" s="4"/>
      <c r="Z1231" s="4"/>
      <c r="AA1231" s="4"/>
      <c r="AB1231" s="4"/>
      <c r="AC1231" s="4"/>
      <c r="AD1231" s="4"/>
      <c r="AE1231" s="4"/>
      <c r="AF1231" s="81"/>
      <c r="AG1231" s="81"/>
      <c r="AH1231" s="81"/>
      <c r="AI1231" s="4"/>
      <c r="AJ1231" s="81"/>
      <c r="AK1231" s="81"/>
      <c r="AL1231" s="81"/>
    </row>
    <row r="1232" spans="1:38" s="7" customFormat="1">
      <c r="A1232" s="4"/>
      <c r="B1232" s="4"/>
      <c r="C1232" s="4"/>
      <c r="D1232" s="4"/>
      <c r="E1232" s="4"/>
      <c r="F1232" s="28"/>
      <c r="G1232" s="28"/>
      <c r="H1232" s="83"/>
      <c r="I1232" s="4"/>
      <c r="J1232" s="4"/>
      <c r="K1232" s="4"/>
      <c r="L1232" s="4"/>
      <c r="M1232" s="4"/>
      <c r="N1232" s="28"/>
      <c r="O1232" s="4"/>
      <c r="P1232" s="4"/>
      <c r="Q1232" s="4"/>
      <c r="R1232" s="4"/>
      <c r="S1232" s="4"/>
      <c r="T1232" s="4"/>
      <c r="U1232" s="4"/>
      <c r="V1232" s="4"/>
      <c r="W1232" s="4"/>
      <c r="X1232" s="4"/>
      <c r="Y1232" s="4"/>
      <c r="Z1232" s="4"/>
      <c r="AA1232" s="4"/>
      <c r="AB1232" s="4"/>
      <c r="AC1232" s="4"/>
      <c r="AD1232" s="4"/>
      <c r="AE1232" s="4"/>
      <c r="AF1232" s="81"/>
      <c r="AG1232" s="81"/>
      <c r="AH1232" s="81"/>
      <c r="AI1232" s="4"/>
      <c r="AJ1232" s="81"/>
      <c r="AK1232" s="81"/>
      <c r="AL1232" s="81"/>
    </row>
    <row r="1233" spans="1:38" s="7" customFormat="1">
      <c r="A1233" s="4"/>
      <c r="B1233" s="4"/>
      <c r="C1233" s="4"/>
      <c r="D1233" s="4"/>
      <c r="E1233" s="4"/>
      <c r="F1233" s="28"/>
      <c r="G1233" s="28"/>
      <c r="H1233" s="83"/>
      <c r="I1233" s="4"/>
      <c r="J1233" s="4"/>
      <c r="K1233" s="4"/>
      <c r="L1233" s="4"/>
      <c r="M1233" s="4"/>
      <c r="N1233" s="28"/>
      <c r="O1233" s="4"/>
      <c r="P1233" s="4"/>
      <c r="Q1233" s="4"/>
      <c r="R1233" s="4"/>
      <c r="S1233" s="4"/>
      <c r="T1233" s="4"/>
      <c r="U1233" s="4"/>
      <c r="V1233" s="4"/>
      <c r="W1233" s="4"/>
      <c r="X1233" s="4"/>
      <c r="Y1233" s="4"/>
      <c r="Z1233" s="4"/>
      <c r="AA1233" s="4"/>
      <c r="AB1233" s="4"/>
      <c r="AC1233" s="4"/>
      <c r="AD1233" s="4"/>
      <c r="AE1233" s="4"/>
      <c r="AF1233" s="81"/>
      <c r="AG1233" s="81"/>
      <c r="AH1233" s="81"/>
      <c r="AI1233" s="4"/>
      <c r="AJ1233" s="81"/>
      <c r="AK1233" s="81"/>
      <c r="AL1233" s="81"/>
    </row>
    <row r="1234" spans="1:38" s="7" customFormat="1">
      <c r="A1234" s="4"/>
      <c r="B1234" s="4"/>
      <c r="C1234" s="4"/>
      <c r="D1234" s="4"/>
      <c r="E1234" s="4"/>
      <c r="F1234" s="28"/>
      <c r="G1234" s="28"/>
      <c r="H1234" s="83"/>
      <c r="I1234" s="4"/>
      <c r="J1234" s="4"/>
      <c r="K1234" s="4"/>
      <c r="L1234" s="4"/>
      <c r="M1234" s="4"/>
      <c r="N1234" s="28"/>
      <c r="O1234" s="4"/>
      <c r="P1234" s="4"/>
      <c r="Q1234" s="4"/>
      <c r="R1234" s="4"/>
      <c r="S1234" s="4"/>
      <c r="T1234" s="4"/>
      <c r="U1234" s="4"/>
      <c r="V1234" s="4"/>
      <c r="W1234" s="4"/>
      <c r="X1234" s="4"/>
      <c r="Y1234" s="4"/>
      <c r="Z1234" s="4"/>
      <c r="AA1234" s="4"/>
      <c r="AB1234" s="4"/>
      <c r="AC1234" s="4"/>
      <c r="AD1234" s="4"/>
      <c r="AE1234" s="4"/>
      <c r="AF1234" s="81"/>
      <c r="AG1234" s="81"/>
      <c r="AH1234" s="81"/>
      <c r="AI1234" s="4"/>
      <c r="AJ1234" s="81"/>
      <c r="AK1234" s="81"/>
      <c r="AL1234" s="81"/>
    </row>
    <row r="1235" spans="1:38" s="7" customFormat="1">
      <c r="A1235" s="4"/>
      <c r="B1235" s="4"/>
      <c r="C1235" s="4"/>
      <c r="D1235" s="4"/>
      <c r="E1235" s="4"/>
      <c r="F1235" s="28"/>
      <c r="G1235" s="28"/>
      <c r="H1235" s="83"/>
      <c r="I1235" s="4"/>
      <c r="J1235" s="4"/>
      <c r="K1235" s="4"/>
      <c r="L1235" s="4"/>
      <c r="M1235" s="4"/>
      <c r="N1235" s="28"/>
      <c r="O1235" s="4"/>
      <c r="P1235" s="4"/>
      <c r="Q1235" s="4"/>
      <c r="R1235" s="4"/>
      <c r="S1235" s="4"/>
      <c r="T1235" s="4"/>
      <c r="U1235" s="4"/>
      <c r="V1235" s="4"/>
      <c r="W1235" s="4"/>
      <c r="X1235" s="4"/>
      <c r="Y1235" s="4"/>
      <c r="Z1235" s="4"/>
      <c r="AA1235" s="4"/>
      <c r="AB1235" s="4"/>
      <c r="AC1235" s="4"/>
      <c r="AD1235" s="4"/>
      <c r="AE1235" s="4"/>
      <c r="AF1235" s="81"/>
      <c r="AG1235" s="81"/>
      <c r="AH1235" s="81"/>
      <c r="AI1235" s="4"/>
      <c r="AJ1235" s="81"/>
      <c r="AK1235" s="81"/>
      <c r="AL1235" s="81"/>
    </row>
    <row r="1236" spans="1:38" s="7" customFormat="1">
      <c r="A1236" s="4"/>
      <c r="B1236" s="4"/>
      <c r="C1236" s="4"/>
      <c r="D1236" s="4"/>
      <c r="E1236" s="4"/>
      <c r="F1236" s="28"/>
      <c r="G1236" s="28"/>
      <c r="H1236" s="83"/>
      <c r="I1236" s="4"/>
      <c r="J1236" s="4"/>
      <c r="K1236" s="4"/>
      <c r="L1236" s="4"/>
      <c r="M1236" s="4"/>
      <c r="N1236" s="28"/>
      <c r="O1236" s="4"/>
      <c r="P1236" s="4"/>
      <c r="Q1236" s="4"/>
      <c r="R1236" s="4"/>
      <c r="S1236" s="4"/>
      <c r="T1236" s="4"/>
      <c r="U1236" s="4"/>
      <c r="V1236" s="4"/>
      <c r="W1236" s="4"/>
      <c r="X1236" s="4"/>
      <c r="Y1236" s="4"/>
      <c r="Z1236" s="4"/>
      <c r="AA1236" s="4"/>
      <c r="AB1236" s="4"/>
      <c r="AC1236" s="4"/>
      <c r="AD1236" s="4"/>
      <c r="AE1236" s="4"/>
      <c r="AF1236" s="81"/>
      <c r="AG1236" s="81"/>
      <c r="AH1236" s="81"/>
      <c r="AI1236" s="4"/>
      <c r="AJ1236" s="81"/>
      <c r="AK1236" s="81"/>
      <c r="AL1236" s="81"/>
    </row>
    <row r="1237" spans="1:38" s="7" customFormat="1">
      <c r="A1237" s="4"/>
      <c r="B1237" s="4"/>
      <c r="C1237" s="4"/>
      <c r="D1237" s="4"/>
      <c r="E1237" s="4"/>
      <c r="F1237" s="28"/>
      <c r="G1237" s="28"/>
      <c r="H1237" s="83"/>
      <c r="I1237" s="4"/>
      <c r="J1237" s="4"/>
      <c r="K1237" s="4"/>
      <c r="L1237" s="4"/>
      <c r="M1237" s="4"/>
      <c r="N1237" s="28"/>
      <c r="O1237" s="4"/>
      <c r="P1237" s="4"/>
      <c r="Q1237" s="4"/>
      <c r="R1237" s="4"/>
      <c r="S1237" s="4"/>
      <c r="T1237" s="4"/>
      <c r="U1237" s="4"/>
      <c r="V1237" s="4"/>
      <c r="W1237" s="4"/>
      <c r="X1237" s="4"/>
      <c r="Y1237" s="4"/>
      <c r="Z1237" s="4"/>
      <c r="AA1237" s="4"/>
      <c r="AB1237" s="4"/>
      <c r="AC1237" s="4"/>
      <c r="AD1237" s="4"/>
      <c r="AE1237" s="4"/>
      <c r="AF1237" s="81"/>
      <c r="AG1237" s="81"/>
      <c r="AH1237" s="81"/>
      <c r="AI1237" s="4"/>
      <c r="AJ1237" s="81"/>
      <c r="AK1237" s="81"/>
      <c r="AL1237" s="81"/>
    </row>
    <row r="1238" spans="1:38" s="7" customFormat="1">
      <c r="A1238" s="4"/>
      <c r="B1238" s="4"/>
      <c r="C1238" s="4"/>
      <c r="D1238" s="4"/>
      <c r="E1238" s="4"/>
      <c r="F1238" s="28"/>
      <c r="G1238" s="28"/>
      <c r="H1238" s="83"/>
      <c r="I1238" s="4"/>
      <c r="J1238" s="4"/>
      <c r="K1238" s="4"/>
      <c r="L1238" s="4"/>
      <c r="M1238" s="4"/>
      <c r="N1238" s="28"/>
      <c r="O1238" s="4"/>
      <c r="P1238" s="4"/>
      <c r="Q1238" s="4"/>
      <c r="R1238" s="4"/>
      <c r="S1238" s="4"/>
      <c r="T1238" s="4"/>
      <c r="U1238" s="4"/>
      <c r="V1238" s="4"/>
      <c r="W1238" s="4"/>
      <c r="X1238" s="4"/>
      <c r="Y1238" s="4"/>
      <c r="Z1238" s="4"/>
      <c r="AA1238" s="4"/>
      <c r="AB1238" s="4"/>
      <c r="AC1238" s="4"/>
      <c r="AD1238" s="4"/>
      <c r="AE1238" s="4"/>
      <c r="AF1238" s="81"/>
      <c r="AG1238" s="81"/>
      <c r="AH1238" s="81"/>
      <c r="AI1238" s="4"/>
      <c r="AJ1238" s="81"/>
      <c r="AK1238" s="81"/>
      <c r="AL1238" s="81"/>
    </row>
    <row r="1239" spans="1:38" s="7" customFormat="1">
      <c r="A1239" s="4"/>
      <c r="B1239" s="4"/>
      <c r="C1239" s="4"/>
      <c r="D1239" s="4"/>
      <c r="E1239" s="4"/>
      <c r="F1239" s="28"/>
      <c r="G1239" s="28"/>
      <c r="H1239" s="83"/>
      <c r="I1239" s="4"/>
      <c r="J1239" s="4"/>
      <c r="K1239" s="4"/>
      <c r="L1239" s="4"/>
      <c r="M1239" s="4"/>
      <c r="N1239" s="28"/>
      <c r="O1239" s="4"/>
      <c r="P1239" s="4"/>
      <c r="Q1239" s="4"/>
      <c r="R1239" s="4"/>
      <c r="S1239" s="4"/>
      <c r="T1239" s="4"/>
      <c r="U1239" s="4"/>
      <c r="V1239" s="4"/>
      <c r="W1239" s="4"/>
      <c r="X1239" s="4"/>
      <c r="Y1239" s="4"/>
      <c r="Z1239" s="4"/>
      <c r="AA1239" s="4"/>
      <c r="AB1239" s="4"/>
      <c r="AC1239" s="4"/>
      <c r="AD1239" s="4"/>
      <c r="AE1239" s="4"/>
      <c r="AF1239" s="81"/>
      <c r="AG1239" s="81"/>
      <c r="AH1239" s="81"/>
      <c r="AI1239" s="4"/>
      <c r="AJ1239" s="81"/>
      <c r="AK1239" s="81"/>
      <c r="AL1239" s="81"/>
    </row>
    <row r="1240" spans="1:38" s="7" customFormat="1">
      <c r="A1240" s="4"/>
      <c r="B1240" s="4"/>
      <c r="C1240" s="4"/>
      <c r="D1240" s="4"/>
      <c r="E1240" s="4"/>
      <c r="F1240" s="28"/>
      <c r="G1240" s="28"/>
      <c r="H1240" s="83"/>
      <c r="I1240" s="4"/>
      <c r="J1240" s="4"/>
      <c r="K1240" s="4"/>
      <c r="L1240" s="4"/>
      <c r="M1240" s="4"/>
      <c r="N1240" s="28"/>
      <c r="O1240" s="4"/>
      <c r="P1240" s="4"/>
      <c r="Q1240" s="4"/>
      <c r="R1240" s="4"/>
      <c r="S1240" s="4"/>
      <c r="T1240" s="4"/>
      <c r="U1240" s="4"/>
      <c r="V1240" s="4"/>
      <c r="W1240" s="4"/>
      <c r="X1240" s="4"/>
      <c r="Y1240" s="4"/>
      <c r="Z1240" s="4"/>
      <c r="AA1240" s="4"/>
      <c r="AB1240" s="4"/>
      <c r="AC1240" s="4"/>
      <c r="AD1240" s="4"/>
      <c r="AE1240" s="4"/>
      <c r="AF1240" s="81"/>
      <c r="AG1240" s="81"/>
      <c r="AH1240" s="81"/>
      <c r="AI1240" s="4"/>
      <c r="AJ1240" s="81"/>
      <c r="AK1240" s="81"/>
      <c r="AL1240" s="81"/>
    </row>
    <row r="1241" spans="1:38" s="7" customFormat="1">
      <c r="A1241" s="4"/>
      <c r="B1241" s="4"/>
      <c r="C1241" s="4"/>
      <c r="D1241" s="4"/>
      <c r="E1241" s="4"/>
      <c r="F1241" s="28"/>
      <c r="G1241" s="28"/>
      <c r="H1241" s="83"/>
      <c r="I1241" s="4"/>
      <c r="J1241" s="4"/>
      <c r="K1241" s="4"/>
      <c r="L1241" s="4"/>
      <c r="M1241" s="4"/>
      <c r="N1241" s="28"/>
      <c r="O1241" s="4"/>
      <c r="P1241" s="4"/>
      <c r="Q1241" s="4"/>
      <c r="R1241" s="4"/>
      <c r="S1241" s="4"/>
      <c r="T1241" s="4"/>
      <c r="U1241" s="4"/>
      <c r="V1241" s="4"/>
      <c r="W1241" s="4"/>
      <c r="X1241" s="4"/>
      <c r="Y1241" s="4"/>
      <c r="Z1241" s="4"/>
      <c r="AA1241" s="4"/>
      <c r="AB1241" s="4"/>
      <c r="AC1241" s="4"/>
      <c r="AD1241" s="4"/>
      <c r="AE1241" s="4"/>
      <c r="AF1241" s="81"/>
      <c r="AG1241" s="81"/>
      <c r="AH1241" s="81"/>
      <c r="AI1241" s="4"/>
      <c r="AJ1241" s="81"/>
      <c r="AK1241" s="81"/>
      <c r="AL1241" s="81"/>
    </row>
    <row r="1242" spans="1:38" s="7" customFormat="1">
      <c r="A1242" s="4"/>
      <c r="B1242" s="4"/>
      <c r="C1242" s="4"/>
      <c r="D1242" s="4"/>
      <c r="E1242" s="4"/>
      <c r="F1242" s="28"/>
      <c r="G1242" s="28"/>
      <c r="H1242" s="83"/>
      <c r="I1242" s="4"/>
      <c r="J1242" s="4"/>
      <c r="K1242" s="4"/>
      <c r="L1242" s="4"/>
      <c r="M1242" s="4"/>
      <c r="N1242" s="28"/>
      <c r="O1242" s="4"/>
      <c r="P1242" s="4"/>
      <c r="Q1242" s="4"/>
      <c r="R1242" s="4"/>
      <c r="S1242" s="4"/>
      <c r="T1242" s="4"/>
      <c r="U1242" s="4"/>
      <c r="V1242" s="4"/>
      <c r="W1242" s="4"/>
      <c r="X1242" s="4"/>
      <c r="Y1242" s="4"/>
      <c r="Z1242" s="4"/>
      <c r="AA1242" s="4"/>
      <c r="AB1242" s="4"/>
      <c r="AC1242" s="4"/>
      <c r="AD1242" s="4"/>
      <c r="AE1242" s="4"/>
      <c r="AF1242" s="81"/>
      <c r="AG1242" s="81"/>
      <c r="AH1242" s="81"/>
      <c r="AI1242" s="4"/>
      <c r="AJ1242" s="81"/>
      <c r="AK1242" s="81"/>
      <c r="AL1242" s="81"/>
    </row>
    <row r="1243" spans="1:38" s="7" customFormat="1">
      <c r="A1243" s="4"/>
      <c r="B1243" s="4"/>
      <c r="C1243" s="4"/>
      <c r="D1243" s="4"/>
      <c r="E1243" s="4"/>
      <c r="F1243" s="28"/>
      <c r="G1243" s="28"/>
      <c r="H1243" s="83"/>
      <c r="I1243" s="4"/>
      <c r="J1243" s="4"/>
      <c r="K1243" s="4"/>
      <c r="L1243" s="4"/>
      <c r="M1243" s="4"/>
      <c r="N1243" s="28"/>
      <c r="O1243" s="4"/>
      <c r="P1243" s="4"/>
      <c r="Q1243" s="4"/>
      <c r="R1243" s="4"/>
      <c r="S1243" s="4"/>
      <c r="T1243" s="4"/>
      <c r="U1243" s="4"/>
      <c r="V1243" s="4"/>
      <c r="W1243" s="4"/>
      <c r="X1243" s="4"/>
      <c r="Y1243" s="4"/>
      <c r="Z1243" s="4"/>
      <c r="AA1243" s="4"/>
      <c r="AB1243" s="4"/>
      <c r="AC1243" s="4"/>
      <c r="AD1243" s="4"/>
      <c r="AE1243" s="4"/>
      <c r="AF1243" s="81"/>
      <c r="AG1243" s="81"/>
      <c r="AH1243" s="81"/>
      <c r="AI1243" s="4"/>
      <c r="AJ1243" s="81"/>
      <c r="AK1243" s="81"/>
      <c r="AL1243" s="81"/>
    </row>
    <row r="1244" spans="1:38" s="7" customFormat="1">
      <c r="A1244" s="4"/>
      <c r="B1244" s="4"/>
      <c r="C1244" s="4"/>
      <c r="D1244" s="4"/>
      <c r="E1244" s="4"/>
      <c r="F1244" s="28"/>
      <c r="G1244" s="28"/>
      <c r="H1244" s="83"/>
      <c r="I1244" s="4"/>
      <c r="J1244" s="4"/>
      <c r="K1244" s="4"/>
      <c r="L1244" s="4"/>
      <c r="M1244" s="4"/>
      <c r="N1244" s="28"/>
      <c r="O1244" s="4"/>
      <c r="P1244" s="4"/>
      <c r="Q1244" s="4"/>
      <c r="R1244" s="4"/>
      <c r="S1244" s="4"/>
      <c r="T1244" s="4"/>
      <c r="U1244" s="4"/>
      <c r="V1244" s="4"/>
      <c r="W1244" s="4"/>
      <c r="X1244" s="4"/>
      <c r="Y1244" s="4"/>
      <c r="Z1244" s="4"/>
      <c r="AA1244" s="4"/>
      <c r="AB1244" s="4"/>
      <c r="AC1244" s="4"/>
      <c r="AD1244" s="4"/>
      <c r="AE1244" s="4"/>
      <c r="AF1244" s="81"/>
      <c r="AG1244" s="81"/>
      <c r="AH1244" s="81"/>
      <c r="AI1244" s="4"/>
      <c r="AJ1244" s="81"/>
      <c r="AK1244" s="81"/>
      <c r="AL1244" s="81"/>
    </row>
    <row r="1245" spans="1:38" s="7" customFormat="1">
      <c r="A1245" s="4"/>
      <c r="B1245" s="4"/>
      <c r="C1245" s="4"/>
      <c r="D1245" s="4"/>
      <c r="E1245" s="4"/>
      <c r="F1245" s="28"/>
      <c r="G1245" s="28"/>
      <c r="H1245" s="83"/>
      <c r="I1245" s="4"/>
      <c r="J1245" s="4"/>
      <c r="K1245" s="4"/>
      <c r="L1245" s="4"/>
      <c r="M1245" s="4"/>
      <c r="N1245" s="28"/>
      <c r="O1245" s="4"/>
      <c r="P1245" s="4"/>
      <c r="Q1245" s="4"/>
      <c r="R1245" s="4"/>
      <c r="S1245" s="4"/>
      <c r="T1245" s="4"/>
      <c r="U1245" s="4"/>
      <c r="V1245" s="4"/>
      <c r="W1245" s="4"/>
      <c r="X1245" s="4"/>
      <c r="Y1245" s="4"/>
      <c r="Z1245" s="4"/>
      <c r="AA1245" s="4"/>
      <c r="AB1245" s="4"/>
      <c r="AC1245" s="4"/>
      <c r="AD1245" s="4"/>
      <c r="AE1245" s="4"/>
      <c r="AF1245" s="81"/>
      <c r="AG1245" s="81"/>
      <c r="AH1245" s="81"/>
      <c r="AI1245" s="4"/>
      <c r="AJ1245" s="81"/>
      <c r="AK1245" s="81"/>
      <c r="AL1245" s="81"/>
    </row>
    <row r="1246" spans="1:38" s="7" customFormat="1">
      <c r="A1246" s="4"/>
      <c r="B1246" s="4"/>
      <c r="C1246" s="4"/>
      <c r="D1246" s="4"/>
      <c r="E1246" s="4"/>
      <c r="F1246" s="28"/>
      <c r="G1246" s="28"/>
      <c r="H1246" s="83"/>
      <c r="I1246" s="4"/>
      <c r="J1246" s="4"/>
      <c r="K1246" s="4"/>
      <c r="L1246" s="4"/>
      <c r="M1246" s="4"/>
      <c r="N1246" s="28"/>
      <c r="O1246" s="4"/>
      <c r="P1246" s="4"/>
      <c r="Q1246" s="4"/>
      <c r="R1246" s="4"/>
      <c r="S1246" s="4"/>
      <c r="T1246" s="4"/>
      <c r="U1246" s="4"/>
      <c r="V1246" s="4"/>
      <c r="W1246" s="4"/>
      <c r="X1246" s="4"/>
      <c r="Y1246" s="4"/>
      <c r="Z1246" s="4"/>
      <c r="AA1246" s="4"/>
      <c r="AB1246" s="4"/>
      <c r="AC1246" s="4"/>
      <c r="AD1246" s="4"/>
      <c r="AE1246" s="4"/>
      <c r="AF1246" s="81"/>
      <c r="AG1246" s="81"/>
      <c r="AH1246" s="81"/>
      <c r="AI1246" s="4"/>
      <c r="AJ1246" s="81"/>
      <c r="AK1246" s="81"/>
      <c r="AL1246" s="81"/>
    </row>
    <row r="1247" spans="1:38" s="7" customFormat="1">
      <c r="A1247" s="4"/>
      <c r="B1247" s="4"/>
      <c r="C1247" s="4"/>
      <c r="D1247" s="4"/>
      <c r="E1247" s="4"/>
      <c r="F1247" s="28"/>
      <c r="G1247" s="28"/>
      <c r="H1247" s="83"/>
      <c r="I1247" s="4"/>
      <c r="J1247" s="4"/>
      <c r="K1247" s="4"/>
      <c r="L1247" s="4"/>
      <c r="M1247" s="4"/>
      <c r="N1247" s="28"/>
      <c r="O1247" s="4"/>
      <c r="P1247" s="4"/>
      <c r="Q1247" s="4"/>
      <c r="R1247" s="4"/>
      <c r="S1247" s="4"/>
      <c r="T1247" s="4"/>
      <c r="U1247" s="4"/>
      <c r="V1247" s="4"/>
      <c r="W1247" s="4"/>
      <c r="X1247" s="4"/>
      <c r="Y1247" s="4"/>
      <c r="Z1247" s="4"/>
      <c r="AA1247" s="4"/>
      <c r="AB1247" s="4"/>
      <c r="AC1247" s="4"/>
      <c r="AD1247" s="4"/>
      <c r="AE1247" s="4"/>
      <c r="AF1247" s="81"/>
      <c r="AG1247" s="81"/>
      <c r="AH1247" s="81"/>
      <c r="AI1247" s="4"/>
      <c r="AJ1247" s="81"/>
      <c r="AK1247" s="81"/>
      <c r="AL1247" s="81"/>
    </row>
    <row r="1248" spans="1:38" s="7" customFormat="1">
      <c r="A1248" s="4"/>
      <c r="B1248" s="4"/>
      <c r="C1248" s="4"/>
      <c r="D1248" s="4"/>
      <c r="E1248" s="4"/>
      <c r="F1248" s="28"/>
      <c r="G1248" s="28"/>
      <c r="H1248" s="83"/>
      <c r="I1248" s="4"/>
      <c r="J1248" s="4"/>
      <c r="K1248" s="4"/>
      <c r="L1248" s="4"/>
      <c r="M1248" s="4"/>
      <c r="N1248" s="28"/>
      <c r="O1248" s="4"/>
      <c r="P1248" s="4"/>
      <c r="Q1248" s="4"/>
      <c r="R1248" s="4"/>
      <c r="S1248" s="4"/>
      <c r="T1248" s="4"/>
      <c r="U1248" s="4"/>
      <c r="V1248" s="4"/>
      <c r="W1248" s="4"/>
      <c r="X1248" s="4"/>
      <c r="Y1248" s="4"/>
      <c r="Z1248" s="4"/>
      <c r="AA1248" s="4"/>
      <c r="AB1248" s="4"/>
      <c r="AC1248" s="4"/>
      <c r="AD1248" s="4"/>
      <c r="AE1248" s="4"/>
      <c r="AF1248" s="81"/>
      <c r="AG1248" s="81"/>
      <c r="AH1248" s="81"/>
      <c r="AI1248" s="4"/>
      <c r="AJ1248" s="81"/>
      <c r="AK1248" s="81"/>
      <c r="AL1248" s="81"/>
    </row>
    <row r="1249" spans="1:38" s="7" customFormat="1">
      <c r="A1249" s="4"/>
      <c r="B1249" s="4"/>
      <c r="C1249" s="4"/>
      <c r="D1249" s="4"/>
      <c r="E1249" s="4"/>
      <c r="F1249" s="28"/>
      <c r="G1249" s="28"/>
      <c r="H1249" s="83"/>
      <c r="I1249" s="4"/>
      <c r="J1249" s="4"/>
      <c r="K1249" s="4"/>
      <c r="L1249" s="4"/>
      <c r="M1249" s="4"/>
      <c r="N1249" s="28"/>
      <c r="O1249" s="4"/>
      <c r="P1249" s="4"/>
      <c r="Q1249" s="4"/>
      <c r="R1249" s="4"/>
      <c r="S1249" s="4"/>
      <c r="T1249" s="4"/>
      <c r="U1249" s="4"/>
      <c r="V1249" s="4"/>
      <c r="W1249" s="4"/>
      <c r="X1249" s="4"/>
      <c r="Y1249" s="4"/>
      <c r="Z1249" s="4"/>
      <c r="AA1249" s="4"/>
      <c r="AB1249" s="4"/>
      <c r="AC1249" s="4"/>
      <c r="AD1249" s="4"/>
      <c r="AE1249" s="4"/>
      <c r="AF1249" s="81"/>
      <c r="AG1249" s="81"/>
      <c r="AH1249" s="81"/>
      <c r="AI1249" s="4"/>
      <c r="AJ1249" s="81"/>
      <c r="AK1249" s="81"/>
      <c r="AL1249" s="81"/>
    </row>
    <row r="1250" spans="1:38" s="7" customFormat="1">
      <c r="A1250" s="4"/>
      <c r="B1250" s="4"/>
      <c r="C1250" s="4"/>
      <c r="D1250" s="4"/>
      <c r="E1250" s="4"/>
      <c r="F1250" s="28"/>
      <c r="G1250" s="28"/>
      <c r="H1250" s="83"/>
      <c r="I1250" s="4"/>
      <c r="J1250" s="4"/>
      <c r="K1250" s="4"/>
      <c r="L1250" s="4"/>
      <c r="M1250" s="4"/>
      <c r="N1250" s="28"/>
      <c r="O1250" s="4"/>
      <c r="P1250" s="4"/>
      <c r="Q1250" s="4"/>
      <c r="R1250" s="4"/>
      <c r="S1250" s="4"/>
      <c r="T1250" s="4"/>
      <c r="U1250" s="4"/>
      <c r="V1250" s="4"/>
      <c r="W1250" s="4"/>
      <c r="X1250" s="4"/>
      <c r="Y1250" s="4"/>
      <c r="Z1250" s="4"/>
      <c r="AA1250" s="4"/>
      <c r="AB1250" s="4"/>
      <c r="AC1250" s="4"/>
      <c r="AD1250" s="4"/>
      <c r="AE1250" s="4"/>
      <c r="AF1250" s="81"/>
      <c r="AG1250" s="81"/>
      <c r="AH1250" s="81"/>
      <c r="AI1250" s="4"/>
      <c r="AJ1250" s="81"/>
      <c r="AK1250" s="81"/>
      <c r="AL1250" s="81"/>
    </row>
    <row r="1251" spans="1:38" s="7" customFormat="1">
      <c r="A1251" s="4"/>
      <c r="B1251" s="4"/>
      <c r="C1251" s="4"/>
      <c r="D1251" s="4"/>
      <c r="E1251" s="4"/>
      <c r="F1251" s="28"/>
      <c r="G1251" s="28"/>
      <c r="H1251" s="83"/>
      <c r="I1251" s="4"/>
      <c r="J1251" s="4"/>
      <c r="K1251" s="4"/>
      <c r="L1251" s="4"/>
      <c r="M1251" s="4"/>
      <c r="N1251" s="28"/>
      <c r="O1251" s="4"/>
      <c r="P1251" s="4"/>
      <c r="Q1251" s="4"/>
      <c r="R1251" s="4"/>
      <c r="S1251" s="4"/>
      <c r="T1251" s="4"/>
      <c r="U1251" s="4"/>
      <c r="V1251" s="4"/>
      <c r="W1251" s="4"/>
      <c r="X1251" s="4"/>
      <c r="Y1251" s="4"/>
      <c r="Z1251" s="4"/>
      <c r="AA1251" s="4"/>
      <c r="AB1251" s="4"/>
      <c r="AC1251" s="4"/>
      <c r="AD1251" s="4"/>
      <c r="AE1251" s="4"/>
      <c r="AF1251" s="81"/>
      <c r="AG1251" s="81"/>
      <c r="AH1251" s="81"/>
      <c r="AI1251" s="4"/>
      <c r="AJ1251" s="81"/>
      <c r="AK1251" s="81"/>
      <c r="AL1251" s="81"/>
    </row>
    <row r="1252" spans="1:38" s="7" customFormat="1">
      <c r="A1252" s="4"/>
      <c r="B1252" s="4"/>
      <c r="C1252" s="4"/>
      <c r="D1252" s="4"/>
      <c r="E1252" s="4"/>
      <c r="F1252" s="28"/>
      <c r="G1252" s="28"/>
      <c r="H1252" s="83"/>
      <c r="I1252" s="4"/>
      <c r="J1252" s="4"/>
      <c r="K1252" s="4"/>
      <c r="L1252" s="4"/>
      <c r="M1252" s="4"/>
      <c r="N1252" s="28"/>
      <c r="O1252" s="4"/>
      <c r="P1252" s="4"/>
      <c r="Q1252" s="4"/>
      <c r="R1252" s="4"/>
      <c r="S1252" s="4"/>
      <c r="T1252" s="4"/>
      <c r="U1252" s="4"/>
      <c r="V1252" s="4"/>
      <c r="W1252" s="4"/>
      <c r="X1252" s="4"/>
      <c r="Y1252" s="4"/>
      <c r="Z1252" s="4"/>
      <c r="AA1252" s="4"/>
      <c r="AB1252" s="4"/>
      <c r="AC1252" s="4"/>
      <c r="AD1252" s="4"/>
      <c r="AE1252" s="4"/>
      <c r="AF1252" s="81"/>
      <c r="AG1252" s="81"/>
      <c r="AH1252" s="81"/>
      <c r="AI1252" s="4"/>
      <c r="AJ1252" s="81"/>
      <c r="AK1252" s="81"/>
      <c r="AL1252" s="81"/>
    </row>
    <row r="1253" spans="1:38" s="7" customFormat="1">
      <c r="A1253" s="4"/>
      <c r="B1253" s="4"/>
      <c r="C1253" s="4"/>
      <c r="D1253" s="4"/>
      <c r="E1253" s="4"/>
      <c r="F1253" s="28"/>
      <c r="G1253" s="28"/>
      <c r="H1253" s="83"/>
      <c r="I1253" s="4"/>
      <c r="J1253" s="4"/>
      <c r="K1253" s="4"/>
      <c r="L1253" s="4"/>
      <c r="M1253" s="4"/>
      <c r="N1253" s="28"/>
      <c r="O1253" s="4"/>
      <c r="P1253" s="4"/>
      <c r="Q1253" s="4"/>
      <c r="R1253" s="4"/>
      <c r="S1253" s="4"/>
      <c r="T1253" s="4"/>
      <c r="U1253" s="4"/>
      <c r="V1253" s="4"/>
      <c r="W1253" s="4"/>
      <c r="X1253" s="4"/>
      <c r="Y1253" s="4"/>
      <c r="Z1253" s="4"/>
      <c r="AA1253" s="4"/>
      <c r="AB1253" s="4"/>
      <c r="AC1253" s="4"/>
      <c r="AD1253" s="4"/>
      <c r="AE1253" s="4"/>
      <c r="AF1253" s="81"/>
      <c r="AG1253" s="81"/>
      <c r="AH1253" s="81"/>
      <c r="AI1253" s="4"/>
      <c r="AJ1253" s="81"/>
      <c r="AK1253" s="81"/>
      <c r="AL1253" s="81"/>
    </row>
    <row r="1254" spans="1:38" s="7" customFormat="1">
      <c r="A1254" s="4"/>
      <c r="B1254" s="4"/>
      <c r="C1254" s="4"/>
      <c r="D1254" s="4"/>
      <c r="E1254" s="4"/>
      <c r="F1254" s="28"/>
      <c r="G1254" s="28"/>
      <c r="H1254" s="83"/>
      <c r="I1254" s="4"/>
      <c r="J1254" s="4"/>
      <c r="K1254" s="4"/>
      <c r="L1254" s="4"/>
      <c r="M1254" s="4"/>
      <c r="N1254" s="28"/>
      <c r="O1254" s="4"/>
      <c r="P1254" s="4"/>
      <c r="Q1254" s="4"/>
      <c r="R1254" s="4"/>
      <c r="S1254" s="4"/>
      <c r="T1254" s="4"/>
      <c r="U1254" s="4"/>
      <c r="V1254" s="4"/>
      <c r="W1254" s="4"/>
      <c r="X1254" s="4"/>
      <c r="Y1254" s="4"/>
      <c r="Z1254" s="4"/>
      <c r="AA1254" s="4"/>
      <c r="AB1254" s="4"/>
      <c r="AC1254" s="4"/>
      <c r="AD1254" s="4"/>
      <c r="AE1254" s="4"/>
      <c r="AF1254" s="81"/>
      <c r="AG1254" s="81"/>
      <c r="AH1254" s="81"/>
      <c r="AI1254" s="4"/>
      <c r="AJ1254" s="81"/>
      <c r="AK1254" s="81"/>
      <c r="AL1254" s="81"/>
    </row>
    <row r="1255" spans="1:38" s="7" customFormat="1">
      <c r="A1255" s="4"/>
      <c r="B1255" s="4"/>
      <c r="C1255" s="4"/>
      <c r="D1255" s="4"/>
      <c r="E1255" s="4"/>
      <c r="F1255" s="28"/>
      <c r="G1255" s="28"/>
      <c r="H1255" s="83"/>
      <c r="I1255" s="4"/>
      <c r="J1255" s="4"/>
      <c r="K1255" s="4"/>
      <c r="L1255" s="4"/>
      <c r="M1255" s="4"/>
      <c r="N1255" s="28"/>
      <c r="O1255" s="4"/>
      <c r="P1255" s="4"/>
      <c r="Q1255" s="4"/>
      <c r="R1255" s="4"/>
      <c r="S1255" s="4"/>
      <c r="T1255" s="4"/>
      <c r="U1255" s="4"/>
      <c r="V1255" s="4"/>
      <c r="W1255" s="4"/>
      <c r="X1255" s="4"/>
      <c r="Y1255" s="4"/>
      <c r="Z1255" s="4"/>
      <c r="AA1255" s="4"/>
      <c r="AB1255" s="4"/>
      <c r="AC1255" s="4"/>
      <c r="AD1255" s="4"/>
      <c r="AE1255" s="4"/>
      <c r="AF1255" s="81"/>
      <c r="AG1255" s="81"/>
      <c r="AH1255" s="81"/>
      <c r="AI1255" s="4"/>
      <c r="AJ1255" s="81"/>
      <c r="AK1255" s="81"/>
      <c r="AL1255" s="81"/>
    </row>
    <row r="1256" spans="1:38" s="7" customFormat="1">
      <c r="A1256" s="4"/>
      <c r="B1256" s="4"/>
      <c r="C1256" s="4"/>
      <c r="D1256" s="4"/>
      <c r="E1256" s="4"/>
      <c r="F1256" s="28"/>
      <c r="G1256" s="28"/>
      <c r="H1256" s="83"/>
      <c r="I1256" s="4"/>
      <c r="J1256" s="4"/>
      <c r="K1256" s="4"/>
      <c r="L1256" s="4"/>
      <c r="M1256" s="4"/>
      <c r="N1256" s="28"/>
      <c r="O1256" s="4"/>
      <c r="P1256" s="4"/>
      <c r="Q1256" s="4"/>
      <c r="R1256" s="4"/>
      <c r="S1256" s="4"/>
      <c r="T1256" s="4"/>
      <c r="U1256" s="4"/>
      <c r="V1256" s="4"/>
      <c r="W1256" s="4"/>
      <c r="X1256" s="4"/>
      <c r="Y1256" s="4"/>
      <c r="Z1256" s="4"/>
      <c r="AA1256" s="4"/>
      <c r="AB1256" s="4"/>
      <c r="AC1256" s="4"/>
      <c r="AD1256" s="4"/>
      <c r="AE1256" s="4"/>
      <c r="AF1256" s="81"/>
      <c r="AG1256" s="81"/>
      <c r="AH1256" s="81"/>
      <c r="AI1256" s="4"/>
      <c r="AJ1256" s="81"/>
      <c r="AK1256" s="81"/>
      <c r="AL1256" s="81"/>
    </row>
    <row r="1257" spans="1:38" s="7" customFormat="1">
      <c r="A1257" s="4"/>
      <c r="B1257" s="4"/>
      <c r="C1257" s="4"/>
      <c r="D1257" s="4"/>
      <c r="E1257" s="4"/>
      <c r="F1257" s="28"/>
      <c r="G1257" s="28"/>
      <c r="H1257" s="83"/>
      <c r="I1257" s="4"/>
      <c r="J1257" s="4"/>
      <c r="K1257" s="4"/>
      <c r="L1257" s="4"/>
      <c r="M1257" s="4"/>
      <c r="N1257" s="28"/>
      <c r="O1257" s="4"/>
      <c r="P1257" s="4"/>
      <c r="Q1257" s="4"/>
      <c r="R1257" s="4"/>
      <c r="S1257" s="4"/>
      <c r="T1257" s="4"/>
      <c r="U1257" s="4"/>
      <c r="V1257" s="4"/>
      <c r="W1257" s="4"/>
      <c r="X1257" s="4"/>
      <c r="Y1257" s="4"/>
      <c r="Z1257" s="4"/>
      <c r="AA1257" s="4"/>
      <c r="AB1257" s="4"/>
      <c r="AC1257" s="4"/>
      <c r="AD1257" s="4"/>
      <c r="AE1257" s="4"/>
      <c r="AF1257" s="81"/>
      <c r="AG1257" s="81"/>
      <c r="AH1257" s="81"/>
      <c r="AI1257" s="4"/>
      <c r="AJ1257" s="81"/>
      <c r="AK1257" s="81"/>
      <c r="AL1257" s="81"/>
    </row>
    <row r="1258" spans="1:38" s="7" customFormat="1">
      <c r="A1258" s="4"/>
      <c r="B1258" s="4"/>
      <c r="C1258" s="4"/>
      <c r="D1258" s="4"/>
      <c r="E1258" s="4"/>
      <c r="F1258" s="28"/>
      <c r="G1258" s="28"/>
      <c r="H1258" s="83"/>
      <c r="I1258" s="4"/>
      <c r="J1258" s="4"/>
      <c r="K1258" s="4"/>
      <c r="L1258" s="4"/>
      <c r="M1258" s="4"/>
      <c r="N1258" s="28"/>
      <c r="O1258" s="4"/>
      <c r="P1258" s="4"/>
      <c r="Q1258" s="4"/>
      <c r="R1258" s="4"/>
      <c r="S1258" s="4"/>
      <c r="T1258" s="4"/>
      <c r="U1258" s="4"/>
      <c r="V1258" s="4"/>
      <c r="W1258" s="4"/>
      <c r="X1258" s="4"/>
      <c r="Y1258" s="4"/>
      <c r="Z1258" s="4"/>
      <c r="AA1258" s="4"/>
      <c r="AB1258" s="4"/>
      <c r="AC1258" s="4"/>
      <c r="AD1258" s="4"/>
      <c r="AE1258" s="4"/>
      <c r="AF1258" s="81"/>
      <c r="AG1258" s="81"/>
      <c r="AH1258" s="81"/>
      <c r="AI1258" s="4"/>
      <c r="AJ1258" s="81"/>
      <c r="AK1258" s="81"/>
      <c r="AL1258" s="81"/>
    </row>
    <row r="1259" spans="1:38" s="7" customFormat="1">
      <c r="A1259" s="4"/>
      <c r="B1259" s="4"/>
      <c r="C1259" s="4"/>
      <c r="D1259" s="4"/>
      <c r="E1259" s="4"/>
      <c r="F1259" s="28"/>
      <c r="G1259" s="28"/>
      <c r="H1259" s="83"/>
      <c r="I1259" s="4"/>
      <c r="J1259" s="4"/>
      <c r="K1259" s="4"/>
      <c r="L1259" s="4"/>
      <c r="M1259" s="4"/>
      <c r="N1259" s="28"/>
      <c r="O1259" s="4"/>
      <c r="P1259" s="4"/>
      <c r="Q1259" s="4"/>
      <c r="R1259" s="4"/>
      <c r="S1259" s="4"/>
      <c r="T1259" s="4"/>
      <c r="U1259" s="4"/>
      <c r="V1259" s="4"/>
      <c r="W1259" s="4"/>
      <c r="X1259" s="4"/>
      <c r="Y1259" s="4"/>
      <c r="Z1259" s="4"/>
      <c r="AA1259" s="4"/>
      <c r="AB1259" s="4"/>
      <c r="AC1259" s="4"/>
      <c r="AD1259" s="4"/>
      <c r="AE1259" s="4"/>
      <c r="AF1259" s="81"/>
      <c r="AG1259" s="81"/>
      <c r="AH1259" s="81"/>
      <c r="AI1259" s="4"/>
      <c r="AJ1259" s="81"/>
      <c r="AK1259" s="81"/>
      <c r="AL1259" s="81"/>
    </row>
    <row r="1260" spans="1:38" s="7" customFormat="1">
      <c r="A1260" s="4"/>
      <c r="B1260" s="4"/>
      <c r="C1260" s="4"/>
      <c r="D1260" s="4"/>
      <c r="E1260" s="4"/>
      <c r="F1260" s="28"/>
      <c r="G1260" s="28"/>
      <c r="H1260" s="83"/>
      <c r="I1260" s="4"/>
      <c r="J1260" s="4"/>
      <c r="K1260" s="4"/>
      <c r="L1260" s="4"/>
      <c r="M1260" s="4"/>
      <c r="N1260" s="28"/>
      <c r="O1260" s="4"/>
      <c r="P1260" s="4"/>
      <c r="Q1260" s="4"/>
      <c r="R1260" s="4"/>
      <c r="S1260" s="4"/>
      <c r="T1260" s="4"/>
      <c r="U1260" s="4"/>
      <c r="V1260" s="4"/>
      <c r="W1260" s="4"/>
      <c r="X1260" s="4"/>
      <c r="Y1260" s="4"/>
      <c r="Z1260" s="4"/>
      <c r="AA1260" s="4"/>
      <c r="AB1260" s="4"/>
      <c r="AC1260" s="4"/>
      <c r="AD1260" s="4"/>
      <c r="AE1260" s="4"/>
      <c r="AF1260" s="81"/>
      <c r="AG1260" s="81"/>
      <c r="AH1260" s="81"/>
      <c r="AI1260" s="4"/>
      <c r="AJ1260" s="81"/>
      <c r="AK1260" s="81"/>
      <c r="AL1260" s="81"/>
    </row>
    <row r="1261" spans="1:38" s="7" customFormat="1">
      <c r="A1261" s="4"/>
      <c r="B1261" s="4"/>
      <c r="C1261" s="4"/>
      <c r="D1261" s="4"/>
      <c r="E1261" s="4"/>
      <c r="F1261" s="28"/>
      <c r="G1261" s="28"/>
      <c r="H1261" s="83"/>
      <c r="I1261" s="4"/>
      <c r="J1261" s="4"/>
      <c r="K1261" s="4"/>
      <c r="L1261" s="4"/>
      <c r="M1261" s="4"/>
      <c r="N1261" s="28"/>
      <c r="O1261" s="4"/>
      <c r="P1261" s="4"/>
      <c r="Q1261" s="4"/>
      <c r="R1261" s="4"/>
      <c r="S1261" s="4"/>
      <c r="T1261" s="4"/>
      <c r="U1261" s="4"/>
      <c r="V1261" s="4"/>
      <c r="W1261" s="4"/>
      <c r="X1261" s="4"/>
      <c r="Y1261" s="4"/>
      <c r="Z1261" s="4"/>
      <c r="AA1261" s="4"/>
      <c r="AB1261" s="4"/>
      <c r="AC1261" s="4"/>
      <c r="AD1261" s="4"/>
      <c r="AE1261" s="4"/>
      <c r="AF1261" s="81"/>
      <c r="AG1261" s="81"/>
      <c r="AH1261" s="81"/>
      <c r="AI1261" s="4"/>
      <c r="AJ1261" s="81"/>
      <c r="AK1261" s="81"/>
      <c r="AL1261" s="81"/>
    </row>
    <row r="1262" spans="1:38" s="7" customFormat="1">
      <c r="A1262" s="4"/>
      <c r="B1262" s="4"/>
      <c r="C1262" s="4"/>
      <c r="D1262" s="4"/>
      <c r="E1262" s="4"/>
      <c r="F1262" s="28"/>
      <c r="G1262" s="28"/>
      <c r="H1262" s="83"/>
      <c r="I1262" s="4"/>
      <c r="J1262" s="4"/>
      <c r="K1262" s="4"/>
      <c r="L1262" s="4"/>
      <c r="M1262" s="4"/>
      <c r="N1262" s="28"/>
      <c r="O1262" s="4"/>
      <c r="P1262" s="4"/>
      <c r="Q1262" s="4"/>
      <c r="R1262" s="4"/>
      <c r="S1262" s="4"/>
      <c r="T1262" s="4"/>
      <c r="U1262" s="4"/>
      <c r="V1262" s="4"/>
      <c r="W1262" s="4"/>
      <c r="X1262" s="4"/>
      <c r="Y1262" s="4"/>
      <c r="Z1262" s="4"/>
      <c r="AA1262" s="4"/>
      <c r="AB1262" s="4"/>
      <c r="AC1262" s="4"/>
      <c r="AD1262" s="4"/>
      <c r="AE1262" s="4"/>
      <c r="AF1262" s="81"/>
      <c r="AG1262" s="81"/>
      <c r="AH1262" s="81"/>
      <c r="AI1262" s="4"/>
      <c r="AJ1262" s="81"/>
      <c r="AK1262" s="81"/>
      <c r="AL1262" s="81"/>
    </row>
    <row r="1263" spans="1:38" s="7" customFormat="1">
      <c r="A1263" s="4"/>
      <c r="B1263" s="4"/>
      <c r="C1263" s="4"/>
      <c r="D1263" s="4"/>
      <c r="E1263" s="4"/>
      <c r="F1263" s="28"/>
      <c r="G1263" s="28"/>
      <c r="H1263" s="83"/>
      <c r="I1263" s="4"/>
      <c r="J1263" s="4"/>
      <c r="K1263" s="4"/>
      <c r="L1263" s="4"/>
      <c r="M1263" s="4"/>
      <c r="N1263" s="28"/>
      <c r="O1263" s="4"/>
      <c r="P1263" s="4"/>
      <c r="Q1263" s="4"/>
      <c r="R1263" s="4"/>
      <c r="S1263" s="4"/>
      <c r="T1263" s="4"/>
      <c r="U1263" s="4"/>
      <c r="V1263" s="4"/>
      <c r="W1263" s="4"/>
      <c r="X1263" s="4"/>
      <c r="Y1263" s="4"/>
      <c r="Z1263" s="4"/>
      <c r="AA1263" s="4"/>
      <c r="AB1263" s="4"/>
      <c r="AC1263" s="4"/>
      <c r="AD1263" s="4"/>
      <c r="AE1263" s="4"/>
      <c r="AF1263" s="81"/>
      <c r="AG1263" s="81"/>
      <c r="AH1263" s="81"/>
      <c r="AI1263" s="4"/>
      <c r="AJ1263" s="81"/>
      <c r="AK1263" s="81"/>
      <c r="AL1263" s="81"/>
    </row>
    <row r="1264" spans="1:38" s="7" customFormat="1">
      <c r="A1264" s="4"/>
      <c r="B1264" s="4"/>
      <c r="C1264" s="4"/>
      <c r="D1264" s="4"/>
      <c r="E1264" s="4"/>
      <c r="F1264" s="28"/>
      <c r="G1264" s="28"/>
      <c r="H1264" s="83"/>
      <c r="I1264" s="4"/>
      <c r="J1264" s="4"/>
      <c r="K1264" s="4"/>
      <c r="L1264" s="4"/>
      <c r="M1264" s="4"/>
      <c r="N1264" s="28"/>
      <c r="O1264" s="4"/>
      <c r="P1264" s="4"/>
      <c r="Q1264" s="4"/>
      <c r="R1264" s="4"/>
      <c r="S1264" s="4"/>
      <c r="T1264" s="4"/>
      <c r="U1264" s="4"/>
      <c r="V1264" s="4"/>
      <c r="W1264" s="4"/>
      <c r="X1264" s="4"/>
      <c r="Y1264" s="4"/>
      <c r="Z1264" s="4"/>
      <c r="AA1264" s="4"/>
      <c r="AB1264" s="4"/>
      <c r="AC1264" s="4"/>
      <c r="AD1264" s="4"/>
      <c r="AE1264" s="4"/>
      <c r="AF1264" s="81"/>
      <c r="AG1264" s="81"/>
      <c r="AH1264" s="81"/>
      <c r="AI1264" s="4"/>
      <c r="AJ1264" s="81"/>
      <c r="AK1264" s="81"/>
      <c r="AL1264" s="81"/>
    </row>
    <row r="1265" spans="1:38" s="7" customFormat="1">
      <c r="A1265" s="4"/>
      <c r="B1265" s="4"/>
      <c r="C1265" s="4"/>
      <c r="D1265" s="4"/>
      <c r="E1265" s="4"/>
      <c r="F1265" s="28"/>
      <c r="G1265" s="28"/>
      <c r="H1265" s="83"/>
      <c r="I1265" s="4"/>
      <c r="J1265" s="4"/>
      <c r="K1265" s="4"/>
      <c r="L1265" s="4"/>
      <c r="M1265" s="4"/>
      <c r="N1265" s="28"/>
      <c r="O1265" s="4"/>
      <c r="P1265" s="4"/>
      <c r="Q1265" s="4"/>
      <c r="R1265" s="4"/>
      <c r="S1265" s="4"/>
      <c r="T1265" s="4"/>
      <c r="U1265" s="4"/>
      <c r="V1265" s="4"/>
      <c r="W1265" s="4"/>
      <c r="X1265" s="4"/>
      <c r="Y1265" s="4"/>
      <c r="Z1265" s="4"/>
      <c r="AA1265" s="4"/>
      <c r="AB1265" s="4"/>
      <c r="AC1265" s="4"/>
      <c r="AD1265" s="4"/>
      <c r="AE1265" s="4"/>
      <c r="AF1265" s="81"/>
      <c r="AG1265" s="81"/>
      <c r="AH1265" s="81"/>
      <c r="AI1265" s="4"/>
      <c r="AJ1265" s="81"/>
      <c r="AK1265" s="81"/>
      <c r="AL1265" s="81"/>
    </row>
    <row r="1266" spans="1:38" s="7" customFormat="1">
      <c r="A1266" s="4"/>
      <c r="B1266" s="4"/>
      <c r="C1266" s="4"/>
      <c r="D1266" s="4"/>
      <c r="E1266" s="4"/>
      <c r="F1266" s="28"/>
      <c r="G1266" s="28"/>
      <c r="H1266" s="83"/>
      <c r="I1266" s="4"/>
      <c r="J1266" s="4"/>
      <c r="K1266" s="4"/>
      <c r="L1266" s="4"/>
      <c r="M1266" s="4"/>
      <c r="N1266" s="28"/>
      <c r="O1266" s="4"/>
      <c r="P1266" s="4"/>
      <c r="Q1266" s="4"/>
      <c r="R1266" s="4"/>
      <c r="S1266" s="4"/>
      <c r="T1266" s="4"/>
      <c r="U1266" s="4"/>
      <c r="V1266" s="4"/>
      <c r="W1266" s="4"/>
      <c r="X1266" s="4"/>
      <c r="Y1266" s="4"/>
      <c r="Z1266" s="4"/>
      <c r="AA1266" s="4"/>
      <c r="AB1266" s="4"/>
      <c r="AC1266" s="4"/>
      <c r="AD1266" s="4"/>
      <c r="AE1266" s="4"/>
      <c r="AF1266" s="81"/>
      <c r="AG1266" s="81"/>
      <c r="AH1266" s="81"/>
      <c r="AI1266" s="4"/>
      <c r="AJ1266" s="81"/>
      <c r="AK1266" s="81"/>
      <c r="AL1266" s="81"/>
    </row>
    <row r="1267" spans="1:38" s="7" customFormat="1">
      <c r="A1267" s="4"/>
      <c r="B1267" s="4"/>
      <c r="C1267" s="4"/>
      <c r="D1267" s="4"/>
      <c r="E1267" s="4"/>
      <c r="F1267" s="28"/>
      <c r="G1267" s="28"/>
      <c r="H1267" s="83"/>
      <c r="I1267" s="4"/>
      <c r="J1267" s="4"/>
      <c r="K1267" s="4"/>
      <c r="L1267" s="4"/>
      <c r="M1267" s="4"/>
      <c r="N1267" s="28"/>
      <c r="O1267" s="4"/>
      <c r="P1267" s="4"/>
      <c r="Q1267" s="4"/>
      <c r="R1267" s="4"/>
      <c r="S1267" s="4"/>
      <c r="T1267" s="4"/>
      <c r="U1267" s="4"/>
      <c r="V1267" s="4"/>
      <c r="W1267" s="4"/>
      <c r="X1267" s="4"/>
      <c r="Y1267" s="4"/>
      <c r="Z1267" s="4"/>
      <c r="AA1267" s="4"/>
      <c r="AB1267" s="4"/>
      <c r="AC1267" s="4"/>
      <c r="AD1267" s="4"/>
      <c r="AE1267" s="4"/>
      <c r="AF1267" s="81"/>
      <c r="AG1267" s="81"/>
      <c r="AH1267" s="81"/>
      <c r="AI1267" s="4"/>
      <c r="AJ1267" s="81"/>
      <c r="AK1267" s="81"/>
      <c r="AL1267" s="81"/>
    </row>
    <row r="1268" spans="1:38" s="7" customFormat="1">
      <c r="A1268" s="4"/>
      <c r="B1268" s="4"/>
      <c r="C1268" s="4"/>
      <c r="D1268" s="4"/>
      <c r="E1268" s="4"/>
      <c r="F1268" s="28"/>
      <c r="G1268" s="28"/>
      <c r="H1268" s="83"/>
      <c r="I1268" s="4"/>
      <c r="J1268" s="4"/>
      <c r="K1268" s="4"/>
      <c r="L1268" s="4"/>
      <c r="M1268" s="4"/>
      <c r="N1268" s="28"/>
      <c r="O1268" s="4"/>
      <c r="P1268" s="4"/>
      <c r="Q1268" s="4"/>
      <c r="R1268" s="4"/>
      <c r="S1268" s="4"/>
      <c r="T1268" s="4"/>
      <c r="U1268" s="4"/>
      <c r="V1268" s="4"/>
      <c r="W1268" s="4"/>
      <c r="X1268" s="4"/>
      <c r="Y1268" s="4"/>
      <c r="Z1268" s="4"/>
      <c r="AA1268" s="4"/>
      <c r="AB1268" s="4"/>
      <c r="AC1268" s="4"/>
      <c r="AD1268" s="4"/>
      <c r="AE1268" s="4"/>
      <c r="AF1268" s="81"/>
      <c r="AG1268" s="81"/>
      <c r="AH1268" s="81"/>
      <c r="AI1268" s="4"/>
      <c r="AJ1268" s="81"/>
      <c r="AK1268" s="81"/>
      <c r="AL1268" s="81"/>
    </row>
    <row r="1269" spans="1:38" s="7" customFormat="1">
      <c r="A1269" s="4"/>
      <c r="B1269" s="4"/>
      <c r="C1269" s="4"/>
      <c r="D1269" s="4"/>
      <c r="E1269" s="4"/>
      <c r="F1269" s="28"/>
      <c r="G1269" s="28"/>
      <c r="H1269" s="83"/>
      <c r="I1269" s="4"/>
      <c r="J1269" s="4"/>
      <c r="K1269" s="4"/>
      <c r="L1269" s="4"/>
      <c r="M1269" s="4"/>
      <c r="N1269" s="28"/>
      <c r="O1269" s="4"/>
      <c r="P1269" s="4"/>
      <c r="Q1269" s="4"/>
      <c r="R1269" s="4"/>
      <c r="S1269" s="4"/>
      <c r="T1269" s="4"/>
      <c r="U1269" s="4"/>
      <c r="V1269" s="4"/>
      <c r="W1269" s="4"/>
      <c r="X1269" s="4"/>
      <c r="Y1269" s="4"/>
      <c r="Z1269" s="4"/>
      <c r="AA1269" s="4"/>
      <c r="AB1269" s="4"/>
      <c r="AC1269" s="4"/>
      <c r="AD1269" s="4"/>
      <c r="AE1269" s="4"/>
      <c r="AF1269" s="81"/>
      <c r="AG1269" s="81"/>
      <c r="AH1269" s="81"/>
      <c r="AI1269" s="4"/>
      <c r="AJ1269" s="81"/>
      <c r="AK1269" s="81"/>
      <c r="AL1269" s="81"/>
    </row>
    <row r="1270" spans="1:38" s="7" customFormat="1">
      <c r="A1270" s="4"/>
      <c r="B1270" s="4"/>
      <c r="C1270" s="4"/>
      <c r="D1270" s="4"/>
      <c r="E1270" s="4"/>
      <c r="F1270" s="28"/>
      <c r="G1270" s="28"/>
      <c r="H1270" s="83"/>
      <c r="I1270" s="4"/>
      <c r="J1270" s="4"/>
      <c r="K1270" s="4"/>
      <c r="L1270" s="4"/>
      <c r="M1270" s="4"/>
      <c r="N1270" s="28"/>
      <c r="O1270" s="4"/>
      <c r="P1270" s="4"/>
      <c r="Q1270" s="4"/>
      <c r="R1270" s="4"/>
      <c r="S1270" s="4"/>
      <c r="T1270" s="4"/>
      <c r="U1270" s="4"/>
      <c r="V1270" s="4"/>
      <c r="W1270" s="4"/>
      <c r="X1270" s="4"/>
      <c r="Y1270" s="4"/>
      <c r="Z1270" s="4"/>
      <c r="AA1270" s="4"/>
      <c r="AB1270" s="4"/>
      <c r="AC1270" s="4"/>
      <c r="AD1270" s="4"/>
      <c r="AE1270" s="4"/>
      <c r="AF1270" s="81"/>
      <c r="AG1270" s="81"/>
      <c r="AH1270" s="81"/>
      <c r="AI1270" s="4"/>
      <c r="AJ1270" s="81"/>
      <c r="AK1270" s="81"/>
      <c r="AL1270" s="81"/>
    </row>
    <row r="1271" spans="1:38" s="7" customFormat="1">
      <c r="A1271" s="4"/>
      <c r="B1271" s="4"/>
      <c r="C1271" s="4"/>
      <c r="D1271" s="4"/>
      <c r="E1271" s="4"/>
      <c r="F1271" s="28"/>
      <c r="G1271" s="28"/>
      <c r="H1271" s="83"/>
      <c r="I1271" s="4"/>
      <c r="J1271" s="4"/>
      <c r="K1271" s="4"/>
      <c r="L1271" s="4"/>
      <c r="M1271" s="4"/>
      <c r="N1271" s="28"/>
      <c r="O1271" s="4"/>
      <c r="P1271" s="4"/>
      <c r="Q1271" s="4"/>
      <c r="R1271" s="4"/>
      <c r="S1271" s="4"/>
      <c r="T1271" s="4"/>
      <c r="U1271" s="4"/>
      <c r="V1271" s="4"/>
      <c r="W1271" s="4"/>
      <c r="X1271" s="4"/>
      <c r="Y1271" s="4"/>
      <c r="Z1271" s="4"/>
      <c r="AA1271" s="4"/>
      <c r="AB1271" s="4"/>
      <c r="AC1271" s="4"/>
      <c r="AD1271" s="4"/>
      <c r="AE1271" s="4"/>
      <c r="AF1271" s="81"/>
      <c r="AG1271" s="81"/>
      <c r="AH1271" s="81"/>
      <c r="AI1271" s="4"/>
      <c r="AJ1271" s="81"/>
      <c r="AK1271" s="81"/>
      <c r="AL1271" s="81"/>
    </row>
    <row r="1272" spans="1:38" s="7" customFormat="1">
      <c r="A1272" s="4"/>
      <c r="B1272" s="4"/>
      <c r="C1272" s="4"/>
      <c r="D1272" s="4"/>
      <c r="E1272" s="4"/>
      <c r="F1272" s="28"/>
      <c r="G1272" s="28"/>
      <c r="H1272" s="83"/>
      <c r="I1272" s="4"/>
      <c r="J1272" s="4"/>
      <c r="K1272" s="4"/>
      <c r="L1272" s="4"/>
      <c r="M1272" s="4"/>
      <c r="N1272" s="28"/>
      <c r="O1272" s="4"/>
      <c r="P1272" s="4"/>
      <c r="Q1272" s="4"/>
      <c r="R1272" s="4"/>
      <c r="S1272" s="4"/>
      <c r="T1272" s="4"/>
      <c r="U1272" s="4"/>
      <c r="V1272" s="4"/>
      <c r="W1272" s="4"/>
      <c r="X1272" s="4"/>
      <c r="Y1272" s="4"/>
      <c r="Z1272" s="4"/>
      <c r="AA1272" s="4"/>
      <c r="AB1272" s="4"/>
      <c r="AC1272" s="4"/>
      <c r="AD1272" s="4"/>
      <c r="AE1272" s="4"/>
      <c r="AF1272" s="81"/>
      <c r="AG1272" s="81"/>
      <c r="AH1272" s="81"/>
      <c r="AI1272" s="4"/>
      <c r="AJ1272" s="81"/>
      <c r="AK1272" s="81"/>
      <c r="AL1272" s="81"/>
    </row>
    <row r="1273" spans="1:38" s="7" customFormat="1">
      <c r="A1273" s="4"/>
      <c r="B1273" s="4"/>
      <c r="C1273" s="4"/>
      <c r="D1273" s="4"/>
      <c r="E1273" s="4"/>
      <c r="F1273" s="28"/>
      <c r="G1273" s="28"/>
      <c r="H1273" s="83"/>
      <c r="I1273" s="4"/>
      <c r="J1273" s="4"/>
      <c r="K1273" s="4"/>
      <c r="L1273" s="4"/>
      <c r="M1273" s="4"/>
      <c r="N1273" s="28"/>
      <c r="O1273" s="4"/>
      <c r="P1273" s="4"/>
      <c r="Q1273" s="4"/>
      <c r="R1273" s="4"/>
      <c r="S1273" s="4"/>
      <c r="T1273" s="4"/>
      <c r="U1273" s="4"/>
      <c r="V1273" s="4"/>
      <c r="W1273" s="4"/>
      <c r="X1273" s="4"/>
      <c r="Y1273" s="4"/>
      <c r="Z1273" s="4"/>
      <c r="AA1273" s="4"/>
      <c r="AB1273" s="4"/>
      <c r="AC1273" s="4"/>
      <c r="AD1273" s="4"/>
      <c r="AE1273" s="4"/>
      <c r="AF1273" s="81"/>
      <c r="AG1273" s="81"/>
      <c r="AH1273" s="81"/>
      <c r="AI1273" s="4"/>
      <c r="AJ1273" s="81"/>
      <c r="AK1273" s="81"/>
      <c r="AL1273" s="81"/>
    </row>
    <row r="1274" spans="1:38" s="7" customFormat="1">
      <c r="A1274" s="4"/>
      <c r="B1274" s="4"/>
      <c r="C1274" s="4"/>
      <c r="D1274" s="4"/>
      <c r="E1274" s="4"/>
      <c r="F1274" s="28"/>
      <c r="G1274" s="28"/>
      <c r="H1274" s="83"/>
      <c r="I1274" s="4"/>
      <c r="J1274" s="4"/>
      <c r="K1274" s="4"/>
      <c r="L1274" s="4"/>
      <c r="M1274" s="4"/>
      <c r="N1274" s="28"/>
      <c r="O1274" s="4"/>
      <c r="P1274" s="4"/>
      <c r="Q1274" s="4"/>
      <c r="R1274" s="4"/>
      <c r="S1274" s="4"/>
      <c r="T1274" s="4"/>
      <c r="U1274" s="4"/>
      <c r="V1274" s="4"/>
      <c r="W1274" s="4"/>
      <c r="X1274" s="4"/>
      <c r="Y1274" s="4"/>
      <c r="Z1274" s="4"/>
      <c r="AA1274" s="4"/>
      <c r="AB1274" s="4"/>
      <c r="AC1274" s="4"/>
      <c r="AD1274" s="4"/>
      <c r="AE1274" s="4"/>
      <c r="AF1274" s="81"/>
      <c r="AG1274" s="81"/>
      <c r="AH1274" s="81"/>
      <c r="AI1274" s="4"/>
      <c r="AJ1274" s="81"/>
      <c r="AK1274" s="81"/>
      <c r="AL1274" s="81"/>
    </row>
    <row r="1275" spans="1:38" s="7" customFormat="1">
      <c r="C1275" s="4"/>
      <c r="D1275" s="4"/>
      <c r="E1275" s="4"/>
      <c r="F1275" s="28"/>
      <c r="G1275" s="28"/>
      <c r="H1275" s="83"/>
      <c r="I1275" s="4"/>
      <c r="J1275" s="4"/>
      <c r="K1275" s="4"/>
    </row>
    <row r="1276" spans="1:38" s="7" customFormat="1">
      <c r="C1276" s="4"/>
      <c r="D1276" s="4"/>
      <c r="E1276" s="4"/>
      <c r="F1276" s="28"/>
      <c r="G1276" s="28"/>
      <c r="H1276" s="83"/>
      <c r="I1276" s="4"/>
      <c r="J1276" s="4"/>
      <c r="K1276" s="4"/>
    </row>
    <row r="1277" spans="1:38" s="7" customFormat="1">
      <c r="C1277" s="4"/>
      <c r="D1277" s="4"/>
      <c r="E1277" s="4"/>
      <c r="F1277" s="28"/>
      <c r="G1277" s="28"/>
      <c r="H1277" s="83"/>
      <c r="I1277" s="4"/>
      <c r="J1277" s="4"/>
      <c r="K1277" s="4"/>
    </row>
    <row r="1278" spans="1:38" s="7" customFormat="1">
      <c r="C1278" s="4"/>
      <c r="D1278" s="4"/>
      <c r="E1278" s="4"/>
      <c r="F1278" s="28"/>
      <c r="G1278" s="28"/>
      <c r="H1278" s="83"/>
      <c r="I1278" s="4"/>
      <c r="J1278" s="4"/>
      <c r="K1278" s="4"/>
    </row>
    <row r="1279" spans="1:38" s="7" customFormat="1">
      <c r="C1279" s="4"/>
      <c r="D1279" s="4"/>
      <c r="E1279" s="4"/>
      <c r="F1279" s="28"/>
      <c r="G1279" s="28"/>
      <c r="H1279" s="83"/>
      <c r="I1279" s="4"/>
      <c r="J1279" s="4"/>
      <c r="K1279" s="4"/>
    </row>
    <row r="1280" spans="1:38" s="7" customFormat="1">
      <c r="C1280" s="4"/>
      <c r="D1280" s="4"/>
      <c r="E1280" s="4"/>
      <c r="F1280" s="28"/>
      <c r="G1280" s="28"/>
      <c r="H1280" s="83"/>
      <c r="I1280" s="4"/>
      <c r="J1280" s="4"/>
      <c r="K1280" s="4"/>
    </row>
    <row r="1281" spans="3:11" s="7" customFormat="1">
      <c r="C1281" s="4"/>
      <c r="D1281" s="4"/>
      <c r="E1281" s="4"/>
      <c r="F1281" s="28"/>
      <c r="G1281" s="28"/>
      <c r="H1281" s="83"/>
      <c r="I1281" s="4"/>
      <c r="J1281" s="4"/>
      <c r="K1281" s="4"/>
    </row>
    <row r="1282" spans="3:11" s="7" customFormat="1">
      <c r="C1282" s="4"/>
      <c r="D1282" s="4"/>
      <c r="E1282" s="4"/>
      <c r="F1282" s="28"/>
      <c r="G1282" s="28"/>
      <c r="H1282" s="83"/>
      <c r="I1282" s="4"/>
      <c r="J1282" s="4"/>
      <c r="K1282" s="4"/>
    </row>
    <row r="1283" spans="3:11" s="7" customFormat="1">
      <c r="C1283" s="4"/>
      <c r="D1283" s="4"/>
      <c r="E1283" s="4"/>
      <c r="F1283" s="28"/>
      <c r="G1283" s="28"/>
      <c r="H1283" s="83"/>
      <c r="I1283" s="4"/>
      <c r="J1283" s="4"/>
      <c r="K1283" s="4"/>
    </row>
    <row r="1284" spans="3:11" s="7" customFormat="1">
      <c r="C1284" s="4"/>
      <c r="D1284" s="4"/>
      <c r="E1284" s="4"/>
      <c r="F1284" s="28"/>
      <c r="G1284" s="28"/>
      <c r="H1284" s="83"/>
      <c r="I1284" s="4"/>
      <c r="J1284" s="4"/>
      <c r="K1284" s="4"/>
    </row>
    <row r="1285" spans="3:11" s="7" customFormat="1">
      <c r="C1285" s="4"/>
      <c r="D1285" s="4"/>
      <c r="E1285" s="4"/>
      <c r="F1285" s="28"/>
      <c r="G1285" s="28"/>
      <c r="H1285" s="83"/>
      <c r="I1285" s="4"/>
      <c r="J1285" s="4"/>
      <c r="K1285" s="4"/>
    </row>
    <row r="1286" spans="3:11" s="7" customFormat="1">
      <c r="C1286" s="4"/>
      <c r="D1286" s="4"/>
      <c r="E1286" s="4"/>
      <c r="F1286" s="28"/>
      <c r="G1286" s="28"/>
      <c r="H1286" s="83"/>
      <c r="I1286" s="4"/>
      <c r="J1286" s="4"/>
      <c r="K1286" s="4"/>
    </row>
    <row r="1287" spans="3:11" s="7" customFormat="1">
      <c r="C1287" s="4"/>
      <c r="D1287" s="4"/>
      <c r="E1287" s="4"/>
      <c r="F1287" s="28"/>
      <c r="G1287" s="28"/>
      <c r="H1287" s="83"/>
      <c r="I1287" s="4"/>
      <c r="J1287" s="4"/>
      <c r="K1287" s="4"/>
    </row>
    <row r="1288" spans="3:11" s="7" customFormat="1">
      <c r="C1288" s="4"/>
      <c r="D1288" s="4"/>
      <c r="E1288" s="4"/>
      <c r="F1288" s="28"/>
      <c r="G1288" s="28"/>
      <c r="H1288" s="83"/>
      <c r="I1288" s="4"/>
      <c r="J1288" s="4"/>
      <c r="K1288" s="4"/>
    </row>
    <row r="1289" spans="3:11" s="7" customFormat="1">
      <c r="C1289" s="4"/>
      <c r="D1289" s="4"/>
      <c r="E1289" s="4"/>
      <c r="F1289" s="28"/>
      <c r="G1289" s="28"/>
      <c r="H1289" s="83"/>
      <c r="I1289" s="4"/>
      <c r="J1289" s="4"/>
      <c r="K1289" s="4"/>
    </row>
    <row r="1290" spans="3:11" s="7" customFormat="1">
      <c r="C1290" s="4"/>
      <c r="D1290" s="4"/>
      <c r="E1290" s="4"/>
      <c r="F1290" s="28"/>
      <c r="G1290" s="28"/>
      <c r="H1290" s="83"/>
      <c r="I1290" s="4"/>
      <c r="J1290" s="4"/>
      <c r="K1290" s="4"/>
    </row>
    <row r="1291" spans="3:11" s="7" customFormat="1">
      <c r="C1291" s="4"/>
      <c r="D1291" s="4"/>
      <c r="E1291" s="4"/>
      <c r="F1291" s="28"/>
      <c r="G1291" s="28"/>
      <c r="H1291" s="83"/>
      <c r="I1291" s="4"/>
      <c r="J1291" s="4"/>
      <c r="K1291" s="4"/>
    </row>
    <row r="1292" spans="3:11" s="7" customFormat="1"/>
    <row r="1293" spans="3:11" s="7" customFormat="1"/>
    <row r="1294" spans="3:11" s="7" customFormat="1"/>
    <row r="1295" spans="3:11" s="7" customFormat="1"/>
    <row r="1296" spans="3:11" s="7" customFormat="1"/>
    <row r="1297" spans="3:11" s="7" customFormat="1"/>
    <row r="1298" spans="3:11" s="7" customFormat="1"/>
    <row r="1299" spans="3:11" s="7" customFormat="1"/>
    <row r="1300" spans="3:11" s="7" customFormat="1"/>
    <row r="1301" spans="3:11" s="7" customFormat="1"/>
    <row r="1302" spans="3:11" s="7" customFormat="1">
      <c r="C1302" s="118"/>
      <c r="D1302" s="118"/>
      <c r="E1302" s="118"/>
      <c r="F1302" s="118"/>
      <c r="G1302" s="118"/>
      <c r="H1302" s="118"/>
      <c r="I1302" s="118"/>
      <c r="J1302" s="118"/>
      <c r="K1302" s="118"/>
    </row>
    <row r="1303" spans="3:11" s="7" customFormat="1">
      <c r="C1303" s="118"/>
      <c r="D1303" s="118"/>
      <c r="E1303" s="118"/>
      <c r="F1303" s="118"/>
      <c r="G1303" s="118"/>
      <c r="H1303" s="118"/>
      <c r="I1303" s="118"/>
      <c r="J1303" s="118"/>
      <c r="K1303" s="118"/>
    </row>
    <row r="1304" spans="3:11" s="7" customFormat="1">
      <c r="C1304" s="118"/>
      <c r="D1304" s="118"/>
      <c r="E1304" s="118"/>
      <c r="F1304" s="118"/>
      <c r="G1304" s="118"/>
      <c r="H1304" s="118"/>
      <c r="I1304" s="118"/>
      <c r="J1304" s="118"/>
      <c r="K1304" s="118"/>
    </row>
    <row r="1305" spans="3:11" s="7" customFormat="1">
      <c r="C1305" s="118"/>
      <c r="D1305" s="118"/>
      <c r="E1305" s="118"/>
      <c r="F1305" s="118"/>
      <c r="G1305" s="118"/>
      <c r="H1305" s="118"/>
      <c r="I1305" s="118"/>
      <c r="J1305" s="118"/>
      <c r="K1305" s="118"/>
    </row>
    <row r="1306" spans="3:11" s="7" customFormat="1">
      <c r="C1306" s="118"/>
      <c r="D1306" s="118"/>
      <c r="E1306" s="118"/>
      <c r="F1306" s="118"/>
      <c r="G1306" s="118"/>
      <c r="H1306" s="118"/>
      <c r="I1306" s="118"/>
      <c r="J1306" s="118"/>
      <c r="K1306" s="118"/>
    </row>
    <row r="1307" spans="3:11" s="7" customFormat="1">
      <c r="C1307" s="118"/>
      <c r="D1307" s="118"/>
      <c r="E1307" s="118"/>
      <c r="F1307" s="118"/>
      <c r="G1307" s="118"/>
      <c r="H1307" s="118"/>
      <c r="I1307" s="118"/>
      <c r="J1307" s="118"/>
      <c r="K1307" s="118"/>
    </row>
    <row r="1308" spans="3:11" s="7" customFormat="1">
      <c r="C1308" s="118"/>
      <c r="D1308" s="118"/>
      <c r="E1308" s="118"/>
      <c r="F1308" s="118"/>
      <c r="G1308" s="118"/>
      <c r="H1308" s="118"/>
      <c r="I1308" s="118"/>
      <c r="J1308" s="118"/>
      <c r="K1308" s="118"/>
    </row>
    <row r="1309" spans="3:11" s="7" customFormat="1">
      <c r="C1309" s="118"/>
      <c r="D1309" s="118"/>
      <c r="E1309" s="118"/>
      <c r="F1309" s="118"/>
      <c r="G1309" s="118"/>
      <c r="H1309" s="118"/>
      <c r="I1309" s="118"/>
      <c r="J1309" s="118"/>
      <c r="K1309" s="118"/>
    </row>
    <row r="1310" spans="3:11" s="7" customFormat="1">
      <c r="C1310" s="118"/>
      <c r="D1310" s="118"/>
      <c r="E1310" s="118"/>
      <c r="F1310" s="118"/>
      <c r="G1310" s="118"/>
      <c r="H1310" s="118"/>
      <c r="I1310" s="118"/>
      <c r="J1310" s="118"/>
      <c r="K1310" s="118"/>
    </row>
    <row r="1311" spans="3:11" s="7" customFormat="1">
      <c r="C1311" s="118"/>
      <c r="D1311" s="118"/>
      <c r="E1311" s="118"/>
      <c r="F1311" s="118"/>
      <c r="G1311" s="118"/>
      <c r="H1311" s="118"/>
      <c r="I1311" s="118"/>
      <c r="J1311" s="118"/>
      <c r="K1311" s="118"/>
    </row>
    <row r="1312" spans="3:11" s="7" customFormat="1">
      <c r="C1312" s="118"/>
      <c r="D1312" s="118"/>
      <c r="E1312" s="118"/>
      <c r="F1312" s="118"/>
      <c r="G1312" s="118"/>
      <c r="H1312" s="118"/>
      <c r="I1312" s="118"/>
      <c r="J1312" s="118"/>
      <c r="K1312" s="118"/>
    </row>
    <row r="1313" spans="1:50" s="7" customFormat="1">
      <c r="C1313" s="118"/>
      <c r="D1313" s="118"/>
      <c r="E1313" s="118"/>
      <c r="F1313" s="118"/>
      <c r="G1313" s="118"/>
      <c r="H1313" s="118"/>
      <c r="I1313" s="118"/>
      <c r="J1313" s="118"/>
      <c r="K1313" s="118"/>
    </row>
    <row r="1314" spans="1:50" s="7" customFormat="1">
      <c r="C1314" s="118"/>
      <c r="D1314" s="118"/>
      <c r="E1314" s="118"/>
      <c r="F1314" s="118"/>
      <c r="G1314" s="118"/>
      <c r="H1314" s="118"/>
      <c r="I1314" s="118"/>
      <c r="J1314" s="118"/>
      <c r="K1314" s="118"/>
    </row>
    <row r="1315" spans="1:50" s="7" customFormat="1">
      <c r="C1315" s="118"/>
      <c r="D1315" s="118"/>
      <c r="E1315" s="118"/>
      <c r="F1315" s="118"/>
      <c r="G1315" s="118"/>
      <c r="H1315" s="118"/>
      <c r="I1315" s="118"/>
      <c r="J1315" s="118"/>
      <c r="K1315" s="118"/>
    </row>
    <row r="1316" spans="1:50" s="7" customFormat="1">
      <c r="C1316" s="118"/>
      <c r="D1316" s="118"/>
      <c r="E1316" s="118"/>
      <c r="F1316" s="118"/>
      <c r="G1316" s="118"/>
      <c r="H1316" s="118"/>
      <c r="I1316" s="118"/>
      <c r="J1316" s="118"/>
      <c r="K1316" s="118"/>
    </row>
    <row r="1317" spans="1:50" s="7" customFormat="1">
      <c r="C1317" s="118"/>
      <c r="D1317" s="118"/>
      <c r="E1317" s="118"/>
      <c r="F1317" s="118"/>
      <c r="G1317" s="118"/>
      <c r="H1317" s="118"/>
      <c r="I1317" s="118"/>
      <c r="J1317" s="118"/>
      <c r="K1317" s="118"/>
    </row>
    <row r="1318" spans="1:50" s="7" customFormat="1">
      <c r="C1318" s="118"/>
      <c r="D1318" s="118"/>
      <c r="E1318" s="118"/>
      <c r="F1318" s="118"/>
      <c r="G1318" s="118"/>
      <c r="H1318" s="118"/>
      <c r="I1318" s="118"/>
      <c r="J1318" s="118"/>
      <c r="K1318" s="118"/>
    </row>
    <row r="1319" spans="1:50" s="7" customFormat="1">
      <c r="C1319" s="118"/>
      <c r="D1319" s="118"/>
      <c r="E1319" s="118"/>
      <c r="F1319" s="118"/>
      <c r="G1319" s="118"/>
      <c r="H1319" s="118"/>
      <c r="I1319" s="118"/>
      <c r="J1319" s="118"/>
      <c r="K1319" s="118"/>
    </row>
    <row r="1320" spans="1:50" s="7" customFormat="1">
      <c r="C1320" s="118"/>
      <c r="D1320" s="118"/>
      <c r="E1320" s="118"/>
      <c r="F1320" s="118"/>
      <c r="G1320" s="118"/>
      <c r="H1320" s="118"/>
      <c r="I1320" s="118"/>
      <c r="J1320" s="118"/>
      <c r="K1320" s="118"/>
    </row>
    <row r="1321" spans="1:50" s="7" customFormat="1">
      <c r="C1321" s="118"/>
      <c r="D1321" s="118"/>
      <c r="E1321" s="118"/>
      <c r="F1321" s="118"/>
      <c r="G1321" s="118"/>
      <c r="H1321" s="118"/>
      <c r="I1321" s="118"/>
      <c r="J1321" s="118"/>
      <c r="K1321" s="118"/>
      <c r="AM1321" s="8"/>
      <c r="AN1321" s="8"/>
      <c r="AO1321" s="8"/>
      <c r="AP1321" s="8"/>
      <c r="AQ1321" s="8"/>
      <c r="AR1321" s="8"/>
      <c r="AS1321" s="8"/>
      <c r="AT1321" s="8"/>
      <c r="AU1321" s="8"/>
      <c r="AV1321" s="124"/>
    </row>
    <row r="1322" spans="1:50" s="7" customFormat="1">
      <c r="A1322" s="8"/>
      <c r="B1322" s="8"/>
      <c r="C1322" s="118"/>
      <c r="D1322" s="118"/>
      <c r="E1322" s="118"/>
      <c r="F1322" s="118"/>
      <c r="G1322" s="118"/>
      <c r="H1322" s="118"/>
      <c r="I1322" s="118"/>
      <c r="J1322" s="118"/>
      <c r="K1322" s="118"/>
      <c r="L1322" s="8"/>
      <c r="M1322" s="8"/>
      <c r="N1322" s="8"/>
      <c r="O1322" s="8"/>
      <c r="P1322" s="8"/>
      <c r="Q1322" s="8"/>
      <c r="R1322" s="8"/>
      <c r="S1322" s="8"/>
      <c r="T1322" s="8"/>
      <c r="U1322" s="8"/>
      <c r="V1322" s="8"/>
      <c r="W1322" s="8"/>
      <c r="X1322" s="8"/>
      <c r="Y1322" s="8"/>
      <c r="Z1322" s="8"/>
      <c r="AA1322" s="8"/>
      <c r="AB1322" s="8"/>
      <c r="AC1322" s="8"/>
      <c r="AD1322" s="8"/>
      <c r="AE1322" s="8"/>
      <c r="AF1322" s="8"/>
      <c r="AG1322" s="8"/>
      <c r="AH1322" s="8"/>
      <c r="AI1322" s="8"/>
      <c r="AJ1322" s="8"/>
      <c r="AK1322" s="8"/>
      <c r="AL1322" s="8"/>
      <c r="AM1322" s="8"/>
      <c r="AN1322" s="8"/>
      <c r="AO1322" s="8"/>
      <c r="AP1322" s="8"/>
      <c r="AQ1322" s="8"/>
      <c r="AR1322" s="8"/>
      <c r="AS1322" s="8"/>
      <c r="AT1322" s="8"/>
      <c r="AU1322" s="8"/>
      <c r="AV1322" s="124"/>
      <c r="AW1322" s="124"/>
      <c r="AX1322" s="124"/>
    </row>
    <row r="1323" spans="1:50">
      <c r="C1323" s="118"/>
      <c r="D1323" s="118"/>
      <c r="E1323" s="118"/>
      <c r="F1323" s="118"/>
      <c r="G1323" s="118"/>
      <c r="H1323" s="118"/>
      <c r="I1323" s="118"/>
      <c r="J1323" s="118"/>
      <c r="K1323" s="118"/>
    </row>
    <row r="1324" spans="1:50">
      <c r="C1324" s="118"/>
      <c r="D1324" s="118"/>
      <c r="E1324" s="118"/>
      <c r="F1324" s="118"/>
      <c r="G1324" s="118"/>
      <c r="H1324" s="118"/>
      <c r="I1324" s="118"/>
      <c r="J1324" s="118"/>
      <c r="K1324" s="118"/>
    </row>
    <row r="1325" spans="1:50">
      <c r="C1325" s="118"/>
      <c r="D1325" s="118"/>
      <c r="E1325" s="118"/>
      <c r="F1325" s="118"/>
      <c r="G1325" s="118"/>
      <c r="H1325" s="118"/>
      <c r="I1325" s="118"/>
      <c r="J1325" s="118"/>
      <c r="K1325" s="118"/>
    </row>
    <row r="1326" spans="1:50">
      <c r="C1326" s="118"/>
      <c r="D1326" s="118"/>
      <c r="E1326" s="118"/>
      <c r="F1326" s="118"/>
      <c r="G1326" s="118"/>
      <c r="H1326" s="118"/>
      <c r="I1326" s="118"/>
      <c r="J1326" s="118"/>
      <c r="K1326" s="118"/>
    </row>
    <row r="1327" spans="1:50">
      <c r="C1327" s="118"/>
      <c r="D1327" s="118"/>
      <c r="E1327" s="118"/>
      <c r="F1327" s="118"/>
      <c r="G1327" s="118"/>
      <c r="H1327" s="118"/>
      <c r="I1327" s="118"/>
      <c r="J1327" s="118"/>
      <c r="K1327" s="118"/>
    </row>
    <row r="1328" spans="1:50">
      <c r="C1328" s="118"/>
      <c r="D1328" s="118"/>
      <c r="E1328" s="118"/>
      <c r="F1328" s="118"/>
      <c r="G1328" s="118"/>
      <c r="H1328" s="118"/>
      <c r="I1328" s="118"/>
      <c r="J1328" s="118"/>
      <c r="K1328" s="118"/>
    </row>
    <row r="1329" spans="3:11">
      <c r="C1329" s="118"/>
      <c r="D1329" s="118"/>
      <c r="E1329" s="118"/>
      <c r="F1329" s="118"/>
      <c r="G1329" s="118"/>
      <c r="H1329" s="118"/>
      <c r="I1329" s="118"/>
      <c r="J1329" s="118"/>
      <c r="K1329" s="118"/>
    </row>
    <row r="1330" spans="3:11">
      <c r="C1330" s="118"/>
      <c r="D1330" s="118"/>
      <c r="E1330" s="118"/>
      <c r="F1330" s="118"/>
      <c r="G1330" s="118"/>
      <c r="H1330" s="118"/>
      <c r="I1330" s="118"/>
      <c r="J1330" s="118"/>
      <c r="K1330" s="118"/>
    </row>
    <row r="1331" spans="3:11">
      <c r="C1331" s="118"/>
      <c r="D1331" s="118"/>
      <c r="E1331" s="118"/>
      <c r="F1331" s="118"/>
      <c r="G1331" s="118"/>
      <c r="H1331" s="118"/>
      <c r="I1331" s="118"/>
      <c r="J1331" s="118"/>
      <c r="K1331" s="118"/>
    </row>
    <row r="1332" spans="3:11">
      <c r="C1332" s="118"/>
      <c r="D1332" s="118"/>
      <c r="E1332" s="118"/>
      <c r="F1332" s="118"/>
      <c r="G1332" s="118"/>
      <c r="H1332" s="118"/>
      <c r="I1332" s="118"/>
      <c r="J1332" s="118"/>
      <c r="K1332" s="118"/>
    </row>
    <row r="1333" spans="3:11">
      <c r="C1333" s="118"/>
      <c r="D1333" s="118"/>
      <c r="E1333" s="118"/>
      <c r="F1333" s="118"/>
      <c r="G1333" s="118"/>
      <c r="H1333" s="118"/>
      <c r="I1333" s="118"/>
      <c r="J1333" s="118"/>
      <c r="K1333" s="118"/>
    </row>
    <row r="1334" spans="3:11">
      <c r="C1334" s="118"/>
      <c r="D1334" s="118"/>
      <c r="E1334" s="118"/>
      <c r="F1334" s="118"/>
      <c r="G1334" s="118"/>
      <c r="H1334" s="118"/>
      <c r="I1334" s="118"/>
      <c r="J1334" s="118"/>
      <c r="K1334" s="118"/>
    </row>
    <row r="1335" spans="3:11">
      <c r="C1335" s="118"/>
      <c r="D1335" s="118"/>
      <c r="E1335" s="118"/>
      <c r="F1335" s="118"/>
      <c r="G1335" s="118"/>
      <c r="H1335" s="118"/>
      <c r="I1335" s="118"/>
      <c r="J1335" s="118"/>
      <c r="K1335" s="118"/>
    </row>
    <row r="1336" spans="3:11">
      <c r="C1336" s="118"/>
      <c r="D1336" s="118"/>
      <c r="E1336" s="118"/>
      <c r="F1336" s="118"/>
      <c r="G1336" s="118"/>
      <c r="H1336" s="118"/>
      <c r="I1336" s="118"/>
      <c r="J1336" s="118"/>
      <c r="K1336" s="118"/>
    </row>
    <row r="1337" spans="3:11">
      <c r="C1337" s="118"/>
      <c r="D1337" s="118"/>
      <c r="E1337" s="118"/>
      <c r="F1337" s="118"/>
      <c r="G1337" s="118"/>
      <c r="H1337" s="118"/>
      <c r="I1337" s="118"/>
      <c r="J1337" s="118"/>
      <c r="K1337" s="118"/>
    </row>
    <row r="1338" spans="3:11">
      <c r="C1338" s="118"/>
      <c r="D1338" s="118"/>
      <c r="E1338" s="118"/>
      <c r="F1338" s="118"/>
      <c r="G1338" s="118"/>
      <c r="H1338" s="118"/>
      <c r="I1338" s="118"/>
      <c r="J1338" s="118"/>
      <c r="K1338" s="118"/>
    </row>
  </sheetData>
  <sortState ref="B198:AI207">
    <sortCondition descending="1" ref="B198"/>
  </sortState>
  <dataConsolidate/>
  <mergeCells count="71">
    <mergeCell ref="FU16:FV16"/>
    <mergeCell ref="FS16:FT16"/>
    <mergeCell ref="FQ16:FR16"/>
    <mergeCell ref="FU15:FV15"/>
    <mergeCell ref="FS15:FT15"/>
    <mergeCell ref="FQ15:FR15"/>
    <mergeCell ref="FU14:FV14"/>
    <mergeCell ref="FS14:FT14"/>
    <mergeCell ref="FQ14:FR14"/>
    <mergeCell ref="FU13:FV13"/>
    <mergeCell ref="FS13:FT13"/>
    <mergeCell ref="FQ13:FR13"/>
    <mergeCell ref="FU12:FV12"/>
    <mergeCell ref="FS12:FT12"/>
    <mergeCell ref="FQ12:FR12"/>
    <mergeCell ref="FU11:FV11"/>
    <mergeCell ref="FS11:FT11"/>
    <mergeCell ref="FQ11:FR11"/>
    <mergeCell ref="FU10:FV10"/>
    <mergeCell ref="FS10:FT10"/>
    <mergeCell ref="FQ10:FR10"/>
    <mergeCell ref="FU9:FV9"/>
    <mergeCell ref="FS9:FT9"/>
    <mergeCell ref="FQ9:FR9"/>
    <mergeCell ref="FU8:FV8"/>
    <mergeCell ref="FS8:FT8"/>
    <mergeCell ref="FQ8:FR8"/>
    <mergeCell ref="FU7:FV7"/>
    <mergeCell ref="FS7:FT7"/>
    <mergeCell ref="FQ7:FR7"/>
    <mergeCell ref="FU6:FV6"/>
    <mergeCell ref="FS6:FT6"/>
    <mergeCell ref="FQ6:FR6"/>
    <mergeCell ref="FR4:FU4"/>
    <mergeCell ref="CW86:CX86"/>
    <mergeCell ref="FK10:FL10"/>
    <mergeCell ref="FM10:FN10"/>
    <mergeCell ref="FI11:FJ11"/>
    <mergeCell ref="FK11:FL11"/>
    <mergeCell ref="FM11:FN11"/>
    <mergeCell ref="FI12:FJ12"/>
    <mergeCell ref="FK12:FL12"/>
    <mergeCell ref="FM12:FN12"/>
    <mergeCell ref="FI13:FJ13"/>
    <mergeCell ref="FK13:FL13"/>
    <mergeCell ref="FM13:FN13"/>
    <mergeCell ref="O455:R455"/>
    <mergeCell ref="GC2:GI2"/>
    <mergeCell ref="FJ4:FM4"/>
    <mergeCell ref="FI6:FJ6"/>
    <mergeCell ref="FK6:FL6"/>
    <mergeCell ref="FM6:FN6"/>
    <mergeCell ref="FI7:FJ7"/>
    <mergeCell ref="FK7:FL7"/>
    <mergeCell ref="FM7:FN7"/>
    <mergeCell ref="FI8:FJ8"/>
    <mergeCell ref="FK8:FL8"/>
    <mergeCell ref="FM8:FN8"/>
    <mergeCell ref="FI9:FJ9"/>
    <mergeCell ref="FK9:FL9"/>
    <mergeCell ref="FM9:FN9"/>
    <mergeCell ref="FI10:FJ10"/>
    <mergeCell ref="FI16:FJ16"/>
    <mergeCell ref="FK16:FL16"/>
    <mergeCell ref="FM16:FN16"/>
    <mergeCell ref="FI14:FJ14"/>
    <mergeCell ref="FK14:FL14"/>
    <mergeCell ref="FM14:FN14"/>
    <mergeCell ref="FI15:FJ15"/>
    <mergeCell ref="FK15:FL15"/>
    <mergeCell ref="FM15:FN15"/>
  </mergeCells>
  <phoneticPr fontId="2" type="noConversion"/>
  <pageMargins left="0.75" right="0.75" top="1" bottom="1" header="0.5" footer="0.5"/>
  <pageSetup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A8"/>
  <sheetViews>
    <sheetView workbookViewId="0">
      <selection activeCell="A8" sqref="A8"/>
    </sheetView>
  </sheetViews>
  <sheetFormatPr defaultColWidth="11.42578125" defaultRowHeight="12.75"/>
  <sheetData>
    <row r="1" spans="1:1">
      <c r="A1" t="s">
        <v>84</v>
      </c>
    </row>
    <row r="2" spans="1:1">
      <c r="A2" t="s">
        <v>85</v>
      </c>
    </row>
    <row r="3" spans="1:1">
      <c r="A3" t="s">
        <v>86</v>
      </c>
    </row>
    <row r="4" spans="1:1">
      <c r="A4" t="s">
        <v>87</v>
      </c>
    </row>
    <row r="5" spans="1:1">
      <c r="A5" t="s">
        <v>88</v>
      </c>
    </row>
    <row r="6" spans="1:1">
      <c r="A6" t="s">
        <v>89</v>
      </c>
    </row>
    <row r="7" spans="1:1">
      <c r="A7" t="s">
        <v>90</v>
      </c>
    </row>
    <row r="8" spans="1:1">
      <c r="A8" t="s">
        <v>91</v>
      </c>
    </row>
  </sheetData>
  <phoneticPr fontId="4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Cobble Gravel</vt:lpstr>
      <vt:lpstr>Notes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A. Chadwick</dc:creator>
  <cp:lastModifiedBy>Jim</cp:lastModifiedBy>
  <dcterms:created xsi:type="dcterms:W3CDTF">2004-12-20T04:17:09Z</dcterms:created>
  <dcterms:modified xsi:type="dcterms:W3CDTF">2011-01-11T21:42:21Z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-642832883</vt:i4>
  </property>
  <property fmtid="{D5CDD505-2E9C-101B-9397-08002B2CF9AE}" pid="3" name="_EmailSubject">
    <vt:lpwstr>bootstrap spreadsheet</vt:lpwstr>
  </property>
  <property fmtid="{D5CDD505-2E9C-101B-9397-08002B2CF9AE}" pid="4" name="_AuthorEmail">
    <vt:lpwstr>chadwick@bama.ua.edu</vt:lpwstr>
  </property>
  <property fmtid="{D5CDD505-2E9C-101B-9397-08002B2CF9AE}" pid="5" name="_AuthorEmailDisplayName">
    <vt:lpwstr>Michael A. Chadwick</vt:lpwstr>
  </property>
  <property fmtid="{D5CDD505-2E9C-101B-9397-08002B2CF9AE}" pid="6" name="_ReviewingToolsShownOnce">
    <vt:lpwstr/>
  </property>
</Properties>
</file>