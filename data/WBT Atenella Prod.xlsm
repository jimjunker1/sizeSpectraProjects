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165" yWindow="30" windowWidth="14355" windowHeight="805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H422" i="1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G221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G220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H219"/>
  <c r="DG219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K215"/>
  <c r="DJ215"/>
  <c r="DI215"/>
  <c r="DH215"/>
  <c r="DG215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K214"/>
  <c r="DJ214"/>
  <c r="DI214"/>
  <c r="DH214"/>
  <c r="DG214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K213"/>
  <c r="DJ213"/>
  <c r="DI213"/>
  <c r="DH213"/>
  <c r="DG213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I212"/>
  <c r="DH212"/>
  <c r="DG212"/>
  <c r="DE231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N372"/>
  <c r="N382" s="1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 s="1"/>
  <c r="EA189"/>
  <c r="FK189" s="1"/>
  <c r="DZ189"/>
  <c r="FJ189" s="1"/>
  <c r="DY189"/>
  <c r="FI189" s="1"/>
  <c r="DX189"/>
  <c r="FH189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 s="1"/>
  <c r="DL188"/>
  <c r="EV188"/>
  <c r="DK188"/>
  <c r="EU188" s="1"/>
  <c r="DJ188"/>
  <c r="ET188"/>
  <c r="DI188"/>
  <c r="ES188" s="1"/>
  <c r="DH188"/>
  <c r="ER188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4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6"/>
  <c r="CX185"/>
  <c r="CZ185"/>
  <c r="DK185"/>
  <c r="DO185"/>
  <c r="DS185"/>
  <c r="DW185"/>
  <c r="EA185"/>
  <c r="EC185"/>
  <c r="FM185" s="1"/>
  <c r="EE185"/>
  <c r="DD185"/>
  <c r="DE185"/>
  <c r="DC185"/>
  <c r="BA185"/>
  <c r="CM185" s="1"/>
  <c r="CL185"/>
  <c r="CK185"/>
  <c r="AY185"/>
  <c r="B180"/>
  <c r="CX184"/>
  <c r="CZ184"/>
  <c r="DF184"/>
  <c r="DL184"/>
  <c r="DT184"/>
  <c r="EA184"/>
  <c r="EI184"/>
  <c r="DD184"/>
  <c r="BA184"/>
  <c r="CM184"/>
  <c r="CL184"/>
  <c r="CK184"/>
  <c r="AY184"/>
  <c r="B185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79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1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7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FM180" s="1"/>
  <c r="ED180"/>
  <c r="EF180"/>
  <c r="EG180"/>
  <c r="EH180"/>
  <c r="EI180"/>
  <c r="DD180"/>
  <c r="DE180" s="1"/>
  <c r="DC180"/>
  <c r="BA180"/>
  <c r="CM180" s="1"/>
  <c r="CL180"/>
  <c r="CK180"/>
  <c r="AY180"/>
  <c r="B178"/>
  <c r="CX179"/>
  <c r="CZ179"/>
  <c r="DP179"/>
  <c r="DR179"/>
  <c r="EF179"/>
  <c r="EH179"/>
  <c r="DD179"/>
  <c r="DC179" s="1"/>
  <c r="BA179"/>
  <c r="CM179"/>
  <c r="CL179"/>
  <c r="CK179"/>
  <c r="AY179"/>
  <c r="B182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3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2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5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7"/>
  <c r="CZ174"/>
  <c r="DG174"/>
  <c r="DI174"/>
  <c r="DK174"/>
  <c r="DM174"/>
  <c r="EW174" s="1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6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1"/>
  <c r="CZ172"/>
  <c r="DD172"/>
  <c r="DE172" s="1"/>
  <c r="DC172"/>
  <c r="BA172"/>
  <c r="CM172" s="1"/>
  <c r="CL172"/>
  <c r="CK172"/>
  <c r="AY172"/>
  <c r="B174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3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68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69"/>
  <c r="CX168"/>
  <c r="CZ168"/>
  <c r="DZ168" s="1"/>
  <c r="DJ168"/>
  <c r="DP168"/>
  <c r="EF168"/>
  <c r="DD168"/>
  <c r="DC168" s="1"/>
  <c r="DE168"/>
  <c r="CL168"/>
  <c r="CK168"/>
  <c r="AY168"/>
  <c r="B170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5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2"/>
  <c r="CZ165"/>
  <c r="DF165"/>
  <c r="DG165"/>
  <c r="DH165"/>
  <c r="DI165"/>
  <c r="ES165" s="1"/>
  <c r="DJ165"/>
  <c r="DK165"/>
  <c r="DL165"/>
  <c r="DM165"/>
  <c r="EW165" s="1"/>
  <c r="DN165"/>
  <c r="DO165"/>
  <c r="DP165"/>
  <c r="DQ165"/>
  <c r="DR165"/>
  <c r="DS165"/>
  <c r="DT165"/>
  <c r="DU165"/>
  <c r="DV165"/>
  <c r="DW165"/>
  <c r="DX165"/>
  <c r="DY165"/>
  <c r="FI165" s="1"/>
  <c r="DZ165"/>
  <c r="FJ165" s="1"/>
  <c r="EA165"/>
  <c r="EB165"/>
  <c r="EC165"/>
  <c r="FM165" s="1"/>
  <c r="ED165"/>
  <c r="EE165"/>
  <c r="EF165"/>
  <c r="EG165"/>
  <c r="FQ165" s="1"/>
  <c r="EH165"/>
  <c r="EI165"/>
  <c r="EJ165"/>
  <c r="DD165"/>
  <c r="DE165"/>
  <c r="DC165"/>
  <c r="BA165"/>
  <c r="CM165"/>
  <c r="CL165"/>
  <c r="CK165"/>
  <c r="AY165"/>
  <c r="B167"/>
  <c r="CZ164"/>
  <c r="DJ164" s="1"/>
  <c r="DF164"/>
  <c r="DG164"/>
  <c r="DH164"/>
  <c r="DI164"/>
  <c r="ES164" s="1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3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59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1"/>
  <c r="CX161"/>
  <c r="CZ161"/>
  <c r="DP161"/>
  <c r="DV161"/>
  <c r="DD161"/>
  <c r="BA161"/>
  <c r="CM161"/>
  <c r="CL161"/>
  <c r="CK161"/>
  <c r="AY161"/>
  <c r="B160"/>
  <c r="CW160"/>
  <c r="CX160"/>
  <c r="CZ160"/>
  <c r="EB160"/>
  <c r="ED160"/>
  <c r="DD160"/>
  <c r="DC160" s="1"/>
  <c r="DE160"/>
  <c r="BA160"/>
  <c r="CM160"/>
  <c r="CL160"/>
  <c r="CK160"/>
  <c r="AY160"/>
  <c r="B166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4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58"/>
  <c r="CZ157"/>
  <c r="DF157"/>
  <c r="DH157"/>
  <c r="DJ157"/>
  <c r="DL157"/>
  <c r="DN157"/>
  <c r="DP157"/>
  <c r="DR157"/>
  <c r="DT157"/>
  <c r="DV157"/>
  <c r="DX157"/>
  <c r="DZ157"/>
  <c r="FJ157" s="1"/>
  <c r="EB157"/>
  <c r="ED157"/>
  <c r="EF157"/>
  <c r="EH157"/>
  <c r="EJ157"/>
  <c r="DD157"/>
  <c r="DC157" s="1"/>
  <c r="DE157"/>
  <c r="BA157"/>
  <c r="CM157" s="1"/>
  <c r="CL157"/>
  <c r="CK157"/>
  <c r="AY157"/>
  <c r="B156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FI156" s="1"/>
  <c r="DZ156"/>
  <c r="FJ156" s="1"/>
  <c r="EA156"/>
  <c r="EB156"/>
  <c r="EC156"/>
  <c r="FM156" s="1"/>
  <c r="ED156"/>
  <c r="EE156"/>
  <c r="EF156"/>
  <c r="EG156"/>
  <c r="EH156"/>
  <c r="EI156"/>
  <c r="EJ156"/>
  <c r="DD156"/>
  <c r="DC156" s="1"/>
  <c r="DE156"/>
  <c r="BA156"/>
  <c r="CM156"/>
  <c r="CL156"/>
  <c r="CK156"/>
  <c r="AY156"/>
  <c r="B149"/>
  <c r="CZ155"/>
  <c r="DK155" s="1"/>
  <c r="DG155"/>
  <c r="DO155"/>
  <c r="DW155"/>
  <c r="EE155"/>
  <c r="DD155"/>
  <c r="DE155"/>
  <c r="DC155"/>
  <c r="BA155"/>
  <c r="CM155" s="1"/>
  <c r="CL155"/>
  <c r="CK155"/>
  <c r="AY155"/>
  <c r="B150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2"/>
  <c r="CZ153"/>
  <c r="DG153"/>
  <c r="DI153"/>
  <c r="ES153" s="1"/>
  <c r="DK153"/>
  <c r="DM153"/>
  <c r="DO153"/>
  <c r="DQ153"/>
  <c r="DS153"/>
  <c r="DU153"/>
  <c r="DW153"/>
  <c r="DY153"/>
  <c r="FI153" s="1"/>
  <c r="EA153"/>
  <c r="EC153"/>
  <c r="EE153"/>
  <c r="EG153"/>
  <c r="EI153"/>
  <c r="DD153"/>
  <c r="DE153"/>
  <c r="DC153"/>
  <c r="BA153"/>
  <c r="CM153" s="1"/>
  <c r="CL153"/>
  <c r="CK153"/>
  <c r="AY153"/>
  <c r="B148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4"/>
  <c r="DK151"/>
  <c r="DG151"/>
  <c r="DO151"/>
  <c r="DW151"/>
  <c r="EE151"/>
  <c r="DD151"/>
  <c r="DE151" s="1"/>
  <c r="DC151"/>
  <c r="B155"/>
  <c r="DG150"/>
  <c r="DF150"/>
  <c r="DH150"/>
  <c r="DJ150"/>
  <c r="DL150"/>
  <c r="DN150"/>
  <c r="DP150"/>
  <c r="EZ150" s="1"/>
  <c r="DR150"/>
  <c r="DT150"/>
  <c r="DV150"/>
  <c r="DX150"/>
  <c r="DZ150"/>
  <c r="EB150"/>
  <c r="ED150"/>
  <c r="EF150"/>
  <c r="EH150"/>
  <c r="EJ150"/>
  <c r="DD150"/>
  <c r="DC150" s="1"/>
  <c r="DE150"/>
  <c r="B151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7"/>
  <c r="CZ148"/>
  <c r="DF148"/>
  <c r="DJ148"/>
  <c r="DN148"/>
  <c r="DR148"/>
  <c r="DV148"/>
  <c r="DZ148"/>
  <c r="ED148"/>
  <c r="EH148"/>
  <c r="DD148"/>
  <c r="CL148"/>
  <c r="CK148"/>
  <c r="AY148"/>
  <c r="B153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2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7"/>
  <c r="CX145"/>
  <c r="CZ145"/>
  <c r="DI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40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1"/>
  <c r="CZ143"/>
  <c r="DG143" s="1"/>
  <c r="DF143"/>
  <c r="DH143"/>
  <c r="DJ143"/>
  <c r="DL143"/>
  <c r="DN143"/>
  <c r="DP143"/>
  <c r="EZ143" s="1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5"/>
  <c r="CX142"/>
  <c r="CZ142"/>
  <c r="DI142"/>
  <c r="ES142" s="1"/>
  <c r="DM142"/>
  <c r="EW142" s="1"/>
  <c r="DN142"/>
  <c r="DO142"/>
  <c r="DP142"/>
  <c r="EZ142" s="1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39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6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38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4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3"/>
  <c r="CZ137"/>
  <c r="DF137"/>
  <c r="DG137"/>
  <c r="DH137"/>
  <c r="DI137"/>
  <c r="ES137" s="1"/>
  <c r="DJ137"/>
  <c r="DK137"/>
  <c r="DL137"/>
  <c r="DM137"/>
  <c r="EW137" s="1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5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29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3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4"/>
  <c r="CZ133"/>
  <c r="DG133" s="1"/>
  <c r="DD133"/>
  <c r="DE133"/>
  <c r="DC133"/>
  <c r="BA133"/>
  <c r="CM133" s="1"/>
  <c r="CL133"/>
  <c r="CK133"/>
  <c r="AY133"/>
  <c r="B131"/>
  <c r="CX132"/>
  <c r="CZ132"/>
  <c r="DF132"/>
  <c r="EP132" s="1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0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6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28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2"/>
  <c r="CW128"/>
  <c r="CX128"/>
  <c r="CZ128"/>
  <c r="DH128"/>
  <c r="DL128"/>
  <c r="DP128"/>
  <c r="DT128"/>
  <c r="DX128"/>
  <c r="EB128"/>
  <c r="EF128"/>
  <c r="EJ128"/>
  <c r="DD128"/>
  <c r="CL128"/>
  <c r="CK128"/>
  <c r="AY128"/>
  <c r="B137"/>
  <c r="CX127"/>
  <c r="CZ127"/>
  <c r="DD127"/>
  <c r="DE127"/>
  <c r="DC127"/>
  <c r="BA127"/>
  <c r="CM127" s="1"/>
  <c r="CL127"/>
  <c r="CK127"/>
  <c r="AY127"/>
  <c r="B120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19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2"/>
  <c r="CX124"/>
  <c r="DI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7"/>
  <c r="CX123"/>
  <c r="CZ123"/>
  <c r="DD123"/>
  <c r="DE123"/>
  <c r="DC123"/>
  <c r="BA123"/>
  <c r="CM123" s="1"/>
  <c r="CL123"/>
  <c r="CK123"/>
  <c r="AY123"/>
  <c r="B121"/>
  <c r="CX122"/>
  <c r="CZ122"/>
  <c r="DF122"/>
  <c r="EP122" s="1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3"/>
  <c r="CW121"/>
  <c r="CX121"/>
  <c r="CZ121"/>
  <c r="DD121"/>
  <c r="BA121"/>
  <c r="CM121"/>
  <c r="CL121"/>
  <c r="CK121"/>
  <c r="AY121"/>
  <c r="B124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6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18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5"/>
  <c r="CZ117"/>
  <c r="DI117" s="1"/>
  <c r="ES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5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08"/>
  <c r="CZ115"/>
  <c r="DI115"/>
  <c r="DM115"/>
  <c r="DQ115"/>
  <c r="DU115"/>
  <c r="DY115"/>
  <c r="EC115"/>
  <c r="EG115"/>
  <c r="DD115"/>
  <c r="DE115"/>
  <c r="DC115"/>
  <c r="BA115"/>
  <c r="CM115" s="1"/>
  <c r="CL115"/>
  <c r="CK115"/>
  <c r="AY115"/>
  <c r="B114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3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09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6"/>
  <c r="CZ111"/>
  <c r="DI111"/>
  <c r="ES111" s="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2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1"/>
  <c r="CZ109"/>
  <c r="DI109" s="1"/>
  <c r="ES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7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0"/>
  <c r="CW107"/>
  <c r="CX107"/>
  <c r="DG107" s="1"/>
  <c r="CZ107"/>
  <c r="DO107" s="1"/>
  <c r="DI107"/>
  <c r="DM107"/>
  <c r="DQ107"/>
  <c r="DU107"/>
  <c r="DY107"/>
  <c r="EC107"/>
  <c r="EG107"/>
  <c r="DD107"/>
  <c r="DE107"/>
  <c r="DC107"/>
  <c r="BA107"/>
  <c r="CM107" s="1"/>
  <c r="CL107"/>
  <c r="CK107"/>
  <c r="AY107"/>
  <c r="B105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99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4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2"/>
  <c r="CZ103"/>
  <c r="DI103"/>
  <c r="ES103" s="1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106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98"/>
  <c r="CX101"/>
  <c r="DG101" s="1"/>
  <c r="CZ101"/>
  <c r="DI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0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3"/>
  <c r="CZ99"/>
  <c r="DG99" s="1"/>
  <c r="DF99"/>
  <c r="DH99"/>
  <c r="DJ99"/>
  <c r="DL99"/>
  <c r="DN99"/>
  <c r="DP99"/>
  <c r="EZ99" s="1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1"/>
  <c r="CZ98"/>
  <c r="DI98"/>
  <c r="DM98"/>
  <c r="DQ98"/>
  <c r="DU98"/>
  <c r="DY98"/>
  <c r="EC98"/>
  <c r="EG98"/>
  <c r="DD98"/>
  <c r="DE98" s="1"/>
  <c r="DC98"/>
  <c r="CL98"/>
  <c r="CK98"/>
  <c r="AY98"/>
  <c r="B107"/>
  <c r="CZ97"/>
  <c r="DG97" s="1"/>
  <c r="DD97"/>
  <c r="DE97" s="1"/>
  <c r="DC97"/>
  <c r="BA97"/>
  <c r="CM97" s="1"/>
  <c r="CL97"/>
  <c r="CK97"/>
  <c r="AY97"/>
  <c r="B93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2"/>
  <c r="CZ95"/>
  <c r="DD95"/>
  <c r="DE95" s="1"/>
  <c r="DC95"/>
  <c r="BA95"/>
  <c r="CM95" s="1"/>
  <c r="CL95"/>
  <c r="CK95"/>
  <c r="AY95"/>
  <c r="B89"/>
  <c r="CZ94"/>
  <c r="DF94"/>
  <c r="DG94"/>
  <c r="DH94"/>
  <c r="DI94"/>
  <c r="ES94" s="1"/>
  <c r="DJ94"/>
  <c r="DK94"/>
  <c r="DL94"/>
  <c r="DM94"/>
  <c r="EW94" s="1"/>
  <c r="DN94"/>
  <c r="DO94"/>
  <c r="DP94"/>
  <c r="EZ94" s="1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7"/>
  <c r="CZ93"/>
  <c r="DD93"/>
  <c r="DE93" s="1"/>
  <c r="DC93"/>
  <c r="BA93"/>
  <c r="CM93" s="1"/>
  <c r="CL93"/>
  <c r="CK93"/>
  <c r="AY93"/>
  <c r="B90"/>
  <c r="CZ92"/>
  <c r="DF92"/>
  <c r="DG92"/>
  <c r="DH92"/>
  <c r="DI92"/>
  <c r="ES92" s="1"/>
  <c r="DJ92"/>
  <c r="DK92"/>
  <c r="DL92"/>
  <c r="DM92"/>
  <c r="EW92" s="1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5"/>
  <c r="CZ91"/>
  <c r="DG91" s="1"/>
  <c r="DD91"/>
  <c r="DE91" s="1"/>
  <c r="DC91"/>
  <c r="BA91"/>
  <c r="CM91" s="1"/>
  <c r="CL91"/>
  <c r="CK91"/>
  <c r="AY91"/>
  <c r="B91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4"/>
  <c r="CX89"/>
  <c r="CZ89"/>
  <c r="DN89" s="1"/>
  <c r="DO89"/>
  <c r="DQ89"/>
  <c r="DS89"/>
  <c r="DU89"/>
  <c r="DW89"/>
  <c r="DY89"/>
  <c r="FI89" s="1"/>
  <c r="EA89"/>
  <c r="EC89"/>
  <c r="EE89"/>
  <c r="EG89"/>
  <c r="FQ89" s="1"/>
  <c r="EI89"/>
  <c r="DD89"/>
  <c r="DE89"/>
  <c r="DC89"/>
  <c r="BA89"/>
  <c r="CM89" s="1"/>
  <c r="CL89"/>
  <c r="CK89"/>
  <c r="AY89"/>
  <c r="B88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6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J92" l="1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EW153"/>
  <c r="ES156"/>
  <c r="EW158"/>
  <c r="ES158"/>
  <c r="ES163"/>
  <c r="ES169"/>
  <c r="EW170"/>
  <c r="ES170"/>
  <c r="ES174"/>
  <c r="EW176"/>
  <c r="EW90"/>
  <c r="ES90"/>
  <c r="FJ96"/>
  <c r="EW101"/>
  <c r="EW107"/>
  <c r="EW115"/>
  <c r="ES124"/>
  <c r="EP131"/>
  <c r="EW138"/>
  <c r="EW145"/>
  <c r="FA159"/>
  <c r="FA164"/>
  <c r="FA180"/>
  <c r="EW182"/>
  <c r="ES182"/>
  <c r="J372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J378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J377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N373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U374"/>
  <c r="N381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N374"/>
  <c r="N377"/>
  <c r="N380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2"/>
  <c r="O376"/>
  <c r="O373"/>
  <c r="O380"/>
  <c r="J380"/>
  <c r="J374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AF376"/>
  <c r="AB378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H476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M377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U382"/>
  <c r="U376"/>
  <c r="U375"/>
  <c r="U373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L381"/>
  <c r="L374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M381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4"/>
  <c r="AI373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B381"/>
  <c r="AB373"/>
  <c r="S378"/>
  <c r="N379"/>
  <c r="N375"/>
  <c r="N378"/>
  <c r="N376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H470"/>
  <c r="AE374"/>
  <c r="O382"/>
  <c r="O378"/>
  <c r="O374"/>
  <c r="J379"/>
  <c r="J375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J424" l="1"/>
  <c r="J442" s="1"/>
  <c r="Z424"/>
  <c r="Z442" s="1"/>
  <c r="J426"/>
  <c r="J444" s="1"/>
  <c r="N428"/>
  <c r="N446" s="1"/>
  <c r="AD428"/>
  <c r="AD446" s="1"/>
  <c r="V430"/>
  <c r="V448" s="1"/>
  <c r="S424"/>
  <c r="S442" s="1"/>
  <c r="N427"/>
  <c r="N445" s="1"/>
  <c r="Z431"/>
  <c r="Z449" s="1"/>
  <c r="AI423"/>
  <c r="AI441" s="1"/>
  <c r="AK424"/>
  <c r="AK442" s="1"/>
  <c r="N431"/>
  <c r="N449" s="1"/>
  <c r="AG432"/>
  <c r="AG450" s="1"/>
  <c r="I423"/>
  <c r="I441" s="1"/>
  <c r="H432"/>
  <c r="H450" s="1"/>
  <c r="P425"/>
  <c r="P443" s="1"/>
  <c r="M426"/>
  <c r="M444" s="1"/>
  <c r="AG427"/>
  <c r="AG445" s="1"/>
  <c r="AE427"/>
  <c r="AE445" s="1"/>
  <c r="Y428"/>
  <c r="Y446" s="1"/>
  <c r="AJ429"/>
  <c r="AJ447" s="1"/>
  <c r="W428"/>
  <c r="W446" s="1"/>
  <c r="O429"/>
  <c r="O447" s="1"/>
  <c r="U429"/>
  <c r="U447" s="1"/>
  <c r="AE430"/>
  <c r="AE448" s="1"/>
  <c r="AA430"/>
  <c r="AA448" s="1"/>
  <c r="X431"/>
  <c r="X449" s="1"/>
  <c r="M431"/>
  <c r="M449" s="1"/>
  <c r="AB431"/>
  <c r="AB449" s="1"/>
  <c r="AA431"/>
  <c r="AA449" s="1"/>
  <c r="P427"/>
  <c r="P445" s="1"/>
  <c r="T425"/>
  <c r="T443" s="1"/>
  <c r="AG425"/>
  <c r="AG443" s="1"/>
  <c r="L427"/>
  <c r="L445" s="1"/>
  <c r="X425"/>
  <c r="X443" s="1"/>
  <c r="P426"/>
  <c r="P444" s="1"/>
  <c r="AK431"/>
  <c r="AK449" s="1"/>
  <c r="O426"/>
  <c r="O444" s="1"/>
  <c r="AE426"/>
  <c r="AE444" s="1"/>
  <c r="Z428"/>
  <c r="Z446" s="1"/>
  <c r="Z425"/>
  <c r="Z443" s="1"/>
  <c r="AH430"/>
  <c r="AH448" s="1"/>
  <c r="O424"/>
  <c r="O442" s="1"/>
  <c r="I61"/>
  <c r="I432"/>
  <c r="I450" s="1"/>
  <c r="R431"/>
  <c r="R449" s="1"/>
  <c r="AE423"/>
  <c r="AE441" s="1"/>
  <c r="Y423"/>
  <c r="Y441" s="1"/>
  <c r="AD429"/>
  <c r="AD447" s="1"/>
  <c r="X423"/>
  <c r="X441" s="1"/>
  <c r="L432"/>
  <c r="L450" s="1"/>
  <c r="AK61"/>
  <c r="AK432"/>
  <c r="AK450" s="1"/>
  <c r="Y424"/>
  <c r="Y442" s="1"/>
  <c r="H425"/>
  <c r="H443" s="1"/>
  <c r="I426"/>
  <c r="I444" s="1"/>
  <c r="X427"/>
  <c r="X445" s="1"/>
  <c r="I427"/>
  <c r="I445" s="1"/>
  <c r="O427"/>
  <c r="O445" s="1"/>
  <c r="AA427"/>
  <c r="AA445" s="1"/>
  <c r="Q428"/>
  <c r="Q446" s="1"/>
  <c r="AI428"/>
  <c r="AI446" s="1"/>
  <c r="AA429"/>
  <c r="AA447" s="1"/>
  <c r="W430"/>
  <c r="W448" s="1"/>
  <c r="AB430"/>
  <c r="AB448" s="1"/>
  <c r="I431"/>
  <c r="I449" s="1"/>
  <c r="AF431"/>
  <c r="AF449" s="1"/>
  <c r="S431"/>
  <c r="S449" s="1"/>
  <c r="AJ428"/>
  <c r="AJ446" s="1"/>
  <c r="AJ424"/>
  <c r="AJ442" s="1"/>
  <c r="AC425"/>
  <c r="AC443" s="1"/>
  <c r="AB427"/>
  <c r="AB445" s="1"/>
  <c r="AH423"/>
  <c r="AH441" s="1"/>
  <c r="H426"/>
  <c r="H444" s="1"/>
  <c r="AE429"/>
  <c r="AE447" s="1"/>
  <c r="R424"/>
  <c r="R442" s="1"/>
  <c r="AH424"/>
  <c r="AH442" s="1"/>
  <c r="AA426"/>
  <c r="AA444" s="1"/>
  <c r="N424"/>
  <c r="N442" s="1"/>
  <c r="AD424"/>
  <c r="AD442" s="1"/>
  <c r="W426"/>
  <c r="W444" s="1"/>
  <c r="N426"/>
  <c r="N444" s="1"/>
  <c r="AD426"/>
  <c r="AD444" s="1"/>
  <c r="R428"/>
  <c r="R446" s="1"/>
  <c r="AH428"/>
  <c r="AH446" s="1"/>
  <c r="N425"/>
  <c r="N443" s="1"/>
  <c r="V425"/>
  <c r="V443" s="1"/>
  <c r="AD425"/>
  <c r="AD443" s="1"/>
  <c r="Z430"/>
  <c r="Z448" s="1"/>
  <c r="AF423"/>
  <c r="AF441" s="1"/>
  <c r="W424"/>
  <c r="W442" s="1"/>
  <c r="H423"/>
  <c r="H441" s="1"/>
  <c r="V427"/>
  <c r="V445" s="1"/>
  <c r="AH429"/>
  <c r="AH447" s="1"/>
  <c r="AH431"/>
  <c r="AH449" s="1"/>
  <c r="W423"/>
  <c r="W441" s="1"/>
  <c r="T423"/>
  <c r="T441" s="1"/>
  <c r="J427"/>
  <c r="J445" s="1"/>
  <c r="N429"/>
  <c r="N447" s="1"/>
  <c r="V431"/>
  <c r="V449" s="1"/>
  <c r="S61"/>
  <c r="S432"/>
  <c r="S450" s="1"/>
  <c r="N423"/>
  <c r="N441" s="1"/>
  <c r="AD423"/>
  <c r="AD441" s="1"/>
  <c r="M423"/>
  <c r="M441" s="1"/>
  <c r="AC432"/>
  <c r="AC450" s="1"/>
  <c r="T432"/>
  <c r="T450" s="1"/>
  <c r="AA432"/>
  <c r="AA450" s="1"/>
  <c r="Q425"/>
  <c r="Q443" s="1"/>
  <c r="AC424"/>
  <c r="AC442" s="1"/>
  <c r="AB425"/>
  <c r="AB443" s="1"/>
  <c r="AE425"/>
  <c r="AE443" s="1"/>
  <c r="Q426"/>
  <c r="Q444" s="1"/>
  <c r="AG426"/>
  <c r="AG444" s="1"/>
  <c r="H427"/>
  <c r="H445" s="1"/>
  <c r="Q427"/>
  <c r="Q445" s="1"/>
  <c r="AK427"/>
  <c r="AK445" s="1"/>
  <c r="S427"/>
  <c r="S445" s="1"/>
  <c r="AI427"/>
  <c r="AI445" s="1"/>
  <c r="X429"/>
  <c r="X447" s="1"/>
  <c r="AC428"/>
  <c r="AC446" s="1"/>
  <c r="AF428"/>
  <c r="AF446" s="1"/>
  <c r="P428"/>
  <c r="P446" s="1"/>
  <c r="K428"/>
  <c r="K446" s="1"/>
  <c r="AA428"/>
  <c r="AA446" s="1"/>
  <c r="U428"/>
  <c r="U446" s="1"/>
  <c r="S429"/>
  <c r="S447" s="1"/>
  <c r="I429"/>
  <c r="I447" s="1"/>
  <c r="Y429"/>
  <c r="Y447" s="1"/>
  <c r="H430"/>
  <c r="H448" s="1"/>
  <c r="O430"/>
  <c r="O448" s="1"/>
  <c r="AI430"/>
  <c r="AI448" s="1"/>
  <c r="AK430"/>
  <c r="AK448" s="1"/>
  <c r="M430"/>
  <c r="M448" s="1"/>
  <c r="P431"/>
  <c r="P449" s="1"/>
  <c r="Q431"/>
  <c r="Q449" s="1"/>
  <c r="H431"/>
  <c r="H449" s="1"/>
  <c r="K431"/>
  <c r="K449" s="1"/>
  <c r="AI431"/>
  <c r="AI449" s="1"/>
  <c r="X428"/>
  <c r="X446" s="1"/>
  <c r="L424"/>
  <c r="L442" s="1"/>
  <c r="AB424"/>
  <c r="AB442" s="1"/>
  <c r="K425"/>
  <c r="K443" s="1"/>
  <c r="U425"/>
  <c r="U443" s="1"/>
  <c r="AK425"/>
  <c r="AK443" s="1"/>
  <c r="AB426"/>
  <c r="AB444" s="1"/>
  <c r="AJ427"/>
  <c r="AJ445" s="1"/>
  <c r="AF430"/>
  <c r="AF448" s="1"/>
  <c r="AF425"/>
  <c r="AF443" s="1"/>
  <c r="AK423"/>
  <c r="AK441" s="1"/>
  <c r="X426"/>
  <c r="X444" s="1"/>
  <c r="P430"/>
  <c r="P448" s="1"/>
  <c r="S426"/>
  <c r="S444" s="1"/>
  <c r="AI426"/>
  <c r="AI444" s="1"/>
  <c r="Z426"/>
  <c r="Z444" s="1"/>
  <c r="AI424"/>
  <c r="AI442" s="1"/>
  <c r="Z429"/>
  <c r="Z447" s="1"/>
  <c r="S423"/>
  <c r="S441" s="1"/>
  <c r="M61"/>
  <c r="M432"/>
  <c r="M450" s="1"/>
  <c r="AH427"/>
  <c r="AH445" s="1"/>
  <c r="K432"/>
  <c r="K450" s="1"/>
  <c r="Z423"/>
  <c r="Z441" s="1"/>
  <c r="Y432"/>
  <c r="Y450" s="1"/>
  <c r="O432"/>
  <c r="O450" s="1"/>
  <c r="U61"/>
  <c r="U432"/>
  <c r="U450" s="1"/>
  <c r="AA425"/>
  <c r="AA443" s="1"/>
  <c r="AC426"/>
  <c r="AC444" s="1"/>
  <c r="M427"/>
  <c r="M445" s="1"/>
  <c r="K427"/>
  <c r="K445" s="1"/>
  <c r="H428"/>
  <c r="H446" s="1"/>
  <c r="AG428"/>
  <c r="AG446" s="1"/>
  <c r="M428"/>
  <c r="M446" s="1"/>
  <c r="AI429"/>
  <c r="AI447" s="1"/>
  <c r="AK429"/>
  <c r="AK447" s="1"/>
  <c r="K430"/>
  <c r="K448" s="1"/>
  <c r="AG430"/>
  <c r="AG448" s="1"/>
  <c r="L431"/>
  <c r="L449" s="1"/>
  <c r="AG431"/>
  <c r="AG449" s="1"/>
  <c r="AE431"/>
  <c r="AE449" s="1"/>
  <c r="T428"/>
  <c r="T446" s="1"/>
  <c r="X424"/>
  <c r="X442" s="1"/>
  <c r="M425"/>
  <c r="M443" s="1"/>
  <c r="T426"/>
  <c r="T444" s="1"/>
  <c r="U427"/>
  <c r="U445" s="1"/>
  <c r="Q423"/>
  <c r="Q441" s="1"/>
  <c r="L430"/>
  <c r="L448" s="1"/>
  <c r="V424"/>
  <c r="V442" s="1"/>
  <c r="V426"/>
  <c r="V444" s="1"/>
  <c r="R425"/>
  <c r="R443" s="1"/>
  <c r="AH425"/>
  <c r="AH443" s="1"/>
  <c r="R430"/>
  <c r="R448" s="1"/>
  <c r="AE424"/>
  <c r="AE442" s="1"/>
  <c r="R429"/>
  <c r="R447" s="1"/>
  <c r="O423"/>
  <c r="O441" s="1"/>
  <c r="W425"/>
  <c r="W443" s="1"/>
  <c r="Z427"/>
  <c r="Z445" s="1"/>
  <c r="G432"/>
  <c r="G450" s="1"/>
  <c r="V423"/>
  <c r="V441" s="1"/>
  <c r="U423"/>
  <c r="U441" s="1"/>
  <c r="M424"/>
  <c r="M442" s="1"/>
  <c r="S425"/>
  <c r="S443" s="1"/>
  <c r="Y426"/>
  <c r="Y444" s="1"/>
  <c r="AC427"/>
  <c r="AC445" s="1"/>
  <c r="L429"/>
  <c r="L447" s="1"/>
  <c r="T429"/>
  <c r="T447" s="1"/>
  <c r="S428"/>
  <c r="S446" s="1"/>
  <c r="K429"/>
  <c r="K447" s="1"/>
  <c r="Q429"/>
  <c r="Q447" s="1"/>
  <c r="AG429"/>
  <c r="AG447" s="1"/>
  <c r="AF429"/>
  <c r="AF447" s="1"/>
  <c r="AC430"/>
  <c r="AC448" s="1"/>
  <c r="U430"/>
  <c r="U448" s="1"/>
  <c r="AC431"/>
  <c r="AC449" s="1"/>
  <c r="W431"/>
  <c r="W449" s="1"/>
  <c r="L428"/>
  <c r="L446" s="1"/>
  <c r="T424"/>
  <c r="T442" s="1"/>
  <c r="I425"/>
  <c r="I443" s="1"/>
  <c r="L426"/>
  <c r="L444" s="1"/>
  <c r="Y431"/>
  <c r="Y449" s="1"/>
  <c r="L425"/>
  <c r="L443" s="1"/>
  <c r="AJ430"/>
  <c r="AJ448" s="1"/>
  <c r="K426"/>
  <c r="K444" s="1"/>
  <c r="R426"/>
  <c r="R444" s="1"/>
  <c r="AH426"/>
  <c r="AH444" s="1"/>
  <c r="V428"/>
  <c r="V446" s="1"/>
  <c r="N430"/>
  <c r="N448" s="1"/>
  <c r="AD430"/>
  <c r="AD448" s="1"/>
  <c r="AB423"/>
  <c r="AB441" s="1"/>
  <c r="AJ423"/>
  <c r="AJ441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ES168"/>
  <c r="EU88"/>
  <c r="EY98"/>
  <c r="EQ148"/>
  <c r="FA88"/>
  <c r="EZ98"/>
  <c r="EU168"/>
  <c r="EW88"/>
  <c r="EU98"/>
  <c r="ER118"/>
  <c r="EY88"/>
  <c r="EX98"/>
  <c r="P376"/>
  <c r="AG380"/>
  <c r="W376"/>
  <c r="AD374"/>
  <c r="W378"/>
  <c r="AF377"/>
  <c r="P380"/>
  <c r="AJ379"/>
  <c r="J376"/>
  <c r="J373"/>
  <c r="Z379"/>
  <c r="AB379"/>
  <c r="L373"/>
  <c r="U381"/>
  <c r="U380"/>
  <c r="AB375"/>
  <c r="J382"/>
  <c r="S379"/>
  <c r="Y382"/>
  <c r="X381"/>
  <c r="L379"/>
  <c r="J381"/>
  <c r="Z380"/>
  <c r="S377"/>
  <c r="U378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F216"/>
  <c r="FU131"/>
  <c r="DF214"/>
  <c r="DF212"/>
  <c r="DF218"/>
  <c r="FU137"/>
  <c r="DF219"/>
  <c r="DF217"/>
  <c r="DF221"/>
  <c r="FR168"/>
  <c r="FT168"/>
  <c r="FS168"/>
  <c r="FC168"/>
  <c r="FH118"/>
  <c r="FO98"/>
  <c r="FG148"/>
  <c r="EY148"/>
  <c r="FM88"/>
  <c r="FE88"/>
  <c r="FQ128"/>
  <c r="ES128"/>
  <c r="FT98"/>
  <c r="FD98"/>
  <c r="FK108"/>
  <c r="ER168"/>
  <c r="FR118"/>
  <c r="FB118"/>
  <c r="FB128"/>
  <c r="FK98"/>
  <c r="EZ148"/>
  <c r="FI148"/>
  <c r="FK128"/>
  <c r="EU128"/>
  <c r="FF98"/>
  <c r="FA108"/>
  <c r="FI108"/>
  <c r="FQ108"/>
  <c r="FH168"/>
  <c r="FD168"/>
  <c r="FO168"/>
  <c r="FG168"/>
  <c r="EQ168"/>
  <c r="FT118"/>
  <c r="FL118"/>
  <c r="FD118"/>
  <c r="EX128"/>
  <c r="FN128"/>
  <c r="FA118"/>
  <c r="FQ118"/>
  <c r="EQ98"/>
  <c r="FG98"/>
  <c r="FT148"/>
  <c r="FD148"/>
  <c r="FS148"/>
  <c r="FK148"/>
  <c r="FC148"/>
  <c r="FQ88"/>
  <c r="FI88"/>
  <c r="ES88"/>
  <c r="FM128"/>
  <c r="FE128"/>
  <c r="EW128"/>
  <c r="FP98"/>
  <c r="FH98"/>
  <c r="ER98"/>
  <c r="DF215"/>
  <c r="FU102"/>
  <c r="FU162"/>
  <c r="FE108"/>
  <c r="FM108"/>
  <c r="FN168"/>
  <c r="FK168"/>
  <c r="FP118"/>
  <c r="EZ118"/>
  <c r="FF128"/>
  <c r="FI118"/>
  <c r="FL148"/>
  <c r="FO148"/>
  <c r="FI128"/>
  <c r="FA128"/>
  <c r="FL98"/>
  <c r="EW178"/>
  <c r="FU178" s="1"/>
  <c r="FC108"/>
  <c r="FS108"/>
  <c r="FM168"/>
  <c r="FE168"/>
  <c r="FJ118"/>
  <c r="FR128"/>
  <c r="FE118"/>
  <c r="FP148"/>
  <c r="FQ148"/>
  <c r="FA148"/>
  <c r="FO88"/>
  <c r="FG88"/>
  <c r="EQ88"/>
  <c r="FS128"/>
  <c r="FC128"/>
  <c r="FN98"/>
  <c r="EY108"/>
  <c r="FG108"/>
  <c r="FO108"/>
  <c r="FB168"/>
  <c r="FF168"/>
  <c r="FL168"/>
  <c r="FQ168"/>
  <c r="FI168"/>
  <c r="FA168"/>
  <c r="FN118"/>
  <c r="FF118"/>
  <c r="EX118"/>
  <c r="ET128"/>
  <c r="FJ128"/>
  <c r="FM118"/>
  <c r="FC98"/>
  <c r="FS98"/>
  <c r="FH148"/>
  <c r="FM148"/>
  <c r="FE148"/>
  <c r="FS88"/>
  <c r="FK88"/>
  <c r="FC88"/>
  <c r="FO128"/>
  <c r="FG128"/>
  <c r="EY128"/>
  <c r="FR98"/>
  <c r="FJ98"/>
  <c r="FB98"/>
  <c r="ET98"/>
  <c r="FU170"/>
  <c r="FU173"/>
  <c r="FU125"/>
  <c r="FU106"/>
  <c r="DF220"/>
  <c r="DF213"/>
  <c r="FU129"/>
  <c r="FU158"/>
  <c r="EK171"/>
  <c r="EK156"/>
  <c r="EW147"/>
  <c r="EU14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29" l="1"/>
  <c r="J447" s="1"/>
  <c r="C447" s="1"/>
  <c r="J431"/>
  <c r="C431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AE7" s="1"/>
  <c r="FU155"/>
  <c r="DG231"/>
  <c r="DH231" s="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476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4"/>
  <c r="K478"/>
  <c r="K480"/>
  <c r="K468"/>
  <c r="J449" l="1"/>
  <c r="C449" s="1"/>
  <c r="C429"/>
  <c r="K482"/>
  <c r="K490"/>
  <c r="K498"/>
  <c r="DH229"/>
  <c r="DH230"/>
  <c r="K500"/>
  <c r="K506"/>
  <c r="AC6"/>
  <c r="AE6"/>
  <c r="AC4"/>
  <c r="AD5"/>
  <c r="AF5" s="1"/>
  <c r="AD6"/>
  <c r="DH226"/>
  <c r="AC12"/>
  <c r="AC5"/>
  <c r="AA11"/>
  <c r="DH232"/>
  <c r="AD8"/>
  <c r="AE8"/>
  <c r="AA13"/>
  <c r="DH234"/>
  <c r="AF13"/>
  <c r="AE10"/>
  <c r="AE9"/>
  <c r="AF9" s="1"/>
  <c r="AC9"/>
  <c r="AA9"/>
  <c r="F395"/>
  <c r="F381" s="1"/>
  <c r="F390"/>
  <c r="F376" s="1"/>
  <c r="F394"/>
  <c r="F380" s="1"/>
  <c r="U58" s="1"/>
  <c r="AC7"/>
  <c r="DH228"/>
  <c r="AD4"/>
  <c r="AE4"/>
  <c r="AD7"/>
  <c r="AF7" s="1"/>
  <c r="DH22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6" l="1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<sst xmlns="http://schemas.openxmlformats.org/spreadsheetml/2006/main" count="1094" uniqueCount="150">
  <si>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</si>
  <si>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</si>
  <si>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</si>
  <si>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</si>
  <si>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</si>
  <si>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</si>
  <si>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</si>
  <si>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</si>
  <si>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</si>
  <si>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</si>
  <si>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</si>
  <si>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</si>
  <si>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</si>
  <si>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</si>
  <si>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</si>
  <si>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</si>
  <si>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</si>
  <si>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</si>
  <si>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</si>
  <si>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</si>
  <si>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</si>
  <si>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</si>
  <si>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</si>
  <si>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</si>
  <si>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</si>
  <si>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</si>
  <si>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</si>
  <si>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</si>
  <si>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</si>
  <si>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</si>
  <si>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</si>
  <si>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</si>
  <si>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</si>
  <si>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</si>
  <si>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</si>
  <si>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</si>
  <si>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</si>
  <si>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</si>
  <si>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</si>
  <si>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</si>
  <si>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</si>
  <si>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</si>
  <si>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</si>
  <si>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</si>
  <si>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</si>
  <si>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</si>
  <si>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</si>
  <si>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</si>
  <si>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</si>
  <si>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</si>
  <si>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</si>
  <si>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</si>
  <si>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</si>
  <si>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</si>
  <si>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</si>
  <si>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</si>
  <si>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</si>
  <si>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</si>
  <si>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</si>
  <si>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</si>
  <si>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</si>
  <si>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</si>
  <si>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</si>
  <si>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</si>
  <si>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</si>
  <si>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</si>
  <si>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</si>
  <si>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</si>
  <si>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</si>
  <si>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</si>
  <si>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</si>
  <si>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</si>
  <si>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</si>
  <si>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</si>
  <si>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</si>
  <si>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</si>
  <si>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</si>
  <si>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</si>
  <si>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</si>
  <si>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</si>
  <si>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</si>
  <si>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</si>
  <si>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</si>
  <si>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</si>
  <si>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</si>
  <si>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</si>
  <si>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</si>
  <si>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</si>
  <si>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</si>
  <si>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</si>
  <si>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</si>
  <si>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</si>
  <si>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</si>
  <si>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</si>
  <si>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</si>
  <si>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</si>
  <si>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</si>
  <si>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</si>
  <si>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</si>
  <si>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</si>
  <si>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</si>
  <si>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</si>
  <si>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</si>
  <si>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</si>
  <si>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</si>
  <si>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</si>
  <si>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</si>
  <si>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</si>
  <si>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</si>
  <si>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</si>
  <si>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</si>
  <si>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</si>
  <si>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</si>
  <si>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</si>
  <si>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</si>
  <si>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</si>
  <si>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</si>
  <si>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</si>
  <si>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</si>
  <si>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</si>
  <si>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</si>
  <si>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</si>
  <si>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</si>
  <si>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</si>
  <si>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</si>
  <si>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</si>
  <si>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</si>
  <si>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</si>
  <si>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</si>
  <si>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</si>
  <si>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</si>
  <si>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</si>
  <si>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</si>
  <si>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</si>
  <si>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</si>
  <si>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</si>
  <si>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</si>
  <si>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</si>
  <si>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</si>
  <si>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</si>
  <si>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</si>
  <si>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</si>
  <si>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</si>
  <si>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</si>
  <si>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</si>
  <si>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</si>
  <si>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</si>
  <si>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</si>
  <si>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</si>
  <si>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Atenella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</si>
</sst>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5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4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2" borderId="0" xfId="0" applyFill="1"/>
    <xf numFmtId="0" fontId="1" fillId="32" borderId="10" xfId="0" applyFont="1" applyFill="1" applyBorder="1"/>
    <xf numFmtId="2" fontId="3" fillId="29" borderId="0" xfId="0" applyNumberFormat="1" applyFont="1" applyFill="1" applyBorder="1"/>
    <xf numFmtId="0" fontId="0" fillId="30" borderId="0" xfId="0" applyFill="1"/>
    <xf numFmtId="0" fontId="1" fillId="31" borderId="13" xfId="0" applyFont="1" applyFill="1" applyBorder="1" applyAlignment="1"/>
    <xf numFmtId="0" fontId="1" fillId="31" borderId="14" xfId="0" applyFont="1" applyFill="1" applyBorder="1" applyAlignment="1"/>
    <xf numFmtId="0" fontId="1" fillId="33" borderId="0" xfId="0" applyFont="1" applyFill="1"/>
    <xf numFmtId="0" fontId="1" fillId="34" borderId="10" xfId="0" applyFont="1" applyFill="1" applyBorder="1"/>
    <xf numFmtId="0" fontId="1" fillId="31" borderId="14" xfId="0" applyFont="1" applyFill="1" applyBorder="1" applyAlignment="1">
      <alignment horizontal="center"/>
    </xf>
    <xf numFmtId="164" fontId="1" fillId="31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3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DC206" zoomScale="85" zoomScaleNormal="85" workbookViewId="0">
      <selection activeCell="DE225" sqref="DE225:DH234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10"/>
      <c r="FY2" s="210"/>
      <c r="FZ2" s="210"/>
      <c r="GA2" s="210"/>
      <c r="GB2" s="210"/>
      <c r="GC2" s="230" t="s">
        <v>144</v>
      </c>
      <c r="GD2" s="230"/>
      <c r="GE2" s="230"/>
      <c r="GF2" s="230"/>
      <c r="GG2" s="230"/>
      <c r="GH2" s="230"/>
      <c r="GI2" s="230"/>
      <c r="GJ2" s="210"/>
      <c r="GK2" s="210"/>
      <c r="GL2" s="210"/>
      <c r="GM2" s="210"/>
      <c r="GN2" s="210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10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10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80.865188865838164</v>
      </c>
      <c r="N4" s="130">
        <v>31.210008627750135</v>
      </c>
      <c r="O4" s="130">
        <v>206.64690769005932</v>
      </c>
      <c r="P4" s="130">
        <v>175.15851499649</v>
      </c>
      <c r="Q4" s="130">
        <v>28.384806991961902</v>
      </c>
      <c r="R4" s="130">
        <v>140.95678753253773</v>
      </c>
      <c r="S4" s="131">
        <v>21.130486411461799</v>
      </c>
      <c r="T4" s="131">
        <v>38.239747225911913</v>
      </c>
      <c r="U4" s="5"/>
      <c r="V4" s="4"/>
      <c r="W4" s="127">
        <f t="shared" ref="W4:W13" si="0">C4</f>
        <v>39646</v>
      </c>
      <c r="X4" s="132">
        <f>AVERAGE(EK88:EK97)</f>
        <v>21.874999999999996</v>
      </c>
      <c r="Y4" s="131">
        <f>COUNT(EK88:EK97)</f>
        <v>10</v>
      </c>
      <c r="Z4" s="130">
        <f>STDEV(EK88:EK97)</f>
        <v>27.096684743231492</v>
      </c>
      <c r="AA4" s="130">
        <f>Z4/SQRT(Y4)</f>
        <v>8.5687240828146294</v>
      </c>
      <c r="AB4" s="131"/>
      <c r="AC4" s="130">
        <f>AVERAGE($FU88:$FU97)</f>
        <v>2.6418074311048554</v>
      </c>
      <c r="AD4" s="132">
        <f>COUNT($FU88:$FU97)</f>
        <v>10</v>
      </c>
      <c r="AE4" s="130">
        <f>STDEV($FU88:$FU97)</f>
        <v>3.7939772997454186</v>
      </c>
      <c r="AF4" s="130">
        <f>AE4/SQRT(AD4)</f>
        <v>1.1997609658170887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3" t="s">
        <v>148</v>
      </c>
      <c r="FK4" s="233"/>
      <c r="FL4" s="233"/>
      <c r="FM4" s="233"/>
      <c r="FN4" s="5"/>
      <c r="FO4" s="5"/>
      <c r="FX4" s="210"/>
      <c r="FY4" s="212" t="s">
        <v>143</v>
      </c>
      <c r="FZ4" s="213">
        <f>C4</f>
        <v>39646</v>
      </c>
      <c r="GA4" s="213">
        <f>C5</f>
        <v>39673</v>
      </c>
      <c r="GB4" s="213">
        <f>C6</f>
        <v>39714</v>
      </c>
      <c r="GC4" s="213">
        <f>C7</f>
        <v>39747</v>
      </c>
      <c r="GD4" s="213">
        <f>C8</f>
        <v>39775</v>
      </c>
      <c r="GE4" s="213">
        <f>C9</f>
        <v>39799</v>
      </c>
      <c r="GF4" s="213">
        <f>C10</f>
        <v>39847</v>
      </c>
      <c r="GG4" s="213">
        <f>C11</f>
        <v>39910</v>
      </c>
      <c r="GH4" s="213">
        <f>C12</f>
        <v>39949</v>
      </c>
      <c r="GI4" s="213">
        <f>C13</f>
        <v>39987</v>
      </c>
      <c r="GJ4" s="209"/>
      <c r="GK4" s="209"/>
      <c r="GL4" s="209"/>
      <c r="GM4" s="209"/>
      <c r="GN4" s="210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80.82115615570909</v>
      </c>
      <c r="N5" s="130">
        <f t="shared" si="1"/>
        <v>31.086932206775554</v>
      </c>
      <c r="O5" s="130">
        <f t="shared" si="1"/>
        <v>205.7742272223652</v>
      </c>
      <c r="P5" s="130">
        <f t="shared" si="1"/>
        <v>174.55606239066915</v>
      </c>
      <c r="Q5" s="130">
        <f t="shared" si="1"/>
        <v>28.273804229450409</v>
      </c>
      <c r="R5" s="130">
        <f t="shared" si="1"/>
        <v>137.79997012631807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63.541666666666664</v>
      </c>
      <c r="Y5" s="131">
        <f>COUNT(EK98:EK107)</f>
        <v>10</v>
      </c>
      <c r="Z5" s="130">
        <f>STDEV(EK98:EK107)</f>
        <v>182.9073597142945</v>
      </c>
      <c r="AA5" s="130">
        <f t="shared" ref="AA5:AA13" si="2">Z5/SQRT(Y5)</f>
        <v>57.840385750489524</v>
      </c>
      <c r="AB5" s="131"/>
      <c r="AC5" s="130">
        <f>AVERAGE($FU98:$FU107)</f>
        <v>5.765664012851512</v>
      </c>
      <c r="AD5" s="132">
        <f>COUNT($FU98:$FU107)</f>
        <v>10</v>
      </c>
      <c r="AE5" s="130">
        <f>STDEV($FU98:$FU107)</f>
        <v>13.507190217149891</v>
      </c>
      <c r="AF5" s="130">
        <f t="shared" ref="AF5:AF13" si="3">AE5/SQRT(AD5)</f>
        <v>4.2713485875337973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10"/>
      <c r="FY5" s="210"/>
      <c r="FZ5" s="210"/>
      <c r="GA5" s="210"/>
      <c r="GB5" s="210"/>
      <c r="GC5" s="210"/>
      <c r="GD5" s="210"/>
      <c r="GE5" s="210"/>
      <c r="GF5" s="210"/>
      <c r="GG5" s="210"/>
      <c r="GH5" s="210"/>
      <c r="GI5" s="210"/>
      <c r="GJ5" s="210"/>
      <c r="GK5" s="210"/>
      <c r="GL5" s="210"/>
      <c r="GM5" s="210"/>
      <c r="GN5" s="210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104.76353531691728</v>
      </c>
      <c r="N6" s="130">
        <f t="shared" si="4"/>
        <v>39.990684529235772</v>
      </c>
      <c r="O6" s="130">
        <f t="shared" si="4"/>
        <v>276.99507039315228</v>
      </c>
      <c r="P6" s="130">
        <f t="shared" si="4"/>
        <v>228.82563078579375</v>
      </c>
      <c r="Q6" s="130">
        <f t="shared" si="4"/>
        <v>36.606814994134766</v>
      </c>
      <c r="R6" s="130">
        <f t="shared" si="4"/>
        <v>179.12284369570034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86.122311827956992</v>
      </c>
      <c r="Y6" s="131">
        <f>COUNT(EK108:EK117)</f>
        <v>10</v>
      </c>
      <c r="Z6" s="130">
        <f>STDEV(EK108:EK117)</f>
        <v>117.28547067264839</v>
      </c>
      <c r="AA6" s="130">
        <f t="shared" si="2"/>
        <v>37.088922377044959</v>
      </c>
      <c r="AB6" s="131"/>
      <c r="AC6" s="130">
        <f>AVERAGE($FU108:$FU117)</f>
        <v>20.855232772181495</v>
      </c>
      <c r="AD6" s="132">
        <f>COUNT($FU108:$FU117)</f>
        <v>10</v>
      </c>
      <c r="AE6" s="130">
        <f>STDEV($FU108:$FU117)</f>
        <v>25.961694359716489</v>
      </c>
      <c r="AF6" s="130">
        <f t="shared" si="3"/>
        <v>8.2098086093850871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1" t="s">
        <v>145</v>
      </c>
      <c r="FJ6" s="231"/>
      <c r="FK6" s="232" t="s">
        <v>146</v>
      </c>
      <c r="FL6" s="232"/>
      <c r="FM6" s="232" t="s">
        <v>147</v>
      </c>
      <c r="FN6" s="232"/>
      <c r="FO6" s="5"/>
      <c r="FY6" s="211">
        <v>1</v>
      </c>
      <c r="FZ6">
        <v>7.3603365818987472</v>
      </c>
      <c r="GA6">
        <v>17.150884774712523</v>
      </c>
      <c r="GB6">
        <v>12.149919287378383</v>
      </c>
      <c r="GC6">
        <v>10.470011693533127</v>
      </c>
      <c r="GD6">
        <v>12.428472572944221</v>
      </c>
      <c r="GE6">
        <v>26.874473567645033</v>
      </c>
      <c r="GF6">
        <v>34.113317412810815</v>
      </c>
      <c r="GG6">
        <v>23.206275330575064</v>
      </c>
      <c r="GH6">
        <v>14.384782908718543</v>
      </c>
      <c r="GI6">
        <v>20.402029442732104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57.71920483092439</v>
      </c>
      <c r="N7" s="130">
        <f t="shared" si="5"/>
        <v>22.573135186255431</v>
      </c>
      <c r="O7" s="130">
        <f t="shared" si="5"/>
        <v>141.12523747773054</v>
      </c>
      <c r="P7" s="130">
        <f t="shared" si="5"/>
        <v>123.32837880412997</v>
      </c>
      <c r="Q7" s="130">
        <f t="shared" si="5"/>
        <v>20.614589483437591</v>
      </c>
      <c r="R7" s="130">
        <f t="shared" si="5"/>
        <v>99.936216455237798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144.20851837338904</v>
      </c>
      <c r="Y7" s="131">
        <f>COUNT(EK118:EK127)</f>
        <v>10</v>
      </c>
      <c r="Z7" s="130">
        <f>STDEV(EK118:EK127)</f>
        <v>207.84920223333859</v>
      </c>
      <c r="AA7" s="130">
        <f t="shared" si="2"/>
        <v>65.727688890630617</v>
      </c>
      <c r="AB7" s="131"/>
      <c r="AC7" s="130">
        <f>AVERAGE($FU118:$FU127)</f>
        <v>51.178708238610469</v>
      </c>
      <c r="AD7" s="132">
        <f>COUNT($FU118:$FU127)</f>
        <v>10</v>
      </c>
      <c r="AE7" s="130">
        <f>STDEV($FU118:$FU127)</f>
        <v>81.761013831939337</v>
      </c>
      <c r="AF7" s="130">
        <f t="shared" si="3"/>
        <v>25.85510275134596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27">
        <f>AVERAGE(FZ6:FZ1005)</f>
        <v>4.2035856734605792</v>
      </c>
      <c r="FJ7" s="227"/>
      <c r="FK7" s="227">
        <f>PERCENTILE($FZ$6:$FZ$1005,0.975)</f>
        <v>8.9261851695686776</v>
      </c>
      <c r="FL7" s="227"/>
      <c r="FM7" s="227">
        <f>PERCENTILE($FZ$6:$FZ$1005,0.025)</f>
        <v>0.98098556829903716</v>
      </c>
      <c r="FN7" s="227"/>
      <c r="FO7" s="5"/>
      <c r="FY7" s="211">
        <v>2</v>
      </c>
      <c r="FZ7">
        <v>1.5959235927117112</v>
      </c>
      <c r="GA7">
        <v>17.212923872238239</v>
      </c>
      <c r="GB7">
        <v>15.651292873642831</v>
      </c>
      <c r="GC7">
        <v>12.42012889685525</v>
      </c>
      <c r="GD7">
        <v>14.315896128120222</v>
      </c>
      <c r="GE7">
        <v>27.109088655695682</v>
      </c>
      <c r="GF7">
        <v>26.192695370197438</v>
      </c>
      <c r="GG7">
        <v>24.16454080277709</v>
      </c>
      <c r="GH7">
        <v>24.598227973824418</v>
      </c>
      <c r="GI7">
        <v>21.64255970273333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134.42784067784069</v>
      </c>
      <c r="Y8" s="131">
        <f>COUNT(EK128:EK137)</f>
        <v>10</v>
      </c>
      <c r="Z8" s="130">
        <f>STDEV(EK128:EK137)</f>
        <v>97.931958265695883</v>
      </c>
      <c r="AA8" s="130">
        <f t="shared" si="2"/>
        <v>30.968804384015215</v>
      </c>
      <c r="AB8" s="131"/>
      <c r="AC8" s="130">
        <f>AVERAGE($FU128:$FU137)</f>
        <v>47.269077691931074</v>
      </c>
      <c r="AD8" s="132">
        <f>COUNT($FU128:$FU137)</f>
        <v>10</v>
      </c>
      <c r="AE8" s="130">
        <f>STDEV($FU128:$FU137)</f>
        <v>41.758680745296274</v>
      </c>
      <c r="AF8" s="130">
        <f t="shared" si="3"/>
        <v>13.205254323895385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27">
        <f>AVERAGE(GA6:GA1005)</f>
        <v>15.591005053667665</v>
      </c>
      <c r="FJ8" s="227"/>
      <c r="FK8" s="227">
        <f>PERCENTILE($GA$6:$GA$1005,0.975)</f>
        <v>27.297571298887984</v>
      </c>
      <c r="FL8" s="227"/>
      <c r="FM8" s="227">
        <f>PERCENTILE($GA$6:$GA$1005,0.025)</f>
        <v>6.0238983763312088</v>
      </c>
      <c r="FN8" s="227"/>
      <c r="FO8" s="5"/>
      <c r="FY8" s="211">
        <v>3</v>
      </c>
      <c r="FZ8">
        <v>4.9784291597347412</v>
      </c>
      <c r="GA8">
        <v>33.500205254751016</v>
      </c>
      <c r="GB8">
        <v>37.557028892272747</v>
      </c>
      <c r="GC8">
        <v>17.605735779551527</v>
      </c>
      <c r="GD8">
        <v>8.1523474478846722</v>
      </c>
      <c r="GE8">
        <v>26.585555888485402</v>
      </c>
      <c r="GF8">
        <v>44.569263531196455</v>
      </c>
      <c r="GG8">
        <v>21.391873328747131</v>
      </c>
      <c r="GH8">
        <v>10.189434260973934</v>
      </c>
      <c r="GI8">
        <v>25.075700128225485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101.00270369165716</v>
      </c>
      <c r="Y9" s="131">
        <f>COUNT(EK138:EK147)</f>
        <v>10</v>
      </c>
      <c r="Z9" s="130">
        <f>STDEV(EK138:EK147)</f>
        <v>80.896016263315161</v>
      </c>
      <c r="AA9" s="130">
        <f t="shared" si="2"/>
        <v>25.581566502609942</v>
      </c>
      <c r="AB9" s="131"/>
      <c r="AC9" s="130">
        <f>AVERAGE($FU138:$FU147)</f>
        <v>49.423581689813247</v>
      </c>
      <c r="AD9" s="132">
        <f>COUNT($FU138:$FU147)</f>
        <v>10</v>
      </c>
      <c r="AE9" s="130">
        <f>STDEV($FU138:$FU147)</f>
        <v>43.246561780510213</v>
      </c>
      <c r="AF9" s="130">
        <f t="shared" si="3"/>
        <v>13.675763619759909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27">
        <f>AVERAGE(GB6:GB1005)</f>
        <v>20.706280364519962</v>
      </c>
      <c r="FJ9" s="227"/>
      <c r="FK9" s="227">
        <f>PERCENTILE($GB$6:$GB$1005,0.975)</f>
        <v>36.856411223933812</v>
      </c>
      <c r="FL9" s="227"/>
      <c r="FM9" s="227">
        <f>PERCENTILE($GB$6:$GB$1005,0.025)</f>
        <v>9.2619296975153595</v>
      </c>
      <c r="FN9" s="227"/>
      <c r="FO9" s="5"/>
      <c r="FY9" s="211">
        <v>4</v>
      </c>
      <c r="FZ9">
        <v>4.4369135914318241</v>
      </c>
      <c r="GA9">
        <v>17.627232855417638</v>
      </c>
      <c r="GB9">
        <v>24.68811110841888</v>
      </c>
      <c r="GC9">
        <v>18.716467500580372</v>
      </c>
      <c r="GD9">
        <v>12.987582747141417</v>
      </c>
      <c r="GE9">
        <v>22.602107886172394</v>
      </c>
      <c r="GF9">
        <v>31.776877594178178</v>
      </c>
      <c r="GG9">
        <v>31.678709675773373</v>
      </c>
      <c r="GH9">
        <v>24.601557900486689</v>
      </c>
      <c r="GI9">
        <v>24.61935379644402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74.21875</v>
      </c>
      <c r="Y10" s="131">
        <f>COUNT(EK148:EK157)</f>
        <v>8</v>
      </c>
      <c r="Z10" s="130">
        <f>STDEV(EK148:EK157)</f>
        <v>73.115693513067527</v>
      </c>
      <c r="AA10" s="130">
        <f t="shared" si="2"/>
        <v>25.850301347123654</v>
      </c>
      <c r="AB10" s="131"/>
      <c r="AC10" s="130">
        <f>AVERAGE($FU148:$FU157)</f>
        <v>40.202964155253298</v>
      </c>
      <c r="AD10" s="132">
        <f>COUNT($FU148:$FU157)</f>
        <v>8</v>
      </c>
      <c r="AE10" s="130">
        <f>STDEV($FU148:$FU157)</f>
        <v>39.565692025885326</v>
      </c>
      <c r="AF10" s="130">
        <f t="shared" si="3"/>
        <v>13.988584566921011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27">
        <f>AVERAGE(GC6:GC1005)</f>
        <v>15.302512243877533</v>
      </c>
      <c r="FJ10" s="227"/>
      <c r="FK10" s="227">
        <f>PERCENTILE($GC$6:$GC$1005,0.975)</f>
        <v>24.251869220727269</v>
      </c>
      <c r="FL10" s="227"/>
      <c r="FM10" s="227">
        <f>PERCENTILE($GC$6:$GC$1005,0.025)</f>
        <v>8.2142123908224534</v>
      </c>
      <c r="FN10" s="227"/>
      <c r="FO10" s="5"/>
      <c r="FY10" s="211">
        <v>5</v>
      </c>
      <c r="FZ10">
        <v>6.0893931631166396</v>
      </c>
      <c r="GA10">
        <v>12.744977136567748</v>
      </c>
      <c r="GB10">
        <v>10.137742936101908</v>
      </c>
      <c r="GC10">
        <v>16.478098433013585</v>
      </c>
      <c r="GD10">
        <v>17.01613099432922</v>
      </c>
      <c r="GE10">
        <v>25.706073756085434</v>
      </c>
      <c r="GF10">
        <v>21.54668107134097</v>
      </c>
      <c r="GG10">
        <v>11.743755193603963</v>
      </c>
      <c r="GH10">
        <v>11.517779908833152</v>
      </c>
      <c r="GI10">
        <v>19.5689329660146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50.785984848484844</v>
      </c>
      <c r="Y11" s="131">
        <f>COUNT(EK158:EK167)</f>
        <v>10</v>
      </c>
      <c r="Z11" s="130">
        <f>STDEV(EK158:EK167)</f>
        <v>87.630902404780386</v>
      </c>
      <c r="AA11" s="130">
        <f t="shared" si="2"/>
        <v>27.711324501503253</v>
      </c>
      <c r="AB11" s="131"/>
      <c r="AC11" s="130">
        <f>AVERAGE($FU158:$FU167)</f>
        <v>32.968040417135015</v>
      </c>
      <c r="AD11" s="132">
        <f>COUNT($FU158:$FU167)</f>
        <v>10</v>
      </c>
      <c r="AE11" s="130">
        <f>STDEV($FU158:$FU167)</f>
        <v>45.129327977184424</v>
      </c>
      <c r="AF11" s="130">
        <f t="shared" si="3"/>
        <v>14.271146568066213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27">
        <f>AVERAGE(GD5:GD1005)</f>
        <v>11.58564839625541</v>
      </c>
      <c r="FJ11" s="227"/>
      <c r="FK11" s="227">
        <f>PERCENTILE($GD$6:$GD$1005,0.975)</f>
        <v>15.904187009065962</v>
      </c>
      <c r="FL11" s="227"/>
      <c r="FM11" s="227">
        <f>PERCENTILE($GD$6:$GD$1005,0.025)</f>
        <v>7.7338024383583619</v>
      </c>
      <c r="FN11" s="227"/>
      <c r="FO11" s="5"/>
      <c r="FY11" s="211">
        <v>6</v>
      </c>
      <c r="FZ11">
        <v>0.8415547829178166</v>
      </c>
      <c r="GA11">
        <v>18.996577492990159</v>
      </c>
      <c r="GB11">
        <v>14.501435656588695</v>
      </c>
      <c r="GC11">
        <v>15.740977798805831</v>
      </c>
      <c r="GD11">
        <v>15.420764124463389</v>
      </c>
      <c r="GE11">
        <v>18.615181582237788</v>
      </c>
      <c r="GF11">
        <v>24.340770818243406</v>
      </c>
      <c r="GG11">
        <v>23.512514499404674</v>
      </c>
      <c r="GH11">
        <v>17.968284660164127</v>
      </c>
      <c r="GI11">
        <v>20.481250362815818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65.074185631414551</v>
      </c>
      <c r="Y12" s="131">
        <f>COUNT(EK168:EK177)</f>
        <v>10</v>
      </c>
      <c r="Z12" s="130">
        <f>STDEV(EK168:EK177)</f>
        <v>100.14337895890665</v>
      </c>
      <c r="AA12" s="130">
        <f t="shared" si="2"/>
        <v>31.668117009552663</v>
      </c>
      <c r="AB12" s="131"/>
      <c r="AC12" s="130">
        <f>AVERAGE($FU168:$FU177)</f>
        <v>33.082861954493893</v>
      </c>
      <c r="AD12" s="132">
        <f>COUNT($FU168:$FU177)</f>
        <v>10</v>
      </c>
      <c r="AE12" s="130">
        <f>STDEV($FU168:$FU177)</f>
        <v>61.900633539557973</v>
      </c>
      <c r="AF12" s="130">
        <f t="shared" si="3"/>
        <v>19.574699059241368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27">
        <f>AVERAGE(GE6:GE1005)</f>
        <v>21.626584714086253</v>
      </c>
      <c r="FJ12" s="227"/>
      <c r="FK12" s="227">
        <f>PERCENTILE($GE$6:$GE$1005,0.975)</f>
        <v>30.743581168624249</v>
      </c>
      <c r="FL12" s="227"/>
      <c r="FM12" s="227">
        <f>PERCENTILE($GE$6:$GE$1005,0.025)</f>
        <v>13.593475349436948</v>
      </c>
      <c r="FN12" s="227"/>
      <c r="FO12" s="5"/>
      <c r="FY12" s="211">
        <v>7</v>
      </c>
      <c r="FZ12">
        <v>4.6262810110674284</v>
      </c>
      <c r="GA12">
        <v>15.617181189008676</v>
      </c>
      <c r="GB12">
        <v>25.769334844234944</v>
      </c>
      <c r="GC12">
        <v>18.948003355372816</v>
      </c>
      <c r="GD12">
        <v>12.964898167860078</v>
      </c>
      <c r="GE12">
        <v>22.69746576898272</v>
      </c>
      <c r="GF12">
        <v>36.350812065328313</v>
      </c>
      <c r="GG12">
        <v>29.074135624248008</v>
      </c>
      <c r="GH12">
        <v>13.511083411211313</v>
      </c>
      <c r="GI12">
        <v>23.95859287955766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7.0112179487179489</v>
      </c>
      <c r="Y13" s="131">
        <f>COUNT(EK178:EK187)</f>
        <v>10</v>
      </c>
      <c r="Z13" s="130">
        <f>STDEV(EK178:EK187)</f>
        <v>22.171417889802338</v>
      </c>
      <c r="AA13" s="130">
        <f t="shared" si="2"/>
        <v>7.011217948717948</v>
      </c>
      <c r="AB13" s="131"/>
      <c r="AC13" s="130">
        <f>AVERAGE($FU178:$FU187)</f>
        <v>2.8237629889023625</v>
      </c>
      <c r="AD13" s="132">
        <f>COUNT($FU178:$FU187)</f>
        <v>10</v>
      </c>
      <c r="AE13" s="130">
        <f>STDEV($FU178:$FU187)</f>
        <v>8.9295226174162323</v>
      </c>
      <c r="AF13" s="130">
        <f t="shared" si="3"/>
        <v>2.8237629889023625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27">
        <f>AVERAGE(GF6:GF1005)</f>
        <v>27.465361304850138</v>
      </c>
      <c r="FJ13" s="227"/>
      <c r="FK13" s="227">
        <f>PERCENTILE($GF$6:$GF$1005,0.975)</f>
        <v>42.578017789344919</v>
      </c>
      <c r="FL13" s="227"/>
      <c r="FM13" s="227">
        <f>PERCENTILE($GF$6:$GF$1005,0.025)</f>
        <v>14.609534373740651</v>
      </c>
      <c r="FN13" s="227"/>
      <c r="FO13" s="5"/>
      <c r="FY13" s="211">
        <v>8</v>
      </c>
      <c r="FZ13">
        <v>6.9022900032938637</v>
      </c>
      <c r="GA13">
        <v>28.299630295455561</v>
      </c>
      <c r="GB13">
        <v>19.868330485677323</v>
      </c>
      <c r="GC13">
        <v>14.676869770528523</v>
      </c>
      <c r="GD13">
        <v>10.805462182064733</v>
      </c>
      <c r="GE13">
        <v>15.390220187050531</v>
      </c>
      <c r="GF13">
        <v>31.20250129523189</v>
      </c>
      <c r="GG13">
        <v>37.966059407759417</v>
      </c>
      <c r="GH13">
        <v>31.071530577880218</v>
      </c>
      <c r="GI13">
        <v>23.377944481093881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27">
        <f>AVERAGE(GG6:GG1005)</f>
        <v>21.735449994187192</v>
      </c>
      <c r="FJ14" s="227"/>
      <c r="FK14" s="227">
        <f>PERCENTILE($GG$6:$GG$1005,0.975)</f>
        <v>37.324375465581603</v>
      </c>
      <c r="FL14" s="227"/>
      <c r="FM14" s="227">
        <f>PERCENTILE($GG$6:$GG$1005,0.025)</f>
        <v>8.5864981336051756</v>
      </c>
      <c r="FN14" s="227"/>
      <c r="FO14" s="5"/>
      <c r="FY14" s="211">
        <v>9</v>
      </c>
      <c r="FZ14">
        <v>2.8974984195661477</v>
      </c>
      <c r="GA14">
        <v>13.726107514599192</v>
      </c>
      <c r="GB14">
        <v>9.1155297743626402</v>
      </c>
      <c r="GC14">
        <v>7.706160589193491</v>
      </c>
      <c r="GD14">
        <v>9.9558797538114341</v>
      </c>
      <c r="GE14">
        <v>27.609568927952775</v>
      </c>
      <c r="GF14">
        <v>41.66108264242083</v>
      </c>
      <c r="GG14">
        <v>29.085805872817787</v>
      </c>
      <c r="GH14">
        <v>23.531734927173414</v>
      </c>
      <c r="GI14">
        <v>20.37527137188167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75.189212331199229</v>
      </c>
      <c r="AO15" s="163">
        <f>D48</f>
        <v>31.130207948258288</v>
      </c>
      <c r="AP15" s="163">
        <f>D63</f>
        <v>201.47435948886292</v>
      </c>
      <c r="AQ15" s="163">
        <f>C453</f>
        <v>168.93327624651366</v>
      </c>
      <c r="AR15" s="163">
        <f>G520</f>
        <v>28.47701923688053</v>
      </c>
      <c r="AS15" s="163">
        <f>I523</f>
        <v>135.82761783903172</v>
      </c>
      <c r="AT15" s="122">
        <f>G556</f>
        <v>20.982464852387746</v>
      </c>
      <c r="AU15" s="122">
        <f>I556</f>
        <v>11.929451430221823</v>
      </c>
      <c r="AV15" s="23"/>
      <c r="AW15" s="23"/>
      <c r="FG15" s="5"/>
      <c r="FH15" s="214">
        <f t="shared" si="6"/>
        <v>39949</v>
      </c>
      <c r="FI15" s="227">
        <f>AVERAGE(GH6:GH1005)</f>
        <v>15.83392242985542</v>
      </c>
      <c r="FJ15" s="227"/>
      <c r="FK15" s="227">
        <f>PERCENTILE($GH$6:$GH$1005,0.975)</f>
        <v>33.250879187939582</v>
      </c>
      <c r="FL15" s="227"/>
      <c r="FM15" s="227">
        <f>PERCENTILE($GH$6:$GH$1005,0.025)</f>
        <v>3.3512175440318992</v>
      </c>
      <c r="FN15" s="227"/>
      <c r="FO15" s="5"/>
      <c r="FY15" s="211">
        <v>10</v>
      </c>
      <c r="FZ15">
        <v>3.9375686946938475</v>
      </c>
      <c r="GA15">
        <v>19.998131972176182</v>
      </c>
      <c r="GB15">
        <v>20.877411308130576</v>
      </c>
      <c r="GC15">
        <v>10.062585011213551</v>
      </c>
      <c r="GD15">
        <v>7.8844972131791291</v>
      </c>
      <c r="GE15">
        <v>20.374567198776887</v>
      </c>
      <c r="GF15">
        <v>35.7335699803428</v>
      </c>
      <c r="GG15">
        <v>37.3185062074051</v>
      </c>
      <c r="GH15">
        <v>26.090189291474978</v>
      </c>
      <c r="GI15">
        <v>21.442278234179724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27">
        <f>AVERAGE(GI6:GI1005)</f>
        <v>20.505712215908979</v>
      </c>
      <c r="FJ16" s="227"/>
      <c r="FK16" s="227">
        <f>PERCENTILE($GI$6:$GI$1005,0.975)</f>
        <v>26.36277968606197</v>
      </c>
      <c r="FL16" s="227"/>
      <c r="FM16" s="227">
        <f>PERCENTILE($GI$6:$GI$1005,0.025)</f>
        <v>14.912538066974676</v>
      </c>
      <c r="FN16" s="227"/>
      <c r="FO16" s="5"/>
      <c r="FY16" s="211">
        <v>11</v>
      </c>
      <c r="FZ16">
        <v>3.6079078767752693</v>
      </c>
      <c r="GA16">
        <v>11.762285160479781</v>
      </c>
      <c r="GB16">
        <v>9.7082380848219785</v>
      </c>
      <c r="GC16">
        <v>11.523610298232747</v>
      </c>
      <c r="GD16">
        <v>10.992109635340821</v>
      </c>
      <c r="GE16">
        <v>16.985814912414245</v>
      </c>
      <c r="GF16">
        <v>27.868629456232522</v>
      </c>
      <c r="GG16">
        <v>21.102531753883092</v>
      </c>
      <c r="GH16">
        <v>13.430512537464145</v>
      </c>
      <c r="GI16">
        <v>16.94491922765393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83.677928553220184</v>
      </c>
      <c r="AO17">
        <v>30.875131939109725</v>
      </c>
      <c r="AP17">
        <v>204.77482148245682</v>
      </c>
      <c r="AQ17">
        <v>178.54050357294855</v>
      </c>
      <c r="AR17">
        <v>27.895320971617348</v>
      </c>
      <c r="AS17">
        <v>134.86380460416436</v>
      </c>
      <c r="AT17">
        <v>21.382103752068385</v>
      </c>
      <c r="AU17">
        <v>28.831896504323797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Y17" s="211">
        <v>12</v>
      </c>
      <c r="FZ17">
        <v>1.2203434224756795</v>
      </c>
      <c r="GA17">
        <v>4.781787712609626</v>
      </c>
      <c r="GB17">
        <v>15.749249525459636</v>
      </c>
      <c r="GC17">
        <v>15.688043914723316</v>
      </c>
      <c r="GD17">
        <v>11.832035987951945</v>
      </c>
      <c r="GE17">
        <v>17.792148017963068</v>
      </c>
      <c r="GF17">
        <v>18.873909613076361</v>
      </c>
      <c r="GG17">
        <v>20.551643889508345</v>
      </c>
      <c r="GH17">
        <v>17.919008641024547</v>
      </c>
      <c r="GI17">
        <v>17.704689786387977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77.404580740517162</v>
      </c>
      <c r="AO18">
        <v>32.730644022253209</v>
      </c>
      <c r="AP18">
        <v>211.66206468174917</v>
      </c>
      <c r="AQ18">
        <v>184.90327786879621</v>
      </c>
      <c r="AR18">
        <v>29.767754649697519</v>
      </c>
      <c r="AS18">
        <v>179.89845305434977</v>
      </c>
      <c r="AT18">
        <v>22.987287196805607</v>
      </c>
      <c r="AU18">
        <v>30.897493647796626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Y18" s="211">
        <v>13</v>
      </c>
      <c r="FZ18">
        <v>5.6553500764459415</v>
      </c>
      <c r="GA18">
        <v>18.453186686776149</v>
      </c>
      <c r="GB18">
        <v>17.141112217329827</v>
      </c>
      <c r="GC18">
        <v>14.593762708520819</v>
      </c>
      <c r="GD18">
        <v>14.081142975501711</v>
      </c>
      <c r="GE18">
        <v>19.789471448206527</v>
      </c>
      <c r="GF18">
        <v>18.269557412140557</v>
      </c>
      <c r="GG18">
        <v>18.421646641560116</v>
      </c>
      <c r="GH18">
        <v>16.29190761051953</v>
      </c>
      <c r="GI18">
        <v>19.63654977745599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103.69380202899143</v>
      </c>
      <c r="AO19">
        <v>38.19677704909995</v>
      </c>
      <c r="AP19">
        <v>289.74535517241446</v>
      </c>
      <c r="AQ19">
        <v>229.60557367182309</v>
      </c>
      <c r="AR19">
        <v>34.016325181725257</v>
      </c>
      <c r="AS19">
        <v>164.91004804424662</v>
      </c>
      <c r="AT19" t="e">
        <v>#DIV/0!</v>
      </c>
      <c r="AU19" t="e">
        <v>#DIV/0!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Y19" s="211">
        <v>14</v>
      </c>
      <c r="FZ19">
        <v>4.3682574484969017</v>
      </c>
      <c r="GA19">
        <v>15.360598577551738</v>
      </c>
      <c r="GB19">
        <v>27.98085447462304</v>
      </c>
      <c r="GC19">
        <v>18.801397731987525</v>
      </c>
      <c r="GD19">
        <v>9.1142720414534537</v>
      </c>
      <c r="GE19">
        <v>17.569329207040706</v>
      </c>
      <c r="GF19">
        <v>33.002358493726817</v>
      </c>
      <c r="GG19">
        <v>36.300782650715405</v>
      </c>
      <c r="GH19">
        <v>28.617972998320052</v>
      </c>
      <c r="GI19">
        <v>23.960152239656953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88.802435126521942</v>
      </c>
      <c r="AO20">
        <v>37.553816312849044</v>
      </c>
      <c r="AP20">
        <v>256.19668568672688</v>
      </c>
      <c r="AQ20">
        <v>213.73491465604479</v>
      </c>
      <c r="AR20">
        <v>34.089370410020869</v>
      </c>
      <c r="AS20">
        <v>158.56392190523985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2.205157836569037</v>
      </c>
      <c r="GA20">
        <v>8.4199452753721467</v>
      </c>
      <c r="GB20">
        <v>21.481007697969741</v>
      </c>
      <c r="GC20">
        <v>14.943488040660988</v>
      </c>
      <c r="GD20">
        <v>11.314166219384308</v>
      </c>
      <c r="GE20">
        <v>23.442747334521119</v>
      </c>
      <c r="GF20">
        <v>29.088839522836629</v>
      </c>
      <c r="GG20">
        <v>22.069626766521271</v>
      </c>
      <c r="GH20">
        <v>13.152521936855665</v>
      </c>
      <c r="GI20">
        <v>20.173852548319594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9.8958333333333321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7.2916666666666661</v>
      </c>
      <c r="J21" s="18">
        <f t="shared" si="9"/>
        <v>0</v>
      </c>
      <c r="K21" s="18">
        <f t="shared" si="9"/>
        <v>1.5625</v>
      </c>
      <c r="L21" s="18">
        <f t="shared" si="9"/>
        <v>0</v>
      </c>
      <c r="M21" s="18">
        <f t="shared" si="9"/>
        <v>1.0416666666666665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83.705630273030096</v>
      </c>
      <c r="AO21">
        <v>29.684161644600174</v>
      </c>
      <c r="AP21">
        <v>158.87428285770704</v>
      </c>
      <c r="AQ21">
        <v>152.54956555900719</v>
      </c>
      <c r="AR21">
        <v>26.729123092443697</v>
      </c>
      <c r="AS21">
        <v>136.33095806807088</v>
      </c>
      <c r="AT21" t="e">
        <v>#DIV/0!</v>
      </c>
      <c r="AU21" t="e">
        <v>#DIV/0!</v>
      </c>
      <c r="AV21"/>
      <c r="AW21"/>
      <c r="FY21" s="211">
        <v>16</v>
      </c>
      <c r="FZ21">
        <v>5.7299535646865598</v>
      </c>
      <c r="GA21">
        <v>14.426399625622592</v>
      </c>
      <c r="GB21">
        <v>17.567865302365334</v>
      </c>
      <c r="GC21">
        <v>14.153484509926686</v>
      </c>
      <c r="GD21">
        <v>11.654702060269006</v>
      </c>
      <c r="GE21">
        <v>22.837180298083606</v>
      </c>
      <c r="GF21">
        <v>20.341746254559443</v>
      </c>
      <c r="GG21">
        <v>6.2389958011174391</v>
      </c>
      <c r="GH21">
        <v>2.8613950730553861</v>
      </c>
      <c r="GI21">
        <v>16.580077911228042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19.270833333333332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2.083333333333333</v>
      </c>
      <c r="J22" s="18">
        <f t="shared" si="10"/>
        <v>8.8541666666666661</v>
      </c>
      <c r="K22" s="18">
        <f t="shared" si="10"/>
        <v>6.770833333333333</v>
      </c>
      <c r="L22" s="18">
        <f t="shared" si="10"/>
        <v>0.52083333333333326</v>
      </c>
      <c r="M22" s="18">
        <f t="shared" si="10"/>
        <v>1.0416666666666665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80.094155642887529</v>
      </c>
      <c r="AO22">
        <v>31.007946558058922</v>
      </c>
      <c r="AP22">
        <v>192.62090094267245</v>
      </c>
      <c r="AQ22">
        <v>170.41931177863171</v>
      </c>
      <c r="AR22">
        <v>28.323661154490019</v>
      </c>
      <c r="AS22">
        <v>179.75898819066401</v>
      </c>
      <c r="AT22">
        <v>21.428548031640158</v>
      </c>
      <c r="AU22">
        <v>27.793385894735412</v>
      </c>
      <c r="AV22"/>
      <c r="AW22"/>
      <c r="FY22" s="211">
        <v>17</v>
      </c>
      <c r="FZ22">
        <v>7.3467550872950271</v>
      </c>
      <c r="GA22">
        <v>18.055359155022394</v>
      </c>
      <c r="GB22">
        <v>26.125835400307082</v>
      </c>
      <c r="GC22">
        <v>17.422630802514803</v>
      </c>
      <c r="GD22">
        <v>11.118797011944245</v>
      </c>
      <c r="GE22">
        <v>27.409810421220936</v>
      </c>
      <c r="GF22">
        <v>35.393015631058276</v>
      </c>
      <c r="GG22">
        <v>16.454794476877147</v>
      </c>
      <c r="GH22">
        <v>8.1240568867313723</v>
      </c>
      <c r="GI22">
        <v>22.367528797578359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126.12928857540926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30.55990943921978</v>
      </c>
      <c r="J23" s="18">
        <f t="shared" si="11"/>
        <v>18.781565656565654</v>
      </c>
      <c r="K23" s="18">
        <f t="shared" si="11"/>
        <v>61.967737722048071</v>
      </c>
      <c r="L23" s="18">
        <f t="shared" si="11"/>
        <v>12.215909090909092</v>
      </c>
      <c r="M23" s="18">
        <f t="shared" si="11"/>
        <v>0</v>
      </c>
      <c r="N23" s="18">
        <f t="shared" si="11"/>
        <v>2.604166666666667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90.313314920363339</v>
      </c>
      <c r="AO23">
        <v>36.4882238620091</v>
      </c>
      <c r="AP23">
        <v>243.66876873647058</v>
      </c>
      <c r="AQ23">
        <v>203.51778831687199</v>
      </c>
      <c r="AR23">
        <v>33.21143828932167</v>
      </c>
      <c r="AS23">
        <v>161.82933382625365</v>
      </c>
      <c r="AT23" t="e">
        <v>#DIV/0!</v>
      </c>
      <c r="AU23" t="e">
        <v>#DIV/0!</v>
      </c>
      <c r="AV23"/>
      <c r="AW23"/>
      <c r="FY23" s="211">
        <v>18</v>
      </c>
      <c r="FZ23">
        <v>3.8346804841671496</v>
      </c>
      <c r="GA23">
        <v>13.579693162514769</v>
      </c>
      <c r="GB23">
        <v>13.903386739308523</v>
      </c>
      <c r="GC23">
        <v>9.3315826901407064</v>
      </c>
      <c r="GD23">
        <v>11.285640533803608</v>
      </c>
      <c r="GE23">
        <v>22.824503344156771</v>
      </c>
      <c r="GF23">
        <v>22.035278364001343</v>
      </c>
      <c r="GG23">
        <v>18.180807282994788</v>
      </c>
      <c r="GH23">
        <v>13.055372212098717</v>
      </c>
      <c r="GI23">
        <v>17.067945379460106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141.40706635318702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36.80990943921978</v>
      </c>
      <c r="J24" s="18">
        <f t="shared" si="12"/>
        <v>12.010732323232322</v>
      </c>
      <c r="K24" s="18">
        <f t="shared" si="12"/>
        <v>69.433015499825842</v>
      </c>
      <c r="L24" s="18">
        <f t="shared" si="12"/>
        <v>20.549242424242426</v>
      </c>
      <c r="M24" s="18">
        <f t="shared" si="12"/>
        <v>0</v>
      </c>
      <c r="N24" s="18">
        <f t="shared" si="12"/>
        <v>2.604166666666667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90.500467033101529</v>
      </c>
      <c r="AO24">
        <v>35.593619239713071</v>
      </c>
      <c r="AP24">
        <v>268.26077473395753</v>
      </c>
      <c r="AQ24">
        <v>219.56083868603596</v>
      </c>
      <c r="AR24">
        <v>32.494537222146043</v>
      </c>
      <c r="AS24">
        <v>157.82867938634857</v>
      </c>
      <c r="AT24">
        <v>24.526332400053022</v>
      </c>
      <c r="AU24">
        <v>40.903261188776135</v>
      </c>
      <c r="AV24"/>
      <c r="AW24"/>
      <c r="FY24" s="211">
        <v>19</v>
      </c>
      <c r="FZ24">
        <v>4.6184882706400732</v>
      </c>
      <c r="GA24">
        <v>12.822590766347455</v>
      </c>
      <c r="GB24">
        <v>20.092339979804219</v>
      </c>
      <c r="GC24">
        <v>10.556407765258511</v>
      </c>
      <c r="GD24">
        <v>7.3520671749707764</v>
      </c>
      <c r="GE24">
        <v>21.891988106061422</v>
      </c>
      <c r="GF24">
        <v>24.465184962657062</v>
      </c>
      <c r="GG24">
        <v>9.9223183192388937</v>
      </c>
      <c r="GH24">
        <v>5.2626618136759866</v>
      </c>
      <c r="GI24">
        <v>15.667576889504126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92.029671717171709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11.458333333333332</v>
      </c>
      <c r="J25" s="18">
        <f t="shared" si="13"/>
        <v>2.6041666666666661</v>
      </c>
      <c r="K25" s="18">
        <f t="shared" si="13"/>
        <v>42.171717171717162</v>
      </c>
      <c r="L25" s="18">
        <f t="shared" si="13"/>
        <v>35.795454545454547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71.900189497390528</v>
      </c>
      <c r="AO25">
        <v>30.828117513651609</v>
      </c>
      <c r="AP25">
        <v>220.46630493502505</v>
      </c>
      <c r="AQ25">
        <v>185.66463979377937</v>
      </c>
      <c r="AR25">
        <v>27.562702859004887</v>
      </c>
      <c r="AS25">
        <v>132.12535015113718</v>
      </c>
      <c r="AT25">
        <v>21.120537981953543</v>
      </c>
      <c r="AU25">
        <v>34.907457819675031</v>
      </c>
      <c r="AV25"/>
      <c r="AW25"/>
      <c r="FY25" s="211">
        <v>20</v>
      </c>
      <c r="FZ25">
        <v>4.3645476885104806</v>
      </c>
      <c r="GA25">
        <v>19.3065958136023</v>
      </c>
      <c r="GB25">
        <v>13.834102820646578</v>
      </c>
      <c r="GC25">
        <v>11.17678707901986</v>
      </c>
      <c r="GD25">
        <v>14.301324196841062</v>
      </c>
      <c r="GE25">
        <v>24.704082607301963</v>
      </c>
      <c r="GF25">
        <v>18.665345958677364</v>
      </c>
      <c r="GG25">
        <v>10.140104652380074</v>
      </c>
      <c r="GH25">
        <v>6.7074993676074879</v>
      </c>
      <c r="GI25">
        <v>17.313205814651667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95.241477272727266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4.6875</v>
      </c>
      <c r="J26" s="18">
        <f t="shared" si="14"/>
        <v>0.52083333333333326</v>
      </c>
      <c r="K26" s="18">
        <f t="shared" si="14"/>
        <v>52.675189393939391</v>
      </c>
      <c r="L26" s="18">
        <f t="shared" si="14"/>
        <v>35.40482954545454</v>
      </c>
      <c r="M26" s="18">
        <f t="shared" si="14"/>
        <v>1.953125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79.880599923940764</v>
      </c>
      <c r="AO26">
        <v>32.645239321646542</v>
      </c>
      <c r="AP26">
        <v>253.01622001978268</v>
      </c>
      <c r="AQ26">
        <v>203.71930511157279</v>
      </c>
      <c r="AR26">
        <v>29.60346087239002</v>
      </c>
      <c r="AS26">
        <v>140.40746969991139</v>
      </c>
      <c r="AT26" t="e">
        <v>#DIV/0!</v>
      </c>
      <c r="AU26" t="e">
        <v>#DIV/0!</v>
      </c>
      <c r="AV26"/>
      <c r="AW26"/>
      <c r="FY26" s="211">
        <v>21</v>
      </c>
      <c r="FZ26">
        <v>6.4559619683494454</v>
      </c>
      <c r="GA26">
        <v>13.741907290619583</v>
      </c>
      <c r="GB26">
        <v>19.91508662983405</v>
      </c>
      <c r="GC26">
        <v>19.976354894773685</v>
      </c>
      <c r="GD26">
        <v>16.069341455883027</v>
      </c>
      <c r="GE26">
        <v>27.170406877989794</v>
      </c>
      <c r="GF26">
        <v>25.833179702453304</v>
      </c>
      <c r="GG26">
        <v>9.4771376217403756</v>
      </c>
      <c r="GH26">
        <v>6.009718600211527</v>
      </c>
      <c r="GI26">
        <v>21.470858587844013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62.424242424242429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0.52083333333333326</v>
      </c>
      <c r="K27" s="18">
        <f t="shared" si="15"/>
        <v>35.15625</v>
      </c>
      <c r="L27" s="18">
        <f t="shared" si="15"/>
        <v>22.331912878787879</v>
      </c>
      <c r="M27" s="18">
        <f t="shared" si="15"/>
        <v>4.4152462121212119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63.679827719102548</v>
      </c>
      <c r="AO27">
        <v>25.420716250198051</v>
      </c>
      <c r="AP27">
        <v>165.46131203560998</v>
      </c>
      <c r="AQ27">
        <v>143.92655894329852</v>
      </c>
      <c r="AR27">
        <v>23.352184110329436</v>
      </c>
      <c r="AS27">
        <v>110.17088002261134</v>
      </c>
      <c r="AT27">
        <v>18.065180358837015</v>
      </c>
      <c r="AU27">
        <v>29.522065744239224</v>
      </c>
      <c r="AV27"/>
      <c r="AW27"/>
      <c r="FY27" s="211">
        <v>22</v>
      </c>
      <c r="FZ27">
        <v>1.2308269621460501</v>
      </c>
      <c r="GA27">
        <v>10.273961763254277</v>
      </c>
      <c r="GB27">
        <v>26.489658921066155</v>
      </c>
      <c r="GC27">
        <v>17.258535627481589</v>
      </c>
      <c r="GD27">
        <v>10.831153684988124</v>
      </c>
      <c r="GE27">
        <v>21.951521754925526</v>
      </c>
      <c r="GF27">
        <v>39.922445256024105</v>
      </c>
      <c r="GG27">
        <v>33.810619357878821</v>
      </c>
      <c r="GH27">
        <v>15.611561698498623</v>
      </c>
      <c r="GI27">
        <v>23.400962609289074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78.048196574175492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17.794093038821956</v>
      </c>
      <c r="J28" s="18">
        <f t="shared" si="15"/>
        <v>17.361111111111111</v>
      </c>
      <c r="K28" s="18">
        <f t="shared" si="15"/>
        <v>18.75</v>
      </c>
      <c r="L28" s="18">
        <f t="shared" si="15"/>
        <v>20.639204545454547</v>
      </c>
      <c r="M28" s="18">
        <f t="shared" si="15"/>
        <v>3.5037878787878785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60.697623987839826</v>
      </c>
      <c r="AO28">
        <v>27.035969925492754</v>
      </c>
      <c r="AP28">
        <v>163.0776742471337</v>
      </c>
      <c r="AQ28">
        <v>142.11286051118051</v>
      </c>
      <c r="AR28">
        <v>24.594916365315125</v>
      </c>
      <c r="AS28">
        <v>105.72586143401</v>
      </c>
      <c r="AT28" t="e">
        <v>#DIV/0!</v>
      </c>
      <c r="AU28" t="e">
        <v>#DIV/0!</v>
      </c>
      <c r="AV28"/>
      <c r="AW28"/>
      <c r="FY28" s="211">
        <v>23</v>
      </c>
      <c r="FZ28">
        <v>4.9194649526354866</v>
      </c>
      <c r="GA28">
        <v>15.026163168944533</v>
      </c>
      <c r="GB28">
        <v>13.804055006395956</v>
      </c>
      <c r="GC28">
        <v>11.837101461248755</v>
      </c>
      <c r="GD28">
        <v>11.066750529918522</v>
      </c>
      <c r="GE28">
        <v>22.914746991912189</v>
      </c>
      <c r="GF28">
        <v>26.293617405064776</v>
      </c>
      <c r="GG28">
        <v>17.451503714157589</v>
      </c>
      <c r="GH28">
        <v>16.134951794052732</v>
      </c>
      <c r="GI28">
        <v>18.401655503231311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57.791422098651019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17.794093038821956</v>
      </c>
      <c r="J29" s="18">
        <f t="shared" si="15"/>
        <v>16.840277777777779</v>
      </c>
      <c r="K29" s="18">
        <f t="shared" si="15"/>
        <v>15.344551282051283</v>
      </c>
      <c r="L29" s="18">
        <f t="shared" si="15"/>
        <v>6.770833333333333</v>
      </c>
      <c r="M29" s="18">
        <f t="shared" si="15"/>
        <v>1.0416666666666665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83.963868452879481</v>
      </c>
      <c r="AO29">
        <v>29.403911248382325</v>
      </c>
      <c r="AP29">
        <v>183.20591421783348</v>
      </c>
      <c r="AQ29">
        <v>162.33368755445716</v>
      </c>
      <c r="AR29">
        <v>27.361321331377376</v>
      </c>
      <c r="AS29">
        <v>136.02124799570709</v>
      </c>
      <c r="AT29">
        <v>20.435757689222189</v>
      </c>
      <c r="AU29">
        <v>43.938198788247483</v>
      </c>
      <c r="AV29"/>
      <c r="AW29"/>
      <c r="FY29" s="211">
        <v>24</v>
      </c>
      <c r="FZ29">
        <v>6.1559213398130375</v>
      </c>
      <c r="GA29">
        <v>11.507514244814741</v>
      </c>
      <c r="GB29">
        <v>14.758322099671718</v>
      </c>
      <c r="GC29">
        <v>16.485947768785113</v>
      </c>
      <c r="GD29">
        <v>14.655225561168562</v>
      </c>
      <c r="GE29">
        <v>19.337601722776803</v>
      </c>
      <c r="GF29">
        <v>15.281764953196895</v>
      </c>
      <c r="GG29">
        <v>17.668086689088263</v>
      </c>
      <c r="GH29">
        <v>15.363884203385251</v>
      </c>
      <c r="GI29">
        <v>18.779134467096078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69.654091629761538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</v>
      </c>
      <c r="I30" s="18">
        <f t="shared" si="16"/>
        <v>13.420800495608347</v>
      </c>
      <c r="J30" s="18">
        <f t="shared" si="16"/>
        <v>7.7493686868686869</v>
      </c>
      <c r="K30" s="18">
        <f t="shared" si="16"/>
        <v>31.240551235163309</v>
      </c>
      <c r="L30" s="18">
        <f t="shared" si="16"/>
        <v>15.422821969696969</v>
      </c>
      <c r="M30" s="18">
        <f t="shared" si="16"/>
        <v>1.2997159090909089</v>
      </c>
      <c r="N30" s="18">
        <f t="shared" si="16"/>
        <v>0.52083333333333337</v>
      </c>
      <c r="O30" s="18">
        <f t="shared" si="16"/>
        <v>0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95.479239491593148</v>
      </c>
      <c r="AO30">
        <v>36.472787428890214</v>
      </c>
      <c r="AP30">
        <v>267.25942920517156</v>
      </c>
      <c r="AQ30">
        <v>215.07597586357258</v>
      </c>
      <c r="AR30">
        <v>33.233254154026241</v>
      </c>
      <c r="AS30">
        <v>160.58439067735699</v>
      </c>
      <c r="AT30">
        <v>23.971730307847523</v>
      </c>
      <c r="AU30">
        <v>23.112148658442255</v>
      </c>
      <c r="AV30"/>
      <c r="AW30"/>
      <c r="FY30" s="211">
        <v>25</v>
      </c>
      <c r="FZ30">
        <v>2.1266653081741449</v>
      </c>
      <c r="GA30">
        <v>17.605184552972769</v>
      </c>
      <c r="GB30">
        <v>12.784823286057041</v>
      </c>
      <c r="GC30">
        <v>11.458968053079705</v>
      </c>
      <c r="GD30">
        <v>12.783331808571482</v>
      </c>
      <c r="GE30">
        <v>16.740892156523611</v>
      </c>
      <c r="GF30">
        <v>21.141045189345039</v>
      </c>
      <c r="GG30">
        <v>28.383450235078318</v>
      </c>
      <c r="GH30">
        <v>23.002736904789291</v>
      </c>
      <c r="GI30">
        <v>18.855703231585874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71.123874948431379</v>
      </c>
      <c r="AO31">
        <v>30.572109535645637</v>
      </c>
      <c r="AP31">
        <v>197.00554803086368</v>
      </c>
      <c r="AQ31">
        <v>166.29135317901049</v>
      </c>
      <c r="AR31">
        <v>27.897851712345432</v>
      </c>
      <c r="AS31">
        <v>127.36074531545198</v>
      </c>
      <c r="AT31">
        <v>21.233427098491287</v>
      </c>
      <c r="AU31">
        <v>42.347164649676685</v>
      </c>
      <c r="AV31"/>
      <c r="AW31"/>
      <c r="FY31" s="211">
        <v>26</v>
      </c>
      <c r="FZ31">
        <v>2.4735961730305616</v>
      </c>
      <c r="GA31">
        <v>19.215718488262837</v>
      </c>
      <c r="GB31">
        <v>39.762336183432026</v>
      </c>
      <c r="GC31">
        <v>20.969688933813842</v>
      </c>
      <c r="GD31">
        <v>11.253283212229558</v>
      </c>
      <c r="GE31">
        <v>23.931676046081648</v>
      </c>
      <c r="GF31">
        <v>23.513551944682405</v>
      </c>
      <c r="GG31">
        <v>19.653068907078161</v>
      </c>
      <c r="GH31">
        <v>13.273556720997346</v>
      </c>
      <c r="GI31">
        <v>23.679754879688428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75.189212331199229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74.079574955877391</v>
      </c>
      <c r="AO32">
        <v>25.254782276908763</v>
      </c>
      <c r="AP32">
        <v>146.99228775616587</v>
      </c>
      <c r="AQ32">
        <v>132.39180040091409</v>
      </c>
      <c r="AR32">
        <v>22.642521454459441</v>
      </c>
      <c r="AS32">
        <v>122.37309474586866</v>
      </c>
      <c r="AT32" t="e">
        <v>#DIV/0!</v>
      </c>
      <c r="AU32" t="e">
        <v>#DIV/0!</v>
      </c>
      <c r="AV32"/>
      <c r="AW32"/>
      <c r="FY32" s="211">
        <v>27</v>
      </c>
      <c r="FZ32">
        <v>4.9235741262589938</v>
      </c>
      <c r="GA32">
        <v>15.175374568851863</v>
      </c>
      <c r="GB32">
        <v>16.024393557967166</v>
      </c>
      <c r="GC32">
        <v>10.127357035165817</v>
      </c>
      <c r="GD32">
        <v>9.8866872440983293</v>
      </c>
      <c r="GE32">
        <v>21.063370226026329</v>
      </c>
      <c r="GF32">
        <v>35.998533921204221</v>
      </c>
      <c r="GG32">
        <v>35.506472157393134</v>
      </c>
      <c r="GH32">
        <v>20.378868521947869</v>
      </c>
      <c r="GI32">
        <v>20.746371801351401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95.601682885176345</v>
      </c>
      <c r="AO33">
        <v>34.011551421287727</v>
      </c>
      <c r="AP33">
        <v>226.10296362295458</v>
      </c>
      <c r="AQ33">
        <v>189.81858367054966</v>
      </c>
      <c r="AR33">
        <v>30.536575094842718</v>
      </c>
      <c r="AS33">
        <v>144.85677521887243</v>
      </c>
      <c r="AT33">
        <v>23.240785832562196</v>
      </c>
      <c r="AU33">
        <v>53.286950430103047</v>
      </c>
      <c r="AV33"/>
      <c r="AW33"/>
      <c r="FY33" s="211">
        <v>28</v>
      </c>
      <c r="FZ33">
        <v>3.8060927211274382</v>
      </c>
      <c r="GA33">
        <v>19.09749187745247</v>
      </c>
      <c r="GB33">
        <v>30.636691597319238</v>
      </c>
      <c r="GC33">
        <v>19.145060092538159</v>
      </c>
      <c r="GD33">
        <v>10.595008865436032</v>
      </c>
      <c r="GE33">
        <v>17.660483499980387</v>
      </c>
      <c r="GF33">
        <v>24.181737764852922</v>
      </c>
      <c r="GG33">
        <v>16.81618013677495</v>
      </c>
      <c r="GH33">
        <v>9.7393309886913428</v>
      </c>
      <c r="GI33">
        <v>20.739717128832758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73.364810104409969</v>
      </c>
      <c r="AO34">
        <v>25.75310351496821</v>
      </c>
      <c r="AP34">
        <v>165.16885191917561</v>
      </c>
      <c r="AQ34">
        <v>145.09889019264648</v>
      </c>
      <c r="AR34">
        <v>23.535634543724449</v>
      </c>
      <c r="AS34">
        <v>115.85617193109739</v>
      </c>
      <c r="AT34">
        <v>17.581370826370101</v>
      </c>
      <c r="AU34">
        <v>40.149725488011327</v>
      </c>
      <c r="AV34"/>
      <c r="AW34"/>
      <c r="FY34" s="211">
        <v>29</v>
      </c>
      <c r="FZ34">
        <v>1.4710755352834408</v>
      </c>
      <c r="GA34">
        <v>8.8609405651835527</v>
      </c>
      <c r="GB34">
        <v>16.106140861839762</v>
      </c>
      <c r="GC34">
        <v>16.147092886176907</v>
      </c>
      <c r="GD34">
        <v>13.330240738234597</v>
      </c>
      <c r="GE34">
        <v>21.113720524493267</v>
      </c>
      <c r="GF34">
        <v>28.02943539082861</v>
      </c>
      <c r="GG34">
        <v>34.6924180833538</v>
      </c>
      <c r="GH34">
        <v>30.115227135938319</v>
      </c>
      <c r="GI34">
        <v>22.403795413034548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62.327306133996863</v>
      </c>
      <c r="AO35">
        <v>23.67882531170423</v>
      </c>
      <c r="AP35">
        <v>159.41304483439077</v>
      </c>
      <c r="AQ35">
        <v>132.65162404815854</v>
      </c>
      <c r="AR35">
        <v>21.363715158970606</v>
      </c>
      <c r="AS35">
        <v>106.15180831492596</v>
      </c>
      <c r="AT35">
        <v>16.42880806371938</v>
      </c>
      <c r="AU35">
        <v>45.333831678548911</v>
      </c>
      <c r="AV35"/>
      <c r="AW35"/>
      <c r="FY35" s="211">
        <v>30</v>
      </c>
      <c r="FZ35">
        <v>3.9656111805506615</v>
      </c>
      <c r="GA35">
        <v>17.772162928826898</v>
      </c>
      <c r="GB35">
        <v>16.037389231842837</v>
      </c>
      <c r="GC35">
        <v>12.838849742084436</v>
      </c>
      <c r="GD35">
        <v>10.534960300902862</v>
      </c>
      <c r="GE35">
        <v>24.429319744172268</v>
      </c>
      <c r="GF35">
        <v>44.689010287474659</v>
      </c>
      <c r="GG35">
        <v>23.704331381727609</v>
      </c>
      <c r="GH35">
        <v>8.5843109639133655</v>
      </c>
      <c r="GI35">
        <v>20.715598516703992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1.5417974037186632E-3</v>
      </c>
      <c r="H36" s="59">
        <f t="shared" ref="H36:AK36" si="17">(1-($A$43/100))*($A$39*(H35^$A$41))</f>
        <v>9.8559040000000004E-3</v>
      </c>
      <c r="I36" s="59">
        <f t="shared" si="17"/>
        <v>6.3003636809172647E-2</v>
      </c>
      <c r="J36" s="59">
        <f t="shared" si="17"/>
        <v>0.18648841712151018</v>
      </c>
      <c r="K36" s="59">
        <f t="shared" si="17"/>
        <v>0.40274928116001696</v>
      </c>
      <c r="L36" s="59">
        <f t="shared" si="17"/>
        <v>0.73181669019902384</v>
      </c>
      <c r="M36" s="59">
        <f t="shared" si="17"/>
        <v>1.192122863761774</v>
      </c>
      <c r="N36" s="59">
        <f t="shared" si="17"/>
        <v>1.8009254338148488</v>
      </c>
      <c r="O36" s="59">
        <f t="shared" si="17"/>
        <v>2.5745654011403789</v>
      </c>
      <c r="P36" s="59">
        <f t="shared" si="17"/>
        <v>3.5286392522173879</v>
      </c>
      <c r="Q36" s="59">
        <f t="shared" si="17"/>
        <v>4.6781211505499796</v>
      </c>
      <c r="R36" s="59">
        <f t="shared" si="17"/>
        <v>6.037453688078223</v>
      </c>
      <c r="S36" s="59">
        <f t="shared" si="17"/>
        <v>7.6206176460685535</v>
      </c>
      <c r="T36" s="59">
        <f t="shared" si="17"/>
        <v>9.4411870972436702</v>
      </c>
      <c r="U36" s="59">
        <f t="shared" si="17"/>
        <v>11.512373898170313</v>
      </c>
      <c r="V36" s="59">
        <f t="shared" si="17"/>
        <v>13.847064275211956</v>
      </c>
      <c r="W36" s="59">
        <f t="shared" si="17"/>
        <v>16.457849373828154</v>
      </c>
      <c r="X36" s="59">
        <f t="shared" si="17"/>
        <v>19.357051103261675</v>
      </c>
      <c r="Y36" s="59">
        <f t="shared" si="17"/>
        <v>22.556744249669517</v>
      </c>
      <c r="Z36" s="59">
        <f t="shared" si="17"/>
        <v>26.068775584022323</v>
      </c>
      <c r="AA36" s="59">
        <f t="shared" si="17"/>
        <v>29.904780517196563</v>
      </c>
      <c r="AB36" s="59">
        <f t="shared" si="17"/>
        <v>34.076197729401613</v>
      </c>
      <c r="AC36" s="59">
        <f t="shared" si="17"/>
        <v>38.59428210906686</v>
      </c>
      <c r="AD36" s="59">
        <f t="shared" si="17"/>
        <v>43.470116267561686</v>
      </c>
      <c r="AE36" s="59">
        <f t="shared" si="17"/>
        <v>48.714620843960667</v>
      </c>
      <c r="AF36" s="59">
        <f t="shared" si="17"/>
        <v>54.338563773942411</v>
      </c>
      <c r="AG36" s="59">
        <f t="shared" si="17"/>
        <v>60.352568665663441</v>
      </c>
      <c r="AH36" s="59">
        <f t="shared" si="17"/>
        <v>66.767122400832051</v>
      </c>
      <c r="AI36" s="59">
        <f t="shared" si="17"/>
        <v>73.592582059618479</v>
      </c>
      <c r="AJ36" s="59">
        <f t="shared" si="17"/>
        <v>80.83918125229961</v>
      </c>
      <c r="AK36" s="59">
        <f t="shared" si="17"/>
        <v>88.517035927777229</v>
      </c>
      <c r="AL36" s="42"/>
      <c r="AM36" s="43">
        <v>20</v>
      </c>
      <c r="AN36">
        <v>71.366665588004906</v>
      </c>
      <c r="AO36">
        <v>26.263335461611167</v>
      </c>
      <c r="AP36">
        <v>152.39423776864294</v>
      </c>
      <c r="AQ36">
        <v>140.51359599923885</v>
      </c>
      <c r="AR36">
        <v>23.813628070053042</v>
      </c>
      <c r="AS36">
        <v>121.41155841348561</v>
      </c>
      <c r="AT36" t="e">
        <v>#DIV/0!</v>
      </c>
      <c r="AU36" t="e">
        <v>#DIV/0!</v>
      </c>
      <c r="AV36"/>
      <c r="AW36"/>
      <c r="FY36" s="211">
        <v>31</v>
      </c>
      <c r="FZ36">
        <v>4.0974865677541565</v>
      </c>
      <c r="GA36">
        <v>14.305120128288049</v>
      </c>
      <c r="GB36">
        <v>13.831720672546895</v>
      </c>
      <c r="GC36">
        <v>14.568375482728101</v>
      </c>
      <c r="GD36">
        <v>12.635252256782788</v>
      </c>
      <c r="GE36">
        <v>18.776752633970315</v>
      </c>
      <c r="GF36">
        <v>29.519395761333094</v>
      </c>
      <c r="GG36">
        <v>28.758822742347586</v>
      </c>
      <c r="GH36">
        <v>19.771809433198477</v>
      </c>
      <c r="GI36">
        <v>20.387039726579232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2.3304919199645915</v>
      </c>
      <c r="E37" s="107">
        <f t="shared" ref="E37:E46" si="19">+D37/D21</f>
        <v>0.2355023413858956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0.4594015184002172</v>
      </c>
      <c r="J37" s="49">
        <f t="shared" si="21"/>
        <v>0</v>
      </c>
      <c r="K37" s="49">
        <f t="shared" si="21"/>
        <v>0.6292957518125265</v>
      </c>
      <c r="L37" s="49">
        <f t="shared" si="21"/>
        <v>0</v>
      </c>
      <c r="M37" s="49">
        <f t="shared" si="21"/>
        <v>1.2417946497518477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92.839089472548523</v>
      </c>
      <c r="AO37">
        <v>32.480102204654443</v>
      </c>
      <c r="AP37">
        <v>181.64302551096142</v>
      </c>
      <c r="AQ37">
        <v>166.11995362969881</v>
      </c>
      <c r="AR37">
        <v>29.372984059180169</v>
      </c>
      <c r="AS37">
        <v>142.68112832627628</v>
      </c>
      <c r="AT37">
        <v>22.084801085642365</v>
      </c>
      <c r="AU37">
        <v>57.069207747730388</v>
      </c>
      <c r="AV37"/>
      <c r="AW37"/>
      <c r="FY37" s="211">
        <v>32</v>
      </c>
      <c r="FZ37">
        <v>5.7722333367184735</v>
      </c>
      <c r="GA37">
        <v>16.900528098368184</v>
      </c>
      <c r="GB37">
        <v>11.219977869077466</v>
      </c>
      <c r="GC37">
        <v>10.074672317944987</v>
      </c>
      <c r="GD37">
        <v>10.972978801135682</v>
      </c>
      <c r="GE37">
        <v>19.510805296364548</v>
      </c>
      <c r="GF37">
        <v>20.327098555898296</v>
      </c>
      <c r="GG37">
        <v>22.80706367619236</v>
      </c>
      <c r="GH37">
        <v>23.322488271767057</v>
      </c>
      <c r="GI37">
        <v>17.826211276859976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6.132354537033935</v>
      </c>
      <c r="E38" s="107">
        <f t="shared" si="19"/>
        <v>0.31821947867851774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0.13125757668577634</v>
      </c>
      <c r="J38" s="49">
        <f t="shared" si="21"/>
        <v>1.6511995265967045</v>
      </c>
      <c r="K38" s="49">
        <f t="shared" si="21"/>
        <v>2.7269482578542812</v>
      </c>
      <c r="L38" s="49">
        <f t="shared" si="21"/>
        <v>0.38115452614532486</v>
      </c>
      <c r="M38" s="49">
        <f t="shared" si="21"/>
        <v>1.2417946497518477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89.671340471812869</v>
      </c>
      <c r="AO38">
        <v>35.565699087411176</v>
      </c>
      <c r="AP38">
        <v>246.62794004176348</v>
      </c>
      <c r="AQ38">
        <v>200.78124763555235</v>
      </c>
      <c r="AR38">
        <v>32.481617596310194</v>
      </c>
      <c r="AS38">
        <v>155.63400844360018</v>
      </c>
      <c r="AT38">
        <v>23.767142365719824</v>
      </c>
      <c r="AU38">
        <v>15.683549705055517</v>
      </c>
      <c r="AV38"/>
      <c r="AW38"/>
      <c r="FY38" s="211">
        <v>33</v>
      </c>
      <c r="FZ38">
        <v>2.3885706874594761</v>
      </c>
      <c r="GA38">
        <v>9.2076223608004355</v>
      </c>
      <c r="GB38">
        <v>17.688284413852649</v>
      </c>
      <c r="GC38">
        <v>15.739768791004289</v>
      </c>
      <c r="GD38">
        <v>12.312398687521322</v>
      </c>
      <c r="GE38">
        <v>27.850354328517856</v>
      </c>
      <c r="GF38">
        <v>31.029099424677327</v>
      </c>
      <c r="GG38">
        <v>12.199135423644782</v>
      </c>
      <c r="GH38">
        <v>10.072942354901651</v>
      </c>
      <c r="GI38">
        <v>19.683826655484975</v>
      </c>
      <c r="GJ38"/>
      <c r="GK38"/>
      <c r="GL38"/>
      <c r="GM38"/>
    </row>
    <row r="39" spans="1:195" s="7" customFormat="1">
      <c r="A39" s="114">
        <v>1.0288E-2</v>
      </c>
      <c r="B39" s="57"/>
      <c r="C39" s="48" t="s">
        <v>40</v>
      </c>
      <c r="D39" s="49">
        <f t="shared" si="18"/>
        <v>44.015107850827874</v>
      </c>
      <c r="E39" s="107">
        <f t="shared" si="19"/>
        <v>0.34896817660643858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1.9253854352298099</v>
      </c>
      <c r="J39" s="49">
        <f t="shared" si="21"/>
        <v>3.5025444503566461</v>
      </c>
      <c r="K39" s="49">
        <f t="shared" si="21"/>
        <v>24.957461822667327</v>
      </c>
      <c r="L39" s="49">
        <f t="shared" si="21"/>
        <v>8.9398061586812574</v>
      </c>
      <c r="M39" s="49">
        <f t="shared" si="21"/>
        <v>0</v>
      </c>
      <c r="N39" s="49">
        <f t="shared" si="21"/>
        <v>4.6899099838928358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74.34944781713827</v>
      </c>
      <c r="AO39">
        <v>27.792593635871878</v>
      </c>
      <c r="AP39">
        <v>181.79274557001048</v>
      </c>
      <c r="AQ39">
        <v>157.85001052756189</v>
      </c>
      <c r="AR39">
        <v>25.061180808786414</v>
      </c>
      <c r="AS39">
        <v>117.38377626918677</v>
      </c>
      <c r="AT39">
        <v>18.943619746668759</v>
      </c>
      <c r="AU39">
        <v>40.594042886348511</v>
      </c>
      <c r="AV39"/>
      <c r="AW39"/>
      <c r="FY39" s="211">
        <v>34</v>
      </c>
      <c r="FZ39">
        <v>4.6165813331785115</v>
      </c>
      <c r="GA39">
        <v>17.805390506749458</v>
      </c>
      <c r="GB39">
        <v>16.606873136419438</v>
      </c>
      <c r="GC39">
        <v>9.6532403366012787</v>
      </c>
      <c r="GD39">
        <v>11.494527921245599</v>
      </c>
      <c r="GE39">
        <v>26.057971461826018</v>
      </c>
      <c r="GF39">
        <v>21.116727069606558</v>
      </c>
      <c r="GG39">
        <v>10.883839450834193</v>
      </c>
      <c r="GH39">
        <v>6.5222635163330764</v>
      </c>
      <c r="GI39">
        <v>16.834955008796626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52.251306266943359</v>
      </c>
      <c r="E40" s="107">
        <f t="shared" si="19"/>
        <v>0.36950986690040843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2.3191581652871389</v>
      </c>
      <c r="J40" s="49">
        <f t="shared" si="21"/>
        <v>2.2398624594297543</v>
      </c>
      <c r="K40" s="49">
        <f t="shared" si="21"/>
        <v>27.964097081327175</v>
      </c>
      <c r="L40" s="49">
        <f t="shared" si="21"/>
        <v>15.038278577006457</v>
      </c>
      <c r="M40" s="49">
        <f t="shared" si="21"/>
        <v>0</v>
      </c>
      <c r="N40" s="49">
        <f t="shared" si="21"/>
        <v>4.6899099838928358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73.61949126264858</v>
      </c>
      <c r="AO40">
        <v>28.585697489380447</v>
      </c>
      <c r="AP40">
        <v>164.88515846966135</v>
      </c>
      <c r="AQ40">
        <v>149.99340304979646</v>
      </c>
      <c r="AR40">
        <v>26.215930909631297</v>
      </c>
      <c r="AS40">
        <v>130.19626612642219</v>
      </c>
      <c r="AT40" t="e">
        <v>#DIV/0!</v>
      </c>
      <c r="AU40" t="e">
        <v>#DIV/0!</v>
      </c>
      <c r="AV40"/>
      <c r="AW40"/>
      <c r="FY40" s="211">
        <v>35</v>
      </c>
      <c r="FZ40">
        <v>3.2287900032812011</v>
      </c>
      <c r="GA40">
        <v>10.817700528103112</v>
      </c>
      <c r="GB40">
        <v>17.103722067606537</v>
      </c>
      <c r="GC40">
        <v>12.408075051113133</v>
      </c>
      <c r="GD40">
        <v>8.1828636012609994</v>
      </c>
      <c r="GE40">
        <v>16.436195452931376</v>
      </c>
      <c r="GF40">
        <v>21.165441464141807</v>
      </c>
      <c r="GG40">
        <v>9.1953992272877851</v>
      </c>
      <c r="GH40">
        <v>3.958201225201504</v>
      </c>
      <c r="GI40">
        <v>14.323042254129938</v>
      </c>
      <c r="GJ40"/>
      <c r="GK40"/>
      <c r="GL40"/>
      <c r="GM40"/>
    </row>
    <row r="41" spans="1:195" s="7" customFormat="1">
      <c r="A41" s="114">
        <v>2.6763750000000002</v>
      </c>
      <c r="B41" s="57"/>
      <c r="C41" s="48" t="s">
        <v>42</v>
      </c>
      <c r="D41" s="49">
        <f t="shared" si="18"/>
        <v>44.387903437175815</v>
      </c>
      <c r="E41" s="107">
        <f t="shared" si="19"/>
        <v>0.48232165353789402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0.72191667177176988</v>
      </c>
      <c r="J41" s="49">
        <f t="shared" si="22"/>
        <v>0.48564691958726597</v>
      </c>
      <c r="K41" s="49">
        <f t="shared" si="22"/>
        <v>16.984628776192629</v>
      </c>
      <c r="L41" s="49">
        <f t="shared" si="22"/>
        <v>26.195711069624149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67.768670257878028</v>
      </c>
      <c r="AO41">
        <v>28.641539660143387</v>
      </c>
      <c r="AP41">
        <v>192.01328404843929</v>
      </c>
      <c r="AQ41">
        <v>164.88280072617727</v>
      </c>
      <c r="AR41">
        <v>26.383740774713473</v>
      </c>
      <c r="AS41">
        <v>129.39313966534777</v>
      </c>
      <c r="AT41">
        <v>19.636337187767253</v>
      </c>
      <c r="AU41">
        <v>15.491824462878739</v>
      </c>
      <c r="AV41"/>
      <c r="AW41"/>
      <c r="FY41" s="211">
        <v>36</v>
      </c>
      <c r="FZ41">
        <v>3.7872449706642435</v>
      </c>
      <c r="GA41">
        <v>22.329847638091032</v>
      </c>
      <c r="GB41">
        <v>22.793116032587815</v>
      </c>
      <c r="GC41">
        <v>16.824700723620438</v>
      </c>
      <c r="GD41">
        <v>12.633617136557051</v>
      </c>
      <c r="GE41">
        <v>17.552995251750428</v>
      </c>
      <c r="GF41">
        <v>16.117853929403054</v>
      </c>
      <c r="GG41">
        <v>6.6424555882306011</v>
      </c>
      <c r="GH41">
        <v>4.1569178080375897</v>
      </c>
      <c r="GI41">
        <v>17.558599815522268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49.845563738137159</v>
      </c>
      <c r="E42" s="107">
        <f t="shared" si="19"/>
        <v>0.52335983402906128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0.29532954754299678</v>
      </c>
      <c r="J42" s="49">
        <f t="shared" si="22"/>
        <v>9.712938391745321E-2</v>
      </c>
      <c r="K42" s="49">
        <f t="shared" si="22"/>
        <v>21.214894663376839</v>
      </c>
      <c r="L42" s="49">
        <f t="shared" si="22"/>
        <v>25.90984517501515</v>
      </c>
      <c r="M42" s="49">
        <f t="shared" si="22"/>
        <v>2.3283649682847147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96.252416150849811</v>
      </c>
      <c r="AO42">
        <v>36.096670607588791</v>
      </c>
      <c r="AP42">
        <v>242.33390548182555</v>
      </c>
      <c r="AQ42">
        <v>197.72623148929679</v>
      </c>
      <c r="AR42">
        <v>32.996784941836673</v>
      </c>
      <c r="AS42">
        <v>171.74195690474784</v>
      </c>
      <c r="AT42">
        <v>24.233943725514152</v>
      </c>
      <c r="AU42">
        <v>51.022043083848573</v>
      </c>
      <c r="AV42"/>
      <c r="AW42"/>
      <c r="FY42" s="211">
        <v>37</v>
      </c>
      <c r="FZ42">
        <v>6.9412856221590147</v>
      </c>
      <c r="GA42">
        <v>24.383473479242756</v>
      </c>
      <c r="GB42">
        <v>30.321102787761593</v>
      </c>
      <c r="GC42">
        <v>16.862914243459777</v>
      </c>
      <c r="GD42">
        <v>8.624739505338674</v>
      </c>
      <c r="GE42">
        <v>19.000723737964147</v>
      </c>
      <c r="GF42">
        <v>28.880147753233754</v>
      </c>
      <c r="GG42">
        <v>27.772764095756912</v>
      </c>
      <c r="GH42">
        <v>22.167468246989078</v>
      </c>
      <c r="GI42">
        <v>22.769702340426253</v>
      </c>
      <c r="GJ42"/>
      <c r="GK42"/>
      <c r="GL42"/>
      <c r="GM42"/>
    </row>
    <row r="43" spans="1:195" s="7" customFormat="1">
      <c r="A43" s="95">
        <v>4.2</v>
      </c>
      <c r="B43" s="1"/>
      <c r="C43" s="48" t="s">
        <v>119</v>
      </c>
      <c r="D43" s="49">
        <f>IF(SUM(G43:AK43)&lt;0.0001, 0, SUM(G43:AK43))</f>
        <v>35.862666327074066</v>
      </c>
      <c r="E43" s="107">
        <f t="shared" si="19"/>
        <v>0.57449902368613792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9.712938391745321E-2</v>
      </c>
      <c r="K43" s="49">
        <f t="shared" si="22"/>
        <v>14.159154415781845</v>
      </c>
      <c r="L43" s="49">
        <f t="shared" si="22"/>
        <v>16.342866568767501</v>
      </c>
      <c r="M43" s="49">
        <f t="shared" si="22"/>
        <v>5.2635159586072646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77.808690284305186</v>
      </c>
      <c r="AO43">
        <v>31.568722813567263</v>
      </c>
      <c r="AP43">
        <v>229.75554806397679</v>
      </c>
      <c r="AQ43">
        <v>189.83100316026514</v>
      </c>
      <c r="AR43">
        <v>28.780574165624561</v>
      </c>
      <c r="AS43">
        <v>147.61494825302549</v>
      </c>
      <c r="AT43" t="e">
        <v>#DIV/0!</v>
      </c>
      <c r="AU43" t="e">
        <v>#DIV/0!</v>
      </c>
      <c r="AV43"/>
      <c r="AW43"/>
      <c r="FY43" s="211">
        <v>38</v>
      </c>
      <c r="FZ43">
        <v>4.6429930532388504</v>
      </c>
      <c r="GA43">
        <v>17.067724163758989</v>
      </c>
      <c r="GB43">
        <v>25.258147795457553</v>
      </c>
      <c r="GC43">
        <v>16.972833175165484</v>
      </c>
      <c r="GD43">
        <v>12.70218608796249</v>
      </c>
      <c r="GE43">
        <v>27.185978381823876</v>
      </c>
      <c r="GF43">
        <v>25.275324960856519</v>
      </c>
      <c r="GG43">
        <v>23.753459118159679</v>
      </c>
      <c r="GH43">
        <v>25.877612709406353</v>
      </c>
      <c r="GI43">
        <v>23.582398142255162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31.191347726368249</v>
      </c>
      <c r="E44" s="107">
        <f t="shared" si="19"/>
        <v>0.3996421326240972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1.1210925751665657</v>
      </c>
      <c r="J44" s="49">
        <f t="shared" si="23"/>
        <v>3.2376461305817741</v>
      </c>
      <c r="K44" s="49">
        <f t="shared" si="23"/>
        <v>7.5515490217503176</v>
      </c>
      <c r="L44" s="49">
        <f t="shared" si="23"/>
        <v>15.104114358795195</v>
      </c>
      <c r="M44" s="49">
        <f t="shared" si="23"/>
        <v>4.1769456400743969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88.562053333747571</v>
      </c>
      <c r="AO44">
        <v>31.211188336368913</v>
      </c>
      <c r="AP44">
        <v>209.18486189673831</v>
      </c>
      <c r="AQ44">
        <v>172.41779467300569</v>
      </c>
      <c r="AR44">
        <v>28.759204236124237</v>
      </c>
      <c r="AS44">
        <v>142.80697720771269</v>
      </c>
      <c r="AT44">
        <v>21.060836015966355</v>
      </c>
      <c r="AU44">
        <v>35.396546942957961</v>
      </c>
      <c r="AV44"/>
      <c r="AW44"/>
      <c r="FY44" s="211">
        <v>39</v>
      </c>
      <c r="FZ44">
        <v>5.8248507848749451</v>
      </c>
      <c r="GA44">
        <v>17.467389061483725</v>
      </c>
      <c r="GB44">
        <v>21.472423261243133</v>
      </c>
      <c r="GC44">
        <v>18.078323667330075</v>
      </c>
      <c r="GD44">
        <v>13.579734676639518</v>
      </c>
      <c r="GE44">
        <v>19.927774843766411</v>
      </c>
      <c r="GF44">
        <v>21.145644665055176</v>
      </c>
      <c r="GG44">
        <v>20.064040232511324</v>
      </c>
      <c r="GH44">
        <v>15.804670354504703</v>
      </c>
      <c r="GI44">
        <v>20.921878925829631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16.638419810041132</v>
      </c>
      <c r="E45" s="107">
        <f t="shared" si="19"/>
        <v>0.28790466138104448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1.1210925751665657</v>
      </c>
      <c r="J45" s="49">
        <f t="shared" si="24"/>
        <v>3.1405167466643209</v>
      </c>
      <c r="K45" s="49">
        <f t="shared" si="24"/>
        <v>6.180006998569171</v>
      </c>
      <c r="L45" s="49">
        <f t="shared" si="24"/>
        <v>4.9550088398892234</v>
      </c>
      <c r="M45" s="49">
        <f t="shared" si="24"/>
        <v>1.2417946497518477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74.518375728223106</v>
      </c>
      <c r="AO45">
        <v>34.271018778056437</v>
      </c>
      <c r="AP45">
        <v>224.94608098569515</v>
      </c>
      <c r="AQ45">
        <v>192.2700871343668</v>
      </c>
      <c r="AR45">
        <v>31.096428485503964</v>
      </c>
      <c r="AS45">
        <v>133.74442754950667</v>
      </c>
      <c r="AT45" t="e">
        <v>#DIV/0!</v>
      </c>
      <c r="AU45" t="e">
        <v>#DIV/0!</v>
      </c>
      <c r="AV45"/>
      <c r="AW45"/>
      <c r="FY45" s="211">
        <v>40</v>
      </c>
      <c r="FZ45">
        <v>7.4195819461933592</v>
      </c>
      <c r="GA45">
        <v>21.401904707015035</v>
      </c>
      <c r="GB45">
        <v>13.899327113508109</v>
      </c>
      <c r="GC45">
        <v>9.7287293250686915</v>
      </c>
      <c r="GD45">
        <v>12.352045049397693</v>
      </c>
      <c r="GE45">
        <v>20.694207924862173</v>
      </c>
      <c r="GF45">
        <v>19.147837826794142</v>
      </c>
      <c r="GG45">
        <v>10.753324825772678</v>
      </c>
      <c r="GH45">
        <v>4.124094895160578</v>
      </c>
      <c r="GI45">
        <v>16.309651482724053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28.646917869016701</v>
      </c>
      <c r="E46" s="107">
        <f t="shared" si="19"/>
        <v>0.41127401418550052</v>
      </c>
      <c r="F46" s="18"/>
      <c r="G46" s="49">
        <f>G30*G36</f>
        <v>0</v>
      </c>
      <c r="H46" s="49">
        <f t="shared" ref="H46:AK46" si="25">H30*H36</f>
        <v>0</v>
      </c>
      <c r="I46" s="49">
        <f t="shared" si="25"/>
        <v>0.84555924011367256</v>
      </c>
      <c r="J46" s="49">
        <f t="shared" si="25"/>
        <v>1.4451675001051374</v>
      </c>
      <c r="K46" s="49">
        <f t="shared" si="25"/>
        <v>12.582109553004702</v>
      </c>
      <c r="L46" s="49">
        <f t="shared" si="25"/>
        <v>11.286678527392425</v>
      </c>
      <c r="M46" s="49">
        <f t="shared" si="25"/>
        <v>1.549421051622192</v>
      </c>
      <c r="N46" s="49">
        <f t="shared" si="25"/>
        <v>0.9379819967785672</v>
      </c>
      <c r="O46" s="49">
        <f t="shared" si="25"/>
        <v>0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84.148481129876401</v>
      </c>
      <c r="AO46">
        <v>31.418797482104953</v>
      </c>
      <c r="AP46">
        <v>218.40040567020253</v>
      </c>
      <c r="AQ46">
        <v>183.27154427819954</v>
      </c>
      <c r="AR46">
        <v>28.03232778140335</v>
      </c>
      <c r="AS46">
        <v>136.98225955507738</v>
      </c>
      <c r="AT46">
        <v>21.642563845319184</v>
      </c>
      <c r="AU46">
        <v>46.970644466731422</v>
      </c>
      <c r="AV46"/>
      <c r="AW46"/>
      <c r="FY46" s="211">
        <v>41</v>
      </c>
      <c r="FZ46">
        <v>5.6599343475514639</v>
      </c>
      <c r="GA46">
        <v>16.392369308678731</v>
      </c>
      <c r="GB46">
        <v>20.770485656018984</v>
      </c>
      <c r="GC46">
        <v>14.110354637417235</v>
      </c>
      <c r="GD46">
        <v>10.353879207699821</v>
      </c>
      <c r="GE46">
        <v>23.212072810236506</v>
      </c>
      <c r="GF46">
        <v>33.269779039430659</v>
      </c>
      <c r="GG46">
        <v>28.821723915379401</v>
      </c>
      <c r="GH46">
        <v>19.912312143402712</v>
      </c>
      <c r="GI46">
        <v>21.768184594256731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80.992755791012556</v>
      </c>
      <c r="AO47">
        <v>31.004879632841618</v>
      </c>
      <c r="AP47">
        <v>204.67723308218706</v>
      </c>
      <c r="AQ47">
        <v>176.65177540552867</v>
      </c>
      <c r="AR47">
        <v>28.151083554572946</v>
      </c>
      <c r="AS47">
        <v>142.05919919278685</v>
      </c>
      <c r="AT47" t="e">
        <v>#DIV/0!</v>
      </c>
      <c r="AU47" t="e">
        <v>#DIV/0!</v>
      </c>
      <c r="AV47"/>
      <c r="AW47"/>
      <c r="FY47" s="211">
        <v>42</v>
      </c>
      <c r="FZ47">
        <v>4.9691642446402415</v>
      </c>
      <c r="GA47">
        <v>9.9068205427867504</v>
      </c>
      <c r="GB47">
        <v>25.857204764785024</v>
      </c>
      <c r="GC47">
        <v>19.075794075743964</v>
      </c>
      <c r="GD47">
        <v>12.346034295252403</v>
      </c>
      <c r="GE47">
        <v>18.142665078111545</v>
      </c>
      <c r="GF47">
        <v>15.031420403237044</v>
      </c>
      <c r="GG47">
        <v>19.817997140389011</v>
      </c>
      <c r="GH47">
        <v>16.474171087093044</v>
      </c>
      <c r="GI47">
        <v>20.145374884035355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31.130207948258288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77.139394784494868</v>
      </c>
      <c r="AO48">
        <v>26.970693949654425</v>
      </c>
      <c r="AP48">
        <v>182.57223149719019</v>
      </c>
      <c r="AQ48">
        <v>158.73405750032703</v>
      </c>
      <c r="AR48">
        <v>24.563943839328957</v>
      </c>
      <c r="AS48">
        <v>120.22039380856779</v>
      </c>
      <c r="AT48">
        <v>18.47390718711091</v>
      </c>
      <c r="AU48">
        <v>31.035961559546923</v>
      </c>
      <c r="AV48"/>
      <c r="AW48"/>
      <c r="FY48" s="211">
        <v>43</v>
      </c>
      <c r="FZ48">
        <v>5.0330640597412568</v>
      </c>
      <c r="GA48">
        <v>20.220130568711731</v>
      </c>
      <c r="GB48">
        <v>16.878406284544059</v>
      </c>
      <c r="GC48">
        <v>13.161517106638032</v>
      </c>
      <c r="GD48">
        <v>12.729080822884258</v>
      </c>
      <c r="GE48">
        <v>25.794660085118352</v>
      </c>
      <c r="GF48">
        <v>25.012134673398847</v>
      </c>
      <c r="GG48">
        <v>23.827961788990294</v>
      </c>
      <c r="GH48">
        <v>28.982142399505715</v>
      </c>
      <c r="GI48">
        <v>21.944581033274204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67.029101017754357</v>
      </c>
      <c r="AO49">
        <v>29.891825526007704</v>
      </c>
      <c r="AP49">
        <v>179.99549016530921</v>
      </c>
      <c r="AQ49">
        <v>158.17200312786477</v>
      </c>
      <c r="AR49">
        <v>26.626015935952736</v>
      </c>
      <c r="AS49">
        <v>114.81656912828437</v>
      </c>
      <c r="AT49">
        <v>20.90552917624392</v>
      </c>
      <c r="AU49">
        <v>49.433888124806622</v>
      </c>
      <c r="AV49"/>
      <c r="AW49"/>
      <c r="FY49" s="211">
        <v>44</v>
      </c>
      <c r="FZ49">
        <v>6.3824665902962163</v>
      </c>
      <c r="GA49">
        <v>10.513346587835716</v>
      </c>
      <c r="GB49">
        <v>10.824744800109466</v>
      </c>
      <c r="GC49">
        <v>11.521821019955052</v>
      </c>
      <c r="GD49">
        <v>12.441788249807878</v>
      </c>
      <c r="GE49">
        <v>19.003097720603478</v>
      </c>
      <c r="GF49">
        <v>17.733548572256915</v>
      </c>
      <c r="GG49">
        <v>31.28508652006413</v>
      </c>
      <c r="GH49">
        <v>30.057328370168761</v>
      </c>
      <c r="GI49">
        <v>19.356760855022998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70.502966208334669</v>
      </c>
      <c r="AO50">
        <v>25.675038123790735</v>
      </c>
      <c r="AP50">
        <v>159.31351661629978</v>
      </c>
      <c r="AQ50">
        <v>141.59236974159074</v>
      </c>
      <c r="AR50">
        <v>23.067528603662296</v>
      </c>
      <c r="AS50">
        <v>110.17721110806822</v>
      </c>
      <c r="AT50" t="e">
        <v>#DIV/0!</v>
      </c>
      <c r="AU50" t="e">
        <v>#DIV/0!</v>
      </c>
      <c r="AV50"/>
      <c r="AW50"/>
      <c r="FY50" s="211">
        <v>45</v>
      </c>
      <c r="FZ50">
        <v>3.336262484913421</v>
      </c>
      <c r="GA50">
        <v>8.9429633649907405</v>
      </c>
      <c r="GB50">
        <v>5.7718077677066519</v>
      </c>
      <c r="GC50">
        <v>10.316079467723537</v>
      </c>
      <c r="GD50">
        <v>13.542932238605925</v>
      </c>
      <c r="GE50">
        <v>22.011572995401334</v>
      </c>
      <c r="GF50">
        <v>21.059922171723599</v>
      </c>
      <c r="GG50">
        <v>20.003335394173252</v>
      </c>
      <c r="GH50">
        <v>17.866717802084992</v>
      </c>
      <c r="GI50">
        <v>16.933197079744886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63.379888062502729</v>
      </c>
      <c r="AO51">
        <v>21.656614631092147</v>
      </c>
      <c r="AP51">
        <v>137.32248743995206</v>
      </c>
      <c r="AQ51">
        <v>116.81943087505738</v>
      </c>
      <c r="AR51">
        <v>19.620661548964335</v>
      </c>
      <c r="AS51">
        <v>98.727330387347607</v>
      </c>
      <c r="AT51">
        <v>14.306958165131391</v>
      </c>
      <c r="AU51">
        <v>28.095028854694213</v>
      </c>
      <c r="AV51"/>
      <c r="AW51"/>
      <c r="FY51" s="211">
        <v>46</v>
      </c>
      <c r="FZ51">
        <v>4.6278990492803853</v>
      </c>
      <c r="GA51">
        <v>7.7114584311955721</v>
      </c>
      <c r="GB51">
        <v>31.79384838084971</v>
      </c>
      <c r="GC51">
        <v>21.34110206620403</v>
      </c>
      <c r="GD51">
        <v>12.674033521836476</v>
      </c>
      <c r="GE51">
        <v>25.844709011878415</v>
      </c>
      <c r="GF51">
        <v>23.353472438443589</v>
      </c>
      <c r="GG51">
        <v>29.33833928039445</v>
      </c>
      <c r="GH51">
        <v>28.064024867790593</v>
      </c>
      <c r="GI51">
        <v>25.21313209247382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2.4399838203328046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0.4809852642397851</v>
      </c>
      <c r="J52" s="49">
        <f t="shared" si="26"/>
        <v>0</v>
      </c>
      <c r="K52" s="49">
        <f t="shared" si="26"/>
        <v>0.65886152166966627</v>
      </c>
      <c r="L52" s="49">
        <f t="shared" si="26"/>
        <v>0</v>
      </c>
      <c r="M52" s="49">
        <f t="shared" si="26"/>
        <v>1.3001370344233532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78.596189048159644</v>
      </c>
      <c r="AO52">
        <v>26.521648888430661</v>
      </c>
      <c r="AP52">
        <v>160.13811910969261</v>
      </c>
      <c r="AQ52">
        <v>140.39734889446453</v>
      </c>
      <c r="AR52">
        <v>24.237452154040181</v>
      </c>
      <c r="AS52">
        <v>126.36780288427929</v>
      </c>
      <c r="AT52">
        <v>17.83901247118035</v>
      </c>
      <c r="AU52">
        <v>52.188723955069911</v>
      </c>
      <c r="AV52"/>
      <c r="AW52"/>
      <c r="FY52" s="211">
        <v>47</v>
      </c>
      <c r="FZ52">
        <v>4.8389883890125942</v>
      </c>
      <c r="GA52">
        <v>21.283110577254639</v>
      </c>
      <c r="GB52">
        <v>26.707872851559152</v>
      </c>
      <c r="GC52">
        <v>15.725427947001553</v>
      </c>
      <c r="GD52">
        <v>9.8647425280962828</v>
      </c>
      <c r="GE52">
        <v>23.796828140936892</v>
      </c>
      <c r="GF52">
        <v>39.136763287971284</v>
      </c>
      <c r="GG52">
        <v>25.520422047916767</v>
      </c>
      <c r="GH52">
        <v>16.170872826377849</v>
      </c>
      <c r="GI52">
        <v>23.346282179574278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8.4393779869444074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0.18063735496894326</v>
      </c>
      <c r="J53" s="49">
        <f t="shared" si="28"/>
        <v>2.2723893168044573</v>
      </c>
      <c r="K53" s="49">
        <f t="shared" si="28"/>
        <v>3.7528402769098532</v>
      </c>
      <c r="L53" s="49">
        <f t="shared" si="28"/>
        <v>0.52454682751120285</v>
      </c>
      <c r="M53" s="49">
        <f t="shared" si="28"/>
        <v>1.7089642107499521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94.063546504316776</v>
      </c>
      <c r="AO53">
        <v>34.622584186744412</v>
      </c>
      <c r="AP53">
        <v>257.21942739881939</v>
      </c>
      <c r="AQ53">
        <v>207.72432181233194</v>
      </c>
      <c r="AR53">
        <v>31.445582124312185</v>
      </c>
      <c r="AS53">
        <v>151.50238132908973</v>
      </c>
      <c r="AT53" t="e">
        <v>#DIV/0!</v>
      </c>
      <c r="AU53" t="e">
        <v>#DIV/0!</v>
      </c>
      <c r="AV53"/>
      <c r="AW53"/>
      <c r="FY53" s="211">
        <v>48</v>
      </c>
      <c r="FZ53">
        <v>3.0934937553398907</v>
      </c>
      <c r="GA53">
        <v>5.5930421975830056</v>
      </c>
      <c r="GB53">
        <v>29.977225818955006</v>
      </c>
      <c r="GC53">
        <v>23.227525606334609</v>
      </c>
      <c r="GD53">
        <v>12.576964907249828</v>
      </c>
      <c r="GE53">
        <v>26.852926130651532</v>
      </c>
      <c r="GF53">
        <v>45.568295501379723</v>
      </c>
      <c r="GG53">
        <v>55.400611801220833</v>
      </c>
      <c r="GH53">
        <v>47.778061279966721</v>
      </c>
      <c r="GI53">
        <v>31.843389854664377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52.083177849439402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</v>
      </c>
      <c r="I54" s="49">
        <f t="shared" si="29"/>
        <v>2.2783129917948912</v>
      </c>
      <c r="J54" s="49">
        <f t="shared" si="29"/>
        <v>4.1445688637580149</v>
      </c>
      <c r="K54" s="49">
        <f t="shared" si="29"/>
        <v>29.532221690469569</v>
      </c>
      <c r="L54" s="49">
        <f t="shared" si="29"/>
        <v>10.578493086513065</v>
      </c>
      <c r="M54" s="49">
        <f t="shared" si="29"/>
        <v>0</v>
      </c>
      <c r="N54" s="49">
        <f t="shared" si="29"/>
        <v>5.549581216903861</v>
      </c>
      <c r="O54" s="49">
        <f t="shared" si="29"/>
        <v>0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87.631669662627971</v>
      </c>
      <c r="AO54">
        <v>35.855951878514851</v>
      </c>
      <c r="AP54">
        <v>238.41688541368893</v>
      </c>
      <c r="AQ54">
        <v>202.31865758808493</v>
      </c>
      <c r="AR54">
        <v>32.475427856200227</v>
      </c>
      <c r="AS54">
        <v>158.773852107538</v>
      </c>
      <c r="AT54">
        <v>24.260935617541815</v>
      </c>
      <c r="AU54">
        <v>35.546956040635891</v>
      </c>
      <c r="AV54"/>
      <c r="AW54"/>
      <c r="FY54" s="211">
        <v>49</v>
      </c>
      <c r="FZ54">
        <v>3.8618484589048618</v>
      </c>
      <c r="GA54">
        <v>17.592236136076263</v>
      </c>
      <c r="GB54">
        <v>12.656555977281347</v>
      </c>
      <c r="GC54">
        <v>16.503241077743972</v>
      </c>
      <c r="GD54">
        <v>13.996721708472402</v>
      </c>
      <c r="GE54">
        <v>18.044791746107983</v>
      </c>
      <c r="GF54">
        <v>22.457040216314503</v>
      </c>
      <c r="GG54">
        <v>28.383921436582916</v>
      </c>
      <c r="GH54">
        <v>32.099907891686506</v>
      </c>
      <c r="GI54">
        <v>21.492511577322823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7.3151828773720711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0</v>
      </c>
      <c r="I55" s="49">
        <f t="shared" si="30"/>
        <v>0.3246821431401995</v>
      </c>
      <c r="J55" s="49">
        <f t="shared" si="30"/>
        <v>0.31358074432016564</v>
      </c>
      <c r="K55" s="49">
        <f t="shared" si="30"/>
        <v>3.914973591385805</v>
      </c>
      <c r="L55" s="49">
        <f t="shared" si="30"/>
        <v>2.1053590007809042</v>
      </c>
      <c r="M55" s="49">
        <f t="shared" si="30"/>
        <v>0</v>
      </c>
      <c r="N55" s="49">
        <f t="shared" si="30"/>
        <v>0.65658739774499708</v>
      </c>
      <c r="O55" s="49">
        <f t="shared" si="30"/>
        <v>0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88.385604564201941</v>
      </c>
      <c r="AO55">
        <v>31.816587623674657</v>
      </c>
      <c r="AP55">
        <v>200.2322529797583</v>
      </c>
      <c r="AQ55">
        <v>174.28673047323866</v>
      </c>
      <c r="AR55">
        <v>28.992454631438907</v>
      </c>
      <c r="AS55">
        <v>146.11497828183701</v>
      </c>
      <c r="AT55" t="e">
        <v>#DIV/0!</v>
      </c>
      <c r="AU55" t="e">
        <v>#DIV/0!</v>
      </c>
      <c r="AV55"/>
      <c r="AW55"/>
      <c r="FY55" s="211">
        <v>50</v>
      </c>
      <c r="FZ55">
        <v>5.8744395624912205</v>
      </c>
      <c r="GA55">
        <v>19.677837766564245</v>
      </c>
      <c r="GB55">
        <v>17.451434507979844</v>
      </c>
      <c r="GC55">
        <v>13.261648931440114</v>
      </c>
      <c r="GD55">
        <v>11.576303788155295</v>
      </c>
      <c r="GE55">
        <v>19.575320230268716</v>
      </c>
      <c r="GF55">
        <v>25.09112877308953</v>
      </c>
      <c r="GG55">
        <v>17.991189025025818</v>
      </c>
      <c r="GH55">
        <v>11.853669275211189</v>
      </c>
      <c r="GI55">
        <v>18.846673334400428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5.3265484124610971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0</v>
      </c>
      <c r="I56" s="49">
        <f t="shared" si="31"/>
        <v>8.6630000612612376E-2</v>
      </c>
      <c r="J56" s="49">
        <f t="shared" si="31"/>
        <v>5.8277630350471912E-2</v>
      </c>
      <c r="K56" s="49">
        <f t="shared" si="31"/>
        <v>2.0381554531431156</v>
      </c>
      <c r="L56" s="49">
        <f t="shared" si="31"/>
        <v>3.1434853283548976</v>
      </c>
      <c r="M56" s="49">
        <f t="shared" si="31"/>
        <v>0</v>
      </c>
      <c r="N56" s="49">
        <f t="shared" si="31"/>
        <v>0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71.134368271364252</v>
      </c>
      <c r="AO56">
        <v>24.417635286019181</v>
      </c>
      <c r="AP56">
        <v>151.14270333854287</v>
      </c>
      <c r="AQ56">
        <v>135.83070509649653</v>
      </c>
      <c r="AR56">
        <v>22.637020394776247</v>
      </c>
      <c r="AS56">
        <v>117.59268052750448</v>
      </c>
      <c r="AT56">
        <v>17.363200251484429</v>
      </c>
      <c r="AU56">
        <v>64.715025340493654</v>
      </c>
      <c r="AV56"/>
      <c r="AW56"/>
      <c r="FY56" s="211">
        <v>51</v>
      </c>
      <c r="FZ56">
        <v>4.4105372205288145</v>
      </c>
      <c r="GA56">
        <v>15.726511358045379</v>
      </c>
      <c r="GB56">
        <v>35.752690277791196</v>
      </c>
      <c r="GC56">
        <v>22.469905718330949</v>
      </c>
      <c r="GD56">
        <v>10.642948079617616</v>
      </c>
      <c r="GE56">
        <v>22.924685639582492</v>
      </c>
      <c r="GF56">
        <v>31.889118737626227</v>
      </c>
      <c r="GG56">
        <v>27.936738868953306</v>
      </c>
      <c r="GH56">
        <v>23.870954220213719</v>
      </c>
      <c r="GI56">
        <v>25.846323806241294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11.962935297152915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0</v>
      </c>
      <c r="I57" s="49">
        <f t="shared" si="32"/>
        <v>7.0879091410319228E-2</v>
      </c>
      <c r="J57" s="49">
        <f t="shared" si="32"/>
        <v>2.3311052140188769E-2</v>
      </c>
      <c r="K57" s="49">
        <f t="shared" si="32"/>
        <v>5.091574719210441</v>
      </c>
      <c r="L57" s="49">
        <f t="shared" si="32"/>
        <v>6.2183628420036356</v>
      </c>
      <c r="M57" s="49">
        <f t="shared" si="32"/>
        <v>0.55880759238833155</v>
      </c>
      <c r="N57" s="49">
        <f t="shared" si="32"/>
        <v>0</v>
      </c>
      <c r="O57" s="49">
        <f t="shared" si="32"/>
        <v>0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83.135667243219672</v>
      </c>
      <c r="AO57">
        <v>33.282950102875283</v>
      </c>
      <c r="AP57">
        <v>233.80353350564422</v>
      </c>
      <c r="AQ57">
        <v>194.27109566007223</v>
      </c>
      <c r="AR57">
        <v>29.996137015043423</v>
      </c>
      <c r="AS57">
        <v>138.83399809106618</v>
      </c>
      <c r="AT57" t="e">
        <v>#DIV/0!</v>
      </c>
      <c r="AU57" t="e">
        <v>#DIV/0!</v>
      </c>
      <c r="AV57"/>
      <c r="AW57"/>
      <c r="FY57" s="211">
        <v>52</v>
      </c>
      <c r="FZ57">
        <v>4.2802798715382764</v>
      </c>
      <c r="GA57">
        <v>8.9226988255016</v>
      </c>
      <c r="GB57">
        <v>8.6785249421747288</v>
      </c>
      <c r="GC57">
        <v>15.658329619307459</v>
      </c>
      <c r="GD57">
        <v>13.504592519097073</v>
      </c>
      <c r="GE57">
        <v>14.507923506179818</v>
      </c>
      <c r="GF57">
        <v>16.745987699406289</v>
      </c>
      <c r="GG57">
        <v>10.211904115829315</v>
      </c>
      <c r="GH57">
        <v>8.3138356160751794</v>
      </c>
      <c r="GI57">
        <v>15.439407604396798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44.794665820125566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0</v>
      </c>
      <c r="J58" s="49">
        <f t="shared" si="33"/>
        <v>0.12132054695030735</v>
      </c>
      <c r="K58" s="49">
        <f t="shared" si="33"/>
        <v>17.685650714477987</v>
      </c>
      <c r="L58" s="49">
        <f t="shared" si="33"/>
        <v>20.413240884383796</v>
      </c>
      <c r="M58" s="49">
        <f t="shared" si="33"/>
        <v>6.5744536743134772</v>
      </c>
      <c r="N58" s="49">
        <f t="shared" si="33"/>
        <v>0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76.605212977768943</v>
      </c>
      <c r="AO58">
        <v>30.553254554742161</v>
      </c>
      <c r="AP58">
        <v>188.96833217301412</v>
      </c>
      <c r="AQ58">
        <v>161.76664651607442</v>
      </c>
      <c r="AR58">
        <v>28.325214394304659</v>
      </c>
      <c r="AS58">
        <v>136.13030747798402</v>
      </c>
      <c r="AT58">
        <v>20.805678154476997</v>
      </c>
      <c r="AU58">
        <v>39.33921090601045</v>
      </c>
      <c r="AV58"/>
      <c r="AW58"/>
      <c r="FY58" s="211">
        <v>53</v>
      </c>
      <c r="FZ58">
        <v>3.6333835433766026</v>
      </c>
      <c r="GA58">
        <v>17.532343599833769</v>
      </c>
      <c r="GB58">
        <v>13.480382392524605</v>
      </c>
      <c r="GC58">
        <v>11.11085492272046</v>
      </c>
      <c r="GD58">
        <v>10.398788736438954</v>
      </c>
      <c r="GE58">
        <v>24.83339300355129</v>
      </c>
      <c r="GF58">
        <v>35.667228929532129</v>
      </c>
      <c r="GG58">
        <v>27.416469678098</v>
      </c>
      <c r="GH58">
        <v>25.009521138729127</v>
      </c>
      <c r="GI58">
        <v>20.914221379303349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24.117586740896098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0.86684447441484092</v>
      </c>
      <c r="J59" s="49">
        <f t="shared" si="34"/>
        <v>2.5033933152116559</v>
      </c>
      <c r="K59" s="49">
        <f t="shared" si="34"/>
        <v>5.8389634253036498</v>
      </c>
      <c r="L59" s="49">
        <f t="shared" si="34"/>
        <v>11.678712679821468</v>
      </c>
      <c r="M59" s="49">
        <f t="shared" si="34"/>
        <v>3.2296728461444846</v>
      </c>
      <c r="N59" s="49">
        <f t="shared" si="34"/>
        <v>0</v>
      </c>
      <c r="O59" s="49">
        <f t="shared" si="34"/>
        <v>0</v>
      </c>
      <c r="P59" s="49">
        <f t="shared" si="34"/>
        <v>0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92.580931157312904</v>
      </c>
      <c r="AO59">
        <v>33.075154875870588</v>
      </c>
      <c r="AP59">
        <v>223.3096986396888</v>
      </c>
      <c r="AQ59">
        <v>193.58367882280675</v>
      </c>
      <c r="AR59">
        <v>29.908253774433948</v>
      </c>
      <c r="AS59">
        <v>144.80932575786881</v>
      </c>
      <c r="AT59">
        <v>22.366333806310909</v>
      </c>
      <c r="AU59">
        <v>36.63027158125216</v>
      </c>
      <c r="AV59"/>
      <c r="AW59"/>
      <c r="FY59" s="211">
        <v>54</v>
      </c>
      <c r="FZ59">
        <v>2.9658734053057136</v>
      </c>
      <c r="GA59">
        <v>15.789728950312007</v>
      </c>
      <c r="GB59">
        <v>16.013809904104704</v>
      </c>
      <c r="GC59">
        <v>13.235971098408047</v>
      </c>
      <c r="GD59">
        <v>12.71922099218355</v>
      </c>
      <c r="GE59">
        <v>20.14619337044045</v>
      </c>
      <c r="GF59">
        <v>28.729219280152638</v>
      </c>
      <c r="GG59">
        <v>22.905613014930005</v>
      </c>
      <c r="GH59">
        <v>10.489402595026858</v>
      </c>
      <c r="GI59">
        <v>19.181370080102148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20.931489674164542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1.4103585514004111</v>
      </c>
      <c r="J60" s="49">
        <f t="shared" si="35"/>
        <v>3.9508375557800384</v>
      </c>
      <c r="K60" s="49">
        <f t="shared" si="35"/>
        <v>7.7745816101328113</v>
      </c>
      <c r="L60" s="49">
        <f t="shared" si="35"/>
        <v>6.2335076017822235</v>
      </c>
      <c r="M60" s="49">
        <f t="shared" si="35"/>
        <v>1.5622043550690603</v>
      </c>
      <c r="N60" s="49">
        <f t="shared" si="35"/>
        <v>0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66.004194160507396</v>
      </c>
      <c r="AO60">
        <v>29.492345059521682</v>
      </c>
      <c r="AP60">
        <v>194.58081895604411</v>
      </c>
      <c r="AQ60">
        <v>169.11998928612061</v>
      </c>
      <c r="AR60">
        <v>27.159764846243434</v>
      </c>
      <c r="AS60">
        <v>120.11841837880536</v>
      </c>
      <c r="AT60" t="e">
        <v>#DIV/0!</v>
      </c>
      <c r="AU60" t="e">
        <v>#DIV/0!</v>
      </c>
      <c r="AV60"/>
      <c r="AW60"/>
      <c r="FY60" s="211">
        <v>55</v>
      </c>
      <c r="FZ60">
        <v>5.8210567036826184</v>
      </c>
      <c r="GA60">
        <v>21.914947071917936</v>
      </c>
      <c r="GB60">
        <v>14.156955734084418</v>
      </c>
      <c r="GC60">
        <v>10.495182747762557</v>
      </c>
      <c r="GD60">
        <v>9.3867938612409283</v>
      </c>
      <c r="GE60">
        <v>18.334294070713156</v>
      </c>
      <c r="GF60">
        <v>24.285701525799453</v>
      </c>
      <c r="GG60">
        <v>21.74107698542225</v>
      </c>
      <c r="GH60">
        <v>24.520987026739515</v>
      </c>
      <c r="GI60">
        <v>18.580483915745042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24.063411009974029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0</v>
      </c>
      <c r="I61" s="49">
        <f t="shared" si="36"/>
        <v>0.71026976169548506</v>
      </c>
      <c r="J61" s="49">
        <f t="shared" si="36"/>
        <v>1.2139407000883156</v>
      </c>
      <c r="K61" s="49">
        <f t="shared" si="36"/>
        <v>10.568972024523951</v>
      </c>
      <c r="L61" s="49">
        <f t="shared" si="36"/>
        <v>9.4808099630096372</v>
      </c>
      <c r="M61" s="49">
        <f t="shared" si="36"/>
        <v>1.3015136833626415</v>
      </c>
      <c r="N61" s="49">
        <f t="shared" si="36"/>
        <v>0.7879048772939965</v>
      </c>
      <c r="O61" s="49">
        <f t="shared" si="36"/>
        <v>0</v>
      </c>
      <c r="P61" s="49">
        <f t="shared" si="36"/>
        <v>0</v>
      </c>
      <c r="Q61" s="49">
        <f t="shared" si="36"/>
        <v>0</v>
      </c>
      <c r="R61" s="49">
        <f t="shared" si="36"/>
        <v>0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65.453306833939095</v>
      </c>
      <c r="AO61">
        <v>25.735154328275691</v>
      </c>
      <c r="AP61">
        <v>151.93472649326796</v>
      </c>
      <c r="AQ61">
        <v>139.78479076706833</v>
      </c>
      <c r="AR61">
        <v>23.355756427837338</v>
      </c>
      <c r="AS61">
        <v>117.00005097976172</v>
      </c>
      <c r="AT61">
        <v>17.7227282712029</v>
      </c>
      <c r="AU61">
        <v>21.798657232057455</v>
      </c>
      <c r="AV61"/>
      <c r="AW61"/>
      <c r="FY61" s="211">
        <v>56</v>
      </c>
      <c r="FZ61">
        <v>4.506906615384346</v>
      </c>
      <c r="GA61">
        <v>14.717187555288671</v>
      </c>
      <c r="GB61">
        <v>36.31285535433453</v>
      </c>
      <c r="GC61">
        <v>20.712143737174088</v>
      </c>
      <c r="GD61">
        <v>7.6251622040234652</v>
      </c>
      <c r="GE61">
        <v>17.024311118361034</v>
      </c>
      <c r="GF61">
        <v>32.508027025587758</v>
      </c>
      <c r="GG61">
        <v>33.966197684101083</v>
      </c>
      <c r="GH61">
        <v>24.024811917232409</v>
      </c>
      <c r="GI61">
        <v>24.333811359533097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91.04100484793581</v>
      </c>
      <c r="AO62">
        <v>38.42128567705106</v>
      </c>
      <c r="AP62">
        <v>250.30528826456873</v>
      </c>
      <c r="AQ62">
        <v>209.96201914034702</v>
      </c>
      <c r="AR62">
        <v>35.124645693547251</v>
      </c>
      <c r="AS62">
        <v>174.45504393244042</v>
      </c>
      <c r="AT62" t="e">
        <v>#DIV/0!</v>
      </c>
      <c r="AU62" t="e">
        <v>#DIV/0!</v>
      </c>
      <c r="AV62"/>
      <c r="AW62"/>
      <c r="FY62" s="211">
        <v>57</v>
      </c>
      <c r="FZ62">
        <v>3.553052843299521</v>
      </c>
      <c r="GA62">
        <v>17.000416447204927</v>
      </c>
      <c r="GB62">
        <v>24.540254214054841</v>
      </c>
      <c r="GC62">
        <v>14.75101844300951</v>
      </c>
      <c r="GD62">
        <v>8.790814818029725</v>
      </c>
      <c r="GE62">
        <v>16.323799206628053</v>
      </c>
      <c r="GF62">
        <v>23.970046646759599</v>
      </c>
      <c r="GG62">
        <v>17.859392737391921</v>
      </c>
      <c r="GH62">
        <v>7.5755909382847113</v>
      </c>
      <c r="GI62">
        <v>17.714343016080814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201.47435948886292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89.324402440023619</v>
      </c>
      <c r="AO63">
        <v>35.149357968996441</v>
      </c>
      <c r="AP63">
        <v>253.27967932140052</v>
      </c>
      <c r="AQ63">
        <v>206.3913107757013</v>
      </c>
      <c r="AR63">
        <v>32.021511070778914</v>
      </c>
      <c r="AS63">
        <v>150.35484108459079</v>
      </c>
      <c r="AT63">
        <v>24.080678900192783</v>
      </c>
      <c r="AU63">
        <v>35.144335129625169</v>
      </c>
      <c r="AV63"/>
      <c r="AW63"/>
      <c r="FY63" s="211">
        <v>58</v>
      </c>
      <c r="FZ63">
        <v>6.0484488581808176</v>
      </c>
      <c r="GA63">
        <v>12.153086024629546</v>
      </c>
      <c r="GB63">
        <v>29.437029846376312</v>
      </c>
      <c r="GC63">
        <v>18.981971771865272</v>
      </c>
      <c r="GD63">
        <v>10.140740336746195</v>
      </c>
      <c r="GE63">
        <v>24.796655130517809</v>
      </c>
      <c r="GF63">
        <v>26.511435954747256</v>
      </c>
      <c r="GG63">
        <v>15.162952561247058</v>
      </c>
      <c r="GH63">
        <v>12.717217967819016</v>
      </c>
      <c r="GI63">
        <v>21.447621769207935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98.898634004883988</v>
      </c>
      <c r="AO64">
        <v>48.63532205829538</v>
      </c>
      <c r="AP64">
        <v>347.38117852800724</v>
      </c>
      <c r="AQ64">
        <v>281.91153685334552</v>
      </c>
      <c r="AR64">
        <v>44.220276799861267</v>
      </c>
      <c r="AS64">
        <v>198.96796147493811</v>
      </c>
      <c r="AT64">
        <v>33.931951072614588</v>
      </c>
      <c r="AU64">
        <v>47.263022555586907</v>
      </c>
      <c r="AV64"/>
      <c r="AW64"/>
      <c r="FY64" s="211">
        <v>59</v>
      </c>
      <c r="FZ64">
        <v>6.6043773409959785</v>
      </c>
      <c r="GA64">
        <v>20.28280275799392</v>
      </c>
      <c r="GB64">
        <v>20.936082555208266</v>
      </c>
      <c r="GC64">
        <v>14.10735962626242</v>
      </c>
      <c r="GD64">
        <v>12.209297989194864</v>
      </c>
      <c r="GE64">
        <v>21.871273821660143</v>
      </c>
      <c r="GF64">
        <v>19.089045968297054</v>
      </c>
      <c r="GG64">
        <v>23.138131455968644</v>
      </c>
      <c r="GH64">
        <v>25.078265083931253</v>
      </c>
      <c r="GI64">
        <v>21.173732997417918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79.402703967678576</v>
      </c>
      <c r="AO65">
        <v>32.691477402831211</v>
      </c>
      <c r="AP65">
        <v>214.76464711713871</v>
      </c>
      <c r="AQ65">
        <v>187.08877622649359</v>
      </c>
      <c r="AR65">
        <v>29.619100079658889</v>
      </c>
      <c r="AS65">
        <v>135.67184061662383</v>
      </c>
      <c r="AT65">
        <v>22.602065025922986</v>
      </c>
      <c r="AU65">
        <v>20.845668142394949</v>
      </c>
      <c r="AV65"/>
      <c r="AW65"/>
      <c r="FY65" s="211">
        <v>60</v>
      </c>
      <c r="FZ65">
        <v>3.0880844637776228</v>
      </c>
      <c r="GA65">
        <v>14.516684542800146</v>
      </c>
      <c r="GB65">
        <v>18.401121365874303</v>
      </c>
      <c r="GC65">
        <v>13.012938666258535</v>
      </c>
      <c r="GD65">
        <v>12.300274832207764</v>
      </c>
      <c r="GE65">
        <v>25.652460476565572</v>
      </c>
      <c r="GF65">
        <v>26.695322293097078</v>
      </c>
      <c r="GG65">
        <v>13.442362265461146</v>
      </c>
      <c r="GH65">
        <v>7.9388210354569626</v>
      </c>
      <c r="GI65">
        <v>18.799611853820867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72.797965486618821</v>
      </c>
      <c r="AO66">
        <v>28.377353665459957</v>
      </c>
      <c r="AP66">
        <v>187.79174291062543</v>
      </c>
      <c r="AQ66">
        <v>161.19964519462641</v>
      </c>
      <c r="AR66">
        <v>26.02667740020544</v>
      </c>
      <c r="AS66">
        <v>120.03501146100301</v>
      </c>
      <c r="AT66">
        <v>19.635151292679588</v>
      </c>
      <c r="AU66">
        <v>33.869091368040245</v>
      </c>
      <c r="AV66"/>
      <c r="AW66"/>
      <c r="FY66" s="211">
        <v>61</v>
      </c>
      <c r="FZ66">
        <v>5.9811218542102456</v>
      </c>
      <c r="GA66">
        <v>24.465116195233751</v>
      </c>
      <c r="GB66">
        <v>28.558714687395678</v>
      </c>
      <c r="GC66">
        <v>16.898058647159957</v>
      </c>
      <c r="GD66">
        <v>10.379454010692962</v>
      </c>
      <c r="GE66">
        <v>25.788386946361413</v>
      </c>
      <c r="GF66">
        <v>29.246651479407852</v>
      </c>
      <c r="GG66">
        <v>9.6895793236130778</v>
      </c>
      <c r="GH66">
        <v>7.5427680254076979</v>
      </c>
      <c r="GI66">
        <v>21.011729436014694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93.562705301910313</v>
      </c>
      <c r="AO67">
        <v>39.149733433566311</v>
      </c>
      <c r="AP67">
        <v>272.69659518906525</v>
      </c>
      <c r="AQ67">
        <v>221.470413926931</v>
      </c>
      <c r="AR67">
        <v>35.748511684607593</v>
      </c>
      <c r="AS67">
        <v>165.0442046899274</v>
      </c>
      <c r="AT67">
        <v>27.109899185849958</v>
      </c>
      <c r="AU67">
        <v>49.785808136755989</v>
      </c>
      <c r="AV67"/>
      <c r="AW67"/>
      <c r="FY67" s="211">
        <v>62</v>
      </c>
      <c r="FZ67">
        <v>1.6156720474765813</v>
      </c>
      <c r="GA67">
        <v>13.431655722618046</v>
      </c>
      <c r="GB67">
        <v>11.511609920685332</v>
      </c>
      <c r="GC67">
        <v>12.015880320273013</v>
      </c>
      <c r="GD67">
        <v>14.729617326267581</v>
      </c>
      <c r="GE67">
        <v>19.571046553677959</v>
      </c>
      <c r="GF67">
        <v>13.820190666758528</v>
      </c>
      <c r="GG67">
        <v>11.672153018646268</v>
      </c>
      <c r="GH67">
        <v>7.7848375936910603</v>
      </c>
      <c r="GI67">
        <v>15.854167245398997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65.911781939855473</v>
      </c>
      <c r="AO68">
        <v>23.143750121880238</v>
      </c>
      <c r="AP68">
        <v>123.34032455405492</v>
      </c>
      <c r="AQ68">
        <v>116.26348431950655</v>
      </c>
      <c r="AR68">
        <v>21.319531910452685</v>
      </c>
      <c r="AS68">
        <v>107.82364438242912</v>
      </c>
      <c r="AT68">
        <v>15.870668647428928</v>
      </c>
      <c r="AU68">
        <v>37.590816602811195</v>
      </c>
      <c r="AV68"/>
      <c r="AW68"/>
      <c r="FY68" s="211">
        <v>63</v>
      </c>
      <c r="FZ68">
        <v>6.7348067467149013</v>
      </c>
      <c r="GA68">
        <v>17.46553270261537</v>
      </c>
      <c r="GB68">
        <v>14.797907756517141</v>
      </c>
      <c r="GC68">
        <v>14.899597697108881</v>
      </c>
      <c r="GD68">
        <v>11.379150974675673</v>
      </c>
      <c r="GE68">
        <v>12.30518141185258</v>
      </c>
      <c r="GF68">
        <v>19.275318560467568</v>
      </c>
      <c r="GG68">
        <v>19.859510156716237</v>
      </c>
      <c r="GH68">
        <v>12.564805029421615</v>
      </c>
      <c r="GI68">
        <v>17.182549383625112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76.643555149983072</v>
      </c>
      <c r="AO69">
        <v>31.792482360053974</v>
      </c>
      <c r="AP69">
        <v>225.85842753267565</v>
      </c>
      <c r="AQ69">
        <v>189.99658732410828</v>
      </c>
      <c r="AR69">
        <v>28.375246435017136</v>
      </c>
      <c r="AS69">
        <v>136.64606944049288</v>
      </c>
      <c r="AT69">
        <v>22.426589670653371</v>
      </c>
      <c r="AU69">
        <v>49.269574320318135</v>
      </c>
      <c r="AV69"/>
      <c r="AW69"/>
      <c r="FY69" s="211">
        <v>64</v>
      </c>
      <c r="FZ69">
        <v>4.2435552546144422</v>
      </c>
      <c r="GA69">
        <v>12.956818680578502</v>
      </c>
      <c r="GB69">
        <v>35.981249377521202</v>
      </c>
      <c r="GC69">
        <v>22.278805079885345</v>
      </c>
      <c r="GD69">
        <v>9.7153804242225874</v>
      </c>
      <c r="GE69">
        <v>20.109651161622136</v>
      </c>
      <c r="GF69">
        <v>27.896351043651848</v>
      </c>
      <c r="GG69">
        <v>12.813869167717929</v>
      </c>
      <c r="GH69">
        <v>3.3575701825624926</v>
      </c>
      <c r="GI69">
        <v>21.292431399333633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14.583333333333332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11.458333333333332</v>
      </c>
      <c r="J70" s="18">
        <f t="shared" si="39"/>
        <v>0</v>
      </c>
      <c r="K70" s="18">
        <f t="shared" si="39"/>
        <v>3.125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71.190626317806476</v>
      </c>
      <c r="AO70">
        <v>29.120133233459182</v>
      </c>
      <c r="AP70">
        <v>187.76317812689018</v>
      </c>
      <c r="AQ70">
        <v>162.17640269096611</v>
      </c>
      <c r="AR70">
        <v>26.541059372173379</v>
      </c>
      <c r="AS70">
        <v>126.83900224136841</v>
      </c>
      <c r="AT70" t="e">
        <v>#DIV/0!</v>
      </c>
      <c r="AU70" t="e">
        <v>#DIV/0!</v>
      </c>
      <c r="AV70"/>
      <c r="AW70"/>
      <c r="FY70" s="211">
        <v>65</v>
      </c>
      <c r="FZ70">
        <v>8.7910194888810409</v>
      </c>
      <c r="GA70">
        <v>26.796026780963423</v>
      </c>
      <c r="GB70">
        <v>28.250166068193387</v>
      </c>
      <c r="GC70">
        <v>15.653321122081996</v>
      </c>
      <c r="GD70">
        <v>11.436605629982417</v>
      </c>
      <c r="GE70">
        <v>27.05572880483194</v>
      </c>
      <c r="GF70">
        <v>24.943597453690405</v>
      </c>
      <c r="GG70">
        <v>25.463071975518638</v>
      </c>
      <c r="GH70">
        <v>27.430130060665064</v>
      </c>
      <c r="GI70">
        <v>24.395979207003119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5.208333333333333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3.125</v>
      </c>
      <c r="J71" s="18">
        <f t="shared" si="40"/>
        <v>0</v>
      </c>
      <c r="K71" s="18">
        <f t="shared" si="40"/>
        <v>0</v>
      </c>
      <c r="L71" s="18">
        <f t="shared" si="40"/>
        <v>0</v>
      </c>
      <c r="M71" s="18">
        <f t="shared" si="40"/>
        <v>2.083333333333333</v>
      </c>
      <c r="N71" s="18">
        <f t="shared" si="40"/>
        <v>0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70.146800923217071</v>
      </c>
      <c r="AO71">
        <v>27.848729775185962</v>
      </c>
      <c r="AP71">
        <v>201.62429304857397</v>
      </c>
      <c r="AQ71">
        <v>169.23747964310789</v>
      </c>
      <c r="AR71">
        <v>25.459463079382736</v>
      </c>
      <c r="AS71">
        <v>119.1497005306761</v>
      </c>
      <c r="AT71">
        <v>19.746767314283328</v>
      </c>
      <c r="AU71">
        <v>38.316453149533253</v>
      </c>
      <c r="AV71"/>
      <c r="AW71"/>
      <c r="FY71" s="211">
        <v>66</v>
      </c>
      <c r="FZ71">
        <v>5.120070752697325</v>
      </c>
      <c r="GA71">
        <v>23.284055631340074</v>
      </c>
      <c r="GB71">
        <v>27.114360126744526</v>
      </c>
      <c r="GC71">
        <v>17.811315318333648</v>
      </c>
      <c r="GD71">
        <v>10.872935447222694</v>
      </c>
      <c r="GE71">
        <v>18.42096976747219</v>
      </c>
      <c r="GF71">
        <v>28.082099880270167</v>
      </c>
      <c r="GG71">
        <v>16.456579748402984</v>
      </c>
      <c r="GH71">
        <v>5.6585890789780429</v>
      </c>
      <c r="GI71">
        <v>20.3128641582204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33.333333333333329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1.0416666666666665</v>
      </c>
      <c r="J72" s="18">
        <f t="shared" si="41"/>
        <v>17.708333333333332</v>
      </c>
      <c r="K72" s="18">
        <f t="shared" si="41"/>
        <v>13.541666666666666</v>
      </c>
      <c r="L72" s="18">
        <f t="shared" si="41"/>
        <v>1.0416666666666665</v>
      </c>
      <c r="M72" s="18">
        <f t="shared" si="41"/>
        <v>0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94.343276746936354</v>
      </c>
      <c r="AO72">
        <v>36.901469963998025</v>
      </c>
      <c r="AP72">
        <v>273.61283549290238</v>
      </c>
      <c r="AQ72">
        <v>215.73141457102045</v>
      </c>
      <c r="AR72">
        <v>33.854940746970279</v>
      </c>
      <c r="AS72">
        <v>169.19884160128387</v>
      </c>
      <c r="AT72">
        <v>24.827995037083976</v>
      </c>
      <c r="AU72">
        <v>28.016309948268635</v>
      </c>
      <c r="AV72"/>
      <c r="AW72"/>
      <c r="FY72" s="211">
        <v>67</v>
      </c>
      <c r="FZ72">
        <v>2.8286221431619927</v>
      </c>
      <c r="GA72">
        <v>20.671692739111045</v>
      </c>
      <c r="GB72">
        <v>20.408533829157985</v>
      </c>
      <c r="GC72">
        <v>14.996115190262644</v>
      </c>
      <c r="GD72">
        <v>11.353164081251473</v>
      </c>
      <c r="GE72">
        <v>15.84052454364063</v>
      </c>
      <c r="GF72">
        <v>23.445251124294771</v>
      </c>
      <c r="GG72">
        <v>19.786196933983714</v>
      </c>
      <c r="GH72">
        <v>12.86559348275491</v>
      </c>
      <c r="GI72">
        <v>18.845755321257691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218.92524381748521</v>
      </c>
      <c r="E73" s="64"/>
      <c r="F73" s="64"/>
      <c r="G73" s="18">
        <f>AVERAGE(E258:E267)</f>
        <v>0</v>
      </c>
      <c r="H73" s="18">
        <f t="shared" ref="H73:AK73" si="42">AVERAGE(F258:F267)</f>
        <v>0</v>
      </c>
      <c r="I73" s="18">
        <f t="shared" si="42"/>
        <v>60.078152211772895</v>
      </c>
      <c r="J73" s="18">
        <f t="shared" si="42"/>
        <v>19.854797979797976</v>
      </c>
      <c r="K73" s="18">
        <f t="shared" si="42"/>
        <v>110.39380877742947</v>
      </c>
      <c r="L73" s="18">
        <f t="shared" si="42"/>
        <v>23.390151515151516</v>
      </c>
      <c r="M73" s="18">
        <f t="shared" si="42"/>
        <v>0</v>
      </c>
      <c r="N73" s="18">
        <f t="shared" si="42"/>
        <v>5.2083333333333339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80.95897648866017</v>
      </c>
      <c r="AO73">
        <v>26.999988425528443</v>
      </c>
      <c r="AP73">
        <v>185.10357831763758</v>
      </c>
      <c r="AQ73">
        <v>152.07872931074363</v>
      </c>
      <c r="AR73">
        <v>24.554710814236184</v>
      </c>
      <c r="AS73">
        <v>134.1941501689094</v>
      </c>
      <c r="AT73" t="e">
        <v>#DIV/0!</v>
      </c>
      <c r="AU73" t="e">
        <v>#DIV/0!</v>
      </c>
      <c r="AV73"/>
      <c r="AW73"/>
      <c r="FY73" s="211">
        <v>68</v>
      </c>
      <c r="FZ73">
        <v>2.0483782531296786</v>
      </c>
      <c r="GA73">
        <v>8.599371056441921</v>
      </c>
      <c r="GB73">
        <v>17.09118827271584</v>
      </c>
      <c r="GC73">
        <v>17.226815193758846</v>
      </c>
      <c r="GD73">
        <v>12.978277134196478</v>
      </c>
      <c r="GE73">
        <v>22.449733283548696</v>
      </c>
      <c r="GF73">
        <v>28.636443481214179</v>
      </c>
      <c r="GG73">
        <v>22.173292909431328</v>
      </c>
      <c r="GH73">
        <v>18.690076231692025</v>
      </c>
      <c r="GI73">
        <v>20.782674819677595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63.888888888888893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13.541666666666666</v>
      </c>
      <c r="J74" s="18">
        <f t="shared" si="43"/>
        <v>4.1666666666666661</v>
      </c>
      <c r="K74" s="18">
        <f t="shared" si="43"/>
        <v>28.472222222222221</v>
      </c>
      <c r="L74" s="18">
        <f t="shared" si="43"/>
        <v>17.708333333333336</v>
      </c>
      <c r="M74" s="18">
        <f t="shared" si="43"/>
        <v>0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85.119078362857181</v>
      </c>
      <c r="AO74">
        <v>32.497637238479832</v>
      </c>
      <c r="AP74">
        <v>212.29453511671289</v>
      </c>
      <c r="AQ74">
        <v>177.3971602213372</v>
      </c>
      <c r="AR74">
        <v>29.441518403002203</v>
      </c>
      <c r="AS74">
        <v>136.97822785679622</v>
      </c>
      <c r="AT74">
        <v>21.926113417247219</v>
      </c>
      <c r="AU74">
        <v>39.148669691810731</v>
      </c>
      <c r="AV74"/>
      <c r="AW74"/>
      <c r="FY74" s="211">
        <v>69</v>
      </c>
      <c r="FZ74">
        <v>6.2513900303668937</v>
      </c>
      <c r="GA74">
        <v>17.808271635640011</v>
      </c>
      <c r="GB74">
        <v>37.500986015646589</v>
      </c>
      <c r="GC74">
        <v>22.922418583481921</v>
      </c>
      <c r="GD74">
        <v>8.6959031772376534</v>
      </c>
      <c r="GE74">
        <v>17.871180480867171</v>
      </c>
      <c r="GF74">
        <v>25.539616601034602</v>
      </c>
      <c r="GG74">
        <v>12.098719616142427</v>
      </c>
      <c r="GH74">
        <v>11.332312250344568</v>
      </c>
      <c r="GI74">
        <v>22.228789489310024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120.17045454545453</v>
      </c>
      <c r="E75" s="64"/>
      <c r="F75" s="64"/>
      <c r="G75" s="18">
        <f>AVERAGE(E278:E287)</f>
        <v>0</v>
      </c>
      <c r="H75" s="18">
        <f t="shared" ref="H75:AK75" si="44">AVERAGE(F278:F287)</f>
        <v>0</v>
      </c>
      <c r="I75" s="18">
        <f t="shared" si="44"/>
        <v>9.375</v>
      </c>
      <c r="J75" s="18">
        <f t="shared" si="44"/>
        <v>1.0416666666666665</v>
      </c>
      <c r="K75" s="18">
        <f t="shared" si="44"/>
        <v>55.87121212121211</v>
      </c>
      <c r="L75" s="18">
        <f t="shared" si="44"/>
        <v>53.882575757575751</v>
      </c>
      <c r="M75" s="18">
        <f t="shared" si="44"/>
        <v>0</v>
      </c>
      <c r="N75" s="18">
        <f t="shared" si="44"/>
        <v>0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89.04078802247875</v>
      </c>
      <c r="AO75">
        <v>31.919733591647276</v>
      </c>
      <c r="AP75">
        <v>216.03366657389418</v>
      </c>
      <c r="AQ75">
        <v>184.49036959693046</v>
      </c>
      <c r="AR75">
        <v>29.389495224960577</v>
      </c>
      <c r="AS75">
        <v>139.49306776023749</v>
      </c>
      <c r="AT75">
        <v>21.859591071426234</v>
      </c>
      <c r="AU75">
        <v>39.778053856413678</v>
      </c>
      <c r="AV75"/>
      <c r="AW75"/>
      <c r="FY75" s="211">
        <v>70</v>
      </c>
      <c r="FZ75">
        <v>7.4490718274562555</v>
      </c>
      <c r="GA75">
        <v>20.740523310626351</v>
      </c>
      <c r="GB75">
        <v>19.489930193161097</v>
      </c>
      <c r="GC75">
        <v>12.266542460590518</v>
      </c>
      <c r="GD75">
        <v>9.4040460021731995</v>
      </c>
      <c r="GE75">
        <v>21.910534624594369</v>
      </c>
      <c r="GF75">
        <v>41.929481672166425</v>
      </c>
      <c r="GG75">
        <v>32.809582475784183</v>
      </c>
      <c r="GH75">
        <v>14.137105413605173</v>
      </c>
      <c r="GI75">
        <v>21.818176212750878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70.3125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0</v>
      </c>
      <c r="J76" s="18">
        <f t="shared" si="45"/>
        <v>0</v>
      </c>
      <c r="K76" s="18">
        <f t="shared" si="45"/>
        <v>49.479166666666664</v>
      </c>
      <c r="L76" s="18">
        <f t="shared" si="45"/>
        <v>16.927083333333332</v>
      </c>
      <c r="M76" s="18">
        <f t="shared" si="45"/>
        <v>3.90625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70.885007171628374</v>
      </c>
      <c r="AO76">
        <v>28.437649770476146</v>
      </c>
      <c r="AP76">
        <v>175.70483628124438</v>
      </c>
      <c r="AQ76">
        <v>153.84768179531997</v>
      </c>
      <c r="AR76">
        <v>25.739729694440246</v>
      </c>
      <c r="AS76">
        <v>128.48818897668372</v>
      </c>
      <c r="AT76">
        <v>19.40701305416864</v>
      </c>
      <c r="AU76">
        <v>38.530195063942664</v>
      </c>
      <c r="AV76"/>
      <c r="AW76"/>
      <c r="FY76" s="211">
        <v>71</v>
      </c>
      <c r="FZ76">
        <v>1.8829605251416082</v>
      </c>
      <c r="GA76">
        <v>7.2444442563741802</v>
      </c>
      <c r="GB76">
        <v>22.382960554004615</v>
      </c>
      <c r="GC76">
        <v>16.546383158027897</v>
      </c>
      <c r="GD76">
        <v>8.7184255835858409</v>
      </c>
      <c r="GE76">
        <v>15.901712812634585</v>
      </c>
      <c r="GF76">
        <v>23.818617010811664</v>
      </c>
      <c r="GG76">
        <v>16.800390853468222</v>
      </c>
      <c r="GH76">
        <v>10.839467067499736</v>
      </c>
      <c r="GI76">
        <v>17.377453834033762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54.535984848484851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1.0416666666666665</v>
      </c>
      <c r="K77" s="18">
        <f t="shared" si="46"/>
        <v>20.833333333333336</v>
      </c>
      <c r="L77" s="18">
        <f t="shared" si="46"/>
        <v>27.736742424242426</v>
      </c>
      <c r="M77" s="18">
        <f t="shared" si="46"/>
        <v>4.9242424242424239</v>
      </c>
      <c r="N77" s="18">
        <f t="shared" si="46"/>
        <v>0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91.013756565753198</v>
      </c>
      <c r="AO77">
        <v>31.828799774756611</v>
      </c>
      <c r="AP77">
        <v>214.05973903044557</v>
      </c>
      <c r="AQ77">
        <v>179.56158060549734</v>
      </c>
      <c r="AR77">
        <v>28.49151682918523</v>
      </c>
      <c r="AS77">
        <v>140.06291404020948</v>
      </c>
      <c r="AT77">
        <v>21.887001484006351</v>
      </c>
      <c r="AU77">
        <v>58.834382670668845</v>
      </c>
      <c r="AV77"/>
      <c r="AW77"/>
      <c r="FY77" s="211">
        <v>72</v>
      </c>
      <c r="FZ77">
        <v>4.2609308304104916</v>
      </c>
      <c r="GA77">
        <v>10.291911273703992</v>
      </c>
      <c r="GB77">
        <v>9.2638151769583512</v>
      </c>
      <c r="GC77">
        <v>8.6972985769076239</v>
      </c>
      <c r="GD77">
        <v>9.803561403210427</v>
      </c>
      <c r="GE77">
        <v>14.85378791099974</v>
      </c>
      <c r="GF77">
        <v>13.881291295673984</v>
      </c>
      <c r="GG77">
        <v>7.3887281203600095</v>
      </c>
      <c r="GH77">
        <v>1.7796618715489292</v>
      </c>
      <c r="GI77">
        <v>11.775897126716794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101.56040829986614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35.588186077643911</v>
      </c>
      <c r="J78" s="18">
        <f t="shared" si="47"/>
        <v>33.680555555555557</v>
      </c>
      <c r="K78" s="18">
        <f t="shared" si="47"/>
        <v>16.666666666666668</v>
      </c>
      <c r="L78" s="18">
        <f t="shared" si="47"/>
        <v>13.541666666666666</v>
      </c>
      <c r="M78" s="18">
        <f t="shared" si="47"/>
        <v>2.083333333333333</v>
      </c>
      <c r="N78" s="18">
        <f t="shared" si="47"/>
        <v>0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63.239147128893343</v>
      </c>
      <c r="AO78">
        <v>24.001603152813345</v>
      </c>
      <c r="AP78">
        <v>129.87093730231263</v>
      </c>
      <c r="AQ78">
        <v>122.00683041549337</v>
      </c>
      <c r="AR78">
        <v>22.139841003058134</v>
      </c>
      <c r="AS78">
        <v>108.70087521871214</v>
      </c>
      <c r="AT78">
        <v>16.368651490840765</v>
      </c>
      <c r="AU78">
        <v>31.889156635533993</v>
      </c>
      <c r="AV78"/>
      <c r="AW78"/>
      <c r="FY78" s="211">
        <v>73</v>
      </c>
      <c r="FZ78">
        <v>1.9379876153457398</v>
      </c>
      <c r="GA78">
        <v>19.321442149909746</v>
      </c>
      <c r="GB78">
        <v>16.084186483305697</v>
      </c>
      <c r="GC78">
        <v>12.080274121915924</v>
      </c>
      <c r="GD78">
        <v>11.415064969818394</v>
      </c>
      <c r="GE78">
        <v>20.214391495481571</v>
      </c>
      <c r="GF78">
        <v>27.539266104454519</v>
      </c>
      <c r="GG78">
        <v>17.217539835589026</v>
      </c>
      <c r="GH78">
        <v>11.853669275211189</v>
      </c>
      <c r="GI78">
        <v>18.285999559354913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14.022435897435898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0</v>
      </c>
      <c r="K79" s="18">
        <f t="shared" si="48"/>
        <v>14.022435897435898</v>
      </c>
      <c r="L79" s="18">
        <f t="shared" si="48"/>
        <v>0</v>
      </c>
      <c r="M79" s="18">
        <f t="shared" si="48"/>
        <v>0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80.67917397425424</v>
      </c>
      <c r="AO79">
        <v>25.99376740760588</v>
      </c>
      <c r="AP79">
        <v>168.37787320002514</v>
      </c>
      <c r="AQ79">
        <v>146.46436041971509</v>
      </c>
      <c r="AR79">
        <v>23.873187784667792</v>
      </c>
      <c r="AS79">
        <v>125.83269161105908</v>
      </c>
      <c r="AT79" t="e">
        <v>#DIV/0!</v>
      </c>
      <c r="AU79" t="e">
        <v>#DIV/0!</v>
      </c>
      <c r="AV79"/>
      <c r="AW79"/>
      <c r="FY79" s="211">
        <v>74</v>
      </c>
      <c r="FZ79">
        <v>2.2367267120218779</v>
      </c>
      <c r="GA79">
        <v>14.654179223667331</v>
      </c>
      <c r="GB79">
        <v>15.60723655323487</v>
      </c>
      <c r="GC79">
        <v>14.136640390552694</v>
      </c>
      <c r="GD79">
        <v>14.083865422639356</v>
      </c>
      <c r="GE79">
        <v>21.558687079147866</v>
      </c>
      <c r="GF79">
        <v>28.518734910123968</v>
      </c>
      <c r="GG79">
        <v>26.868112503728213</v>
      </c>
      <c r="GH79">
        <v>17.987752586226669</v>
      </c>
      <c r="GI79">
        <v>20.928831632038136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86.148222935900861</v>
      </c>
      <c r="AO80">
        <v>32.140188767593678</v>
      </c>
      <c r="AP80">
        <v>209.32336043741685</v>
      </c>
      <c r="AQ80">
        <v>170.64568177171009</v>
      </c>
      <c r="AR80">
        <v>29.445501352436182</v>
      </c>
      <c r="AS80">
        <v>142.19563290679639</v>
      </c>
      <c r="AT80">
        <v>21.751144671049278</v>
      </c>
      <c r="AU80">
        <v>69.09519510826415</v>
      </c>
      <c r="AV80"/>
      <c r="AW80"/>
      <c r="FY80" s="211">
        <v>75</v>
      </c>
      <c r="FZ80">
        <v>3.9624728909297104</v>
      </c>
      <c r="GA80">
        <v>16.392422852326209</v>
      </c>
      <c r="GB80">
        <v>36.120112709578258</v>
      </c>
      <c r="GC80">
        <v>24.182634383448153</v>
      </c>
      <c r="GD80">
        <v>14.071576544999292</v>
      </c>
      <c r="GE80">
        <v>22.961412342439072</v>
      </c>
      <c r="GF80">
        <v>23.006220814209335</v>
      </c>
      <c r="GG80">
        <v>20.607215172183682</v>
      </c>
      <c r="GH80">
        <v>16.663949816436851</v>
      </c>
      <c r="GI80">
        <v>25.179672181712007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104.7522632625504</v>
      </c>
      <c r="AO81">
        <v>37.232362814421123</v>
      </c>
      <c r="AP81">
        <v>264.295460573566</v>
      </c>
      <c r="AQ81">
        <v>220.21564659181143</v>
      </c>
      <c r="AR81">
        <v>33.702512818205037</v>
      </c>
      <c r="AS81">
        <v>155.6740171724206</v>
      </c>
      <c r="AT81">
        <v>25.726936907043186</v>
      </c>
      <c r="AU81">
        <v>63.653931195295449</v>
      </c>
      <c r="AV81"/>
      <c r="AW81"/>
      <c r="FY81" s="211">
        <v>76</v>
      </c>
      <c r="FZ81">
        <v>1.3150947791182543</v>
      </c>
      <c r="GA81">
        <v>16.567398839141717</v>
      </c>
      <c r="GB81">
        <v>14.253315892910454</v>
      </c>
      <c r="GC81">
        <v>9.1271392408261889</v>
      </c>
      <c r="GD81">
        <v>8.9407311979694768</v>
      </c>
      <c r="GE81">
        <v>19.940934549821684</v>
      </c>
      <c r="GF81">
        <v>28.560313086696169</v>
      </c>
      <c r="GG81">
        <v>21.475637016101267</v>
      </c>
      <c r="GH81">
        <v>15.363884203385251</v>
      </c>
      <c r="GI81">
        <v>17.013994683949228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85.167495834925234</v>
      </c>
      <c r="AO82">
        <v>30.912226277414312</v>
      </c>
      <c r="AP82">
        <v>208.24726304639097</v>
      </c>
      <c r="AQ82">
        <v>173.13383990968208</v>
      </c>
      <c r="AR82">
        <v>28.003749487313783</v>
      </c>
      <c r="AS82">
        <v>140.46410490061098</v>
      </c>
      <c r="AT82" t="e">
        <v>#DIV/0!</v>
      </c>
      <c r="AU82" t="e">
        <v>#DIV/0!</v>
      </c>
      <c r="AV82"/>
      <c r="AW82"/>
      <c r="FY82" s="211">
        <v>77</v>
      </c>
      <c r="FZ82">
        <v>3.6047695871543182</v>
      </c>
      <c r="GA82">
        <v>16.952182849808899</v>
      </c>
      <c r="GB82">
        <v>33.222792580771156</v>
      </c>
      <c r="GC82">
        <v>23.626696195837436</v>
      </c>
      <c r="GD82">
        <v>14.909387138653177</v>
      </c>
      <c r="GE82">
        <v>26.679172601038434</v>
      </c>
      <c r="GF82">
        <v>28.709394844962389</v>
      </c>
      <c r="GG82">
        <v>13.399993293521405</v>
      </c>
      <c r="GH82">
        <v>6.1307533843532083</v>
      </c>
      <c r="GI82">
        <v>24.249549246945648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77.585775118114142</v>
      </c>
      <c r="AO83">
        <v>28.511503419435456</v>
      </c>
      <c r="AP83">
        <v>191.09147001572705</v>
      </c>
      <c r="AQ83">
        <v>161.04144938887686</v>
      </c>
      <c r="AR83">
        <v>26.051666690192071</v>
      </c>
      <c r="AS83">
        <v>125.90731749248818</v>
      </c>
      <c r="AT83" t="e">
        <v>#DIV/0!</v>
      </c>
      <c r="AU83" t="e">
        <v>#DIV/0!</v>
      </c>
      <c r="AV83"/>
      <c r="AW83"/>
      <c r="FY83" s="211">
        <v>78</v>
      </c>
      <c r="FZ83">
        <v>5.5054873083933273</v>
      </c>
      <c r="GA83">
        <v>9.7361283593845798</v>
      </c>
      <c r="GB83">
        <v>16.305082744875829</v>
      </c>
      <c r="GC83">
        <v>18.686780050594674</v>
      </c>
      <c r="GD83">
        <v>13.381626531157295</v>
      </c>
      <c r="GE83">
        <v>22.826605496269814</v>
      </c>
      <c r="GF83">
        <v>33.711882206591156</v>
      </c>
      <c r="GG83">
        <v>28.611363607288375</v>
      </c>
      <c r="GH83">
        <v>25.505570503489029</v>
      </c>
      <c r="GI83">
        <v>23.445336718175497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76.418719713422462</v>
      </c>
      <c r="AO84">
        <v>31.497990995064981</v>
      </c>
      <c r="AP84">
        <v>196.46599575352479</v>
      </c>
      <c r="AQ84">
        <v>170.67625063580658</v>
      </c>
      <c r="AR84">
        <v>28.478234914194232</v>
      </c>
      <c r="AS84">
        <v>142.35603989863586</v>
      </c>
      <c r="AT84">
        <v>21.517270164774661</v>
      </c>
      <c r="AU84">
        <v>33.691926808328454</v>
      </c>
      <c r="AV84"/>
      <c r="AW84"/>
      <c r="AX84" s="157" t="s">
        <v>111</v>
      </c>
      <c r="CJ84" s="157" t="s">
        <v>112</v>
      </c>
      <c r="FY84" s="211">
        <v>79</v>
      </c>
      <c r="FZ84">
        <v>5.7919817914833436</v>
      </c>
      <c r="GA84">
        <v>16.757264271427971</v>
      </c>
      <c r="GB84">
        <v>31.630831974541717</v>
      </c>
      <c r="GC84">
        <v>20.883608951163318</v>
      </c>
      <c r="GD84">
        <v>11.537802903772015</v>
      </c>
      <c r="GE84">
        <v>26.130021715365771</v>
      </c>
      <c r="GF84">
        <v>29.876523237065275</v>
      </c>
      <c r="GG84">
        <v>17.019971814041192</v>
      </c>
      <c r="GH84">
        <v>12.86559348275491</v>
      </c>
      <c r="GI84">
        <v>23.390384147669437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88.734916701010278</v>
      </c>
      <c r="AO85">
        <v>33.075388796665358</v>
      </c>
      <c r="AP85">
        <v>228.00236827910493</v>
      </c>
      <c r="AQ85">
        <v>182.24958788007186</v>
      </c>
      <c r="AR85">
        <v>30.721611812687421</v>
      </c>
      <c r="AS85">
        <v>153.086097505906</v>
      </c>
      <c r="AT85">
        <v>22.467124267458829</v>
      </c>
      <c r="AU85">
        <v>49.277401861356203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6.8328422565242377</v>
      </c>
      <c r="GA85">
        <v>21.555181284483218</v>
      </c>
      <c r="GB85">
        <v>29.49940404552655</v>
      </c>
      <c r="GC85">
        <v>23.200214962321006</v>
      </c>
      <c r="GD85">
        <v>14.830162869692415</v>
      </c>
      <c r="GE85">
        <v>30.55464411641189</v>
      </c>
      <c r="GF85">
        <v>36.94902598996778</v>
      </c>
      <c r="GG85">
        <v>28.726038725903305</v>
      </c>
      <c r="GH85">
        <v>30.126072315370884</v>
      </c>
      <c r="GI85">
        <v>29.093962821520755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94.921335705558761</v>
      </c>
      <c r="AO86">
        <v>33.299689066019042</v>
      </c>
      <c r="AP86">
        <v>245.95243566505516</v>
      </c>
      <c r="AQ86">
        <v>201.95499419290843</v>
      </c>
      <c r="AR86">
        <v>30.007174272527564</v>
      </c>
      <c r="AS86">
        <v>147.26559019720966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8" t="s">
        <v>123</v>
      </c>
      <c r="CX86" s="228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6.0062534073548122</v>
      </c>
      <c r="GA86">
        <v>15.812183160247663</v>
      </c>
      <c r="GB86">
        <v>17.866790688852319</v>
      </c>
      <c r="GC86">
        <v>15.207713917099532</v>
      </c>
      <c r="GD86">
        <v>13.672735110871793</v>
      </c>
      <c r="GE86">
        <v>20.535720215416461</v>
      </c>
      <c r="GF86">
        <v>19.997948668254104</v>
      </c>
      <c r="GG86">
        <v>20.969712490530604</v>
      </c>
      <c r="GH86">
        <v>15.484918987526932</v>
      </c>
      <c r="GI86">
        <v>19.822646294006081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61.674443882110026</v>
      </c>
      <c r="AO87">
        <v>26.307654427022936</v>
      </c>
      <c r="AP87">
        <v>171.36232517621261</v>
      </c>
      <c r="AQ87">
        <v>141.51281565558213</v>
      </c>
      <c r="AR87">
        <v>24.011324679053288</v>
      </c>
      <c r="AS87">
        <v>118.63412405761083</v>
      </c>
      <c r="AT87">
        <v>17.812789419460781</v>
      </c>
      <c r="AU87">
        <v>32.763211123806514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1.4977160261739904</v>
      </c>
      <c r="GA87">
        <v>4.1676148718218942</v>
      </c>
      <c r="GB87">
        <v>17.325761602804032</v>
      </c>
      <c r="GC87">
        <v>15.765634476361861</v>
      </c>
      <c r="GD87">
        <v>10.366832926195826</v>
      </c>
      <c r="GE87">
        <v>16.125039319585735</v>
      </c>
      <c r="GF87">
        <v>17.398374062003093</v>
      </c>
      <c r="GG87">
        <v>14.215670085421351</v>
      </c>
      <c r="GH87">
        <v>10.872289980376747</v>
      </c>
      <c r="GI87">
        <v>15.847149670317009</v>
      </c>
      <c r="GJ87"/>
      <c r="GK87"/>
      <c r="GL87"/>
      <c r="GM87"/>
    </row>
    <row r="88" spans="1:195" s="7" customFormat="1">
      <c r="A88" s="128"/>
      <c r="B88" s="76">
        <f t="shared" ref="B88:B119" ca="1" si="49">IF(C88="", "", RAND())</f>
        <v>0.75326694567660368</v>
      </c>
      <c r="C88">
        <v>8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53.840911077189176</v>
      </c>
      <c r="AO88">
        <v>17.621852444685423</v>
      </c>
      <c r="AP88">
        <v>99.787337744714932</v>
      </c>
      <c r="AQ88">
        <v>91.996883586490355</v>
      </c>
      <c r="AR88">
        <v>16.335160786612185</v>
      </c>
      <c r="AS88">
        <v>84.859944543524847</v>
      </c>
      <c r="AT88">
        <v>12.134429371478127</v>
      </c>
      <c r="AU88">
        <v>32.129898935038227</v>
      </c>
      <c r="AV88"/>
      <c r="AW88"/>
      <c r="AX88" s="128"/>
      <c r="AY88" s="76">
        <f ca="1">IF(AZ88="", "", RAND())</f>
        <v>0.23894341869854707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0.27457546624980633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2</v>
      </c>
      <c r="CQ88">
        <v>1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5.6151155797490304E-3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0</v>
      </c>
      <c r="DG88" s="161">
        <f t="shared" si="52"/>
        <v>0</v>
      </c>
      <c r="DH88" s="161">
        <f t="shared" si="52"/>
        <v>41.666666666666664</v>
      </c>
      <c r="DI88" s="161">
        <f t="shared" si="52"/>
        <v>20.833333333333332</v>
      </c>
      <c r="DJ88" s="161">
        <f t="shared" si="52"/>
        <v>0</v>
      </c>
      <c r="DK88" s="161">
        <f t="shared" si="52"/>
        <v>0</v>
      </c>
      <c r="DL88" s="161">
        <f t="shared" si="52"/>
        <v>0</v>
      </c>
      <c r="DM88" s="161">
        <f t="shared" si="52"/>
        <v>0</v>
      </c>
      <c r="DN88" s="161">
        <f t="shared" ref="DN88:EJ88" si="53">IF($AZ88="", "", (BJ88*$CW88)/$CZ88)</f>
        <v>0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62.5</v>
      </c>
      <c r="EL88" s="149"/>
      <c r="EN88" s="146"/>
      <c r="EO88" s="146"/>
      <c r="EP88" s="139">
        <f t="shared" ref="EP88:EP119" si="55">IF(DF88="", "", DF88*G$36)</f>
        <v>0</v>
      </c>
      <c r="EQ88" s="139">
        <f t="shared" ref="EQ88:EQ119" si="56">IF(DG88="", "", DG88*H$36)</f>
        <v>0</v>
      </c>
      <c r="ER88" s="139">
        <f t="shared" ref="ER88:ER119" si="57">IF(DH88="", "", DH88*I$36)</f>
        <v>2.6251515337155267</v>
      </c>
      <c r="ES88" s="139">
        <f t="shared" ref="ES88:ES119" si="58">IF(DI88="", "", DI88*J$36)</f>
        <v>3.8851753566981286</v>
      </c>
      <c r="ET88" s="139">
        <f t="shared" ref="ET88:ET119" si="59">IF(DJ88="", "", DJ88*K$36)</f>
        <v>0</v>
      </c>
      <c r="EU88" s="139">
        <f t="shared" ref="EU88:EU119" si="60">IF(DK88="", "", DK88*L$36)</f>
        <v>0</v>
      </c>
      <c r="EV88" s="139">
        <f t="shared" ref="EV88:EV119" si="61">IF(DL88="", "", DL88*M$36)</f>
        <v>0</v>
      </c>
      <c r="EW88" s="139">
        <f t="shared" ref="EW88:EW119" si="62">IF(DM88="", "", DM88*N$36)</f>
        <v>0</v>
      </c>
      <c r="EX88" s="139">
        <f t="shared" ref="EX88:EX119" si="63">IF(DN88="", "", DN88*O$36)</f>
        <v>0</v>
      </c>
      <c r="EY88" s="139">
        <f t="shared" ref="EY88:EY119" si="64">IF(DO88="", "", DO88*P$36)</f>
        <v>0</v>
      </c>
      <c r="EZ88" s="139">
        <f t="shared" ref="EZ88:EZ119" si="65">IF(DP88="", "", DP88*Q$36)</f>
        <v>0</v>
      </c>
      <c r="FA88" s="139">
        <f t="shared" ref="FA88:FA119" si="66">IF(DQ88="", "", DQ88*R$36)</f>
        <v>0</v>
      </c>
      <c r="FB88" s="139">
        <f t="shared" ref="FB88:FB119" si="67">IF(DR88="", "", DR88*S$36)</f>
        <v>0</v>
      </c>
      <c r="FC88" s="139">
        <f t="shared" ref="FC88:FC119" si="68">IF(DS88="", "", DS88*T$36)</f>
        <v>0</v>
      </c>
      <c r="FD88" s="139">
        <f t="shared" ref="FD88:FD119" si="69">IF(DT88="", "", DT88*U$36)</f>
        <v>0</v>
      </c>
      <c r="FE88" s="139">
        <f t="shared" ref="FE88:FE119" si="70">IF(DU88="", "", DU88*V$36)</f>
        <v>0</v>
      </c>
      <c r="FF88" s="139">
        <f t="shared" ref="FF88:FF119" si="71">IF(DV88="", "", DV88*W$36)</f>
        <v>0</v>
      </c>
      <c r="FG88" s="139">
        <f t="shared" ref="FG88:FG119" si="72">IF(DW88="", "", DW88*X$36)</f>
        <v>0</v>
      </c>
      <c r="FH88" s="139">
        <f t="shared" ref="FH88:FH119" si="73">IF(DX88="", "", DX88*Y$36)</f>
        <v>0</v>
      </c>
      <c r="FI88" s="139">
        <f t="shared" ref="FI88:FI119" si="74">IF(DY88="", "", DY88*Z$36)</f>
        <v>0</v>
      </c>
      <c r="FJ88" s="139">
        <f t="shared" ref="FJ88:FJ119" si="75">IF(DZ88="", "", DZ88*AA$36)</f>
        <v>0</v>
      </c>
      <c r="FK88" s="139">
        <f t="shared" ref="FK88:FK119" si="76">IF(EA88="", "", EA88*AB$36)</f>
        <v>0</v>
      </c>
      <c r="FL88" s="139">
        <f t="shared" ref="FL88:FL119" si="77">IF(EB88="", "", EB88*AC$36)</f>
        <v>0</v>
      </c>
      <c r="FM88" s="139">
        <f t="shared" ref="FM88:FM119" si="78">IF(EC88="", "", EC88*AD$36)</f>
        <v>0</v>
      </c>
      <c r="FN88" s="139">
        <f t="shared" ref="FN88:FN119" si="79">IF(ED88="", "", ED88*AE$36)</f>
        <v>0</v>
      </c>
      <c r="FO88" s="139">
        <f t="shared" ref="FO88:FO119" si="80">IF(EE88="", "", EE88*AF$36)</f>
        <v>0</v>
      </c>
      <c r="FP88" s="139">
        <f t="shared" ref="FP88:FP119" si="81">IF(EF88="", "", EF88*AG$36)</f>
        <v>0</v>
      </c>
      <c r="FQ88" s="139">
        <f t="shared" ref="FQ88:FQ119" si="82">IF(EG88="", "", EG88*AH$36)</f>
        <v>0</v>
      </c>
      <c r="FR88" s="139">
        <f t="shared" ref="FR88:FR119" si="83">IF(EH88="", "", EH88*AI$36)</f>
        <v>0</v>
      </c>
      <c r="FS88" s="139">
        <f t="shared" ref="FS88:FS119" si="84">IF(EI88="", "", EI88*AJ$36)</f>
        <v>0</v>
      </c>
      <c r="FT88" s="139">
        <f t="shared" ref="FT88:FT119" si="85">IF(EJ88="", "", EJ88*AK$36)</f>
        <v>0</v>
      </c>
      <c r="FU88" s="148">
        <f t="shared" ref="FU88:FU119" si="86">IF(EP88="","",SUM(EP88:FT88))</f>
        <v>6.5103268904136549</v>
      </c>
      <c r="FV88" s="149"/>
      <c r="FY88" s="211">
        <v>83</v>
      </c>
      <c r="FZ88">
        <v>3.2391014862231868</v>
      </c>
      <c r="GA88">
        <v>23.874023934655447</v>
      </c>
      <c r="GB88">
        <v>20.622953258800905</v>
      </c>
      <c r="GC88">
        <v>11.245983303270535</v>
      </c>
      <c r="GD88">
        <v>10.124184787434043</v>
      </c>
      <c r="GE88">
        <v>23.29600811015759</v>
      </c>
      <c r="GF88">
        <v>27.740417591262538</v>
      </c>
      <c r="GG88">
        <v>9.6213707086590503</v>
      </c>
      <c r="GH88">
        <v>2.0948703604573007</v>
      </c>
      <c r="GI88">
        <v>17.31472874880766</v>
      </c>
      <c r="GJ88"/>
      <c r="GK88"/>
      <c r="GL88"/>
      <c r="GM88"/>
    </row>
    <row r="89" spans="1:195" s="7" customFormat="1">
      <c r="A89" s="115"/>
      <c r="B89" s="76">
        <f t="shared" ca="1" si="49"/>
        <v>0.60677907093697603</v>
      </c>
      <c r="C89">
        <v>6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65.086078296837798</v>
      </c>
      <c r="AO89">
        <v>27.523758967654715</v>
      </c>
      <c r="AP89">
        <v>181.98069522586121</v>
      </c>
      <c r="AQ89">
        <v>155.94982161038669</v>
      </c>
      <c r="AR89">
        <v>25.053016941428528</v>
      </c>
      <c r="AS89">
        <v>153.70334541677786</v>
      </c>
      <c r="AT89">
        <v>19.460144425230784</v>
      </c>
      <c r="AU89">
        <v>26.074259082105723</v>
      </c>
      <c r="AV89"/>
      <c r="AW89"/>
      <c r="AX89" s="150"/>
      <c r="AY89" s="76">
        <f t="shared" ref="AY89:AY149" ca="1" si="87">IF(AZ89="", "", RAND())</f>
        <v>0.58058140457673901</v>
      </c>
      <c r="AZ89">
        <v>2</v>
      </c>
      <c r="BA89" s="129">
        <f t="shared" ref="BA89:BA97" si="88">IF(AZ89="", "",$C$4)</f>
        <v>39646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89">IF(AZ89="", "", RAND())</f>
        <v>0.10013307611227251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0.34288442659814433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0</v>
      </c>
      <c r="DH89" s="161">
        <f t="shared" ref="DH89:DH152" si="96">IF($AZ89="", "", ((BD89*$CW89)+(CP89*$CX89))/$CZ89)</f>
        <v>0</v>
      </c>
      <c r="DI89" s="161">
        <f t="shared" ref="DI89:DI152" si="97">IF($AZ89="", "", ((BE89*$CW89)+(CQ89*$CX89))/$CZ89)</f>
        <v>0</v>
      </c>
      <c r="DJ89" s="161">
        <f t="shared" ref="DJ89:DJ152" si="98">IF($AZ89="", "", ((BF89*$CW89)+(CR89*$CX89))/$CZ89)</f>
        <v>0</v>
      </c>
      <c r="DK89" s="161">
        <f t="shared" ref="DK89:DK152" si="99">IF($AZ89="", "", ((BG89*$CW89)+(CS89*$CX89))/$CZ89)</f>
        <v>0</v>
      </c>
      <c r="DL89" s="161">
        <f t="shared" ref="DL89:DL152" si="100">IF($AZ89="", "", ((BH89*$CW89)+(CT89*$CX89))/$CZ89)</f>
        <v>0</v>
      </c>
      <c r="DM89" s="161">
        <f t="shared" ref="DM89:DM152" si="101">IF($AZ89="", "", ((BI89*$CW89)+(CU89*$CX89))/$CZ89)</f>
        <v>0</v>
      </c>
      <c r="DN89" s="161">
        <f t="shared" ref="DN89:DN152" si="102">IF($AZ89="", "", (BJ89*$CW89)/$CZ89)</f>
        <v>0</v>
      </c>
      <c r="DO89" s="161">
        <f t="shared" ref="DO89:DO152" si="103">IF($AZ89="", "", (BK89*$CW89)/$CZ89)</f>
        <v>0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0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0</v>
      </c>
      <c r="EL89" s="149"/>
      <c r="EN89" s="150"/>
      <c r="EO89" s="150"/>
      <c r="EP89" s="139">
        <f t="shared" si="55"/>
        <v>0</v>
      </c>
      <c r="EQ89" s="139">
        <f t="shared" si="56"/>
        <v>0</v>
      </c>
      <c r="ER89" s="139">
        <f t="shared" si="57"/>
        <v>0</v>
      </c>
      <c r="ES89" s="139">
        <f t="shared" si="58"/>
        <v>0</v>
      </c>
      <c r="ET89" s="139">
        <f t="shared" si="59"/>
        <v>0</v>
      </c>
      <c r="EU89" s="139">
        <f t="shared" si="60"/>
        <v>0</v>
      </c>
      <c r="EV89" s="139">
        <f t="shared" si="61"/>
        <v>0</v>
      </c>
      <c r="EW89" s="139">
        <f t="shared" si="62"/>
        <v>0</v>
      </c>
      <c r="EX89" s="139">
        <f t="shared" si="63"/>
        <v>0</v>
      </c>
      <c r="EY89" s="139">
        <f t="shared" si="64"/>
        <v>0</v>
      </c>
      <c r="EZ89" s="139">
        <f t="shared" si="65"/>
        <v>0</v>
      </c>
      <c r="FA89" s="139">
        <f t="shared" si="66"/>
        <v>0</v>
      </c>
      <c r="FB89" s="139">
        <f t="shared" si="67"/>
        <v>0</v>
      </c>
      <c r="FC89" s="139">
        <f t="shared" si="68"/>
        <v>0</v>
      </c>
      <c r="FD89" s="139">
        <f t="shared" si="69"/>
        <v>0</v>
      </c>
      <c r="FE89" s="139">
        <f t="shared" si="70"/>
        <v>0</v>
      </c>
      <c r="FF89" s="139">
        <f t="shared" si="71"/>
        <v>0</v>
      </c>
      <c r="FG89" s="139">
        <f t="shared" si="72"/>
        <v>0</v>
      </c>
      <c r="FH89" s="139">
        <f t="shared" si="73"/>
        <v>0</v>
      </c>
      <c r="FI89" s="139">
        <f t="shared" si="74"/>
        <v>0</v>
      </c>
      <c r="FJ89" s="139">
        <f t="shared" si="75"/>
        <v>0</v>
      </c>
      <c r="FK89" s="139">
        <f t="shared" si="76"/>
        <v>0</v>
      </c>
      <c r="FL89" s="139">
        <f t="shared" si="77"/>
        <v>0</v>
      </c>
      <c r="FM89" s="139">
        <f t="shared" si="78"/>
        <v>0</v>
      </c>
      <c r="FN89" s="139">
        <f t="shared" si="79"/>
        <v>0</v>
      </c>
      <c r="FO89" s="139">
        <f t="shared" si="80"/>
        <v>0</v>
      </c>
      <c r="FP89" s="139">
        <f t="shared" si="81"/>
        <v>0</v>
      </c>
      <c r="FQ89" s="139">
        <f t="shared" si="82"/>
        <v>0</v>
      </c>
      <c r="FR89" s="139">
        <f t="shared" si="83"/>
        <v>0</v>
      </c>
      <c r="FS89" s="139">
        <f t="shared" si="84"/>
        <v>0</v>
      </c>
      <c r="FT89" s="139">
        <f t="shared" si="85"/>
        <v>0</v>
      </c>
      <c r="FU89" s="148">
        <f t="shared" si="86"/>
        <v>0</v>
      </c>
      <c r="FV89" s="149"/>
      <c r="FY89" s="211">
        <v>84</v>
      </c>
      <c r="FZ89">
        <v>2.7655614900227494</v>
      </c>
      <c r="GA89">
        <v>12.900879061739914</v>
      </c>
      <c r="GB89">
        <v>12.543720018219638</v>
      </c>
      <c r="GC89">
        <v>12.809280271849131</v>
      </c>
      <c r="GD89">
        <v>13.278205774468905</v>
      </c>
      <c r="GE89">
        <v>21.284271345709307</v>
      </c>
      <c r="GF89">
        <v>31.329444147142681</v>
      </c>
      <c r="GG89">
        <v>27.803161321075883</v>
      </c>
      <c r="GH89">
        <v>16.199152861185464</v>
      </c>
      <c r="GI89">
        <v>20.075044477541837</v>
      </c>
      <c r="GJ89"/>
      <c r="GK89"/>
      <c r="GL89"/>
      <c r="GM89"/>
    </row>
    <row r="90" spans="1:195" s="7" customFormat="1">
      <c r="A90" s="115"/>
      <c r="B90" s="76">
        <f t="shared" ca="1" si="49"/>
        <v>0.19110841801998291</v>
      </c>
      <c r="C90">
        <v>3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83.536764101295148</v>
      </c>
      <c r="AO90">
        <v>31.599345832087543</v>
      </c>
      <c r="AP90">
        <v>202.79380503440211</v>
      </c>
      <c r="AQ90">
        <v>176.58076701338098</v>
      </c>
      <c r="AR90">
        <v>28.956820482597813</v>
      </c>
      <c r="AS90">
        <v>145.46268529745348</v>
      </c>
      <c r="AT90">
        <v>21.467529649940904</v>
      </c>
      <c r="AU90">
        <v>38.787408659006445</v>
      </c>
      <c r="AV90"/>
      <c r="AW90"/>
      <c r="AX90" s="150"/>
      <c r="AY90" s="76">
        <f t="shared" ca="1" si="87"/>
        <v>0.50999362546541249</v>
      </c>
      <c r="AZ90">
        <v>3</v>
      </c>
      <c r="BA90" s="129">
        <f t="shared" si="88"/>
        <v>39646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89"/>
        <v>0.54915573077877244</v>
      </c>
      <c r="CL90" s="179">
        <f t="shared" si="90"/>
        <v>3</v>
      </c>
      <c r="CM90" s="180">
        <f t="shared" si="91"/>
        <v>39646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0.62070401266487174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0</v>
      </c>
      <c r="DH90" s="161">
        <f t="shared" si="96"/>
        <v>0</v>
      </c>
      <c r="DI90" s="161">
        <f t="shared" si="97"/>
        <v>0</v>
      </c>
      <c r="DJ90" s="161">
        <f t="shared" si="98"/>
        <v>0</v>
      </c>
      <c r="DK90" s="161">
        <f t="shared" si="99"/>
        <v>0</v>
      </c>
      <c r="DL90" s="161">
        <f t="shared" si="100"/>
        <v>0</v>
      </c>
      <c r="DM90" s="161">
        <f t="shared" si="101"/>
        <v>0</v>
      </c>
      <c r="DN90" s="161">
        <f t="shared" si="102"/>
        <v>0</v>
      </c>
      <c r="DO90" s="161">
        <f t="shared" si="103"/>
        <v>0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0</v>
      </c>
      <c r="EL90" s="149"/>
      <c r="EN90" s="150"/>
      <c r="EO90" s="150"/>
      <c r="EP90" s="139">
        <f t="shared" si="55"/>
        <v>0</v>
      </c>
      <c r="EQ90" s="139">
        <f t="shared" si="56"/>
        <v>0</v>
      </c>
      <c r="ER90" s="139">
        <f t="shared" si="57"/>
        <v>0</v>
      </c>
      <c r="ES90" s="139">
        <f t="shared" si="58"/>
        <v>0</v>
      </c>
      <c r="ET90" s="139">
        <f t="shared" si="59"/>
        <v>0</v>
      </c>
      <c r="EU90" s="139">
        <f t="shared" si="60"/>
        <v>0</v>
      </c>
      <c r="EV90" s="139">
        <f t="shared" si="61"/>
        <v>0</v>
      </c>
      <c r="EW90" s="139">
        <f t="shared" si="62"/>
        <v>0</v>
      </c>
      <c r="EX90" s="139">
        <f t="shared" si="63"/>
        <v>0</v>
      </c>
      <c r="EY90" s="139">
        <f t="shared" si="64"/>
        <v>0</v>
      </c>
      <c r="EZ90" s="139">
        <f t="shared" si="65"/>
        <v>0</v>
      </c>
      <c r="FA90" s="139">
        <f t="shared" si="66"/>
        <v>0</v>
      </c>
      <c r="FB90" s="139">
        <f t="shared" si="67"/>
        <v>0</v>
      </c>
      <c r="FC90" s="139">
        <f t="shared" si="68"/>
        <v>0</v>
      </c>
      <c r="FD90" s="139">
        <f t="shared" si="69"/>
        <v>0</v>
      </c>
      <c r="FE90" s="139">
        <f t="shared" si="70"/>
        <v>0</v>
      </c>
      <c r="FF90" s="139">
        <f t="shared" si="71"/>
        <v>0</v>
      </c>
      <c r="FG90" s="139">
        <f t="shared" si="72"/>
        <v>0</v>
      </c>
      <c r="FH90" s="139">
        <f t="shared" si="73"/>
        <v>0</v>
      </c>
      <c r="FI90" s="139">
        <f t="shared" si="74"/>
        <v>0</v>
      </c>
      <c r="FJ90" s="139">
        <f t="shared" si="75"/>
        <v>0</v>
      </c>
      <c r="FK90" s="139">
        <f t="shared" si="76"/>
        <v>0</v>
      </c>
      <c r="FL90" s="139">
        <f t="shared" si="77"/>
        <v>0</v>
      </c>
      <c r="FM90" s="139">
        <f t="shared" si="78"/>
        <v>0</v>
      </c>
      <c r="FN90" s="139">
        <f t="shared" si="79"/>
        <v>0</v>
      </c>
      <c r="FO90" s="139">
        <f t="shared" si="80"/>
        <v>0</v>
      </c>
      <c r="FP90" s="139">
        <f t="shared" si="81"/>
        <v>0</v>
      </c>
      <c r="FQ90" s="139">
        <f t="shared" si="82"/>
        <v>0</v>
      </c>
      <c r="FR90" s="139">
        <f t="shared" si="83"/>
        <v>0</v>
      </c>
      <c r="FS90" s="139">
        <f t="shared" si="84"/>
        <v>0</v>
      </c>
      <c r="FT90" s="139">
        <f t="shared" si="85"/>
        <v>0</v>
      </c>
      <c r="FU90" s="148">
        <f t="shared" si="86"/>
        <v>0</v>
      </c>
      <c r="FV90" s="149"/>
      <c r="FY90" s="211">
        <v>85</v>
      </c>
      <c r="FZ90">
        <v>7.303745253768315</v>
      </c>
      <c r="GA90">
        <v>17.817875067299202</v>
      </c>
      <c r="GB90">
        <v>21.781164291271551</v>
      </c>
      <c r="GC90">
        <v>16.367857520341147</v>
      </c>
      <c r="GD90">
        <v>11.140509799245404</v>
      </c>
      <c r="GE90">
        <v>19.721079692534285</v>
      </c>
      <c r="GF90">
        <v>28.226716540673181</v>
      </c>
      <c r="GG90">
        <v>19.706814318783895</v>
      </c>
      <c r="GH90">
        <v>9.6649791166592145</v>
      </c>
      <c r="GI90">
        <v>20.123079605840253</v>
      </c>
      <c r="GJ90"/>
      <c r="GK90"/>
      <c r="GL90"/>
      <c r="GM90"/>
    </row>
    <row r="91" spans="1:195" s="7" customFormat="1">
      <c r="A91" s="77"/>
      <c r="B91" s="76">
        <f t="shared" ca="1" si="49"/>
        <v>0.34431041688238384</v>
      </c>
      <c r="C91">
        <v>9</v>
      </c>
      <c r="D91">
        <v>39646</v>
      </c>
      <c r="E91">
        <v>0</v>
      </c>
      <c r="F91">
        <v>10.416666666666666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96.067440813174215</v>
      </c>
      <c r="AO91">
        <v>38.127481227202352</v>
      </c>
      <c r="AP91">
        <v>243.18451903453087</v>
      </c>
      <c r="AQ91">
        <v>203.14768970826259</v>
      </c>
      <c r="AR91">
        <v>35.149265277750978</v>
      </c>
      <c r="AS91">
        <v>168.08562887747888</v>
      </c>
      <c r="AT91">
        <v>25.754240140304432</v>
      </c>
      <c r="AU91">
        <v>40.443569600496339</v>
      </c>
      <c r="AV91"/>
      <c r="AW91"/>
      <c r="AX91" s="151"/>
      <c r="AY91" s="76">
        <f t="shared" ca="1" si="87"/>
        <v>0.97329629398228579</v>
      </c>
      <c r="AZ91">
        <v>4</v>
      </c>
      <c r="BA91" s="129">
        <f t="shared" si="88"/>
        <v>39646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89"/>
        <v>0.82643485255134941</v>
      </c>
      <c r="CL91" s="179">
        <f t="shared" si="90"/>
        <v>4</v>
      </c>
      <c r="CM91" s="180">
        <f t="shared" si="91"/>
        <v>39646</v>
      </c>
      <c r="CN91">
        <v>0</v>
      </c>
      <c r="CO91">
        <v>0</v>
      </c>
      <c r="CP91">
        <v>5</v>
      </c>
      <c r="CQ91">
        <v>0</v>
      </c>
      <c r="CR91">
        <v>1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0.2966139559071781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0</v>
      </c>
      <c r="DH91" s="161">
        <f t="shared" si="96"/>
        <v>52.083333333333336</v>
      </c>
      <c r="DI91" s="161">
        <f t="shared" si="97"/>
        <v>0</v>
      </c>
      <c r="DJ91" s="161">
        <f t="shared" si="98"/>
        <v>10.416666666666666</v>
      </c>
      <c r="DK91" s="161">
        <f t="shared" si="99"/>
        <v>0</v>
      </c>
      <c r="DL91" s="161">
        <f t="shared" si="100"/>
        <v>0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62.5</v>
      </c>
      <c r="EL91" s="149"/>
      <c r="EN91" s="151"/>
      <c r="EO91" s="151"/>
      <c r="EP91" s="139">
        <f t="shared" si="55"/>
        <v>0</v>
      </c>
      <c r="EQ91" s="139">
        <f t="shared" si="56"/>
        <v>0</v>
      </c>
      <c r="ER91" s="139">
        <f t="shared" si="57"/>
        <v>3.281439417144409</v>
      </c>
      <c r="ES91" s="139">
        <f t="shared" si="58"/>
        <v>0</v>
      </c>
      <c r="ET91" s="139">
        <f t="shared" si="59"/>
        <v>4.1953050120835096</v>
      </c>
      <c r="EU91" s="139">
        <f t="shared" si="60"/>
        <v>0</v>
      </c>
      <c r="EV91" s="139">
        <f t="shared" si="61"/>
        <v>0</v>
      </c>
      <c r="EW91" s="139">
        <f t="shared" si="62"/>
        <v>0</v>
      </c>
      <c r="EX91" s="139">
        <f t="shared" si="63"/>
        <v>0</v>
      </c>
      <c r="EY91" s="139">
        <f t="shared" si="64"/>
        <v>0</v>
      </c>
      <c r="EZ91" s="139">
        <f t="shared" si="65"/>
        <v>0</v>
      </c>
      <c r="FA91" s="139">
        <f t="shared" si="66"/>
        <v>0</v>
      </c>
      <c r="FB91" s="139">
        <f t="shared" si="67"/>
        <v>0</v>
      </c>
      <c r="FC91" s="139">
        <f t="shared" si="68"/>
        <v>0</v>
      </c>
      <c r="FD91" s="139">
        <f t="shared" si="69"/>
        <v>0</v>
      </c>
      <c r="FE91" s="139">
        <f t="shared" si="70"/>
        <v>0</v>
      </c>
      <c r="FF91" s="139">
        <f t="shared" si="71"/>
        <v>0</v>
      </c>
      <c r="FG91" s="139">
        <f t="shared" si="72"/>
        <v>0</v>
      </c>
      <c r="FH91" s="139">
        <f t="shared" si="73"/>
        <v>0</v>
      </c>
      <c r="FI91" s="139">
        <f t="shared" si="74"/>
        <v>0</v>
      </c>
      <c r="FJ91" s="139">
        <f t="shared" si="75"/>
        <v>0</v>
      </c>
      <c r="FK91" s="139">
        <f t="shared" si="76"/>
        <v>0</v>
      </c>
      <c r="FL91" s="139">
        <f t="shared" si="77"/>
        <v>0</v>
      </c>
      <c r="FM91" s="139">
        <f t="shared" si="78"/>
        <v>0</v>
      </c>
      <c r="FN91" s="139">
        <f t="shared" si="79"/>
        <v>0</v>
      </c>
      <c r="FO91" s="139">
        <f t="shared" si="80"/>
        <v>0</v>
      </c>
      <c r="FP91" s="139">
        <f t="shared" si="81"/>
        <v>0</v>
      </c>
      <c r="FQ91" s="139">
        <f t="shared" si="82"/>
        <v>0</v>
      </c>
      <c r="FR91" s="139">
        <f t="shared" si="83"/>
        <v>0</v>
      </c>
      <c r="FS91" s="139">
        <f t="shared" si="84"/>
        <v>0</v>
      </c>
      <c r="FT91" s="139">
        <f t="shared" si="85"/>
        <v>0</v>
      </c>
      <c r="FU91" s="148">
        <f t="shared" si="86"/>
        <v>7.476744429227919</v>
      </c>
      <c r="FV91" s="149"/>
      <c r="FY91" s="211">
        <v>86</v>
      </c>
      <c r="FZ91">
        <v>5.3816610395514788</v>
      </c>
      <c r="GA91">
        <v>29.342256085311288</v>
      </c>
      <c r="GB91">
        <v>26.314232756591938</v>
      </c>
      <c r="GC91">
        <v>15.815190295418926</v>
      </c>
      <c r="GD91">
        <v>8.288474136995152</v>
      </c>
      <c r="GE91">
        <v>14.895271492324682</v>
      </c>
      <c r="GF91">
        <v>24.675357710175753</v>
      </c>
      <c r="GG91">
        <v>14.136766586938364</v>
      </c>
      <c r="GH91">
        <v>10.960501851641418</v>
      </c>
      <c r="GI91">
        <v>18.788897037120055</v>
      </c>
      <c r="GJ91"/>
      <c r="GK91"/>
      <c r="GL91"/>
      <c r="GM91"/>
    </row>
    <row r="92" spans="1:195" s="7" customFormat="1">
      <c r="A92" s="77"/>
      <c r="B92" s="76">
        <f t="shared" ca="1" si="49"/>
        <v>0.89470563609265374</v>
      </c>
      <c r="C92">
        <v>1</v>
      </c>
      <c r="D92">
        <v>39646</v>
      </c>
      <c r="E92">
        <v>0</v>
      </c>
      <c r="F92">
        <v>0</v>
      </c>
      <c r="G92">
        <v>41.666666666666664</v>
      </c>
      <c r="H92">
        <v>20.833333333333332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61.762038206342638</v>
      </c>
      <c r="AO92">
        <v>25.909245744951583</v>
      </c>
      <c r="AP92">
        <v>182.25706852184769</v>
      </c>
      <c r="AQ92">
        <v>152.55844348991968</v>
      </c>
      <c r="AR92">
        <v>23.228223187528588</v>
      </c>
      <c r="AS92">
        <v>138.16361938846737</v>
      </c>
      <c r="AT92" t="e">
        <v>#DIV/0!</v>
      </c>
      <c r="AU92" t="e">
        <v>#DIV/0!</v>
      </c>
      <c r="AV92"/>
      <c r="AW92"/>
      <c r="AX92" s="151"/>
      <c r="AY92" s="76">
        <f t="shared" ca="1" si="87"/>
        <v>0.19418384705071068</v>
      </c>
      <c r="AZ92">
        <v>5</v>
      </c>
      <c r="BA92" s="129">
        <f t="shared" si="88"/>
        <v>39646</v>
      </c>
      <c r="BB92" s="217">
        <v>0</v>
      </c>
      <c r="BC92" s="217">
        <v>0</v>
      </c>
      <c r="BD92" s="217">
        <v>0</v>
      </c>
      <c r="BE92" s="217">
        <v>0</v>
      </c>
      <c r="BF92" s="217">
        <v>0</v>
      </c>
      <c r="BG92" s="217">
        <v>0</v>
      </c>
      <c r="BH92" s="217">
        <v>0</v>
      </c>
      <c r="BI92" s="217">
        <v>0</v>
      </c>
      <c r="BJ92" s="217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89"/>
        <v>0.14911302463349663</v>
      </c>
      <c r="CL92" s="179">
        <f t="shared" si="90"/>
        <v>5</v>
      </c>
      <c r="CM92" s="180">
        <f t="shared" si="91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0.1144466111223883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0</v>
      </c>
      <c r="DJ92" s="161">
        <f t="shared" si="98"/>
        <v>0</v>
      </c>
      <c r="DK92" s="161">
        <f t="shared" si="99"/>
        <v>0</v>
      </c>
      <c r="DL92" s="161">
        <f t="shared" si="100"/>
        <v>0</v>
      </c>
      <c r="DM92" s="161">
        <f t="shared" si="101"/>
        <v>0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0</v>
      </c>
      <c r="EL92" s="149"/>
      <c r="EN92" s="151"/>
      <c r="EO92" s="151"/>
      <c r="EP92" s="139">
        <f t="shared" si="55"/>
        <v>0</v>
      </c>
      <c r="EQ92" s="139">
        <f t="shared" si="56"/>
        <v>0</v>
      </c>
      <c r="ER92" s="139">
        <f t="shared" si="57"/>
        <v>0</v>
      </c>
      <c r="ES92" s="139">
        <f t="shared" si="58"/>
        <v>0</v>
      </c>
      <c r="ET92" s="139">
        <f t="shared" si="59"/>
        <v>0</v>
      </c>
      <c r="EU92" s="139">
        <f t="shared" si="60"/>
        <v>0</v>
      </c>
      <c r="EV92" s="139">
        <f t="shared" si="61"/>
        <v>0</v>
      </c>
      <c r="EW92" s="139">
        <f t="shared" si="62"/>
        <v>0</v>
      </c>
      <c r="EX92" s="139">
        <f t="shared" si="63"/>
        <v>0</v>
      </c>
      <c r="EY92" s="139">
        <f t="shared" si="64"/>
        <v>0</v>
      </c>
      <c r="EZ92" s="139">
        <f t="shared" si="65"/>
        <v>0</v>
      </c>
      <c r="FA92" s="139">
        <f t="shared" si="66"/>
        <v>0</v>
      </c>
      <c r="FB92" s="139">
        <f t="shared" si="67"/>
        <v>0</v>
      </c>
      <c r="FC92" s="139">
        <f t="shared" si="68"/>
        <v>0</v>
      </c>
      <c r="FD92" s="139">
        <f t="shared" si="69"/>
        <v>0</v>
      </c>
      <c r="FE92" s="139">
        <f t="shared" si="70"/>
        <v>0</v>
      </c>
      <c r="FF92" s="139">
        <f t="shared" si="71"/>
        <v>0</v>
      </c>
      <c r="FG92" s="139">
        <f t="shared" si="72"/>
        <v>0</v>
      </c>
      <c r="FH92" s="139">
        <f t="shared" si="73"/>
        <v>0</v>
      </c>
      <c r="FI92" s="139">
        <f t="shared" si="74"/>
        <v>0</v>
      </c>
      <c r="FJ92" s="139">
        <f t="shared" si="75"/>
        <v>0</v>
      </c>
      <c r="FK92" s="139">
        <f t="shared" si="76"/>
        <v>0</v>
      </c>
      <c r="FL92" s="139">
        <f t="shared" si="77"/>
        <v>0</v>
      </c>
      <c r="FM92" s="139">
        <f t="shared" si="78"/>
        <v>0</v>
      </c>
      <c r="FN92" s="139">
        <f t="shared" si="79"/>
        <v>0</v>
      </c>
      <c r="FO92" s="139">
        <f t="shared" si="80"/>
        <v>0</v>
      </c>
      <c r="FP92" s="139">
        <f t="shared" si="81"/>
        <v>0</v>
      </c>
      <c r="FQ92" s="139">
        <f t="shared" si="82"/>
        <v>0</v>
      </c>
      <c r="FR92" s="139">
        <f t="shared" si="83"/>
        <v>0</v>
      </c>
      <c r="FS92" s="139">
        <f t="shared" si="84"/>
        <v>0</v>
      </c>
      <c r="FT92" s="139">
        <f t="shared" si="85"/>
        <v>0</v>
      </c>
      <c r="FU92" s="148">
        <f t="shared" si="86"/>
        <v>0</v>
      </c>
      <c r="FV92" s="149"/>
      <c r="FY92" s="211">
        <v>87</v>
      </c>
      <c r="FZ92">
        <v>3.3369507977991129</v>
      </c>
      <c r="GA92">
        <v>17.749863320557978</v>
      </c>
      <c r="GB92">
        <v>22.699973896268475</v>
      </c>
      <c r="GC92">
        <v>14.112979582358992</v>
      </c>
      <c r="GD92">
        <v>11.320129061562156</v>
      </c>
      <c r="GE92">
        <v>20.661039362530733</v>
      </c>
      <c r="GF92">
        <v>21.760037284905444</v>
      </c>
      <c r="GG92">
        <v>28.148457029705611</v>
      </c>
      <c r="GH92">
        <v>26.983356715044746</v>
      </c>
      <c r="GI92">
        <v>21.466723416847874</v>
      </c>
      <c r="GJ92"/>
      <c r="GK92"/>
      <c r="GL92"/>
      <c r="GM92"/>
    </row>
    <row r="93" spans="1:195" s="7" customFormat="1">
      <c r="A93" s="77"/>
      <c r="B93" s="76">
        <f t="shared" ca="1" si="49"/>
        <v>0.25594496906825803</v>
      </c>
      <c r="C93">
        <v>2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98.657490461911308</v>
      </c>
      <c r="AO93">
        <v>36.770915079759114</v>
      </c>
      <c r="AP93">
        <v>223.28671996776359</v>
      </c>
      <c r="AQ93">
        <v>191.48469172304601</v>
      </c>
      <c r="AR93">
        <v>33.405262725556106</v>
      </c>
      <c r="AS93">
        <v>160.00911950994822</v>
      </c>
      <c r="AT93">
        <v>25.134705675283275</v>
      </c>
      <c r="AU93">
        <v>50.868311104166182</v>
      </c>
      <c r="AV93"/>
      <c r="AW93"/>
      <c r="AX93" s="151"/>
      <c r="AY93" s="76">
        <f t="shared" ca="1" si="87"/>
        <v>0.29299735547101857</v>
      </c>
      <c r="AZ93">
        <v>6</v>
      </c>
      <c r="BA93" s="129">
        <f t="shared" si="88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89"/>
        <v>0.13946632576273554</v>
      </c>
      <c r="CL93" s="179">
        <f t="shared" si="90"/>
        <v>6</v>
      </c>
      <c r="CM93" s="180">
        <f t="shared" si="91"/>
        <v>39646</v>
      </c>
      <c r="CN93" s="220">
        <v>0</v>
      </c>
      <c r="CO93" s="220">
        <v>0</v>
      </c>
      <c r="CP93" s="220">
        <v>0</v>
      </c>
      <c r="CQ93" s="220">
        <v>0</v>
      </c>
      <c r="CR93" s="220">
        <v>0</v>
      </c>
      <c r="CS93" s="220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7.77085747647277E-3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0</v>
      </c>
      <c r="DH93" s="161">
        <f t="shared" si="96"/>
        <v>0</v>
      </c>
      <c r="DI93" s="161">
        <f t="shared" si="97"/>
        <v>0</v>
      </c>
      <c r="DJ93" s="161">
        <f t="shared" si="98"/>
        <v>0</v>
      </c>
      <c r="DK93" s="161">
        <f t="shared" si="99"/>
        <v>0</v>
      </c>
      <c r="DL93" s="161">
        <f t="shared" si="100"/>
        <v>0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0</v>
      </c>
      <c r="EL93" s="149"/>
      <c r="EN93" s="151"/>
      <c r="EO93" s="151"/>
      <c r="EP93" s="139">
        <f t="shared" si="55"/>
        <v>0</v>
      </c>
      <c r="EQ93" s="139">
        <f t="shared" si="56"/>
        <v>0</v>
      </c>
      <c r="ER93" s="139">
        <f t="shared" si="57"/>
        <v>0</v>
      </c>
      <c r="ES93" s="139">
        <f t="shared" si="58"/>
        <v>0</v>
      </c>
      <c r="ET93" s="139">
        <f t="shared" si="59"/>
        <v>0</v>
      </c>
      <c r="EU93" s="139">
        <f t="shared" si="60"/>
        <v>0</v>
      </c>
      <c r="EV93" s="139">
        <f t="shared" si="61"/>
        <v>0</v>
      </c>
      <c r="EW93" s="139">
        <f t="shared" si="62"/>
        <v>0</v>
      </c>
      <c r="EX93" s="139">
        <f t="shared" si="63"/>
        <v>0</v>
      </c>
      <c r="EY93" s="139">
        <f t="shared" si="64"/>
        <v>0</v>
      </c>
      <c r="EZ93" s="139">
        <f t="shared" si="65"/>
        <v>0</v>
      </c>
      <c r="FA93" s="139">
        <f t="shared" si="66"/>
        <v>0</v>
      </c>
      <c r="FB93" s="139">
        <f t="shared" si="67"/>
        <v>0</v>
      </c>
      <c r="FC93" s="139">
        <f t="shared" si="68"/>
        <v>0</v>
      </c>
      <c r="FD93" s="139">
        <f t="shared" si="69"/>
        <v>0</v>
      </c>
      <c r="FE93" s="139">
        <f t="shared" si="70"/>
        <v>0</v>
      </c>
      <c r="FF93" s="139">
        <f t="shared" si="71"/>
        <v>0</v>
      </c>
      <c r="FG93" s="139">
        <f t="shared" si="72"/>
        <v>0</v>
      </c>
      <c r="FH93" s="139">
        <f t="shared" si="73"/>
        <v>0</v>
      </c>
      <c r="FI93" s="139">
        <f t="shared" si="74"/>
        <v>0</v>
      </c>
      <c r="FJ93" s="139">
        <f t="shared" si="75"/>
        <v>0</v>
      </c>
      <c r="FK93" s="139">
        <f t="shared" si="76"/>
        <v>0</v>
      </c>
      <c r="FL93" s="139">
        <f t="shared" si="77"/>
        <v>0</v>
      </c>
      <c r="FM93" s="139">
        <f t="shared" si="78"/>
        <v>0</v>
      </c>
      <c r="FN93" s="139">
        <f t="shared" si="79"/>
        <v>0</v>
      </c>
      <c r="FO93" s="139">
        <f t="shared" si="80"/>
        <v>0</v>
      </c>
      <c r="FP93" s="139">
        <f t="shared" si="81"/>
        <v>0</v>
      </c>
      <c r="FQ93" s="139">
        <f t="shared" si="82"/>
        <v>0</v>
      </c>
      <c r="FR93" s="139">
        <f t="shared" si="83"/>
        <v>0</v>
      </c>
      <c r="FS93" s="139">
        <f t="shared" si="84"/>
        <v>0</v>
      </c>
      <c r="FT93" s="139">
        <f t="shared" si="85"/>
        <v>0</v>
      </c>
      <c r="FU93" s="148">
        <f t="shared" si="86"/>
        <v>0</v>
      </c>
      <c r="FV93" s="149"/>
      <c r="FY93" s="211">
        <v>88</v>
      </c>
      <c r="FZ93">
        <v>5.9955425107757394</v>
      </c>
      <c r="GA93">
        <v>18.403173292592598</v>
      </c>
      <c r="GB93">
        <v>28.013934594130699</v>
      </c>
      <c r="GC93">
        <v>20.24779554332817</v>
      </c>
      <c r="GD93">
        <v>11.146756734288163</v>
      </c>
      <c r="GE93">
        <v>25.240378148098955</v>
      </c>
      <c r="GF93">
        <v>43.069999135949331</v>
      </c>
      <c r="GG93">
        <v>23.127490333174482</v>
      </c>
      <c r="GH93">
        <v>12.13498980248194</v>
      </c>
      <c r="GI93">
        <v>24.743892092244305</v>
      </c>
      <c r="GJ93"/>
      <c r="GK93"/>
      <c r="GL93"/>
      <c r="GM93"/>
    </row>
    <row r="94" spans="1:195" s="7" customFormat="1">
      <c r="A94" s="77"/>
      <c r="B94" s="76">
        <f t="shared" ca="1" si="49"/>
        <v>0.78211299655467226</v>
      </c>
      <c r="C94">
        <v>4</v>
      </c>
      <c r="D94">
        <v>39646</v>
      </c>
      <c r="E94">
        <v>0</v>
      </c>
      <c r="F94">
        <v>0</v>
      </c>
      <c r="G94">
        <v>52.083333333333336</v>
      </c>
      <c r="H94">
        <v>0</v>
      </c>
      <c r="I94">
        <v>10.416666666666666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83.845651176168744</v>
      </c>
      <c r="AO94">
        <v>35.520969659740501</v>
      </c>
      <c r="AP94">
        <v>230.8509765691762</v>
      </c>
      <c r="AQ94">
        <v>197.71586352621958</v>
      </c>
      <c r="AR94">
        <v>32.233206736991427</v>
      </c>
      <c r="AS94">
        <v>145.66784972515964</v>
      </c>
      <c r="AT94">
        <v>23.915996330699091</v>
      </c>
      <c r="AU94">
        <v>27.511837075037999</v>
      </c>
      <c r="AV94"/>
      <c r="AW94"/>
      <c r="AX94" s="151"/>
      <c r="AY94" s="76">
        <f t="shared" ca="1" si="87"/>
        <v>4.1786613573834508E-2</v>
      </c>
      <c r="AZ94">
        <v>7</v>
      </c>
      <c r="BA94" s="129">
        <f t="shared" si="88"/>
        <v>39646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89"/>
        <v>0.54127564107388793</v>
      </c>
      <c r="CL94" s="179">
        <f t="shared" si="90"/>
        <v>7</v>
      </c>
      <c r="CM94" s="180">
        <f t="shared" si="91"/>
        <v>39646</v>
      </c>
      <c r="CN94">
        <v>0</v>
      </c>
      <c r="CO94">
        <v>0</v>
      </c>
      <c r="CP94">
        <v>1</v>
      </c>
      <c r="CQ94">
        <v>0</v>
      </c>
      <c r="CR94">
        <v>1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0.55641737817370651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20.833333333333332</v>
      </c>
      <c r="DI94" s="161">
        <f t="shared" si="97"/>
        <v>0</v>
      </c>
      <c r="DJ94" s="161">
        <f t="shared" si="98"/>
        <v>20.833333333333332</v>
      </c>
      <c r="DK94" s="161">
        <f t="shared" si="99"/>
        <v>0</v>
      </c>
      <c r="DL94" s="161">
        <f t="shared" si="100"/>
        <v>0</v>
      </c>
      <c r="DM94" s="161">
        <f t="shared" si="101"/>
        <v>0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41.666666666666664</v>
      </c>
      <c r="EL94" s="149"/>
      <c r="EN94" s="151"/>
      <c r="EO94" s="151"/>
      <c r="EP94" s="139">
        <f t="shared" si="55"/>
        <v>0</v>
      </c>
      <c r="EQ94" s="139">
        <f t="shared" si="56"/>
        <v>0</v>
      </c>
      <c r="ER94" s="139">
        <f t="shared" si="57"/>
        <v>1.3125757668577633</v>
      </c>
      <c r="ES94" s="139">
        <f t="shared" si="58"/>
        <v>0</v>
      </c>
      <c r="ET94" s="139">
        <f t="shared" si="59"/>
        <v>8.3906100241670192</v>
      </c>
      <c r="EU94" s="139">
        <f t="shared" si="60"/>
        <v>0</v>
      </c>
      <c r="EV94" s="139">
        <f t="shared" si="61"/>
        <v>0</v>
      </c>
      <c r="EW94" s="139">
        <f t="shared" si="62"/>
        <v>0</v>
      </c>
      <c r="EX94" s="139">
        <f t="shared" si="63"/>
        <v>0</v>
      </c>
      <c r="EY94" s="139">
        <f t="shared" si="64"/>
        <v>0</v>
      </c>
      <c r="EZ94" s="139">
        <f t="shared" si="65"/>
        <v>0</v>
      </c>
      <c r="FA94" s="139">
        <f t="shared" si="66"/>
        <v>0</v>
      </c>
      <c r="FB94" s="139">
        <f t="shared" si="67"/>
        <v>0</v>
      </c>
      <c r="FC94" s="139">
        <f t="shared" si="68"/>
        <v>0</v>
      </c>
      <c r="FD94" s="139">
        <f t="shared" si="69"/>
        <v>0</v>
      </c>
      <c r="FE94" s="139">
        <f t="shared" si="70"/>
        <v>0</v>
      </c>
      <c r="FF94" s="139">
        <f t="shared" si="71"/>
        <v>0</v>
      </c>
      <c r="FG94" s="139">
        <f t="shared" si="72"/>
        <v>0</v>
      </c>
      <c r="FH94" s="139">
        <f t="shared" si="73"/>
        <v>0</v>
      </c>
      <c r="FI94" s="139">
        <f t="shared" si="74"/>
        <v>0</v>
      </c>
      <c r="FJ94" s="139">
        <f t="shared" si="75"/>
        <v>0</v>
      </c>
      <c r="FK94" s="139">
        <f t="shared" si="76"/>
        <v>0</v>
      </c>
      <c r="FL94" s="139">
        <f t="shared" si="77"/>
        <v>0</v>
      </c>
      <c r="FM94" s="139">
        <f t="shared" si="78"/>
        <v>0</v>
      </c>
      <c r="FN94" s="139">
        <f t="shared" si="79"/>
        <v>0</v>
      </c>
      <c r="FO94" s="139">
        <f t="shared" si="80"/>
        <v>0</v>
      </c>
      <c r="FP94" s="139">
        <f t="shared" si="81"/>
        <v>0</v>
      </c>
      <c r="FQ94" s="139">
        <f t="shared" si="82"/>
        <v>0</v>
      </c>
      <c r="FR94" s="139">
        <f t="shared" si="83"/>
        <v>0</v>
      </c>
      <c r="FS94" s="139">
        <f t="shared" si="84"/>
        <v>0</v>
      </c>
      <c r="FT94" s="139">
        <f t="shared" si="85"/>
        <v>0</v>
      </c>
      <c r="FU94" s="148">
        <f t="shared" si="86"/>
        <v>9.703185791024783</v>
      </c>
      <c r="FV94" s="149"/>
      <c r="FY94" s="211">
        <v>89</v>
      </c>
      <c r="FZ94">
        <v>5.4839777797127054</v>
      </c>
      <c r="GA94">
        <v>22.807787911787539</v>
      </c>
      <c r="GB94">
        <v>20.375905274216606</v>
      </c>
      <c r="GC94">
        <v>10.292290052036414</v>
      </c>
      <c r="GD94">
        <v>9.2843735024750647</v>
      </c>
      <c r="GE94">
        <v>26.348500106747117</v>
      </c>
      <c r="GF94">
        <v>26.338612724309471</v>
      </c>
      <c r="GG94">
        <v>21.364421597150844</v>
      </c>
      <c r="GH94">
        <v>25.505570503489029</v>
      </c>
      <c r="GI94">
        <v>20.519902502101043</v>
      </c>
      <c r="GJ94"/>
      <c r="GK94"/>
      <c r="GL94"/>
      <c r="GM94"/>
    </row>
    <row r="95" spans="1:195" s="7" customFormat="1">
      <c r="A95" s="77"/>
      <c r="B95" s="76">
        <f t="shared" ca="1" si="49"/>
        <v>0.86431559482279319</v>
      </c>
      <c r="C95">
        <v>10</v>
      </c>
      <c r="D95">
        <v>39646</v>
      </c>
      <c r="E95">
        <v>0</v>
      </c>
      <c r="F95">
        <v>0</v>
      </c>
      <c r="G95">
        <v>41.666666666666664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96.081148192911911</v>
      </c>
      <c r="AO95">
        <v>35.584596772628664</v>
      </c>
      <c r="AP95">
        <v>233.27272850435617</v>
      </c>
      <c r="AQ95">
        <v>195.88398428928497</v>
      </c>
      <c r="AR95">
        <v>31.998070721823442</v>
      </c>
      <c r="AS95">
        <v>158.20280670579635</v>
      </c>
      <c r="AT95" t="e">
        <v>#DIV/0!</v>
      </c>
      <c r="AU95" t="e">
        <v>#DIV/0!</v>
      </c>
      <c r="AV95"/>
      <c r="AW95"/>
      <c r="AX95" s="151"/>
      <c r="AY95" s="76">
        <f t="shared" ca="1" si="87"/>
        <v>0.66578959006337524</v>
      </c>
      <c r="AZ95">
        <v>8</v>
      </c>
      <c r="BA95" s="129">
        <f t="shared" si="88"/>
        <v>39646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89"/>
        <v>0.37595314530055068</v>
      </c>
      <c r="CL95" s="179">
        <f t="shared" si="90"/>
        <v>8</v>
      </c>
      <c r="CM95" s="180">
        <f t="shared" si="91"/>
        <v>39646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0.72545183188352169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0</v>
      </c>
      <c r="DH95" s="161">
        <f t="shared" si="96"/>
        <v>0</v>
      </c>
      <c r="DI95" s="161">
        <f t="shared" si="97"/>
        <v>0</v>
      </c>
      <c r="DJ95" s="161">
        <f t="shared" si="98"/>
        <v>0</v>
      </c>
      <c r="DK95" s="161">
        <f t="shared" si="99"/>
        <v>0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0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0</v>
      </c>
      <c r="EL95" s="149"/>
      <c r="EN95" s="151"/>
      <c r="EO95" s="151"/>
      <c r="EP95" s="139">
        <f t="shared" si="55"/>
        <v>0</v>
      </c>
      <c r="EQ95" s="139">
        <f t="shared" si="56"/>
        <v>0</v>
      </c>
      <c r="ER95" s="139">
        <f t="shared" si="57"/>
        <v>0</v>
      </c>
      <c r="ES95" s="139">
        <f t="shared" si="58"/>
        <v>0</v>
      </c>
      <c r="ET95" s="139">
        <f t="shared" si="59"/>
        <v>0</v>
      </c>
      <c r="EU95" s="139">
        <f t="shared" si="60"/>
        <v>0</v>
      </c>
      <c r="EV95" s="139">
        <f t="shared" si="61"/>
        <v>0</v>
      </c>
      <c r="EW95" s="139">
        <f t="shared" si="62"/>
        <v>0</v>
      </c>
      <c r="EX95" s="139">
        <f t="shared" si="63"/>
        <v>0</v>
      </c>
      <c r="EY95" s="139">
        <f t="shared" si="64"/>
        <v>0</v>
      </c>
      <c r="EZ95" s="139">
        <f t="shared" si="65"/>
        <v>0</v>
      </c>
      <c r="FA95" s="139">
        <f t="shared" si="66"/>
        <v>0</v>
      </c>
      <c r="FB95" s="139">
        <f t="shared" si="67"/>
        <v>0</v>
      </c>
      <c r="FC95" s="139">
        <f t="shared" si="68"/>
        <v>0</v>
      </c>
      <c r="FD95" s="139">
        <f t="shared" si="69"/>
        <v>0</v>
      </c>
      <c r="FE95" s="139">
        <f t="shared" si="70"/>
        <v>0</v>
      </c>
      <c r="FF95" s="139">
        <f t="shared" si="71"/>
        <v>0</v>
      </c>
      <c r="FG95" s="139">
        <f t="shared" si="72"/>
        <v>0</v>
      </c>
      <c r="FH95" s="139">
        <f t="shared" si="73"/>
        <v>0</v>
      </c>
      <c r="FI95" s="139">
        <f t="shared" si="74"/>
        <v>0</v>
      </c>
      <c r="FJ95" s="139">
        <f t="shared" si="75"/>
        <v>0</v>
      </c>
      <c r="FK95" s="139">
        <f t="shared" si="76"/>
        <v>0</v>
      </c>
      <c r="FL95" s="139">
        <f t="shared" si="77"/>
        <v>0</v>
      </c>
      <c r="FM95" s="139">
        <f t="shared" si="78"/>
        <v>0</v>
      </c>
      <c r="FN95" s="139">
        <f t="shared" si="79"/>
        <v>0</v>
      </c>
      <c r="FO95" s="139">
        <f t="shared" si="80"/>
        <v>0</v>
      </c>
      <c r="FP95" s="139">
        <f t="shared" si="81"/>
        <v>0</v>
      </c>
      <c r="FQ95" s="139">
        <f t="shared" si="82"/>
        <v>0</v>
      </c>
      <c r="FR95" s="139">
        <f t="shared" si="83"/>
        <v>0</v>
      </c>
      <c r="FS95" s="139">
        <f t="shared" si="84"/>
        <v>0</v>
      </c>
      <c r="FT95" s="139">
        <f t="shared" si="85"/>
        <v>0</v>
      </c>
      <c r="FU95" s="148">
        <f t="shared" si="86"/>
        <v>0</v>
      </c>
      <c r="FV95" s="149"/>
      <c r="FY95" s="211">
        <v>90</v>
      </c>
      <c r="FZ95">
        <v>3.7820892291932502</v>
      </c>
      <c r="GA95">
        <v>15.890694556855127</v>
      </c>
      <c r="GB95">
        <v>11.082459502966653</v>
      </c>
      <c r="GC95">
        <v>13.967039967408276</v>
      </c>
      <c r="GD95">
        <v>13.327330947392593</v>
      </c>
      <c r="GE95">
        <v>20.580744882310373</v>
      </c>
      <c r="GF95">
        <v>39.231182357763963</v>
      </c>
      <c r="GG95">
        <v>36.43525846585699</v>
      </c>
      <c r="GH95">
        <v>24.408449244480611</v>
      </c>
      <c r="GI95">
        <v>22.670135176838119</v>
      </c>
      <c r="GJ95"/>
      <c r="GK95"/>
      <c r="GL95"/>
      <c r="GM95"/>
    </row>
    <row r="96" spans="1:195" s="7" customFormat="1">
      <c r="A96" s="77"/>
      <c r="B96" s="76">
        <f t="shared" ca="1" si="49"/>
        <v>0.8298531029980416</v>
      </c>
      <c r="C96">
        <v>5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110.89643314239497</v>
      </c>
      <c r="AO96">
        <v>44.245972490772232</v>
      </c>
      <c r="AP96">
        <v>297.1198037597851</v>
      </c>
      <c r="AQ96">
        <v>251.36754938772202</v>
      </c>
      <c r="AR96">
        <v>39.767873322721925</v>
      </c>
      <c r="AS96">
        <v>190.75975792806972</v>
      </c>
      <c r="AT96">
        <v>30.322818853469684</v>
      </c>
      <c r="AU96">
        <v>56.113779482822288</v>
      </c>
      <c r="AV96"/>
      <c r="AW96"/>
      <c r="AX96" s="151"/>
      <c r="AY96" s="76">
        <f t="shared" ca="1" si="87"/>
        <v>6.4967118889329933E-2</v>
      </c>
      <c r="AZ96">
        <v>9</v>
      </c>
      <c r="BA96" s="129">
        <f t="shared" si="88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89"/>
        <v>0.46774836587247681</v>
      </c>
      <c r="CL96" s="179">
        <f t="shared" si="90"/>
        <v>9</v>
      </c>
      <c r="CM96" s="180">
        <f t="shared" si="91"/>
        <v>39646</v>
      </c>
      <c r="CN96">
        <v>0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6.9904357350502266E-2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10.416666666666666</v>
      </c>
      <c r="DH96" s="161">
        <f t="shared" si="96"/>
        <v>0</v>
      </c>
      <c r="DI96" s="161">
        <f t="shared" si="97"/>
        <v>0</v>
      </c>
      <c r="DJ96" s="161">
        <f t="shared" si="98"/>
        <v>0</v>
      </c>
      <c r="DK96" s="161">
        <f t="shared" si="99"/>
        <v>0</v>
      </c>
      <c r="DL96" s="161">
        <f t="shared" si="100"/>
        <v>0</v>
      </c>
      <c r="DM96" s="161">
        <f t="shared" si="101"/>
        <v>0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10.416666666666666</v>
      </c>
      <c r="EL96" s="149"/>
      <c r="EN96" s="151"/>
      <c r="EO96" s="151"/>
      <c r="EP96" s="139">
        <f t="shared" si="55"/>
        <v>0</v>
      </c>
      <c r="EQ96" s="139">
        <f t="shared" si="56"/>
        <v>0.10266566666666667</v>
      </c>
      <c r="ER96" s="139">
        <f t="shared" si="57"/>
        <v>0</v>
      </c>
      <c r="ES96" s="139">
        <f t="shared" si="58"/>
        <v>0</v>
      </c>
      <c r="ET96" s="139">
        <f t="shared" si="59"/>
        <v>0</v>
      </c>
      <c r="EU96" s="139">
        <f t="shared" si="60"/>
        <v>0</v>
      </c>
      <c r="EV96" s="139">
        <f t="shared" si="61"/>
        <v>0</v>
      </c>
      <c r="EW96" s="139">
        <f t="shared" si="62"/>
        <v>0</v>
      </c>
      <c r="EX96" s="139">
        <f t="shared" si="63"/>
        <v>0</v>
      </c>
      <c r="EY96" s="139">
        <f t="shared" si="64"/>
        <v>0</v>
      </c>
      <c r="EZ96" s="139">
        <f t="shared" si="65"/>
        <v>0</v>
      </c>
      <c r="FA96" s="139">
        <f t="shared" si="66"/>
        <v>0</v>
      </c>
      <c r="FB96" s="139">
        <f t="shared" si="67"/>
        <v>0</v>
      </c>
      <c r="FC96" s="139">
        <f t="shared" si="68"/>
        <v>0</v>
      </c>
      <c r="FD96" s="139">
        <f t="shared" si="69"/>
        <v>0</v>
      </c>
      <c r="FE96" s="139">
        <f t="shared" si="70"/>
        <v>0</v>
      </c>
      <c r="FF96" s="139">
        <f t="shared" si="71"/>
        <v>0</v>
      </c>
      <c r="FG96" s="139">
        <f t="shared" si="72"/>
        <v>0</v>
      </c>
      <c r="FH96" s="139">
        <f t="shared" si="73"/>
        <v>0</v>
      </c>
      <c r="FI96" s="139">
        <f t="shared" si="74"/>
        <v>0</v>
      </c>
      <c r="FJ96" s="139">
        <f t="shared" si="75"/>
        <v>0</v>
      </c>
      <c r="FK96" s="139">
        <f t="shared" si="76"/>
        <v>0</v>
      </c>
      <c r="FL96" s="139">
        <f t="shared" si="77"/>
        <v>0</v>
      </c>
      <c r="FM96" s="139">
        <f t="shared" si="78"/>
        <v>0</v>
      </c>
      <c r="FN96" s="139">
        <f t="shared" si="79"/>
        <v>0</v>
      </c>
      <c r="FO96" s="139">
        <f t="shared" si="80"/>
        <v>0</v>
      </c>
      <c r="FP96" s="139">
        <f t="shared" si="81"/>
        <v>0</v>
      </c>
      <c r="FQ96" s="139">
        <f t="shared" si="82"/>
        <v>0</v>
      </c>
      <c r="FR96" s="139">
        <f t="shared" si="83"/>
        <v>0</v>
      </c>
      <c r="FS96" s="139">
        <f t="shared" si="84"/>
        <v>0</v>
      </c>
      <c r="FT96" s="139">
        <f t="shared" si="85"/>
        <v>0</v>
      </c>
      <c r="FU96" s="148">
        <f t="shared" si="86"/>
        <v>0.10266566666666667</v>
      </c>
      <c r="FV96" s="149"/>
      <c r="FY96" s="211">
        <v>91</v>
      </c>
      <c r="FZ96">
        <v>6.9065450404631799</v>
      </c>
      <c r="GA96">
        <v>17.493381767120304</v>
      </c>
      <c r="GB96">
        <v>18.927042810393008</v>
      </c>
      <c r="GC96">
        <v>15.465668208064947</v>
      </c>
      <c r="GD96">
        <v>14.816909540598093</v>
      </c>
      <c r="GE96">
        <v>29.379460573218083</v>
      </c>
      <c r="GF96">
        <v>32.735539259708794</v>
      </c>
      <c r="GG96">
        <v>23.042052654467344</v>
      </c>
      <c r="GH96">
        <v>14.577891564724624</v>
      </c>
      <c r="GI96">
        <v>23.19847596787351</v>
      </c>
      <c r="GJ96"/>
      <c r="GK96"/>
      <c r="GL96"/>
      <c r="GM96"/>
    </row>
    <row r="97" spans="1:195" s="7" customFormat="1">
      <c r="A97" s="77"/>
      <c r="B97" s="76">
        <f t="shared" ca="1" si="49"/>
        <v>0.48931396530077098</v>
      </c>
      <c r="C97">
        <v>7</v>
      </c>
      <c r="D97">
        <v>39646</v>
      </c>
      <c r="E97">
        <v>0</v>
      </c>
      <c r="F97">
        <v>0</v>
      </c>
      <c r="G97">
        <v>20.833333333333332</v>
      </c>
      <c r="H97">
        <v>0</v>
      </c>
      <c r="I97">
        <v>20.833333333333332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82.629272589477665</v>
      </c>
      <c r="AO97">
        <v>30.115691749009422</v>
      </c>
      <c r="AP97">
        <v>187.81867412681657</v>
      </c>
      <c r="AQ97">
        <v>165.3766229401603</v>
      </c>
      <c r="AR97">
        <v>27.597470582064084</v>
      </c>
      <c r="AS97">
        <v>129.30956971320708</v>
      </c>
      <c r="AT97" t="e">
        <v>#DIV/0!</v>
      </c>
      <c r="AU97" t="e">
        <v>#DIV/0!</v>
      </c>
      <c r="AV97"/>
      <c r="AW97"/>
      <c r="AX97" s="151"/>
      <c r="AY97" s="76">
        <f t="shared" ca="1" si="87"/>
        <v>0.44819166644779074</v>
      </c>
      <c r="AZ97">
        <v>10</v>
      </c>
      <c r="BA97" s="129">
        <f t="shared" si="88"/>
        <v>39646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89"/>
        <v>1.3726701891338955E-2</v>
      </c>
      <c r="CL97" s="179">
        <f t="shared" si="90"/>
        <v>10</v>
      </c>
      <c r="CM97" s="180">
        <f t="shared" si="91"/>
        <v>39646</v>
      </c>
      <c r="CN97">
        <v>0</v>
      </c>
      <c r="CO97">
        <v>0</v>
      </c>
      <c r="CP97">
        <v>2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0.4322414274079478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0</v>
      </c>
      <c r="DH97" s="161">
        <f t="shared" si="96"/>
        <v>41.666666666666664</v>
      </c>
      <c r="DI97" s="161">
        <f t="shared" si="97"/>
        <v>0</v>
      </c>
      <c r="DJ97" s="161">
        <f t="shared" si="98"/>
        <v>0</v>
      </c>
      <c r="DK97" s="161">
        <f t="shared" si="99"/>
        <v>0</v>
      </c>
      <c r="DL97" s="161">
        <f t="shared" si="100"/>
        <v>0</v>
      </c>
      <c r="DM97" s="161">
        <f t="shared" si="101"/>
        <v>0</v>
      </c>
      <c r="DN97" s="161">
        <f t="shared" si="102"/>
        <v>0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41.666666666666664</v>
      </c>
      <c r="EL97" s="149"/>
      <c r="EN97" s="151"/>
      <c r="EO97" s="151"/>
      <c r="EP97" s="139">
        <f t="shared" si="55"/>
        <v>0</v>
      </c>
      <c r="EQ97" s="139">
        <f t="shared" si="56"/>
        <v>0</v>
      </c>
      <c r="ER97" s="139">
        <f t="shared" si="57"/>
        <v>2.6251515337155267</v>
      </c>
      <c r="ES97" s="139">
        <f t="shared" si="58"/>
        <v>0</v>
      </c>
      <c r="ET97" s="139">
        <f t="shared" si="59"/>
        <v>0</v>
      </c>
      <c r="EU97" s="139">
        <f t="shared" si="60"/>
        <v>0</v>
      </c>
      <c r="EV97" s="139">
        <f t="shared" si="61"/>
        <v>0</v>
      </c>
      <c r="EW97" s="139">
        <f t="shared" si="62"/>
        <v>0</v>
      </c>
      <c r="EX97" s="139">
        <f t="shared" si="63"/>
        <v>0</v>
      </c>
      <c r="EY97" s="139">
        <f t="shared" si="64"/>
        <v>0</v>
      </c>
      <c r="EZ97" s="139">
        <f t="shared" si="65"/>
        <v>0</v>
      </c>
      <c r="FA97" s="139">
        <f t="shared" si="66"/>
        <v>0</v>
      </c>
      <c r="FB97" s="139">
        <f t="shared" si="67"/>
        <v>0</v>
      </c>
      <c r="FC97" s="139">
        <f t="shared" si="68"/>
        <v>0</v>
      </c>
      <c r="FD97" s="139">
        <f t="shared" si="69"/>
        <v>0</v>
      </c>
      <c r="FE97" s="139">
        <f t="shared" si="70"/>
        <v>0</v>
      </c>
      <c r="FF97" s="139">
        <f t="shared" si="71"/>
        <v>0</v>
      </c>
      <c r="FG97" s="139">
        <f t="shared" si="72"/>
        <v>0</v>
      </c>
      <c r="FH97" s="139">
        <f t="shared" si="73"/>
        <v>0</v>
      </c>
      <c r="FI97" s="139">
        <f t="shared" si="74"/>
        <v>0</v>
      </c>
      <c r="FJ97" s="139">
        <f t="shared" si="75"/>
        <v>0</v>
      </c>
      <c r="FK97" s="139">
        <f t="shared" si="76"/>
        <v>0</v>
      </c>
      <c r="FL97" s="139">
        <f t="shared" si="77"/>
        <v>0</v>
      </c>
      <c r="FM97" s="139">
        <f t="shared" si="78"/>
        <v>0</v>
      </c>
      <c r="FN97" s="139">
        <f t="shared" si="79"/>
        <v>0</v>
      </c>
      <c r="FO97" s="139">
        <f t="shared" si="80"/>
        <v>0</v>
      </c>
      <c r="FP97" s="139">
        <f t="shared" si="81"/>
        <v>0</v>
      </c>
      <c r="FQ97" s="139">
        <f t="shared" si="82"/>
        <v>0</v>
      </c>
      <c r="FR97" s="139">
        <f t="shared" si="83"/>
        <v>0</v>
      </c>
      <c r="FS97" s="139">
        <f t="shared" si="84"/>
        <v>0</v>
      </c>
      <c r="FT97" s="139">
        <f t="shared" si="85"/>
        <v>0</v>
      </c>
      <c r="FU97" s="148">
        <f t="shared" si="86"/>
        <v>2.6251515337155267</v>
      </c>
      <c r="FV97" s="149"/>
      <c r="FY97" s="211">
        <v>92</v>
      </c>
      <c r="FZ97">
        <v>1.4937789092788676</v>
      </c>
      <c r="GA97">
        <v>10.470207911335141</v>
      </c>
      <c r="GB97">
        <v>23.33285337677988</v>
      </c>
      <c r="GC97">
        <v>16.122711380974838</v>
      </c>
      <c r="GD97">
        <v>14.409811310723777</v>
      </c>
      <c r="GE97">
        <v>35.85228954334363</v>
      </c>
      <c r="GF97">
        <v>42.576044027852511</v>
      </c>
      <c r="GG97">
        <v>20.744954266619292</v>
      </c>
      <c r="GH97">
        <v>7.9148102313250215</v>
      </c>
      <c r="GI97">
        <v>24.07733155118208</v>
      </c>
      <c r="GJ97"/>
      <c r="GK97"/>
      <c r="GL97"/>
      <c r="GM97"/>
    </row>
    <row r="98" spans="1:195" s="7" customFormat="1">
      <c r="A98" s="128"/>
      <c r="B98" s="76">
        <f t="shared" ca="1" si="49"/>
        <v>0.18833378117048816</v>
      </c>
      <c r="C98">
        <v>6</v>
      </c>
      <c r="D98">
        <v>39673</v>
      </c>
      <c r="E98">
        <v>0</v>
      </c>
      <c r="F98">
        <v>0</v>
      </c>
      <c r="G98">
        <v>31.25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56.983886217737357</v>
      </c>
      <c r="AO98">
        <v>24.106027749588982</v>
      </c>
      <c r="AP98">
        <v>141.68023726627032</v>
      </c>
      <c r="AQ98">
        <v>123.58208302106154</v>
      </c>
      <c r="AR98">
        <v>21.932103673406001</v>
      </c>
      <c r="AS98">
        <v>104.35820278326345</v>
      </c>
      <c r="AT98" t="e">
        <v>#DIV/0!</v>
      </c>
      <c r="AU98" t="e">
        <v>#DIV/0!</v>
      </c>
      <c r="AV98"/>
      <c r="AW98"/>
      <c r="AX98" s="128"/>
      <c r="AY98" s="76">
        <f t="shared" ca="1" si="87"/>
        <v>0.15827951985426925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89"/>
        <v>0.9998096034261057</v>
      </c>
      <c r="CL98" s="179">
        <f t="shared" si="90"/>
        <v>1</v>
      </c>
      <c r="CM98" s="180">
        <f t="shared" si="91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0.23515829111529651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0</v>
      </c>
      <c r="DI98" s="161">
        <f t="shared" si="97"/>
        <v>0</v>
      </c>
      <c r="DJ98" s="161">
        <f t="shared" si="98"/>
        <v>0</v>
      </c>
      <c r="DK98" s="161">
        <f t="shared" si="99"/>
        <v>0</v>
      </c>
      <c r="DL98" s="161">
        <f t="shared" si="100"/>
        <v>10.416666666666666</v>
      </c>
      <c r="DM98" s="161">
        <f t="shared" si="101"/>
        <v>0</v>
      </c>
      <c r="DN98" s="161">
        <f t="shared" si="102"/>
        <v>0</v>
      </c>
      <c r="DO98" s="161">
        <f t="shared" si="103"/>
        <v>0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10.416666666666666</v>
      </c>
      <c r="EL98" s="149"/>
      <c r="EN98" s="146"/>
      <c r="EO98" s="146"/>
      <c r="EP98" s="139">
        <f t="shared" si="55"/>
        <v>0</v>
      </c>
      <c r="EQ98" s="139">
        <f t="shared" si="56"/>
        <v>0</v>
      </c>
      <c r="ER98" s="139">
        <f t="shared" si="57"/>
        <v>0</v>
      </c>
      <c r="ES98" s="139">
        <f t="shared" si="58"/>
        <v>0</v>
      </c>
      <c r="ET98" s="139">
        <f t="shared" si="59"/>
        <v>0</v>
      </c>
      <c r="EU98" s="139">
        <f t="shared" si="60"/>
        <v>0</v>
      </c>
      <c r="EV98" s="139">
        <f t="shared" si="61"/>
        <v>12.417946497518479</v>
      </c>
      <c r="EW98" s="139">
        <f t="shared" si="62"/>
        <v>0</v>
      </c>
      <c r="EX98" s="139">
        <f t="shared" si="63"/>
        <v>0</v>
      </c>
      <c r="EY98" s="139">
        <f t="shared" si="64"/>
        <v>0</v>
      </c>
      <c r="EZ98" s="139">
        <f t="shared" si="65"/>
        <v>0</v>
      </c>
      <c r="FA98" s="139">
        <f t="shared" si="66"/>
        <v>0</v>
      </c>
      <c r="FB98" s="139">
        <f t="shared" si="67"/>
        <v>0</v>
      </c>
      <c r="FC98" s="139">
        <f t="shared" si="68"/>
        <v>0</v>
      </c>
      <c r="FD98" s="139">
        <f t="shared" si="69"/>
        <v>0</v>
      </c>
      <c r="FE98" s="139">
        <f t="shared" si="70"/>
        <v>0</v>
      </c>
      <c r="FF98" s="139">
        <f t="shared" si="71"/>
        <v>0</v>
      </c>
      <c r="FG98" s="139">
        <f t="shared" si="72"/>
        <v>0</v>
      </c>
      <c r="FH98" s="139">
        <f t="shared" si="73"/>
        <v>0</v>
      </c>
      <c r="FI98" s="139">
        <f t="shared" si="74"/>
        <v>0</v>
      </c>
      <c r="FJ98" s="139">
        <f t="shared" si="75"/>
        <v>0</v>
      </c>
      <c r="FK98" s="139">
        <f t="shared" si="76"/>
        <v>0</v>
      </c>
      <c r="FL98" s="139">
        <f t="shared" si="77"/>
        <v>0</v>
      </c>
      <c r="FM98" s="139">
        <f t="shared" si="78"/>
        <v>0</v>
      </c>
      <c r="FN98" s="139">
        <f t="shared" si="79"/>
        <v>0</v>
      </c>
      <c r="FO98" s="139">
        <f t="shared" si="80"/>
        <v>0</v>
      </c>
      <c r="FP98" s="139">
        <f t="shared" si="81"/>
        <v>0</v>
      </c>
      <c r="FQ98" s="139">
        <f t="shared" si="82"/>
        <v>0</v>
      </c>
      <c r="FR98" s="139">
        <f t="shared" si="83"/>
        <v>0</v>
      </c>
      <c r="FS98" s="139">
        <f t="shared" si="84"/>
        <v>0</v>
      </c>
      <c r="FT98" s="139">
        <f t="shared" si="85"/>
        <v>0</v>
      </c>
      <c r="FU98" s="148">
        <f t="shared" si="86"/>
        <v>12.417946497518479</v>
      </c>
      <c r="FV98" s="149"/>
      <c r="FY98" s="211">
        <v>93</v>
      </c>
      <c r="FZ98">
        <v>4.7972538941635774</v>
      </c>
      <c r="GA98">
        <v>11.740271408785013</v>
      </c>
      <c r="GB98">
        <v>14.307632077092197</v>
      </c>
      <c r="GC98">
        <v>14.99661393341886</v>
      </c>
      <c r="GD98">
        <v>14.795520912465358</v>
      </c>
      <c r="GE98">
        <v>22.158621251086959</v>
      </c>
      <c r="GF98">
        <v>18.938896091596014</v>
      </c>
      <c r="GG98">
        <v>9.5906004999262215</v>
      </c>
      <c r="GH98">
        <v>3.1034646413387486</v>
      </c>
      <c r="GI98">
        <v>17.301478952040068</v>
      </c>
      <c r="GJ98"/>
      <c r="GK98"/>
      <c r="GL98"/>
      <c r="GM98"/>
    </row>
    <row r="99" spans="1:195" s="7" customFormat="1">
      <c r="A99" s="1"/>
      <c r="B99" s="76">
        <f t="shared" ca="1" si="49"/>
        <v>0.85018776287264952</v>
      </c>
      <c r="C99">
        <v>1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10.416666666666666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77.329228870322424</v>
      </c>
      <c r="AO99">
        <v>26.282658440027308</v>
      </c>
      <c r="AP99">
        <v>175.35888194826094</v>
      </c>
      <c r="AQ99">
        <v>149.17364228972824</v>
      </c>
      <c r="AR99">
        <v>23.469386223480694</v>
      </c>
      <c r="AS99">
        <v>120.90355340377174</v>
      </c>
      <c r="AT99" t="e">
        <v>#DIV/0!</v>
      </c>
      <c r="AU99" t="e">
        <v>#DIV/0!</v>
      </c>
      <c r="AV99"/>
      <c r="AW99"/>
      <c r="AX99" s="146"/>
      <c r="AY99" s="76">
        <f t="shared" ca="1" si="87"/>
        <v>0.71571213760274177</v>
      </c>
      <c r="AZ99">
        <v>2</v>
      </c>
      <c r="BA99" s="129">
        <f t="shared" ref="BA99:BA107" si="126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89"/>
        <v>0.68111301945244085</v>
      </c>
      <c r="CL99" s="179">
        <f t="shared" si="90"/>
        <v>2</v>
      </c>
      <c r="CM99" s="180">
        <f t="shared" si="91"/>
        <v>39673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0.95682122751518617</v>
      </c>
      <c r="DD99">
        <f t="shared" si="93"/>
        <v>2</v>
      </c>
      <c r="DE99" s="129">
        <f t="shared" si="125"/>
        <v>39673</v>
      </c>
      <c r="DF99" s="161">
        <f t="shared" si="94"/>
        <v>0</v>
      </c>
      <c r="DG99" s="161">
        <f t="shared" si="95"/>
        <v>0</v>
      </c>
      <c r="DH99" s="161">
        <f t="shared" si="96"/>
        <v>0</v>
      </c>
      <c r="DI99" s="161">
        <f t="shared" si="97"/>
        <v>0</v>
      </c>
      <c r="DJ99" s="161">
        <f t="shared" si="98"/>
        <v>0</v>
      </c>
      <c r="DK99" s="161">
        <f t="shared" si="99"/>
        <v>0</v>
      </c>
      <c r="DL99" s="161">
        <f t="shared" si="100"/>
        <v>0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0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0</v>
      </c>
      <c r="EL99" s="149"/>
      <c r="EN99" s="146"/>
      <c r="EO99" s="146"/>
      <c r="EP99" s="139">
        <f t="shared" si="55"/>
        <v>0</v>
      </c>
      <c r="EQ99" s="139">
        <f t="shared" si="56"/>
        <v>0</v>
      </c>
      <c r="ER99" s="139">
        <f t="shared" si="57"/>
        <v>0</v>
      </c>
      <c r="ES99" s="139">
        <f t="shared" si="58"/>
        <v>0</v>
      </c>
      <c r="ET99" s="139">
        <f t="shared" si="59"/>
        <v>0</v>
      </c>
      <c r="EU99" s="139">
        <f t="shared" si="60"/>
        <v>0</v>
      </c>
      <c r="EV99" s="139">
        <f t="shared" si="61"/>
        <v>0</v>
      </c>
      <c r="EW99" s="139">
        <f t="shared" si="62"/>
        <v>0</v>
      </c>
      <c r="EX99" s="139">
        <f t="shared" si="63"/>
        <v>0</v>
      </c>
      <c r="EY99" s="139">
        <f t="shared" si="64"/>
        <v>0</v>
      </c>
      <c r="EZ99" s="139">
        <f t="shared" si="65"/>
        <v>0</v>
      </c>
      <c r="FA99" s="139">
        <f t="shared" si="66"/>
        <v>0</v>
      </c>
      <c r="FB99" s="139">
        <f t="shared" si="67"/>
        <v>0</v>
      </c>
      <c r="FC99" s="139">
        <f t="shared" si="68"/>
        <v>0</v>
      </c>
      <c r="FD99" s="139">
        <f t="shared" si="69"/>
        <v>0</v>
      </c>
      <c r="FE99" s="139">
        <f t="shared" si="70"/>
        <v>0</v>
      </c>
      <c r="FF99" s="139">
        <f t="shared" si="71"/>
        <v>0</v>
      </c>
      <c r="FG99" s="139">
        <f t="shared" si="72"/>
        <v>0</v>
      </c>
      <c r="FH99" s="139">
        <f t="shared" si="73"/>
        <v>0</v>
      </c>
      <c r="FI99" s="139">
        <f t="shared" si="74"/>
        <v>0</v>
      </c>
      <c r="FJ99" s="139">
        <f t="shared" si="75"/>
        <v>0</v>
      </c>
      <c r="FK99" s="139">
        <f t="shared" si="76"/>
        <v>0</v>
      </c>
      <c r="FL99" s="139">
        <f t="shared" si="77"/>
        <v>0</v>
      </c>
      <c r="FM99" s="139">
        <f t="shared" si="78"/>
        <v>0</v>
      </c>
      <c r="FN99" s="139">
        <f t="shared" si="79"/>
        <v>0</v>
      </c>
      <c r="FO99" s="139">
        <f t="shared" si="80"/>
        <v>0</v>
      </c>
      <c r="FP99" s="139">
        <f t="shared" si="81"/>
        <v>0</v>
      </c>
      <c r="FQ99" s="139">
        <f t="shared" si="82"/>
        <v>0</v>
      </c>
      <c r="FR99" s="139">
        <f t="shared" si="83"/>
        <v>0</v>
      </c>
      <c r="FS99" s="139">
        <f t="shared" si="84"/>
        <v>0</v>
      </c>
      <c r="FT99" s="139">
        <f t="shared" si="85"/>
        <v>0</v>
      </c>
      <c r="FU99" s="148">
        <f t="shared" si="86"/>
        <v>0</v>
      </c>
      <c r="FV99" s="149"/>
      <c r="FY99" s="211">
        <v>94</v>
      </c>
      <c r="FZ99">
        <v>3.8400082823665267</v>
      </c>
      <c r="GA99">
        <v>14.917386678288139</v>
      </c>
      <c r="GB99">
        <v>17.186549401988067</v>
      </c>
      <c r="GC99">
        <v>12.358794865297529</v>
      </c>
      <c r="GD99">
        <v>9.0235236838778814</v>
      </c>
      <c r="GE99">
        <v>15.192972166565085</v>
      </c>
      <c r="GF99">
        <v>30.850060529015011</v>
      </c>
      <c r="GG99">
        <v>32.964243105709336</v>
      </c>
      <c r="GH99">
        <v>22.765210214575319</v>
      </c>
      <c r="GI99">
        <v>19.712721098431711</v>
      </c>
      <c r="GJ99"/>
      <c r="GK99"/>
      <c r="GL99"/>
      <c r="GM99"/>
    </row>
    <row r="100" spans="1:195" s="7" customFormat="1">
      <c r="A100" s="1"/>
      <c r="B100" s="76">
        <f t="shared" ca="1" si="49"/>
        <v>0.57476408002555957</v>
      </c>
      <c r="C100">
        <v>3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74.76168562639468</v>
      </c>
      <c r="AO100">
        <v>30.532443419729141</v>
      </c>
      <c r="AP100">
        <v>197.34346380654898</v>
      </c>
      <c r="AQ100">
        <v>170.98872076895552</v>
      </c>
      <c r="AR100">
        <v>27.817050129957281</v>
      </c>
      <c r="AS100">
        <v>132.89440654002576</v>
      </c>
      <c r="AT100">
        <v>21.028635599671485</v>
      </c>
      <c r="AU100">
        <v>28.438156787439976</v>
      </c>
      <c r="AV100"/>
      <c r="AW100"/>
      <c r="AX100" s="146"/>
      <c r="AY100" s="76">
        <f t="shared" ca="1" si="87"/>
        <v>0.54449207340833539</v>
      </c>
      <c r="AZ100">
        <v>3</v>
      </c>
      <c r="BA100" s="129">
        <f t="shared" si="126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89"/>
        <v>0.90615921394990817</v>
      </c>
      <c r="CL100" s="179">
        <f t="shared" si="90"/>
        <v>3</v>
      </c>
      <c r="CM100" s="180">
        <f t="shared" si="91"/>
        <v>39673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3.6133109349902881E-3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0</v>
      </c>
      <c r="DH100" s="161">
        <f t="shared" si="96"/>
        <v>0</v>
      </c>
      <c r="DI100" s="161">
        <f t="shared" si="97"/>
        <v>0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0</v>
      </c>
      <c r="DN100" s="161">
        <f t="shared" si="102"/>
        <v>0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0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0</v>
      </c>
      <c r="EL100" s="149"/>
      <c r="EN100" s="146"/>
      <c r="EO100" s="146"/>
      <c r="EP100" s="139">
        <f t="shared" si="55"/>
        <v>0</v>
      </c>
      <c r="EQ100" s="139">
        <f t="shared" si="56"/>
        <v>0</v>
      </c>
      <c r="ER100" s="139">
        <f t="shared" si="57"/>
        <v>0</v>
      </c>
      <c r="ES100" s="139">
        <f t="shared" si="58"/>
        <v>0</v>
      </c>
      <c r="ET100" s="139">
        <f t="shared" si="59"/>
        <v>0</v>
      </c>
      <c r="EU100" s="139">
        <f t="shared" si="60"/>
        <v>0</v>
      </c>
      <c r="EV100" s="139">
        <f t="shared" si="61"/>
        <v>0</v>
      </c>
      <c r="EW100" s="139">
        <f t="shared" si="62"/>
        <v>0</v>
      </c>
      <c r="EX100" s="139">
        <f t="shared" si="63"/>
        <v>0</v>
      </c>
      <c r="EY100" s="139">
        <f t="shared" si="64"/>
        <v>0</v>
      </c>
      <c r="EZ100" s="139">
        <f t="shared" si="65"/>
        <v>0</v>
      </c>
      <c r="FA100" s="139">
        <f t="shared" si="66"/>
        <v>0</v>
      </c>
      <c r="FB100" s="139">
        <f t="shared" si="67"/>
        <v>0</v>
      </c>
      <c r="FC100" s="139">
        <f t="shared" si="68"/>
        <v>0</v>
      </c>
      <c r="FD100" s="139">
        <f t="shared" si="69"/>
        <v>0</v>
      </c>
      <c r="FE100" s="139">
        <f t="shared" si="70"/>
        <v>0</v>
      </c>
      <c r="FF100" s="139">
        <f t="shared" si="71"/>
        <v>0</v>
      </c>
      <c r="FG100" s="139">
        <f t="shared" si="72"/>
        <v>0</v>
      </c>
      <c r="FH100" s="139">
        <f t="shared" si="73"/>
        <v>0</v>
      </c>
      <c r="FI100" s="139">
        <f t="shared" si="74"/>
        <v>0</v>
      </c>
      <c r="FJ100" s="139">
        <f t="shared" si="75"/>
        <v>0</v>
      </c>
      <c r="FK100" s="139">
        <f t="shared" si="76"/>
        <v>0</v>
      </c>
      <c r="FL100" s="139">
        <f t="shared" si="77"/>
        <v>0</v>
      </c>
      <c r="FM100" s="139">
        <f t="shared" si="78"/>
        <v>0</v>
      </c>
      <c r="FN100" s="139">
        <f t="shared" si="79"/>
        <v>0</v>
      </c>
      <c r="FO100" s="139">
        <f t="shared" si="80"/>
        <v>0</v>
      </c>
      <c r="FP100" s="139">
        <f t="shared" si="81"/>
        <v>0</v>
      </c>
      <c r="FQ100" s="139">
        <f t="shared" si="82"/>
        <v>0</v>
      </c>
      <c r="FR100" s="139">
        <f t="shared" si="83"/>
        <v>0</v>
      </c>
      <c r="FS100" s="139">
        <f t="shared" si="84"/>
        <v>0</v>
      </c>
      <c r="FT100" s="139">
        <f t="shared" si="85"/>
        <v>0</v>
      </c>
      <c r="FU100" s="148">
        <f t="shared" si="86"/>
        <v>0</v>
      </c>
      <c r="FV100" s="149"/>
      <c r="FY100" s="211">
        <v>95</v>
      </c>
      <c r="FZ100">
        <v>3.6714082782391979</v>
      </c>
      <c r="GA100">
        <v>19.639244924823807</v>
      </c>
      <c r="GB100">
        <v>15.130012675942453</v>
      </c>
      <c r="GC100">
        <v>10.77922958133926</v>
      </c>
      <c r="GD100">
        <v>9.7445767038164739</v>
      </c>
      <c r="GE100">
        <v>23.339231439035888</v>
      </c>
      <c r="GF100">
        <v>35.86112615868511</v>
      </c>
      <c r="GG100">
        <v>35.42171285815234</v>
      </c>
      <c r="GH100">
        <v>31.910129162342692</v>
      </c>
      <c r="GI100">
        <v>22.043118700434015</v>
      </c>
      <c r="GJ100"/>
      <c r="GK100"/>
      <c r="GL100"/>
      <c r="GM100"/>
    </row>
    <row r="101" spans="1:195" s="7" customFormat="1">
      <c r="A101" s="1"/>
      <c r="B101" s="76">
        <f t="shared" ca="1" si="49"/>
        <v>0.11346429930194724</v>
      </c>
      <c r="C101">
        <v>9</v>
      </c>
      <c r="D101">
        <v>39673</v>
      </c>
      <c r="E101">
        <v>0</v>
      </c>
      <c r="F101">
        <v>0</v>
      </c>
      <c r="G101">
        <v>10.416666666666666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83.923558508940502</v>
      </c>
      <c r="AO101">
        <v>30.594834838212904</v>
      </c>
      <c r="AP101">
        <v>202.75743439576729</v>
      </c>
      <c r="AQ101">
        <v>171.85382120641646</v>
      </c>
      <c r="AR101">
        <v>27.776877913290846</v>
      </c>
      <c r="AS101">
        <v>134.63557637527879</v>
      </c>
      <c r="AT101" t="e">
        <v>#DIV/0!</v>
      </c>
      <c r="AU101" t="e">
        <v>#DIV/0!</v>
      </c>
      <c r="AV101"/>
      <c r="AW101"/>
      <c r="AX101" s="146"/>
      <c r="AY101" s="76">
        <f t="shared" ca="1" si="87"/>
        <v>0.81616821353487889</v>
      </c>
      <c r="AZ101">
        <v>4</v>
      </c>
      <c r="BA101" s="129">
        <f t="shared" si="126"/>
        <v>39673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89"/>
        <v>0.59675113152827741</v>
      </c>
      <c r="CL101" s="179">
        <f t="shared" si="90"/>
        <v>4</v>
      </c>
      <c r="CM101" s="180">
        <f t="shared" si="91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9.6011884739198194E-2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0</v>
      </c>
      <c r="DH101" s="161">
        <f t="shared" si="96"/>
        <v>0</v>
      </c>
      <c r="DI101" s="161">
        <f t="shared" si="97"/>
        <v>0</v>
      </c>
      <c r="DJ101" s="161">
        <f t="shared" si="98"/>
        <v>0</v>
      </c>
      <c r="DK101" s="161">
        <f t="shared" si="99"/>
        <v>0</v>
      </c>
      <c r="DL101" s="161">
        <f t="shared" si="100"/>
        <v>0</v>
      </c>
      <c r="DM101" s="161">
        <f t="shared" si="101"/>
        <v>0</v>
      </c>
      <c r="DN101" s="161">
        <f t="shared" si="102"/>
        <v>0</v>
      </c>
      <c r="DO101" s="161">
        <f t="shared" si="103"/>
        <v>0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0</v>
      </c>
      <c r="EL101" s="149"/>
      <c r="EN101" s="146"/>
      <c r="EO101" s="146"/>
      <c r="EP101" s="139">
        <f t="shared" si="55"/>
        <v>0</v>
      </c>
      <c r="EQ101" s="139">
        <f t="shared" si="56"/>
        <v>0</v>
      </c>
      <c r="ER101" s="139">
        <f t="shared" si="57"/>
        <v>0</v>
      </c>
      <c r="ES101" s="139">
        <f t="shared" si="58"/>
        <v>0</v>
      </c>
      <c r="ET101" s="139">
        <f t="shared" si="59"/>
        <v>0</v>
      </c>
      <c r="EU101" s="139">
        <f t="shared" si="60"/>
        <v>0</v>
      </c>
      <c r="EV101" s="139">
        <f t="shared" si="61"/>
        <v>0</v>
      </c>
      <c r="EW101" s="139">
        <f t="shared" si="62"/>
        <v>0</v>
      </c>
      <c r="EX101" s="139">
        <f t="shared" si="63"/>
        <v>0</v>
      </c>
      <c r="EY101" s="139">
        <f t="shared" si="64"/>
        <v>0</v>
      </c>
      <c r="EZ101" s="139">
        <f t="shared" si="65"/>
        <v>0</v>
      </c>
      <c r="FA101" s="139">
        <f t="shared" si="66"/>
        <v>0</v>
      </c>
      <c r="FB101" s="139">
        <f t="shared" si="67"/>
        <v>0</v>
      </c>
      <c r="FC101" s="139">
        <f t="shared" si="68"/>
        <v>0</v>
      </c>
      <c r="FD101" s="139">
        <f t="shared" si="69"/>
        <v>0</v>
      </c>
      <c r="FE101" s="139">
        <f t="shared" si="70"/>
        <v>0</v>
      </c>
      <c r="FF101" s="139">
        <f t="shared" si="71"/>
        <v>0</v>
      </c>
      <c r="FG101" s="139">
        <f t="shared" si="72"/>
        <v>0</v>
      </c>
      <c r="FH101" s="139">
        <f t="shared" si="73"/>
        <v>0</v>
      </c>
      <c r="FI101" s="139">
        <f t="shared" si="74"/>
        <v>0</v>
      </c>
      <c r="FJ101" s="139">
        <f t="shared" si="75"/>
        <v>0</v>
      </c>
      <c r="FK101" s="139">
        <f t="shared" si="76"/>
        <v>0</v>
      </c>
      <c r="FL101" s="139">
        <f t="shared" si="77"/>
        <v>0</v>
      </c>
      <c r="FM101" s="139">
        <f t="shared" si="78"/>
        <v>0</v>
      </c>
      <c r="FN101" s="139">
        <f t="shared" si="79"/>
        <v>0</v>
      </c>
      <c r="FO101" s="139">
        <f t="shared" si="80"/>
        <v>0</v>
      </c>
      <c r="FP101" s="139">
        <f t="shared" si="81"/>
        <v>0</v>
      </c>
      <c r="FQ101" s="139">
        <f t="shared" si="82"/>
        <v>0</v>
      </c>
      <c r="FR101" s="139">
        <f t="shared" si="83"/>
        <v>0</v>
      </c>
      <c r="FS101" s="139">
        <f t="shared" si="84"/>
        <v>0</v>
      </c>
      <c r="FT101" s="139">
        <f t="shared" si="85"/>
        <v>0</v>
      </c>
      <c r="FU101" s="148">
        <f t="shared" si="86"/>
        <v>0</v>
      </c>
      <c r="FV101" s="149"/>
      <c r="FY101" s="211">
        <v>96</v>
      </c>
      <c r="FZ101">
        <v>1.6657707531184225</v>
      </c>
      <c r="GA101">
        <v>19.442543517949872</v>
      </c>
      <c r="GB101">
        <v>11.717174523081667</v>
      </c>
      <c r="GC101">
        <v>6.3721534186291251</v>
      </c>
      <c r="GD101">
        <v>7.7841918722810606</v>
      </c>
      <c r="GE101">
        <v>14.279119793935989</v>
      </c>
      <c r="GF101">
        <v>19.631621907817596</v>
      </c>
      <c r="GG101">
        <v>17.03466176981151</v>
      </c>
      <c r="GH101">
        <v>15.404348113779763</v>
      </c>
      <c r="GI101">
        <v>14.078486814684007</v>
      </c>
      <c r="GJ101"/>
      <c r="GK101"/>
      <c r="GL101"/>
      <c r="GM101"/>
    </row>
    <row r="102" spans="1:195" s="7" customFormat="1">
      <c r="A102" s="1"/>
      <c r="B102" s="76">
        <f t="shared" ca="1" si="49"/>
        <v>2.5142843214157828E-2</v>
      </c>
      <c r="C102">
        <v>5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83.168510486485985</v>
      </c>
      <c r="AO102">
        <v>28.443545478332105</v>
      </c>
      <c r="AP102">
        <v>207.7359841520215</v>
      </c>
      <c r="AQ102">
        <v>168.59860899206905</v>
      </c>
      <c r="AR102">
        <v>25.691221334438275</v>
      </c>
      <c r="AS102">
        <v>129.89820817557504</v>
      </c>
      <c r="AT102">
        <v>19.598941712003064</v>
      </c>
      <c r="AU102">
        <v>60.502411163921749</v>
      </c>
      <c r="AV102"/>
      <c r="AW102"/>
      <c r="AX102" s="146"/>
      <c r="AY102" s="76">
        <f t="shared" ca="1" si="87"/>
        <v>0.97741528418263712</v>
      </c>
      <c r="AZ102">
        <v>5</v>
      </c>
      <c r="BA102" s="129">
        <f t="shared" si="126"/>
        <v>39673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89"/>
        <v>0.76902213666812158</v>
      </c>
      <c r="CL102" s="179">
        <f t="shared" si="90"/>
        <v>5</v>
      </c>
      <c r="CM102" s="180">
        <f t="shared" si="91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0.5782837471519926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0</v>
      </c>
      <c r="DI102" s="161">
        <f t="shared" si="97"/>
        <v>0</v>
      </c>
      <c r="DJ102" s="161">
        <f t="shared" si="98"/>
        <v>0</v>
      </c>
      <c r="DK102" s="161">
        <f t="shared" si="99"/>
        <v>0</v>
      </c>
      <c r="DL102" s="161">
        <f t="shared" si="100"/>
        <v>0</v>
      </c>
      <c r="DM102" s="161">
        <f t="shared" si="101"/>
        <v>0</v>
      </c>
      <c r="DN102" s="161">
        <f t="shared" si="102"/>
        <v>0</v>
      </c>
      <c r="DO102" s="161">
        <f t="shared" si="103"/>
        <v>0</v>
      </c>
      <c r="DP102" s="161">
        <f t="shared" si="104"/>
        <v>0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0</v>
      </c>
      <c r="EL102" s="149"/>
      <c r="EN102" s="146"/>
      <c r="EO102" s="146"/>
      <c r="EP102" s="139">
        <f t="shared" si="55"/>
        <v>0</v>
      </c>
      <c r="EQ102" s="139">
        <f t="shared" si="56"/>
        <v>0</v>
      </c>
      <c r="ER102" s="139">
        <f t="shared" si="57"/>
        <v>0</v>
      </c>
      <c r="ES102" s="139">
        <f t="shared" si="58"/>
        <v>0</v>
      </c>
      <c r="ET102" s="139">
        <f t="shared" si="59"/>
        <v>0</v>
      </c>
      <c r="EU102" s="139">
        <f t="shared" si="60"/>
        <v>0</v>
      </c>
      <c r="EV102" s="139">
        <f t="shared" si="61"/>
        <v>0</v>
      </c>
      <c r="EW102" s="139">
        <f t="shared" si="62"/>
        <v>0</v>
      </c>
      <c r="EX102" s="139">
        <f t="shared" si="63"/>
        <v>0</v>
      </c>
      <c r="EY102" s="139">
        <f t="shared" si="64"/>
        <v>0</v>
      </c>
      <c r="EZ102" s="139">
        <f t="shared" si="65"/>
        <v>0</v>
      </c>
      <c r="FA102" s="139">
        <f t="shared" si="66"/>
        <v>0</v>
      </c>
      <c r="FB102" s="139">
        <f t="shared" si="67"/>
        <v>0</v>
      </c>
      <c r="FC102" s="139">
        <f t="shared" si="68"/>
        <v>0</v>
      </c>
      <c r="FD102" s="139">
        <f t="shared" si="69"/>
        <v>0</v>
      </c>
      <c r="FE102" s="139">
        <f t="shared" si="70"/>
        <v>0</v>
      </c>
      <c r="FF102" s="139">
        <f t="shared" si="71"/>
        <v>0</v>
      </c>
      <c r="FG102" s="139">
        <f t="shared" si="72"/>
        <v>0</v>
      </c>
      <c r="FH102" s="139">
        <f t="shared" si="73"/>
        <v>0</v>
      </c>
      <c r="FI102" s="139">
        <f t="shared" si="74"/>
        <v>0</v>
      </c>
      <c r="FJ102" s="139">
        <f t="shared" si="75"/>
        <v>0</v>
      </c>
      <c r="FK102" s="139">
        <f t="shared" si="76"/>
        <v>0</v>
      </c>
      <c r="FL102" s="139">
        <f t="shared" si="77"/>
        <v>0</v>
      </c>
      <c r="FM102" s="139">
        <f t="shared" si="78"/>
        <v>0</v>
      </c>
      <c r="FN102" s="139">
        <f t="shared" si="79"/>
        <v>0</v>
      </c>
      <c r="FO102" s="139">
        <f t="shared" si="80"/>
        <v>0</v>
      </c>
      <c r="FP102" s="139">
        <f t="shared" si="81"/>
        <v>0</v>
      </c>
      <c r="FQ102" s="139">
        <f t="shared" si="82"/>
        <v>0</v>
      </c>
      <c r="FR102" s="139">
        <f t="shared" si="83"/>
        <v>0</v>
      </c>
      <c r="FS102" s="139">
        <f t="shared" si="84"/>
        <v>0</v>
      </c>
      <c r="FT102" s="139">
        <f t="shared" si="85"/>
        <v>0</v>
      </c>
      <c r="FU102" s="148">
        <f t="shared" si="86"/>
        <v>0</v>
      </c>
      <c r="FV102" s="149"/>
      <c r="FY102" s="211">
        <v>97</v>
      </c>
      <c r="FZ102">
        <v>7.1698964012330855</v>
      </c>
      <c r="GA102">
        <v>16.396442276999284</v>
      </c>
      <c r="GB102">
        <v>11.395403763569078</v>
      </c>
      <c r="GC102">
        <v>9.7927214683084038</v>
      </c>
      <c r="GD102">
        <v>11.519031591260973</v>
      </c>
      <c r="GE102">
        <v>19.003370150870651</v>
      </c>
      <c r="GF102">
        <v>15.982268169373686</v>
      </c>
      <c r="GG102">
        <v>17.827920189226681</v>
      </c>
      <c r="GH102">
        <v>16.780441722509138</v>
      </c>
      <c r="GI102">
        <v>16.602047039960439</v>
      </c>
      <c r="GJ102"/>
      <c r="GK102"/>
      <c r="GL102"/>
      <c r="GM102"/>
    </row>
    <row r="103" spans="1:195" s="7" customFormat="1">
      <c r="A103" s="1"/>
      <c r="B103" s="76">
        <f t="shared" ca="1" si="49"/>
        <v>0.39962580980018747</v>
      </c>
      <c r="C103">
        <v>2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72.53282350416282</v>
      </c>
      <c r="AO103">
        <v>32.562097916498395</v>
      </c>
      <c r="AP103">
        <v>226.24832964926654</v>
      </c>
      <c r="AQ103">
        <v>188.23951046758114</v>
      </c>
      <c r="AR103">
        <v>29.903146380107014</v>
      </c>
      <c r="AS103">
        <v>174.03606418777818</v>
      </c>
      <c r="AT103">
        <v>22.710798544058232</v>
      </c>
      <c r="AU103">
        <v>4.080862629461854</v>
      </c>
      <c r="AV103"/>
      <c r="AW103"/>
      <c r="AX103" s="146"/>
      <c r="AY103" s="76">
        <f ca="1">IF(AZ103="", "", RAND())</f>
        <v>0.63748369334762711</v>
      </c>
      <c r="AZ103">
        <v>6</v>
      </c>
      <c r="BA103" s="129">
        <f t="shared" si="126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89"/>
        <v>0.86607830108468509</v>
      </c>
      <c r="CL103" s="179">
        <f t="shared" si="90"/>
        <v>6</v>
      </c>
      <c r="CM103" s="180">
        <f t="shared" si="91"/>
        <v>39673</v>
      </c>
      <c r="CN103">
        <v>0</v>
      </c>
      <c r="CO103">
        <v>0</v>
      </c>
      <c r="CP103">
        <v>3</v>
      </c>
      <c r="CQ103">
        <v>0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0.83940368910124707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0</v>
      </c>
      <c r="DH103" s="161">
        <f t="shared" si="96"/>
        <v>31.25</v>
      </c>
      <c r="DI103" s="161">
        <f t="shared" si="97"/>
        <v>0</v>
      </c>
      <c r="DJ103" s="161">
        <f t="shared" si="98"/>
        <v>0</v>
      </c>
      <c r="DK103" s="161">
        <f t="shared" si="99"/>
        <v>0</v>
      </c>
      <c r="DL103" s="161">
        <f t="shared" si="100"/>
        <v>0</v>
      </c>
      <c r="DM103" s="161">
        <f t="shared" si="101"/>
        <v>0</v>
      </c>
      <c r="DN103" s="161">
        <f t="shared" si="102"/>
        <v>0</v>
      </c>
      <c r="DO103" s="161">
        <f t="shared" si="103"/>
        <v>0</v>
      </c>
      <c r="DP103" s="161">
        <f t="shared" si="104"/>
        <v>0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31.25</v>
      </c>
      <c r="EL103" s="149"/>
      <c r="EN103" s="146"/>
      <c r="EO103" s="146"/>
      <c r="EP103" s="139">
        <f t="shared" si="55"/>
        <v>0</v>
      </c>
      <c r="EQ103" s="139">
        <f t="shared" si="56"/>
        <v>0</v>
      </c>
      <c r="ER103" s="139">
        <f t="shared" si="57"/>
        <v>1.9688636502866452</v>
      </c>
      <c r="ES103" s="139">
        <f t="shared" si="58"/>
        <v>0</v>
      </c>
      <c r="ET103" s="139">
        <f t="shared" si="59"/>
        <v>0</v>
      </c>
      <c r="EU103" s="139">
        <f t="shared" si="60"/>
        <v>0</v>
      </c>
      <c r="EV103" s="139">
        <f t="shared" si="61"/>
        <v>0</v>
      </c>
      <c r="EW103" s="139">
        <f t="shared" si="62"/>
        <v>0</v>
      </c>
      <c r="EX103" s="139">
        <f t="shared" si="63"/>
        <v>0</v>
      </c>
      <c r="EY103" s="139">
        <f t="shared" si="64"/>
        <v>0</v>
      </c>
      <c r="EZ103" s="139">
        <f t="shared" si="65"/>
        <v>0</v>
      </c>
      <c r="FA103" s="139">
        <f t="shared" si="66"/>
        <v>0</v>
      </c>
      <c r="FB103" s="139">
        <f t="shared" si="67"/>
        <v>0</v>
      </c>
      <c r="FC103" s="139">
        <f t="shared" si="68"/>
        <v>0</v>
      </c>
      <c r="FD103" s="139">
        <f t="shared" si="69"/>
        <v>0</v>
      </c>
      <c r="FE103" s="139">
        <f t="shared" si="70"/>
        <v>0</v>
      </c>
      <c r="FF103" s="139">
        <f t="shared" si="71"/>
        <v>0</v>
      </c>
      <c r="FG103" s="139">
        <f t="shared" si="72"/>
        <v>0</v>
      </c>
      <c r="FH103" s="139">
        <f t="shared" si="73"/>
        <v>0</v>
      </c>
      <c r="FI103" s="139">
        <f t="shared" si="74"/>
        <v>0</v>
      </c>
      <c r="FJ103" s="139">
        <f t="shared" si="75"/>
        <v>0</v>
      </c>
      <c r="FK103" s="139">
        <f t="shared" si="76"/>
        <v>0</v>
      </c>
      <c r="FL103" s="139">
        <f t="shared" si="77"/>
        <v>0</v>
      </c>
      <c r="FM103" s="139">
        <f t="shared" si="78"/>
        <v>0</v>
      </c>
      <c r="FN103" s="139">
        <f t="shared" si="79"/>
        <v>0</v>
      </c>
      <c r="FO103" s="139">
        <f t="shared" si="80"/>
        <v>0</v>
      </c>
      <c r="FP103" s="139">
        <f t="shared" si="81"/>
        <v>0</v>
      </c>
      <c r="FQ103" s="139">
        <f t="shared" si="82"/>
        <v>0</v>
      </c>
      <c r="FR103" s="139">
        <f t="shared" si="83"/>
        <v>0</v>
      </c>
      <c r="FS103" s="139">
        <f t="shared" si="84"/>
        <v>0</v>
      </c>
      <c r="FT103" s="139">
        <f t="shared" si="85"/>
        <v>0</v>
      </c>
      <c r="FU103" s="148">
        <f t="shared" si="86"/>
        <v>1.9688636502866452</v>
      </c>
      <c r="FV103" s="149"/>
      <c r="FY103" s="211">
        <v>98</v>
      </c>
      <c r="FZ103">
        <v>3.6746167475610299</v>
      </c>
      <c r="GA103">
        <v>13.253549778003205</v>
      </c>
      <c r="GB103">
        <v>28.942593215488586</v>
      </c>
      <c r="GC103">
        <v>19.084128330372202</v>
      </c>
      <c r="GD103">
        <v>9.8405009407376269</v>
      </c>
      <c r="GE103">
        <v>21.392670360836071</v>
      </c>
      <c r="GF103">
        <v>28.653653067299466</v>
      </c>
      <c r="GG103">
        <v>13.582736462773529</v>
      </c>
      <c r="GH103">
        <v>5.2954847265529983</v>
      </c>
      <c r="GI103">
        <v>20.001312375318623</v>
      </c>
      <c r="GJ103"/>
      <c r="GK103"/>
      <c r="GL103"/>
      <c r="GM103"/>
    </row>
    <row r="104" spans="1:195" s="7" customFormat="1">
      <c r="A104" s="1"/>
      <c r="B104" s="76">
        <f t="shared" ca="1" si="49"/>
        <v>6.4845494166189788E-2</v>
      </c>
      <c r="C104">
        <v>8</v>
      </c>
      <c r="D104">
        <v>39673</v>
      </c>
      <c r="E104">
        <v>0</v>
      </c>
      <c r="F104">
        <v>83.333333333333329</v>
      </c>
      <c r="G104">
        <v>416.66666666666669</v>
      </c>
      <c r="H104">
        <v>83.333333333333329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96.751826533725833</v>
      </c>
      <c r="AO104">
        <v>37.508103670093512</v>
      </c>
      <c r="AP104">
        <v>258.17155794780422</v>
      </c>
      <c r="AQ104">
        <v>212.12395218706436</v>
      </c>
      <c r="AR104">
        <v>33.79985275089787</v>
      </c>
      <c r="AS104">
        <v>164.94008169809834</v>
      </c>
      <c r="AT104">
        <v>25.752060380627913</v>
      </c>
      <c r="AU104">
        <v>57.481607664145962</v>
      </c>
      <c r="AV104"/>
      <c r="AW104"/>
      <c r="AX104" s="146"/>
      <c r="AY104" s="76">
        <f ca="1">IF(AZ104="", "", RAND())</f>
        <v>0.87133472956324276</v>
      </c>
      <c r="AZ104">
        <v>7</v>
      </c>
      <c r="BA104" s="129">
        <f t="shared" si="126"/>
        <v>39673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89"/>
        <v>0.43928830686869524</v>
      </c>
      <c r="CL104" s="179">
        <f t="shared" si="90"/>
        <v>7</v>
      </c>
      <c r="CM104" s="180">
        <f t="shared" si="91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0.64259196161416376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0</v>
      </c>
      <c r="DH104" s="161">
        <f t="shared" si="96"/>
        <v>0</v>
      </c>
      <c r="DI104" s="161">
        <f t="shared" si="97"/>
        <v>0</v>
      </c>
      <c r="DJ104" s="161">
        <f t="shared" si="98"/>
        <v>0</v>
      </c>
      <c r="DK104" s="161">
        <f t="shared" si="99"/>
        <v>0</v>
      </c>
      <c r="DL104" s="161">
        <f t="shared" si="100"/>
        <v>0</v>
      </c>
      <c r="DM104" s="161">
        <f t="shared" si="101"/>
        <v>0</v>
      </c>
      <c r="DN104" s="161">
        <f t="shared" si="102"/>
        <v>0</v>
      </c>
      <c r="DO104" s="161">
        <f t="shared" si="103"/>
        <v>0</v>
      </c>
      <c r="DP104" s="161">
        <f t="shared" si="104"/>
        <v>0</v>
      </c>
      <c r="DQ104" s="161">
        <f t="shared" si="105"/>
        <v>0</v>
      </c>
      <c r="DR104" s="161">
        <f t="shared" si="106"/>
        <v>0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0</v>
      </c>
      <c r="EL104" s="149"/>
      <c r="EN104" s="146"/>
      <c r="EO104" s="146"/>
      <c r="EP104" s="139">
        <f t="shared" si="55"/>
        <v>0</v>
      </c>
      <c r="EQ104" s="139">
        <f t="shared" si="56"/>
        <v>0</v>
      </c>
      <c r="ER104" s="139">
        <f t="shared" si="57"/>
        <v>0</v>
      </c>
      <c r="ES104" s="139">
        <f t="shared" si="58"/>
        <v>0</v>
      </c>
      <c r="ET104" s="139">
        <f t="shared" si="59"/>
        <v>0</v>
      </c>
      <c r="EU104" s="139">
        <f t="shared" si="60"/>
        <v>0</v>
      </c>
      <c r="EV104" s="139">
        <f t="shared" si="61"/>
        <v>0</v>
      </c>
      <c r="EW104" s="139">
        <f t="shared" si="62"/>
        <v>0</v>
      </c>
      <c r="EX104" s="139">
        <f t="shared" si="63"/>
        <v>0</v>
      </c>
      <c r="EY104" s="139">
        <f t="shared" si="64"/>
        <v>0</v>
      </c>
      <c r="EZ104" s="139">
        <f t="shared" si="65"/>
        <v>0</v>
      </c>
      <c r="FA104" s="139">
        <f t="shared" si="66"/>
        <v>0</v>
      </c>
      <c r="FB104" s="139">
        <f t="shared" si="67"/>
        <v>0</v>
      </c>
      <c r="FC104" s="139">
        <f t="shared" si="68"/>
        <v>0</v>
      </c>
      <c r="FD104" s="139">
        <f t="shared" si="69"/>
        <v>0</v>
      </c>
      <c r="FE104" s="139">
        <f t="shared" si="70"/>
        <v>0</v>
      </c>
      <c r="FF104" s="139">
        <f t="shared" si="71"/>
        <v>0</v>
      </c>
      <c r="FG104" s="139">
        <f t="shared" si="72"/>
        <v>0</v>
      </c>
      <c r="FH104" s="139">
        <f t="shared" si="73"/>
        <v>0</v>
      </c>
      <c r="FI104" s="139">
        <f t="shared" si="74"/>
        <v>0</v>
      </c>
      <c r="FJ104" s="139">
        <f t="shared" si="75"/>
        <v>0</v>
      </c>
      <c r="FK104" s="139">
        <f t="shared" si="76"/>
        <v>0</v>
      </c>
      <c r="FL104" s="139">
        <f t="shared" si="77"/>
        <v>0</v>
      </c>
      <c r="FM104" s="139">
        <f t="shared" si="78"/>
        <v>0</v>
      </c>
      <c r="FN104" s="139">
        <f t="shared" si="79"/>
        <v>0</v>
      </c>
      <c r="FO104" s="139">
        <f t="shared" si="80"/>
        <v>0</v>
      </c>
      <c r="FP104" s="139">
        <f t="shared" si="81"/>
        <v>0</v>
      </c>
      <c r="FQ104" s="139">
        <f t="shared" si="82"/>
        <v>0</v>
      </c>
      <c r="FR104" s="139">
        <f t="shared" si="83"/>
        <v>0</v>
      </c>
      <c r="FS104" s="139">
        <f t="shared" si="84"/>
        <v>0</v>
      </c>
      <c r="FT104" s="139">
        <f t="shared" si="85"/>
        <v>0</v>
      </c>
      <c r="FU104" s="148">
        <f t="shared" si="86"/>
        <v>0</v>
      </c>
      <c r="FV104" s="149"/>
      <c r="FY104" s="211">
        <v>99</v>
      </c>
      <c r="FZ104">
        <v>1.5790932940985585</v>
      </c>
      <c r="GA104">
        <v>17.509395505325493</v>
      </c>
      <c r="GB104">
        <v>19.252142513313348</v>
      </c>
      <c r="GC104">
        <v>13.357353176886987</v>
      </c>
      <c r="GD104">
        <v>12.465868738925737</v>
      </c>
      <c r="GE104">
        <v>25.743727806839004</v>
      </c>
      <c r="GF104">
        <v>30.981460124034033</v>
      </c>
      <c r="GG104">
        <v>36.681180595790366</v>
      </c>
      <c r="GH104">
        <v>36.507833121499743</v>
      </c>
      <c r="GI104">
        <v>24.231597916320837</v>
      </c>
      <c r="GJ104"/>
      <c r="GK104"/>
      <c r="GL104"/>
      <c r="GM104"/>
    </row>
    <row r="105" spans="1:195" s="7" customFormat="1">
      <c r="A105" s="1"/>
      <c r="B105" s="76">
        <f t="shared" ca="1" si="49"/>
        <v>0.70879751450770212</v>
      </c>
      <c r="C105">
        <v>7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89.654537775680325</v>
      </c>
      <c r="AO105">
        <v>31.040629320764936</v>
      </c>
      <c r="AP105">
        <v>224.96813992265484</v>
      </c>
      <c r="AQ105">
        <v>188.32134195402583</v>
      </c>
      <c r="AR105">
        <v>27.953300328527153</v>
      </c>
      <c r="AS105">
        <v>141.07999483169883</v>
      </c>
      <c r="AT105">
        <v>20.942089607414577</v>
      </c>
      <c r="AU105">
        <v>40.055235263667768</v>
      </c>
      <c r="AV105"/>
      <c r="AW105"/>
      <c r="AX105" s="146"/>
      <c r="AY105" s="76">
        <f ca="1">IF(AZ105="", "", RAND())</f>
        <v>0.85145429022340657</v>
      </c>
      <c r="AZ105">
        <v>8</v>
      </c>
      <c r="BA105" s="129">
        <f t="shared" si="126"/>
        <v>39673</v>
      </c>
      <c r="BB105">
        <v>0</v>
      </c>
      <c r="BC105" s="216">
        <v>0</v>
      </c>
      <c r="BD105" s="216">
        <v>0</v>
      </c>
      <c r="BE105" s="216">
        <v>0</v>
      </c>
      <c r="BF105" s="216">
        <v>0</v>
      </c>
      <c r="BG105" s="216">
        <v>0</v>
      </c>
      <c r="BH105" s="216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89"/>
        <v>0.78386533896438859</v>
      </c>
      <c r="CL105" s="179">
        <f t="shared" si="90"/>
        <v>8</v>
      </c>
      <c r="CM105" s="180">
        <f t="shared" si="91"/>
        <v>39673</v>
      </c>
      <c r="CN105" s="224">
        <v>0</v>
      </c>
      <c r="CO105" s="224">
        <v>4</v>
      </c>
      <c r="CP105" s="224">
        <v>20</v>
      </c>
      <c r="CQ105" s="224">
        <v>4</v>
      </c>
      <c r="CR105" s="224">
        <v>0</v>
      </c>
      <c r="CS105" s="224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0.8145235260556698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83.333333333333329</v>
      </c>
      <c r="DH105" s="161">
        <f t="shared" si="96"/>
        <v>416.66666666666669</v>
      </c>
      <c r="DI105" s="161">
        <f t="shared" si="97"/>
        <v>83.333333333333329</v>
      </c>
      <c r="DJ105" s="161">
        <f t="shared" si="98"/>
        <v>0</v>
      </c>
      <c r="DK105" s="161">
        <f t="shared" si="99"/>
        <v>0</v>
      </c>
      <c r="DL105" s="161">
        <f t="shared" si="100"/>
        <v>0</v>
      </c>
      <c r="DM105" s="161">
        <f t="shared" si="101"/>
        <v>0</v>
      </c>
      <c r="DN105" s="161">
        <f t="shared" si="102"/>
        <v>0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583.33333333333337</v>
      </c>
      <c r="EL105" s="149"/>
      <c r="EN105" s="146"/>
      <c r="EO105" s="146"/>
      <c r="EP105" s="139">
        <f t="shared" si="55"/>
        <v>0</v>
      </c>
      <c r="EQ105" s="139">
        <f t="shared" si="56"/>
        <v>0.82132533333333335</v>
      </c>
      <c r="ER105" s="139">
        <f t="shared" si="57"/>
        <v>26.251515337155272</v>
      </c>
      <c r="ES105" s="139">
        <f t="shared" si="58"/>
        <v>15.540701426792515</v>
      </c>
      <c r="ET105" s="139">
        <f t="shared" si="59"/>
        <v>0</v>
      </c>
      <c r="EU105" s="139">
        <f t="shared" si="60"/>
        <v>0</v>
      </c>
      <c r="EV105" s="139">
        <f t="shared" si="61"/>
        <v>0</v>
      </c>
      <c r="EW105" s="139">
        <f t="shared" si="62"/>
        <v>0</v>
      </c>
      <c r="EX105" s="139">
        <f t="shared" si="63"/>
        <v>0</v>
      </c>
      <c r="EY105" s="139">
        <f t="shared" si="64"/>
        <v>0</v>
      </c>
      <c r="EZ105" s="139">
        <f t="shared" si="65"/>
        <v>0</v>
      </c>
      <c r="FA105" s="139">
        <f t="shared" si="66"/>
        <v>0</v>
      </c>
      <c r="FB105" s="139">
        <f t="shared" si="67"/>
        <v>0</v>
      </c>
      <c r="FC105" s="139">
        <f t="shared" si="68"/>
        <v>0</v>
      </c>
      <c r="FD105" s="139">
        <f t="shared" si="69"/>
        <v>0</v>
      </c>
      <c r="FE105" s="139">
        <f t="shared" si="70"/>
        <v>0</v>
      </c>
      <c r="FF105" s="139">
        <f t="shared" si="71"/>
        <v>0</v>
      </c>
      <c r="FG105" s="139">
        <f t="shared" si="72"/>
        <v>0</v>
      </c>
      <c r="FH105" s="139">
        <f t="shared" si="73"/>
        <v>0</v>
      </c>
      <c r="FI105" s="139">
        <f t="shared" si="74"/>
        <v>0</v>
      </c>
      <c r="FJ105" s="139">
        <f t="shared" si="75"/>
        <v>0</v>
      </c>
      <c r="FK105" s="139">
        <f t="shared" si="76"/>
        <v>0</v>
      </c>
      <c r="FL105" s="139">
        <f t="shared" si="77"/>
        <v>0</v>
      </c>
      <c r="FM105" s="139">
        <f t="shared" si="78"/>
        <v>0</v>
      </c>
      <c r="FN105" s="139">
        <f t="shared" si="79"/>
        <v>0</v>
      </c>
      <c r="FO105" s="139">
        <f t="shared" si="80"/>
        <v>0</v>
      </c>
      <c r="FP105" s="139">
        <f t="shared" si="81"/>
        <v>0</v>
      </c>
      <c r="FQ105" s="139">
        <f t="shared" si="82"/>
        <v>0</v>
      </c>
      <c r="FR105" s="139">
        <f t="shared" si="83"/>
        <v>0</v>
      </c>
      <c r="FS105" s="139">
        <f t="shared" si="84"/>
        <v>0</v>
      </c>
      <c r="FT105" s="139">
        <f t="shared" si="85"/>
        <v>0</v>
      </c>
      <c r="FU105" s="148">
        <f t="shared" si="86"/>
        <v>42.613542097281119</v>
      </c>
      <c r="FV105" s="149"/>
      <c r="FY105" s="211">
        <v>100</v>
      </c>
      <c r="FZ105">
        <v>7.1183517141066712</v>
      </c>
      <c r="GA105">
        <v>14.166021175343758</v>
      </c>
      <c r="GB105">
        <v>17.505286503022244</v>
      </c>
      <c r="GC105">
        <v>14.562139865787811</v>
      </c>
      <c r="GD105">
        <v>8.3644027663984239</v>
      </c>
      <c r="GE105">
        <v>19.04059661925735</v>
      </c>
      <c r="GF105">
        <v>35.0764461143959</v>
      </c>
      <c r="GG105">
        <v>21.062659079942829</v>
      </c>
      <c r="GH105">
        <v>13.827504851526808</v>
      </c>
      <c r="GI105">
        <v>19.349191272560386</v>
      </c>
      <c r="GJ105"/>
      <c r="GK105"/>
      <c r="GL105"/>
      <c r="GM105"/>
    </row>
    <row r="106" spans="1:195" s="7" customFormat="1">
      <c r="A106" s="1"/>
      <c r="B106" s="76">
        <f t="shared" ca="1" si="49"/>
        <v>0.37228561372999458</v>
      </c>
      <c r="C106">
        <v>10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81.614981078279499</v>
      </c>
      <c r="AO106">
        <v>34.468599034260549</v>
      </c>
      <c r="AP106">
        <v>236.96111951123481</v>
      </c>
      <c r="AQ106">
        <v>201.37538433106596</v>
      </c>
      <c r="AR106">
        <v>31.238294507818534</v>
      </c>
      <c r="AS106">
        <v>148.25529489265236</v>
      </c>
      <c r="AT106">
        <v>24.468629224392654</v>
      </c>
      <c r="AU106">
        <v>43.203367616539431</v>
      </c>
      <c r="AV106"/>
      <c r="AW106"/>
      <c r="AX106" s="146"/>
      <c r="AY106" s="76">
        <f t="shared" ca="1" si="87"/>
        <v>0.86162237267482933</v>
      </c>
      <c r="AZ106">
        <v>9</v>
      </c>
      <c r="BA106" s="129">
        <f t="shared" si="126"/>
        <v>39673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89"/>
        <v>0.12021835991780994</v>
      </c>
      <c r="CL106" s="179">
        <f t="shared" si="90"/>
        <v>9</v>
      </c>
      <c r="CM106" s="180">
        <f t="shared" si="91"/>
        <v>39673</v>
      </c>
      <c r="CN106">
        <v>0</v>
      </c>
      <c r="CO106">
        <v>0</v>
      </c>
      <c r="CP106">
        <v>1</v>
      </c>
      <c r="CQ106">
        <v>0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0.84620581341144607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0</v>
      </c>
      <c r="DH106" s="161">
        <f t="shared" si="96"/>
        <v>10.416666666666666</v>
      </c>
      <c r="DI106" s="161">
        <f t="shared" si="97"/>
        <v>0</v>
      </c>
      <c r="DJ106" s="161">
        <f t="shared" si="98"/>
        <v>0</v>
      </c>
      <c r="DK106" s="161">
        <f t="shared" si="99"/>
        <v>0</v>
      </c>
      <c r="DL106" s="161">
        <f t="shared" si="100"/>
        <v>0</v>
      </c>
      <c r="DM106" s="161">
        <f t="shared" si="101"/>
        <v>0</v>
      </c>
      <c r="DN106" s="161">
        <f t="shared" si="102"/>
        <v>0</v>
      </c>
      <c r="DO106" s="161">
        <f t="shared" si="103"/>
        <v>0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10.416666666666666</v>
      </c>
      <c r="EL106" s="149"/>
      <c r="EN106" s="146"/>
      <c r="EO106" s="146"/>
      <c r="EP106" s="139">
        <f t="shared" si="55"/>
        <v>0</v>
      </c>
      <c r="EQ106" s="139">
        <f t="shared" si="56"/>
        <v>0</v>
      </c>
      <c r="ER106" s="139">
        <f t="shared" si="57"/>
        <v>0.65628788342888167</v>
      </c>
      <c r="ES106" s="139">
        <f t="shared" si="58"/>
        <v>0</v>
      </c>
      <c r="ET106" s="139">
        <f t="shared" si="59"/>
        <v>0</v>
      </c>
      <c r="EU106" s="139">
        <f t="shared" si="60"/>
        <v>0</v>
      </c>
      <c r="EV106" s="139">
        <f t="shared" si="61"/>
        <v>0</v>
      </c>
      <c r="EW106" s="139">
        <f t="shared" si="62"/>
        <v>0</v>
      </c>
      <c r="EX106" s="139">
        <f t="shared" si="63"/>
        <v>0</v>
      </c>
      <c r="EY106" s="139">
        <f t="shared" si="64"/>
        <v>0</v>
      </c>
      <c r="EZ106" s="139">
        <f t="shared" si="65"/>
        <v>0</v>
      </c>
      <c r="FA106" s="139">
        <f t="shared" si="66"/>
        <v>0</v>
      </c>
      <c r="FB106" s="139">
        <f t="shared" si="67"/>
        <v>0</v>
      </c>
      <c r="FC106" s="139">
        <f t="shared" si="68"/>
        <v>0</v>
      </c>
      <c r="FD106" s="139">
        <f t="shared" si="69"/>
        <v>0</v>
      </c>
      <c r="FE106" s="139">
        <f t="shared" si="70"/>
        <v>0</v>
      </c>
      <c r="FF106" s="139">
        <f t="shared" si="71"/>
        <v>0</v>
      </c>
      <c r="FG106" s="139">
        <f t="shared" si="72"/>
        <v>0</v>
      </c>
      <c r="FH106" s="139">
        <f t="shared" si="73"/>
        <v>0</v>
      </c>
      <c r="FI106" s="139">
        <f t="shared" si="74"/>
        <v>0</v>
      </c>
      <c r="FJ106" s="139">
        <f t="shared" si="75"/>
        <v>0</v>
      </c>
      <c r="FK106" s="139">
        <f t="shared" si="76"/>
        <v>0</v>
      </c>
      <c r="FL106" s="139">
        <f t="shared" si="77"/>
        <v>0</v>
      </c>
      <c r="FM106" s="139">
        <f t="shared" si="78"/>
        <v>0</v>
      </c>
      <c r="FN106" s="139">
        <f t="shared" si="79"/>
        <v>0</v>
      </c>
      <c r="FO106" s="139">
        <f t="shared" si="80"/>
        <v>0</v>
      </c>
      <c r="FP106" s="139">
        <f t="shared" si="81"/>
        <v>0</v>
      </c>
      <c r="FQ106" s="139">
        <f t="shared" si="82"/>
        <v>0</v>
      </c>
      <c r="FR106" s="139">
        <f t="shared" si="83"/>
        <v>0</v>
      </c>
      <c r="FS106" s="139">
        <f t="shared" si="84"/>
        <v>0</v>
      </c>
      <c r="FT106" s="139">
        <f t="shared" si="85"/>
        <v>0</v>
      </c>
      <c r="FU106" s="148">
        <f t="shared" si="86"/>
        <v>0.65628788342888167</v>
      </c>
      <c r="FV106" s="149"/>
      <c r="FY106" s="211">
        <v>101</v>
      </c>
      <c r="FZ106">
        <v>2.0908300818899761</v>
      </c>
      <c r="GA106">
        <v>14.686317347915328</v>
      </c>
      <c r="GB106">
        <v>16.604452007208888</v>
      </c>
      <c r="GC106">
        <v>13.230736786520513</v>
      </c>
      <c r="GD106">
        <v>11.112306697890755</v>
      </c>
      <c r="GE106">
        <v>16.515556489172997</v>
      </c>
      <c r="GF106">
        <v>21.005661876511347</v>
      </c>
      <c r="GG106">
        <v>15.018870035467812</v>
      </c>
      <c r="GH106">
        <v>7.390355087010299</v>
      </c>
      <c r="GI106">
        <v>16.292251621955671</v>
      </c>
      <c r="GJ106"/>
      <c r="GK106"/>
      <c r="GL106"/>
      <c r="GM106"/>
    </row>
    <row r="107" spans="1:195" s="7" customFormat="1">
      <c r="A107" s="1"/>
      <c r="B107" s="76">
        <f t="shared" ca="1" si="49"/>
        <v>0.92649331888930764</v>
      </c>
      <c r="C107">
        <v>4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97.819822323270586</v>
      </c>
      <c r="AO107">
        <v>35.290673367793602</v>
      </c>
      <c r="AP107">
        <v>223.76202346231969</v>
      </c>
      <c r="AQ107">
        <v>196.54296738663189</v>
      </c>
      <c r="AR107">
        <v>31.846156477310679</v>
      </c>
      <c r="AS107">
        <v>165.76575489180405</v>
      </c>
      <c r="AT107" t="e">
        <v>#DIV/0!</v>
      </c>
      <c r="AU107" t="e">
        <v>#DIV/0!</v>
      </c>
      <c r="AV107"/>
      <c r="AW107"/>
      <c r="AX107" s="146"/>
      <c r="AY107" s="76">
        <f t="shared" ca="1" si="87"/>
        <v>0.37091822982755929</v>
      </c>
      <c r="AZ107">
        <v>10</v>
      </c>
      <c r="BA107" s="129">
        <f t="shared" si="126"/>
        <v>39673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89"/>
        <v>0.66238515642984463</v>
      </c>
      <c r="CL107" s="179">
        <f t="shared" si="90"/>
        <v>10</v>
      </c>
      <c r="CM107" s="180">
        <f t="shared" si="91"/>
        <v>39673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0.83301178672835707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0</v>
      </c>
      <c r="DH107" s="161">
        <f t="shared" si="96"/>
        <v>0</v>
      </c>
      <c r="DI107" s="161">
        <f t="shared" si="97"/>
        <v>0</v>
      </c>
      <c r="DJ107" s="161">
        <f t="shared" si="98"/>
        <v>0</v>
      </c>
      <c r="DK107" s="161">
        <f t="shared" si="99"/>
        <v>0</v>
      </c>
      <c r="DL107" s="161">
        <f t="shared" si="100"/>
        <v>0</v>
      </c>
      <c r="DM107" s="161">
        <f t="shared" si="101"/>
        <v>0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0</v>
      </c>
      <c r="EL107" s="149"/>
      <c r="EN107" s="146"/>
      <c r="EO107" s="146"/>
      <c r="EP107" s="139">
        <f t="shared" si="55"/>
        <v>0</v>
      </c>
      <c r="EQ107" s="139">
        <f t="shared" si="56"/>
        <v>0</v>
      </c>
      <c r="ER107" s="139">
        <f t="shared" si="57"/>
        <v>0</v>
      </c>
      <c r="ES107" s="139">
        <f t="shared" si="58"/>
        <v>0</v>
      </c>
      <c r="ET107" s="139">
        <f t="shared" si="59"/>
        <v>0</v>
      </c>
      <c r="EU107" s="139">
        <f t="shared" si="60"/>
        <v>0</v>
      </c>
      <c r="EV107" s="139">
        <f t="shared" si="61"/>
        <v>0</v>
      </c>
      <c r="EW107" s="139">
        <f t="shared" si="62"/>
        <v>0</v>
      </c>
      <c r="EX107" s="139">
        <f t="shared" si="63"/>
        <v>0</v>
      </c>
      <c r="EY107" s="139">
        <f t="shared" si="64"/>
        <v>0</v>
      </c>
      <c r="EZ107" s="139">
        <f t="shared" si="65"/>
        <v>0</v>
      </c>
      <c r="FA107" s="139">
        <f t="shared" si="66"/>
        <v>0</v>
      </c>
      <c r="FB107" s="139">
        <f t="shared" si="67"/>
        <v>0</v>
      </c>
      <c r="FC107" s="139">
        <f t="shared" si="68"/>
        <v>0</v>
      </c>
      <c r="FD107" s="139">
        <f t="shared" si="69"/>
        <v>0</v>
      </c>
      <c r="FE107" s="139">
        <f t="shared" si="70"/>
        <v>0</v>
      </c>
      <c r="FF107" s="139">
        <f t="shared" si="71"/>
        <v>0</v>
      </c>
      <c r="FG107" s="139">
        <f t="shared" si="72"/>
        <v>0</v>
      </c>
      <c r="FH107" s="139">
        <f t="shared" si="73"/>
        <v>0</v>
      </c>
      <c r="FI107" s="139">
        <f t="shared" si="74"/>
        <v>0</v>
      </c>
      <c r="FJ107" s="139">
        <f t="shared" si="75"/>
        <v>0</v>
      </c>
      <c r="FK107" s="139">
        <f t="shared" si="76"/>
        <v>0</v>
      </c>
      <c r="FL107" s="139">
        <f t="shared" si="77"/>
        <v>0</v>
      </c>
      <c r="FM107" s="139">
        <f t="shared" si="78"/>
        <v>0</v>
      </c>
      <c r="FN107" s="139">
        <f t="shared" si="79"/>
        <v>0</v>
      </c>
      <c r="FO107" s="139">
        <f t="shared" si="80"/>
        <v>0</v>
      </c>
      <c r="FP107" s="139">
        <f t="shared" si="81"/>
        <v>0</v>
      </c>
      <c r="FQ107" s="139">
        <f t="shared" si="82"/>
        <v>0</v>
      </c>
      <c r="FR107" s="139">
        <f t="shared" si="83"/>
        <v>0</v>
      </c>
      <c r="FS107" s="139">
        <f t="shared" si="84"/>
        <v>0</v>
      </c>
      <c r="FT107" s="139">
        <f t="shared" si="85"/>
        <v>0</v>
      </c>
      <c r="FU107" s="148">
        <f t="shared" si="86"/>
        <v>0</v>
      </c>
      <c r="FV107" s="149"/>
      <c r="FY107" s="211">
        <v>102</v>
      </c>
      <c r="FZ107">
        <v>6.9289304941844119</v>
      </c>
      <c r="GA107">
        <v>24.150183347072563</v>
      </c>
      <c r="GB107">
        <v>19.43620178794551</v>
      </c>
      <c r="GC107">
        <v>13.537679941164482</v>
      </c>
      <c r="GD107">
        <v>10.433277624730525</v>
      </c>
      <c r="GE107">
        <v>18.853221811523074</v>
      </c>
      <c r="GF107">
        <v>22.981353963955684</v>
      </c>
      <c r="GG107">
        <v>11.648300450615571</v>
      </c>
      <c r="GH107">
        <v>7.8177862513152805</v>
      </c>
      <c r="GI107">
        <v>17.722356935869538</v>
      </c>
      <c r="GJ107"/>
      <c r="GK107"/>
      <c r="GL107"/>
      <c r="GM107"/>
    </row>
    <row r="108" spans="1:195" s="7" customFormat="1">
      <c r="A108" s="128"/>
      <c r="B108" s="76">
        <f t="shared" ca="1" si="49"/>
        <v>0.67498612581896933</v>
      </c>
      <c r="C108">
        <v>4</v>
      </c>
      <c r="D108">
        <v>39714</v>
      </c>
      <c r="E108">
        <v>0</v>
      </c>
      <c r="F108">
        <v>0</v>
      </c>
      <c r="G108">
        <v>10.416666666666666</v>
      </c>
      <c r="H108">
        <v>20.833333333333332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88.484371845775144</v>
      </c>
      <c r="AO108">
        <v>36.682522027473084</v>
      </c>
      <c r="AP108">
        <v>227.50374162184872</v>
      </c>
      <c r="AQ108">
        <v>196.99479250941505</v>
      </c>
      <c r="AR108">
        <v>32.755048839172296</v>
      </c>
      <c r="AS108">
        <v>154.80796394980226</v>
      </c>
      <c r="AT108" t="e">
        <v>#DIV/0!</v>
      </c>
      <c r="AU108" t="e">
        <v>#DIV/0!</v>
      </c>
      <c r="AV108"/>
      <c r="AW108"/>
      <c r="AX108" s="128"/>
      <c r="AY108" s="76">
        <f t="shared" ca="1" si="87"/>
        <v>0.6259729622872543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0</v>
      </c>
      <c r="BF108">
        <v>1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89"/>
        <v>0.38835071426735723</v>
      </c>
      <c r="CL108" s="179">
        <f t="shared" si="90"/>
        <v>1</v>
      </c>
      <c r="CM108" s="180">
        <f t="shared" si="91"/>
        <v>39714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0.74042182518806188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0</v>
      </c>
      <c r="DG108" s="161">
        <f t="shared" si="95"/>
        <v>0</v>
      </c>
      <c r="DH108" s="161">
        <f t="shared" si="96"/>
        <v>0</v>
      </c>
      <c r="DI108" s="161">
        <f t="shared" si="97"/>
        <v>0</v>
      </c>
      <c r="DJ108" s="161">
        <f t="shared" si="98"/>
        <v>10.416666666666666</v>
      </c>
      <c r="DK108" s="161">
        <f t="shared" si="99"/>
        <v>0</v>
      </c>
      <c r="DL108" s="161">
        <f t="shared" si="100"/>
        <v>0</v>
      </c>
      <c r="DM108" s="161">
        <f t="shared" si="101"/>
        <v>0</v>
      </c>
      <c r="DN108" s="161">
        <f t="shared" si="102"/>
        <v>0</v>
      </c>
      <c r="DO108" s="161">
        <f t="shared" si="103"/>
        <v>0</v>
      </c>
      <c r="DP108" s="161">
        <f t="shared" si="104"/>
        <v>0</v>
      </c>
      <c r="DQ108" s="161">
        <f t="shared" si="105"/>
        <v>0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10.416666666666666</v>
      </c>
      <c r="EL108" s="149"/>
      <c r="EN108" s="146"/>
      <c r="EO108" s="146"/>
      <c r="EP108" s="139">
        <f t="shared" si="55"/>
        <v>0</v>
      </c>
      <c r="EQ108" s="139">
        <f t="shared" si="56"/>
        <v>0</v>
      </c>
      <c r="ER108" s="139">
        <f t="shared" si="57"/>
        <v>0</v>
      </c>
      <c r="ES108" s="139">
        <f t="shared" si="58"/>
        <v>0</v>
      </c>
      <c r="ET108" s="139">
        <f t="shared" si="59"/>
        <v>4.1953050120835096</v>
      </c>
      <c r="EU108" s="139">
        <f t="shared" si="60"/>
        <v>0</v>
      </c>
      <c r="EV108" s="139">
        <f t="shared" si="61"/>
        <v>0</v>
      </c>
      <c r="EW108" s="139">
        <f t="shared" si="62"/>
        <v>0</v>
      </c>
      <c r="EX108" s="139">
        <f t="shared" si="63"/>
        <v>0</v>
      </c>
      <c r="EY108" s="139">
        <f t="shared" si="64"/>
        <v>0</v>
      </c>
      <c r="EZ108" s="139">
        <f t="shared" si="65"/>
        <v>0</v>
      </c>
      <c r="FA108" s="139">
        <f t="shared" si="66"/>
        <v>0</v>
      </c>
      <c r="FB108" s="139">
        <f t="shared" si="67"/>
        <v>0</v>
      </c>
      <c r="FC108" s="139">
        <f t="shared" si="68"/>
        <v>0</v>
      </c>
      <c r="FD108" s="139">
        <f t="shared" si="69"/>
        <v>0</v>
      </c>
      <c r="FE108" s="139">
        <f t="shared" si="70"/>
        <v>0</v>
      </c>
      <c r="FF108" s="139">
        <f t="shared" si="71"/>
        <v>0</v>
      </c>
      <c r="FG108" s="139">
        <f t="shared" si="72"/>
        <v>0</v>
      </c>
      <c r="FH108" s="139">
        <f t="shared" si="73"/>
        <v>0</v>
      </c>
      <c r="FI108" s="139">
        <f t="shared" si="74"/>
        <v>0</v>
      </c>
      <c r="FJ108" s="139">
        <f t="shared" si="75"/>
        <v>0</v>
      </c>
      <c r="FK108" s="139">
        <f t="shared" si="76"/>
        <v>0</v>
      </c>
      <c r="FL108" s="139">
        <f t="shared" si="77"/>
        <v>0</v>
      </c>
      <c r="FM108" s="139">
        <f t="shared" si="78"/>
        <v>0</v>
      </c>
      <c r="FN108" s="139">
        <f t="shared" si="79"/>
        <v>0</v>
      </c>
      <c r="FO108" s="139">
        <f t="shared" si="80"/>
        <v>0</v>
      </c>
      <c r="FP108" s="139">
        <f t="shared" si="81"/>
        <v>0</v>
      </c>
      <c r="FQ108" s="139">
        <f t="shared" si="82"/>
        <v>0</v>
      </c>
      <c r="FR108" s="139">
        <f t="shared" si="83"/>
        <v>0</v>
      </c>
      <c r="FS108" s="139">
        <f t="shared" si="84"/>
        <v>0</v>
      </c>
      <c r="FT108" s="139">
        <f t="shared" si="85"/>
        <v>0</v>
      </c>
      <c r="FU108" s="148">
        <f t="shared" si="86"/>
        <v>4.1953050120835096</v>
      </c>
      <c r="FV108" s="149"/>
      <c r="FY108" s="211">
        <v>103</v>
      </c>
      <c r="FZ108">
        <v>4.556605907389101</v>
      </c>
      <c r="GA108">
        <v>16.534115240656405</v>
      </c>
      <c r="GB108">
        <v>18.095965463820981</v>
      </c>
      <c r="GC108">
        <v>14.402379422012658</v>
      </c>
      <c r="GD108">
        <v>12.459968331386225</v>
      </c>
      <c r="GE108">
        <v>23.593104158635764</v>
      </c>
      <c r="GF108">
        <v>26.7181381630439</v>
      </c>
      <c r="GG108">
        <v>15.438497711509999</v>
      </c>
      <c r="GH108">
        <v>9.2431558791842381</v>
      </c>
      <c r="GI108">
        <v>19.200089367816293</v>
      </c>
      <c r="GJ108"/>
      <c r="GK108"/>
      <c r="GL108"/>
      <c r="GM108"/>
    </row>
    <row r="109" spans="1:195" s="7" customFormat="1">
      <c r="A109" s="1"/>
      <c r="B109" s="76">
        <f t="shared" ca="1" si="49"/>
        <v>0.120072106178708</v>
      </c>
      <c r="C109">
        <v>2</v>
      </c>
      <c r="D109">
        <v>39714</v>
      </c>
      <c r="E109">
        <v>0</v>
      </c>
      <c r="F109">
        <v>0</v>
      </c>
      <c r="G109">
        <v>0</v>
      </c>
      <c r="H109">
        <v>20.833333333333332</v>
      </c>
      <c r="I109">
        <v>10.416666666666666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71.628041265517609</v>
      </c>
      <c r="AO109">
        <v>26.212569128280496</v>
      </c>
      <c r="AP109">
        <v>140.58830993311847</v>
      </c>
      <c r="AQ109">
        <v>131.730353661913</v>
      </c>
      <c r="AR109">
        <v>23.917335789036954</v>
      </c>
      <c r="AS109">
        <v>125.57709015987459</v>
      </c>
      <c r="AT109" t="e">
        <v>#DIV/0!</v>
      </c>
      <c r="AU109" t="e">
        <v>#DIV/0!</v>
      </c>
      <c r="AV109"/>
      <c r="AW109"/>
      <c r="AX109" s="146"/>
      <c r="AY109" s="76">
        <f t="shared" ca="1" si="87"/>
        <v>0.43762112640003492</v>
      </c>
      <c r="AZ109">
        <v>2</v>
      </c>
      <c r="BA109" s="129">
        <f t="shared" ref="BA109:BA117" si="128">IF(AZ109="", "",$C$6)</f>
        <v>39714</v>
      </c>
      <c r="BB109">
        <v>0</v>
      </c>
      <c r="BC109">
        <v>0</v>
      </c>
      <c r="BD109">
        <v>0</v>
      </c>
      <c r="BE109">
        <v>2</v>
      </c>
      <c r="BF109">
        <v>1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89"/>
        <v>0.13789394552897916</v>
      </c>
      <c r="CL109" s="179">
        <f t="shared" si="90"/>
        <v>2</v>
      </c>
      <c r="CM109" s="180">
        <f t="shared" si="91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0.96762979354661605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0</v>
      </c>
      <c r="DH109" s="161">
        <f t="shared" si="96"/>
        <v>0</v>
      </c>
      <c r="DI109" s="161">
        <f t="shared" si="97"/>
        <v>20.833333333333332</v>
      </c>
      <c r="DJ109" s="161">
        <f t="shared" si="98"/>
        <v>10.416666666666666</v>
      </c>
      <c r="DK109" s="161">
        <f t="shared" si="99"/>
        <v>0</v>
      </c>
      <c r="DL109" s="161">
        <f t="shared" si="100"/>
        <v>0</v>
      </c>
      <c r="DM109" s="161">
        <f t="shared" si="101"/>
        <v>0</v>
      </c>
      <c r="DN109" s="161">
        <f t="shared" si="102"/>
        <v>0</v>
      </c>
      <c r="DO109" s="161">
        <f t="shared" si="103"/>
        <v>0</v>
      </c>
      <c r="DP109" s="161">
        <f t="shared" si="104"/>
        <v>0</v>
      </c>
      <c r="DQ109" s="161">
        <f t="shared" si="105"/>
        <v>0</v>
      </c>
      <c r="DR109" s="161">
        <f t="shared" si="106"/>
        <v>0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31.25</v>
      </c>
      <c r="EL109" s="149"/>
      <c r="EN109" s="146"/>
      <c r="EO109" s="146"/>
      <c r="EP109" s="139">
        <f t="shared" si="55"/>
        <v>0</v>
      </c>
      <c r="EQ109" s="139">
        <f t="shared" si="56"/>
        <v>0</v>
      </c>
      <c r="ER109" s="139">
        <f t="shared" si="57"/>
        <v>0</v>
      </c>
      <c r="ES109" s="139">
        <f t="shared" si="58"/>
        <v>3.8851753566981286</v>
      </c>
      <c r="ET109" s="139">
        <f t="shared" si="59"/>
        <v>4.1953050120835096</v>
      </c>
      <c r="EU109" s="139">
        <f t="shared" si="60"/>
        <v>0</v>
      </c>
      <c r="EV109" s="139">
        <f t="shared" si="61"/>
        <v>0</v>
      </c>
      <c r="EW109" s="139">
        <f t="shared" si="62"/>
        <v>0</v>
      </c>
      <c r="EX109" s="139">
        <f t="shared" si="63"/>
        <v>0</v>
      </c>
      <c r="EY109" s="139">
        <f t="shared" si="64"/>
        <v>0</v>
      </c>
      <c r="EZ109" s="139">
        <f t="shared" si="65"/>
        <v>0</v>
      </c>
      <c r="FA109" s="139">
        <f t="shared" si="66"/>
        <v>0</v>
      </c>
      <c r="FB109" s="139">
        <f t="shared" si="67"/>
        <v>0</v>
      </c>
      <c r="FC109" s="139">
        <f t="shared" si="68"/>
        <v>0</v>
      </c>
      <c r="FD109" s="139">
        <f t="shared" si="69"/>
        <v>0</v>
      </c>
      <c r="FE109" s="139">
        <f t="shared" si="70"/>
        <v>0</v>
      </c>
      <c r="FF109" s="139">
        <f t="shared" si="71"/>
        <v>0</v>
      </c>
      <c r="FG109" s="139">
        <f t="shared" si="72"/>
        <v>0</v>
      </c>
      <c r="FH109" s="139">
        <f t="shared" si="73"/>
        <v>0</v>
      </c>
      <c r="FI109" s="139">
        <f t="shared" si="74"/>
        <v>0</v>
      </c>
      <c r="FJ109" s="139">
        <f t="shared" si="75"/>
        <v>0</v>
      </c>
      <c r="FK109" s="139">
        <f t="shared" si="76"/>
        <v>0</v>
      </c>
      <c r="FL109" s="139">
        <f t="shared" si="77"/>
        <v>0</v>
      </c>
      <c r="FM109" s="139">
        <f t="shared" si="78"/>
        <v>0</v>
      </c>
      <c r="FN109" s="139">
        <f t="shared" si="79"/>
        <v>0</v>
      </c>
      <c r="FO109" s="139">
        <f t="shared" si="80"/>
        <v>0</v>
      </c>
      <c r="FP109" s="139">
        <f t="shared" si="81"/>
        <v>0</v>
      </c>
      <c r="FQ109" s="139">
        <f t="shared" si="82"/>
        <v>0</v>
      </c>
      <c r="FR109" s="139">
        <f t="shared" si="83"/>
        <v>0</v>
      </c>
      <c r="FS109" s="139">
        <f t="shared" si="84"/>
        <v>0</v>
      </c>
      <c r="FT109" s="139">
        <f t="shared" si="85"/>
        <v>0</v>
      </c>
      <c r="FU109" s="148">
        <f t="shared" si="86"/>
        <v>8.0804803687816378</v>
      </c>
      <c r="FV109" s="149"/>
      <c r="FY109" s="211">
        <v>104</v>
      </c>
      <c r="FZ109">
        <v>1.1135180950538595</v>
      </c>
      <c r="GA109">
        <v>3.4950995850896005</v>
      </c>
      <c r="GB109">
        <v>20.957098600375058</v>
      </c>
      <c r="GC109">
        <v>20.245023239414586</v>
      </c>
      <c r="GD109">
        <v>11.351393011094935</v>
      </c>
      <c r="GE109">
        <v>19.903641748043036</v>
      </c>
      <c r="GF109">
        <v>23.485137898361121</v>
      </c>
      <c r="GG109">
        <v>20.458184679639931</v>
      </c>
      <c r="GH109">
        <v>24.61801100674926</v>
      </c>
      <c r="GI109">
        <v>20.636245537149946</v>
      </c>
      <c r="GJ109"/>
      <c r="GK109"/>
      <c r="GL109"/>
      <c r="GM109"/>
    </row>
    <row r="110" spans="1:195" s="7" customFormat="1">
      <c r="A110" s="1"/>
      <c r="B110" s="76">
        <f t="shared" ca="1" si="49"/>
        <v>0.26324963262616796</v>
      </c>
      <c r="C110">
        <v>7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82.942336030666098</v>
      </c>
      <c r="AO110">
        <v>29.718365087262555</v>
      </c>
      <c r="AP110">
        <v>218.50990087091984</v>
      </c>
      <c r="AQ110">
        <v>178.81147002611459</v>
      </c>
      <c r="AR110">
        <v>27.378033473733886</v>
      </c>
      <c r="AS110">
        <v>138.25936473845832</v>
      </c>
      <c r="AT110">
        <v>20.159986798218203</v>
      </c>
      <c r="AU110">
        <v>30.127987834877988</v>
      </c>
      <c r="AV110"/>
      <c r="AW110"/>
      <c r="AX110" s="146"/>
      <c r="AY110" s="76">
        <f t="shared" ca="1" si="87"/>
        <v>0.23766127123572156</v>
      </c>
      <c r="AZ110">
        <v>3</v>
      </c>
      <c r="BA110" s="129">
        <f t="shared" si="128"/>
        <v>39714</v>
      </c>
      <c r="BB110">
        <v>0</v>
      </c>
      <c r="BC110">
        <v>0</v>
      </c>
      <c r="BD110">
        <v>1</v>
      </c>
      <c r="BE110">
        <v>13</v>
      </c>
      <c r="BF110">
        <v>5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89"/>
        <v>0.36275566311115259</v>
      </c>
      <c r="CL110" s="179">
        <f t="shared" si="90"/>
        <v>3</v>
      </c>
      <c r="CM110" s="180">
        <f t="shared" si="91"/>
        <v>39714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0.72942403731300143</v>
      </c>
      <c r="DD110">
        <f t="shared" si="93"/>
        <v>3</v>
      </c>
      <c r="DE110" s="129">
        <f t="shared" si="127"/>
        <v>39714</v>
      </c>
      <c r="DF110" s="161">
        <f t="shared" si="94"/>
        <v>0</v>
      </c>
      <c r="DG110" s="161">
        <f t="shared" si="95"/>
        <v>0</v>
      </c>
      <c r="DH110" s="161">
        <f t="shared" si="96"/>
        <v>10.416666666666666</v>
      </c>
      <c r="DI110" s="161">
        <f t="shared" si="97"/>
        <v>135.41666666666666</v>
      </c>
      <c r="DJ110" s="161">
        <f t="shared" si="98"/>
        <v>52.083333333333336</v>
      </c>
      <c r="DK110" s="161">
        <f t="shared" si="99"/>
        <v>0</v>
      </c>
      <c r="DL110" s="161">
        <f t="shared" si="100"/>
        <v>0</v>
      </c>
      <c r="DM110" s="161">
        <f t="shared" si="101"/>
        <v>0</v>
      </c>
      <c r="DN110" s="161">
        <f t="shared" si="102"/>
        <v>0</v>
      </c>
      <c r="DO110" s="161">
        <f t="shared" si="103"/>
        <v>0</v>
      </c>
      <c r="DP110" s="161">
        <f t="shared" si="104"/>
        <v>0</v>
      </c>
      <c r="DQ110" s="161">
        <f t="shared" si="105"/>
        <v>0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197.91666666666666</v>
      </c>
      <c r="EL110" s="149"/>
      <c r="EN110" s="146"/>
      <c r="EO110" s="146"/>
      <c r="EP110" s="139">
        <f t="shared" si="55"/>
        <v>0</v>
      </c>
      <c r="EQ110" s="139">
        <f t="shared" si="56"/>
        <v>0</v>
      </c>
      <c r="ER110" s="139">
        <f t="shared" si="57"/>
        <v>0.65628788342888167</v>
      </c>
      <c r="ES110" s="139">
        <f t="shared" si="58"/>
        <v>25.253639818537835</v>
      </c>
      <c r="ET110" s="139">
        <f t="shared" si="59"/>
        <v>20.976525060417551</v>
      </c>
      <c r="EU110" s="139">
        <f t="shared" si="60"/>
        <v>0</v>
      </c>
      <c r="EV110" s="139">
        <f t="shared" si="61"/>
        <v>0</v>
      </c>
      <c r="EW110" s="139">
        <f t="shared" si="62"/>
        <v>0</v>
      </c>
      <c r="EX110" s="139">
        <f t="shared" si="63"/>
        <v>0</v>
      </c>
      <c r="EY110" s="139">
        <f t="shared" si="64"/>
        <v>0</v>
      </c>
      <c r="EZ110" s="139">
        <f t="shared" si="65"/>
        <v>0</v>
      </c>
      <c r="FA110" s="139">
        <f t="shared" si="66"/>
        <v>0</v>
      </c>
      <c r="FB110" s="139">
        <f t="shared" si="67"/>
        <v>0</v>
      </c>
      <c r="FC110" s="139">
        <f t="shared" si="68"/>
        <v>0</v>
      </c>
      <c r="FD110" s="139">
        <f t="shared" si="69"/>
        <v>0</v>
      </c>
      <c r="FE110" s="139">
        <f t="shared" si="70"/>
        <v>0</v>
      </c>
      <c r="FF110" s="139">
        <f t="shared" si="71"/>
        <v>0</v>
      </c>
      <c r="FG110" s="139">
        <f t="shared" si="72"/>
        <v>0</v>
      </c>
      <c r="FH110" s="139">
        <f t="shared" si="73"/>
        <v>0</v>
      </c>
      <c r="FI110" s="139">
        <f t="shared" si="74"/>
        <v>0</v>
      </c>
      <c r="FJ110" s="139">
        <f t="shared" si="75"/>
        <v>0</v>
      </c>
      <c r="FK110" s="139">
        <f t="shared" si="76"/>
        <v>0</v>
      </c>
      <c r="FL110" s="139">
        <f t="shared" si="77"/>
        <v>0</v>
      </c>
      <c r="FM110" s="139">
        <f t="shared" si="78"/>
        <v>0</v>
      </c>
      <c r="FN110" s="139">
        <f t="shared" si="79"/>
        <v>0</v>
      </c>
      <c r="FO110" s="139">
        <f t="shared" si="80"/>
        <v>0</v>
      </c>
      <c r="FP110" s="139">
        <f t="shared" si="81"/>
        <v>0</v>
      </c>
      <c r="FQ110" s="139">
        <f t="shared" si="82"/>
        <v>0</v>
      </c>
      <c r="FR110" s="139">
        <f t="shared" si="83"/>
        <v>0</v>
      </c>
      <c r="FS110" s="139">
        <f t="shared" si="84"/>
        <v>0</v>
      </c>
      <c r="FT110" s="139">
        <f t="shared" si="85"/>
        <v>0</v>
      </c>
      <c r="FU110" s="148">
        <f t="shared" si="86"/>
        <v>46.886452762384266</v>
      </c>
      <c r="FV110" s="149"/>
      <c r="FY110" s="211">
        <v>105</v>
      </c>
      <c r="FZ110">
        <v>7.516681402543691</v>
      </c>
      <c r="GA110">
        <v>16.562023745123323</v>
      </c>
      <c r="GB110">
        <v>22.849584475995126</v>
      </c>
      <c r="GC110">
        <v>15.102820847128797</v>
      </c>
      <c r="GD110">
        <v>8.9327126474926928</v>
      </c>
      <c r="GE110">
        <v>17.25708851158171</v>
      </c>
      <c r="GF110">
        <v>24.415672862624024</v>
      </c>
      <c r="GG110">
        <v>25.279078543109694</v>
      </c>
      <c r="GH110">
        <v>19.553750669047062</v>
      </c>
      <c r="GI110">
        <v>19.932309599845542</v>
      </c>
      <c r="GJ110"/>
      <c r="GK110"/>
      <c r="GL110"/>
      <c r="GM110"/>
    </row>
    <row r="111" spans="1:195" s="7" customFormat="1">
      <c r="A111" s="1"/>
      <c r="B111" s="76">
        <f t="shared" ca="1" si="49"/>
        <v>8.0313536508256789E-2</v>
      </c>
      <c r="C111">
        <v>9</v>
      </c>
      <c r="D111">
        <v>39714</v>
      </c>
      <c r="E111">
        <v>0</v>
      </c>
      <c r="F111">
        <v>0</v>
      </c>
      <c r="G111">
        <v>100.80645161290323</v>
      </c>
      <c r="H111">
        <v>156.25</v>
      </c>
      <c r="I111">
        <v>104.16666666666667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86.912688902629128</v>
      </c>
      <c r="AO111">
        <v>33.681758854111308</v>
      </c>
      <c r="AP111">
        <v>250.61044706738292</v>
      </c>
      <c r="AQ111">
        <v>207.53979048281121</v>
      </c>
      <c r="AR111">
        <v>30.08038112562318</v>
      </c>
      <c r="AS111">
        <v>144.43298592225389</v>
      </c>
      <c r="AT111" t="e">
        <v>#DIV/0!</v>
      </c>
      <c r="AU111" t="e">
        <v>#DIV/0!</v>
      </c>
      <c r="AV111"/>
      <c r="AW111"/>
      <c r="AX111" s="146"/>
      <c r="AY111" s="76">
        <f t="shared" ca="1" si="87"/>
        <v>0.99777626806087194</v>
      </c>
      <c r="AZ111">
        <v>4</v>
      </c>
      <c r="BA111" s="129">
        <f t="shared" si="128"/>
        <v>39714</v>
      </c>
      <c r="BB111">
        <v>0</v>
      </c>
      <c r="BC111">
        <v>0</v>
      </c>
      <c r="BD111">
        <v>1</v>
      </c>
      <c r="BE111">
        <v>2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89"/>
        <v>0.57321065088389123</v>
      </c>
      <c r="CL111" s="179">
        <f t="shared" si="90"/>
        <v>4</v>
      </c>
      <c r="CM111" s="180">
        <f t="shared" si="91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0.89706756689233025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10.416666666666666</v>
      </c>
      <c r="DI111" s="161">
        <f t="shared" si="97"/>
        <v>20.833333333333332</v>
      </c>
      <c r="DJ111" s="161">
        <f t="shared" si="98"/>
        <v>0</v>
      </c>
      <c r="DK111" s="161">
        <f t="shared" si="99"/>
        <v>0</v>
      </c>
      <c r="DL111" s="161">
        <f t="shared" si="100"/>
        <v>0</v>
      </c>
      <c r="DM111" s="161">
        <f t="shared" si="101"/>
        <v>0</v>
      </c>
      <c r="DN111" s="161">
        <f t="shared" si="102"/>
        <v>0</v>
      </c>
      <c r="DO111" s="161">
        <f t="shared" si="103"/>
        <v>0</v>
      </c>
      <c r="DP111" s="161">
        <f t="shared" si="104"/>
        <v>0</v>
      </c>
      <c r="DQ111" s="161">
        <f t="shared" si="105"/>
        <v>0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31.25</v>
      </c>
      <c r="EL111" s="149"/>
      <c r="EN111" s="146"/>
      <c r="EO111" s="146"/>
      <c r="EP111" s="139">
        <f t="shared" si="55"/>
        <v>0</v>
      </c>
      <c r="EQ111" s="139">
        <f t="shared" si="56"/>
        <v>0</v>
      </c>
      <c r="ER111" s="139">
        <f t="shared" si="57"/>
        <v>0.65628788342888167</v>
      </c>
      <c r="ES111" s="139">
        <f t="shared" si="58"/>
        <v>3.8851753566981286</v>
      </c>
      <c r="ET111" s="139">
        <f t="shared" si="59"/>
        <v>0</v>
      </c>
      <c r="EU111" s="139">
        <f t="shared" si="60"/>
        <v>0</v>
      </c>
      <c r="EV111" s="139">
        <f t="shared" si="61"/>
        <v>0</v>
      </c>
      <c r="EW111" s="139">
        <f t="shared" si="62"/>
        <v>0</v>
      </c>
      <c r="EX111" s="139">
        <f t="shared" si="63"/>
        <v>0</v>
      </c>
      <c r="EY111" s="139">
        <f t="shared" si="64"/>
        <v>0</v>
      </c>
      <c r="EZ111" s="139">
        <f t="shared" si="65"/>
        <v>0</v>
      </c>
      <c r="FA111" s="139">
        <f t="shared" si="66"/>
        <v>0</v>
      </c>
      <c r="FB111" s="139">
        <f t="shared" si="67"/>
        <v>0</v>
      </c>
      <c r="FC111" s="139">
        <f t="shared" si="68"/>
        <v>0</v>
      </c>
      <c r="FD111" s="139">
        <f t="shared" si="69"/>
        <v>0</v>
      </c>
      <c r="FE111" s="139">
        <f t="shared" si="70"/>
        <v>0</v>
      </c>
      <c r="FF111" s="139">
        <f t="shared" si="71"/>
        <v>0</v>
      </c>
      <c r="FG111" s="139">
        <f t="shared" si="72"/>
        <v>0</v>
      </c>
      <c r="FH111" s="139">
        <f t="shared" si="73"/>
        <v>0</v>
      </c>
      <c r="FI111" s="139">
        <f t="shared" si="74"/>
        <v>0</v>
      </c>
      <c r="FJ111" s="139">
        <f t="shared" si="75"/>
        <v>0</v>
      </c>
      <c r="FK111" s="139">
        <f t="shared" si="76"/>
        <v>0</v>
      </c>
      <c r="FL111" s="139">
        <f t="shared" si="77"/>
        <v>0</v>
      </c>
      <c r="FM111" s="139">
        <f t="shared" si="78"/>
        <v>0</v>
      </c>
      <c r="FN111" s="139">
        <f t="shared" si="79"/>
        <v>0</v>
      </c>
      <c r="FO111" s="139">
        <f t="shared" si="80"/>
        <v>0</v>
      </c>
      <c r="FP111" s="139">
        <f t="shared" si="81"/>
        <v>0</v>
      </c>
      <c r="FQ111" s="139">
        <f t="shared" si="82"/>
        <v>0</v>
      </c>
      <c r="FR111" s="139">
        <f t="shared" si="83"/>
        <v>0</v>
      </c>
      <c r="FS111" s="139">
        <f t="shared" si="84"/>
        <v>0</v>
      </c>
      <c r="FT111" s="139">
        <f t="shared" si="85"/>
        <v>0</v>
      </c>
      <c r="FU111" s="148">
        <f t="shared" si="86"/>
        <v>4.5414632401270101</v>
      </c>
      <c r="FV111" s="149"/>
      <c r="FY111" s="211">
        <v>106</v>
      </c>
      <c r="FZ111">
        <v>2.5969211512078205</v>
      </c>
      <c r="GA111">
        <v>6.5354315113048678</v>
      </c>
      <c r="GB111">
        <v>19.95419546020484</v>
      </c>
      <c r="GC111">
        <v>15.779586154646204</v>
      </c>
      <c r="GD111">
        <v>11.920828244598138</v>
      </c>
      <c r="GE111">
        <v>20.301288205834609</v>
      </c>
      <c r="GF111">
        <v>40.593896950061719</v>
      </c>
      <c r="GG111">
        <v>35.327003689443551</v>
      </c>
      <c r="GH111">
        <v>10.655170520238727</v>
      </c>
      <c r="GI111">
        <v>21.957516825331421</v>
      </c>
      <c r="GJ111"/>
      <c r="GK111"/>
      <c r="GL111"/>
      <c r="GM111"/>
    </row>
    <row r="112" spans="1:195" s="7" customFormat="1">
      <c r="A112" s="1"/>
      <c r="B112" s="76">
        <f t="shared" ca="1" si="49"/>
        <v>0.61541527357700354</v>
      </c>
      <c r="C112">
        <v>6</v>
      </c>
      <c r="D112">
        <v>39714</v>
      </c>
      <c r="E112">
        <v>0</v>
      </c>
      <c r="F112">
        <v>0</v>
      </c>
      <c r="G112">
        <v>0</v>
      </c>
      <c r="H112">
        <v>20.833333333333332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52.544320395232511</v>
      </c>
      <c r="AO112">
        <v>21.041826570935708</v>
      </c>
      <c r="AP112">
        <v>153.65430035665742</v>
      </c>
      <c r="AQ112">
        <v>127.41007248508902</v>
      </c>
      <c r="AR112">
        <v>19.449183668950564</v>
      </c>
      <c r="AS112">
        <v>109.66639147094796</v>
      </c>
      <c r="AT112">
        <v>14.63213609253191</v>
      </c>
      <c r="AU112">
        <v>22.771247958319545</v>
      </c>
      <c r="AV112"/>
      <c r="AW112"/>
      <c r="AX112" s="146"/>
      <c r="AY112" s="76">
        <f t="shared" ca="1" si="87"/>
        <v>0.83388546449520318</v>
      </c>
      <c r="AZ112">
        <v>5</v>
      </c>
      <c r="BA112" s="129">
        <f t="shared" si="128"/>
        <v>39714</v>
      </c>
      <c r="BB112">
        <v>0</v>
      </c>
      <c r="BC112">
        <v>0</v>
      </c>
      <c r="BD112">
        <v>0</v>
      </c>
      <c r="BE112">
        <v>1</v>
      </c>
      <c r="BF112">
        <v>2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89"/>
        <v>0.6896457664102098</v>
      </c>
      <c r="CL112" s="179">
        <f t="shared" si="90"/>
        <v>5</v>
      </c>
      <c r="CM112" s="180">
        <f t="shared" si="91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0.41696334467934482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0</v>
      </c>
      <c r="DH112" s="161">
        <f t="shared" si="96"/>
        <v>0</v>
      </c>
      <c r="DI112" s="161">
        <f t="shared" si="97"/>
        <v>10.416666666666666</v>
      </c>
      <c r="DJ112" s="161">
        <f t="shared" si="98"/>
        <v>20.833333333333332</v>
      </c>
      <c r="DK112" s="161">
        <f t="shared" si="99"/>
        <v>0</v>
      </c>
      <c r="DL112" s="161">
        <f t="shared" si="100"/>
        <v>0</v>
      </c>
      <c r="DM112" s="161">
        <f t="shared" si="101"/>
        <v>0</v>
      </c>
      <c r="DN112" s="161">
        <f t="shared" si="102"/>
        <v>0</v>
      </c>
      <c r="DO112" s="161">
        <f t="shared" si="103"/>
        <v>0</v>
      </c>
      <c r="DP112" s="161">
        <f t="shared" si="104"/>
        <v>0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31.25</v>
      </c>
      <c r="EL112" s="149"/>
      <c r="EN112" s="146"/>
      <c r="EO112" s="146"/>
      <c r="EP112" s="139">
        <f t="shared" si="55"/>
        <v>0</v>
      </c>
      <c r="EQ112" s="139">
        <f t="shared" si="56"/>
        <v>0</v>
      </c>
      <c r="ER112" s="139">
        <f t="shared" si="57"/>
        <v>0</v>
      </c>
      <c r="ES112" s="139">
        <f t="shared" si="58"/>
        <v>1.9425876783490643</v>
      </c>
      <c r="ET112" s="139">
        <f t="shared" si="59"/>
        <v>8.3906100241670192</v>
      </c>
      <c r="EU112" s="139">
        <f t="shared" si="60"/>
        <v>0</v>
      </c>
      <c r="EV112" s="139">
        <f t="shared" si="61"/>
        <v>0</v>
      </c>
      <c r="EW112" s="139">
        <f t="shared" si="62"/>
        <v>0</v>
      </c>
      <c r="EX112" s="139">
        <f t="shared" si="63"/>
        <v>0</v>
      </c>
      <c r="EY112" s="139">
        <f t="shared" si="64"/>
        <v>0</v>
      </c>
      <c r="EZ112" s="139">
        <f t="shared" si="65"/>
        <v>0</v>
      </c>
      <c r="FA112" s="139">
        <f t="shared" si="66"/>
        <v>0</v>
      </c>
      <c r="FB112" s="139">
        <f t="shared" si="67"/>
        <v>0</v>
      </c>
      <c r="FC112" s="139">
        <f t="shared" si="68"/>
        <v>0</v>
      </c>
      <c r="FD112" s="139">
        <f t="shared" si="69"/>
        <v>0</v>
      </c>
      <c r="FE112" s="139">
        <f t="shared" si="70"/>
        <v>0</v>
      </c>
      <c r="FF112" s="139">
        <f t="shared" si="71"/>
        <v>0</v>
      </c>
      <c r="FG112" s="139">
        <f t="shared" si="72"/>
        <v>0</v>
      </c>
      <c r="FH112" s="139">
        <f t="shared" si="73"/>
        <v>0</v>
      </c>
      <c r="FI112" s="139">
        <f t="shared" si="74"/>
        <v>0</v>
      </c>
      <c r="FJ112" s="139">
        <f t="shared" si="75"/>
        <v>0</v>
      </c>
      <c r="FK112" s="139">
        <f t="shared" si="76"/>
        <v>0</v>
      </c>
      <c r="FL112" s="139">
        <f t="shared" si="77"/>
        <v>0</v>
      </c>
      <c r="FM112" s="139">
        <f t="shared" si="78"/>
        <v>0</v>
      </c>
      <c r="FN112" s="139">
        <f t="shared" si="79"/>
        <v>0</v>
      </c>
      <c r="FO112" s="139">
        <f t="shared" si="80"/>
        <v>0</v>
      </c>
      <c r="FP112" s="139">
        <f t="shared" si="81"/>
        <v>0</v>
      </c>
      <c r="FQ112" s="139">
        <f t="shared" si="82"/>
        <v>0</v>
      </c>
      <c r="FR112" s="139">
        <f t="shared" si="83"/>
        <v>0</v>
      </c>
      <c r="FS112" s="139">
        <f t="shared" si="84"/>
        <v>0</v>
      </c>
      <c r="FT112" s="139">
        <f t="shared" si="85"/>
        <v>0</v>
      </c>
      <c r="FU112" s="148">
        <f t="shared" si="86"/>
        <v>10.333197702516083</v>
      </c>
      <c r="FV112" s="149"/>
      <c r="FY112" s="211">
        <v>107</v>
      </c>
      <c r="FZ112">
        <v>4.153787582714477</v>
      </c>
      <c r="GA112">
        <v>22.209928957137016</v>
      </c>
      <c r="GB112">
        <v>26.064072849460061</v>
      </c>
      <c r="GC112">
        <v>17.988097817593719</v>
      </c>
      <c r="GD112">
        <v>11.145566015777808</v>
      </c>
      <c r="GE112">
        <v>18.2498305482519</v>
      </c>
      <c r="GF112">
        <v>34.782221944559382</v>
      </c>
      <c r="GG112">
        <v>27.701111314957664</v>
      </c>
      <c r="GH112">
        <v>16.324730523396539</v>
      </c>
      <c r="GI112">
        <v>23.012569858734732</v>
      </c>
      <c r="GJ112"/>
      <c r="GK112"/>
      <c r="GL112"/>
      <c r="GM112"/>
    </row>
    <row r="113" spans="1:195" s="7" customFormat="1">
      <c r="A113" s="1"/>
      <c r="B113" s="76">
        <f t="shared" ca="1" si="49"/>
        <v>0.86660098000567487</v>
      </c>
      <c r="C113">
        <v>8</v>
      </c>
      <c r="D113">
        <v>39714</v>
      </c>
      <c r="E113">
        <v>0</v>
      </c>
      <c r="F113">
        <v>0</v>
      </c>
      <c r="G113">
        <v>0</v>
      </c>
      <c r="H113">
        <v>10.416666666666666</v>
      </c>
      <c r="I113">
        <v>0</v>
      </c>
      <c r="J113">
        <v>10.416666666666666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70.043292185837359</v>
      </c>
      <c r="AO113">
        <v>25.055247607661347</v>
      </c>
      <c r="AP113">
        <v>160.59008955175673</v>
      </c>
      <c r="AQ113">
        <v>142.46954277331139</v>
      </c>
      <c r="AR113">
        <v>23.093150627294438</v>
      </c>
      <c r="AS113">
        <v>107.60268663642351</v>
      </c>
      <c r="AT113">
        <v>17.019969150809604</v>
      </c>
      <c r="AU113">
        <v>40.102518838012443</v>
      </c>
      <c r="AV113"/>
      <c r="AW113"/>
      <c r="AX113" s="146"/>
      <c r="AY113" s="76">
        <f t="shared" ca="1" si="87"/>
        <v>0.74644468625451221</v>
      </c>
      <c r="AZ113">
        <v>6</v>
      </c>
      <c r="BA113" s="129">
        <f t="shared" si="128"/>
        <v>39714</v>
      </c>
      <c r="BB113">
        <v>0</v>
      </c>
      <c r="BC113">
        <v>0</v>
      </c>
      <c r="BD113">
        <v>0</v>
      </c>
      <c r="BE113">
        <v>2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89"/>
        <v>0.77090163000914025</v>
      </c>
      <c r="CL113" s="179">
        <f t="shared" si="90"/>
        <v>6</v>
      </c>
      <c r="CM113" s="180">
        <f t="shared" si="91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0.30382595069072349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0</v>
      </c>
      <c r="DI113" s="161">
        <f t="shared" si="97"/>
        <v>20.833333333333332</v>
      </c>
      <c r="DJ113" s="161">
        <f t="shared" si="98"/>
        <v>0</v>
      </c>
      <c r="DK113" s="161">
        <f t="shared" si="99"/>
        <v>0</v>
      </c>
      <c r="DL113" s="161">
        <f t="shared" si="100"/>
        <v>0</v>
      </c>
      <c r="DM113" s="161">
        <f t="shared" si="101"/>
        <v>0</v>
      </c>
      <c r="DN113" s="161">
        <f t="shared" si="102"/>
        <v>0</v>
      </c>
      <c r="DO113" s="161">
        <f t="shared" si="103"/>
        <v>0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20.833333333333332</v>
      </c>
      <c r="EL113" s="149"/>
      <c r="EN113" s="146"/>
      <c r="EO113" s="146"/>
      <c r="EP113" s="139">
        <f t="shared" si="55"/>
        <v>0</v>
      </c>
      <c r="EQ113" s="139">
        <f t="shared" si="56"/>
        <v>0</v>
      </c>
      <c r="ER113" s="139">
        <f t="shared" si="57"/>
        <v>0</v>
      </c>
      <c r="ES113" s="139">
        <f t="shared" si="58"/>
        <v>3.8851753566981286</v>
      </c>
      <c r="ET113" s="139">
        <f t="shared" si="59"/>
        <v>0</v>
      </c>
      <c r="EU113" s="139">
        <f t="shared" si="60"/>
        <v>0</v>
      </c>
      <c r="EV113" s="139">
        <f t="shared" si="61"/>
        <v>0</v>
      </c>
      <c r="EW113" s="139">
        <f t="shared" si="62"/>
        <v>0</v>
      </c>
      <c r="EX113" s="139">
        <f t="shared" si="63"/>
        <v>0</v>
      </c>
      <c r="EY113" s="139">
        <f t="shared" si="64"/>
        <v>0</v>
      </c>
      <c r="EZ113" s="139">
        <f t="shared" si="65"/>
        <v>0</v>
      </c>
      <c r="FA113" s="139">
        <f t="shared" si="66"/>
        <v>0</v>
      </c>
      <c r="FB113" s="139">
        <f t="shared" si="67"/>
        <v>0</v>
      </c>
      <c r="FC113" s="139">
        <f t="shared" si="68"/>
        <v>0</v>
      </c>
      <c r="FD113" s="139">
        <f t="shared" si="69"/>
        <v>0</v>
      </c>
      <c r="FE113" s="139">
        <f t="shared" si="70"/>
        <v>0</v>
      </c>
      <c r="FF113" s="139">
        <f t="shared" si="71"/>
        <v>0</v>
      </c>
      <c r="FG113" s="139">
        <f t="shared" si="72"/>
        <v>0</v>
      </c>
      <c r="FH113" s="139">
        <f t="shared" si="73"/>
        <v>0</v>
      </c>
      <c r="FI113" s="139">
        <f t="shared" si="74"/>
        <v>0</v>
      </c>
      <c r="FJ113" s="139">
        <f t="shared" si="75"/>
        <v>0</v>
      </c>
      <c r="FK113" s="139">
        <f t="shared" si="76"/>
        <v>0</v>
      </c>
      <c r="FL113" s="139">
        <f t="shared" si="77"/>
        <v>0</v>
      </c>
      <c r="FM113" s="139">
        <f t="shared" si="78"/>
        <v>0</v>
      </c>
      <c r="FN113" s="139">
        <f t="shared" si="79"/>
        <v>0</v>
      </c>
      <c r="FO113" s="139">
        <f t="shared" si="80"/>
        <v>0</v>
      </c>
      <c r="FP113" s="139">
        <f t="shared" si="81"/>
        <v>0</v>
      </c>
      <c r="FQ113" s="139">
        <f t="shared" si="82"/>
        <v>0</v>
      </c>
      <c r="FR113" s="139">
        <f t="shared" si="83"/>
        <v>0</v>
      </c>
      <c r="FS113" s="139">
        <f t="shared" si="84"/>
        <v>0</v>
      </c>
      <c r="FT113" s="139">
        <f t="shared" si="85"/>
        <v>0</v>
      </c>
      <c r="FU113" s="148">
        <f t="shared" si="86"/>
        <v>3.8851753566981286</v>
      </c>
      <c r="FV113" s="149"/>
      <c r="FY113" s="211">
        <v>108</v>
      </c>
      <c r="FZ113">
        <v>1.052789986195837</v>
      </c>
      <c r="GA113">
        <v>17.515722168278309</v>
      </c>
      <c r="GB113">
        <v>36.730568608343603</v>
      </c>
      <c r="GC113">
        <v>24.819854668260682</v>
      </c>
      <c r="GD113">
        <v>11.428286078675134</v>
      </c>
      <c r="GE113">
        <v>16.883698359276099</v>
      </c>
      <c r="GF113">
        <v>23.900172229773695</v>
      </c>
      <c r="GG113">
        <v>13.332184441508542</v>
      </c>
      <c r="GH113">
        <v>6.8330770298185639</v>
      </c>
      <c r="GI113">
        <v>21.816776334711658</v>
      </c>
      <c r="GJ113"/>
      <c r="GK113"/>
      <c r="GL113"/>
      <c r="GM113"/>
    </row>
    <row r="114" spans="1:195" s="7" customFormat="1">
      <c r="A114" s="1"/>
      <c r="B114" s="76">
        <f t="shared" ca="1" si="49"/>
        <v>0.93521064874582205</v>
      </c>
      <c r="C114">
        <v>5</v>
      </c>
      <c r="D114">
        <v>39714</v>
      </c>
      <c r="E114">
        <v>0</v>
      </c>
      <c r="F114">
        <v>0</v>
      </c>
      <c r="G114">
        <v>0</v>
      </c>
      <c r="H114">
        <v>10.416666666666666</v>
      </c>
      <c r="I114">
        <v>20.833333333333332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80.853899425365256</v>
      </c>
      <c r="AO114">
        <v>30.424852640472455</v>
      </c>
      <c r="AP114">
        <v>197.16976071312186</v>
      </c>
      <c r="AQ114">
        <v>163.72124600494334</v>
      </c>
      <c r="AR114">
        <v>27.401304197507631</v>
      </c>
      <c r="AS114">
        <v>130.47823557705817</v>
      </c>
      <c r="AT114" t="e">
        <v>#DIV/0!</v>
      </c>
      <c r="AU114" t="e">
        <v>#DIV/0!</v>
      </c>
      <c r="AV114"/>
      <c r="AW114"/>
      <c r="AX114" s="146"/>
      <c r="AY114" s="76">
        <f t="shared" ca="1" si="87"/>
        <v>0.70747195104496252</v>
      </c>
      <c r="AZ114">
        <v>7</v>
      </c>
      <c r="BA114" s="129">
        <f t="shared" si="128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89"/>
        <v>6.1243089779652315E-2</v>
      </c>
      <c r="CL114" s="179">
        <f t="shared" si="90"/>
        <v>7</v>
      </c>
      <c r="CM114" s="180">
        <f t="shared" si="91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0.23592803396511597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>
        <f t="shared" si="55"/>
        <v>0</v>
      </c>
      <c r="EQ114" s="139">
        <f t="shared" si="56"/>
        <v>0</v>
      </c>
      <c r="ER114" s="139">
        <f t="shared" si="57"/>
        <v>0</v>
      </c>
      <c r="ES114" s="139">
        <f t="shared" si="58"/>
        <v>0</v>
      </c>
      <c r="ET114" s="139">
        <f t="shared" si="59"/>
        <v>0</v>
      </c>
      <c r="EU114" s="139">
        <f t="shared" si="60"/>
        <v>0</v>
      </c>
      <c r="EV114" s="139">
        <f t="shared" si="61"/>
        <v>0</v>
      </c>
      <c r="EW114" s="139">
        <f t="shared" si="62"/>
        <v>0</v>
      </c>
      <c r="EX114" s="139">
        <f t="shared" si="63"/>
        <v>0</v>
      </c>
      <c r="EY114" s="139">
        <f t="shared" si="64"/>
        <v>0</v>
      </c>
      <c r="EZ114" s="139">
        <f t="shared" si="65"/>
        <v>0</v>
      </c>
      <c r="FA114" s="139">
        <f t="shared" si="66"/>
        <v>0</v>
      </c>
      <c r="FB114" s="139">
        <f t="shared" si="67"/>
        <v>0</v>
      </c>
      <c r="FC114" s="139">
        <f t="shared" si="68"/>
        <v>0</v>
      </c>
      <c r="FD114" s="139">
        <f t="shared" si="69"/>
        <v>0</v>
      </c>
      <c r="FE114" s="139">
        <f t="shared" si="70"/>
        <v>0</v>
      </c>
      <c r="FF114" s="139">
        <f t="shared" si="71"/>
        <v>0</v>
      </c>
      <c r="FG114" s="139">
        <f t="shared" si="72"/>
        <v>0</v>
      </c>
      <c r="FH114" s="139">
        <f t="shared" si="73"/>
        <v>0</v>
      </c>
      <c r="FI114" s="139">
        <f t="shared" si="74"/>
        <v>0</v>
      </c>
      <c r="FJ114" s="139">
        <f t="shared" si="75"/>
        <v>0</v>
      </c>
      <c r="FK114" s="139">
        <f t="shared" si="76"/>
        <v>0</v>
      </c>
      <c r="FL114" s="139">
        <f t="shared" si="77"/>
        <v>0</v>
      </c>
      <c r="FM114" s="139">
        <f t="shared" si="78"/>
        <v>0</v>
      </c>
      <c r="FN114" s="139">
        <f t="shared" si="79"/>
        <v>0</v>
      </c>
      <c r="FO114" s="139">
        <f t="shared" si="80"/>
        <v>0</v>
      </c>
      <c r="FP114" s="139">
        <f t="shared" si="81"/>
        <v>0</v>
      </c>
      <c r="FQ114" s="139">
        <f t="shared" si="82"/>
        <v>0</v>
      </c>
      <c r="FR114" s="139">
        <f t="shared" si="83"/>
        <v>0</v>
      </c>
      <c r="FS114" s="139">
        <f t="shared" si="84"/>
        <v>0</v>
      </c>
      <c r="FT114" s="139">
        <f t="shared" si="85"/>
        <v>0</v>
      </c>
      <c r="FU114" s="148">
        <f t="shared" si="86"/>
        <v>0</v>
      </c>
      <c r="FV114" s="149"/>
      <c r="FY114" s="211">
        <v>109</v>
      </c>
      <c r="FZ114">
        <v>3.5006074518714323</v>
      </c>
      <c r="GA114">
        <v>13.28698242422586</v>
      </c>
      <c r="GB114">
        <v>16.934043652106752</v>
      </c>
      <c r="GC114">
        <v>14.000783385701544</v>
      </c>
      <c r="GD114">
        <v>11.49743858848186</v>
      </c>
      <c r="GE114">
        <v>19.985873109022034</v>
      </c>
      <c r="GF114">
        <v>23.264643305139941</v>
      </c>
      <c r="GG114">
        <v>13.501580020631788</v>
      </c>
      <c r="GH114">
        <v>5.940974655009402</v>
      </c>
      <c r="GI114">
        <v>17.045820517977777</v>
      </c>
      <c r="GJ114"/>
      <c r="GK114"/>
      <c r="GL114"/>
      <c r="GM114"/>
    </row>
    <row r="115" spans="1:195" s="7" customFormat="1">
      <c r="A115" s="1"/>
      <c r="B115" s="76">
        <f t="shared" ca="1" si="49"/>
        <v>0.89970248935792752</v>
      </c>
      <c r="C115">
        <v>1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10.416666666666666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92.174525500970461</v>
      </c>
      <c r="AO115">
        <v>36.808150142421674</v>
      </c>
      <c r="AP115">
        <v>260.66034857054944</v>
      </c>
      <c r="AQ115">
        <v>218.3096527930341</v>
      </c>
      <c r="AR115">
        <v>33.351790839156017</v>
      </c>
      <c r="AS115">
        <v>153.67938263971598</v>
      </c>
      <c r="AT115">
        <v>24.878149194601445</v>
      </c>
      <c r="AU115">
        <v>27.716285672733395</v>
      </c>
      <c r="AV115"/>
      <c r="AW115"/>
      <c r="AX115" s="146"/>
      <c r="AY115" s="76">
        <f t="shared" ca="1" si="87"/>
        <v>0.19003745235020197</v>
      </c>
      <c r="AZ115">
        <v>8</v>
      </c>
      <c r="BA115" s="129">
        <f t="shared" si="128"/>
        <v>39714</v>
      </c>
      <c r="BB115">
        <v>0</v>
      </c>
      <c r="BC115">
        <v>0</v>
      </c>
      <c r="BD115">
        <v>0</v>
      </c>
      <c r="BE115">
        <v>1</v>
      </c>
      <c r="BF115">
        <v>0</v>
      </c>
      <c r="BG115">
        <v>1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89"/>
        <v>0.21603591183358484</v>
      </c>
      <c r="CL115" s="179">
        <f t="shared" si="90"/>
        <v>8</v>
      </c>
      <c r="CM115" s="180">
        <f t="shared" si="91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0.25145150693252716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0</v>
      </c>
      <c r="DI115" s="161">
        <f t="shared" si="97"/>
        <v>10.416666666666666</v>
      </c>
      <c r="DJ115" s="161">
        <f t="shared" si="98"/>
        <v>0</v>
      </c>
      <c r="DK115" s="161">
        <f t="shared" si="99"/>
        <v>10.416666666666666</v>
      </c>
      <c r="DL115" s="161">
        <f t="shared" si="100"/>
        <v>0</v>
      </c>
      <c r="DM115" s="161">
        <f t="shared" si="101"/>
        <v>0</v>
      </c>
      <c r="DN115" s="161">
        <f t="shared" si="102"/>
        <v>0</v>
      </c>
      <c r="DO115" s="161">
        <f t="shared" si="103"/>
        <v>0</v>
      </c>
      <c r="DP115" s="161">
        <f t="shared" si="104"/>
        <v>0</v>
      </c>
      <c r="DQ115" s="161">
        <f t="shared" si="105"/>
        <v>0</v>
      </c>
      <c r="DR115" s="161">
        <f t="shared" si="106"/>
        <v>0</v>
      </c>
      <c r="DS115" s="161">
        <f t="shared" si="107"/>
        <v>0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20.833333333333332</v>
      </c>
      <c r="EL115" s="149"/>
      <c r="EN115" s="146"/>
      <c r="EO115" s="146"/>
      <c r="EP115" s="139">
        <f t="shared" si="55"/>
        <v>0</v>
      </c>
      <c r="EQ115" s="139">
        <f t="shared" si="56"/>
        <v>0</v>
      </c>
      <c r="ER115" s="139">
        <f t="shared" si="57"/>
        <v>0</v>
      </c>
      <c r="ES115" s="139">
        <f t="shared" si="58"/>
        <v>1.9425876783490643</v>
      </c>
      <c r="ET115" s="139">
        <f t="shared" si="59"/>
        <v>0</v>
      </c>
      <c r="EU115" s="139">
        <f t="shared" si="60"/>
        <v>7.623090522906498</v>
      </c>
      <c r="EV115" s="139">
        <f t="shared" si="61"/>
        <v>0</v>
      </c>
      <c r="EW115" s="139">
        <f t="shared" si="62"/>
        <v>0</v>
      </c>
      <c r="EX115" s="139">
        <f t="shared" si="63"/>
        <v>0</v>
      </c>
      <c r="EY115" s="139">
        <f t="shared" si="64"/>
        <v>0</v>
      </c>
      <c r="EZ115" s="139">
        <f t="shared" si="65"/>
        <v>0</v>
      </c>
      <c r="FA115" s="139">
        <f t="shared" si="66"/>
        <v>0</v>
      </c>
      <c r="FB115" s="139">
        <f t="shared" si="67"/>
        <v>0</v>
      </c>
      <c r="FC115" s="139">
        <f t="shared" si="68"/>
        <v>0</v>
      </c>
      <c r="FD115" s="139">
        <f t="shared" si="69"/>
        <v>0</v>
      </c>
      <c r="FE115" s="139">
        <f t="shared" si="70"/>
        <v>0</v>
      </c>
      <c r="FF115" s="139">
        <f t="shared" si="71"/>
        <v>0</v>
      </c>
      <c r="FG115" s="139">
        <f t="shared" si="72"/>
        <v>0</v>
      </c>
      <c r="FH115" s="139">
        <f t="shared" si="73"/>
        <v>0</v>
      </c>
      <c r="FI115" s="139">
        <f t="shared" si="74"/>
        <v>0</v>
      </c>
      <c r="FJ115" s="139">
        <f t="shared" si="75"/>
        <v>0</v>
      </c>
      <c r="FK115" s="139">
        <f t="shared" si="76"/>
        <v>0</v>
      </c>
      <c r="FL115" s="139">
        <f t="shared" si="77"/>
        <v>0</v>
      </c>
      <c r="FM115" s="139">
        <f t="shared" si="78"/>
        <v>0</v>
      </c>
      <c r="FN115" s="139">
        <f t="shared" si="79"/>
        <v>0</v>
      </c>
      <c r="FO115" s="139">
        <f t="shared" si="80"/>
        <v>0</v>
      </c>
      <c r="FP115" s="139">
        <f t="shared" si="81"/>
        <v>0</v>
      </c>
      <c r="FQ115" s="139">
        <f t="shared" si="82"/>
        <v>0</v>
      </c>
      <c r="FR115" s="139">
        <f t="shared" si="83"/>
        <v>0</v>
      </c>
      <c r="FS115" s="139">
        <f t="shared" si="84"/>
        <v>0</v>
      </c>
      <c r="FT115" s="139">
        <f t="shared" si="85"/>
        <v>0</v>
      </c>
      <c r="FU115" s="148">
        <f t="shared" si="86"/>
        <v>9.5656782012555617</v>
      </c>
      <c r="FV115" s="149"/>
      <c r="FY115" s="211">
        <v>110</v>
      </c>
      <c r="FZ115">
        <v>3.6834822490184429</v>
      </c>
      <c r="GA115">
        <v>14.914632552592025</v>
      </c>
      <c r="GB115">
        <v>14.657041524273534</v>
      </c>
      <c r="GC115">
        <v>12.287599446379541</v>
      </c>
      <c r="GD115">
        <v>12.730801800653795</v>
      </c>
      <c r="GE115">
        <v>22.935815403717953</v>
      </c>
      <c r="GF115">
        <v>38.404674509616818</v>
      </c>
      <c r="GG115">
        <v>33.656854899518549</v>
      </c>
      <c r="GH115">
        <v>18.516750608610792</v>
      </c>
      <c r="GI115">
        <v>22.042628670380509</v>
      </c>
      <c r="GJ115"/>
      <c r="GK115"/>
      <c r="GL115"/>
      <c r="GM115"/>
    </row>
    <row r="116" spans="1:195" s="7" customFormat="1">
      <c r="A116" s="1"/>
      <c r="B116" s="76">
        <f t="shared" ca="1" si="49"/>
        <v>0.22644929703456729</v>
      </c>
      <c r="C116">
        <v>3</v>
      </c>
      <c r="D116">
        <v>39714</v>
      </c>
      <c r="E116">
        <v>0</v>
      </c>
      <c r="F116">
        <v>0</v>
      </c>
      <c r="G116">
        <v>10.416666666666666</v>
      </c>
      <c r="H116">
        <v>135.41666666666666</v>
      </c>
      <c r="I116">
        <v>52.083333333333336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83.145752630485305</v>
      </c>
      <c r="AO116">
        <v>29.154034662867701</v>
      </c>
      <c r="AP116">
        <v>205.21331036154393</v>
      </c>
      <c r="AQ116">
        <v>170.07259996234217</v>
      </c>
      <c r="AR116">
        <v>26.330520186470331</v>
      </c>
      <c r="AS116">
        <v>126.21096494617217</v>
      </c>
      <c r="AT116">
        <v>19.669029598064814</v>
      </c>
      <c r="AU116">
        <v>29.128916151690465</v>
      </c>
      <c r="AV116"/>
      <c r="AW116"/>
      <c r="AX116" s="146"/>
      <c r="AY116" s="76">
        <f t="shared" ca="1" si="87"/>
        <v>0.97310352037560266</v>
      </c>
      <c r="AZ116">
        <v>9</v>
      </c>
      <c r="BA116" s="129">
        <f t="shared" si="128"/>
        <v>39714</v>
      </c>
      <c r="BB116">
        <v>0</v>
      </c>
      <c r="BC116">
        <v>0</v>
      </c>
      <c r="BD116">
        <v>0</v>
      </c>
      <c r="BE116">
        <v>15</v>
      </c>
      <c r="BF116">
        <v>10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89"/>
        <v>0.78971579701209671</v>
      </c>
      <c r="CL116" s="179">
        <f t="shared" si="90"/>
        <v>9</v>
      </c>
      <c r="CM116" s="180">
        <f t="shared" si="91"/>
        <v>39714</v>
      </c>
      <c r="CN116" s="221">
        <v>0</v>
      </c>
      <c r="CO116" s="221">
        <v>0</v>
      </c>
      <c r="CP116" s="221">
        <v>1</v>
      </c>
      <c r="CQ116" s="221">
        <v>0</v>
      </c>
      <c r="CR116" s="221">
        <v>0</v>
      </c>
      <c r="CS116" s="221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0.7285574161647661</v>
      </c>
      <c r="DD116">
        <f t="shared" si="93"/>
        <v>9</v>
      </c>
      <c r="DE116" s="129">
        <f t="shared" si="127"/>
        <v>39714</v>
      </c>
      <c r="DF116" s="161">
        <f t="shared" si="94"/>
        <v>0</v>
      </c>
      <c r="DG116" s="161">
        <f t="shared" si="95"/>
        <v>0</v>
      </c>
      <c r="DH116" s="161">
        <f t="shared" si="96"/>
        <v>100.80645161290323</v>
      </c>
      <c r="DI116" s="161">
        <f t="shared" si="97"/>
        <v>156.25</v>
      </c>
      <c r="DJ116" s="161">
        <f t="shared" si="98"/>
        <v>104.16666666666667</v>
      </c>
      <c r="DK116" s="161">
        <f t="shared" si="99"/>
        <v>0</v>
      </c>
      <c r="DL116" s="161">
        <f t="shared" si="100"/>
        <v>0</v>
      </c>
      <c r="DM116" s="161">
        <f t="shared" si="101"/>
        <v>0</v>
      </c>
      <c r="DN116" s="161">
        <f t="shared" si="102"/>
        <v>0</v>
      </c>
      <c r="DO116" s="161">
        <f t="shared" si="103"/>
        <v>0</v>
      </c>
      <c r="DP116" s="161">
        <f t="shared" si="104"/>
        <v>0</v>
      </c>
      <c r="DQ116" s="161">
        <f t="shared" si="105"/>
        <v>0</v>
      </c>
      <c r="DR116" s="161">
        <f t="shared" si="106"/>
        <v>0</v>
      </c>
      <c r="DS116" s="161">
        <f t="shared" si="107"/>
        <v>0</v>
      </c>
      <c r="DT116" s="161">
        <f t="shared" si="108"/>
        <v>0</v>
      </c>
      <c r="DU116" s="161">
        <f t="shared" si="109"/>
        <v>0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361.22311827956992</v>
      </c>
      <c r="EL116" s="149"/>
      <c r="EN116" s="146"/>
      <c r="EO116" s="146"/>
      <c r="EP116" s="139">
        <f t="shared" si="55"/>
        <v>0</v>
      </c>
      <c r="EQ116" s="139">
        <f t="shared" si="56"/>
        <v>0</v>
      </c>
      <c r="ER116" s="139">
        <f t="shared" si="57"/>
        <v>6.3511730654407916</v>
      </c>
      <c r="ES116" s="139">
        <f t="shared" si="58"/>
        <v>29.138815175235965</v>
      </c>
      <c r="ET116" s="139">
        <f t="shared" si="59"/>
        <v>41.953050120835101</v>
      </c>
      <c r="EU116" s="139">
        <f t="shared" si="60"/>
        <v>0</v>
      </c>
      <c r="EV116" s="139">
        <f t="shared" si="61"/>
        <v>0</v>
      </c>
      <c r="EW116" s="139">
        <f t="shared" si="62"/>
        <v>0</v>
      </c>
      <c r="EX116" s="139">
        <f t="shared" si="63"/>
        <v>0</v>
      </c>
      <c r="EY116" s="139">
        <f t="shared" si="64"/>
        <v>0</v>
      </c>
      <c r="EZ116" s="139">
        <f t="shared" si="65"/>
        <v>0</v>
      </c>
      <c r="FA116" s="139">
        <f t="shared" si="66"/>
        <v>0</v>
      </c>
      <c r="FB116" s="139">
        <f t="shared" si="67"/>
        <v>0</v>
      </c>
      <c r="FC116" s="139">
        <f t="shared" si="68"/>
        <v>0</v>
      </c>
      <c r="FD116" s="139">
        <f t="shared" si="69"/>
        <v>0</v>
      </c>
      <c r="FE116" s="139">
        <f t="shared" si="70"/>
        <v>0</v>
      </c>
      <c r="FF116" s="139">
        <f t="shared" si="71"/>
        <v>0</v>
      </c>
      <c r="FG116" s="139">
        <f t="shared" si="72"/>
        <v>0</v>
      </c>
      <c r="FH116" s="139">
        <f t="shared" si="73"/>
        <v>0</v>
      </c>
      <c r="FI116" s="139">
        <f t="shared" si="74"/>
        <v>0</v>
      </c>
      <c r="FJ116" s="139">
        <f t="shared" si="75"/>
        <v>0</v>
      </c>
      <c r="FK116" s="139">
        <f t="shared" si="76"/>
        <v>0</v>
      </c>
      <c r="FL116" s="139">
        <f t="shared" si="77"/>
        <v>0</v>
      </c>
      <c r="FM116" s="139">
        <f t="shared" si="78"/>
        <v>0</v>
      </c>
      <c r="FN116" s="139">
        <f t="shared" si="79"/>
        <v>0</v>
      </c>
      <c r="FO116" s="139">
        <f t="shared" si="80"/>
        <v>0</v>
      </c>
      <c r="FP116" s="139">
        <f t="shared" si="81"/>
        <v>0</v>
      </c>
      <c r="FQ116" s="139">
        <f t="shared" si="82"/>
        <v>0</v>
      </c>
      <c r="FR116" s="139">
        <f t="shared" si="83"/>
        <v>0</v>
      </c>
      <c r="FS116" s="139">
        <f t="shared" si="84"/>
        <v>0</v>
      </c>
      <c r="FT116" s="139">
        <f t="shared" si="85"/>
        <v>0</v>
      </c>
      <c r="FU116" s="148">
        <f t="shared" si="86"/>
        <v>77.443038361511867</v>
      </c>
      <c r="FV116" s="149"/>
      <c r="FY116" s="211">
        <v>111</v>
      </c>
      <c r="FZ116">
        <v>2.0723817450638666</v>
      </c>
      <c r="GA116">
        <v>18.795731328369982</v>
      </c>
      <c r="GB116">
        <v>16.220284962819154</v>
      </c>
      <c r="GC116">
        <v>10.644689669582252</v>
      </c>
      <c r="GD116">
        <v>10.970494874623393</v>
      </c>
      <c r="GE116">
        <v>22.402499443829402</v>
      </c>
      <c r="GF116">
        <v>27.479304878246879</v>
      </c>
      <c r="GG116">
        <v>25.581865256973664</v>
      </c>
      <c r="GH116">
        <v>22.0464334628474</v>
      </c>
      <c r="GI116">
        <v>19.645070032230215</v>
      </c>
      <c r="GJ116"/>
      <c r="GK116"/>
      <c r="GL116"/>
      <c r="GM116"/>
    </row>
    <row r="117" spans="1:195" s="7" customFormat="1">
      <c r="A117" s="1"/>
      <c r="B117" s="76">
        <f t="shared" ca="1" si="49"/>
        <v>0.18897974201790468</v>
      </c>
      <c r="C117">
        <v>10</v>
      </c>
      <c r="D117">
        <v>39714</v>
      </c>
      <c r="E117">
        <v>0</v>
      </c>
      <c r="F117">
        <v>0</v>
      </c>
      <c r="G117">
        <v>10.416666666666666</v>
      </c>
      <c r="H117">
        <v>72.916666666666671</v>
      </c>
      <c r="I117">
        <v>72.916666666666671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64.50635537717082</v>
      </c>
      <c r="AO117">
        <v>24.660670552322493</v>
      </c>
      <c r="AP117">
        <v>154.01167857154761</v>
      </c>
      <c r="AQ117">
        <v>133.94733803154358</v>
      </c>
      <c r="AR117">
        <v>22.484403915336436</v>
      </c>
      <c r="AS117">
        <v>107.76752791236748</v>
      </c>
      <c r="AT117" t="e">
        <v>#DIV/0!</v>
      </c>
      <c r="AU117" t="e">
        <v>#DIV/0!</v>
      </c>
      <c r="AV117"/>
      <c r="AW117"/>
      <c r="AX117" s="146"/>
      <c r="AY117" s="76">
        <f t="shared" ca="1" si="87"/>
        <v>0.19232091975072607</v>
      </c>
      <c r="AZ117">
        <v>10</v>
      </c>
      <c r="BA117" s="129">
        <f t="shared" si="128"/>
        <v>39714</v>
      </c>
      <c r="BB117">
        <v>0</v>
      </c>
      <c r="BC117">
        <v>0</v>
      </c>
      <c r="BD117">
        <v>1</v>
      </c>
      <c r="BE117">
        <v>7</v>
      </c>
      <c r="BF117">
        <v>7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89"/>
        <v>0.52293071854591422</v>
      </c>
      <c r="CL117" s="179">
        <f t="shared" si="90"/>
        <v>10</v>
      </c>
      <c r="CM117" s="180">
        <f t="shared" si="91"/>
        <v>39714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0.80001736414872138</v>
      </c>
      <c r="DD117">
        <f t="shared" si="93"/>
        <v>10</v>
      </c>
      <c r="DE117" s="129">
        <f t="shared" si="127"/>
        <v>39714</v>
      </c>
      <c r="DF117" s="161">
        <f t="shared" si="94"/>
        <v>0</v>
      </c>
      <c r="DG117" s="161">
        <f t="shared" si="95"/>
        <v>0</v>
      </c>
      <c r="DH117" s="161">
        <f t="shared" si="96"/>
        <v>10.416666666666666</v>
      </c>
      <c r="DI117" s="161">
        <f t="shared" si="97"/>
        <v>72.916666666666671</v>
      </c>
      <c r="DJ117" s="161">
        <f t="shared" si="98"/>
        <v>72.916666666666671</v>
      </c>
      <c r="DK117" s="161">
        <f t="shared" si="99"/>
        <v>0</v>
      </c>
      <c r="DL117" s="161">
        <f t="shared" si="100"/>
        <v>0</v>
      </c>
      <c r="DM117" s="161">
        <f t="shared" si="101"/>
        <v>0</v>
      </c>
      <c r="DN117" s="161">
        <f t="shared" si="102"/>
        <v>0</v>
      </c>
      <c r="DO117" s="161">
        <f t="shared" si="103"/>
        <v>0</v>
      </c>
      <c r="DP117" s="161">
        <f t="shared" si="104"/>
        <v>0</v>
      </c>
      <c r="DQ117" s="161">
        <f t="shared" si="105"/>
        <v>0</v>
      </c>
      <c r="DR117" s="161">
        <f t="shared" si="106"/>
        <v>0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156.25</v>
      </c>
      <c r="EL117" s="149"/>
      <c r="EN117" s="146"/>
      <c r="EO117" s="146"/>
      <c r="EP117" s="139">
        <f t="shared" si="55"/>
        <v>0</v>
      </c>
      <c r="EQ117" s="139">
        <f t="shared" si="56"/>
        <v>0</v>
      </c>
      <c r="ER117" s="139">
        <f t="shared" si="57"/>
        <v>0.65628788342888167</v>
      </c>
      <c r="ES117" s="139">
        <f t="shared" si="58"/>
        <v>13.598113748443451</v>
      </c>
      <c r="ET117" s="139">
        <f t="shared" si="59"/>
        <v>29.367135084584572</v>
      </c>
      <c r="EU117" s="139">
        <f t="shared" si="60"/>
        <v>0</v>
      </c>
      <c r="EV117" s="139">
        <f t="shared" si="61"/>
        <v>0</v>
      </c>
      <c r="EW117" s="139">
        <f t="shared" si="62"/>
        <v>0</v>
      </c>
      <c r="EX117" s="139">
        <f t="shared" si="63"/>
        <v>0</v>
      </c>
      <c r="EY117" s="139">
        <f t="shared" si="64"/>
        <v>0</v>
      </c>
      <c r="EZ117" s="139">
        <f t="shared" si="65"/>
        <v>0</v>
      </c>
      <c r="FA117" s="139">
        <f t="shared" si="66"/>
        <v>0</v>
      </c>
      <c r="FB117" s="139">
        <f t="shared" si="67"/>
        <v>0</v>
      </c>
      <c r="FC117" s="139">
        <f t="shared" si="68"/>
        <v>0</v>
      </c>
      <c r="FD117" s="139">
        <f t="shared" si="69"/>
        <v>0</v>
      </c>
      <c r="FE117" s="139">
        <f t="shared" si="70"/>
        <v>0</v>
      </c>
      <c r="FF117" s="139">
        <f t="shared" si="71"/>
        <v>0</v>
      </c>
      <c r="FG117" s="139">
        <f t="shared" si="72"/>
        <v>0</v>
      </c>
      <c r="FH117" s="139">
        <f t="shared" si="73"/>
        <v>0</v>
      </c>
      <c r="FI117" s="139">
        <f t="shared" si="74"/>
        <v>0</v>
      </c>
      <c r="FJ117" s="139">
        <f t="shared" si="75"/>
        <v>0</v>
      </c>
      <c r="FK117" s="139">
        <f t="shared" si="76"/>
        <v>0</v>
      </c>
      <c r="FL117" s="139">
        <f t="shared" si="77"/>
        <v>0</v>
      </c>
      <c r="FM117" s="139">
        <f t="shared" si="78"/>
        <v>0</v>
      </c>
      <c r="FN117" s="139">
        <f t="shared" si="79"/>
        <v>0</v>
      </c>
      <c r="FO117" s="139">
        <f t="shared" si="80"/>
        <v>0</v>
      </c>
      <c r="FP117" s="139">
        <f t="shared" si="81"/>
        <v>0</v>
      </c>
      <c r="FQ117" s="139">
        <f t="shared" si="82"/>
        <v>0</v>
      </c>
      <c r="FR117" s="139">
        <f t="shared" si="83"/>
        <v>0</v>
      </c>
      <c r="FS117" s="139">
        <f t="shared" si="84"/>
        <v>0</v>
      </c>
      <c r="FT117" s="139">
        <f t="shared" si="85"/>
        <v>0</v>
      </c>
      <c r="FU117" s="148">
        <f t="shared" si="86"/>
        <v>43.621536716456902</v>
      </c>
      <c r="FV117" s="149"/>
      <c r="FY117" s="211">
        <v>112</v>
      </c>
      <c r="FZ117">
        <v>1.061801351199062</v>
      </c>
      <c r="GA117">
        <v>8.8928386451129615</v>
      </c>
      <c r="GB117">
        <v>19.657200926123455</v>
      </c>
      <c r="GC117">
        <v>14.457492951312862</v>
      </c>
      <c r="GD117">
        <v>9.17575973830861</v>
      </c>
      <c r="GE117">
        <v>26.064496896529562</v>
      </c>
      <c r="GF117">
        <v>31.06822309969683</v>
      </c>
      <c r="GG117">
        <v>15.5544185217808</v>
      </c>
      <c r="GH117">
        <v>17.95492967334966</v>
      </c>
      <c r="GI117">
        <v>19.348054573746634</v>
      </c>
      <c r="GJ117"/>
      <c r="GK117"/>
      <c r="GL117"/>
      <c r="GM117"/>
    </row>
    <row r="118" spans="1:195" s="7" customFormat="1">
      <c r="A118" s="128"/>
      <c r="B118" s="76">
        <f t="shared" ca="1" si="49"/>
        <v>1.7968705512335426E-2</v>
      </c>
      <c r="C118">
        <v>5</v>
      </c>
      <c r="D118">
        <v>39747</v>
      </c>
      <c r="E118">
        <v>0</v>
      </c>
      <c r="F118">
        <v>0</v>
      </c>
      <c r="G118">
        <v>110.47979797979797</v>
      </c>
      <c r="H118">
        <v>110.47979797979797</v>
      </c>
      <c r="I118">
        <v>0</v>
      </c>
      <c r="J118">
        <v>20.833333333333332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82.891701155728171</v>
      </c>
      <c r="AO118">
        <v>26.724724625544432</v>
      </c>
      <c r="AP118">
        <v>179.14795675410005</v>
      </c>
      <c r="AQ118">
        <v>153.50929260837663</v>
      </c>
      <c r="AR118">
        <v>24.217333016978557</v>
      </c>
      <c r="AS118">
        <v>120.69867305377984</v>
      </c>
      <c r="AT118">
        <v>18.12834291472808</v>
      </c>
      <c r="AU118">
        <v>52.669679454529522</v>
      </c>
      <c r="AV118"/>
      <c r="AW118"/>
      <c r="AX118" s="128"/>
      <c r="AY118" s="76">
        <f t="shared" ca="1" si="87"/>
        <v>0.46940279817117769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89"/>
        <v>1.0408820948375919E-2</v>
      </c>
      <c r="CL118" s="179">
        <f t="shared" si="90"/>
        <v>1</v>
      </c>
      <c r="CM118" s="180">
        <f t="shared" si="91"/>
        <v>39747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2.6599134112677447E-2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0</v>
      </c>
      <c r="DH118" s="161">
        <f t="shared" si="96"/>
        <v>0</v>
      </c>
      <c r="DI118" s="161">
        <f t="shared" si="97"/>
        <v>0</v>
      </c>
      <c r="DJ118" s="161">
        <f t="shared" si="98"/>
        <v>0</v>
      </c>
      <c r="DK118" s="161">
        <f t="shared" si="99"/>
        <v>0</v>
      </c>
      <c r="DL118" s="161">
        <f t="shared" si="100"/>
        <v>0</v>
      </c>
      <c r="DM118" s="161">
        <f t="shared" si="101"/>
        <v>0</v>
      </c>
      <c r="DN118" s="161">
        <f t="shared" si="102"/>
        <v>0</v>
      </c>
      <c r="DO118" s="161">
        <f t="shared" si="103"/>
        <v>0</v>
      </c>
      <c r="DP118" s="161">
        <f t="shared" si="104"/>
        <v>0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0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0</v>
      </c>
      <c r="EL118" s="149"/>
      <c r="EN118" s="146"/>
      <c r="EO118" s="146"/>
      <c r="EP118" s="139">
        <f t="shared" si="55"/>
        <v>0</v>
      </c>
      <c r="EQ118" s="139">
        <f t="shared" si="56"/>
        <v>0</v>
      </c>
      <c r="ER118" s="139">
        <f t="shared" si="57"/>
        <v>0</v>
      </c>
      <c r="ES118" s="139">
        <f t="shared" si="58"/>
        <v>0</v>
      </c>
      <c r="ET118" s="139">
        <f t="shared" si="59"/>
        <v>0</v>
      </c>
      <c r="EU118" s="139">
        <f t="shared" si="60"/>
        <v>0</v>
      </c>
      <c r="EV118" s="139">
        <f t="shared" si="61"/>
        <v>0</v>
      </c>
      <c r="EW118" s="139">
        <f t="shared" si="62"/>
        <v>0</v>
      </c>
      <c r="EX118" s="139">
        <f t="shared" si="63"/>
        <v>0</v>
      </c>
      <c r="EY118" s="139">
        <f t="shared" si="64"/>
        <v>0</v>
      </c>
      <c r="EZ118" s="139">
        <f t="shared" si="65"/>
        <v>0</v>
      </c>
      <c r="FA118" s="139">
        <f t="shared" si="66"/>
        <v>0</v>
      </c>
      <c r="FB118" s="139">
        <f t="shared" si="67"/>
        <v>0</v>
      </c>
      <c r="FC118" s="139">
        <f t="shared" si="68"/>
        <v>0</v>
      </c>
      <c r="FD118" s="139">
        <f t="shared" si="69"/>
        <v>0</v>
      </c>
      <c r="FE118" s="139">
        <f t="shared" si="70"/>
        <v>0</v>
      </c>
      <c r="FF118" s="139">
        <f t="shared" si="71"/>
        <v>0</v>
      </c>
      <c r="FG118" s="139">
        <f t="shared" si="72"/>
        <v>0</v>
      </c>
      <c r="FH118" s="139">
        <f t="shared" si="73"/>
        <v>0</v>
      </c>
      <c r="FI118" s="139">
        <f t="shared" si="74"/>
        <v>0</v>
      </c>
      <c r="FJ118" s="139">
        <f t="shared" si="75"/>
        <v>0</v>
      </c>
      <c r="FK118" s="139">
        <f t="shared" si="76"/>
        <v>0</v>
      </c>
      <c r="FL118" s="139">
        <f t="shared" si="77"/>
        <v>0</v>
      </c>
      <c r="FM118" s="139">
        <f t="shared" si="78"/>
        <v>0</v>
      </c>
      <c r="FN118" s="139">
        <f t="shared" si="79"/>
        <v>0</v>
      </c>
      <c r="FO118" s="139">
        <f t="shared" si="80"/>
        <v>0</v>
      </c>
      <c r="FP118" s="139">
        <f t="shared" si="81"/>
        <v>0</v>
      </c>
      <c r="FQ118" s="139">
        <f t="shared" si="82"/>
        <v>0</v>
      </c>
      <c r="FR118" s="139">
        <f t="shared" si="83"/>
        <v>0</v>
      </c>
      <c r="FS118" s="139">
        <f t="shared" si="84"/>
        <v>0</v>
      </c>
      <c r="FT118" s="139">
        <f t="shared" si="85"/>
        <v>0</v>
      </c>
      <c r="FU118" s="148">
        <f t="shared" si="86"/>
        <v>0</v>
      </c>
      <c r="FV118" s="149"/>
      <c r="FY118" s="211">
        <v>113</v>
      </c>
      <c r="FZ118">
        <v>5.9942056297581381</v>
      </c>
      <c r="GA118">
        <v>22.827862126014075</v>
      </c>
      <c r="GB118">
        <v>16.23481865558167</v>
      </c>
      <c r="GC118">
        <v>12.977211334065109</v>
      </c>
      <c r="GD118">
        <v>11.737829140947499</v>
      </c>
      <c r="GE118">
        <v>16.372731071306056</v>
      </c>
      <c r="GF118">
        <v>24.150812609634784</v>
      </c>
      <c r="GG118">
        <v>19.394473685127732</v>
      </c>
      <c r="GH118">
        <v>10.193977139043332</v>
      </c>
      <c r="GI118">
        <v>18.20315110050176</v>
      </c>
      <c r="GJ118"/>
      <c r="GK118"/>
      <c r="GL118"/>
      <c r="GM118"/>
    </row>
    <row r="119" spans="1:195" s="7" customFormat="1">
      <c r="A119" s="1"/>
      <c r="B119" s="76">
        <f t="shared" ca="1" si="49"/>
        <v>0.39207787353389456</v>
      </c>
      <c r="C119">
        <v>3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84.36990132810034</v>
      </c>
      <c r="AO119">
        <v>29.085496204590175</v>
      </c>
      <c r="AP119">
        <v>182.73209188505263</v>
      </c>
      <c r="AQ119">
        <v>160.24201964545557</v>
      </c>
      <c r="AR119">
        <v>26.211180267903661</v>
      </c>
      <c r="AS119">
        <v>135.78260840059951</v>
      </c>
      <c r="AT119" t="e">
        <v>#DIV/0!</v>
      </c>
      <c r="AU119" t="e">
        <v>#DIV/0!</v>
      </c>
      <c r="AV119"/>
      <c r="AW119"/>
      <c r="AX119" s="146"/>
      <c r="AY119" s="76">
        <f t="shared" ca="1" si="87"/>
        <v>0.56770243176083479</v>
      </c>
      <c r="AZ119">
        <v>2</v>
      </c>
      <c r="BA119" s="129">
        <f t="shared" ref="BA119:BA127" si="130">IF(AZ119="", "",$C$7)</f>
        <v>39747</v>
      </c>
      <c r="BB119">
        <v>0</v>
      </c>
      <c r="BC119">
        <v>0</v>
      </c>
      <c r="BD119">
        <v>0</v>
      </c>
      <c r="BE119">
        <v>0</v>
      </c>
      <c r="BF119">
        <v>15</v>
      </c>
      <c r="BG119">
        <v>3</v>
      </c>
      <c r="BH119">
        <v>0</v>
      </c>
      <c r="BI119">
        <v>1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89"/>
        <v>0.61917032121206539</v>
      </c>
      <c r="CL119" s="179">
        <f t="shared" si="90"/>
        <v>2</v>
      </c>
      <c r="CM119" s="180">
        <f t="shared" si="91"/>
        <v>39747</v>
      </c>
      <c r="CN119">
        <v>0</v>
      </c>
      <c r="CO119">
        <v>0</v>
      </c>
      <c r="CP119">
        <v>2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0.62522183758163519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0</v>
      </c>
      <c r="DH119" s="161">
        <f t="shared" si="96"/>
        <v>182.29166666666666</v>
      </c>
      <c r="DI119" s="161">
        <f t="shared" si="97"/>
        <v>0</v>
      </c>
      <c r="DJ119" s="161">
        <f t="shared" si="98"/>
        <v>390.625</v>
      </c>
      <c r="DK119" s="161">
        <f t="shared" si="99"/>
        <v>78.125</v>
      </c>
      <c r="DL119" s="161">
        <f t="shared" si="100"/>
        <v>0</v>
      </c>
      <c r="DM119" s="161">
        <f t="shared" si="101"/>
        <v>26.041666666666668</v>
      </c>
      <c r="DN119" s="161">
        <f t="shared" si="102"/>
        <v>0</v>
      </c>
      <c r="DO119" s="161">
        <f t="shared" si="103"/>
        <v>0</v>
      </c>
      <c r="DP119" s="161">
        <f t="shared" si="104"/>
        <v>0</v>
      </c>
      <c r="DQ119" s="161">
        <f t="shared" si="105"/>
        <v>0</v>
      </c>
      <c r="DR119" s="161">
        <f t="shared" si="106"/>
        <v>0</v>
      </c>
      <c r="DS119" s="161">
        <f t="shared" si="107"/>
        <v>0</v>
      </c>
      <c r="DT119" s="161">
        <f t="shared" si="108"/>
        <v>0</v>
      </c>
      <c r="DU119" s="161">
        <f t="shared" si="109"/>
        <v>0</v>
      </c>
      <c r="DV119" s="161">
        <f t="shared" si="110"/>
        <v>0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677.08333333333326</v>
      </c>
      <c r="EL119" s="149"/>
      <c r="EN119" s="146"/>
      <c r="EO119" s="146"/>
      <c r="EP119" s="139">
        <f t="shared" si="55"/>
        <v>0</v>
      </c>
      <c r="EQ119" s="139">
        <f t="shared" si="56"/>
        <v>0</v>
      </c>
      <c r="ER119" s="139">
        <f t="shared" si="57"/>
        <v>11.48503796000543</v>
      </c>
      <c r="ES119" s="139">
        <f t="shared" si="58"/>
        <v>0</v>
      </c>
      <c r="ET119" s="139">
        <f t="shared" si="59"/>
        <v>157.32393795313163</v>
      </c>
      <c r="EU119" s="139">
        <f t="shared" si="60"/>
        <v>57.173178921798737</v>
      </c>
      <c r="EV119" s="139">
        <f t="shared" si="61"/>
        <v>0</v>
      </c>
      <c r="EW119" s="139">
        <f t="shared" si="62"/>
        <v>46.899099838928358</v>
      </c>
      <c r="EX119" s="139">
        <f t="shared" si="63"/>
        <v>0</v>
      </c>
      <c r="EY119" s="139">
        <f t="shared" si="64"/>
        <v>0</v>
      </c>
      <c r="EZ119" s="139">
        <f t="shared" si="65"/>
        <v>0</v>
      </c>
      <c r="FA119" s="139">
        <f t="shared" si="66"/>
        <v>0</v>
      </c>
      <c r="FB119" s="139">
        <f t="shared" si="67"/>
        <v>0</v>
      </c>
      <c r="FC119" s="139">
        <f t="shared" si="68"/>
        <v>0</v>
      </c>
      <c r="FD119" s="139">
        <f t="shared" si="69"/>
        <v>0</v>
      </c>
      <c r="FE119" s="139">
        <f t="shared" si="70"/>
        <v>0</v>
      </c>
      <c r="FF119" s="139">
        <f t="shared" si="71"/>
        <v>0</v>
      </c>
      <c r="FG119" s="139">
        <f t="shared" si="72"/>
        <v>0</v>
      </c>
      <c r="FH119" s="139">
        <f t="shared" si="73"/>
        <v>0</v>
      </c>
      <c r="FI119" s="139">
        <f t="shared" si="74"/>
        <v>0</v>
      </c>
      <c r="FJ119" s="139">
        <f t="shared" si="75"/>
        <v>0</v>
      </c>
      <c r="FK119" s="139">
        <f t="shared" si="76"/>
        <v>0</v>
      </c>
      <c r="FL119" s="139">
        <f t="shared" si="77"/>
        <v>0</v>
      </c>
      <c r="FM119" s="139">
        <f t="shared" si="78"/>
        <v>0</v>
      </c>
      <c r="FN119" s="139">
        <f t="shared" si="79"/>
        <v>0</v>
      </c>
      <c r="FO119" s="139">
        <f t="shared" si="80"/>
        <v>0</v>
      </c>
      <c r="FP119" s="139">
        <f t="shared" si="81"/>
        <v>0</v>
      </c>
      <c r="FQ119" s="139">
        <f t="shared" si="82"/>
        <v>0</v>
      </c>
      <c r="FR119" s="139">
        <f t="shared" si="83"/>
        <v>0</v>
      </c>
      <c r="FS119" s="139">
        <f t="shared" si="84"/>
        <v>0</v>
      </c>
      <c r="FT119" s="139">
        <f t="shared" si="85"/>
        <v>0</v>
      </c>
      <c r="FU119" s="148">
        <f t="shared" si="86"/>
        <v>272.88125467386413</v>
      </c>
      <c r="FV119" s="149"/>
      <c r="FY119" s="211">
        <v>114</v>
      </c>
      <c r="FZ119">
        <v>2.773526287178488</v>
      </c>
      <c r="GA119">
        <v>8.0027509709570062</v>
      </c>
      <c r="GB119">
        <v>21.3051558232318</v>
      </c>
      <c r="GC119">
        <v>14.54676149709762</v>
      </c>
      <c r="GD119">
        <v>12.148204116181505</v>
      </c>
      <c r="GE119">
        <v>25.801305106108853</v>
      </c>
      <c r="GF119">
        <v>29.008319186001152</v>
      </c>
      <c r="GG119">
        <v>18.531574596921644</v>
      </c>
      <c r="GH119">
        <v>5.601755361969091</v>
      </c>
      <c r="GI119">
        <v>19.489968972359417</v>
      </c>
      <c r="GJ119"/>
      <c r="GK119"/>
      <c r="GL119"/>
      <c r="GM119"/>
    </row>
    <row r="120" spans="1:195" s="7" customFormat="1">
      <c r="A120" s="1"/>
      <c r="B120" s="76">
        <f t="shared" ref="B120:B151" ca="1" si="131">IF(C120="", "", RAND())</f>
        <v>0.49415206794896971</v>
      </c>
      <c r="C120">
        <v>8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20.833333333333332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74.062780108564993</v>
      </c>
      <c r="AO120">
        <v>31.279111463919286</v>
      </c>
      <c r="AP120">
        <v>194.89261371302825</v>
      </c>
      <c r="AQ120">
        <v>166.26335340097131</v>
      </c>
      <c r="AR120">
        <v>28.335590316615896</v>
      </c>
      <c r="AS120">
        <v>130.47854015086287</v>
      </c>
      <c r="AT120">
        <v>20.854559540551858</v>
      </c>
      <c r="AU120">
        <v>28.482931431304941</v>
      </c>
      <c r="AV120"/>
      <c r="AW120"/>
      <c r="AX120" s="146"/>
      <c r="AY120" s="76">
        <f t="shared" ca="1" si="87"/>
        <v>0.59689217358105928</v>
      </c>
      <c r="AZ120">
        <v>3</v>
      </c>
      <c r="BA120" s="129">
        <f t="shared" si="130"/>
        <v>39747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89"/>
        <v>0.52541966895595871</v>
      </c>
      <c r="CL120" s="179">
        <f t="shared" si="90"/>
        <v>3</v>
      </c>
      <c r="CM120" s="180">
        <f t="shared" si="91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0.44186294155632044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0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2">IF(DF120="", "", SUM(DF120:EJ120))</f>
        <v>0</v>
      </c>
      <c r="EL120" s="149"/>
      <c r="EN120" s="146"/>
      <c r="EO120" s="146"/>
      <c r="EP120" s="139">
        <f t="shared" ref="EP120:EP151" si="133">IF(DF120="", "", DF120*G$36)</f>
        <v>0</v>
      </c>
      <c r="EQ120" s="139">
        <f t="shared" ref="EQ120:EQ151" si="134">IF(DG120="", "", DG120*H$36)</f>
        <v>0</v>
      </c>
      <c r="ER120" s="139">
        <f t="shared" ref="ER120:ER151" si="135">IF(DH120="", "", DH120*I$36)</f>
        <v>0</v>
      </c>
      <c r="ES120" s="139">
        <f t="shared" ref="ES120:ES151" si="136">IF(DI120="", "", DI120*J$36)</f>
        <v>0</v>
      </c>
      <c r="ET120" s="139">
        <f t="shared" ref="ET120:ET151" si="137">IF(DJ120="", "", DJ120*K$36)</f>
        <v>0</v>
      </c>
      <c r="EU120" s="139">
        <f t="shared" ref="EU120:EU151" si="138">IF(DK120="", "", DK120*L$36)</f>
        <v>0</v>
      </c>
      <c r="EV120" s="139">
        <f t="shared" ref="EV120:EV151" si="139">IF(DL120="", "", DL120*M$36)</f>
        <v>0</v>
      </c>
      <c r="EW120" s="139">
        <f t="shared" ref="EW120:EW151" si="140">IF(DM120="", "", DM120*N$36)</f>
        <v>0</v>
      </c>
      <c r="EX120" s="139">
        <f t="shared" ref="EX120:EX151" si="141">IF(DN120="", "", DN120*O$36)</f>
        <v>0</v>
      </c>
      <c r="EY120" s="139">
        <f t="shared" ref="EY120:EY151" si="142">IF(DO120="", "", DO120*P$36)</f>
        <v>0</v>
      </c>
      <c r="EZ120" s="139">
        <f t="shared" ref="EZ120:EZ151" si="143">IF(DP120="", "", DP120*Q$36)</f>
        <v>0</v>
      </c>
      <c r="FA120" s="139">
        <f t="shared" ref="FA120:FA151" si="144">IF(DQ120="", "", DQ120*R$36)</f>
        <v>0</v>
      </c>
      <c r="FB120" s="139">
        <f t="shared" ref="FB120:FB151" si="145">IF(DR120="", "", DR120*S$36)</f>
        <v>0</v>
      </c>
      <c r="FC120" s="139">
        <f t="shared" ref="FC120:FC151" si="146">IF(DS120="", "", DS120*T$36)</f>
        <v>0</v>
      </c>
      <c r="FD120" s="139">
        <f t="shared" ref="FD120:FD151" si="147">IF(DT120="", "", DT120*U$36)</f>
        <v>0</v>
      </c>
      <c r="FE120" s="139">
        <f t="shared" ref="FE120:FE151" si="148">IF(DU120="", "", DU120*V$36)</f>
        <v>0</v>
      </c>
      <c r="FF120" s="139">
        <f t="shared" ref="FF120:FF151" si="149">IF(DV120="", "", DV120*W$36)</f>
        <v>0</v>
      </c>
      <c r="FG120" s="139">
        <f t="shared" ref="FG120:FG151" si="150">IF(DW120="", "", DW120*X$36)</f>
        <v>0</v>
      </c>
      <c r="FH120" s="139">
        <f t="shared" ref="FH120:FH151" si="151">IF(DX120="", "", DX120*Y$36)</f>
        <v>0</v>
      </c>
      <c r="FI120" s="139">
        <f t="shared" ref="FI120:FI151" si="152">IF(DY120="", "", DY120*Z$36)</f>
        <v>0</v>
      </c>
      <c r="FJ120" s="139">
        <f t="shared" ref="FJ120:FJ151" si="153">IF(DZ120="", "", DZ120*AA$36)</f>
        <v>0</v>
      </c>
      <c r="FK120" s="139">
        <f t="shared" ref="FK120:FK151" si="154">IF(EA120="", "", EA120*AB$36)</f>
        <v>0</v>
      </c>
      <c r="FL120" s="139">
        <f t="shared" ref="FL120:FL151" si="155">IF(EB120="", "", EB120*AC$36)</f>
        <v>0</v>
      </c>
      <c r="FM120" s="139">
        <f t="shared" ref="FM120:FM151" si="156">IF(EC120="", "", EC120*AD$36)</f>
        <v>0</v>
      </c>
      <c r="FN120" s="139">
        <f t="shared" ref="FN120:FN151" si="157">IF(ED120="", "", ED120*AE$36)</f>
        <v>0</v>
      </c>
      <c r="FO120" s="139">
        <f t="shared" ref="FO120:FO151" si="158">IF(EE120="", "", EE120*AF$36)</f>
        <v>0</v>
      </c>
      <c r="FP120" s="139">
        <f t="shared" ref="FP120:FP151" si="159">IF(EF120="", "", EF120*AG$36)</f>
        <v>0</v>
      </c>
      <c r="FQ120" s="139">
        <f t="shared" ref="FQ120:FQ151" si="160">IF(EG120="", "", EG120*AH$36)</f>
        <v>0</v>
      </c>
      <c r="FR120" s="139">
        <f t="shared" ref="FR120:FR151" si="161">IF(EH120="", "", EH120*AI$36)</f>
        <v>0</v>
      </c>
      <c r="FS120" s="139">
        <f t="shared" ref="FS120:FS151" si="162">IF(EI120="", "", EI120*AJ$36)</f>
        <v>0</v>
      </c>
      <c r="FT120" s="139">
        <f t="shared" ref="FT120:FT151" si="163">IF(EJ120="", "", EJ120*AK$36)</f>
        <v>0</v>
      </c>
      <c r="FU120" s="148">
        <f t="shared" ref="FU120:FU151" si="164">IF(EP120="","",SUM(EP120:FT120))</f>
        <v>0</v>
      </c>
      <c r="FV120" s="149"/>
      <c r="FY120" s="211">
        <v>115</v>
      </c>
      <c r="FZ120">
        <v>5.962673517384137</v>
      </c>
      <c r="GA120">
        <v>15.668133401368252</v>
      </c>
      <c r="GB120">
        <v>30.048904329489254</v>
      </c>
      <c r="GC120">
        <v>19.305166233652386</v>
      </c>
      <c r="GD120">
        <v>10.219903787990503</v>
      </c>
      <c r="GE120">
        <v>21.331305778657896</v>
      </c>
      <c r="GF120">
        <v>22.224314583149823</v>
      </c>
      <c r="GG120">
        <v>28.951247343899777</v>
      </c>
      <c r="GH120">
        <v>31.659121740567059</v>
      </c>
      <c r="GI120">
        <v>23.827084178633836</v>
      </c>
      <c r="GJ120"/>
      <c r="GK120"/>
      <c r="GL120"/>
      <c r="GM120"/>
    </row>
    <row r="121" spans="1:195" s="7" customFormat="1">
      <c r="A121" s="1"/>
      <c r="B121" s="76">
        <f t="shared" ca="1" si="131"/>
        <v>0.35875771360475017</v>
      </c>
      <c r="C121">
        <v>6</v>
      </c>
      <c r="D121">
        <v>39747</v>
      </c>
      <c r="E121">
        <v>0</v>
      </c>
      <c r="F121">
        <v>0</v>
      </c>
      <c r="G121">
        <v>0</v>
      </c>
      <c r="H121">
        <v>31.25</v>
      </c>
      <c r="I121">
        <v>72.916666666666671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89.44179470901102</v>
      </c>
      <c r="AO121">
        <v>30.206923008189442</v>
      </c>
      <c r="AP121">
        <v>214.93620222808977</v>
      </c>
      <c r="AQ121">
        <v>177.40172330449167</v>
      </c>
      <c r="AR121">
        <v>27.642423698644887</v>
      </c>
      <c r="AS121">
        <v>135.28589862944605</v>
      </c>
      <c r="AT121">
        <v>20.71622804208187</v>
      </c>
      <c r="AU121">
        <v>39.047648207190207</v>
      </c>
      <c r="AV121"/>
      <c r="AW121"/>
      <c r="AX121" s="146"/>
      <c r="AY121" s="76">
        <f t="shared" ca="1" si="87"/>
        <v>0.86572723331747348</v>
      </c>
      <c r="AZ121">
        <v>4</v>
      </c>
      <c r="BA121" s="129">
        <f t="shared" si="130"/>
        <v>39747</v>
      </c>
      <c r="BB121">
        <v>0</v>
      </c>
      <c r="BC121">
        <v>0</v>
      </c>
      <c r="BD121">
        <v>0</v>
      </c>
      <c r="BE121">
        <v>1</v>
      </c>
      <c r="BF121">
        <v>2</v>
      </c>
      <c r="BG121">
        <v>1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89"/>
        <v>0.24986806579020193</v>
      </c>
      <c r="CL121" s="179">
        <f t="shared" si="90"/>
        <v>4</v>
      </c>
      <c r="CM121" s="180">
        <f t="shared" si="91"/>
        <v>39747</v>
      </c>
      <c r="CN121">
        <v>0</v>
      </c>
      <c r="CO121">
        <v>0</v>
      </c>
      <c r="CP121">
        <v>1</v>
      </c>
      <c r="CQ121">
        <v>0</v>
      </c>
      <c r="CR121">
        <v>1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0.82486239347253032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0</v>
      </c>
      <c r="DH121" s="161">
        <f t="shared" si="96"/>
        <v>62.859195402298845</v>
      </c>
      <c r="DI121" s="161">
        <f t="shared" si="97"/>
        <v>28.409090909090907</v>
      </c>
      <c r="DJ121" s="161">
        <f t="shared" si="98"/>
        <v>119.67737722048066</v>
      </c>
      <c r="DK121" s="161">
        <f t="shared" si="99"/>
        <v>28.409090909090907</v>
      </c>
      <c r="DL121" s="161">
        <f t="shared" si="100"/>
        <v>0</v>
      </c>
      <c r="DM121" s="161">
        <f t="shared" si="101"/>
        <v>0</v>
      </c>
      <c r="DN121" s="161">
        <f t="shared" si="102"/>
        <v>0</v>
      </c>
      <c r="DO121" s="161">
        <f t="shared" si="103"/>
        <v>0</v>
      </c>
      <c r="DP121" s="161">
        <f t="shared" si="104"/>
        <v>0</v>
      </c>
      <c r="DQ121" s="161">
        <f t="shared" si="105"/>
        <v>0</v>
      </c>
      <c r="DR121" s="161">
        <f t="shared" si="106"/>
        <v>0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2"/>
        <v>239.35475444096133</v>
      </c>
      <c r="EL121" s="149"/>
      <c r="EN121" s="146"/>
      <c r="EO121" s="146"/>
      <c r="EP121" s="139">
        <f t="shared" si="133"/>
        <v>0</v>
      </c>
      <c r="EQ121" s="139">
        <f t="shared" si="134"/>
        <v>0</v>
      </c>
      <c r="ER121" s="139">
        <f t="shared" si="135"/>
        <v>3.9603579172432517</v>
      </c>
      <c r="ES121" s="139">
        <f t="shared" si="136"/>
        <v>5.2979663954974479</v>
      </c>
      <c r="ET121" s="139">
        <f t="shared" si="137"/>
        <v>48.199977646664777</v>
      </c>
      <c r="EU121" s="139">
        <f t="shared" si="138"/>
        <v>20.790246880654085</v>
      </c>
      <c r="EV121" s="139">
        <f t="shared" si="139"/>
        <v>0</v>
      </c>
      <c r="EW121" s="139">
        <f t="shared" si="140"/>
        <v>0</v>
      </c>
      <c r="EX121" s="139">
        <f t="shared" si="141"/>
        <v>0</v>
      </c>
      <c r="EY121" s="139">
        <f t="shared" si="142"/>
        <v>0</v>
      </c>
      <c r="EZ121" s="139">
        <f t="shared" si="143"/>
        <v>0</v>
      </c>
      <c r="FA121" s="139">
        <f t="shared" si="144"/>
        <v>0</v>
      </c>
      <c r="FB121" s="139">
        <f t="shared" si="145"/>
        <v>0</v>
      </c>
      <c r="FC121" s="139">
        <f t="shared" si="146"/>
        <v>0</v>
      </c>
      <c r="FD121" s="139">
        <f t="shared" si="147"/>
        <v>0</v>
      </c>
      <c r="FE121" s="139">
        <f t="shared" si="148"/>
        <v>0</v>
      </c>
      <c r="FF121" s="139">
        <f t="shared" si="149"/>
        <v>0</v>
      </c>
      <c r="FG121" s="139">
        <f t="shared" si="150"/>
        <v>0</v>
      </c>
      <c r="FH121" s="139">
        <f t="shared" si="151"/>
        <v>0</v>
      </c>
      <c r="FI121" s="139">
        <f t="shared" si="152"/>
        <v>0</v>
      </c>
      <c r="FJ121" s="139">
        <f t="shared" si="153"/>
        <v>0</v>
      </c>
      <c r="FK121" s="139">
        <f t="shared" si="154"/>
        <v>0</v>
      </c>
      <c r="FL121" s="139">
        <f t="shared" si="155"/>
        <v>0</v>
      </c>
      <c r="FM121" s="139">
        <f t="shared" si="156"/>
        <v>0</v>
      </c>
      <c r="FN121" s="139">
        <f t="shared" si="157"/>
        <v>0</v>
      </c>
      <c r="FO121" s="139">
        <f t="shared" si="158"/>
        <v>0</v>
      </c>
      <c r="FP121" s="139">
        <f t="shared" si="159"/>
        <v>0</v>
      </c>
      <c r="FQ121" s="139">
        <f t="shared" si="160"/>
        <v>0</v>
      </c>
      <c r="FR121" s="139">
        <f t="shared" si="161"/>
        <v>0</v>
      </c>
      <c r="FS121" s="139">
        <f t="shared" si="162"/>
        <v>0</v>
      </c>
      <c r="FT121" s="139">
        <f t="shared" si="163"/>
        <v>0</v>
      </c>
      <c r="FU121" s="148">
        <f t="shared" si="164"/>
        <v>78.248548840059556</v>
      </c>
      <c r="FV121" s="149"/>
      <c r="FY121" s="211">
        <v>116</v>
      </c>
      <c r="FZ121">
        <v>1.6849477375178226</v>
      </c>
      <c r="GA121">
        <v>10.125473599294786</v>
      </c>
      <c r="GB121">
        <v>18.443367669248172</v>
      </c>
      <c r="GC121">
        <v>14.715160580430151</v>
      </c>
      <c r="GD121">
        <v>9.9727054043886092</v>
      </c>
      <c r="GE121">
        <v>22.462103886648219</v>
      </c>
      <c r="GF121">
        <v>39.322423949358161</v>
      </c>
      <c r="GG121">
        <v>19.522788982118414</v>
      </c>
      <c r="GH121">
        <v>5.3642286717551233</v>
      </c>
      <c r="GI121">
        <v>19.157670443459253</v>
      </c>
      <c r="GJ121"/>
      <c r="GK121"/>
      <c r="GL121"/>
      <c r="GM121"/>
    </row>
    <row r="122" spans="1:195" s="7" customFormat="1">
      <c r="A122" s="1"/>
      <c r="B122" s="76">
        <f t="shared" ca="1" si="131"/>
        <v>0.20911760878189511</v>
      </c>
      <c r="C122">
        <v>10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65.104166666666671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82.643688708721044</v>
      </c>
      <c r="AO122">
        <v>33.394212367651726</v>
      </c>
      <c r="AP122">
        <v>222.87064263501145</v>
      </c>
      <c r="AQ122">
        <v>185.62183871287189</v>
      </c>
      <c r="AR122">
        <v>30.6348641547056</v>
      </c>
      <c r="AS122">
        <v>147.95445427322619</v>
      </c>
      <c r="AT122" t="e">
        <v>#DIV/0!</v>
      </c>
      <c r="AU122" t="e">
        <v>#DIV/0!</v>
      </c>
      <c r="AV122"/>
      <c r="AW122"/>
      <c r="AX122" s="146"/>
      <c r="AY122" s="76">
        <f t="shared" ca="1" si="87"/>
        <v>0.24397391047019923</v>
      </c>
      <c r="AZ122">
        <v>5</v>
      </c>
      <c r="BA122" s="129">
        <f t="shared" si="130"/>
        <v>39747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2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89"/>
        <v>0.37511041123269617</v>
      </c>
      <c r="CL122" s="179">
        <f t="shared" si="90"/>
        <v>5</v>
      </c>
      <c r="CM122" s="180">
        <f t="shared" si="91"/>
        <v>39747</v>
      </c>
      <c r="CN122">
        <v>0</v>
      </c>
      <c r="CO122">
        <v>0</v>
      </c>
      <c r="CP122">
        <v>1</v>
      </c>
      <c r="CQ122">
        <v>1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0.84560580631907412</v>
      </c>
      <c r="DD122">
        <f t="shared" si="93"/>
        <v>5</v>
      </c>
      <c r="DE122" s="129">
        <f t="shared" si="129"/>
        <v>39747</v>
      </c>
      <c r="DF122" s="161">
        <f t="shared" si="94"/>
        <v>0</v>
      </c>
      <c r="DG122" s="161">
        <f t="shared" si="95"/>
        <v>0</v>
      </c>
      <c r="DH122" s="161">
        <f t="shared" si="96"/>
        <v>110.47979797979797</v>
      </c>
      <c r="DI122" s="161">
        <f t="shared" si="97"/>
        <v>110.47979797979797</v>
      </c>
      <c r="DJ122" s="161">
        <f t="shared" si="98"/>
        <v>0</v>
      </c>
      <c r="DK122" s="161">
        <f t="shared" si="99"/>
        <v>20.833333333333332</v>
      </c>
      <c r="DL122" s="161">
        <f t="shared" si="100"/>
        <v>0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0</v>
      </c>
      <c r="DR122" s="161">
        <f t="shared" si="106"/>
        <v>0</v>
      </c>
      <c r="DS122" s="161">
        <f t="shared" si="107"/>
        <v>0</v>
      </c>
      <c r="DT122" s="161">
        <f t="shared" si="108"/>
        <v>0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2"/>
        <v>241.79292929292927</v>
      </c>
      <c r="EL122" s="149"/>
      <c r="EN122" s="146"/>
      <c r="EO122" s="146"/>
      <c r="EP122" s="139">
        <f t="shared" si="133"/>
        <v>0</v>
      </c>
      <c r="EQ122" s="139">
        <f t="shared" si="134"/>
        <v>0</v>
      </c>
      <c r="ER122" s="139">
        <f t="shared" si="135"/>
        <v>6.9606290666699566</v>
      </c>
      <c r="ES122" s="139">
        <f t="shared" si="136"/>
        <v>20.603202649156742</v>
      </c>
      <c r="ET122" s="139">
        <f t="shared" si="137"/>
        <v>0</v>
      </c>
      <c r="EU122" s="139">
        <f t="shared" si="138"/>
        <v>15.246181045812996</v>
      </c>
      <c r="EV122" s="139">
        <f t="shared" si="139"/>
        <v>0</v>
      </c>
      <c r="EW122" s="139">
        <f t="shared" si="140"/>
        <v>0</v>
      </c>
      <c r="EX122" s="139">
        <f t="shared" si="141"/>
        <v>0</v>
      </c>
      <c r="EY122" s="139">
        <f t="shared" si="142"/>
        <v>0</v>
      </c>
      <c r="EZ122" s="139">
        <f t="shared" si="143"/>
        <v>0</v>
      </c>
      <c r="FA122" s="139">
        <f t="shared" si="144"/>
        <v>0</v>
      </c>
      <c r="FB122" s="139">
        <f t="shared" si="145"/>
        <v>0</v>
      </c>
      <c r="FC122" s="139">
        <f t="shared" si="146"/>
        <v>0</v>
      </c>
      <c r="FD122" s="139">
        <f t="shared" si="147"/>
        <v>0</v>
      </c>
      <c r="FE122" s="139">
        <f t="shared" si="148"/>
        <v>0</v>
      </c>
      <c r="FF122" s="139">
        <f t="shared" si="149"/>
        <v>0</v>
      </c>
      <c r="FG122" s="139">
        <f t="shared" si="150"/>
        <v>0</v>
      </c>
      <c r="FH122" s="139">
        <f t="shared" si="151"/>
        <v>0</v>
      </c>
      <c r="FI122" s="139">
        <f t="shared" si="152"/>
        <v>0</v>
      </c>
      <c r="FJ122" s="139">
        <f t="shared" si="153"/>
        <v>0</v>
      </c>
      <c r="FK122" s="139">
        <f t="shared" si="154"/>
        <v>0</v>
      </c>
      <c r="FL122" s="139">
        <f t="shared" si="155"/>
        <v>0</v>
      </c>
      <c r="FM122" s="139">
        <f t="shared" si="156"/>
        <v>0</v>
      </c>
      <c r="FN122" s="139">
        <f t="shared" si="157"/>
        <v>0</v>
      </c>
      <c r="FO122" s="139">
        <f t="shared" si="158"/>
        <v>0</v>
      </c>
      <c r="FP122" s="139">
        <f t="shared" si="159"/>
        <v>0</v>
      </c>
      <c r="FQ122" s="139">
        <f t="shared" si="160"/>
        <v>0</v>
      </c>
      <c r="FR122" s="139">
        <f t="shared" si="161"/>
        <v>0</v>
      </c>
      <c r="FS122" s="139">
        <f t="shared" si="162"/>
        <v>0</v>
      </c>
      <c r="FT122" s="139">
        <f t="shared" si="163"/>
        <v>0</v>
      </c>
      <c r="FU122" s="148">
        <f t="shared" si="164"/>
        <v>42.810012761639697</v>
      </c>
      <c r="FV122" s="149"/>
      <c r="FY122" s="211">
        <v>117</v>
      </c>
      <c r="FZ122">
        <v>6.7463092471286767</v>
      </c>
      <c r="GA122">
        <v>22.849040594467361</v>
      </c>
      <c r="GB122">
        <v>32.537382783508519</v>
      </c>
      <c r="GC122">
        <v>20.256331783453142</v>
      </c>
      <c r="GD122">
        <v>10.885166715255341</v>
      </c>
      <c r="GE122">
        <v>21.164440878449849</v>
      </c>
      <c r="GF122">
        <v>23.468756036092408</v>
      </c>
      <c r="GG122">
        <v>17.513052202635961</v>
      </c>
      <c r="GH122">
        <v>14.597359490787166</v>
      </c>
      <c r="GI122">
        <v>22.497192238199112</v>
      </c>
      <c r="GJ122"/>
      <c r="GK122"/>
      <c r="GL122"/>
      <c r="GM122"/>
    </row>
    <row r="123" spans="1:195" s="7" customFormat="1">
      <c r="A123" s="1"/>
      <c r="B123" s="76">
        <f t="shared" ca="1" si="131"/>
        <v>0.69402056946885082</v>
      </c>
      <c r="C123">
        <v>2</v>
      </c>
      <c r="D123">
        <v>39747</v>
      </c>
      <c r="E123">
        <v>0</v>
      </c>
      <c r="F123">
        <v>0</v>
      </c>
      <c r="G123">
        <v>182.29166666666666</v>
      </c>
      <c r="H123">
        <v>0</v>
      </c>
      <c r="I123">
        <v>390.625</v>
      </c>
      <c r="J123">
        <v>78.125</v>
      </c>
      <c r="K123">
        <v>0</v>
      </c>
      <c r="L123">
        <v>26.041666666666668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93.705998468592256</v>
      </c>
      <c r="AO123">
        <v>34.748259317632808</v>
      </c>
      <c r="AP123">
        <v>245.99823846270189</v>
      </c>
      <c r="AQ123">
        <v>201.63191741258331</v>
      </c>
      <c r="AR123">
        <v>31.789264256448501</v>
      </c>
      <c r="AS123">
        <v>151.73713410711042</v>
      </c>
      <c r="AT123">
        <v>23.491984619263423</v>
      </c>
      <c r="AU123">
        <v>30.465534127107588</v>
      </c>
      <c r="AV123"/>
      <c r="AW123"/>
      <c r="AX123" s="146"/>
      <c r="AY123" s="76">
        <f t="shared" ca="1" si="87"/>
        <v>0.63335391941754171</v>
      </c>
      <c r="AZ123">
        <v>6</v>
      </c>
      <c r="BA123" s="129">
        <f t="shared" si="130"/>
        <v>39747</v>
      </c>
      <c r="BB123">
        <v>0</v>
      </c>
      <c r="BC123">
        <v>0</v>
      </c>
      <c r="BD123">
        <v>0</v>
      </c>
      <c r="BE123">
        <v>3</v>
      </c>
      <c r="BF123">
        <v>7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89"/>
        <v>0.60604444892027587</v>
      </c>
      <c r="CL123" s="179">
        <f t="shared" si="90"/>
        <v>6</v>
      </c>
      <c r="CM123" s="180">
        <f t="shared" si="91"/>
        <v>39747</v>
      </c>
      <c r="CN123" s="219">
        <v>0</v>
      </c>
      <c r="CO123" s="219">
        <v>0</v>
      </c>
      <c r="CP123" s="219">
        <v>0</v>
      </c>
      <c r="CQ123" s="219">
        <v>0</v>
      </c>
      <c r="CR123" s="219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0.35807501769783978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0</v>
      </c>
      <c r="DH123" s="161">
        <f t="shared" si="96"/>
        <v>0</v>
      </c>
      <c r="DI123" s="161">
        <f t="shared" si="97"/>
        <v>31.25</v>
      </c>
      <c r="DJ123" s="161">
        <f t="shared" si="98"/>
        <v>72.916666666666671</v>
      </c>
      <c r="DK123" s="161">
        <f t="shared" si="99"/>
        <v>0</v>
      </c>
      <c r="DL123" s="161">
        <f t="shared" si="100"/>
        <v>0</v>
      </c>
      <c r="DM123" s="161">
        <f t="shared" si="101"/>
        <v>0</v>
      </c>
      <c r="DN123" s="161">
        <f t="shared" si="102"/>
        <v>0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0</v>
      </c>
      <c r="DU123" s="161">
        <f t="shared" si="109"/>
        <v>0</v>
      </c>
      <c r="DV123" s="161">
        <f t="shared" si="110"/>
        <v>0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0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2"/>
        <v>104.16666666666667</v>
      </c>
      <c r="EL123" s="149"/>
      <c r="EN123" s="146"/>
      <c r="EO123" s="146"/>
      <c r="EP123" s="139">
        <f t="shared" si="133"/>
        <v>0</v>
      </c>
      <c r="EQ123" s="139">
        <f t="shared" si="134"/>
        <v>0</v>
      </c>
      <c r="ER123" s="139">
        <f t="shared" si="135"/>
        <v>0</v>
      </c>
      <c r="ES123" s="139">
        <f t="shared" si="136"/>
        <v>5.8277630350471927</v>
      </c>
      <c r="ET123" s="139">
        <f t="shared" si="137"/>
        <v>29.367135084584572</v>
      </c>
      <c r="EU123" s="139">
        <f t="shared" si="138"/>
        <v>0</v>
      </c>
      <c r="EV123" s="139">
        <f t="shared" si="139"/>
        <v>0</v>
      </c>
      <c r="EW123" s="139">
        <f t="shared" si="140"/>
        <v>0</v>
      </c>
      <c r="EX123" s="139">
        <f t="shared" si="141"/>
        <v>0</v>
      </c>
      <c r="EY123" s="139">
        <f t="shared" si="142"/>
        <v>0</v>
      </c>
      <c r="EZ123" s="139">
        <f t="shared" si="143"/>
        <v>0</v>
      </c>
      <c r="FA123" s="139">
        <f t="shared" si="144"/>
        <v>0</v>
      </c>
      <c r="FB123" s="139">
        <f t="shared" si="145"/>
        <v>0</v>
      </c>
      <c r="FC123" s="139">
        <f t="shared" si="146"/>
        <v>0</v>
      </c>
      <c r="FD123" s="139">
        <f t="shared" si="147"/>
        <v>0</v>
      </c>
      <c r="FE123" s="139">
        <f t="shared" si="148"/>
        <v>0</v>
      </c>
      <c r="FF123" s="139">
        <f t="shared" si="149"/>
        <v>0</v>
      </c>
      <c r="FG123" s="139">
        <f t="shared" si="150"/>
        <v>0</v>
      </c>
      <c r="FH123" s="139">
        <f t="shared" si="151"/>
        <v>0</v>
      </c>
      <c r="FI123" s="139">
        <f t="shared" si="152"/>
        <v>0</v>
      </c>
      <c r="FJ123" s="139">
        <f t="shared" si="153"/>
        <v>0</v>
      </c>
      <c r="FK123" s="139">
        <f t="shared" si="154"/>
        <v>0</v>
      </c>
      <c r="FL123" s="139">
        <f t="shared" si="155"/>
        <v>0</v>
      </c>
      <c r="FM123" s="139">
        <f t="shared" si="156"/>
        <v>0</v>
      </c>
      <c r="FN123" s="139">
        <f t="shared" si="157"/>
        <v>0</v>
      </c>
      <c r="FO123" s="139">
        <f t="shared" si="158"/>
        <v>0</v>
      </c>
      <c r="FP123" s="139">
        <f t="shared" si="159"/>
        <v>0</v>
      </c>
      <c r="FQ123" s="139">
        <f t="shared" si="160"/>
        <v>0</v>
      </c>
      <c r="FR123" s="139">
        <f t="shared" si="161"/>
        <v>0</v>
      </c>
      <c r="FS123" s="139">
        <f t="shared" si="162"/>
        <v>0</v>
      </c>
      <c r="FT123" s="139">
        <f t="shared" si="163"/>
        <v>0</v>
      </c>
      <c r="FU123" s="148">
        <f t="shared" si="164"/>
        <v>35.194898119631766</v>
      </c>
      <c r="FV123" s="149"/>
      <c r="FY123" s="211">
        <v>118</v>
      </c>
      <c r="FZ123">
        <v>5.7421733990116159</v>
      </c>
      <c r="GA123">
        <v>12.716911980640305</v>
      </c>
      <c r="GB123">
        <v>8.5570937024843001</v>
      </c>
      <c r="GC123">
        <v>12.249237471494451</v>
      </c>
      <c r="GD123">
        <v>11.469111646538382</v>
      </c>
      <c r="GE123">
        <v>18.651273929243292</v>
      </c>
      <c r="GF123">
        <v>28.53148604869417</v>
      </c>
      <c r="GG123">
        <v>22.27408203746625</v>
      </c>
      <c r="GH123">
        <v>17.769693822075247</v>
      </c>
      <c r="GI123">
        <v>18.131528416381833</v>
      </c>
      <c r="GJ123"/>
      <c r="GK123"/>
      <c r="GL123"/>
      <c r="GM123"/>
    </row>
    <row r="124" spans="1:195" s="7" customFormat="1">
      <c r="A124" s="1"/>
      <c r="B124" s="76">
        <f t="shared" ca="1" si="131"/>
        <v>0.72417975607874663</v>
      </c>
      <c r="C124">
        <v>7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52.083333333333336</v>
      </c>
      <c r="J124">
        <v>31.25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87.937190170863317</v>
      </c>
      <c r="AO124">
        <v>33.152635211389757</v>
      </c>
      <c r="AP124">
        <v>212.61461954431661</v>
      </c>
      <c r="AQ124">
        <v>174.31312990484207</v>
      </c>
      <c r="AR124">
        <v>30.193282846449403</v>
      </c>
      <c r="AS124">
        <v>148.20358179777469</v>
      </c>
      <c r="AT124">
        <v>21.986897205936245</v>
      </c>
      <c r="AU124">
        <v>-26.720027674475475</v>
      </c>
      <c r="AV124"/>
      <c r="AW124"/>
      <c r="AX124" s="146"/>
      <c r="AY124" s="76">
        <f t="shared" ca="1" si="87"/>
        <v>0.47085609539461615</v>
      </c>
      <c r="AZ124">
        <v>7</v>
      </c>
      <c r="BA124" s="129">
        <f t="shared" si="130"/>
        <v>39747</v>
      </c>
      <c r="BB124">
        <v>0</v>
      </c>
      <c r="BC124">
        <v>0</v>
      </c>
      <c r="BD124">
        <v>0</v>
      </c>
      <c r="BE124">
        <v>0</v>
      </c>
      <c r="BF124">
        <v>5</v>
      </c>
      <c r="BG124">
        <v>3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89"/>
        <v>0.77077743574582236</v>
      </c>
      <c r="CL124" s="179">
        <f t="shared" si="90"/>
        <v>7</v>
      </c>
      <c r="CM124" s="180">
        <f t="shared" si="91"/>
        <v>39747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0.88016152932395908</v>
      </c>
      <c r="DD124">
        <f t="shared" si="93"/>
        <v>7</v>
      </c>
      <c r="DE124" s="129">
        <f t="shared" si="129"/>
        <v>39747</v>
      </c>
      <c r="DF124" s="161">
        <f t="shared" si="94"/>
        <v>0</v>
      </c>
      <c r="DG124" s="161">
        <f t="shared" si="95"/>
        <v>0</v>
      </c>
      <c r="DH124" s="161">
        <f t="shared" si="96"/>
        <v>0</v>
      </c>
      <c r="DI124" s="161">
        <f t="shared" si="97"/>
        <v>0</v>
      </c>
      <c r="DJ124" s="161">
        <f t="shared" si="98"/>
        <v>52.083333333333336</v>
      </c>
      <c r="DK124" s="161">
        <f t="shared" si="99"/>
        <v>31.25</v>
      </c>
      <c r="DL124" s="161">
        <f t="shared" si="100"/>
        <v>0</v>
      </c>
      <c r="DM124" s="161">
        <f t="shared" si="101"/>
        <v>0</v>
      </c>
      <c r="DN124" s="161">
        <f t="shared" si="102"/>
        <v>0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0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2"/>
        <v>83.333333333333343</v>
      </c>
      <c r="EL124" s="149"/>
      <c r="EN124" s="146"/>
      <c r="EO124" s="146"/>
      <c r="EP124" s="139">
        <f t="shared" si="133"/>
        <v>0</v>
      </c>
      <c r="EQ124" s="139">
        <f t="shared" si="134"/>
        <v>0</v>
      </c>
      <c r="ER124" s="139">
        <f t="shared" si="135"/>
        <v>0</v>
      </c>
      <c r="ES124" s="139">
        <f t="shared" si="136"/>
        <v>0</v>
      </c>
      <c r="ET124" s="139">
        <f t="shared" si="137"/>
        <v>20.976525060417551</v>
      </c>
      <c r="EU124" s="139">
        <f t="shared" si="138"/>
        <v>22.869271568719494</v>
      </c>
      <c r="EV124" s="139">
        <f t="shared" si="139"/>
        <v>0</v>
      </c>
      <c r="EW124" s="139">
        <f t="shared" si="140"/>
        <v>0</v>
      </c>
      <c r="EX124" s="139">
        <f t="shared" si="141"/>
        <v>0</v>
      </c>
      <c r="EY124" s="139">
        <f t="shared" si="142"/>
        <v>0</v>
      </c>
      <c r="EZ124" s="139">
        <f t="shared" si="143"/>
        <v>0</v>
      </c>
      <c r="FA124" s="139">
        <f t="shared" si="144"/>
        <v>0</v>
      </c>
      <c r="FB124" s="139">
        <f t="shared" si="145"/>
        <v>0</v>
      </c>
      <c r="FC124" s="139">
        <f t="shared" si="146"/>
        <v>0</v>
      </c>
      <c r="FD124" s="139">
        <f t="shared" si="147"/>
        <v>0</v>
      </c>
      <c r="FE124" s="139">
        <f t="shared" si="148"/>
        <v>0</v>
      </c>
      <c r="FF124" s="139">
        <f t="shared" si="149"/>
        <v>0</v>
      </c>
      <c r="FG124" s="139">
        <f t="shared" si="150"/>
        <v>0</v>
      </c>
      <c r="FH124" s="139">
        <f t="shared" si="151"/>
        <v>0</v>
      </c>
      <c r="FI124" s="139">
        <f t="shared" si="152"/>
        <v>0</v>
      </c>
      <c r="FJ124" s="139">
        <f t="shared" si="153"/>
        <v>0</v>
      </c>
      <c r="FK124" s="139">
        <f t="shared" si="154"/>
        <v>0</v>
      </c>
      <c r="FL124" s="139">
        <f t="shared" si="155"/>
        <v>0</v>
      </c>
      <c r="FM124" s="139">
        <f t="shared" si="156"/>
        <v>0</v>
      </c>
      <c r="FN124" s="139">
        <f t="shared" si="157"/>
        <v>0</v>
      </c>
      <c r="FO124" s="139">
        <f t="shared" si="158"/>
        <v>0</v>
      </c>
      <c r="FP124" s="139">
        <f t="shared" si="159"/>
        <v>0</v>
      </c>
      <c r="FQ124" s="139">
        <f t="shared" si="160"/>
        <v>0</v>
      </c>
      <c r="FR124" s="139">
        <f t="shared" si="161"/>
        <v>0</v>
      </c>
      <c r="FS124" s="139">
        <f t="shared" si="162"/>
        <v>0</v>
      </c>
      <c r="FT124" s="139">
        <f t="shared" si="163"/>
        <v>0</v>
      </c>
      <c r="FU124" s="148">
        <f t="shared" si="164"/>
        <v>43.845796629137041</v>
      </c>
      <c r="FV124" s="149"/>
      <c r="FY124" s="211">
        <v>119</v>
      </c>
      <c r="FZ124">
        <v>1.9861779696045108</v>
      </c>
      <c r="GA124">
        <v>19.974052567119735</v>
      </c>
      <c r="GB124">
        <v>27.467595955448001</v>
      </c>
      <c r="GC124">
        <v>13.979477714612381</v>
      </c>
      <c r="GD124">
        <v>9.6289806497650297</v>
      </c>
      <c r="GE124">
        <v>19.909305999485916</v>
      </c>
      <c r="GF124">
        <v>22.873064458767676</v>
      </c>
      <c r="GG124">
        <v>29.43662220337653</v>
      </c>
      <c r="GH124">
        <v>27.838093298907502</v>
      </c>
      <c r="GI124">
        <v>21.714489021427983</v>
      </c>
      <c r="GJ124"/>
      <c r="GK124"/>
      <c r="GL124"/>
      <c r="GM124"/>
    </row>
    <row r="125" spans="1:195" s="7" customFormat="1">
      <c r="A125" s="1"/>
      <c r="B125" s="76">
        <f t="shared" ca="1" si="131"/>
        <v>0.45940155039952058</v>
      </c>
      <c r="C125">
        <v>1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72.150452787952801</v>
      </c>
      <c r="AO125">
        <v>26.01123982777802</v>
      </c>
      <c r="AP125">
        <v>159.2338247171059</v>
      </c>
      <c r="AQ125">
        <v>138.95874711016839</v>
      </c>
      <c r="AR125">
        <v>23.474479255450596</v>
      </c>
      <c r="AS125">
        <v>115.87713651762658</v>
      </c>
      <c r="AT125" t="e">
        <v>#DIV/0!</v>
      </c>
      <c r="AU125" t="e">
        <v>#DIV/0!</v>
      </c>
      <c r="AV125"/>
      <c r="AW125"/>
      <c r="AX125" s="146"/>
      <c r="AY125" s="76">
        <f t="shared" ca="1" si="87"/>
        <v>0.16227558565594036</v>
      </c>
      <c r="AZ125">
        <v>8</v>
      </c>
      <c r="BA125" s="129">
        <f t="shared" si="130"/>
        <v>39747</v>
      </c>
      <c r="BB125">
        <v>0</v>
      </c>
      <c r="BC125">
        <v>0</v>
      </c>
      <c r="BD125">
        <v>0</v>
      </c>
      <c r="BE125">
        <v>0</v>
      </c>
      <c r="BF125">
        <v>2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89"/>
        <v>0.96142498392524067</v>
      </c>
      <c r="CL125" s="179">
        <f t="shared" si="90"/>
        <v>8</v>
      </c>
      <c r="CM125" s="180">
        <f t="shared" si="91"/>
        <v>39747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9.9840157665745499E-2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0</v>
      </c>
      <c r="DH125" s="161">
        <f t="shared" si="96"/>
        <v>0</v>
      </c>
      <c r="DI125" s="161">
        <f t="shared" si="97"/>
        <v>0</v>
      </c>
      <c r="DJ125" s="161">
        <f t="shared" si="98"/>
        <v>20.833333333333332</v>
      </c>
      <c r="DK125" s="161">
        <f t="shared" si="99"/>
        <v>0</v>
      </c>
      <c r="DL125" s="161">
        <f t="shared" si="100"/>
        <v>0</v>
      </c>
      <c r="DM125" s="161">
        <f t="shared" si="101"/>
        <v>0</v>
      </c>
      <c r="DN125" s="161">
        <f t="shared" si="102"/>
        <v>0</v>
      </c>
      <c r="DO125" s="161">
        <f t="shared" si="103"/>
        <v>0</v>
      </c>
      <c r="DP125" s="161">
        <f t="shared" si="104"/>
        <v>0</v>
      </c>
      <c r="DQ125" s="161">
        <f t="shared" si="105"/>
        <v>0</v>
      </c>
      <c r="DR125" s="161">
        <f t="shared" si="106"/>
        <v>0</v>
      </c>
      <c r="DS125" s="161">
        <f t="shared" si="107"/>
        <v>0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2"/>
        <v>20.833333333333332</v>
      </c>
      <c r="EL125" s="149"/>
      <c r="EN125" s="146"/>
      <c r="EO125" s="146"/>
      <c r="EP125" s="139">
        <f t="shared" si="133"/>
        <v>0</v>
      </c>
      <c r="EQ125" s="139">
        <f t="shared" si="134"/>
        <v>0</v>
      </c>
      <c r="ER125" s="139">
        <f t="shared" si="135"/>
        <v>0</v>
      </c>
      <c r="ES125" s="139">
        <f t="shared" si="136"/>
        <v>0</v>
      </c>
      <c r="ET125" s="139">
        <f t="shared" si="137"/>
        <v>8.3906100241670192</v>
      </c>
      <c r="EU125" s="139">
        <f t="shared" si="138"/>
        <v>0</v>
      </c>
      <c r="EV125" s="139">
        <f t="shared" si="139"/>
        <v>0</v>
      </c>
      <c r="EW125" s="139">
        <f t="shared" si="140"/>
        <v>0</v>
      </c>
      <c r="EX125" s="139">
        <f t="shared" si="141"/>
        <v>0</v>
      </c>
      <c r="EY125" s="139">
        <f t="shared" si="142"/>
        <v>0</v>
      </c>
      <c r="EZ125" s="139">
        <f t="shared" si="143"/>
        <v>0</v>
      </c>
      <c r="FA125" s="139">
        <f t="shared" si="144"/>
        <v>0</v>
      </c>
      <c r="FB125" s="139">
        <f t="shared" si="145"/>
        <v>0</v>
      </c>
      <c r="FC125" s="139">
        <f t="shared" si="146"/>
        <v>0</v>
      </c>
      <c r="FD125" s="139">
        <f t="shared" si="147"/>
        <v>0</v>
      </c>
      <c r="FE125" s="139">
        <f t="shared" si="148"/>
        <v>0</v>
      </c>
      <c r="FF125" s="139">
        <f t="shared" si="149"/>
        <v>0</v>
      </c>
      <c r="FG125" s="139">
        <f t="shared" si="150"/>
        <v>0</v>
      </c>
      <c r="FH125" s="139">
        <f t="shared" si="151"/>
        <v>0</v>
      </c>
      <c r="FI125" s="139">
        <f t="shared" si="152"/>
        <v>0</v>
      </c>
      <c r="FJ125" s="139">
        <f t="shared" si="153"/>
        <v>0</v>
      </c>
      <c r="FK125" s="139">
        <f t="shared" si="154"/>
        <v>0</v>
      </c>
      <c r="FL125" s="139">
        <f t="shared" si="155"/>
        <v>0</v>
      </c>
      <c r="FM125" s="139">
        <f t="shared" si="156"/>
        <v>0</v>
      </c>
      <c r="FN125" s="139">
        <f t="shared" si="157"/>
        <v>0</v>
      </c>
      <c r="FO125" s="139">
        <f t="shared" si="158"/>
        <v>0</v>
      </c>
      <c r="FP125" s="139">
        <f t="shared" si="159"/>
        <v>0</v>
      </c>
      <c r="FQ125" s="139">
        <f t="shared" si="160"/>
        <v>0</v>
      </c>
      <c r="FR125" s="139">
        <f t="shared" si="161"/>
        <v>0</v>
      </c>
      <c r="FS125" s="139">
        <f t="shared" si="162"/>
        <v>0</v>
      </c>
      <c r="FT125" s="139">
        <f t="shared" si="163"/>
        <v>0</v>
      </c>
      <c r="FU125" s="148">
        <f t="shared" si="164"/>
        <v>8.3906100241670192</v>
      </c>
      <c r="FV125" s="149"/>
      <c r="FY125" s="211">
        <v>120</v>
      </c>
      <c r="FZ125">
        <v>3.8580281845299602</v>
      </c>
      <c r="GA125">
        <v>16.674515216173521</v>
      </c>
      <c r="GB125">
        <v>18.268979693899844</v>
      </c>
      <c r="GC125">
        <v>15.865934300488803</v>
      </c>
      <c r="GD125">
        <v>14.764487200273908</v>
      </c>
      <c r="GE125">
        <v>25.206557797794094</v>
      </c>
      <c r="GF125">
        <v>21.702173904120968</v>
      </c>
      <c r="GG125">
        <v>15.954259909397415</v>
      </c>
      <c r="GH125">
        <v>18.944181772915773</v>
      </c>
      <c r="GI125">
        <v>21.177571458543699</v>
      </c>
      <c r="GJ125"/>
      <c r="GK125"/>
      <c r="GL125"/>
      <c r="GM125"/>
    </row>
    <row r="126" spans="1:195" s="7" customFormat="1">
      <c r="A126" s="1"/>
      <c r="B126" s="76">
        <f t="shared" ca="1" si="131"/>
        <v>0.64461369483908459</v>
      </c>
      <c r="C126">
        <v>9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10.416666666666666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85.434606941033863</v>
      </c>
      <c r="AO126">
        <v>33.24742554193994</v>
      </c>
      <c r="AP126">
        <v>227.26675576821208</v>
      </c>
      <c r="AQ126">
        <v>193.83028166476197</v>
      </c>
      <c r="AR126">
        <v>30.450894405824755</v>
      </c>
      <c r="AS126">
        <v>157.14119668332182</v>
      </c>
      <c r="AT126">
        <v>23.066086751714522</v>
      </c>
      <c r="AU126">
        <v>25.190485749046442</v>
      </c>
      <c r="AV126"/>
      <c r="AW126"/>
      <c r="AX126" s="146"/>
      <c r="AY126" s="76">
        <f t="shared" ca="1" si="87"/>
        <v>2.4920511071938822E-2</v>
      </c>
      <c r="AZ126">
        <v>9</v>
      </c>
      <c r="BA126" s="129">
        <f t="shared" si="130"/>
        <v>39747</v>
      </c>
      <c r="BB126">
        <v>0</v>
      </c>
      <c r="BC126">
        <v>0</v>
      </c>
      <c r="BD126">
        <v>0</v>
      </c>
      <c r="BE126">
        <v>0</v>
      </c>
      <c r="BF126">
        <v>1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89"/>
        <v>0.33009775805408825</v>
      </c>
      <c r="CL126" s="179">
        <f t="shared" si="90"/>
        <v>9</v>
      </c>
      <c r="CM126" s="180">
        <f t="shared" si="91"/>
        <v>39747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0.66616224946243219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0</v>
      </c>
      <c r="DH126" s="161">
        <f t="shared" si="96"/>
        <v>0</v>
      </c>
      <c r="DI126" s="161">
        <f t="shared" si="97"/>
        <v>0</v>
      </c>
      <c r="DJ126" s="161">
        <f t="shared" si="98"/>
        <v>10.416666666666666</v>
      </c>
      <c r="DK126" s="161">
        <f t="shared" si="99"/>
        <v>0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0</v>
      </c>
      <c r="DT126" s="161">
        <f t="shared" si="108"/>
        <v>0</v>
      </c>
      <c r="DU126" s="161">
        <f t="shared" si="109"/>
        <v>0</v>
      </c>
      <c r="DV126" s="161">
        <f t="shared" si="110"/>
        <v>0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2"/>
        <v>10.416666666666666</v>
      </c>
      <c r="EL126" s="149"/>
      <c r="EN126" s="146"/>
      <c r="EO126" s="146"/>
      <c r="EP126" s="139">
        <f t="shared" si="133"/>
        <v>0</v>
      </c>
      <c r="EQ126" s="139">
        <f t="shared" si="134"/>
        <v>0</v>
      </c>
      <c r="ER126" s="139">
        <f t="shared" si="135"/>
        <v>0</v>
      </c>
      <c r="ES126" s="139">
        <f t="shared" si="136"/>
        <v>0</v>
      </c>
      <c r="ET126" s="139">
        <f t="shared" si="137"/>
        <v>4.1953050120835096</v>
      </c>
      <c r="EU126" s="139">
        <f t="shared" si="138"/>
        <v>0</v>
      </c>
      <c r="EV126" s="139">
        <f t="shared" si="139"/>
        <v>0</v>
      </c>
      <c r="EW126" s="139">
        <f t="shared" si="140"/>
        <v>0</v>
      </c>
      <c r="EX126" s="139">
        <f t="shared" si="141"/>
        <v>0</v>
      </c>
      <c r="EY126" s="139">
        <f t="shared" si="142"/>
        <v>0</v>
      </c>
      <c r="EZ126" s="139">
        <f t="shared" si="143"/>
        <v>0</v>
      </c>
      <c r="FA126" s="139">
        <f t="shared" si="144"/>
        <v>0</v>
      </c>
      <c r="FB126" s="139">
        <f t="shared" si="145"/>
        <v>0</v>
      </c>
      <c r="FC126" s="139">
        <f t="shared" si="146"/>
        <v>0</v>
      </c>
      <c r="FD126" s="139">
        <f t="shared" si="147"/>
        <v>0</v>
      </c>
      <c r="FE126" s="139">
        <f t="shared" si="148"/>
        <v>0</v>
      </c>
      <c r="FF126" s="139">
        <f t="shared" si="149"/>
        <v>0</v>
      </c>
      <c r="FG126" s="139">
        <f t="shared" si="150"/>
        <v>0</v>
      </c>
      <c r="FH126" s="139">
        <f t="shared" si="151"/>
        <v>0</v>
      </c>
      <c r="FI126" s="139">
        <f t="shared" si="152"/>
        <v>0</v>
      </c>
      <c r="FJ126" s="139">
        <f t="shared" si="153"/>
        <v>0</v>
      </c>
      <c r="FK126" s="139">
        <f t="shared" si="154"/>
        <v>0</v>
      </c>
      <c r="FL126" s="139">
        <f t="shared" si="155"/>
        <v>0</v>
      </c>
      <c r="FM126" s="139">
        <f t="shared" si="156"/>
        <v>0</v>
      </c>
      <c r="FN126" s="139">
        <f t="shared" si="157"/>
        <v>0</v>
      </c>
      <c r="FO126" s="139">
        <f t="shared" si="158"/>
        <v>0</v>
      </c>
      <c r="FP126" s="139">
        <f t="shared" si="159"/>
        <v>0</v>
      </c>
      <c r="FQ126" s="139">
        <f t="shared" si="160"/>
        <v>0</v>
      </c>
      <c r="FR126" s="139">
        <f t="shared" si="161"/>
        <v>0</v>
      </c>
      <c r="FS126" s="139">
        <f t="shared" si="162"/>
        <v>0</v>
      </c>
      <c r="FT126" s="139">
        <f t="shared" si="163"/>
        <v>0</v>
      </c>
      <c r="FU126" s="148">
        <f t="shared" si="164"/>
        <v>4.1953050120835096</v>
      </c>
      <c r="FV126" s="149"/>
      <c r="FY126" s="211">
        <v>121</v>
      </c>
      <c r="FZ126">
        <v>3.1540760006521014</v>
      </c>
      <c r="GA126">
        <v>8.9345139066142814</v>
      </c>
      <c r="GB126">
        <v>7.0086942014767386</v>
      </c>
      <c r="GC126">
        <v>8.1697264408912869</v>
      </c>
      <c r="GD126">
        <v>12.042526060586772</v>
      </c>
      <c r="GE126">
        <v>19.784957229187089</v>
      </c>
      <c r="GF126">
        <v>16.78521639338955</v>
      </c>
      <c r="GG126">
        <v>19.026592298745268</v>
      </c>
      <c r="GH126">
        <v>17.935461747287114</v>
      </c>
      <c r="GI126">
        <v>15.530511089837745</v>
      </c>
      <c r="GJ126"/>
      <c r="GK126"/>
      <c r="GL126"/>
      <c r="GM126"/>
    </row>
    <row r="127" spans="1:195" s="7" customFormat="1">
      <c r="A127" s="1"/>
      <c r="B127" s="76">
        <f t="shared" ca="1" si="131"/>
        <v>0.24823045979715275</v>
      </c>
      <c r="C127">
        <v>4</v>
      </c>
      <c r="D127">
        <v>39747</v>
      </c>
      <c r="E127">
        <v>0</v>
      </c>
      <c r="F127">
        <v>0</v>
      </c>
      <c r="G127">
        <v>62.859195402298845</v>
      </c>
      <c r="H127">
        <v>28.409090909090907</v>
      </c>
      <c r="I127">
        <v>119.67737722048066</v>
      </c>
      <c r="J127">
        <v>28.409090909090907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70.239309272999506</v>
      </c>
      <c r="AO127">
        <v>29.865524318182576</v>
      </c>
      <c r="AP127">
        <v>207.84670709309657</v>
      </c>
      <c r="AQ127">
        <v>175.85875565458622</v>
      </c>
      <c r="AR127">
        <v>26.95179126031913</v>
      </c>
      <c r="AS127">
        <v>131.95676705610677</v>
      </c>
      <c r="AT127" t="e">
        <v>#DIV/0!</v>
      </c>
      <c r="AU127" t="e">
        <v>#DIV/0!</v>
      </c>
      <c r="AV127"/>
      <c r="AW127"/>
      <c r="AX127" s="146"/>
      <c r="AY127" s="76">
        <f t="shared" ca="1" si="87"/>
        <v>0.16100893083170442</v>
      </c>
      <c r="AZ127">
        <v>10</v>
      </c>
      <c r="BA127" s="129">
        <f t="shared" si="130"/>
        <v>39747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89"/>
        <v>0.35829744427484256</v>
      </c>
      <c r="CL127" s="179">
        <f t="shared" si="90"/>
        <v>10</v>
      </c>
      <c r="CM127" s="180">
        <f t="shared" si="91"/>
        <v>39747</v>
      </c>
      <c r="CN127">
        <v>0</v>
      </c>
      <c r="CO127">
        <v>0</v>
      </c>
      <c r="CP127">
        <v>0</v>
      </c>
      <c r="CQ127">
        <v>0</v>
      </c>
      <c r="CR127">
        <v>1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0.80279765060794639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0</v>
      </c>
      <c r="DH127" s="161">
        <f t="shared" si="96"/>
        <v>0</v>
      </c>
      <c r="DI127" s="161">
        <f t="shared" si="97"/>
        <v>0</v>
      </c>
      <c r="DJ127" s="161">
        <f t="shared" si="98"/>
        <v>65.104166666666671</v>
      </c>
      <c r="DK127" s="161">
        <f t="shared" si="99"/>
        <v>0</v>
      </c>
      <c r="DL127" s="161">
        <f t="shared" si="100"/>
        <v>0</v>
      </c>
      <c r="DM127" s="161">
        <f t="shared" si="101"/>
        <v>0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0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2"/>
        <v>65.104166666666671</v>
      </c>
      <c r="EL127" s="149"/>
      <c r="EN127" s="146"/>
      <c r="EO127" s="146"/>
      <c r="EP127" s="139">
        <f t="shared" si="133"/>
        <v>0</v>
      </c>
      <c r="EQ127" s="139">
        <f t="shared" si="134"/>
        <v>0</v>
      </c>
      <c r="ER127" s="139">
        <f t="shared" si="135"/>
        <v>0</v>
      </c>
      <c r="ES127" s="139">
        <f t="shared" si="136"/>
        <v>0</v>
      </c>
      <c r="ET127" s="139">
        <f t="shared" si="137"/>
        <v>26.22065632552194</v>
      </c>
      <c r="EU127" s="139">
        <f t="shared" si="138"/>
        <v>0</v>
      </c>
      <c r="EV127" s="139">
        <f t="shared" si="139"/>
        <v>0</v>
      </c>
      <c r="EW127" s="139">
        <f t="shared" si="140"/>
        <v>0</v>
      </c>
      <c r="EX127" s="139">
        <f t="shared" si="141"/>
        <v>0</v>
      </c>
      <c r="EY127" s="139">
        <f t="shared" si="142"/>
        <v>0</v>
      </c>
      <c r="EZ127" s="139">
        <f t="shared" si="143"/>
        <v>0</v>
      </c>
      <c r="FA127" s="139">
        <f t="shared" si="144"/>
        <v>0</v>
      </c>
      <c r="FB127" s="139">
        <f t="shared" si="145"/>
        <v>0</v>
      </c>
      <c r="FC127" s="139">
        <f t="shared" si="146"/>
        <v>0</v>
      </c>
      <c r="FD127" s="139">
        <f t="shared" si="147"/>
        <v>0</v>
      </c>
      <c r="FE127" s="139">
        <f t="shared" si="148"/>
        <v>0</v>
      </c>
      <c r="FF127" s="139">
        <f t="shared" si="149"/>
        <v>0</v>
      </c>
      <c r="FG127" s="139">
        <f t="shared" si="150"/>
        <v>0</v>
      </c>
      <c r="FH127" s="139">
        <f t="shared" si="151"/>
        <v>0</v>
      </c>
      <c r="FI127" s="139">
        <f t="shared" si="152"/>
        <v>0</v>
      </c>
      <c r="FJ127" s="139">
        <f t="shared" si="153"/>
        <v>0</v>
      </c>
      <c r="FK127" s="139">
        <f t="shared" si="154"/>
        <v>0</v>
      </c>
      <c r="FL127" s="139">
        <f t="shared" si="155"/>
        <v>0</v>
      </c>
      <c r="FM127" s="139">
        <f t="shared" si="156"/>
        <v>0</v>
      </c>
      <c r="FN127" s="139">
        <f t="shared" si="157"/>
        <v>0</v>
      </c>
      <c r="FO127" s="139">
        <f t="shared" si="158"/>
        <v>0</v>
      </c>
      <c r="FP127" s="139">
        <f t="shared" si="159"/>
        <v>0</v>
      </c>
      <c r="FQ127" s="139">
        <f t="shared" si="160"/>
        <v>0</v>
      </c>
      <c r="FR127" s="139">
        <f t="shared" si="161"/>
        <v>0</v>
      </c>
      <c r="FS127" s="139">
        <f t="shared" si="162"/>
        <v>0</v>
      </c>
      <c r="FT127" s="139">
        <f t="shared" si="163"/>
        <v>0</v>
      </c>
      <c r="FU127" s="148">
        <f t="shared" si="164"/>
        <v>26.22065632552194</v>
      </c>
      <c r="FV127" s="149"/>
      <c r="FY127" s="211">
        <v>122</v>
      </c>
      <c r="FZ127">
        <v>5.3525018061462974</v>
      </c>
      <c r="GA127">
        <v>16.079802202443449</v>
      </c>
      <c r="GB127">
        <v>9.9308897767433955</v>
      </c>
      <c r="GC127">
        <v>9.075723944924718</v>
      </c>
      <c r="GD127">
        <v>8.9415342072908643</v>
      </c>
      <c r="GE127">
        <v>21.946099011286748</v>
      </c>
      <c r="GF127">
        <v>40.307890241938807</v>
      </c>
      <c r="GG127">
        <v>19.755559571181493</v>
      </c>
      <c r="GH127">
        <v>6.009718600211527</v>
      </c>
      <c r="GI127">
        <v>17.207006716613265</v>
      </c>
      <c r="GJ127"/>
      <c r="GK127"/>
      <c r="GL127"/>
      <c r="GM127"/>
    </row>
    <row r="128" spans="1:195" s="7" customFormat="1">
      <c r="A128" s="128"/>
      <c r="B128" s="76">
        <f t="shared" ca="1" si="131"/>
        <v>0.37244824698649515</v>
      </c>
      <c r="C128">
        <v>8</v>
      </c>
      <c r="D128">
        <v>39775</v>
      </c>
      <c r="E128">
        <v>0</v>
      </c>
      <c r="F128">
        <v>0</v>
      </c>
      <c r="G128">
        <v>52.083333333333336</v>
      </c>
      <c r="H128">
        <v>0</v>
      </c>
      <c r="I128">
        <v>69.444444444444443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65.931993674827723</v>
      </c>
      <c r="AO128">
        <v>29.328951834046279</v>
      </c>
      <c r="AP128">
        <v>193.76029658260614</v>
      </c>
      <c r="AQ128">
        <v>163.23521637716041</v>
      </c>
      <c r="AR128">
        <v>26.074351755784456</v>
      </c>
      <c r="AS128">
        <v>122.52242896602057</v>
      </c>
      <c r="AT128">
        <v>20.303675354821497</v>
      </c>
      <c r="AU128">
        <v>34.503358105934296</v>
      </c>
      <c r="AV128"/>
      <c r="AW128"/>
      <c r="AX128" s="128"/>
      <c r="AY128" s="76">
        <f t="shared" ca="1" si="87"/>
        <v>2.2175432323124689E-2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6</v>
      </c>
      <c r="BG128">
        <v>1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89"/>
        <v>0.12823425303899794</v>
      </c>
      <c r="CL128" s="179">
        <f t="shared" si="90"/>
        <v>1</v>
      </c>
      <c r="CM128" s="180">
        <f t="shared" si="91"/>
        <v>39775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0.78323044599914393</v>
      </c>
      <c r="DD128">
        <f t="shared" si="93"/>
        <v>1</v>
      </c>
      <c r="DE128" s="129">
        <f t="shared" ref="DE128:DE137" si="165">IF((DD128)="", "", $C$8)</f>
        <v>39775</v>
      </c>
      <c r="DF128" s="161">
        <f t="shared" si="94"/>
        <v>0</v>
      </c>
      <c r="DG128" s="161">
        <f t="shared" si="95"/>
        <v>0</v>
      </c>
      <c r="DH128" s="161">
        <f t="shared" si="96"/>
        <v>0</v>
      </c>
      <c r="DI128" s="161">
        <f t="shared" si="97"/>
        <v>0</v>
      </c>
      <c r="DJ128" s="161">
        <f t="shared" si="98"/>
        <v>192.30769230769232</v>
      </c>
      <c r="DK128" s="161">
        <f t="shared" si="99"/>
        <v>32.051282051282051</v>
      </c>
      <c r="DL128" s="161">
        <f t="shared" si="100"/>
        <v>0</v>
      </c>
      <c r="DM128" s="161">
        <f t="shared" si="101"/>
        <v>0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0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2"/>
        <v>224.35897435897436</v>
      </c>
      <c r="EL128" s="149"/>
      <c r="EN128" s="146"/>
      <c r="EO128" s="146"/>
      <c r="EP128" s="139">
        <f t="shared" si="133"/>
        <v>0</v>
      </c>
      <c r="EQ128" s="139">
        <f t="shared" si="134"/>
        <v>0</v>
      </c>
      <c r="ER128" s="139">
        <f t="shared" si="135"/>
        <v>0</v>
      </c>
      <c r="ES128" s="139">
        <f t="shared" si="136"/>
        <v>0</v>
      </c>
      <c r="ET128" s="139">
        <f t="shared" si="137"/>
        <v>77.451784838464803</v>
      </c>
      <c r="EU128" s="139">
        <f t="shared" si="138"/>
        <v>23.455663147404611</v>
      </c>
      <c r="EV128" s="139">
        <f t="shared" si="139"/>
        <v>0</v>
      </c>
      <c r="EW128" s="139">
        <f t="shared" si="140"/>
        <v>0</v>
      </c>
      <c r="EX128" s="139">
        <f t="shared" si="141"/>
        <v>0</v>
      </c>
      <c r="EY128" s="139">
        <f t="shared" si="142"/>
        <v>0</v>
      </c>
      <c r="EZ128" s="139">
        <f t="shared" si="143"/>
        <v>0</v>
      </c>
      <c r="FA128" s="139">
        <f t="shared" si="144"/>
        <v>0</v>
      </c>
      <c r="FB128" s="139">
        <f t="shared" si="145"/>
        <v>0</v>
      </c>
      <c r="FC128" s="139">
        <f t="shared" si="146"/>
        <v>0</v>
      </c>
      <c r="FD128" s="139">
        <f t="shared" si="147"/>
        <v>0</v>
      </c>
      <c r="FE128" s="139">
        <f t="shared" si="148"/>
        <v>0</v>
      </c>
      <c r="FF128" s="139">
        <f t="shared" si="149"/>
        <v>0</v>
      </c>
      <c r="FG128" s="139">
        <f t="shared" si="150"/>
        <v>0</v>
      </c>
      <c r="FH128" s="139">
        <f t="shared" si="151"/>
        <v>0</v>
      </c>
      <c r="FI128" s="139">
        <f t="shared" si="152"/>
        <v>0</v>
      </c>
      <c r="FJ128" s="139">
        <f t="shared" si="153"/>
        <v>0</v>
      </c>
      <c r="FK128" s="139">
        <f t="shared" si="154"/>
        <v>0</v>
      </c>
      <c r="FL128" s="139">
        <f t="shared" si="155"/>
        <v>0</v>
      </c>
      <c r="FM128" s="139">
        <f t="shared" si="156"/>
        <v>0</v>
      </c>
      <c r="FN128" s="139">
        <f t="shared" si="157"/>
        <v>0</v>
      </c>
      <c r="FO128" s="139">
        <f t="shared" si="158"/>
        <v>0</v>
      </c>
      <c r="FP128" s="139">
        <f t="shared" si="159"/>
        <v>0</v>
      </c>
      <c r="FQ128" s="139">
        <f t="shared" si="160"/>
        <v>0</v>
      </c>
      <c r="FR128" s="139">
        <f t="shared" si="161"/>
        <v>0</v>
      </c>
      <c r="FS128" s="139">
        <f t="shared" si="162"/>
        <v>0</v>
      </c>
      <c r="FT128" s="139">
        <f t="shared" si="163"/>
        <v>0</v>
      </c>
      <c r="FU128" s="148">
        <f t="shared" si="164"/>
        <v>100.90744798586941</v>
      </c>
      <c r="FV128" s="149"/>
      <c r="FY128" s="211">
        <v>123</v>
      </c>
      <c r="FZ128">
        <v>5.6920746933697757</v>
      </c>
      <c r="GA128">
        <v>29.288678525247732</v>
      </c>
      <c r="GB128">
        <v>24.437565904807574</v>
      </c>
      <c r="GC128">
        <v>12.6414488373451</v>
      </c>
      <c r="GD128">
        <v>9.6302484674338569</v>
      </c>
      <c r="GE128">
        <v>15.149832230377884</v>
      </c>
      <c r="GF128">
        <v>25.408409858751703</v>
      </c>
      <c r="GG128">
        <v>16.808823587597097</v>
      </c>
      <c r="GH128">
        <v>1.6540842093378521</v>
      </c>
      <c r="GI128">
        <v>17.785155810844586</v>
      </c>
      <c r="GJ128"/>
      <c r="GK128"/>
      <c r="GL128"/>
      <c r="GM128"/>
    </row>
    <row r="129" spans="1:195" s="7" customFormat="1">
      <c r="A129" s="1"/>
      <c r="B129" s="76">
        <f t="shared" ca="1" si="131"/>
        <v>0.73835704952841752</v>
      </c>
      <c r="C129">
        <v>10</v>
      </c>
      <c r="D129">
        <v>39775</v>
      </c>
      <c r="E129">
        <v>0</v>
      </c>
      <c r="F129">
        <v>0</v>
      </c>
      <c r="G129">
        <v>10.416666666666666</v>
      </c>
      <c r="H129">
        <v>10.416666666666666</v>
      </c>
      <c r="I129">
        <v>52.083333333333336</v>
      </c>
      <c r="J129">
        <v>52.083333333333336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81.057831389584337</v>
      </c>
      <c r="AO129">
        <v>27.526242669503482</v>
      </c>
      <c r="AP129">
        <v>184.23961429950651</v>
      </c>
      <c r="AQ129">
        <v>158.08707249198019</v>
      </c>
      <c r="AR129">
        <v>25.241085787384453</v>
      </c>
      <c r="AS129">
        <v>126.42170558713785</v>
      </c>
      <c r="AT129">
        <v>18.60997236106493</v>
      </c>
      <c r="AU129">
        <v>47.089162639188679</v>
      </c>
      <c r="AV129"/>
      <c r="AW129"/>
      <c r="AX129" s="146"/>
      <c r="AY129" s="76">
        <f t="shared" ca="1" si="87"/>
        <v>8.9517038869976417E-2</v>
      </c>
      <c r="AZ129">
        <v>2</v>
      </c>
      <c r="BA129" s="129">
        <f t="shared" ref="BA129:BA137" si="166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1</v>
      </c>
      <c r="BG129">
        <v>2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89"/>
        <v>0.7080400386031922</v>
      </c>
      <c r="CL129" s="179">
        <f t="shared" si="90"/>
        <v>2</v>
      </c>
      <c r="CM129" s="180">
        <f t="shared" si="91"/>
        <v>39775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0.25543655470467419</v>
      </c>
      <c r="DD129">
        <f t="shared" si="93"/>
        <v>2</v>
      </c>
      <c r="DE129" s="129">
        <f t="shared" si="165"/>
        <v>39775</v>
      </c>
      <c r="DF129" s="161">
        <f t="shared" si="94"/>
        <v>0</v>
      </c>
      <c r="DG129" s="161">
        <f t="shared" si="95"/>
        <v>0</v>
      </c>
      <c r="DH129" s="161">
        <f t="shared" si="96"/>
        <v>0</v>
      </c>
      <c r="DI129" s="161">
        <f t="shared" si="97"/>
        <v>0</v>
      </c>
      <c r="DJ129" s="161">
        <f t="shared" si="98"/>
        <v>10.416666666666666</v>
      </c>
      <c r="DK129" s="161">
        <f t="shared" si="99"/>
        <v>20.833333333333332</v>
      </c>
      <c r="DL129" s="161">
        <f t="shared" si="100"/>
        <v>0</v>
      </c>
      <c r="DM129" s="161">
        <f t="shared" si="101"/>
        <v>0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2"/>
        <v>31.25</v>
      </c>
      <c r="EL129" s="149"/>
      <c r="EN129" s="146"/>
      <c r="EO129" s="146"/>
      <c r="EP129" s="139">
        <f t="shared" si="133"/>
        <v>0</v>
      </c>
      <c r="EQ129" s="139">
        <f t="shared" si="134"/>
        <v>0</v>
      </c>
      <c r="ER129" s="139">
        <f t="shared" si="135"/>
        <v>0</v>
      </c>
      <c r="ES129" s="139">
        <f t="shared" si="136"/>
        <v>0</v>
      </c>
      <c r="ET129" s="139">
        <f t="shared" si="137"/>
        <v>4.1953050120835096</v>
      </c>
      <c r="EU129" s="139">
        <f t="shared" si="138"/>
        <v>15.246181045812996</v>
      </c>
      <c r="EV129" s="139">
        <f t="shared" si="139"/>
        <v>0</v>
      </c>
      <c r="EW129" s="139">
        <f t="shared" si="140"/>
        <v>0</v>
      </c>
      <c r="EX129" s="139">
        <f t="shared" si="141"/>
        <v>0</v>
      </c>
      <c r="EY129" s="139">
        <f t="shared" si="142"/>
        <v>0</v>
      </c>
      <c r="EZ129" s="139">
        <f t="shared" si="143"/>
        <v>0</v>
      </c>
      <c r="FA129" s="139">
        <f t="shared" si="144"/>
        <v>0</v>
      </c>
      <c r="FB129" s="139">
        <f t="shared" si="145"/>
        <v>0</v>
      </c>
      <c r="FC129" s="139">
        <f t="shared" si="146"/>
        <v>0</v>
      </c>
      <c r="FD129" s="139">
        <f t="shared" si="147"/>
        <v>0</v>
      </c>
      <c r="FE129" s="139">
        <f t="shared" si="148"/>
        <v>0</v>
      </c>
      <c r="FF129" s="139">
        <f t="shared" si="149"/>
        <v>0</v>
      </c>
      <c r="FG129" s="139">
        <f t="shared" si="150"/>
        <v>0</v>
      </c>
      <c r="FH129" s="139">
        <f t="shared" si="151"/>
        <v>0</v>
      </c>
      <c r="FI129" s="139">
        <f t="shared" si="152"/>
        <v>0</v>
      </c>
      <c r="FJ129" s="139">
        <f t="shared" si="153"/>
        <v>0</v>
      </c>
      <c r="FK129" s="139">
        <f t="shared" si="154"/>
        <v>0</v>
      </c>
      <c r="FL129" s="139">
        <f t="shared" si="155"/>
        <v>0</v>
      </c>
      <c r="FM129" s="139">
        <f t="shared" si="156"/>
        <v>0</v>
      </c>
      <c r="FN129" s="139">
        <f t="shared" si="157"/>
        <v>0</v>
      </c>
      <c r="FO129" s="139">
        <f t="shared" si="158"/>
        <v>0</v>
      </c>
      <c r="FP129" s="139">
        <f t="shared" si="159"/>
        <v>0</v>
      </c>
      <c r="FQ129" s="139">
        <f t="shared" si="160"/>
        <v>0</v>
      </c>
      <c r="FR129" s="139">
        <f t="shared" si="161"/>
        <v>0</v>
      </c>
      <c r="FS129" s="139">
        <f t="shared" si="162"/>
        <v>0</v>
      </c>
      <c r="FT129" s="139">
        <f t="shared" si="163"/>
        <v>0</v>
      </c>
      <c r="FU129" s="148">
        <f t="shared" si="164"/>
        <v>19.441486057896505</v>
      </c>
      <c r="FV129" s="149"/>
      <c r="FY129" s="211">
        <v>124</v>
      </c>
      <c r="FZ129">
        <v>4.5564338506607172</v>
      </c>
      <c r="GA129">
        <v>24.62246625021681</v>
      </c>
      <c r="GB129">
        <v>24.137294718743782</v>
      </c>
      <c r="GC129">
        <v>13.319433967795508</v>
      </c>
      <c r="GD129">
        <v>10.536580464073715</v>
      </c>
      <c r="GE129">
        <v>18.782838252757625</v>
      </c>
      <c r="GF129">
        <v>17.772631263312874</v>
      </c>
      <c r="GG129">
        <v>10.540598854370245</v>
      </c>
      <c r="GH129">
        <v>5.8064591393060461</v>
      </c>
      <c r="GI129">
        <v>17.365097985597295</v>
      </c>
      <c r="GJ129"/>
      <c r="GK129"/>
      <c r="GL129"/>
      <c r="GM129"/>
    </row>
    <row r="130" spans="1:195" s="7" customFormat="1">
      <c r="A130" s="1"/>
      <c r="B130" s="76">
        <f t="shared" ca="1" si="131"/>
        <v>8.210033339730316E-2</v>
      </c>
      <c r="C130">
        <v>6</v>
      </c>
      <c r="D130">
        <v>39775</v>
      </c>
      <c r="E130">
        <v>0</v>
      </c>
      <c r="F130">
        <v>0</v>
      </c>
      <c r="G130">
        <v>10.416666666666666</v>
      </c>
      <c r="H130">
        <v>31.25</v>
      </c>
      <c r="I130">
        <v>104.16666666666667</v>
      </c>
      <c r="J130">
        <v>20.833333333333332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76.106582021002197</v>
      </c>
      <c r="AO130">
        <v>29.791303951028986</v>
      </c>
      <c r="AP130">
        <v>181.94404936571587</v>
      </c>
      <c r="AQ130">
        <v>157.20932191800657</v>
      </c>
      <c r="AR130">
        <v>26.987952444591144</v>
      </c>
      <c r="AS130">
        <v>125.51957366539557</v>
      </c>
      <c r="AT130" t="e">
        <v>#DIV/0!</v>
      </c>
      <c r="AU130" t="e">
        <v>#DIV/0!</v>
      </c>
      <c r="AV130"/>
      <c r="AW130"/>
      <c r="AX130" s="146"/>
      <c r="AY130" s="76">
        <f t="shared" ca="1" si="87"/>
        <v>0.72140119050510165</v>
      </c>
      <c r="AZ130">
        <v>3</v>
      </c>
      <c r="BA130" s="129">
        <f t="shared" si="166"/>
        <v>39775</v>
      </c>
      <c r="BB130">
        <v>0</v>
      </c>
      <c r="BC130">
        <v>0</v>
      </c>
      <c r="BD130">
        <v>0</v>
      </c>
      <c r="BE130">
        <v>0</v>
      </c>
      <c r="BF130">
        <v>3</v>
      </c>
      <c r="BG130">
        <v>1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89"/>
        <v>0.6889663540671549</v>
      </c>
      <c r="CL130" s="179">
        <f t="shared" si="90"/>
        <v>3</v>
      </c>
      <c r="CM130" s="180">
        <f t="shared" si="91"/>
        <v>39775</v>
      </c>
      <c r="CN130" s="226">
        <v>0</v>
      </c>
      <c r="CO130" s="226">
        <v>0</v>
      </c>
      <c r="CP130" s="226">
        <v>4</v>
      </c>
      <c r="CQ130" s="226">
        <v>0</v>
      </c>
      <c r="CR130" s="226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5.1086194663011675E-2</v>
      </c>
      <c r="DD130">
        <f t="shared" si="93"/>
        <v>3</v>
      </c>
      <c r="DE130" s="129">
        <f t="shared" si="165"/>
        <v>39775</v>
      </c>
      <c r="DF130" s="161">
        <f t="shared" si="94"/>
        <v>0</v>
      </c>
      <c r="DG130" s="161">
        <f t="shared" si="95"/>
        <v>0</v>
      </c>
      <c r="DH130" s="161">
        <f t="shared" si="96"/>
        <v>208.33333333333334</v>
      </c>
      <c r="DI130" s="161">
        <f t="shared" si="97"/>
        <v>0</v>
      </c>
      <c r="DJ130" s="161">
        <f t="shared" si="98"/>
        <v>31.25</v>
      </c>
      <c r="DK130" s="161">
        <f t="shared" si="99"/>
        <v>10.416666666666666</v>
      </c>
      <c r="DL130" s="161">
        <f t="shared" si="100"/>
        <v>0</v>
      </c>
      <c r="DM130" s="161">
        <f t="shared" si="101"/>
        <v>0</v>
      </c>
      <c r="DN130" s="161">
        <f t="shared" si="102"/>
        <v>0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0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2"/>
        <v>250</v>
      </c>
      <c r="EL130" s="149"/>
      <c r="EN130" s="146"/>
      <c r="EO130" s="146"/>
      <c r="EP130" s="139">
        <f t="shared" si="133"/>
        <v>0</v>
      </c>
      <c r="EQ130" s="139">
        <f t="shared" si="134"/>
        <v>0</v>
      </c>
      <c r="ER130" s="139">
        <f t="shared" si="135"/>
        <v>13.125757668577636</v>
      </c>
      <c r="ES130" s="139">
        <f t="shared" si="136"/>
        <v>0</v>
      </c>
      <c r="ET130" s="139">
        <f t="shared" si="137"/>
        <v>12.58591503625053</v>
      </c>
      <c r="EU130" s="139">
        <f t="shared" si="138"/>
        <v>7.623090522906498</v>
      </c>
      <c r="EV130" s="139">
        <f t="shared" si="139"/>
        <v>0</v>
      </c>
      <c r="EW130" s="139">
        <f t="shared" si="140"/>
        <v>0</v>
      </c>
      <c r="EX130" s="139">
        <f t="shared" si="141"/>
        <v>0</v>
      </c>
      <c r="EY130" s="139">
        <f t="shared" si="142"/>
        <v>0</v>
      </c>
      <c r="EZ130" s="139">
        <f t="shared" si="143"/>
        <v>0</v>
      </c>
      <c r="FA130" s="139">
        <f t="shared" si="144"/>
        <v>0</v>
      </c>
      <c r="FB130" s="139">
        <f t="shared" si="145"/>
        <v>0</v>
      </c>
      <c r="FC130" s="139">
        <f t="shared" si="146"/>
        <v>0</v>
      </c>
      <c r="FD130" s="139">
        <f t="shared" si="147"/>
        <v>0</v>
      </c>
      <c r="FE130" s="139">
        <f t="shared" si="148"/>
        <v>0</v>
      </c>
      <c r="FF130" s="139">
        <f t="shared" si="149"/>
        <v>0</v>
      </c>
      <c r="FG130" s="139">
        <f t="shared" si="150"/>
        <v>0</v>
      </c>
      <c r="FH130" s="139">
        <f t="shared" si="151"/>
        <v>0</v>
      </c>
      <c r="FI130" s="139">
        <f t="shared" si="152"/>
        <v>0</v>
      </c>
      <c r="FJ130" s="139">
        <f t="shared" si="153"/>
        <v>0</v>
      </c>
      <c r="FK130" s="139">
        <f t="shared" si="154"/>
        <v>0</v>
      </c>
      <c r="FL130" s="139">
        <f t="shared" si="155"/>
        <v>0</v>
      </c>
      <c r="FM130" s="139">
        <f t="shared" si="156"/>
        <v>0</v>
      </c>
      <c r="FN130" s="139">
        <f t="shared" si="157"/>
        <v>0</v>
      </c>
      <c r="FO130" s="139">
        <f t="shared" si="158"/>
        <v>0</v>
      </c>
      <c r="FP130" s="139">
        <f t="shared" si="159"/>
        <v>0</v>
      </c>
      <c r="FQ130" s="139">
        <f t="shared" si="160"/>
        <v>0</v>
      </c>
      <c r="FR130" s="139">
        <f t="shared" si="161"/>
        <v>0</v>
      </c>
      <c r="FS130" s="139">
        <f t="shared" si="162"/>
        <v>0</v>
      </c>
      <c r="FT130" s="139">
        <f t="shared" si="163"/>
        <v>0</v>
      </c>
      <c r="FU130" s="148">
        <f t="shared" si="164"/>
        <v>33.334763227734669</v>
      </c>
      <c r="FV130" s="149"/>
      <c r="FY130" s="211">
        <v>125</v>
      </c>
      <c r="FZ130">
        <v>4.2476644282379494</v>
      </c>
      <c r="GA130">
        <v>10.778915760699538</v>
      </c>
      <c r="GB130">
        <v>14.639053008248641</v>
      </c>
      <c r="GC130">
        <v>11.350495718646513</v>
      </c>
      <c r="GD130">
        <v>7.2531834665381609</v>
      </c>
      <c r="GE130">
        <v>15.379834908586618</v>
      </c>
      <c r="GF130">
        <v>30.181468104874078</v>
      </c>
      <c r="GG130">
        <v>29.725040612672959</v>
      </c>
      <c r="GH130">
        <v>23.870954220213719</v>
      </c>
      <c r="GI130">
        <v>18.16627370902145</v>
      </c>
      <c r="GJ130"/>
      <c r="GK130"/>
      <c r="GL130"/>
      <c r="GM130"/>
    </row>
    <row r="131" spans="1:195" s="7" customFormat="1">
      <c r="A131" s="1"/>
      <c r="B131" s="76">
        <f t="shared" ca="1" si="131"/>
        <v>0.60163774778000234</v>
      </c>
      <c r="C131">
        <v>9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95.505880726548085</v>
      </c>
      <c r="AO131">
        <v>36.288279500469955</v>
      </c>
      <c r="AP131">
        <v>254.79401298884775</v>
      </c>
      <c r="AQ131">
        <v>209.19785489479293</v>
      </c>
      <c r="AR131">
        <v>33.09080171177294</v>
      </c>
      <c r="AS131">
        <v>159.91304787485961</v>
      </c>
      <c r="AT131">
        <v>24.192230001538348</v>
      </c>
      <c r="AU131">
        <v>38.575555447311579</v>
      </c>
      <c r="AV131"/>
      <c r="AW131"/>
      <c r="AX131" s="146"/>
      <c r="AY131" s="76">
        <f t="shared" ca="1" si="87"/>
        <v>0.68268673560187043</v>
      </c>
      <c r="AZ131">
        <v>4</v>
      </c>
      <c r="BA131" s="129">
        <f t="shared" si="166"/>
        <v>39775</v>
      </c>
      <c r="BB131">
        <v>0</v>
      </c>
      <c r="BC131">
        <v>0</v>
      </c>
      <c r="BD131">
        <v>0</v>
      </c>
      <c r="BE131">
        <v>2</v>
      </c>
      <c r="BF131">
        <v>1</v>
      </c>
      <c r="BG131">
        <v>1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89"/>
        <v>0.64847718497467088</v>
      </c>
      <c r="CL131" s="179">
        <f t="shared" si="90"/>
        <v>4</v>
      </c>
      <c r="CM131" s="180">
        <f t="shared" si="91"/>
        <v>39775</v>
      </c>
      <c r="CN131">
        <v>0</v>
      </c>
      <c r="CO131">
        <v>0</v>
      </c>
      <c r="CP131">
        <v>1</v>
      </c>
      <c r="CQ131">
        <v>0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0.35296024531799608</v>
      </c>
      <c r="DD131">
        <f t="shared" si="93"/>
        <v>4</v>
      </c>
      <c r="DE131" s="129">
        <f t="shared" si="165"/>
        <v>39775</v>
      </c>
      <c r="DF131" s="161">
        <f t="shared" si="94"/>
        <v>0</v>
      </c>
      <c r="DG131" s="161">
        <f t="shared" si="95"/>
        <v>0</v>
      </c>
      <c r="DH131" s="161">
        <f t="shared" si="96"/>
        <v>10.416666666666666</v>
      </c>
      <c r="DI131" s="161">
        <f t="shared" si="97"/>
        <v>20.833333333333332</v>
      </c>
      <c r="DJ131" s="161">
        <f t="shared" si="98"/>
        <v>10.416666666666666</v>
      </c>
      <c r="DK131" s="161">
        <f t="shared" si="99"/>
        <v>10.416666666666666</v>
      </c>
      <c r="DL131" s="161">
        <f t="shared" si="100"/>
        <v>0</v>
      </c>
      <c r="DM131" s="161">
        <f t="shared" si="101"/>
        <v>0</v>
      </c>
      <c r="DN131" s="161">
        <f t="shared" si="102"/>
        <v>0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2"/>
        <v>52.083333333333329</v>
      </c>
      <c r="EL131" s="149"/>
      <c r="EN131" s="146"/>
      <c r="EO131" s="146"/>
      <c r="EP131" s="139">
        <f t="shared" si="133"/>
        <v>0</v>
      </c>
      <c r="EQ131" s="139">
        <f t="shared" si="134"/>
        <v>0</v>
      </c>
      <c r="ER131" s="139">
        <f t="shared" si="135"/>
        <v>0.65628788342888167</v>
      </c>
      <c r="ES131" s="139">
        <f t="shared" si="136"/>
        <v>3.8851753566981286</v>
      </c>
      <c r="ET131" s="139">
        <f t="shared" si="137"/>
        <v>4.1953050120835096</v>
      </c>
      <c r="EU131" s="139">
        <f t="shared" si="138"/>
        <v>7.623090522906498</v>
      </c>
      <c r="EV131" s="139">
        <f t="shared" si="139"/>
        <v>0</v>
      </c>
      <c r="EW131" s="139">
        <f t="shared" si="140"/>
        <v>0</v>
      </c>
      <c r="EX131" s="139">
        <f t="shared" si="141"/>
        <v>0</v>
      </c>
      <c r="EY131" s="139">
        <f t="shared" si="142"/>
        <v>0</v>
      </c>
      <c r="EZ131" s="139">
        <f t="shared" si="143"/>
        <v>0</v>
      </c>
      <c r="FA131" s="139">
        <f t="shared" si="144"/>
        <v>0</v>
      </c>
      <c r="FB131" s="139">
        <f t="shared" si="145"/>
        <v>0</v>
      </c>
      <c r="FC131" s="139">
        <f t="shared" si="146"/>
        <v>0</v>
      </c>
      <c r="FD131" s="139">
        <f t="shared" si="147"/>
        <v>0</v>
      </c>
      <c r="FE131" s="139">
        <f t="shared" si="148"/>
        <v>0</v>
      </c>
      <c r="FF131" s="139">
        <f t="shared" si="149"/>
        <v>0</v>
      </c>
      <c r="FG131" s="139">
        <f t="shared" si="150"/>
        <v>0</v>
      </c>
      <c r="FH131" s="139">
        <f t="shared" si="151"/>
        <v>0</v>
      </c>
      <c r="FI131" s="139">
        <f t="shared" si="152"/>
        <v>0</v>
      </c>
      <c r="FJ131" s="139">
        <f t="shared" si="153"/>
        <v>0</v>
      </c>
      <c r="FK131" s="139">
        <f t="shared" si="154"/>
        <v>0</v>
      </c>
      <c r="FL131" s="139">
        <f t="shared" si="155"/>
        <v>0</v>
      </c>
      <c r="FM131" s="139">
        <f t="shared" si="156"/>
        <v>0</v>
      </c>
      <c r="FN131" s="139">
        <f t="shared" si="157"/>
        <v>0</v>
      </c>
      <c r="FO131" s="139">
        <f t="shared" si="158"/>
        <v>0</v>
      </c>
      <c r="FP131" s="139">
        <f t="shared" si="159"/>
        <v>0</v>
      </c>
      <c r="FQ131" s="139">
        <f t="shared" si="160"/>
        <v>0</v>
      </c>
      <c r="FR131" s="139">
        <f t="shared" si="161"/>
        <v>0</v>
      </c>
      <c r="FS131" s="139">
        <f t="shared" si="162"/>
        <v>0</v>
      </c>
      <c r="FT131" s="139">
        <f t="shared" si="163"/>
        <v>0</v>
      </c>
      <c r="FU131" s="148">
        <f t="shared" si="164"/>
        <v>16.359858775117019</v>
      </c>
      <c r="FV131" s="149"/>
      <c r="FY131" s="211">
        <v>126</v>
      </c>
      <c r="FZ131">
        <v>3.6308648008619713</v>
      </c>
      <c r="GA131">
        <v>13.182754670513273</v>
      </c>
      <c r="GB131">
        <v>30.791770707778493</v>
      </c>
      <c r="GC131">
        <v>19.31442346039951</v>
      </c>
      <c r="GD131">
        <v>11.638949407301979</v>
      </c>
      <c r="GE131">
        <v>31.289025784096562</v>
      </c>
      <c r="GF131">
        <v>27.503200268122157</v>
      </c>
      <c r="GG131">
        <v>8.2779934486124525</v>
      </c>
      <c r="GH131">
        <v>11.087144562613103</v>
      </c>
      <c r="GI131">
        <v>22.22350652593877</v>
      </c>
      <c r="GJ131"/>
      <c r="GK131"/>
      <c r="GL131"/>
      <c r="GM131"/>
    </row>
    <row r="132" spans="1:195" s="7" customFormat="1">
      <c r="A132" s="1"/>
      <c r="B132" s="76">
        <f t="shared" ca="1" si="131"/>
        <v>0.16494188447913305</v>
      </c>
      <c r="C132">
        <v>4</v>
      </c>
      <c r="D132">
        <v>39775</v>
      </c>
      <c r="E132">
        <v>0</v>
      </c>
      <c r="F132">
        <v>0</v>
      </c>
      <c r="G132">
        <v>10.416666666666666</v>
      </c>
      <c r="H132">
        <v>20.833333333333332</v>
      </c>
      <c r="I132">
        <v>10.416666666666666</v>
      </c>
      <c r="J132">
        <v>10.416666666666666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74.39247285983727</v>
      </c>
      <c r="AO132">
        <v>29.095037518191067</v>
      </c>
      <c r="AP132">
        <v>191.45373459655491</v>
      </c>
      <c r="AQ132">
        <v>160.77087092421868</v>
      </c>
      <c r="AR132">
        <v>26.037918960248348</v>
      </c>
      <c r="AS132">
        <v>129.46700071644227</v>
      </c>
      <c r="AT132">
        <v>19.768095342134753</v>
      </c>
      <c r="AU132">
        <v>14.659936874727924</v>
      </c>
      <c r="AV132"/>
      <c r="AW132"/>
      <c r="AX132" s="146"/>
      <c r="AY132" s="76">
        <f t="shared" ca="1" si="87"/>
        <v>2.7338990274153208E-2</v>
      </c>
      <c r="AZ132">
        <v>5</v>
      </c>
      <c r="BA132" s="129">
        <f t="shared" si="166"/>
        <v>39775</v>
      </c>
      <c r="BB132">
        <v>0</v>
      </c>
      <c r="BC132">
        <v>0</v>
      </c>
      <c r="BD132">
        <v>0</v>
      </c>
      <c r="BE132">
        <v>0</v>
      </c>
      <c r="BF132">
        <v>1</v>
      </c>
      <c r="BG132">
        <v>1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89"/>
        <v>0.8862711864906061</v>
      </c>
      <c r="CL132" s="179">
        <f t="shared" si="90"/>
        <v>5</v>
      </c>
      <c r="CM132" s="180">
        <f t="shared" si="91"/>
        <v>39775</v>
      </c>
      <c r="CN132">
        <v>0</v>
      </c>
      <c r="CO132">
        <v>0</v>
      </c>
      <c r="CP132">
        <v>2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0.86822202711478114</v>
      </c>
      <c r="DD132">
        <f t="shared" si="93"/>
        <v>5</v>
      </c>
      <c r="DE132" s="129">
        <f t="shared" si="165"/>
        <v>39775</v>
      </c>
      <c r="DF132" s="161">
        <f t="shared" si="94"/>
        <v>0</v>
      </c>
      <c r="DG132" s="161">
        <f t="shared" si="95"/>
        <v>0</v>
      </c>
      <c r="DH132" s="161">
        <f t="shared" si="96"/>
        <v>59.523809523809526</v>
      </c>
      <c r="DI132" s="161">
        <f t="shared" si="97"/>
        <v>0</v>
      </c>
      <c r="DJ132" s="161">
        <f t="shared" si="98"/>
        <v>10.416666666666666</v>
      </c>
      <c r="DK132" s="161">
        <f t="shared" si="99"/>
        <v>10.416666666666666</v>
      </c>
      <c r="DL132" s="161">
        <f t="shared" si="100"/>
        <v>0</v>
      </c>
      <c r="DM132" s="161">
        <f t="shared" si="101"/>
        <v>0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2"/>
        <v>80.357142857142861</v>
      </c>
      <c r="EL132" s="149"/>
      <c r="EN132" s="146"/>
      <c r="EO132" s="146"/>
      <c r="EP132" s="139">
        <f t="shared" si="133"/>
        <v>0</v>
      </c>
      <c r="EQ132" s="139">
        <f t="shared" si="134"/>
        <v>0</v>
      </c>
      <c r="ER132" s="139">
        <f t="shared" si="135"/>
        <v>3.7502164767364672</v>
      </c>
      <c r="ES132" s="139">
        <f t="shared" si="136"/>
        <v>0</v>
      </c>
      <c r="ET132" s="139">
        <f t="shared" si="137"/>
        <v>4.1953050120835096</v>
      </c>
      <c r="EU132" s="139">
        <f t="shared" si="138"/>
        <v>7.623090522906498</v>
      </c>
      <c r="EV132" s="139">
        <f t="shared" si="139"/>
        <v>0</v>
      </c>
      <c r="EW132" s="139">
        <f t="shared" si="140"/>
        <v>0</v>
      </c>
      <c r="EX132" s="139">
        <f t="shared" si="141"/>
        <v>0</v>
      </c>
      <c r="EY132" s="139">
        <f t="shared" si="142"/>
        <v>0</v>
      </c>
      <c r="EZ132" s="139">
        <f t="shared" si="143"/>
        <v>0</v>
      </c>
      <c r="FA132" s="139">
        <f t="shared" si="144"/>
        <v>0</v>
      </c>
      <c r="FB132" s="139">
        <f t="shared" si="145"/>
        <v>0</v>
      </c>
      <c r="FC132" s="139">
        <f t="shared" si="146"/>
        <v>0</v>
      </c>
      <c r="FD132" s="139">
        <f t="shared" si="147"/>
        <v>0</v>
      </c>
      <c r="FE132" s="139">
        <f t="shared" si="148"/>
        <v>0</v>
      </c>
      <c r="FF132" s="139">
        <f t="shared" si="149"/>
        <v>0</v>
      </c>
      <c r="FG132" s="139">
        <f t="shared" si="150"/>
        <v>0</v>
      </c>
      <c r="FH132" s="139">
        <f t="shared" si="151"/>
        <v>0</v>
      </c>
      <c r="FI132" s="139">
        <f t="shared" si="152"/>
        <v>0</v>
      </c>
      <c r="FJ132" s="139">
        <f t="shared" si="153"/>
        <v>0</v>
      </c>
      <c r="FK132" s="139">
        <f t="shared" si="154"/>
        <v>0</v>
      </c>
      <c r="FL132" s="139">
        <f t="shared" si="155"/>
        <v>0</v>
      </c>
      <c r="FM132" s="139">
        <f t="shared" si="156"/>
        <v>0</v>
      </c>
      <c r="FN132" s="139">
        <f t="shared" si="157"/>
        <v>0</v>
      </c>
      <c r="FO132" s="139">
        <f t="shared" si="158"/>
        <v>0</v>
      </c>
      <c r="FP132" s="139">
        <f t="shared" si="159"/>
        <v>0</v>
      </c>
      <c r="FQ132" s="139">
        <f t="shared" si="160"/>
        <v>0</v>
      </c>
      <c r="FR132" s="139">
        <f t="shared" si="161"/>
        <v>0</v>
      </c>
      <c r="FS132" s="139">
        <f t="shared" si="162"/>
        <v>0</v>
      </c>
      <c r="FT132" s="139">
        <f t="shared" si="163"/>
        <v>0</v>
      </c>
      <c r="FU132" s="148">
        <f t="shared" si="164"/>
        <v>15.568612011726476</v>
      </c>
      <c r="FV132" s="149"/>
      <c r="FY132" s="211">
        <v>127</v>
      </c>
      <c r="FZ132">
        <v>3.4311597051018072</v>
      </c>
      <c r="GA132">
        <v>16.709935237788898</v>
      </c>
      <c r="GB132">
        <v>43.394423188185179</v>
      </c>
      <c r="GC132">
        <v>28.567368039399927</v>
      </c>
      <c r="GD132">
        <v>11.493544130137057</v>
      </c>
      <c r="GE132">
        <v>15.785626603639464</v>
      </c>
      <c r="GF132">
        <v>25.234720082311796</v>
      </c>
      <c r="GG132">
        <v>18.060390274352152</v>
      </c>
      <c r="GH132">
        <v>8.5320201249738101</v>
      </c>
      <c r="GI132">
        <v>24.494524477630886</v>
      </c>
      <c r="GJ132"/>
      <c r="GK132"/>
      <c r="GL132"/>
      <c r="GM132"/>
    </row>
    <row r="133" spans="1:195" s="7" customFormat="1">
      <c r="A133" s="1"/>
      <c r="B133" s="76">
        <f t="shared" ca="1" si="131"/>
        <v>0.53254178654282036</v>
      </c>
      <c r="C133">
        <v>1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192.30769230769232</v>
      </c>
      <c r="J133">
        <v>32.051282051282051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92.479352816963697</v>
      </c>
      <c r="AO133">
        <v>34.312720755111371</v>
      </c>
      <c r="AP133">
        <v>232.72291185265132</v>
      </c>
      <c r="AQ133">
        <v>192.51503196997754</v>
      </c>
      <c r="AR133">
        <v>31.090738880597737</v>
      </c>
      <c r="AS133">
        <v>153.88794841759511</v>
      </c>
      <c r="AT133" t="e">
        <v>#DIV/0!</v>
      </c>
      <c r="AU133" t="e">
        <v>#DIV/0!</v>
      </c>
      <c r="AV133"/>
      <c r="AW133"/>
      <c r="AX133" s="146"/>
      <c r="AY133" s="76">
        <f t="shared" ca="1" si="87"/>
        <v>0.7932064522152642</v>
      </c>
      <c r="AZ133">
        <v>6</v>
      </c>
      <c r="BA133" s="129">
        <f t="shared" si="166"/>
        <v>39775</v>
      </c>
      <c r="BB133">
        <v>0</v>
      </c>
      <c r="BC133">
        <v>0</v>
      </c>
      <c r="BD133">
        <v>0</v>
      </c>
      <c r="BE133">
        <v>3</v>
      </c>
      <c r="BF133">
        <v>10</v>
      </c>
      <c r="BG133">
        <v>2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89"/>
        <v>0.35413050847220973</v>
      </c>
      <c r="CL133" s="179">
        <f t="shared" si="90"/>
        <v>6</v>
      </c>
      <c r="CM133" s="180">
        <f t="shared" si="91"/>
        <v>39775</v>
      </c>
      <c r="CN133">
        <v>0</v>
      </c>
      <c r="CO133">
        <v>0</v>
      </c>
      <c r="CP133">
        <v>1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0.2468325298524352</v>
      </c>
      <c r="DD133">
        <f t="shared" si="93"/>
        <v>6</v>
      </c>
      <c r="DE133" s="129">
        <f t="shared" si="165"/>
        <v>39775</v>
      </c>
      <c r="DF133" s="161">
        <f t="shared" si="94"/>
        <v>0</v>
      </c>
      <c r="DG133" s="161">
        <f t="shared" si="95"/>
        <v>0</v>
      </c>
      <c r="DH133" s="161">
        <f t="shared" si="96"/>
        <v>10.416666666666666</v>
      </c>
      <c r="DI133" s="161">
        <f t="shared" si="97"/>
        <v>31.25</v>
      </c>
      <c r="DJ133" s="161">
        <f t="shared" si="98"/>
        <v>104.16666666666667</v>
      </c>
      <c r="DK133" s="161">
        <f t="shared" si="99"/>
        <v>20.833333333333332</v>
      </c>
      <c r="DL133" s="161">
        <f t="shared" si="100"/>
        <v>0</v>
      </c>
      <c r="DM133" s="161">
        <f t="shared" si="101"/>
        <v>0</v>
      </c>
      <c r="DN133" s="161">
        <f t="shared" si="102"/>
        <v>0</v>
      </c>
      <c r="DO133" s="161">
        <f t="shared" si="103"/>
        <v>0</v>
      </c>
      <c r="DP133" s="161">
        <f t="shared" si="104"/>
        <v>0</v>
      </c>
      <c r="DQ133" s="161">
        <f t="shared" si="105"/>
        <v>0</v>
      </c>
      <c r="DR133" s="161">
        <f t="shared" si="106"/>
        <v>0</v>
      </c>
      <c r="DS133" s="161">
        <f t="shared" si="107"/>
        <v>0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2"/>
        <v>166.66666666666669</v>
      </c>
      <c r="EL133" s="149"/>
      <c r="EN133" s="146"/>
      <c r="EO133" s="146"/>
      <c r="EP133" s="139">
        <f t="shared" si="133"/>
        <v>0</v>
      </c>
      <c r="EQ133" s="139">
        <f t="shared" si="134"/>
        <v>0</v>
      </c>
      <c r="ER133" s="139">
        <f t="shared" si="135"/>
        <v>0.65628788342888167</v>
      </c>
      <c r="ES133" s="139">
        <f t="shared" si="136"/>
        <v>5.8277630350471927</v>
      </c>
      <c r="ET133" s="139">
        <f t="shared" si="137"/>
        <v>41.953050120835101</v>
      </c>
      <c r="EU133" s="139">
        <f t="shared" si="138"/>
        <v>15.246181045812996</v>
      </c>
      <c r="EV133" s="139">
        <f t="shared" si="139"/>
        <v>0</v>
      </c>
      <c r="EW133" s="139">
        <f t="shared" si="140"/>
        <v>0</v>
      </c>
      <c r="EX133" s="139">
        <f t="shared" si="141"/>
        <v>0</v>
      </c>
      <c r="EY133" s="139">
        <f t="shared" si="142"/>
        <v>0</v>
      </c>
      <c r="EZ133" s="139">
        <f t="shared" si="143"/>
        <v>0</v>
      </c>
      <c r="FA133" s="139">
        <f t="shared" si="144"/>
        <v>0</v>
      </c>
      <c r="FB133" s="139">
        <f t="shared" si="145"/>
        <v>0</v>
      </c>
      <c r="FC133" s="139">
        <f t="shared" si="146"/>
        <v>0</v>
      </c>
      <c r="FD133" s="139">
        <f t="shared" si="147"/>
        <v>0</v>
      </c>
      <c r="FE133" s="139">
        <f t="shared" si="148"/>
        <v>0</v>
      </c>
      <c r="FF133" s="139">
        <f t="shared" si="149"/>
        <v>0</v>
      </c>
      <c r="FG133" s="139">
        <f t="shared" si="150"/>
        <v>0</v>
      </c>
      <c r="FH133" s="139">
        <f t="shared" si="151"/>
        <v>0</v>
      </c>
      <c r="FI133" s="139">
        <f t="shared" si="152"/>
        <v>0</v>
      </c>
      <c r="FJ133" s="139">
        <f t="shared" si="153"/>
        <v>0</v>
      </c>
      <c r="FK133" s="139">
        <f t="shared" si="154"/>
        <v>0</v>
      </c>
      <c r="FL133" s="139">
        <f t="shared" si="155"/>
        <v>0</v>
      </c>
      <c r="FM133" s="139">
        <f t="shared" si="156"/>
        <v>0</v>
      </c>
      <c r="FN133" s="139">
        <f t="shared" si="157"/>
        <v>0</v>
      </c>
      <c r="FO133" s="139">
        <f t="shared" si="158"/>
        <v>0</v>
      </c>
      <c r="FP133" s="139">
        <f t="shared" si="159"/>
        <v>0</v>
      </c>
      <c r="FQ133" s="139">
        <f t="shared" si="160"/>
        <v>0</v>
      </c>
      <c r="FR133" s="139">
        <f t="shared" si="161"/>
        <v>0</v>
      </c>
      <c r="FS133" s="139">
        <f t="shared" si="162"/>
        <v>0</v>
      </c>
      <c r="FT133" s="139">
        <f t="shared" si="163"/>
        <v>0</v>
      </c>
      <c r="FU133" s="148">
        <f t="shared" si="164"/>
        <v>63.683282085124169</v>
      </c>
      <c r="FV133" s="149"/>
      <c r="FY133" s="211">
        <v>128</v>
      </c>
      <c r="FZ133">
        <v>1.376324178640866</v>
      </c>
      <c r="GA133">
        <v>8.9091580004431901</v>
      </c>
      <c r="GB133">
        <v>11.565281689674967</v>
      </c>
      <c r="GC133">
        <v>10.49803570949128</v>
      </c>
      <c r="GD133">
        <v>10.549285771024675</v>
      </c>
      <c r="GE133">
        <v>25.454055170983416</v>
      </c>
      <c r="GF133">
        <v>33.670496571911016</v>
      </c>
      <c r="GG133">
        <v>18.921472876999545</v>
      </c>
      <c r="GH133">
        <v>11.396745124691469</v>
      </c>
      <c r="GI133">
        <v>17.650818085898692</v>
      </c>
      <c r="GJ133"/>
      <c r="GK133"/>
      <c r="GL133"/>
      <c r="GM133"/>
    </row>
    <row r="134" spans="1:195" s="7" customFormat="1">
      <c r="A134" s="1"/>
      <c r="B134" s="76">
        <f t="shared" ca="1" si="131"/>
        <v>0.21212724047087672</v>
      </c>
      <c r="C134">
        <v>7</v>
      </c>
      <c r="D134">
        <v>39775</v>
      </c>
      <c r="E134">
        <v>0</v>
      </c>
      <c r="F134">
        <v>0</v>
      </c>
      <c r="G134">
        <v>23.148148148148149</v>
      </c>
      <c r="H134">
        <v>14.204545454545453</v>
      </c>
      <c r="I134">
        <v>184.65909090909091</v>
      </c>
      <c r="J134">
        <v>71.022727272727266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72.011789378244444</v>
      </c>
      <c r="AO134">
        <v>27.301884726197954</v>
      </c>
      <c r="AP134">
        <v>178.23241675419953</v>
      </c>
      <c r="AQ134">
        <v>156.09259245402984</v>
      </c>
      <c r="AR134">
        <v>24.824923850319781</v>
      </c>
      <c r="AS134">
        <v>115.92290598805796</v>
      </c>
      <c r="AT134">
        <v>19.303416906961548</v>
      </c>
      <c r="AU134">
        <v>37.080555036478103</v>
      </c>
      <c r="AV134"/>
      <c r="AW134"/>
      <c r="AX134" s="146"/>
      <c r="AY134" s="76">
        <f t="shared" ca="1" si="87"/>
        <v>0.22471224838858306</v>
      </c>
      <c r="AZ134">
        <v>7</v>
      </c>
      <c r="BA134" s="129">
        <f t="shared" si="166"/>
        <v>39775</v>
      </c>
      <c r="BB134">
        <v>0</v>
      </c>
      <c r="BC134">
        <v>0</v>
      </c>
      <c r="BD134">
        <v>0</v>
      </c>
      <c r="BE134">
        <v>1</v>
      </c>
      <c r="BF134">
        <v>13</v>
      </c>
      <c r="BG134">
        <v>5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89"/>
        <v>0.94958247338698976</v>
      </c>
      <c r="CL134" s="179">
        <f t="shared" si="90"/>
        <v>7</v>
      </c>
      <c r="CM134" s="180">
        <f t="shared" si="91"/>
        <v>39775</v>
      </c>
      <c r="CN134">
        <v>0</v>
      </c>
      <c r="CO134">
        <v>0</v>
      </c>
      <c r="CP134">
        <v>1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0.90100768932872999</v>
      </c>
      <c r="DD134">
        <f t="shared" si="93"/>
        <v>7</v>
      </c>
      <c r="DE134" s="129">
        <f t="shared" si="165"/>
        <v>39775</v>
      </c>
      <c r="DF134" s="161">
        <f t="shared" si="94"/>
        <v>0</v>
      </c>
      <c r="DG134" s="161">
        <f t="shared" si="95"/>
        <v>0</v>
      </c>
      <c r="DH134" s="161">
        <f t="shared" si="96"/>
        <v>23.148148148148149</v>
      </c>
      <c r="DI134" s="161">
        <f t="shared" si="97"/>
        <v>14.204545454545453</v>
      </c>
      <c r="DJ134" s="161">
        <f t="shared" si="98"/>
        <v>184.65909090909091</v>
      </c>
      <c r="DK134" s="161">
        <f t="shared" si="99"/>
        <v>71.022727272727266</v>
      </c>
      <c r="DL134" s="161">
        <f t="shared" si="100"/>
        <v>0</v>
      </c>
      <c r="DM134" s="161">
        <f t="shared" si="101"/>
        <v>0</v>
      </c>
      <c r="DN134" s="161">
        <f t="shared" si="102"/>
        <v>0</v>
      </c>
      <c r="DO134" s="161">
        <f t="shared" si="103"/>
        <v>0</v>
      </c>
      <c r="DP134" s="161">
        <f t="shared" si="104"/>
        <v>0</v>
      </c>
      <c r="DQ134" s="161">
        <f t="shared" si="105"/>
        <v>0</v>
      </c>
      <c r="DR134" s="161">
        <f t="shared" si="106"/>
        <v>0</v>
      </c>
      <c r="DS134" s="161">
        <f t="shared" si="107"/>
        <v>0</v>
      </c>
      <c r="DT134" s="161">
        <f t="shared" si="108"/>
        <v>0</v>
      </c>
      <c r="DU134" s="161">
        <f t="shared" si="109"/>
        <v>0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2"/>
        <v>293.03451178451178</v>
      </c>
      <c r="EL134" s="149"/>
      <c r="EN134" s="146"/>
      <c r="EO134" s="146"/>
      <c r="EP134" s="139">
        <f t="shared" si="133"/>
        <v>0</v>
      </c>
      <c r="EQ134" s="139">
        <f t="shared" si="134"/>
        <v>0</v>
      </c>
      <c r="ER134" s="139">
        <f t="shared" si="135"/>
        <v>1.4584175187308484</v>
      </c>
      <c r="ES134" s="139">
        <f t="shared" si="136"/>
        <v>2.6489831977487239</v>
      </c>
      <c r="ET134" s="139">
        <f t="shared" si="137"/>
        <v>74.371316123298584</v>
      </c>
      <c r="EU134" s="139">
        <f t="shared" si="138"/>
        <v>51.97561720163521</v>
      </c>
      <c r="EV134" s="139">
        <f t="shared" si="139"/>
        <v>0</v>
      </c>
      <c r="EW134" s="139">
        <f t="shared" si="140"/>
        <v>0</v>
      </c>
      <c r="EX134" s="139">
        <f t="shared" si="141"/>
        <v>0</v>
      </c>
      <c r="EY134" s="139">
        <f t="shared" si="142"/>
        <v>0</v>
      </c>
      <c r="EZ134" s="139">
        <f t="shared" si="143"/>
        <v>0</v>
      </c>
      <c r="FA134" s="139">
        <f t="shared" si="144"/>
        <v>0</v>
      </c>
      <c r="FB134" s="139">
        <f t="shared" si="145"/>
        <v>0</v>
      </c>
      <c r="FC134" s="139">
        <f t="shared" si="146"/>
        <v>0</v>
      </c>
      <c r="FD134" s="139">
        <f t="shared" si="147"/>
        <v>0</v>
      </c>
      <c r="FE134" s="139">
        <f t="shared" si="148"/>
        <v>0</v>
      </c>
      <c r="FF134" s="139">
        <f t="shared" si="149"/>
        <v>0</v>
      </c>
      <c r="FG134" s="139">
        <f t="shared" si="150"/>
        <v>0</v>
      </c>
      <c r="FH134" s="139">
        <f t="shared" si="151"/>
        <v>0</v>
      </c>
      <c r="FI134" s="139">
        <f t="shared" si="152"/>
        <v>0</v>
      </c>
      <c r="FJ134" s="139">
        <f t="shared" si="153"/>
        <v>0</v>
      </c>
      <c r="FK134" s="139">
        <f t="shared" si="154"/>
        <v>0</v>
      </c>
      <c r="FL134" s="139">
        <f t="shared" si="155"/>
        <v>0</v>
      </c>
      <c r="FM134" s="139">
        <f t="shared" si="156"/>
        <v>0</v>
      </c>
      <c r="FN134" s="139">
        <f t="shared" si="157"/>
        <v>0</v>
      </c>
      <c r="FO134" s="139">
        <f t="shared" si="158"/>
        <v>0</v>
      </c>
      <c r="FP134" s="139">
        <f t="shared" si="159"/>
        <v>0</v>
      </c>
      <c r="FQ134" s="139">
        <f t="shared" si="160"/>
        <v>0</v>
      </c>
      <c r="FR134" s="139">
        <f t="shared" si="161"/>
        <v>0</v>
      </c>
      <c r="FS134" s="139">
        <f t="shared" si="162"/>
        <v>0</v>
      </c>
      <c r="FT134" s="139">
        <f t="shared" si="163"/>
        <v>0</v>
      </c>
      <c r="FU134" s="148">
        <f t="shared" si="164"/>
        <v>130.45433404141338</v>
      </c>
      <c r="FV134" s="149"/>
      <c r="FY134" s="211">
        <v>129</v>
      </c>
      <c r="FZ134">
        <v>1.5353413473994999</v>
      </c>
      <c r="GA134">
        <v>16.263769792737381</v>
      </c>
      <c r="GB134">
        <v>14.991749588345696</v>
      </c>
      <c r="GC134">
        <v>12.531497404721531</v>
      </c>
      <c r="GD134">
        <v>11.804451826723584</v>
      </c>
      <c r="GE134">
        <v>15.495849678513931</v>
      </c>
      <c r="GF134">
        <v>21.735729910312138</v>
      </c>
      <c r="GG134">
        <v>27.646166580547778</v>
      </c>
      <c r="GH134">
        <v>20.174164744610916</v>
      </c>
      <c r="GI134">
        <v>18.425676351951008</v>
      </c>
      <c r="GJ134"/>
      <c r="GK134"/>
      <c r="GL134"/>
      <c r="GM134"/>
    </row>
    <row r="135" spans="1:195" s="7" customFormat="1">
      <c r="A135" s="1"/>
      <c r="B135" s="76">
        <f t="shared" ca="1" si="131"/>
        <v>6.4440638254072979E-2</v>
      </c>
      <c r="C135">
        <v>3</v>
      </c>
      <c r="D135">
        <v>39775</v>
      </c>
      <c r="E135">
        <v>0</v>
      </c>
      <c r="F135">
        <v>0</v>
      </c>
      <c r="G135">
        <v>208.33333333333334</v>
      </c>
      <c r="H135">
        <v>0</v>
      </c>
      <c r="I135">
        <v>31.25</v>
      </c>
      <c r="J135">
        <v>10.416666666666666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76.864842748089387</v>
      </c>
      <c r="AO135">
        <v>32.896896048231547</v>
      </c>
      <c r="AP135">
        <v>239.9473107748473</v>
      </c>
      <c r="AQ135">
        <v>194.80785983851527</v>
      </c>
      <c r="AR135">
        <v>30.271507143128872</v>
      </c>
      <c r="AS135">
        <v>141.30585624628301</v>
      </c>
      <c r="AT135">
        <v>23.032678495470662</v>
      </c>
      <c r="AU135">
        <v>-30.416041720713988</v>
      </c>
      <c r="AV135"/>
      <c r="AW135"/>
      <c r="AX135" s="146"/>
      <c r="AY135" s="76">
        <f t="shared" ca="1" si="87"/>
        <v>0.85172348123512354</v>
      </c>
      <c r="AZ135">
        <v>8</v>
      </c>
      <c r="BA135" s="129">
        <f t="shared" si="166"/>
        <v>39775</v>
      </c>
      <c r="BB135">
        <v>0</v>
      </c>
      <c r="BC135">
        <v>0</v>
      </c>
      <c r="BD135">
        <v>0</v>
      </c>
      <c r="BE135">
        <v>0</v>
      </c>
      <c r="BF135">
        <v>2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89"/>
        <v>0.91096413906270168</v>
      </c>
      <c r="CL135" s="179">
        <f t="shared" si="90"/>
        <v>8</v>
      </c>
      <c r="CM135" s="180">
        <f t="shared" si="91"/>
        <v>39775</v>
      </c>
      <c r="CN135">
        <v>0</v>
      </c>
      <c r="CO135">
        <v>0</v>
      </c>
      <c r="CP135">
        <v>1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0.53075020517796045</v>
      </c>
      <c r="DD135">
        <f t="shared" si="93"/>
        <v>8</v>
      </c>
      <c r="DE135" s="129">
        <f t="shared" si="165"/>
        <v>39775</v>
      </c>
      <c r="DF135" s="161">
        <f t="shared" si="94"/>
        <v>0</v>
      </c>
      <c r="DG135" s="161">
        <f t="shared" si="95"/>
        <v>0</v>
      </c>
      <c r="DH135" s="161">
        <f t="shared" si="96"/>
        <v>52.083333333333336</v>
      </c>
      <c r="DI135" s="161">
        <f t="shared" si="97"/>
        <v>0</v>
      </c>
      <c r="DJ135" s="161">
        <f t="shared" si="98"/>
        <v>69.444444444444443</v>
      </c>
      <c r="DK135" s="161">
        <f t="shared" si="99"/>
        <v>0</v>
      </c>
      <c r="DL135" s="161">
        <f t="shared" si="100"/>
        <v>0</v>
      </c>
      <c r="DM135" s="161">
        <f t="shared" si="101"/>
        <v>0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0</v>
      </c>
      <c r="DR135" s="161">
        <f t="shared" si="106"/>
        <v>0</v>
      </c>
      <c r="DS135" s="161">
        <f t="shared" si="107"/>
        <v>0</v>
      </c>
      <c r="DT135" s="161">
        <f t="shared" si="108"/>
        <v>0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2"/>
        <v>121.52777777777777</v>
      </c>
      <c r="EL135" s="149"/>
      <c r="EN135" s="146"/>
      <c r="EO135" s="146"/>
      <c r="EP135" s="139">
        <f t="shared" si="133"/>
        <v>0</v>
      </c>
      <c r="EQ135" s="139">
        <f t="shared" si="134"/>
        <v>0</v>
      </c>
      <c r="ER135" s="139">
        <f t="shared" si="135"/>
        <v>3.281439417144409</v>
      </c>
      <c r="ES135" s="139">
        <f t="shared" si="136"/>
        <v>0</v>
      </c>
      <c r="ET135" s="139">
        <f t="shared" si="137"/>
        <v>27.968700080556733</v>
      </c>
      <c r="EU135" s="139">
        <f t="shared" si="138"/>
        <v>0</v>
      </c>
      <c r="EV135" s="139">
        <f t="shared" si="139"/>
        <v>0</v>
      </c>
      <c r="EW135" s="139">
        <f t="shared" si="140"/>
        <v>0</v>
      </c>
      <c r="EX135" s="139">
        <f t="shared" si="141"/>
        <v>0</v>
      </c>
      <c r="EY135" s="139">
        <f t="shared" si="142"/>
        <v>0</v>
      </c>
      <c r="EZ135" s="139">
        <f t="shared" si="143"/>
        <v>0</v>
      </c>
      <c r="FA135" s="139">
        <f t="shared" si="144"/>
        <v>0</v>
      </c>
      <c r="FB135" s="139">
        <f t="shared" si="145"/>
        <v>0</v>
      </c>
      <c r="FC135" s="139">
        <f t="shared" si="146"/>
        <v>0</v>
      </c>
      <c r="FD135" s="139">
        <f t="shared" si="147"/>
        <v>0</v>
      </c>
      <c r="FE135" s="139">
        <f t="shared" si="148"/>
        <v>0</v>
      </c>
      <c r="FF135" s="139">
        <f t="shared" si="149"/>
        <v>0</v>
      </c>
      <c r="FG135" s="139">
        <f t="shared" si="150"/>
        <v>0</v>
      </c>
      <c r="FH135" s="139">
        <f t="shared" si="151"/>
        <v>0</v>
      </c>
      <c r="FI135" s="139">
        <f t="shared" si="152"/>
        <v>0</v>
      </c>
      <c r="FJ135" s="139">
        <f t="shared" si="153"/>
        <v>0</v>
      </c>
      <c r="FK135" s="139">
        <f t="shared" si="154"/>
        <v>0</v>
      </c>
      <c r="FL135" s="139">
        <f t="shared" si="155"/>
        <v>0</v>
      </c>
      <c r="FM135" s="139">
        <f t="shared" si="156"/>
        <v>0</v>
      </c>
      <c r="FN135" s="139">
        <f t="shared" si="157"/>
        <v>0</v>
      </c>
      <c r="FO135" s="139">
        <f t="shared" si="158"/>
        <v>0</v>
      </c>
      <c r="FP135" s="139">
        <f t="shared" si="159"/>
        <v>0</v>
      </c>
      <c r="FQ135" s="139">
        <f t="shared" si="160"/>
        <v>0</v>
      </c>
      <c r="FR135" s="139">
        <f t="shared" si="161"/>
        <v>0</v>
      </c>
      <c r="FS135" s="139">
        <f t="shared" si="162"/>
        <v>0</v>
      </c>
      <c r="FT135" s="139">
        <f t="shared" si="163"/>
        <v>0</v>
      </c>
      <c r="FU135" s="148">
        <f t="shared" si="164"/>
        <v>31.250139497701142</v>
      </c>
      <c r="FV135" s="149"/>
      <c r="FY135" s="211">
        <v>130</v>
      </c>
      <c r="FZ135">
        <v>4.1305276178741428</v>
      </c>
      <c r="GA135">
        <v>12.773268709107366</v>
      </c>
      <c r="GB135">
        <v>8.9334179100675044</v>
      </c>
      <c r="GC135">
        <v>7.3621022303428312</v>
      </c>
      <c r="GD135">
        <v>9.7497143453704673</v>
      </c>
      <c r="GE135">
        <v>23.530554831715516</v>
      </c>
      <c r="GF135">
        <v>28.21138047181719</v>
      </c>
      <c r="GG135">
        <v>10.970564477843265</v>
      </c>
      <c r="GH135">
        <v>2.8613950730553861</v>
      </c>
      <c r="GI135">
        <v>14.550240454287907</v>
      </c>
      <c r="GJ135"/>
      <c r="GK135"/>
      <c r="GL135"/>
      <c r="GM135"/>
    </row>
    <row r="136" spans="1:195" s="7" customFormat="1">
      <c r="A136" s="1"/>
      <c r="B136" s="76">
        <f t="shared" ca="1" si="131"/>
        <v>0.38273172047529336</v>
      </c>
      <c r="C136">
        <v>5</v>
      </c>
      <c r="D136">
        <v>39775</v>
      </c>
      <c r="E136">
        <v>0</v>
      </c>
      <c r="F136">
        <v>0</v>
      </c>
      <c r="G136">
        <v>59.523809523809526</v>
      </c>
      <c r="H136">
        <v>0</v>
      </c>
      <c r="I136">
        <v>10.416666666666666</v>
      </c>
      <c r="J136">
        <v>10.416666666666666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75.910519881859202</v>
      </c>
      <c r="AO136">
        <v>31.868093462544675</v>
      </c>
      <c r="AP136">
        <v>194.88972665413905</v>
      </c>
      <c r="AQ136">
        <v>172.41668943813798</v>
      </c>
      <c r="AR136">
        <v>29.189466491901637</v>
      </c>
      <c r="AS136">
        <v>140.05881926341962</v>
      </c>
      <c r="AT136">
        <v>22.100553831319072</v>
      </c>
      <c r="AU136">
        <v>37.369784101262965</v>
      </c>
      <c r="AV136"/>
      <c r="AW136"/>
      <c r="AX136" s="146"/>
      <c r="AY136" s="76">
        <f t="shared" ca="1" si="87"/>
        <v>0.23952106280868346</v>
      </c>
      <c r="AZ136">
        <v>9</v>
      </c>
      <c r="BA136" s="129">
        <f t="shared" si="166"/>
        <v>39775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89"/>
        <v>0.56125548928949964</v>
      </c>
      <c r="CL136" s="179">
        <f t="shared" si="90"/>
        <v>9</v>
      </c>
      <c r="CM136" s="180">
        <f t="shared" si="91"/>
        <v>39775</v>
      </c>
      <c r="CN136" s="207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0.84134659329866857</v>
      </c>
      <c r="DD136">
        <f t="shared" si="93"/>
        <v>9</v>
      </c>
      <c r="DE136" s="129">
        <f t="shared" si="165"/>
        <v>39775</v>
      </c>
      <c r="DF136" s="161">
        <f t="shared" si="94"/>
        <v>0</v>
      </c>
      <c r="DG136" s="161">
        <f t="shared" si="95"/>
        <v>0</v>
      </c>
      <c r="DH136" s="161">
        <f t="shared" si="96"/>
        <v>0</v>
      </c>
      <c r="DI136" s="161">
        <f t="shared" si="97"/>
        <v>0</v>
      </c>
      <c r="DJ136" s="161">
        <f t="shared" si="98"/>
        <v>0</v>
      </c>
      <c r="DK136" s="161">
        <f t="shared" si="99"/>
        <v>0</v>
      </c>
      <c r="DL136" s="161">
        <f t="shared" si="100"/>
        <v>0</v>
      </c>
      <c r="DM136" s="161">
        <f t="shared" si="101"/>
        <v>0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0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2"/>
        <v>0</v>
      </c>
      <c r="EL136" s="149"/>
      <c r="EN136" s="146"/>
      <c r="EO136" s="146"/>
      <c r="EP136" s="139">
        <f t="shared" si="133"/>
        <v>0</v>
      </c>
      <c r="EQ136" s="139">
        <f t="shared" si="134"/>
        <v>0</v>
      </c>
      <c r="ER136" s="139">
        <f t="shared" si="135"/>
        <v>0</v>
      </c>
      <c r="ES136" s="139">
        <f t="shared" si="136"/>
        <v>0</v>
      </c>
      <c r="ET136" s="139">
        <f t="shared" si="137"/>
        <v>0</v>
      </c>
      <c r="EU136" s="139">
        <f t="shared" si="138"/>
        <v>0</v>
      </c>
      <c r="EV136" s="139">
        <f t="shared" si="139"/>
        <v>0</v>
      </c>
      <c r="EW136" s="139">
        <f t="shared" si="140"/>
        <v>0</v>
      </c>
      <c r="EX136" s="139">
        <f t="shared" si="141"/>
        <v>0</v>
      </c>
      <c r="EY136" s="139">
        <f t="shared" si="142"/>
        <v>0</v>
      </c>
      <c r="EZ136" s="139">
        <f t="shared" si="143"/>
        <v>0</v>
      </c>
      <c r="FA136" s="139">
        <f t="shared" si="144"/>
        <v>0</v>
      </c>
      <c r="FB136" s="139">
        <f t="shared" si="145"/>
        <v>0</v>
      </c>
      <c r="FC136" s="139">
        <f t="shared" si="146"/>
        <v>0</v>
      </c>
      <c r="FD136" s="139">
        <f t="shared" si="147"/>
        <v>0</v>
      </c>
      <c r="FE136" s="139">
        <f t="shared" si="148"/>
        <v>0</v>
      </c>
      <c r="FF136" s="139">
        <f t="shared" si="149"/>
        <v>0</v>
      </c>
      <c r="FG136" s="139">
        <f t="shared" si="150"/>
        <v>0</v>
      </c>
      <c r="FH136" s="139">
        <f t="shared" si="151"/>
        <v>0</v>
      </c>
      <c r="FI136" s="139">
        <f t="shared" si="152"/>
        <v>0</v>
      </c>
      <c r="FJ136" s="139">
        <f t="shared" si="153"/>
        <v>0</v>
      </c>
      <c r="FK136" s="139">
        <f t="shared" si="154"/>
        <v>0</v>
      </c>
      <c r="FL136" s="139">
        <f t="shared" si="155"/>
        <v>0</v>
      </c>
      <c r="FM136" s="139">
        <f t="shared" si="156"/>
        <v>0</v>
      </c>
      <c r="FN136" s="139">
        <f t="shared" si="157"/>
        <v>0</v>
      </c>
      <c r="FO136" s="139">
        <f t="shared" si="158"/>
        <v>0</v>
      </c>
      <c r="FP136" s="139">
        <f t="shared" si="159"/>
        <v>0</v>
      </c>
      <c r="FQ136" s="139">
        <f t="shared" si="160"/>
        <v>0</v>
      </c>
      <c r="FR136" s="139">
        <f t="shared" si="161"/>
        <v>0</v>
      </c>
      <c r="FS136" s="139">
        <f t="shared" si="162"/>
        <v>0</v>
      </c>
      <c r="FT136" s="139">
        <f t="shared" si="163"/>
        <v>0</v>
      </c>
      <c r="FU136" s="148">
        <f t="shared" si="164"/>
        <v>0</v>
      </c>
      <c r="FV136" s="149"/>
      <c r="FY136" s="211">
        <v>131</v>
      </c>
      <c r="FZ136">
        <v>5.0743991409531874</v>
      </c>
      <c r="GA136">
        <v>25.673734072596798</v>
      </c>
      <c r="GB136">
        <v>21.184772840208634</v>
      </c>
      <c r="GC136">
        <v>14.444201027034078</v>
      </c>
      <c r="GD136">
        <v>10.396460451589526</v>
      </c>
      <c r="GE136">
        <v>12.966916304204942</v>
      </c>
      <c r="GF136">
        <v>17.351862810780222</v>
      </c>
      <c r="GG136">
        <v>10.243664080409573</v>
      </c>
      <c r="GH136">
        <v>3.5637187185207417</v>
      </c>
      <c r="GI136">
        <v>16.091957597603361</v>
      </c>
      <c r="GJ136"/>
      <c r="GK136"/>
      <c r="GL136"/>
      <c r="GM136"/>
    </row>
    <row r="137" spans="1:195" s="7" customFormat="1">
      <c r="A137" s="1"/>
      <c r="B137" s="76">
        <f t="shared" ca="1" si="131"/>
        <v>0.8271140179305343</v>
      </c>
      <c r="C137">
        <v>2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10.416666666666666</v>
      </c>
      <c r="J137">
        <v>20.833333333333332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55.602068973439927</v>
      </c>
      <c r="AO137">
        <v>23.284752383594224</v>
      </c>
      <c r="AP137">
        <v>141.13378762209132</v>
      </c>
      <c r="AQ137">
        <v>128.37227536866794</v>
      </c>
      <c r="AR137">
        <v>21.594689339053197</v>
      </c>
      <c r="AS137">
        <v>99.993832242861814</v>
      </c>
      <c r="AT137">
        <v>16.213531002037715</v>
      </c>
      <c r="AU137">
        <v>10.463716572606367</v>
      </c>
      <c r="AV137"/>
      <c r="AW137"/>
      <c r="AX137" s="146"/>
      <c r="AY137" s="76">
        <f t="shared" ca="1" si="87"/>
        <v>0.81388896721833603</v>
      </c>
      <c r="AZ137">
        <v>10</v>
      </c>
      <c r="BA137" s="129">
        <f t="shared" si="166"/>
        <v>39775</v>
      </c>
      <c r="BB137">
        <v>0</v>
      </c>
      <c r="BC137">
        <v>0</v>
      </c>
      <c r="BD137">
        <v>0</v>
      </c>
      <c r="BE137">
        <v>1</v>
      </c>
      <c r="BF137">
        <v>5</v>
      </c>
      <c r="BG137">
        <v>5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89"/>
        <v>0.77769948934620592</v>
      </c>
      <c r="CL137" s="179">
        <f t="shared" si="90"/>
        <v>10</v>
      </c>
      <c r="CM137" s="180">
        <f t="shared" si="91"/>
        <v>39775</v>
      </c>
      <c r="CN137" s="225">
        <v>0</v>
      </c>
      <c r="CO137" s="225">
        <v>0</v>
      </c>
      <c r="CP137" s="225">
        <v>1</v>
      </c>
      <c r="CQ137" s="225">
        <v>0</v>
      </c>
      <c r="CR137" s="225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0.42834080162169119</v>
      </c>
      <c r="DD137">
        <f t="shared" si="93"/>
        <v>10</v>
      </c>
      <c r="DE137" s="129">
        <f t="shared" si="165"/>
        <v>39775</v>
      </c>
      <c r="DF137" s="161">
        <f t="shared" si="94"/>
        <v>0</v>
      </c>
      <c r="DG137" s="161">
        <f t="shared" si="95"/>
        <v>0</v>
      </c>
      <c r="DH137" s="161">
        <f t="shared" si="96"/>
        <v>10.416666666666666</v>
      </c>
      <c r="DI137" s="161">
        <f t="shared" si="97"/>
        <v>10.416666666666666</v>
      </c>
      <c r="DJ137" s="161">
        <f t="shared" si="98"/>
        <v>52.083333333333336</v>
      </c>
      <c r="DK137" s="161">
        <f t="shared" si="99"/>
        <v>52.083333333333336</v>
      </c>
      <c r="DL137" s="161">
        <f t="shared" si="100"/>
        <v>0</v>
      </c>
      <c r="DM137" s="161">
        <f t="shared" si="101"/>
        <v>0</v>
      </c>
      <c r="DN137" s="161">
        <f t="shared" si="102"/>
        <v>0</v>
      </c>
      <c r="DO137" s="161">
        <f t="shared" si="103"/>
        <v>0</v>
      </c>
      <c r="DP137" s="161">
        <f t="shared" si="104"/>
        <v>0</v>
      </c>
      <c r="DQ137" s="161">
        <f t="shared" si="105"/>
        <v>0</v>
      </c>
      <c r="DR137" s="161">
        <f t="shared" si="106"/>
        <v>0</v>
      </c>
      <c r="DS137" s="161">
        <f t="shared" si="107"/>
        <v>0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2"/>
        <v>125</v>
      </c>
      <c r="EL137" s="149"/>
      <c r="EN137" s="146"/>
      <c r="EO137" s="146"/>
      <c r="EP137" s="139">
        <f t="shared" si="133"/>
        <v>0</v>
      </c>
      <c r="EQ137" s="139">
        <f t="shared" si="134"/>
        <v>0</v>
      </c>
      <c r="ER137" s="139">
        <f t="shared" si="135"/>
        <v>0.65628788342888167</v>
      </c>
      <c r="ES137" s="139">
        <f t="shared" si="136"/>
        <v>1.9425876783490643</v>
      </c>
      <c r="ET137" s="139">
        <f t="shared" si="137"/>
        <v>20.976525060417551</v>
      </c>
      <c r="EU137" s="139">
        <f t="shared" si="138"/>
        <v>38.115452614532494</v>
      </c>
      <c r="EV137" s="139">
        <f t="shared" si="139"/>
        <v>0</v>
      </c>
      <c r="EW137" s="139">
        <f t="shared" si="140"/>
        <v>0</v>
      </c>
      <c r="EX137" s="139">
        <f t="shared" si="141"/>
        <v>0</v>
      </c>
      <c r="EY137" s="139">
        <f t="shared" si="142"/>
        <v>0</v>
      </c>
      <c r="EZ137" s="139">
        <f t="shared" si="143"/>
        <v>0</v>
      </c>
      <c r="FA137" s="139">
        <f t="shared" si="144"/>
        <v>0</v>
      </c>
      <c r="FB137" s="139">
        <f t="shared" si="145"/>
        <v>0</v>
      </c>
      <c r="FC137" s="139">
        <f t="shared" si="146"/>
        <v>0</v>
      </c>
      <c r="FD137" s="139">
        <f t="shared" si="147"/>
        <v>0</v>
      </c>
      <c r="FE137" s="139">
        <f t="shared" si="148"/>
        <v>0</v>
      </c>
      <c r="FF137" s="139">
        <f t="shared" si="149"/>
        <v>0</v>
      </c>
      <c r="FG137" s="139">
        <f t="shared" si="150"/>
        <v>0</v>
      </c>
      <c r="FH137" s="139">
        <f t="shared" si="151"/>
        <v>0</v>
      </c>
      <c r="FI137" s="139">
        <f t="shared" si="152"/>
        <v>0</v>
      </c>
      <c r="FJ137" s="139">
        <f t="shared" si="153"/>
        <v>0</v>
      </c>
      <c r="FK137" s="139">
        <f t="shared" si="154"/>
        <v>0</v>
      </c>
      <c r="FL137" s="139">
        <f t="shared" si="155"/>
        <v>0</v>
      </c>
      <c r="FM137" s="139">
        <f t="shared" si="156"/>
        <v>0</v>
      </c>
      <c r="FN137" s="139">
        <f t="shared" si="157"/>
        <v>0</v>
      </c>
      <c r="FO137" s="139">
        <f t="shared" si="158"/>
        <v>0</v>
      </c>
      <c r="FP137" s="139">
        <f t="shared" si="159"/>
        <v>0</v>
      </c>
      <c r="FQ137" s="139">
        <f t="shared" si="160"/>
        <v>0</v>
      </c>
      <c r="FR137" s="139">
        <f t="shared" si="161"/>
        <v>0</v>
      </c>
      <c r="FS137" s="139">
        <f t="shared" si="162"/>
        <v>0</v>
      </c>
      <c r="FT137" s="139">
        <f t="shared" si="163"/>
        <v>0</v>
      </c>
      <c r="FU137" s="148">
        <f t="shared" si="164"/>
        <v>61.690853236727989</v>
      </c>
      <c r="FV137" s="149"/>
      <c r="FY137" s="211">
        <v>132</v>
      </c>
      <c r="FZ137">
        <v>3.779426037054316</v>
      </c>
      <c r="GA137">
        <v>22.476805343366099</v>
      </c>
      <c r="GB137">
        <v>20.448499703199651</v>
      </c>
      <c r="GC137">
        <v>9.9390129631491835</v>
      </c>
      <c r="GD137">
        <v>7.600506029442391</v>
      </c>
      <c r="GE137">
        <v>17.652277978246136</v>
      </c>
      <c r="GF137">
        <v>23.371576999312474</v>
      </c>
      <c r="GG137">
        <v>25.860711048971847</v>
      </c>
      <c r="GH137">
        <v>23.234276400502388</v>
      </c>
      <c r="GI137">
        <v>18.381902444890748</v>
      </c>
      <c r="GJ137"/>
      <c r="GK137"/>
      <c r="GL137"/>
      <c r="GM137"/>
    </row>
    <row r="138" spans="1:195" s="7" customFormat="1">
      <c r="A138" s="128"/>
      <c r="B138" s="76">
        <f t="shared" ca="1" si="131"/>
        <v>0.10326012824719299</v>
      </c>
      <c r="C138">
        <v>3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144.23076923076923</v>
      </c>
      <c r="J138">
        <v>48.076923076923073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74.325360339242081</v>
      </c>
      <c r="AO138">
        <v>26.036998731443624</v>
      </c>
      <c r="AP138">
        <v>181.06204963736181</v>
      </c>
      <c r="AQ138">
        <v>154.60672607878058</v>
      </c>
      <c r="AR138">
        <v>23.152550191366494</v>
      </c>
      <c r="AS138">
        <v>119.62192940604243</v>
      </c>
      <c r="AT138">
        <v>18.123546101091527</v>
      </c>
      <c r="AU138">
        <v>18.861888822443074</v>
      </c>
      <c r="AV138"/>
      <c r="AW138"/>
      <c r="AX138" s="128"/>
      <c r="AY138" s="76">
        <f t="shared" ca="1" si="87"/>
        <v>0.87759987998352718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89"/>
        <v>0.86168485762060532</v>
      </c>
      <c r="CL138" s="179">
        <f t="shared" si="90"/>
        <v>1</v>
      </c>
      <c r="CM138" s="180">
        <f t="shared" si="91"/>
        <v>39799</v>
      </c>
      <c r="CN138">
        <v>0</v>
      </c>
      <c r="CO138">
        <v>0</v>
      </c>
      <c r="CP138">
        <v>0</v>
      </c>
      <c r="CQ138">
        <v>0</v>
      </c>
      <c r="CR138">
        <v>1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0.31565280962301667</v>
      </c>
      <c r="DD138">
        <f t="shared" si="93"/>
        <v>1</v>
      </c>
      <c r="DE138" s="129">
        <f t="shared" ref="DE138:DE147" si="167">IF((DD138)="","",$C$9)</f>
        <v>39799</v>
      </c>
      <c r="DF138" s="161">
        <f t="shared" si="94"/>
        <v>0</v>
      </c>
      <c r="DG138" s="161">
        <f t="shared" si="95"/>
        <v>0</v>
      </c>
      <c r="DH138" s="161">
        <f t="shared" si="96"/>
        <v>0</v>
      </c>
      <c r="DI138" s="161">
        <f t="shared" si="97"/>
        <v>0</v>
      </c>
      <c r="DJ138" s="161">
        <f t="shared" si="98"/>
        <v>83.333333333333329</v>
      </c>
      <c r="DK138" s="161">
        <f t="shared" si="99"/>
        <v>0</v>
      </c>
      <c r="DL138" s="161">
        <f t="shared" si="100"/>
        <v>0</v>
      </c>
      <c r="DM138" s="161">
        <f t="shared" si="101"/>
        <v>0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2"/>
        <v>83.333333333333329</v>
      </c>
      <c r="EL138" s="149"/>
      <c r="EN138" s="146"/>
      <c r="EO138" s="146"/>
      <c r="EP138" s="139">
        <f t="shared" si="133"/>
        <v>0</v>
      </c>
      <c r="EQ138" s="139">
        <f t="shared" si="134"/>
        <v>0</v>
      </c>
      <c r="ER138" s="139">
        <f t="shared" si="135"/>
        <v>0</v>
      </c>
      <c r="ES138" s="139">
        <f t="shared" si="136"/>
        <v>0</v>
      </c>
      <c r="ET138" s="139">
        <f t="shared" si="137"/>
        <v>33.562440096668077</v>
      </c>
      <c r="EU138" s="139">
        <f t="shared" si="138"/>
        <v>0</v>
      </c>
      <c r="EV138" s="139">
        <f t="shared" si="139"/>
        <v>0</v>
      </c>
      <c r="EW138" s="139">
        <f t="shared" si="140"/>
        <v>0</v>
      </c>
      <c r="EX138" s="139">
        <f t="shared" si="141"/>
        <v>0</v>
      </c>
      <c r="EY138" s="139">
        <f t="shared" si="142"/>
        <v>0</v>
      </c>
      <c r="EZ138" s="139">
        <f t="shared" si="143"/>
        <v>0</v>
      </c>
      <c r="FA138" s="139">
        <f t="shared" si="144"/>
        <v>0</v>
      </c>
      <c r="FB138" s="139">
        <f t="shared" si="145"/>
        <v>0</v>
      </c>
      <c r="FC138" s="139">
        <f t="shared" si="146"/>
        <v>0</v>
      </c>
      <c r="FD138" s="139">
        <f t="shared" si="147"/>
        <v>0</v>
      </c>
      <c r="FE138" s="139">
        <f t="shared" si="148"/>
        <v>0</v>
      </c>
      <c r="FF138" s="139">
        <f t="shared" si="149"/>
        <v>0</v>
      </c>
      <c r="FG138" s="139">
        <f t="shared" si="150"/>
        <v>0</v>
      </c>
      <c r="FH138" s="139">
        <f t="shared" si="151"/>
        <v>0</v>
      </c>
      <c r="FI138" s="139">
        <f t="shared" si="152"/>
        <v>0</v>
      </c>
      <c r="FJ138" s="139">
        <f t="shared" si="153"/>
        <v>0</v>
      </c>
      <c r="FK138" s="139">
        <f t="shared" si="154"/>
        <v>0</v>
      </c>
      <c r="FL138" s="139">
        <f t="shared" si="155"/>
        <v>0</v>
      </c>
      <c r="FM138" s="139">
        <f t="shared" si="156"/>
        <v>0</v>
      </c>
      <c r="FN138" s="139">
        <f t="shared" si="157"/>
        <v>0</v>
      </c>
      <c r="FO138" s="139">
        <f t="shared" si="158"/>
        <v>0</v>
      </c>
      <c r="FP138" s="139">
        <f t="shared" si="159"/>
        <v>0</v>
      </c>
      <c r="FQ138" s="139">
        <f t="shared" si="160"/>
        <v>0</v>
      </c>
      <c r="FR138" s="139">
        <f t="shared" si="161"/>
        <v>0</v>
      </c>
      <c r="FS138" s="139">
        <f t="shared" si="162"/>
        <v>0</v>
      </c>
      <c r="FT138" s="139">
        <f t="shared" si="163"/>
        <v>0</v>
      </c>
      <c r="FU138" s="148">
        <f t="shared" si="164"/>
        <v>33.562440096668077</v>
      </c>
      <c r="FV138" s="149"/>
      <c r="FY138" s="211">
        <v>133</v>
      </c>
      <c r="FZ138">
        <v>6.0679084136970811</v>
      </c>
      <c r="GA138">
        <v>19.695729922088688</v>
      </c>
      <c r="GB138">
        <v>21.779606724054066</v>
      </c>
      <c r="GC138">
        <v>14.845030076954354</v>
      </c>
      <c r="GD138">
        <v>11.895976925186924</v>
      </c>
      <c r="GE138">
        <v>23.776161177141507</v>
      </c>
      <c r="GF138">
        <v>22.040523459002316</v>
      </c>
      <c r="GG138">
        <v>11.305996400766624</v>
      </c>
      <c r="GH138">
        <v>8.1568797996083848</v>
      </c>
      <c r="GI138">
        <v>18.951608801895201</v>
      </c>
      <c r="GJ138"/>
      <c r="GK138"/>
      <c r="GL138"/>
      <c r="GM138"/>
    </row>
    <row r="139" spans="1:195" s="7" customFormat="1">
      <c r="A139" s="1"/>
      <c r="B139" s="76">
        <f t="shared" ca="1" si="131"/>
        <v>0.26820321196553554</v>
      </c>
      <c r="C139">
        <v>7</v>
      </c>
      <c r="D139">
        <v>39799</v>
      </c>
      <c r="E139">
        <v>0</v>
      </c>
      <c r="F139">
        <v>0</v>
      </c>
      <c r="G139">
        <v>0</v>
      </c>
      <c r="H139">
        <v>10.416666666666666</v>
      </c>
      <c r="I139">
        <v>62.5</v>
      </c>
      <c r="J139">
        <v>20.833333333333332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87.757614830811022</v>
      </c>
      <c r="AO139">
        <v>26.978751968602989</v>
      </c>
      <c r="AP139">
        <v>193.11036722407954</v>
      </c>
      <c r="AQ139">
        <v>158.49632212511312</v>
      </c>
      <c r="AR139">
        <v>24.722181754540276</v>
      </c>
      <c r="AS139">
        <v>129.92286658127585</v>
      </c>
      <c r="AT139" t="e">
        <v>#DIV/0!</v>
      </c>
      <c r="AU139" t="e">
        <v>#DIV/0!</v>
      </c>
      <c r="AV139"/>
      <c r="AW139"/>
      <c r="AX139" s="146"/>
      <c r="AY139" s="76">
        <f t="shared" ca="1" si="87"/>
        <v>0.79792728827303971</v>
      </c>
      <c r="AZ139">
        <v>2</v>
      </c>
      <c r="BA139" s="129">
        <f t="shared" ref="BA139:BA147" si="168">IF(AZ139="", "",$C$9)</f>
        <v>39799</v>
      </c>
      <c r="BB139">
        <v>0</v>
      </c>
      <c r="BC139">
        <v>0</v>
      </c>
      <c r="BD139">
        <v>0</v>
      </c>
      <c r="BE139">
        <v>1</v>
      </c>
      <c r="BF139">
        <v>6</v>
      </c>
      <c r="BG139">
        <v>2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89"/>
        <v>0.47292574843585378</v>
      </c>
      <c r="CL139" s="179">
        <f t="shared" si="90"/>
        <v>2</v>
      </c>
      <c r="CM139" s="180">
        <f t="shared" si="91"/>
        <v>39799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0.43237759712902246</v>
      </c>
      <c r="DD139">
        <f t="shared" si="93"/>
        <v>2</v>
      </c>
      <c r="DE139" s="129">
        <f t="shared" si="167"/>
        <v>39799</v>
      </c>
      <c r="DF139" s="161">
        <f t="shared" si="94"/>
        <v>0</v>
      </c>
      <c r="DG139" s="161">
        <f t="shared" si="95"/>
        <v>0</v>
      </c>
      <c r="DH139" s="161">
        <f t="shared" si="96"/>
        <v>0</v>
      </c>
      <c r="DI139" s="161">
        <f t="shared" si="97"/>
        <v>10.416666666666666</v>
      </c>
      <c r="DJ139" s="161">
        <f t="shared" si="98"/>
        <v>62.5</v>
      </c>
      <c r="DK139" s="161">
        <f t="shared" si="99"/>
        <v>20.833333333333332</v>
      </c>
      <c r="DL139" s="161">
        <f t="shared" si="100"/>
        <v>0</v>
      </c>
      <c r="DM139" s="161">
        <f t="shared" si="101"/>
        <v>0</v>
      </c>
      <c r="DN139" s="161">
        <f t="shared" si="102"/>
        <v>0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2"/>
        <v>93.75</v>
      </c>
      <c r="EL139" s="149"/>
      <c r="EN139" s="146"/>
      <c r="EO139" s="146"/>
      <c r="EP139" s="139">
        <f t="shared" si="133"/>
        <v>0</v>
      </c>
      <c r="EQ139" s="139">
        <f t="shared" si="134"/>
        <v>0</v>
      </c>
      <c r="ER139" s="139">
        <f t="shared" si="135"/>
        <v>0</v>
      </c>
      <c r="ES139" s="139">
        <f t="shared" si="136"/>
        <v>1.9425876783490643</v>
      </c>
      <c r="ET139" s="139">
        <f t="shared" si="137"/>
        <v>25.171830072501059</v>
      </c>
      <c r="EU139" s="139">
        <f t="shared" si="138"/>
        <v>15.246181045812996</v>
      </c>
      <c r="EV139" s="139">
        <f t="shared" si="139"/>
        <v>0</v>
      </c>
      <c r="EW139" s="139">
        <f t="shared" si="140"/>
        <v>0</v>
      </c>
      <c r="EX139" s="139">
        <f t="shared" si="141"/>
        <v>0</v>
      </c>
      <c r="EY139" s="139">
        <f t="shared" si="142"/>
        <v>0</v>
      </c>
      <c r="EZ139" s="139">
        <f t="shared" si="143"/>
        <v>0</v>
      </c>
      <c r="FA139" s="139">
        <f t="shared" si="144"/>
        <v>0</v>
      </c>
      <c r="FB139" s="139">
        <f t="shared" si="145"/>
        <v>0</v>
      </c>
      <c r="FC139" s="139">
        <f t="shared" si="146"/>
        <v>0</v>
      </c>
      <c r="FD139" s="139">
        <f t="shared" si="147"/>
        <v>0</v>
      </c>
      <c r="FE139" s="139">
        <f t="shared" si="148"/>
        <v>0</v>
      </c>
      <c r="FF139" s="139">
        <f t="shared" si="149"/>
        <v>0</v>
      </c>
      <c r="FG139" s="139">
        <f t="shared" si="150"/>
        <v>0</v>
      </c>
      <c r="FH139" s="139">
        <f t="shared" si="151"/>
        <v>0</v>
      </c>
      <c r="FI139" s="139">
        <f t="shared" si="152"/>
        <v>0</v>
      </c>
      <c r="FJ139" s="139">
        <f t="shared" si="153"/>
        <v>0</v>
      </c>
      <c r="FK139" s="139">
        <f t="shared" si="154"/>
        <v>0</v>
      </c>
      <c r="FL139" s="139">
        <f t="shared" si="155"/>
        <v>0</v>
      </c>
      <c r="FM139" s="139">
        <f t="shared" si="156"/>
        <v>0</v>
      </c>
      <c r="FN139" s="139">
        <f t="shared" si="157"/>
        <v>0</v>
      </c>
      <c r="FO139" s="139">
        <f t="shared" si="158"/>
        <v>0</v>
      </c>
      <c r="FP139" s="139">
        <f t="shared" si="159"/>
        <v>0</v>
      </c>
      <c r="FQ139" s="139">
        <f t="shared" si="160"/>
        <v>0</v>
      </c>
      <c r="FR139" s="139">
        <f t="shared" si="161"/>
        <v>0</v>
      </c>
      <c r="FS139" s="139">
        <f t="shared" si="162"/>
        <v>0</v>
      </c>
      <c r="FT139" s="139">
        <f t="shared" si="163"/>
        <v>0</v>
      </c>
      <c r="FU139" s="148">
        <f t="shared" si="164"/>
        <v>42.360598796663119</v>
      </c>
      <c r="FV139" s="149"/>
      <c r="FY139" s="211">
        <v>134</v>
      </c>
      <c r="FZ139">
        <v>4.7940468387632551</v>
      </c>
      <c r="GA139">
        <v>19.814019441753722</v>
      </c>
      <c r="GB139">
        <v>29.066191184612411</v>
      </c>
      <c r="GC139">
        <v>22.33812275208129</v>
      </c>
      <c r="GD139">
        <v>11.972997425178324</v>
      </c>
      <c r="GE139">
        <v>18.443196828730908</v>
      </c>
      <c r="GF139">
        <v>39.554990394811384</v>
      </c>
      <c r="GG139">
        <v>39.274313825324839</v>
      </c>
      <c r="GH139">
        <v>25.687833980062543</v>
      </c>
      <c r="GI139">
        <v>26.738350062918794</v>
      </c>
      <c r="GJ139"/>
      <c r="GK139"/>
      <c r="GL139"/>
      <c r="GM139"/>
    </row>
    <row r="140" spans="1:195" s="7" customFormat="1">
      <c r="A140" s="1"/>
      <c r="B140" s="76">
        <f t="shared" ca="1" si="131"/>
        <v>0.31605773067134835</v>
      </c>
      <c r="C140">
        <v>6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10.416666666666666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76.310852477504298</v>
      </c>
      <c r="AO140">
        <v>26.393229067643954</v>
      </c>
      <c r="AP140">
        <v>174.86995049959023</v>
      </c>
      <c r="AQ140">
        <v>147.43983474683461</v>
      </c>
      <c r="AR140">
        <v>24.066088387768382</v>
      </c>
      <c r="AS140">
        <v>120.94057199975619</v>
      </c>
      <c r="AT140" t="e">
        <v>#DIV/0!</v>
      </c>
      <c r="AU140" t="e">
        <v>#DIV/0!</v>
      </c>
      <c r="AV140"/>
      <c r="AW140"/>
      <c r="AX140" s="146"/>
      <c r="AY140" s="76">
        <f t="shared" ca="1" si="87"/>
        <v>0.81771719982946589</v>
      </c>
      <c r="AZ140">
        <v>3</v>
      </c>
      <c r="BA140" s="129">
        <f t="shared" si="168"/>
        <v>39799</v>
      </c>
      <c r="BB140">
        <v>0</v>
      </c>
      <c r="BC140">
        <v>0</v>
      </c>
      <c r="BD140">
        <v>0</v>
      </c>
      <c r="BE140">
        <v>0</v>
      </c>
      <c r="BF140">
        <v>6</v>
      </c>
      <c r="BG140">
        <v>2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89"/>
        <v>0.99676691679197593</v>
      </c>
      <c r="CL140" s="179">
        <f t="shared" si="90"/>
        <v>3</v>
      </c>
      <c r="CM140" s="180">
        <f t="shared" si="91"/>
        <v>39799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6.5923959937112642E-2</v>
      </c>
      <c r="DD140">
        <f t="shared" si="93"/>
        <v>3</v>
      </c>
      <c r="DE140" s="129">
        <f t="shared" si="167"/>
        <v>39799</v>
      </c>
      <c r="DF140" s="161">
        <f t="shared" si="94"/>
        <v>0</v>
      </c>
      <c r="DG140" s="161">
        <f t="shared" si="95"/>
        <v>0</v>
      </c>
      <c r="DH140" s="161">
        <f t="shared" si="96"/>
        <v>0</v>
      </c>
      <c r="DI140" s="161">
        <f t="shared" si="97"/>
        <v>0</v>
      </c>
      <c r="DJ140" s="161">
        <f t="shared" si="98"/>
        <v>144.23076923076923</v>
      </c>
      <c r="DK140" s="161">
        <f t="shared" si="99"/>
        <v>48.076923076923073</v>
      </c>
      <c r="DL140" s="161">
        <f t="shared" si="100"/>
        <v>0</v>
      </c>
      <c r="DM140" s="161">
        <f t="shared" si="101"/>
        <v>0</v>
      </c>
      <c r="DN140" s="161">
        <f t="shared" si="102"/>
        <v>0</v>
      </c>
      <c r="DO140" s="161">
        <f t="shared" si="103"/>
        <v>0</v>
      </c>
      <c r="DP140" s="161">
        <f t="shared" si="104"/>
        <v>0</v>
      </c>
      <c r="DQ140" s="161">
        <f t="shared" si="105"/>
        <v>0</v>
      </c>
      <c r="DR140" s="161">
        <f t="shared" si="106"/>
        <v>0</v>
      </c>
      <c r="DS140" s="161">
        <f t="shared" si="107"/>
        <v>0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2"/>
        <v>192.30769230769229</v>
      </c>
      <c r="EL140" s="149"/>
      <c r="EN140" s="146"/>
      <c r="EO140" s="146"/>
      <c r="EP140" s="139">
        <f t="shared" si="133"/>
        <v>0</v>
      </c>
      <c r="EQ140" s="139">
        <f t="shared" si="134"/>
        <v>0</v>
      </c>
      <c r="ER140" s="139">
        <f t="shared" si="135"/>
        <v>0</v>
      </c>
      <c r="ES140" s="139">
        <f t="shared" si="136"/>
        <v>0</v>
      </c>
      <c r="ET140" s="139">
        <f t="shared" si="137"/>
        <v>58.088838628848599</v>
      </c>
      <c r="EU140" s="139">
        <f t="shared" si="138"/>
        <v>35.183494721106911</v>
      </c>
      <c r="EV140" s="139">
        <f t="shared" si="139"/>
        <v>0</v>
      </c>
      <c r="EW140" s="139">
        <f t="shared" si="140"/>
        <v>0</v>
      </c>
      <c r="EX140" s="139">
        <f t="shared" si="141"/>
        <v>0</v>
      </c>
      <c r="EY140" s="139">
        <f t="shared" si="142"/>
        <v>0</v>
      </c>
      <c r="EZ140" s="139">
        <f t="shared" si="143"/>
        <v>0</v>
      </c>
      <c r="FA140" s="139">
        <f t="shared" si="144"/>
        <v>0</v>
      </c>
      <c r="FB140" s="139">
        <f t="shared" si="145"/>
        <v>0</v>
      </c>
      <c r="FC140" s="139">
        <f t="shared" si="146"/>
        <v>0</v>
      </c>
      <c r="FD140" s="139">
        <f t="shared" si="147"/>
        <v>0</v>
      </c>
      <c r="FE140" s="139">
        <f t="shared" si="148"/>
        <v>0</v>
      </c>
      <c r="FF140" s="139">
        <f t="shared" si="149"/>
        <v>0</v>
      </c>
      <c r="FG140" s="139">
        <f t="shared" si="150"/>
        <v>0</v>
      </c>
      <c r="FH140" s="139">
        <f t="shared" si="151"/>
        <v>0</v>
      </c>
      <c r="FI140" s="139">
        <f t="shared" si="152"/>
        <v>0</v>
      </c>
      <c r="FJ140" s="139">
        <f t="shared" si="153"/>
        <v>0</v>
      </c>
      <c r="FK140" s="139">
        <f t="shared" si="154"/>
        <v>0</v>
      </c>
      <c r="FL140" s="139">
        <f t="shared" si="155"/>
        <v>0</v>
      </c>
      <c r="FM140" s="139">
        <f t="shared" si="156"/>
        <v>0</v>
      </c>
      <c r="FN140" s="139">
        <f t="shared" si="157"/>
        <v>0</v>
      </c>
      <c r="FO140" s="139">
        <f t="shared" si="158"/>
        <v>0</v>
      </c>
      <c r="FP140" s="139">
        <f t="shared" si="159"/>
        <v>0</v>
      </c>
      <c r="FQ140" s="139">
        <f t="shared" si="160"/>
        <v>0</v>
      </c>
      <c r="FR140" s="139">
        <f t="shared" si="161"/>
        <v>0</v>
      </c>
      <c r="FS140" s="139">
        <f t="shared" si="162"/>
        <v>0</v>
      </c>
      <c r="FT140" s="139">
        <f t="shared" si="163"/>
        <v>0</v>
      </c>
      <c r="FU140" s="148">
        <f t="shared" si="164"/>
        <v>93.272333349955517</v>
      </c>
      <c r="FV140" s="149"/>
      <c r="FY140" s="211">
        <v>135</v>
      </c>
      <c r="FZ140">
        <v>2.8738943412690454</v>
      </c>
      <c r="GA140">
        <v>15.411545829912612</v>
      </c>
      <c r="GB140">
        <v>27.939862645177563</v>
      </c>
      <c r="GC140">
        <v>18.944549676484669</v>
      </c>
      <c r="GD140">
        <v>13.335505357218729</v>
      </c>
      <c r="GE140">
        <v>21.866893923752077</v>
      </c>
      <c r="GF140">
        <v>25.137915030491396</v>
      </c>
      <c r="GG140">
        <v>22.712471056456675</v>
      </c>
      <c r="GH140">
        <v>12.744558698613229</v>
      </c>
      <c r="GI140">
        <v>22.276913211736318</v>
      </c>
      <c r="GJ140"/>
      <c r="GK140"/>
      <c r="GL140"/>
      <c r="GM140"/>
    </row>
    <row r="141" spans="1:195" s="7" customFormat="1">
      <c r="A141" s="1"/>
      <c r="B141" s="76">
        <f t="shared" ca="1" si="131"/>
        <v>0.41656546358145219</v>
      </c>
      <c r="C141">
        <v>4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151.5151515151515</v>
      </c>
      <c r="J141">
        <v>113.63636363636363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69.56070056175902</v>
      </c>
      <c r="AO141">
        <v>27.402459428010275</v>
      </c>
      <c r="AP141">
        <v>203.0929016610541</v>
      </c>
      <c r="AQ141">
        <v>165.59288393773963</v>
      </c>
      <c r="AR141">
        <v>25.040167377890839</v>
      </c>
      <c r="AS141">
        <v>117.43369060766959</v>
      </c>
      <c r="AT141">
        <v>18.986864411974018</v>
      </c>
      <c r="AU141">
        <v>28.256500434203382</v>
      </c>
      <c r="AV141"/>
      <c r="AW141"/>
      <c r="AX141" s="146"/>
      <c r="AY141" s="76">
        <f t="shared" ca="1" si="87"/>
        <v>0.90569546012304158</v>
      </c>
      <c r="AZ141">
        <v>4</v>
      </c>
      <c r="BA141" s="129">
        <f t="shared" si="168"/>
        <v>39799</v>
      </c>
      <c r="BB141">
        <v>0</v>
      </c>
      <c r="BC141">
        <v>0</v>
      </c>
      <c r="BD141">
        <v>0</v>
      </c>
      <c r="BE141">
        <v>0</v>
      </c>
      <c r="BF141">
        <v>4</v>
      </c>
      <c r="BG141">
        <v>3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89"/>
        <v>0.58014397028545162</v>
      </c>
      <c r="CL141" s="179">
        <f t="shared" si="90"/>
        <v>4</v>
      </c>
      <c r="CM141" s="180">
        <f t="shared" si="91"/>
        <v>39799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0.1697605342125954</v>
      </c>
      <c r="DD141">
        <f t="shared" si="93"/>
        <v>4</v>
      </c>
      <c r="DE141" s="129">
        <f t="shared" si="167"/>
        <v>39799</v>
      </c>
      <c r="DF141" s="161">
        <f t="shared" si="94"/>
        <v>0</v>
      </c>
      <c r="DG141" s="161">
        <f t="shared" si="95"/>
        <v>0</v>
      </c>
      <c r="DH141" s="161">
        <f t="shared" si="96"/>
        <v>0</v>
      </c>
      <c r="DI141" s="161">
        <f t="shared" si="97"/>
        <v>0</v>
      </c>
      <c r="DJ141" s="161">
        <f t="shared" si="98"/>
        <v>151.5151515151515</v>
      </c>
      <c r="DK141" s="161">
        <f t="shared" si="99"/>
        <v>113.63636363636363</v>
      </c>
      <c r="DL141" s="161">
        <f t="shared" si="100"/>
        <v>0</v>
      </c>
      <c r="DM141" s="161">
        <f t="shared" si="101"/>
        <v>0</v>
      </c>
      <c r="DN141" s="161">
        <f t="shared" si="102"/>
        <v>0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0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2"/>
        <v>265.15151515151513</v>
      </c>
      <c r="EL141" s="149"/>
      <c r="EN141" s="146"/>
      <c r="EO141" s="146"/>
      <c r="EP141" s="139">
        <f t="shared" si="133"/>
        <v>0</v>
      </c>
      <c r="EQ141" s="139">
        <f t="shared" si="134"/>
        <v>0</v>
      </c>
      <c r="ER141" s="139">
        <f t="shared" si="135"/>
        <v>0</v>
      </c>
      <c r="ES141" s="139">
        <f t="shared" si="136"/>
        <v>0</v>
      </c>
      <c r="ET141" s="139">
        <f t="shared" si="137"/>
        <v>61.022618357578324</v>
      </c>
      <c r="EU141" s="139">
        <f t="shared" si="138"/>
        <v>83.160987522616338</v>
      </c>
      <c r="EV141" s="139">
        <f t="shared" si="139"/>
        <v>0</v>
      </c>
      <c r="EW141" s="139">
        <f t="shared" si="140"/>
        <v>0</v>
      </c>
      <c r="EX141" s="139">
        <f t="shared" si="141"/>
        <v>0</v>
      </c>
      <c r="EY141" s="139">
        <f t="shared" si="142"/>
        <v>0</v>
      </c>
      <c r="EZ141" s="139">
        <f t="shared" si="143"/>
        <v>0</v>
      </c>
      <c r="FA141" s="139">
        <f t="shared" si="144"/>
        <v>0</v>
      </c>
      <c r="FB141" s="139">
        <f t="shared" si="145"/>
        <v>0</v>
      </c>
      <c r="FC141" s="139">
        <f t="shared" si="146"/>
        <v>0</v>
      </c>
      <c r="FD141" s="139">
        <f t="shared" si="147"/>
        <v>0</v>
      </c>
      <c r="FE141" s="139">
        <f t="shared" si="148"/>
        <v>0</v>
      </c>
      <c r="FF141" s="139">
        <f t="shared" si="149"/>
        <v>0</v>
      </c>
      <c r="FG141" s="139">
        <f t="shared" si="150"/>
        <v>0</v>
      </c>
      <c r="FH141" s="139">
        <f t="shared" si="151"/>
        <v>0</v>
      </c>
      <c r="FI141" s="139">
        <f t="shared" si="152"/>
        <v>0</v>
      </c>
      <c r="FJ141" s="139">
        <f t="shared" si="153"/>
        <v>0</v>
      </c>
      <c r="FK141" s="139">
        <f t="shared" si="154"/>
        <v>0</v>
      </c>
      <c r="FL141" s="139">
        <f t="shared" si="155"/>
        <v>0</v>
      </c>
      <c r="FM141" s="139">
        <f t="shared" si="156"/>
        <v>0</v>
      </c>
      <c r="FN141" s="139">
        <f t="shared" si="157"/>
        <v>0</v>
      </c>
      <c r="FO141" s="139">
        <f t="shared" si="158"/>
        <v>0</v>
      </c>
      <c r="FP141" s="139">
        <f t="shared" si="159"/>
        <v>0</v>
      </c>
      <c r="FQ141" s="139">
        <f t="shared" si="160"/>
        <v>0</v>
      </c>
      <c r="FR141" s="139">
        <f t="shared" si="161"/>
        <v>0</v>
      </c>
      <c r="FS141" s="139">
        <f t="shared" si="162"/>
        <v>0</v>
      </c>
      <c r="FT141" s="139">
        <f t="shared" si="163"/>
        <v>0</v>
      </c>
      <c r="FU141" s="148">
        <f t="shared" si="164"/>
        <v>144.18360588019465</v>
      </c>
      <c r="FV141" s="149"/>
      <c r="FY141" s="211">
        <v>136</v>
      </c>
      <c r="FZ141">
        <v>4.893382466511353</v>
      </c>
      <c r="GA141">
        <v>32.095228969150163</v>
      </c>
      <c r="GB141">
        <v>26.825406679700389</v>
      </c>
      <c r="GC141">
        <v>17.26193839024285</v>
      </c>
      <c r="GD141">
        <v>14.745378618403768</v>
      </c>
      <c r="GE141">
        <v>23.250501037201364</v>
      </c>
      <c r="GF141">
        <v>28.855119228465952</v>
      </c>
      <c r="GG141">
        <v>34.57709298058014</v>
      </c>
      <c r="GH141">
        <v>28.428194268976249</v>
      </c>
      <c r="GI141">
        <v>26.319705387270712</v>
      </c>
      <c r="GJ141"/>
      <c r="GK141"/>
      <c r="GL141"/>
      <c r="GM141"/>
    </row>
    <row r="142" spans="1:195" s="7" customFormat="1">
      <c r="A142" s="1"/>
      <c r="B142" s="76">
        <f t="shared" ca="1" si="131"/>
        <v>0.32887626693700334</v>
      </c>
      <c r="C142">
        <v>1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83.333333333333329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87.884191936577892</v>
      </c>
      <c r="AO142">
        <v>33.585872851415196</v>
      </c>
      <c r="AP142">
        <v>208.91005256621389</v>
      </c>
      <c r="AQ142">
        <v>178.93963363623828</v>
      </c>
      <c r="AR142">
        <v>30.132291368116459</v>
      </c>
      <c r="AS142">
        <v>151.82186771726711</v>
      </c>
      <c r="AT142">
        <v>22.865827318340123</v>
      </c>
      <c r="AU142">
        <v>43.882179052337385</v>
      </c>
      <c r="AV142"/>
      <c r="AW142"/>
      <c r="AX142" s="146"/>
      <c r="AY142" s="76">
        <f t="shared" ca="1" si="87"/>
        <v>0.40800077612480123</v>
      </c>
      <c r="AZ142">
        <v>5</v>
      </c>
      <c r="BA142" s="129">
        <f t="shared" si="168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89"/>
        <v>0.21288320669360861</v>
      </c>
      <c r="CL142" s="179">
        <f t="shared" si="90"/>
        <v>5</v>
      </c>
      <c r="CM142" s="180">
        <f t="shared" si="91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0.22912923033408994</v>
      </c>
      <c r="DD142">
        <f t="shared" si="93"/>
        <v>5</v>
      </c>
      <c r="DE142" s="129">
        <f t="shared" si="167"/>
        <v>39799</v>
      </c>
      <c r="DF142" s="161">
        <f t="shared" si="94"/>
        <v>0</v>
      </c>
      <c r="DG142" s="161">
        <f t="shared" si="95"/>
        <v>0</v>
      </c>
      <c r="DH142" s="161">
        <f t="shared" si="96"/>
        <v>0</v>
      </c>
      <c r="DI142" s="161">
        <f t="shared" si="97"/>
        <v>0</v>
      </c>
      <c r="DJ142" s="161">
        <f t="shared" si="98"/>
        <v>0</v>
      </c>
      <c r="DK142" s="161">
        <f t="shared" si="99"/>
        <v>0</v>
      </c>
      <c r="DL142" s="161">
        <f t="shared" si="100"/>
        <v>0</v>
      </c>
      <c r="DM142" s="161">
        <f t="shared" si="101"/>
        <v>0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2"/>
        <v>0</v>
      </c>
      <c r="EL142" s="149"/>
      <c r="EN142" s="146"/>
      <c r="EO142" s="146"/>
      <c r="EP142" s="139">
        <f t="shared" si="133"/>
        <v>0</v>
      </c>
      <c r="EQ142" s="139">
        <f t="shared" si="134"/>
        <v>0</v>
      </c>
      <c r="ER142" s="139">
        <f t="shared" si="135"/>
        <v>0</v>
      </c>
      <c r="ES142" s="139">
        <f t="shared" si="136"/>
        <v>0</v>
      </c>
      <c r="ET142" s="139">
        <f t="shared" si="137"/>
        <v>0</v>
      </c>
      <c r="EU142" s="139">
        <f t="shared" si="138"/>
        <v>0</v>
      </c>
      <c r="EV142" s="139">
        <f t="shared" si="139"/>
        <v>0</v>
      </c>
      <c r="EW142" s="139">
        <f t="shared" si="140"/>
        <v>0</v>
      </c>
      <c r="EX142" s="139">
        <f t="shared" si="141"/>
        <v>0</v>
      </c>
      <c r="EY142" s="139">
        <f t="shared" si="142"/>
        <v>0</v>
      </c>
      <c r="EZ142" s="139">
        <f t="shared" si="143"/>
        <v>0</v>
      </c>
      <c r="FA142" s="139">
        <f t="shared" si="144"/>
        <v>0</v>
      </c>
      <c r="FB142" s="139">
        <f t="shared" si="145"/>
        <v>0</v>
      </c>
      <c r="FC142" s="139">
        <f t="shared" si="146"/>
        <v>0</v>
      </c>
      <c r="FD142" s="139">
        <f t="shared" si="147"/>
        <v>0</v>
      </c>
      <c r="FE142" s="139">
        <f t="shared" si="148"/>
        <v>0</v>
      </c>
      <c r="FF142" s="139">
        <f t="shared" si="149"/>
        <v>0</v>
      </c>
      <c r="FG142" s="139">
        <f t="shared" si="150"/>
        <v>0</v>
      </c>
      <c r="FH142" s="139">
        <f t="shared" si="151"/>
        <v>0</v>
      </c>
      <c r="FI142" s="139">
        <f t="shared" si="152"/>
        <v>0</v>
      </c>
      <c r="FJ142" s="139">
        <f t="shared" si="153"/>
        <v>0</v>
      </c>
      <c r="FK142" s="139">
        <f t="shared" si="154"/>
        <v>0</v>
      </c>
      <c r="FL142" s="139">
        <f t="shared" si="155"/>
        <v>0</v>
      </c>
      <c r="FM142" s="139">
        <f t="shared" si="156"/>
        <v>0</v>
      </c>
      <c r="FN142" s="139">
        <f t="shared" si="157"/>
        <v>0</v>
      </c>
      <c r="FO142" s="139">
        <f t="shared" si="158"/>
        <v>0</v>
      </c>
      <c r="FP142" s="139">
        <f t="shared" si="159"/>
        <v>0</v>
      </c>
      <c r="FQ142" s="139">
        <f t="shared" si="160"/>
        <v>0</v>
      </c>
      <c r="FR142" s="139">
        <f t="shared" si="161"/>
        <v>0</v>
      </c>
      <c r="FS142" s="139">
        <f t="shared" si="162"/>
        <v>0</v>
      </c>
      <c r="FT142" s="139">
        <f t="shared" si="163"/>
        <v>0</v>
      </c>
      <c r="FU142" s="148">
        <f t="shared" si="164"/>
        <v>0</v>
      </c>
      <c r="FV142" s="149"/>
      <c r="FY142" s="211">
        <v>137</v>
      </c>
      <c r="FZ142">
        <v>7.8163579666003438</v>
      </c>
      <c r="GA142">
        <v>19.830483737212475</v>
      </c>
      <c r="GB142">
        <v>9.1883959992386774</v>
      </c>
      <c r="GC142">
        <v>9.20811941005271</v>
      </c>
      <c r="GD142">
        <v>10.221032105361017</v>
      </c>
      <c r="GE142">
        <v>21.094329334528886</v>
      </c>
      <c r="GF142">
        <v>29.648307796874438</v>
      </c>
      <c r="GG142">
        <v>11.065707767356464</v>
      </c>
      <c r="GH142">
        <v>2.2159051445989819</v>
      </c>
      <c r="GI142">
        <v>15.552323277327069</v>
      </c>
      <c r="GJ142"/>
      <c r="GK142"/>
      <c r="GL142"/>
      <c r="GM142"/>
    </row>
    <row r="143" spans="1:195" s="7" customFormat="1">
      <c r="A143" s="1"/>
      <c r="B143" s="76">
        <f t="shared" ca="1" si="131"/>
        <v>9.7944538547783289E-2</v>
      </c>
      <c r="C143">
        <v>9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135.90116279069767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97.259275822653535</v>
      </c>
      <c r="AO143">
        <v>37.138141149668925</v>
      </c>
      <c r="AP143">
        <v>243.49572599145057</v>
      </c>
      <c r="AQ143">
        <v>195.70371186352094</v>
      </c>
      <c r="AR143">
        <v>34.27294108988837</v>
      </c>
      <c r="AS143">
        <v>158.23757624560406</v>
      </c>
      <c r="AT143">
        <v>24.781966090460017</v>
      </c>
      <c r="AU143">
        <v>47.151542543535108</v>
      </c>
      <c r="AV143"/>
      <c r="AW143"/>
      <c r="AX143" s="146"/>
      <c r="AY143" s="76">
        <f t="shared" ca="1" si="87"/>
        <v>0.89495351961859826</v>
      </c>
      <c r="AZ143">
        <v>6</v>
      </c>
      <c r="BA143" s="129">
        <f t="shared" si="168"/>
        <v>39799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1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89"/>
        <v>0.80816347860232951</v>
      </c>
      <c r="CL143" s="179">
        <f t="shared" si="90"/>
        <v>6</v>
      </c>
      <c r="CM143" s="180">
        <f t="shared" si="91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0.49414618426744461</v>
      </c>
      <c r="DD143">
        <f t="shared" si="93"/>
        <v>6</v>
      </c>
      <c r="DE143" s="129">
        <f t="shared" si="167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0</v>
      </c>
      <c r="DJ143" s="161">
        <f t="shared" si="98"/>
        <v>0</v>
      </c>
      <c r="DK143" s="161">
        <f t="shared" si="99"/>
        <v>0</v>
      </c>
      <c r="DL143" s="161">
        <f t="shared" si="100"/>
        <v>10.416666666666666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2"/>
        <v>10.416666666666666</v>
      </c>
      <c r="EL143" s="149"/>
      <c r="EN143" s="146"/>
      <c r="EO143" s="146"/>
      <c r="EP143" s="139">
        <f t="shared" si="133"/>
        <v>0</v>
      </c>
      <c r="EQ143" s="139">
        <f t="shared" si="134"/>
        <v>0</v>
      </c>
      <c r="ER143" s="139">
        <f t="shared" si="135"/>
        <v>0</v>
      </c>
      <c r="ES143" s="139">
        <f t="shared" si="136"/>
        <v>0</v>
      </c>
      <c r="ET143" s="139">
        <f t="shared" si="137"/>
        <v>0</v>
      </c>
      <c r="EU143" s="139">
        <f t="shared" si="138"/>
        <v>0</v>
      </c>
      <c r="EV143" s="139">
        <f t="shared" si="139"/>
        <v>12.417946497518479</v>
      </c>
      <c r="EW143" s="139">
        <f t="shared" si="140"/>
        <v>0</v>
      </c>
      <c r="EX143" s="139">
        <f t="shared" si="141"/>
        <v>0</v>
      </c>
      <c r="EY143" s="139">
        <f t="shared" si="142"/>
        <v>0</v>
      </c>
      <c r="EZ143" s="139">
        <f t="shared" si="143"/>
        <v>0</v>
      </c>
      <c r="FA143" s="139">
        <f t="shared" si="144"/>
        <v>0</v>
      </c>
      <c r="FB143" s="139">
        <f t="shared" si="145"/>
        <v>0</v>
      </c>
      <c r="FC143" s="139">
        <f t="shared" si="146"/>
        <v>0</v>
      </c>
      <c r="FD143" s="139">
        <f t="shared" si="147"/>
        <v>0</v>
      </c>
      <c r="FE143" s="139">
        <f t="shared" si="148"/>
        <v>0</v>
      </c>
      <c r="FF143" s="139">
        <f t="shared" si="149"/>
        <v>0</v>
      </c>
      <c r="FG143" s="139">
        <f t="shared" si="150"/>
        <v>0</v>
      </c>
      <c r="FH143" s="139">
        <f t="shared" si="151"/>
        <v>0</v>
      </c>
      <c r="FI143" s="139">
        <f t="shared" si="152"/>
        <v>0</v>
      </c>
      <c r="FJ143" s="139">
        <f t="shared" si="153"/>
        <v>0</v>
      </c>
      <c r="FK143" s="139">
        <f t="shared" si="154"/>
        <v>0</v>
      </c>
      <c r="FL143" s="139">
        <f t="shared" si="155"/>
        <v>0</v>
      </c>
      <c r="FM143" s="139">
        <f t="shared" si="156"/>
        <v>0</v>
      </c>
      <c r="FN143" s="139">
        <f t="shared" si="157"/>
        <v>0</v>
      </c>
      <c r="FO143" s="139">
        <f t="shared" si="158"/>
        <v>0</v>
      </c>
      <c r="FP143" s="139">
        <f t="shared" si="159"/>
        <v>0</v>
      </c>
      <c r="FQ143" s="139">
        <f t="shared" si="160"/>
        <v>0</v>
      </c>
      <c r="FR143" s="139">
        <f t="shared" si="161"/>
        <v>0</v>
      </c>
      <c r="FS143" s="139">
        <f t="shared" si="162"/>
        <v>0</v>
      </c>
      <c r="FT143" s="139">
        <f t="shared" si="163"/>
        <v>0</v>
      </c>
      <c r="FU143" s="148">
        <f t="shared" si="164"/>
        <v>12.417946497518479</v>
      </c>
      <c r="FV143" s="149"/>
      <c r="FY143" s="211">
        <v>138</v>
      </c>
      <c r="FZ143">
        <v>3.3469733814924938</v>
      </c>
      <c r="GA143">
        <v>14.158767323474093</v>
      </c>
      <c r="GB143">
        <v>19.942268494013245</v>
      </c>
      <c r="GC143">
        <v>16.147421445126565</v>
      </c>
      <c r="GD143">
        <v>13.411021001591026</v>
      </c>
      <c r="GE143">
        <v>22.579122451871779</v>
      </c>
      <c r="GF143">
        <v>27.781390858691829</v>
      </c>
      <c r="GG143">
        <v>23.014227581056801</v>
      </c>
      <c r="GH143">
        <v>15.126357513171286</v>
      </c>
      <c r="GI143">
        <v>21.237858021620454</v>
      </c>
      <c r="GJ143"/>
      <c r="GK143"/>
      <c r="GL143"/>
      <c r="GM143"/>
    </row>
    <row r="144" spans="1:195" s="7" customFormat="1">
      <c r="A144" s="1"/>
      <c r="B144" s="76">
        <f t="shared" ca="1" si="131"/>
        <v>0.5849004130208364</v>
      </c>
      <c r="C144">
        <v>2</v>
      </c>
      <c r="D144">
        <v>39799</v>
      </c>
      <c r="E144">
        <v>0</v>
      </c>
      <c r="F144">
        <v>0</v>
      </c>
      <c r="G144">
        <v>0</v>
      </c>
      <c r="H144">
        <v>10.416666666666666</v>
      </c>
      <c r="I144">
        <v>62.5</v>
      </c>
      <c r="J144">
        <v>20.833333333333332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62.578803308310036</v>
      </c>
      <c r="AO144">
        <v>26.967744814797605</v>
      </c>
      <c r="AP144">
        <v>172.63106756894996</v>
      </c>
      <c r="AQ144">
        <v>149.99167317975912</v>
      </c>
      <c r="AR144">
        <v>23.879350963259313</v>
      </c>
      <c r="AS144">
        <v>110.50576271439826</v>
      </c>
      <c r="AT144" t="e">
        <v>#DIV/0!</v>
      </c>
      <c r="AU144" t="e">
        <v>#DIV/0!</v>
      </c>
      <c r="AV144"/>
      <c r="AW144"/>
      <c r="AX144" s="146"/>
      <c r="AY144" s="76">
        <f t="shared" ca="1" si="87"/>
        <v>0.27632651322432888</v>
      </c>
      <c r="AZ144">
        <v>7</v>
      </c>
      <c r="BA144" s="129">
        <f t="shared" si="168"/>
        <v>39799</v>
      </c>
      <c r="BB144">
        <v>0</v>
      </c>
      <c r="BC144">
        <v>0</v>
      </c>
      <c r="BD144">
        <v>0</v>
      </c>
      <c r="BE144">
        <v>1</v>
      </c>
      <c r="BF144">
        <v>6</v>
      </c>
      <c r="BG144">
        <v>2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89"/>
        <v>0.16390930934828818</v>
      </c>
      <c r="CL144" s="179">
        <f t="shared" si="90"/>
        <v>7</v>
      </c>
      <c r="CM144" s="180">
        <f t="shared" si="91"/>
        <v>39799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0.1771231194699876</v>
      </c>
      <c r="DD144">
        <f t="shared" si="93"/>
        <v>7</v>
      </c>
      <c r="DE144" s="129">
        <f t="shared" si="167"/>
        <v>39799</v>
      </c>
      <c r="DF144" s="161">
        <f t="shared" si="94"/>
        <v>0</v>
      </c>
      <c r="DG144" s="161">
        <f t="shared" si="95"/>
        <v>0</v>
      </c>
      <c r="DH144" s="161">
        <f t="shared" si="96"/>
        <v>0</v>
      </c>
      <c r="DI144" s="161">
        <f t="shared" si="97"/>
        <v>10.416666666666666</v>
      </c>
      <c r="DJ144" s="161">
        <f t="shared" si="98"/>
        <v>62.5</v>
      </c>
      <c r="DK144" s="161">
        <f t="shared" si="99"/>
        <v>20.833333333333332</v>
      </c>
      <c r="DL144" s="161">
        <f t="shared" si="100"/>
        <v>0</v>
      </c>
      <c r="DM144" s="161">
        <f t="shared" si="101"/>
        <v>0</v>
      </c>
      <c r="DN144" s="161">
        <f t="shared" si="102"/>
        <v>0</v>
      </c>
      <c r="DO144" s="161">
        <f t="shared" si="103"/>
        <v>0</v>
      </c>
      <c r="DP144" s="161">
        <f t="shared" si="104"/>
        <v>0</v>
      </c>
      <c r="DQ144" s="161">
        <f t="shared" si="105"/>
        <v>0</v>
      </c>
      <c r="DR144" s="161">
        <f t="shared" si="106"/>
        <v>0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2"/>
        <v>93.75</v>
      </c>
      <c r="EL144" s="149"/>
      <c r="EN144" s="146"/>
      <c r="EO144" s="146"/>
      <c r="EP144" s="139">
        <f t="shared" si="133"/>
        <v>0</v>
      </c>
      <c r="EQ144" s="139">
        <f t="shared" si="134"/>
        <v>0</v>
      </c>
      <c r="ER144" s="139">
        <f t="shared" si="135"/>
        <v>0</v>
      </c>
      <c r="ES144" s="139">
        <f t="shared" si="136"/>
        <v>1.9425876783490643</v>
      </c>
      <c r="ET144" s="139">
        <f t="shared" si="137"/>
        <v>25.171830072501059</v>
      </c>
      <c r="EU144" s="139">
        <f t="shared" si="138"/>
        <v>15.246181045812996</v>
      </c>
      <c r="EV144" s="139">
        <f t="shared" si="139"/>
        <v>0</v>
      </c>
      <c r="EW144" s="139">
        <f t="shared" si="140"/>
        <v>0</v>
      </c>
      <c r="EX144" s="139">
        <f t="shared" si="141"/>
        <v>0</v>
      </c>
      <c r="EY144" s="139">
        <f t="shared" si="142"/>
        <v>0</v>
      </c>
      <c r="EZ144" s="139">
        <f t="shared" si="143"/>
        <v>0</v>
      </c>
      <c r="FA144" s="139">
        <f t="shared" si="144"/>
        <v>0</v>
      </c>
      <c r="FB144" s="139">
        <f t="shared" si="145"/>
        <v>0</v>
      </c>
      <c r="FC144" s="139">
        <f t="shared" si="146"/>
        <v>0</v>
      </c>
      <c r="FD144" s="139">
        <f t="shared" si="147"/>
        <v>0</v>
      </c>
      <c r="FE144" s="139">
        <f t="shared" si="148"/>
        <v>0</v>
      </c>
      <c r="FF144" s="139">
        <f t="shared" si="149"/>
        <v>0</v>
      </c>
      <c r="FG144" s="139">
        <f t="shared" si="150"/>
        <v>0</v>
      </c>
      <c r="FH144" s="139">
        <f t="shared" si="151"/>
        <v>0</v>
      </c>
      <c r="FI144" s="139">
        <f t="shared" si="152"/>
        <v>0</v>
      </c>
      <c r="FJ144" s="139">
        <f t="shared" si="153"/>
        <v>0</v>
      </c>
      <c r="FK144" s="139">
        <f t="shared" si="154"/>
        <v>0</v>
      </c>
      <c r="FL144" s="139">
        <f t="shared" si="155"/>
        <v>0</v>
      </c>
      <c r="FM144" s="139">
        <f t="shared" si="156"/>
        <v>0</v>
      </c>
      <c r="FN144" s="139">
        <f t="shared" si="157"/>
        <v>0</v>
      </c>
      <c r="FO144" s="139">
        <f t="shared" si="158"/>
        <v>0</v>
      </c>
      <c r="FP144" s="139">
        <f t="shared" si="159"/>
        <v>0</v>
      </c>
      <c r="FQ144" s="139">
        <f t="shared" si="160"/>
        <v>0</v>
      </c>
      <c r="FR144" s="139">
        <f t="shared" si="161"/>
        <v>0</v>
      </c>
      <c r="FS144" s="139">
        <f t="shared" si="162"/>
        <v>0</v>
      </c>
      <c r="FT144" s="139">
        <f t="shared" si="163"/>
        <v>0</v>
      </c>
      <c r="FU144" s="148">
        <f t="shared" si="164"/>
        <v>42.360598796663119</v>
      </c>
      <c r="FV144" s="149"/>
      <c r="FY144" s="211">
        <v>139</v>
      </c>
      <c r="FZ144">
        <v>6.4888309617410478</v>
      </c>
      <c r="GA144">
        <v>10.482830615084216</v>
      </c>
      <c r="GB144">
        <v>22.654246550358934</v>
      </c>
      <c r="GC144">
        <v>19.025169992952634</v>
      </c>
      <c r="GD144">
        <v>14.110844301180215</v>
      </c>
      <c r="GE144">
        <v>28.334985712554666</v>
      </c>
      <c r="GF144">
        <v>33.472790976556169</v>
      </c>
      <c r="GG144">
        <v>32.368607223249356</v>
      </c>
      <c r="GH144">
        <v>26.434890766598084</v>
      </c>
      <c r="GI144">
        <v>25.734071142486364</v>
      </c>
      <c r="GJ144"/>
      <c r="GK144"/>
      <c r="GL144"/>
      <c r="GM144"/>
    </row>
    <row r="145" spans="1:195" s="7" customFormat="1">
      <c r="A145" s="1"/>
      <c r="B145" s="76">
        <f t="shared" ca="1" si="131"/>
        <v>0.92668794596996107</v>
      </c>
      <c r="C145">
        <v>5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71.031089862989177</v>
      </c>
      <c r="AO145">
        <v>28.131014381612761</v>
      </c>
      <c r="AP145">
        <v>189.15298539322066</v>
      </c>
      <c r="AQ145">
        <v>160.60439722586347</v>
      </c>
      <c r="AR145">
        <v>25.758314634153038</v>
      </c>
      <c r="AS145">
        <v>121.69440012838409</v>
      </c>
      <c r="AT145" t="e">
        <v>#DIV/0!</v>
      </c>
      <c r="AU145" t="e">
        <v>#DIV/0!</v>
      </c>
      <c r="AV145"/>
      <c r="AW145"/>
      <c r="AX145" s="146"/>
      <c r="AY145" s="76">
        <f t="shared" ca="1" si="87"/>
        <v>0.77953024612034505</v>
      </c>
      <c r="AZ145">
        <v>8</v>
      </c>
      <c r="BA145" s="129">
        <f t="shared" si="168"/>
        <v>39799</v>
      </c>
      <c r="BB145">
        <v>0</v>
      </c>
      <c r="BC145">
        <v>0</v>
      </c>
      <c r="BD145">
        <v>0</v>
      </c>
      <c r="BE145">
        <v>0</v>
      </c>
      <c r="BF145">
        <v>2</v>
      </c>
      <c r="BG145">
        <v>7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89"/>
        <v>0.31240287240171694</v>
      </c>
      <c r="CL145" s="179">
        <f t="shared" si="90"/>
        <v>8</v>
      </c>
      <c r="CM145" s="180">
        <f t="shared" si="91"/>
        <v>39799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0.80205119334444008</v>
      </c>
      <c r="DD145">
        <f t="shared" si="93"/>
        <v>8</v>
      </c>
      <c r="DE145" s="129">
        <f t="shared" si="167"/>
        <v>39799</v>
      </c>
      <c r="DF145" s="161">
        <f t="shared" si="94"/>
        <v>0</v>
      </c>
      <c r="DG145" s="161">
        <f t="shared" si="95"/>
        <v>0</v>
      </c>
      <c r="DH145" s="161">
        <f t="shared" si="96"/>
        <v>0</v>
      </c>
      <c r="DI145" s="161">
        <f t="shared" si="97"/>
        <v>0</v>
      </c>
      <c r="DJ145" s="161">
        <f t="shared" si="98"/>
        <v>20.833333333333332</v>
      </c>
      <c r="DK145" s="161">
        <f t="shared" si="99"/>
        <v>72.916666666666671</v>
      </c>
      <c r="DL145" s="161">
        <f t="shared" si="100"/>
        <v>0</v>
      </c>
      <c r="DM145" s="161">
        <f t="shared" si="101"/>
        <v>0</v>
      </c>
      <c r="DN145" s="161">
        <f t="shared" si="102"/>
        <v>0</v>
      </c>
      <c r="DO145" s="161">
        <f t="shared" si="103"/>
        <v>0</v>
      </c>
      <c r="DP145" s="161">
        <f t="shared" si="104"/>
        <v>0</v>
      </c>
      <c r="DQ145" s="161">
        <f t="shared" si="105"/>
        <v>0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0</v>
      </c>
      <c r="EB145" s="161">
        <f t="shared" si="116"/>
        <v>0</v>
      </c>
      <c r="EC145" s="161">
        <f t="shared" si="117"/>
        <v>0</v>
      </c>
      <c r="ED145" s="161">
        <f t="shared" si="118"/>
        <v>0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2"/>
        <v>93.75</v>
      </c>
      <c r="EL145" s="149"/>
      <c r="EN145" s="146"/>
      <c r="EO145" s="146"/>
      <c r="EP145" s="139">
        <f t="shared" si="133"/>
        <v>0</v>
      </c>
      <c r="EQ145" s="139">
        <f t="shared" si="134"/>
        <v>0</v>
      </c>
      <c r="ER145" s="139">
        <f t="shared" si="135"/>
        <v>0</v>
      </c>
      <c r="ES145" s="139">
        <f t="shared" si="136"/>
        <v>0</v>
      </c>
      <c r="ET145" s="139">
        <f t="shared" si="137"/>
        <v>8.3906100241670192</v>
      </c>
      <c r="EU145" s="139">
        <f t="shared" si="138"/>
        <v>53.36163366034549</v>
      </c>
      <c r="EV145" s="139">
        <f t="shared" si="139"/>
        <v>0</v>
      </c>
      <c r="EW145" s="139">
        <f t="shared" si="140"/>
        <v>0</v>
      </c>
      <c r="EX145" s="139">
        <f t="shared" si="141"/>
        <v>0</v>
      </c>
      <c r="EY145" s="139">
        <f t="shared" si="142"/>
        <v>0</v>
      </c>
      <c r="EZ145" s="139">
        <f t="shared" si="143"/>
        <v>0</v>
      </c>
      <c r="FA145" s="139">
        <f t="shared" si="144"/>
        <v>0</v>
      </c>
      <c r="FB145" s="139">
        <f t="shared" si="145"/>
        <v>0</v>
      </c>
      <c r="FC145" s="139">
        <f t="shared" si="146"/>
        <v>0</v>
      </c>
      <c r="FD145" s="139">
        <f t="shared" si="147"/>
        <v>0</v>
      </c>
      <c r="FE145" s="139">
        <f t="shared" si="148"/>
        <v>0</v>
      </c>
      <c r="FF145" s="139">
        <f t="shared" si="149"/>
        <v>0</v>
      </c>
      <c r="FG145" s="139">
        <f t="shared" si="150"/>
        <v>0</v>
      </c>
      <c r="FH145" s="139">
        <f t="shared" si="151"/>
        <v>0</v>
      </c>
      <c r="FI145" s="139">
        <f t="shared" si="152"/>
        <v>0</v>
      </c>
      <c r="FJ145" s="139">
        <f t="shared" si="153"/>
        <v>0</v>
      </c>
      <c r="FK145" s="139">
        <f t="shared" si="154"/>
        <v>0</v>
      </c>
      <c r="FL145" s="139">
        <f t="shared" si="155"/>
        <v>0</v>
      </c>
      <c r="FM145" s="139">
        <f t="shared" si="156"/>
        <v>0</v>
      </c>
      <c r="FN145" s="139">
        <f t="shared" si="157"/>
        <v>0</v>
      </c>
      <c r="FO145" s="139">
        <f t="shared" si="158"/>
        <v>0</v>
      </c>
      <c r="FP145" s="139">
        <f t="shared" si="159"/>
        <v>0</v>
      </c>
      <c r="FQ145" s="139">
        <f t="shared" si="160"/>
        <v>0</v>
      </c>
      <c r="FR145" s="139">
        <f t="shared" si="161"/>
        <v>0</v>
      </c>
      <c r="FS145" s="139">
        <f t="shared" si="162"/>
        <v>0</v>
      </c>
      <c r="FT145" s="139">
        <f t="shared" si="163"/>
        <v>0</v>
      </c>
      <c r="FU145" s="148">
        <f t="shared" si="164"/>
        <v>61.752243684512507</v>
      </c>
      <c r="FV145" s="149"/>
      <c r="FY145" s="211">
        <v>140</v>
      </c>
      <c r="FZ145">
        <v>2.3850329842014393</v>
      </c>
      <c r="GA145">
        <v>11.153888915992741</v>
      </c>
      <c r="GB145">
        <v>12.266257768772004</v>
      </c>
      <c r="GC145">
        <v>8.6660984147242868</v>
      </c>
      <c r="GD145">
        <v>7.7194103949730302</v>
      </c>
      <c r="GE145">
        <v>17.441280384759398</v>
      </c>
      <c r="GF145">
        <v>26.572215156391298</v>
      </c>
      <c r="GG145">
        <v>24.245871308772497</v>
      </c>
      <c r="GH145">
        <v>19.495851903277501</v>
      </c>
      <c r="GI145">
        <v>16.237828143952608</v>
      </c>
      <c r="GJ145"/>
      <c r="GK145"/>
      <c r="GL145"/>
      <c r="GM145"/>
    </row>
    <row r="146" spans="1:195" s="7" customFormat="1">
      <c r="A146" s="1"/>
      <c r="B146" s="76">
        <f t="shared" ca="1" si="131"/>
        <v>0.13105969138938622</v>
      </c>
      <c r="C146">
        <v>10</v>
      </c>
      <c r="D146">
        <v>39799</v>
      </c>
      <c r="E146">
        <v>0</v>
      </c>
      <c r="F146">
        <v>0</v>
      </c>
      <c r="G146">
        <v>31.25</v>
      </c>
      <c r="H146">
        <v>0</v>
      </c>
      <c r="I146">
        <v>0</v>
      </c>
      <c r="J146">
        <v>10.416666666666666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59.533372482640047</v>
      </c>
      <c r="AO146">
        <v>22.118383127231716</v>
      </c>
      <c r="AP146">
        <v>138.46931791421486</v>
      </c>
      <c r="AQ146">
        <v>123.07316612148159</v>
      </c>
      <c r="AR146">
        <v>19.646743956084848</v>
      </c>
      <c r="AS146">
        <v>92.523854689041116</v>
      </c>
      <c r="AT146" t="e">
        <v>#DIV/0!</v>
      </c>
      <c r="AU146" t="e">
        <v>#DIV/0!</v>
      </c>
      <c r="AV146"/>
      <c r="AW146"/>
      <c r="AX146" s="146"/>
      <c r="AY146" s="76">
        <f t="shared" ca="1" si="87"/>
        <v>0.52107405954554209</v>
      </c>
      <c r="AZ146">
        <v>9</v>
      </c>
      <c r="BA146" s="129">
        <f t="shared" si="168"/>
        <v>39799</v>
      </c>
      <c r="BB146">
        <v>0</v>
      </c>
      <c r="BC146">
        <v>0</v>
      </c>
      <c r="BD146">
        <v>0</v>
      </c>
      <c r="BE146">
        <v>0</v>
      </c>
      <c r="BF146">
        <v>2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89"/>
        <v>0.68717156865963203</v>
      </c>
      <c r="CL146" s="179">
        <f t="shared" si="90"/>
        <v>9</v>
      </c>
      <c r="CM146" s="180">
        <f t="shared" si="91"/>
        <v>39799</v>
      </c>
      <c r="CN146">
        <v>0</v>
      </c>
      <c r="CO146">
        <v>0</v>
      </c>
      <c r="CP146">
        <v>0</v>
      </c>
      <c r="CQ146">
        <v>0</v>
      </c>
      <c r="CR146">
        <v>2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0.8559949538147531</v>
      </c>
      <c r="DD146">
        <f t="shared" si="93"/>
        <v>9</v>
      </c>
      <c r="DE146" s="129">
        <f t="shared" si="167"/>
        <v>39799</v>
      </c>
      <c r="DF146" s="161">
        <f t="shared" si="94"/>
        <v>0</v>
      </c>
      <c r="DG146" s="161">
        <f t="shared" si="95"/>
        <v>0</v>
      </c>
      <c r="DH146" s="161">
        <f t="shared" si="96"/>
        <v>0</v>
      </c>
      <c r="DI146" s="161">
        <f t="shared" si="97"/>
        <v>0</v>
      </c>
      <c r="DJ146" s="161">
        <f t="shared" si="98"/>
        <v>135.90116279069767</v>
      </c>
      <c r="DK146" s="161">
        <f t="shared" si="99"/>
        <v>0</v>
      </c>
      <c r="DL146" s="161">
        <f t="shared" si="100"/>
        <v>0</v>
      </c>
      <c r="DM146" s="161">
        <f t="shared" si="101"/>
        <v>0</v>
      </c>
      <c r="DN146" s="161">
        <f t="shared" si="102"/>
        <v>0</v>
      </c>
      <c r="DO146" s="161">
        <f t="shared" si="103"/>
        <v>0</v>
      </c>
      <c r="DP146" s="161">
        <f t="shared" si="104"/>
        <v>0</v>
      </c>
      <c r="DQ146" s="161">
        <f t="shared" si="105"/>
        <v>0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2"/>
        <v>135.90116279069767</v>
      </c>
      <c r="EL146" s="149"/>
      <c r="EN146" s="146"/>
      <c r="EO146" s="146"/>
      <c r="EP146" s="139">
        <f t="shared" si="133"/>
        <v>0</v>
      </c>
      <c r="EQ146" s="139">
        <f t="shared" si="134"/>
        <v>0</v>
      </c>
      <c r="ER146" s="139">
        <f t="shared" si="135"/>
        <v>0</v>
      </c>
      <c r="ES146" s="139">
        <f t="shared" si="136"/>
        <v>0</v>
      </c>
      <c r="ET146" s="139">
        <f t="shared" si="137"/>
        <v>54.734095622763931</v>
      </c>
      <c r="EU146" s="139">
        <f t="shared" si="138"/>
        <v>0</v>
      </c>
      <c r="EV146" s="139">
        <f t="shared" si="139"/>
        <v>0</v>
      </c>
      <c r="EW146" s="139">
        <f t="shared" si="140"/>
        <v>0</v>
      </c>
      <c r="EX146" s="139">
        <f t="shared" si="141"/>
        <v>0</v>
      </c>
      <c r="EY146" s="139">
        <f t="shared" si="142"/>
        <v>0</v>
      </c>
      <c r="EZ146" s="139">
        <f t="shared" si="143"/>
        <v>0</v>
      </c>
      <c r="FA146" s="139">
        <f t="shared" si="144"/>
        <v>0</v>
      </c>
      <c r="FB146" s="139">
        <f t="shared" si="145"/>
        <v>0</v>
      </c>
      <c r="FC146" s="139">
        <f t="shared" si="146"/>
        <v>0</v>
      </c>
      <c r="FD146" s="139">
        <f t="shared" si="147"/>
        <v>0</v>
      </c>
      <c r="FE146" s="139">
        <f t="shared" si="148"/>
        <v>0</v>
      </c>
      <c r="FF146" s="139">
        <f t="shared" si="149"/>
        <v>0</v>
      </c>
      <c r="FG146" s="139">
        <f t="shared" si="150"/>
        <v>0</v>
      </c>
      <c r="FH146" s="139">
        <f t="shared" si="151"/>
        <v>0</v>
      </c>
      <c r="FI146" s="139">
        <f t="shared" si="152"/>
        <v>0</v>
      </c>
      <c r="FJ146" s="139">
        <f t="shared" si="153"/>
        <v>0</v>
      </c>
      <c r="FK146" s="139">
        <f t="shared" si="154"/>
        <v>0</v>
      </c>
      <c r="FL146" s="139">
        <f t="shared" si="155"/>
        <v>0</v>
      </c>
      <c r="FM146" s="139">
        <f t="shared" si="156"/>
        <v>0</v>
      </c>
      <c r="FN146" s="139">
        <f t="shared" si="157"/>
        <v>0</v>
      </c>
      <c r="FO146" s="139">
        <f t="shared" si="158"/>
        <v>0</v>
      </c>
      <c r="FP146" s="139">
        <f t="shared" si="159"/>
        <v>0</v>
      </c>
      <c r="FQ146" s="139">
        <f t="shared" si="160"/>
        <v>0</v>
      </c>
      <c r="FR146" s="139">
        <f t="shared" si="161"/>
        <v>0</v>
      </c>
      <c r="FS146" s="139">
        <f t="shared" si="162"/>
        <v>0</v>
      </c>
      <c r="FT146" s="139">
        <f t="shared" si="163"/>
        <v>0</v>
      </c>
      <c r="FU146" s="148">
        <f t="shared" si="164"/>
        <v>54.734095622763931</v>
      </c>
      <c r="FV146" s="149"/>
      <c r="FY146" s="211">
        <v>141</v>
      </c>
      <c r="FZ146">
        <v>4.7813610629309391</v>
      </c>
      <c r="GA146">
        <v>11.204125896027472</v>
      </c>
      <c r="GB146">
        <v>26.943972243895356</v>
      </c>
      <c r="GC146">
        <v>20.03450633944977</v>
      </c>
      <c r="GD146">
        <v>11.770746110088314</v>
      </c>
      <c r="GE146">
        <v>16.98943988639763</v>
      </c>
      <c r="GF146">
        <v>11.90365900199199</v>
      </c>
      <c r="GG146">
        <v>16.460457054509675</v>
      </c>
      <c r="GH146">
        <v>19.743529398390866</v>
      </c>
      <c r="GI146">
        <v>19.946531074487432</v>
      </c>
      <c r="GJ146"/>
      <c r="GK146"/>
      <c r="GL146"/>
      <c r="GM146"/>
    </row>
    <row r="147" spans="1:195" s="7" customFormat="1">
      <c r="A147" s="1"/>
      <c r="B147" s="76">
        <f t="shared" ca="1" si="131"/>
        <v>8.292689988560209E-2</v>
      </c>
      <c r="C147">
        <v>8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20.833333333333332</v>
      </c>
      <c r="J147">
        <v>72.916666666666671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79.825793995255509</v>
      </c>
      <c r="AO147">
        <v>24.307259138835001</v>
      </c>
      <c r="AP147">
        <v>160.59119346910367</v>
      </c>
      <c r="AQ147">
        <v>136.99168704390107</v>
      </c>
      <c r="AR147">
        <v>22.222500563693178</v>
      </c>
      <c r="AS147">
        <v>114.61987563137329</v>
      </c>
      <c r="AT147" t="e">
        <v>#DIV/0!</v>
      </c>
      <c r="AU147" t="e">
        <v>#DIV/0!</v>
      </c>
      <c r="AV147"/>
      <c r="AW147"/>
      <c r="AX147" s="146"/>
      <c r="AY147" s="76">
        <f t="shared" ca="1" si="87"/>
        <v>0.44508785708458642</v>
      </c>
      <c r="AZ147">
        <v>10</v>
      </c>
      <c r="BA147" s="129">
        <f t="shared" si="168"/>
        <v>39799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1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89"/>
        <v>0.13900298479821771</v>
      </c>
      <c r="CL147" s="179">
        <f t="shared" si="90"/>
        <v>10</v>
      </c>
      <c r="CM147" s="180">
        <f t="shared" si="91"/>
        <v>39799</v>
      </c>
      <c r="CN147">
        <v>0</v>
      </c>
      <c r="CO147">
        <v>0</v>
      </c>
      <c r="CP147">
        <v>3</v>
      </c>
      <c r="CQ147">
        <v>0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0.6001224739018427</v>
      </c>
      <c r="DD147">
        <f t="shared" si="93"/>
        <v>10</v>
      </c>
      <c r="DE147" s="129">
        <f t="shared" si="167"/>
        <v>39799</v>
      </c>
      <c r="DF147" s="161">
        <f t="shared" si="94"/>
        <v>0</v>
      </c>
      <c r="DG147" s="161">
        <f t="shared" si="95"/>
        <v>0</v>
      </c>
      <c r="DH147" s="161">
        <f t="shared" si="96"/>
        <v>31.25</v>
      </c>
      <c r="DI147" s="161">
        <f t="shared" si="97"/>
        <v>0</v>
      </c>
      <c r="DJ147" s="161">
        <f t="shared" si="98"/>
        <v>0</v>
      </c>
      <c r="DK147" s="161">
        <f t="shared" si="99"/>
        <v>10.416666666666666</v>
      </c>
      <c r="DL147" s="161">
        <f t="shared" si="100"/>
        <v>0</v>
      </c>
      <c r="DM147" s="161">
        <f t="shared" si="101"/>
        <v>0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0</v>
      </c>
      <c r="DT147" s="161">
        <f t="shared" si="108"/>
        <v>0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2"/>
        <v>41.666666666666664</v>
      </c>
      <c r="EL147" s="149"/>
      <c r="EN147" s="146"/>
      <c r="EO147" s="146"/>
      <c r="EP147" s="139">
        <f t="shared" si="133"/>
        <v>0</v>
      </c>
      <c r="EQ147" s="139">
        <f t="shared" si="134"/>
        <v>0</v>
      </c>
      <c r="ER147" s="139">
        <f t="shared" si="135"/>
        <v>1.9688636502866452</v>
      </c>
      <c r="ES147" s="139">
        <f t="shared" si="136"/>
        <v>0</v>
      </c>
      <c r="ET147" s="139">
        <f t="shared" si="137"/>
        <v>0</v>
      </c>
      <c r="EU147" s="139">
        <f t="shared" si="138"/>
        <v>7.623090522906498</v>
      </c>
      <c r="EV147" s="139">
        <f t="shared" si="139"/>
        <v>0</v>
      </c>
      <c r="EW147" s="139">
        <f t="shared" si="140"/>
        <v>0</v>
      </c>
      <c r="EX147" s="139">
        <f t="shared" si="141"/>
        <v>0</v>
      </c>
      <c r="EY147" s="139">
        <f t="shared" si="142"/>
        <v>0</v>
      </c>
      <c r="EZ147" s="139">
        <f t="shared" si="143"/>
        <v>0</v>
      </c>
      <c r="FA147" s="139">
        <f t="shared" si="144"/>
        <v>0</v>
      </c>
      <c r="FB147" s="139">
        <f t="shared" si="145"/>
        <v>0</v>
      </c>
      <c r="FC147" s="139">
        <f t="shared" si="146"/>
        <v>0</v>
      </c>
      <c r="FD147" s="139">
        <f t="shared" si="147"/>
        <v>0</v>
      </c>
      <c r="FE147" s="139">
        <f t="shared" si="148"/>
        <v>0</v>
      </c>
      <c r="FF147" s="139">
        <f t="shared" si="149"/>
        <v>0</v>
      </c>
      <c r="FG147" s="139">
        <f t="shared" si="150"/>
        <v>0</v>
      </c>
      <c r="FH147" s="139">
        <f t="shared" si="151"/>
        <v>0</v>
      </c>
      <c r="FI147" s="139">
        <f t="shared" si="152"/>
        <v>0</v>
      </c>
      <c r="FJ147" s="139">
        <f t="shared" si="153"/>
        <v>0</v>
      </c>
      <c r="FK147" s="139">
        <f t="shared" si="154"/>
        <v>0</v>
      </c>
      <c r="FL147" s="139">
        <f t="shared" si="155"/>
        <v>0</v>
      </c>
      <c r="FM147" s="139">
        <f t="shared" si="156"/>
        <v>0</v>
      </c>
      <c r="FN147" s="139">
        <f t="shared" si="157"/>
        <v>0</v>
      </c>
      <c r="FO147" s="139">
        <f t="shared" si="158"/>
        <v>0</v>
      </c>
      <c r="FP147" s="139">
        <f t="shared" si="159"/>
        <v>0</v>
      </c>
      <c r="FQ147" s="139">
        <f t="shared" si="160"/>
        <v>0</v>
      </c>
      <c r="FR147" s="139">
        <f t="shared" si="161"/>
        <v>0</v>
      </c>
      <c r="FS147" s="139">
        <f t="shared" si="162"/>
        <v>0</v>
      </c>
      <c r="FT147" s="139">
        <f t="shared" si="163"/>
        <v>0</v>
      </c>
      <c r="FU147" s="148">
        <f t="shared" si="164"/>
        <v>9.5919541731931428</v>
      </c>
      <c r="FV147" s="149"/>
      <c r="FY147" s="211">
        <v>142</v>
      </c>
      <c r="FZ147">
        <v>2.4077476718588766</v>
      </c>
      <c r="GA147">
        <v>17.320922279229816</v>
      </c>
      <c r="GB147">
        <v>26.86692253863912</v>
      </c>
      <c r="GC147">
        <v>18.673972079219244</v>
      </c>
      <c r="GD147">
        <v>12.454000577523553</v>
      </c>
      <c r="GE147">
        <v>29.505988149297703</v>
      </c>
      <c r="GF147">
        <v>39.776544523100199</v>
      </c>
      <c r="GG147">
        <v>20.909549210044499</v>
      </c>
      <c r="GH147">
        <v>14.020613507532888</v>
      </c>
      <c r="GI147">
        <v>24.344156488545291</v>
      </c>
      <c r="GJ147"/>
      <c r="GK147"/>
      <c r="GL147"/>
      <c r="GM147"/>
    </row>
    <row r="148" spans="1:195" s="7" customFormat="1">
      <c r="A148" s="128"/>
      <c r="B148" s="76" t="str">
        <f t="shared" ca="1" si="131"/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75.076086372013762</v>
      </c>
      <c r="AO148">
        <v>27.946988004201081</v>
      </c>
      <c r="AP148">
        <v>212.31560582857628</v>
      </c>
      <c r="AQ148">
        <v>172.74499494813523</v>
      </c>
      <c r="AR148">
        <v>25.311042525882819</v>
      </c>
      <c r="AS148">
        <v>140.49772591782636</v>
      </c>
      <c r="AT148" t="e">
        <v>#DIV/0!</v>
      </c>
      <c r="AU148" t="e">
        <v>#DIV/0!</v>
      </c>
      <c r="AV148"/>
      <c r="AW148"/>
      <c r="AX148" s="128"/>
      <c r="AY148" s="76">
        <f t="shared" ca="1" si="87"/>
        <v>0.90377377810795778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0</v>
      </c>
      <c r="BF148">
        <v>4</v>
      </c>
      <c r="BG148">
        <v>8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89"/>
        <v>0.49278770902970437</v>
      </c>
      <c r="CL148" s="179">
        <f t="shared" si="90"/>
        <v>1</v>
      </c>
      <c r="CM148" s="180">
        <f t="shared" si="91"/>
        <v>39847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0.92979469123375758</v>
      </c>
      <c r="DD148">
        <f t="shared" si="93"/>
        <v>1</v>
      </c>
      <c r="DE148" s="129">
        <f t="shared" ref="DE148:DE157" si="169">IF((DD148)="", "", $C$10)</f>
        <v>39847</v>
      </c>
      <c r="DF148" s="161">
        <f t="shared" si="94"/>
        <v>0</v>
      </c>
      <c r="DG148" s="161">
        <f t="shared" si="95"/>
        <v>0</v>
      </c>
      <c r="DH148" s="161">
        <f t="shared" si="96"/>
        <v>0</v>
      </c>
      <c r="DI148" s="161">
        <f t="shared" si="97"/>
        <v>0</v>
      </c>
      <c r="DJ148" s="161">
        <f t="shared" si="98"/>
        <v>41.666666666666664</v>
      </c>
      <c r="DK148" s="161">
        <f t="shared" si="99"/>
        <v>83.333333333333329</v>
      </c>
      <c r="DL148" s="161">
        <f t="shared" si="100"/>
        <v>0</v>
      </c>
      <c r="DM148" s="161">
        <f t="shared" si="101"/>
        <v>0</v>
      </c>
      <c r="DN148" s="161">
        <f t="shared" si="102"/>
        <v>0</v>
      </c>
      <c r="DO148" s="161">
        <f t="shared" si="103"/>
        <v>0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0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2"/>
        <v>125</v>
      </c>
      <c r="EL148" s="149"/>
      <c r="EN148" s="146"/>
      <c r="EO148" s="146"/>
      <c r="EP148" s="139">
        <f t="shared" si="133"/>
        <v>0</v>
      </c>
      <c r="EQ148" s="139">
        <f t="shared" si="134"/>
        <v>0</v>
      </c>
      <c r="ER148" s="139">
        <f t="shared" si="135"/>
        <v>0</v>
      </c>
      <c r="ES148" s="139">
        <f t="shared" si="136"/>
        <v>0</v>
      </c>
      <c r="ET148" s="139">
        <f t="shared" si="137"/>
        <v>16.781220048334038</v>
      </c>
      <c r="EU148" s="139">
        <f t="shared" si="138"/>
        <v>60.984724183251984</v>
      </c>
      <c r="EV148" s="139">
        <f t="shared" si="139"/>
        <v>0</v>
      </c>
      <c r="EW148" s="139">
        <f t="shared" si="140"/>
        <v>0</v>
      </c>
      <c r="EX148" s="139">
        <f t="shared" si="141"/>
        <v>0</v>
      </c>
      <c r="EY148" s="139">
        <f t="shared" si="142"/>
        <v>0</v>
      </c>
      <c r="EZ148" s="139">
        <f t="shared" si="143"/>
        <v>0</v>
      </c>
      <c r="FA148" s="139">
        <f t="shared" si="144"/>
        <v>0</v>
      </c>
      <c r="FB148" s="139">
        <f t="shared" si="145"/>
        <v>0</v>
      </c>
      <c r="FC148" s="139">
        <f t="shared" si="146"/>
        <v>0</v>
      </c>
      <c r="FD148" s="139">
        <f t="shared" si="147"/>
        <v>0</v>
      </c>
      <c r="FE148" s="139">
        <f t="shared" si="148"/>
        <v>0</v>
      </c>
      <c r="FF148" s="139">
        <f t="shared" si="149"/>
        <v>0</v>
      </c>
      <c r="FG148" s="139">
        <f t="shared" si="150"/>
        <v>0</v>
      </c>
      <c r="FH148" s="139">
        <f t="shared" si="151"/>
        <v>0</v>
      </c>
      <c r="FI148" s="139">
        <f t="shared" si="152"/>
        <v>0</v>
      </c>
      <c r="FJ148" s="139">
        <f t="shared" si="153"/>
        <v>0</v>
      </c>
      <c r="FK148" s="139">
        <f t="shared" si="154"/>
        <v>0</v>
      </c>
      <c r="FL148" s="139">
        <f t="shared" si="155"/>
        <v>0</v>
      </c>
      <c r="FM148" s="139">
        <f t="shared" si="156"/>
        <v>0</v>
      </c>
      <c r="FN148" s="139">
        <f t="shared" si="157"/>
        <v>0</v>
      </c>
      <c r="FO148" s="139">
        <f t="shared" si="158"/>
        <v>0</v>
      </c>
      <c r="FP148" s="139">
        <f t="shared" si="159"/>
        <v>0</v>
      </c>
      <c r="FQ148" s="139">
        <f t="shared" si="160"/>
        <v>0</v>
      </c>
      <c r="FR148" s="139">
        <f t="shared" si="161"/>
        <v>0</v>
      </c>
      <c r="FS148" s="139">
        <f t="shared" si="162"/>
        <v>0</v>
      </c>
      <c r="FT148" s="139">
        <f t="shared" si="163"/>
        <v>0</v>
      </c>
      <c r="FU148" s="148">
        <f t="shared" si="164"/>
        <v>77.765944231586019</v>
      </c>
      <c r="FV148" s="149"/>
      <c r="FY148" s="211">
        <v>143</v>
      </c>
      <c r="FZ148">
        <v>1.1264927701347802</v>
      </c>
      <c r="GA148">
        <v>4.1710141683601902</v>
      </c>
      <c r="GB148">
        <v>19.539093788515125</v>
      </c>
      <c r="GC148">
        <v>16.679493255139821</v>
      </c>
      <c r="GD148">
        <v>9.9342162738300797</v>
      </c>
      <c r="GE148">
        <v>19.611573578028658</v>
      </c>
      <c r="GF148">
        <v>27.505564202030552</v>
      </c>
      <c r="GG148">
        <v>44.665232374198972</v>
      </c>
      <c r="GH148">
        <v>49.31565358323229</v>
      </c>
      <c r="GI148">
        <v>24.09351106709811</v>
      </c>
      <c r="GJ148"/>
      <c r="GK148"/>
      <c r="GL148"/>
      <c r="GM148"/>
    </row>
    <row r="149" spans="1:195" s="7" customFormat="1">
      <c r="A149" s="77"/>
      <c r="B149" s="76" t="str">
        <f t="shared" ca="1" si="131"/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85.566486668289329</v>
      </c>
      <c r="AO149">
        <v>28.79162349031235</v>
      </c>
      <c r="AP149">
        <v>181.86166938083198</v>
      </c>
      <c r="AQ149">
        <v>158.51542170039514</v>
      </c>
      <c r="AR149">
        <v>25.942114018583318</v>
      </c>
      <c r="AS149">
        <v>122.81109586885255</v>
      </c>
      <c r="AT149" t="e">
        <v>#DIV/0!</v>
      </c>
      <c r="AU149" t="e">
        <v>#DIV/0!</v>
      </c>
      <c r="AV149"/>
      <c r="AW149"/>
      <c r="AX149" s="151"/>
      <c r="AY149" s="76">
        <f t="shared" ca="1" si="87"/>
        <v>0.44507195759025864</v>
      </c>
      <c r="AZ149">
        <v>2</v>
      </c>
      <c r="BA149" s="129">
        <f t="shared" ref="BA149:BA157" si="170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4</v>
      </c>
      <c r="BG149">
        <v>2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89"/>
        <v>4.2545138602797294E-2</v>
      </c>
      <c r="CL149" s="179">
        <f t="shared" si="90"/>
        <v>2</v>
      </c>
      <c r="CM149" s="180">
        <f t="shared" si="91"/>
        <v>39847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0.37449291688937542</v>
      </c>
      <c r="DD149">
        <f t="shared" si="93"/>
        <v>2</v>
      </c>
      <c r="DE149" s="129">
        <f t="shared" si="169"/>
        <v>39847</v>
      </c>
      <c r="DF149" s="161">
        <f t="shared" si="94"/>
        <v>0</v>
      </c>
      <c r="DG149" s="161">
        <f t="shared" si="95"/>
        <v>0</v>
      </c>
      <c r="DH149" s="161">
        <f t="shared" si="96"/>
        <v>0</v>
      </c>
      <c r="DI149" s="161">
        <f t="shared" si="97"/>
        <v>0</v>
      </c>
      <c r="DJ149" s="161">
        <f t="shared" si="98"/>
        <v>138.88888888888889</v>
      </c>
      <c r="DK149" s="161">
        <f t="shared" si="99"/>
        <v>69.444444444444443</v>
      </c>
      <c r="DL149" s="161">
        <f t="shared" si="100"/>
        <v>0</v>
      </c>
      <c r="DM149" s="161">
        <f t="shared" si="101"/>
        <v>0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2"/>
        <v>208.33333333333331</v>
      </c>
      <c r="EL149" s="149"/>
      <c r="EN149" s="151"/>
      <c r="EO149" s="151"/>
      <c r="EP149" s="139">
        <f t="shared" si="133"/>
        <v>0</v>
      </c>
      <c r="EQ149" s="139">
        <f t="shared" si="134"/>
        <v>0</v>
      </c>
      <c r="ER149" s="139">
        <f t="shared" si="135"/>
        <v>0</v>
      </c>
      <c r="ES149" s="139">
        <f t="shared" si="136"/>
        <v>0</v>
      </c>
      <c r="ET149" s="139">
        <f t="shared" si="137"/>
        <v>55.937400161113466</v>
      </c>
      <c r="EU149" s="139">
        <f t="shared" si="138"/>
        <v>50.820603486043325</v>
      </c>
      <c r="EV149" s="139">
        <f t="shared" si="139"/>
        <v>0</v>
      </c>
      <c r="EW149" s="139">
        <f t="shared" si="140"/>
        <v>0</v>
      </c>
      <c r="EX149" s="139">
        <f t="shared" si="141"/>
        <v>0</v>
      </c>
      <c r="EY149" s="139">
        <f t="shared" si="142"/>
        <v>0</v>
      </c>
      <c r="EZ149" s="139">
        <f t="shared" si="143"/>
        <v>0</v>
      </c>
      <c r="FA149" s="139">
        <f t="shared" si="144"/>
        <v>0</v>
      </c>
      <c r="FB149" s="139">
        <f t="shared" si="145"/>
        <v>0</v>
      </c>
      <c r="FC149" s="139">
        <f t="shared" si="146"/>
        <v>0</v>
      </c>
      <c r="FD149" s="139">
        <f t="shared" si="147"/>
        <v>0</v>
      </c>
      <c r="FE149" s="139">
        <f t="shared" si="148"/>
        <v>0</v>
      </c>
      <c r="FF149" s="139">
        <f t="shared" si="149"/>
        <v>0</v>
      </c>
      <c r="FG149" s="139">
        <f t="shared" si="150"/>
        <v>0</v>
      </c>
      <c r="FH149" s="139">
        <f t="shared" si="151"/>
        <v>0</v>
      </c>
      <c r="FI149" s="139">
        <f t="shared" si="152"/>
        <v>0</v>
      </c>
      <c r="FJ149" s="139">
        <f t="shared" si="153"/>
        <v>0</v>
      </c>
      <c r="FK149" s="139">
        <f t="shared" si="154"/>
        <v>0</v>
      </c>
      <c r="FL149" s="139">
        <f t="shared" si="155"/>
        <v>0</v>
      </c>
      <c r="FM149" s="139">
        <f t="shared" si="156"/>
        <v>0</v>
      </c>
      <c r="FN149" s="139">
        <f t="shared" si="157"/>
        <v>0</v>
      </c>
      <c r="FO149" s="139">
        <f t="shared" si="158"/>
        <v>0</v>
      </c>
      <c r="FP149" s="139">
        <f t="shared" si="159"/>
        <v>0</v>
      </c>
      <c r="FQ149" s="139">
        <f t="shared" si="160"/>
        <v>0</v>
      </c>
      <c r="FR149" s="139">
        <f t="shared" si="161"/>
        <v>0</v>
      </c>
      <c r="FS149" s="139">
        <f t="shared" si="162"/>
        <v>0</v>
      </c>
      <c r="FT149" s="139">
        <f t="shared" si="163"/>
        <v>0</v>
      </c>
      <c r="FU149" s="148">
        <f t="shared" si="164"/>
        <v>106.75800364715678</v>
      </c>
      <c r="FV149" s="149"/>
      <c r="FY149" s="211">
        <v>144</v>
      </c>
      <c r="FZ149">
        <v>3.9647104762489862</v>
      </c>
      <c r="GA149">
        <v>14.021358866225956</v>
      </c>
      <c r="GB149">
        <v>19.986085961851597</v>
      </c>
      <c r="GC149">
        <v>13.857102733485917</v>
      </c>
      <c r="GD149">
        <v>10.047719259112394</v>
      </c>
      <c r="GE149">
        <v>20.711767414109335</v>
      </c>
      <c r="GF149">
        <v>31.544132516589073</v>
      </c>
      <c r="GG149">
        <v>23.540098986814311</v>
      </c>
      <c r="GH149">
        <v>14.613497490187436</v>
      </c>
      <c r="GI149">
        <v>19.943885154903047</v>
      </c>
      <c r="GJ149"/>
      <c r="GK149"/>
      <c r="GL149"/>
      <c r="GM149"/>
    </row>
    <row r="150" spans="1:195" s="7" customFormat="1">
      <c r="A150" s="77"/>
      <c r="B150" s="76">
        <f t="shared" ca="1" si="131"/>
        <v>0.22662925299661141</v>
      </c>
      <c r="C150">
        <v>10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31.25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104.75166388084733</v>
      </c>
      <c r="AO150">
        <v>40.840980416255462</v>
      </c>
      <c r="AP150">
        <v>291.07939975966735</v>
      </c>
      <c r="AQ150">
        <v>237.68406273423744</v>
      </c>
      <c r="AR150">
        <v>37.027606152577512</v>
      </c>
      <c r="AS150">
        <v>179.11613948076919</v>
      </c>
      <c r="AT150" t="e">
        <v>#DIV/0!</v>
      </c>
      <c r="AU150" t="e">
        <v>#DIV/0!</v>
      </c>
      <c r="AV150"/>
      <c r="AW150"/>
      <c r="AX150" s="151"/>
      <c r="AY150" s="76"/>
      <c r="AZ150"/>
      <c r="BA150" s="129"/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/>
      <c r="CL150" s="179"/>
      <c r="CM150" s="180"/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/>
      <c r="CX150"/>
      <c r="CY150" s="160"/>
      <c r="CZ150" s="177"/>
      <c r="DB150" s="151"/>
      <c r="DC150" s="76" t="str">
        <f t="shared" ca="1" si="50"/>
        <v/>
      </c>
      <c r="DD150" t="str">
        <f t="shared" si="93"/>
        <v/>
      </c>
      <c r="DE150" s="129" t="str">
        <f t="shared" si="169"/>
        <v/>
      </c>
      <c r="DF150" s="161" t="str">
        <f t="shared" si="94"/>
        <v/>
      </c>
      <c r="DG150" s="161" t="str">
        <f t="shared" si="95"/>
        <v/>
      </c>
      <c r="DH150" s="161" t="str">
        <f t="shared" si="96"/>
        <v/>
      </c>
      <c r="DI150" s="161" t="str">
        <f t="shared" si="97"/>
        <v/>
      </c>
      <c r="DJ150" s="161" t="str">
        <f t="shared" si="98"/>
        <v/>
      </c>
      <c r="DK150" s="161" t="str">
        <f t="shared" si="99"/>
        <v/>
      </c>
      <c r="DL150" s="161" t="str">
        <f t="shared" si="100"/>
        <v/>
      </c>
      <c r="DM150" s="161" t="str">
        <f t="shared" si="101"/>
        <v/>
      </c>
      <c r="DN150" s="161" t="str">
        <f t="shared" si="102"/>
        <v/>
      </c>
      <c r="DO150" s="161" t="str">
        <f t="shared" si="103"/>
        <v/>
      </c>
      <c r="DP150" s="161" t="str">
        <f t="shared" si="104"/>
        <v/>
      </c>
      <c r="DQ150" s="161" t="str">
        <f t="shared" si="105"/>
        <v/>
      </c>
      <c r="DR150" s="161" t="str">
        <f t="shared" si="106"/>
        <v/>
      </c>
      <c r="DS150" s="161" t="str">
        <f t="shared" si="107"/>
        <v/>
      </c>
      <c r="DT150" s="161" t="str">
        <f t="shared" si="108"/>
        <v/>
      </c>
      <c r="DU150" s="161" t="str">
        <f t="shared" si="109"/>
        <v/>
      </c>
      <c r="DV150" s="161" t="str">
        <f t="shared" si="110"/>
        <v/>
      </c>
      <c r="DW150" s="161" t="str">
        <f t="shared" si="111"/>
        <v/>
      </c>
      <c r="DX150" s="161" t="str">
        <f t="shared" si="112"/>
        <v/>
      </c>
      <c r="DY150" s="161" t="str">
        <f t="shared" si="113"/>
        <v/>
      </c>
      <c r="DZ150" s="161" t="str">
        <f t="shared" si="114"/>
        <v/>
      </c>
      <c r="EA150" s="161" t="str">
        <f t="shared" si="115"/>
        <v/>
      </c>
      <c r="EB150" s="161" t="str">
        <f t="shared" si="116"/>
        <v/>
      </c>
      <c r="EC150" s="161" t="str">
        <f t="shared" si="117"/>
        <v/>
      </c>
      <c r="ED150" s="161" t="str">
        <f t="shared" si="118"/>
        <v/>
      </c>
      <c r="EE150" s="161" t="str">
        <f t="shared" si="119"/>
        <v/>
      </c>
      <c r="EF150" s="161" t="str">
        <f t="shared" si="120"/>
        <v/>
      </c>
      <c r="EG150" s="161" t="str">
        <f t="shared" si="121"/>
        <v/>
      </c>
      <c r="EH150" s="161" t="str">
        <f t="shared" si="122"/>
        <v/>
      </c>
      <c r="EI150" s="161" t="str">
        <f t="shared" si="123"/>
        <v/>
      </c>
      <c r="EJ150" s="161" t="str">
        <f t="shared" si="124"/>
        <v/>
      </c>
      <c r="EK150" s="147" t="str">
        <f t="shared" si="132"/>
        <v/>
      </c>
      <c r="EL150" s="149"/>
      <c r="EN150" s="151"/>
      <c r="EO150" s="151"/>
      <c r="EP150" s="139" t="str">
        <f t="shared" si="133"/>
        <v/>
      </c>
      <c r="EQ150" s="139" t="str">
        <f t="shared" si="134"/>
        <v/>
      </c>
      <c r="ER150" s="139" t="str">
        <f t="shared" si="135"/>
        <v/>
      </c>
      <c r="ES150" s="139" t="str">
        <f t="shared" si="136"/>
        <v/>
      </c>
      <c r="ET150" s="139" t="str">
        <f t="shared" si="137"/>
        <v/>
      </c>
      <c r="EU150" s="139" t="str">
        <f t="shared" si="138"/>
        <v/>
      </c>
      <c r="EV150" s="139" t="str">
        <f t="shared" si="139"/>
        <v/>
      </c>
      <c r="EW150" s="139" t="str">
        <f t="shared" si="140"/>
        <v/>
      </c>
      <c r="EX150" s="139" t="str">
        <f t="shared" si="141"/>
        <v/>
      </c>
      <c r="EY150" s="139" t="str">
        <f t="shared" si="142"/>
        <v/>
      </c>
      <c r="EZ150" s="139" t="str">
        <f t="shared" si="143"/>
        <v/>
      </c>
      <c r="FA150" s="139" t="str">
        <f t="shared" si="144"/>
        <v/>
      </c>
      <c r="FB150" s="139" t="str">
        <f t="shared" si="145"/>
        <v/>
      </c>
      <c r="FC150" s="139" t="str">
        <f t="shared" si="146"/>
        <v/>
      </c>
      <c r="FD150" s="139" t="str">
        <f t="shared" si="147"/>
        <v/>
      </c>
      <c r="FE150" s="139" t="str">
        <f t="shared" si="148"/>
        <v/>
      </c>
      <c r="FF150" s="139" t="str">
        <f t="shared" si="149"/>
        <v/>
      </c>
      <c r="FG150" s="139" t="str">
        <f t="shared" si="150"/>
        <v/>
      </c>
      <c r="FH150" s="139" t="str">
        <f t="shared" si="151"/>
        <v/>
      </c>
      <c r="FI150" s="139" t="str">
        <f t="shared" si="152"/>
        <v/>
      </c>
      <c r="FJ150" s="139" t="str">
        <f t="shared" si="153"/>
        <v/>
      </c>
      <c r="FK150" s="139" t="str">
        <f t="shared" si="154"/>
        <v/>
      </c>
      <c r="FL150" s="139" t="str">
        <f t="shared" si="155"/>
        <v/>
      </c>
      <c r="FM150" s="139" t="str">
        <f t="shared" si="156"/>
        <v/>
      </c>
      <c r="FN150" s="139" t="str">
        <f t="shared" si="157"/>
        <v/>
      </c>
      <c r="FO150" s="139" t="str">
        <f t="shared" si="158"/>
        <v/>
      </c>
      <c r="FP150" s="139" t="str">
        <f t="shared" si="159"/>
        <v/>
      </c>
      <c r="FQ150" s="139" t="str">
        <f t="shared" si="160"/>
        <v/>
      </c>
      <c r="FR150" s="139" t="str">
        <f t="shared" si="161"/>
        <v/>
      </c>
      <c r="FS150" s="139" t="str">
        <f t="shared" si="162"/>
        <v/>
      </c>
      <c r="FT150" s="139" t="str">
        <f t="shared" si="163"/>
        <v/>
      </c>
      <c r="FU150" s="148" t="str">
        <f t="shared" si="164"/>
        <v/>
      </c>
      <c r="FV150" s="149"/>
      <c r="FY150" s="211">
        <v>145</v>
      </c>
      <c r="FZ150">
        <v>8.923355832061528</v>
      </c>
      <c r="GA150">
        <v>15.192294123103688</v>
      </c>
      <c r="GB150">
        <v>12.208764808973591</v>
      </c>
      <c r="GC150">
        <v>10.961726240795461</v>
      </c>
      <c r="GD150">
        <v>10.369739239522625</v>
      </c>
      <c r="GE150">
        <v>20.572067279761466</v>
      </c>
      <c r="GF150">
        <v>29.176710937416832</v>
      </c>
      <c r="GG150">
        <v>19.733586799371935</v>
      </c>
      <c r="GH150">
        <v>12.382667297595308</v>
      </c>
      <c r="GI150">
        <v>18.134955495742584</v>
      </c>
      <c r="GJ150"/>
      <c r="GK150"/>
      <c r="GL150"/>
      <c r="GM150"/>
    </row>
    <row r="151" spans="1:195" s="7" customFormat="1">
      <c r="A151" s="77"/>
      <c r="B151" s="76">
        <f t="shared" ca="1" si="131"/>
        <v>1.2463142562323393E-2</v>
      </c>
      <c r="C151">
        <v>7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20.833333333333332</v>
      </c>
      <c r="J151">
        <v>20.833333333333332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81.00072291074062</v>
      </c>
      <c r="AO151">
        <v>33.96317724505306</v>
      </c>
      <c r="AP151">
        <v>217.3149909415929</v>
      </c>
      <c r="AQ151">
        <v>183.24410977111228</v>
      </c>
      <c r="AR151">
        <v>31.088411095837166</v>
      </c>
      <c r="AS151">
        <v>144.59121997047964</v>
      </c>
      <c r="AT151" t="e">
        <v>#DIV/0!</v>
      </c>
      <c r="AU151" t="e">
        <v>#DIV/0!</v>
      </c>
      <c r="AV151"/>
      <c r="AW151"/>
      <c r="AX151" s="151"/>
      <c r="AY151" s="76"/>
      <c r="AZ151"/>
      <c r="BA151" s="129"/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/>
      <c r="CL151" s="179"/>
      <c r="CM151" s="180"/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/>
      <c r="CX151"/>
      <c r="CY151" s="160"/>
      <c r="CZ151" s="177"/>
      <c r="DB151" s="151"/>
      <c r="DC151" s="76" t="str">
        <f t="shared" ca="1" si="50"/>
        <v/>
      </c>
      <c r="DD151" t="str">
        <f t="shared" si="93"/>
        <v/>
      </c>
      <c r="DE151" s="129" t="str">
        <f t="shared" si="169"/>
        <v/>
      </c>
      <c r="DF151" s="161" t="str">
        <f t="shared" si="94"/>
        <v/>
      </c>
      <c r="DG151" s="161" t="str">
        <f t="shared" si="95"/>
        <v/>
      </c>
      <c r="DH151" s="161" t="str">
        <f t="shared" si="96"/>
        <v/>
      </c>
      <c r="DI151" s="161" t="str">
        <f t="shared" si="97"/>
        <v/>
      </c>
      <c r="DJ151" s="161" t="str">
        <f t="shared" si="98"/>
        <v/>
      </c>
      <c r="DK151" s="161" t="str">
        <f t="shared" si="99"/>
        <v/>
      </c>
      <c r="DL151" s="161" t="str">
        <f t="shared" si="100"/>
        <v/>
      </c>
      <c r="DM151" s="161" t="str">
        <f t="shared" si="101"/>
        <v/>
      </c>
      <c r="DN151" s="161" t="str">
        <f t="shared" si="102"/>
        <v/>
      </c>
      <c r="DO151" s="161" t="str">
        <f t="shared" si="103"/>
        <v/>
      </c>
      <c r="DP151" s="161" t="str">
        <f t="shared" si="104"/>
        <v/>
      </c>
      <c r="DQ151" s="161" t="str">
        <f t="shared" si="105"/>
        <v/>
      </c>
      <c r="DR151" s="161" t="str">
        <f t="shared" si="106"/>
        <v/>
      </c>
      <c r="DS151" s="161" t="str">
        <f t="shared" si="107"/>
        <v/>
      </c>
      <c r="DT151" s="161" t="str">
        <f t="shared" si="108"/>
        <v/>
      </c>
      <c r="DU151" s="161" t="str">
        <f t="shared" si="109"/>
        <v/>
      </c>
      <c r="DV151" s="161" t="str">
        <f t="shared" si="110"/>
        <v/>
      </c>
      <c r="DW151" s="161" t="str">
        <f t="shared" si="111"/>
        <v/>
      </c>
      <c r="DX151" s="161" t="str">
        <f t="shared" si="112"/>
        <v/>
      </c>
      <c r="DY151" s="161" t="str">
        <f t="shared" si="113"/>
        <v/>
      </c>
      <c r="DZ151" s="161" t="str">
        <f t="shared" si="114"/>
        <v/>
      </c>
      <c r="EA151" s="161" t="str">
        <f t="shared" si="115"/>
        <v/>
      </c>
      <c r="EB151" s="161" t="str">
        <f t="shared" si="116"/>
        <v/>
      </c>
      <c r="EC151" s="161" t="str">
        <f t="shared" si="117"/>
        <v/>
      </c>
      <c r="ED151" s="161" t="str">
        <f t="shared" si="118"/>
        <v/>
      </c>
      <c r="EE151" s="161" t="str">
        <f t="shared" si="119"/>
        <v/>
      </c>
      <c r="EF151" s="161" t="str">
        <f t="shared" si="120"/>
        <v/>
      </c>
      <c r="EG151" s="161" t="str">
        <f t="shared" si="121"/>
        <v/>
      </c>
      <c r="EH151" s="161" t="str">
        <f t="shared" si="122"/>
        <v/>
      </c>
      <c r="EI151" s="161" t="str">
        <f t="shared" si="123"/>
        <v/>
      </c>
      <c r="EJ151" s="161" t="str">
        <f t="shared" si="124"/>
        <v/>
      </c>
      <c r="EK151" s="147" t="str">
        <f t="shared" si="132"/>
        <v/>
      </c>
      <c r="EL151" s="149"/>
      <c r="EN151" s="151"/>
      <c r="EO151" s="151"/>
      <c r="EP151" s="139" t="str">
        <f t="shared" si="133"/>
        <v/>
      </c>
      <c r="EQ151" s="139" t="str">
        <f t="shared" si="134"/>
        <v/>
      </c>
      <c r="ER151" s="139" t="str">
        <f t="shared" si="135"/>
        <v/>
      </c>
      <c r="ES151" s="139" t="str">
        <f t="shared" si="136"/>
        <v/>
      </c>
      <c r="ET151" s="139" t="str">
        <f t="shared" si="137"/>
        <v/>
      </c>
      <c r="EU151" s="139" t="str">
        <f t="shared" si="138"/>
        <v/>
      </c>
      <c r="EV151" s="139" t="str">
        <f t="shared" si="139"/>
        <v/>
      </c>
      <c r="EW151" s="139" t="str">
        <f t="shared" si="140"/>
        <v/>
      </c>
      <c r="EX151" s="139" t="str">
        <f t="shared" si="141"/>
        <v/>
      </c>
      <c r="EY151" s="139" t="str">
        <f t="shared" si="142"/>
        <v/>
      </c>
      <c r="EZ151" s="139" t="str">
        <f t="shared" si="143"/>
        <v/>
      </c>
      <c r="FA151" s="139" t="str">
        <f t="shared" si="144"/>
        <v/>
      </c>
      <c r="FB151" s="139" t="str">
        <f t="shared" si="145"/>
        <v/>
      </c>
      <c r="FC151" s="139" t="str">
        <f t="shared" si="146"/>
        <v/>
      </c>
      <c r="FD151" s="139" t="str">
        <f t="shared" si="147"/>
        <v/>
      </c>
      <c r="FE151" s="139" t="str">
        <f t="shared" si="148"/>
        <v/>
      </c>
      <c r="FF151" s="139" t="str">
        <f t="shared" si="149"/>
        <v/>
      </c>
      <c r="FG151" s="139" t="str">
        <f t="shared" si="150"/>
        <v/>
      </c>
      <c r="FH151" s="139" t="str">
        <f t="shared" si="151"/>
        <v/>
      </c>
      <c r="FI151" s="139" t="str">
        <f t="shared" si="152"/>
        <v/>
      </c>
      <c r="FJ151" s="139" t="str">
        <f t="shared" si="153"/>
        <v/>
      </c>
      <c r="FK151" s="139" t="str">
        <f t="shared" si="154"/>
        <v/>
      </c>
      <c r="FL151" s="139" t="str">
        <f t="shared" si="155"/>
        <v/>
      </c>
      <c r="FM151" s="139" t="str">
        <f t="shared" si="156"/>
        <v/>
      </c>
      <c r="FN151" s="139" t="str">
        <f t="shared" si="157"/>
        <v/>
      </c>
      <c r="FO151" s="139" t="str">
        <f t="shared" si="158"/>
        <v/>
      </c>
      <c r="FP151" s="139" t="str">
        <f t="shared" si="159"/>
        <v/>
      </c>
      <c r="FQ151" s="139" t="str">
        <f t="shared" si="160"/>
        <v/>
      </c>
      <c r="FR151" s="139" t="str">
        <f t="shared" si="161"/>
        <v/>
      </c>
      <c r="FS151" s="139" t="str">
        <f t="shared" si="162"/>
        <v/>
      </c>
      <c r="FT151" s="139" t="str">
        <f t="shared" si="163"/>
        <v/>
      </c>
      <c r="FU151" s="148" t="str">
        <f t="shared" si="164"/>
        <v/>
      </c>
      <c r="FV151" s="149"/>
      <c r="FY151" s="211">
        <v>146</v>
      </c>
      <c r="FZ151">
        <v>1.9074653077403858</v>
      </c>
      <c r="GA151">
        <v>14.764085792225071</v>
      </c>
      <c r="GB151">
        <v>23.043959749963101</v>
      </c>
      <c r="GC151">
        <v>12.429405671714486</v>
      </c>
      <c r="GD151">
        <v>8.3547413813459421</v>
      </c>
      <c r="GE151">
        <v>18.058304411470406</v>
      </c>
      <c r="GF151">
        <v>19.766861266655113</v>
      </c>
      <c r="GG151">
        <v>7.9123088943421456</v>
      </c>
      <c r="GH151">
        <v>1.4165575191238851</v>
      </c>
      <c r="GI151">
        <v>15.079006446054677</v>
      </c>
      <c r="GJ151"/>
      <c r="GK151"/>
      <c r="GL151"/>
      <c r="GM151"/>
    </row>
    <row r="152" spans="1:195" s="7" customFormat="1">
      <c r="A152" s="77"/>
      <c r="B152" s="76">
        <f t="shared" ref="B152:B183" ca="1" si="171">IF(C152="", "", RAND())</f>
        <v>0.57249919753680723</v>
      </c>
      <c r="C152">
        <v>8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107.95591809829853</v>
      </c>
      <c r="AO152">
        <v>40.261416818250005</v>
      </c>
      <c r="AP152">
        <v>283.63497122463394</v>
      </c>
      <c r="AQ152">
        <v>237.25194802650293</v>
      </c>
      <c r="AR152">
        <v>36.601938419494573</v>
      </c>
      <c r="AS152">
        <v>181.70555055646216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2">IF(AZ152="", "", RAND())</f>
        <v>0.7996356187497633</v>
      </c>
      <c r="AZ152">
        <v>5</v>
      </c>
      <c r="BA152" s="129">
        <f t="shared" si="170"/>
        <v>39847</v>
      </c>
      <c r="BB152">
        <v>0</v>
      </c>
      <c r="BC152">
        <v>0</v>
      </c>
      <c r="BD152">
        <v>0</v>
      </c>
      <c r="BE152">
        <v>0</v>
      </c>
      <c r="BF152">
        <v>9</v>
      </c>
      <c r="BG152">
        <v>3</v>
      </c>
      <c r="BH152">
        <v>1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89"/>
        <v>0.37396513861635361</v>
      </c>
      <c r="CL152" s="179">
        <f t="shared" si="90"/>
        <v>5</v>
      </c>
      <c r="CM152" s="180">
        <f t="shared" si="91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3">IF(DD152="", "", RAND())</f>
        <v>0.78271430387989827</v>
      </c>
      <c r="DD152">
        <f t="shared" si="93"/>
        <v>5</v>
      </c>
      <c r="DE152" s="129">
        <f t="shared" si="169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93.75</v>
      </c>
      <c r="DK152" s="161">
        <f t="shared" si="99"/>
        <v>31.25</v>
      </c>
      <c r="DL152" s="161">
        <f t="shared" si="100"/>
        <v>10.416666666666666</v>
      </c>
      <c r="DM152" s="161">
        <f t="shared" si="101"/>
        <v>0</v>
      </c>
      <c r="DN152" s="161">
        <f t="shared" si="102"/>
        <v>0</v>
      </c>
      <c r="DO152" s="161">
        <f t="shared" si="103"/>
        <v>0</v>
      </c>
      <c r="DP152" s="161">
        <f t="shared" si="104"/>
        <v>0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4">IF(DF152="", "", SUM(DF152:EJ152))</f>
        <v>135.41666666666666</v>
      </c>
      <c r="EL152" s="149"/>
      <c r="EN152" s="151"/>
      <c r="EO152" s="151"/>
      <c r="EP152" s="139">
        <f t="shared" ref="EP152:EP183" si="175">IF(DF152="", "", DF152*G$36)</f>
        <v>0</v>
      </c>
      <c r="EQ152" s="139">
        <f t="shared" ref="EQ152:EQ183" si="176">IF(DG152="", "", DG152*H$36)</f>
        <v>0</v>
      </c>
      <c r="ER152" s="139">
        <f t="shared" ref="ER152:ER183" si="177">IF(DH152="", "", DH152*I$36)</f>
        <v>0</v>
      </c>
      <c r="ES152" s="139">
        <f t="shared" ref="ES152:ES183" si="178">IF(DI152="", "", DI152*J$36)</f>
        <v>0</v>
      </c>
      <c r="ET152" s="139">
        <f t="shared" ref="ET152:ET183" si="179">IF(DJ152="", "", DJ152*K$36)</f>
        <v>37.757745108751593</v>
      </c>
      <c r="EU152" s="139">
        <f t="shared" ref="EU152:EU183" si="180">IF(DK152="", "", DK152*L$36)</f>
        <v>22.869271568719494</v>
      </c>
      <c r="EV152" s="139">
        <f t="shared" ref="EV152:EV183" si="181">IF(DL152="", "", DL152*M$36)</f>
        <v>12.417946497518479</v>
      </c>
      <c r="EW152" s="139">
        <f t="shared" ref="EW152:EW183" si="182">IF(DM152="", "", DM152*N$36)</f>
        <v>0</v>
      </c>
      <c r="EX152" s="139">
        <f t="shared" ref="EX152:EX183" si="183">IF(DN152="", "", DN152*O$36)</f>
        <v>0</v>
      </c>
      <c r="EY152" s="139">
        <f t="shared" ref="EY152:EY183" si="184">IF(DO152="", "", DO152*P$36)</f>
        <v>0</v>
      </c>
      <c r="EZ152" s="139">
        <f t="shared" ref="EZ152:EZ183" si="185">IF(DP152="", "", DP152*Q$36)</f>
        <v>0</v>
      </c>
      <c r="FA152" s="139">
        <f t="shared" ref="FA152:FA183" si="186">IF(DQ152="", "", DQ152*R$36)</f>
        <v>0</v>
      </c>
      <c r="FB152" s="139">
        <f t="shared" ref="FB152:FB183" si="187">IF(DR152="", "", DR152*S$36)</f>
        <v>0</v>
      </c>
      <c r="FC152" s="139">
        <f t="shared" ref="FC152:FC183" si="188">IF(DS152="", "", DS152*T$36)</f>
        <v>0</v>
      </c>
      <c r="FD152" s="139">
        <f t="shared" ref="FD152:FD183" si="189">IF(DT152="", "", DT152*U$36)</f>
        <v>0</v>
      </c>
      <c r="FE152" s="139">
        <f t="shared" ref="FE152:FE183" si="190">IF(DU152="", "", DU152*V$36)</f>
        <v>0</v>
      </c>
      <c r="FF152" s="139">
        <f t="shared" ref="FF152:FF183" si="191">IF(DV152="", "", DV152*W$36)</f>
        <v>0</v>
      </c>
      <c r="FG152" s="139">
        <f t="shared" ref="FG152:FG183" si="192">IF(DW152="", "", DW152*X$36)</f>
        <v>0</v>
      </c>
      <c r="FH152" s="139">
        <f t="shared" ref="FH152:FH183" si="193">IF(DX152="", "", DX152*Y$36)</f>
        <v>0</v>
      </c>
      <c r="FI152" s="139">
        <f t="shared" ref="FI152:FI183" si="194">IF(DY152="", "", DY152*Z$36)</f>
        <v>0</v>
      </c>
      <c r="FJ152" s="139">
        <f t="shared" ref="FJ152:FJ183" si="195">IF(DZ152="", "", DZ152*AA$36)</f>
        <v>0</v>
      </c>
      <c r="FK152" s="139">
        <f t="shared" ref="FK152:FK183" si="196">IF(EA152="", "", EA152*AB$36)</f>
        <v>0</v>
      </c>
      <c r="FL152" s="139">
        <f t="shared" ref="FL152:FL183" si="197">IF(EB152="", "", EB152*AC$36)</f>
        <v>0</v>
      </c>
      <c r="FM152" s="139">
        <f t="shared" ref="FM152:FM183" si="198">IF(EC152="", "", EC152*AD$36)</f>
        <v>0</v>
      </c>
      <c r="FN152" s="139">
        <f t="shared" ref="FN152:FN183" si="199">IF(ED152="", "", ED152*AE$36)</f>
        <v>0</v>
      </c>
      <c r="FO152" s="139">
        <f t="shared" ref="FO152:FO183" si="200">IF(EE152="", "", EE152*AF$36)</f>
        <v>0</v>
      </c>
      <c r="FP152" s="139">
        <f t="shared" ref="FP152:FP183" si="201">IF(EF152="", "", EF152*AG$36)</f>
        <v>0</v>
      </c>
      <c r="FQ152" s="139">
        <f t="shared" ref="FQ152:FQ183" si="202">IF(EG152="", "", EG152*AH$36)</f>
        <v>0</v>
      </c>
      <c r="FR152" s="139">
        <f t="shared" ref="FR152:FR183" si="203">IF(EH152="", "", EH152*AI$36)</f>
        <v>0</v>
      </c>
      <c r="FS152" s="139">
        <f t="shared" ref="FS152:FS183" si="204">IF(EI152="", "", EI152*AJ$36)</f>
        <v>0</v>
      </c>
      <c r="FT152" s="139">
        <f t="shared" ref="FT152:FT183" si="205">IF(EJ152="", "", EJ152*AK$36)</f>
        <v>0</v>
      </c>
      <c r="FU152" s="148">
        <f t="shared" ref="FU152:FU183" si="206">IF(EP152="","",SUM(EP152:FT152))</f>
        <v>73.044963174989562</v>
      </c>
      <c r="FV152" s="149"/>
      <c r="FY152" s="211">
        <v>147</v>
      </c>
      <c r="FZ152">
        <v>3.8513649192344914</v>
      </c>
      <c r="GA152">
        <v>17.538658576012715</v>
      </c>
      <c r="GB152">
        <v>16.939494471885151</v>
      </c>
      <c r="GC152">
        <v>11.887653706180773</v>
      </c>
      <c r="GD152">
        <v>11.86617884135423</v>
      </c>
      <c r="GE152">
        <v>22.072003861565008</v>
      </c>
      <c r="GF152">
        <v>21.439596162721646</v>
      </c>
      <c r="GG152">
        <v>14.04691376354069</v>
      </c>
      <c r="GH152">
        <v>8.1568797996083848</v>
      </c>
      <c r="GI152">
        <v>17.30023265922058</v>
      </c>
      <c r="GJ152"/>
      <c r="GK152"/>
      <c r="GL152"/>
      <c r="GM152"/>
    </row>
    <row r="153" spans="1:195" s="7" customFormat="1">
      <c r="A153" s="77"/>
      <c r="B153" s="76">
        <f t="shared" ca="1" si="171"/>
        <v>0.1842646110280084</v>
      </c>
      <c r="C153">
        <v>6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20.833333333333332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77.745685549021886</v>
      </c>
      <c r="AO153">
        <v>23.543095084095295</v>
      </c>
      <c r="AP153">
        <v>152.49783093622318</v>
      </c>
      <c r="AQ153">
        <v>135.84096253915104</v>
      </c>
      <c r="AR153">
        <v>20.93625612110699</v>
      </c>
      <c r="AS153">
        <v>110.78624641502755</v>
      </c>
      <c r="AT153" t="e">
        <v>#DIV/0!</v>
      </c>
      <c r="AU153" t="e">
        <v>#DIV/0!</v>
      </c>
      <c r="AV153"/>
      <c r="AW153"/>
      <c r="AX153" s="151"/>
      <c r="AY153" s="76">
        <f t="shared" ca="1" si="172"/>
        <v>0.92399777670740635</v>
      </c>
      <c r="AZ153">
        <v>6</v>
      </c>
      <c r="BA153" s="129">
        <f t="shared" si="170"/>
        <v>39847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2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7">IF(AZ153="", "", RAND())</f>
        <v>0.91540301385926304</v>
      </c>
      <c r="CL153" s="179">
        <f t="shared" ref="CL153:CL207" si="208">IF(AZ153="", "", AZ153)</f>
        <v>6</v>
      </c>
      <c r="CM153" s="180">
        <f t="shared" ref="CM153:CM207" si="209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10">IF(AZ153="", "", $G$15)</f>
        <v>9.6000000000000002E-2</v>
      </c>
      <c r="DB153" s="151"/>
      <c r="DC153" s="76">
        <f t="shared" ca="1" si="173"/>
        <v>0.83315608580156253</v>
      </c>
      <c r="DD153">
        <f t="shared" ref="DD153:DD207" si="211">IF(AZ153="", "", AZ153)</f>
        <v>6</v>
      </c>
      <c r="DE153" s="129">
        <f t="shared" si="169"/>
        <v>39847</v>
      </c>
      <c r="DF153" s="161">
        <f t="shared" ref="DF153:DF187" si="212">IF($AZ153="", "", ((BB153*$CW153)+(CN153*$CX153))/$CZ153)</f>
        <v>0</v>
      </c>
      <c r="DG153" s="161">
        <f t="shared" ref="DG153:DG187" si="213">IF($AZ153="", "", ((BC153*$CW153)+(CO153*$CX153))/$CZ153)</f>
        <v>0</v>
      </c>
      <c r="DH153" s="161">
        <f t="shared" ref="DH153:DH187" si="214">IF($AZ153="", "", ((BD153*$CW153)+(CP153*$CX153))/$CZ153)</f>
        <v>0</v>
      </c>
      <c r="DI153" s="161">
        <f t="shared" ref="DI153:DI187" si="215">IF($AZ153="", "", ((BE153*$CW153)+(CQ153*$CX153))/$CZ153)</f>
        <v>0</v>
      </c>
      <c r="DJ153" s="161">
        <f t="shared" ref="DJ153:DJ187" si="216">IF($AZ153="", "", ((BF153*$CW153)+(CR153*$CX153))/$CZ153)</f>
        <v>0</v>
      </c>
      <c r="DK153" s="161">
        <f t="shared" ref="DK153:DK187" si="217">IF($AZ153="", "", ((BG153*$CW153)+(CS153*$CX153))/$CZ153)</f>
        <v>20.833333333333332</v>
      </c>
      <c r="DL153" s="161">
        <f t="shared" ref="DL153:DL187" si="218">IF($AZ153="", "", ((BH153*$CW153)+(CT153*$CX153))/$CZ153)</f>
        <v>0</v>
      </c>
      <c r="DM153" s="161">
        <f t="shared" ref="DM153:DM187" si="219">IF($AZ153="", "", ((BI153*$CW153)+(CU153*$CX153))/$CZ153)</f>
        <v>0</v>
      </c>
      <c r="DN153" s="161">
        <f t="shared" ref="DN153:DN187" si="220">IF($AZ153="", "", (BJ153*$CW153)/$CZ153)</f>
        <v>0</v>
      </c>
      <c r="DO153" s="161">
        <f t="shared" ref="DO153:DO187" si="221">IF($AZ153="", "", (BK153*$CW153)/$CZ153)</f>
        <v>0</v>
      </c>
      <c r="DP153" s="161">
        <f t="shared" ref="DP153:DP187" si="222">IF($AZ153="", "", (BL153*$CW153)/$CZ153)</f>
        <v>0</v>
      </c>
      <c r="DQ153" s="161">
        <f t="shared" ref="DQ153:DQ187" si="223">IF($AZ153="", "", (BM153*$CW153)/$CZ153)</f>
        <v>0</v>
      </c>
      <c r="DR153" s="161">
        <f t="shared" ref="DR153:DR187" si="224">IF($AZ153="", "", (BN153*$CW153)/$CZ153)</f>
        <v>0</v>
      </c>
      <c r="DS153" s="161">
        <f t="shared" ref="DS153:DS187" si="225">IF($AZ153="", "", (BO153*$CW153)/$CZ153)</f>
        <v>0</v>
      </c>
      <c r="DT153" s="161">
        <f t="shared" ref="DT153:DT187" si="226">IF($AZ153="", "", (BP153*$CW153)/$CZ153)</f>
        <v>0</v>
      </c>
      <c r="DU153" s="161">
        <f t="shared" ref="DU153:DU187" si="227">IF($AZ153="", "", (BQ153*$CW153)/$CZ153)</f>
        <v>0</v>
      </c>
      <c r="DV153" s="161">
        <f t="shared" ref="DV153:DV187" si="228">IF($AZ153="", "", (BR153*$CW153)/$CZ153)</f>
        <v>0</v>
      </c>
      <c r="DW153" s="161">
        <f t="shared" ref="DW153:DW187" si="229">IF($AZ153="", "", (BS153*$CW153)/$CZ153)</f>
        <v>0</v>
      </c>
      <c r="DX153" s="161">
        <f t="shared" ref="DX153:DX187" si="230">IF($AZ153="", "", (BT153*$CW153)/$CZ153)</f>
        <v>0</v>
      </c>
      <c r="DY153" s="161">
        <f t="shared" ref="DY153:DY187" si="231">IF($AZ153="", "", (BU153*$CW153)/$CZ153)</f>
        <v>0</v>
      </c>
      <c r="DZ153" s="161">
        <f t="shared" ref="DZ153:DZ187" si="232">IF($AZ153="", "", (BV153*$CW153)/$CZ153)</f>
        <v>0</v>
      </c>
      <c r="EA153" s="161">
        <f t="shared" ref="EA153:EA187" si="233">IF($AZ153="", "", (BW153*$CW153)/$CZ153)</f>
        <v>0</v>
      </c>
      <c r="EB153" s="161">
        <f t="shared" ref="EB153:EB187" si="234">IF($AZ153="", "", (BX153*$CW153)/$CZ153)</f>
        <v>0</v>
      </c>
      <c r="EC153" s="161">
        <f t="shared" ref="EC153:EC187" si="235">IF($AZ153="", "", (BY153*$CW153)/$CZ153)</f>
        <v>0</v>
      </c>
      <c r="ED153" s="161">
        <f t="shared" ref="ED153:ED187" si="236">IF($AZ153="", "", (BZ153*$CW153)/$CZ153)</f>
        <v>0</v>
      </c>
      <c r="EE153" s="161">
        <f t="shared" ref="EE153:EE187" si="237">IF($AZ153="", "", (CA153*$CW153)/$CZ153)</f>
        <v>0</v>
      </c>
      <c r="EF153" s="161">
        <f t="shared" ref="EF153:EF187" si="238">IF($AZ153="", "", (CB153*$CW153)/$CZ153)</f>
        <v>0</v>
      </c>
      <c r="EG153" s="161">
        <f t="shared" ref="EG153:EG187" si="239">IF($AZ153="", "", (CC153*$CW153)/$CZ153)</f>
        <v>0</v>
      </c>
      <c r="EH153" s="161">
        <f t="shared" ref="EH153:EH187" si="240">IF($AZ153="", "", (CD153*$CW153)/$CZ153)</f>
        <v>0</v>
      </c>
      <c r="EI153" s="161">
        <f t="shared" ref="EI153:EI187" si="241">IF($AZ153="", "", (CE153*$CW153)/$CZ153)</f>
        <v>0</v>
      </c>
      <c r="EJ153" s="161">
        <f t="shared" ref="EJ153:EJ187" si="242">IF($AZ153="", "", (CF153*$CW153)/$CZ153)</f>
        <v>0</v>
      </c>
      <c r="EK153" s="147">
        <f t="shared" si="174"/>
        <v>20.833333333333332</v>
      </c>
      <c r="EL153" s="149"/>
      <c r="EN153" s="151"/>
      <c r="EO153" s="151"/>
      <c r="EP153" s="139">
        <f t="shared" si="175"/>
        <v>0</v>
      </c>
      <c r="EQ153" s="139">
        <f t="shared" si="176"/>
        <v>0</v>
      </c>
      <c r="ER153" s="139">
        <f t="shared" si="177"/>
        <v>0</v>
      </c>
      <c r="ES153" s="139">
        <f t="shared" si="178"/>
        <v>0</v>
      </c>
      <c r="ET153" s="139">
        <f t="shared" si="179"/>
        <v>0</v>
      </c>
      <c r="EU153" s="139">
        <f t="shared" si="180"/>
        <v>15.246181045812996</v>
      </c>
      <c r="EV153" s="139">
        <f t="shared" si="181"/>
        <v>0</v>
      </c>
      <c r="EW153" s="139">
        <f t="shared" si="182"/>
        <v>0</v>
      </c>
      <c r="EX153" s="139">
        <f t="shared" si="183"/>
        <v>0</v>
      </c>
      <c r="EY153" s="139">
        <f t="shared" si="184"/>
        <v>0</v>
      </c>
      <c r="EZ153" s="139">
        <f t="shared" si="185"/>
        <v>0</v>
      </c>
      <c r="FA153" s="139">
        <f t="shared" si="186"/>
        <v>0</v>
      </c>
      <c r="FB153" s="139">
        <f t="shared" si="187"/>
        <v>0</v>
      </c>
      <c r="FC153" s="139">
        <f t="shared" si="188"/>
        <v>0</v>
      </c>
      <c r="FD153" s="139">
        <f t="shared" si="189"/>
        <v>0</v>
      </c>
      <c r="FE153" s="139">
        <f t="shared" si="190"/>
        <v>0</v>
      </c>
      <c r="FF153" s="139">
        <f t="shared" si="191"/>
        <v>0</v>
      </c>
      <c r="FG153" s="139">
        <f t="shared" si="192"/>
        <v>0</v>
      </c>
      <c r="FH153" s="139">
        <f t="shared" si="193"/>
        <v>0</v>
      </c>
      <c r="FI153" s="139">
        <f t="shared" si="194"/>
        <v>0</v>
      </c>
      <c r="FJ153" s="139">
        <f t="shared" si="195"/>
        <v>0</v>
      </c>
      <c r="FK153" s="139">
        <f t="shared" si="196"/>
        <v>0</v>
      </c>
      <c r="FL153" s="139">
        <f t="shared" si="197"/>
        <v>0</v>
      </c>
      <c r="FM153" s="139">
        <f t="shared" si="198"/>
        <v>0</v>
      </c>
      <c r="FN153" s="139">
        <f t="shared" si="199"/>
        <v>0</v>
      </c>
      <c r="FO153" s="139">
        <f t="shared" si="200"/>
        <v>0</v>
      </c>
      <c r="FP153" s="139">
        <f t="shared" si="201"/>
        <v>0</v>
      </c>
      <c r="FQ153" s="139">
        <f t="shared" si="202"/>
        <v>0</v>
      </c>
      <c r="FR153" s="139">
        <f t="shared" si="203"/>
        <v>0</v>
      </c>
      <c r="FS153" s="139">
        <f t="shared" si="204"/>
        <v>0</v>
      </c>
      <c r="FT153" s="139">
        <f t="shared" si="205"/>
        <v>0</v>
      </c>
      <c r="FU153" s="148">
        <f t="shared" si="206"/>
        <v>15.246181045812996</v>
      </c>
      <c r="FV153" s="149"/>
      <c r="FY153" s="211">
        <v>148</v>
      </c>
      <c r="FZ153">
        <v>2.2455922134792918</v>
      </c>
      <c r="GA153">
        <v>17.883582219485174</v>
      </c>
      <c r="GB153">
        <v>16.473180088087037</v>
      </c>
      <c r="GC153">
        <v>9.9461046424679154</v>
      </c>
      <c r="GD153">
        <v>10.211837574078196</v>
      </c>
      <c r="GE153">
        <v>23.637238434395645</v>
      </c>
      <c r="GF153">
        <v>33.198282796739832</v>
      </c>
      <c r="GG153">
        <v>26.229812746796117</v>
      </c>
      <c r="GH153">
        <v>18.729327190679417</v>
      </c>
      <c r="GI153">
        <v>19.896142348478598</v>
      </c>
      <c r="GJ153"/>
      <c r="GK153"/>
      <c r="GL153"/>
      <c r="GM153"/>
    </row>
    <row r="154" spans="1:195" s="7" customFormat="1">
      <c r="A154" s="77"/>
      <c r="B154" s="76">
        <f t="shared" ca="1" si="171"/>
        <v>0.47749613198618945</v>
      </c>
      <c r="C154">
        <v>1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41.666666666666664</v>
      </c>
      <c r="J154">
        <v>83.333333333333329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84.611897693116049</v>
      </c>
      <c r="AO154">
        <v>32.209955484970472</v>
      </c>
      <c r="AP154">
        <v>205.33779314740823</v>
      </c>
      <c r="AQ154">
        <v>176.74540807210957</v>
      </c>
      <c r="AR154">
        <v>29.385363281443482</v>
      </c>
      <c r="AS154">
        <v>141.42837006684852</v>
      </c>
      <c r="AT154">
        <v>21.910345213316173</v>
      </c>
      <c r="AU154">
        <v>44.928726355111749</v>
      </c>
      <c r="AV154"/>
      <c r="AW154"/>
      <c r="AX154" s="151"/>
      <c r="AY154" s="76">
        <f t="shared" ca="1" si="172"/>
        <v>0.24923902366377448</v>
      </c>
      <c r="AZ154">
        <v>7</v>
      </c>
      <c r="BA154" s="129">
        <f t="shared" si="170"/>
        <v>39847</v>
      </c>
      <c r="BB154">
        <v>0</v>
      </c>
      <c r="BC154">
        <v>0</v>
      </c>
      <c r="BD154">
        <v>0</v>
      </c>
      <c r="BE154">
        <v>0</v>
      </c>
      <c r="BF154">
        <v>2</v>
      </c>
      <c r="BG154">
        <v>2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7"/>
        <v>0.28120781499087899</v>
      </c>
      <c r="CL154" s="179">
        <f t="shared" si="208"/>
        <v>7</v>
      </c>
      <c r="CM154" s="180">
        <f t="shared" si="209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10"/>
        <v>9.6000000000000002E-2</v>
      </c>
      <c r="DB154" s="151"/>
      <c r="DC154" s="76">
        <f t="shared" ca="1" si="173"/>
        <v>0.58515473629435721</v>
      </c>
      <c r="DD154">
        <f t="shared" si="211"/>
        <v>7</v>
      </c>
      <c r="DE154" s="129">
        <f t="shared" si="169"/>
        <v>39847</v>
      </c>
      <c r="DF154" s="161">
        <f t="shared" si="212"/>
        <v>0</v>
      </c>
      <c r="DG154" s="161">
        <f t="shared" si="213"/>
        <v>0</v>
      </c>
      <c r="DH154" s="161">
        <f t="shared" si="214"/>
        <v>0</v>
      </c>
      <c r="DI154" s="161">
        <f t="shared" si="215"/>
        <v>0</v>
      </c>
      <c r="DJ154" s="161">
        <f t="shared" si="216"/>
        <v>20.833333333333332</v>
      </c>
      <c r="DK154" s="161">
        <f t="shared" si="217"/>
        <v>20.833333333333332</v>
      </c>
      <c r="DL154" s="161">
        <f t="shared" si="218"/>
        <v>0</v>
      </c>
      <c r="DM154" s="161">
        <f t="shared" si="219"/>
        <v>0</v>
      </c>
      <c r="DN154" s="161">
        <f t="shared" si="220"/>
        <v>0</v>
      </c>
      <c r="DO154" s="161">
        <f t="shared" si="221"/>
        <v>0</v>
      </c>
      <c r="DP154" s="161">
        <f t="shared" si="222"/>
        <v>0</v>
      </c>
      <c r="DQ154" s="161">
        <f t="shared" si="223"/>
        <v>0</v>
      </c>
      <c r="DR154" s="161">
        <f t="shared" si="224"/>
        <v>0</v>
      </c>
      <c r="DS154" s="161">
        <f t="shared" si="225"/>
        <v>0</v>
      </c>
      <c r="DT154" s="161">
        <f t="shared" si="226"/>
        <v>0</v>
      </c>
      <c r="DU154" s="161">
        <f t="shared" si="227"/>
        <v>0</v>
      </c>
      <c r="DV154" s="161">
        <f t="shared" si="228"/>
        <v>0</v>
      </c>
      <c r="DW154" s="161">
        <f t="shared" si="229"/>
        <v>0</v>
      </c>
      <c r="DX154" s="161">
        <f t="shared" si="230"/>
        <v>0</v>
      </c>
      <c r="DY154" s="161">
        <f t="shared" si="231"/>
        <v>0</v>
      </c>
      <c r="DZ154" s="161">
        <f t="shared" si="232"/>
        <v>0</v>
      </c>
      <c r="EA154" s="161">
        <f t="shared" si="233"/>
        <v>0</v>
      </c>
      <c r="EB154" s="161">
        <f t="shared" si="234"/>
        <v>0</v>
      </c>
      <c r="EC154" s="161">
        <f t="shared" si="235"/>
        <v>0</v>
      </c>
      <c r="ED154" s="161">
        <f t="shared" si="236"/>
        <v>0</v>
      </c>
      <c r="EE154" s="161">
        <f t="shared" si="237"/>
        <v>0</v>
      </c>
      <c r="EF154" s="161">
        <f t="shared" si="238"/>
        <v>0</v>
      </c>
      <c r="EG154" s="161">
        <f t="shared" si="239"/>
        <v>0</v>
      </c>
      <c r="EH154" s="161">
        <f t="shared" si="240"/>
        <v>0</v>
      </c>
      <c r="EI154" s="161">
        <f t="shared" si="241"/>
        <v>0</v>
      </c>
      <c r="EJ154" s="161">
        <f t="shared" si="242"/>
        <v>0</v>
      </c>
      <c r="EK154" s="147">
        <f t="shared" si="174"/>
        <v>41.666666666666664</v>
      </c>
      <c r="EL154" s="149"/>
      <c r="EN154" s="151"/>
      <c r="EO154" s="151"/>
      <c r="EP154" s="139">
        <f t="shared" si="175"/>
        <v>0</v>
      </c>
      <c r="EQ154" s="139">
        <f t="shared" si="176"/>
        <v>0</v>
      </c>
      <c r="ER154" s="139">
        <f t="shared" si="177"/>
        <v>0</v>
      </c>
      <c r="ES154" s="139">
        <f t="shared" si="178"/>
        <v>0</v>
      </c>
      <c r="ET154" s="139">
        <f t="shared" si="179"/>
        <v>8.3906100241670192</v>
      </c>
      <c r="EU154" s="139">
        <f t="shared" si="180"/>
        <v>15.246181045812996</v>
      </c>
      <c r="EV154" s="139">
        <f t="shared" si="181"/>
        <v>0</v>
      </c>
      <c r="EW154" s="139">
        <f t="shared" si="182"/>
        <v>0</v>
      </c>
      <c r="EX154" s="139">
        <f t="shared" si="183"/>
        <v>0</v>
      </c>
      <c r="EY154" s="139">
        <f t="shared" si="184"/>
        <v>0</v>
      </c>
      <c r="EZ154" s="139">
        <f t="shared" si="185"/>
        <v>0</v>
      </c>
      <c r="FA154" s="139">
        <f t="shared" si="186"/>
        <v>0</v>
      </c>
      <c r="FB154" s="139">
        <f t="shared" si="187"/>
        <v>0</v>
      </c>
      <c r="FC154" s="139">
        <f t="shared" si="188"/>
        <v>0</v>
      </c>
      <c r="FD154" s="139">
        <f t="shared" si="189"/>
        <v>0</v>
      </c>
      <c r="FE154" s="139">
        <f t="shared" si="190"/>
        <v>0</v>
      </c>
      <c r="FF154" s="139">
        <f t="shared" si="191"/>
        <v>0</v>
      </c>
      <c r="FG154" s="139">
        <f t="shared" si="192"/>
        <v>0</v>
      </c>
      <c r="FH154" s="139">
        <f t="shared" si="193"/>
        <v>0</v>
      </c>
      <c r="FI154" s="139">
        <f t="shared" si="194"/>
        <v>0</v>
      </c>
      <c r="FJ154" s="139">
        <f t="shared" si="195"/>
        <v>0</v>
      </c>
      <c r="FK154" s="139">
        <f t="shared" si="196"/>
        <v>0</v>
      </c>
      <c r="FL154" s="139">
        <f t="shared" si="197"/>
        <v>0</v>
      </c>
      <c r="FM154" s="139">
        <f t="shared" si="198"/>
        <v>0</v>
      </c>
      <c r="FN154" s="139">
        <f t="shared" si="199"/>
        <v>0</v>
      </c>
      <c r="FO154" s="139">
        <f t="shared" si="200"/>
        <v>0</v>
      </c>
      <c r="FP154" s="139">
        <f t="shared" si="201"/>
        <v>0</v>
      </c>
      <c r="FQ154" s="139">
        <f t="shared" si="202"/>
        <v>0</v>
      </c>
      <c r="FR154" s="139">
        <f t="shared" si="203"/>
        <v>0</v>
      </c>
      <c r="FS154" s="139">
        <f t="shared" si="204"/>
        <v>0</v>
      </c>
      <c r="FT154" s="139">
        <f t="shared" si="205"/>
        <v>0</v>
      </c>
      <c r="FU154" s="148">
        <f t="shared" si="206"/>
        <v>23.636791069980013</v>
      </c>
      <c r="FV154" s="149"/>
      <c r="FY154" s="211">
        <v>149</v>
      </c>
      <c r="FZ154">
        <v>7.943406846269049</v>
      </c>
      <c r="GA154">
        <v>26.273346433651227</v>
      </c>
      <c r="GB154">
        <v>23.019007389716535</v>
      </c>
      <c r="GC154">
        <v>14.328345409578517</v>
      </c>
      <c r="GD154">
        <v>9.1500821374876935</v>
      </c>
      <c r="GE154">
        <v>19.742121461707633</v>
      </c>
      <c r="GF154">
        <v>34.676135139702396</v>
      </c>
      <c r="GG154">
        <v>25.519143232715656</v>
      </c>
      <c r="GH154">
        <v>14.577891564724622</v>
      </c>
      <c r="GI154">
        <v>21.439370912139427</v>
      </c>
      <c r="GJ154"/>
      <c r="GK154"/>
      <c r="GL154"/>
      <c r="GM154"/>
    </row>
    <row r="155" spans="1:195" s="7" customFormat="1">
      <c r="A155" s="77"/>
      <c r="B155" s="76">
        <f t="shared" ca="1" si="171"/>
        <v>0.89708012713777574</v>
      </c>
      <c r="C155">
        <v>9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31.25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96.830718487291762</v>
      </c>
      <c r="AO155">
        <v>39.277348589902005</v>
      </c>
      <c r="AP155">
        <v>256.1847937564965</v>
      </c>
      <c r="AQ155">
        <v>219.10726824276168</v>
      </c>
      <c r="AR155">
        <v>35.539691894232455</v>
      </c>
      <c r="AS155">
        <v>161.92620465101157</v>
      </c>
      <c r="AT155" t="e">
        <v>#DIV/0!</v>
      </c>
      <c r="AU155" t="e">
        <v>#DIV/0!</v>
      </c>
      <c r="AV155"/>
      <c r="AW155"/>
      <c r="AX155" s="151"/>
      <c r="AY155" s="76">
        <f t="shared" ca="1" si="172"/>
        <v>0.83302758366459662</v>
      </c>
      <c r="AZ155">
        <v>8</v>
      </c>
      <c r="BA155" s="129">
        <f t="shared" si="170"/>
        <v>39847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7"/>
        <v>0.71190236167110177</v>
      </c>
      <c r="CL155" s="179">
        <f t="shared" si="208"/>
        <v>8</v>
      </c>
      <c r="CM155" s="180">
        <f t="shared" si="209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10"/>
        <v>9.6000000000000002E-2</v>
      </c>
      <c r="DB155" s="151"/>
      <c r="DC155" s="76">
        <f t="shared" ca="1" si="173"/>
        <v>0.17881762679919722</v>
      </c>
      <c r="DD155">
        <f t="shared" si="211"/>
        <v>8</v>
      </c>
      <c r="DE155" s="129">
        <f t="shared" si="169"/>
        <v>39847</v>
      </c>
      <c r="DF155" s="161">
        <f t="shared" si="212"/>
        <v>0</v>
      </c>
      <c r="DG155" s="161">
        <f t="shared" si="213"/>
        <v>0</v>
      </c>
      <c r="DH155" s="161">
        <f t="shared" si="214"/>
        <v>0</v>
      </c>
      <c r="DI155" s="161">
        <f t="shared" si="215"/>
        <v>0</v>
      </c>
      <c r="DJ155" s="161">
        <f t="shared" si="216"/>
        <v>0</v>
      </c>
      <c r="DK155" s="161">
        <f t="shared" si="217"/>
        <v>0</v>
      </c>
      <c r="DL155" s="161">
        <f t="shared" si="218"/>
        <v>0</v>
      </c>
      <c r="DM155" s="161">
        <f t="shared" si="219"/>
        <v>0</v>
      </c>
      <c r="DN155" s="161">
        <f t="shared" si="220"/>
        <v>0</v>
      </c>
      <c r="DO155" s="161">
        <f t="shared" si="221"/>
        <v>0</v>
      </c>
      <c r="DP155" s="161">
        <f t="shared" si="222"/>
        <v>0</v>
      </c>
      <c r="DQ155" s="161">
        <f t="shared" si="223"/>
        <v>0</v>
      </c>
      <c r="DR155" s="161">
        <f t="shared" si="224"/>
        <v>0</v>
      </c>
      <c r="DS155" s="161">
        <f t="shared" si="225"/>
        <v>0</v>
      </c>
      <c r="DT155" s="161">
        <f t="shared" si="226"/>
        <v>0</v>
      </c>
      <c r="DU155" s="161">
        <f t="shared" si="227"/>
        <v>0</v>
      </c>
      <c r="DV155" s="161">
        <f t="shared" si="228"/>
        <v>0</v>
      </c>
      <c r="DW155" s="161">
        <f t="shared" si="229"/>
        <v>0</v>
      </c>
      <c r="DX155" s="161">
        <f t="shared" si="230"/>
        <v>0</v>
      </c>
      <c r="DY155" s="161">
        <f t="shared" si="231"/>
        <v>0</v>
      </c>
      <c r="DZ155" s="161">
        <f t="shared" si="232"/>
        <v>0</v>
      </c>
      <c r="EA155" s="161">
        <f t="shared" si="233"/>
        <v>0</v>
      </c>
      <c r="EB155" s="161">
        <f t="shared" si="234"/>
        <v>0</v>
      </c>
      <c r="EC155" s="161">
        <f t="shared" si="235"/>
        <v>0</v>
      </c>
      <c r="ED155" s="161">
        <f t="shared" si="236"/>
        <v>0</v>
      </c>
      <c r="EE155" s="161">
        <f t="shared" si="237"/>
        <v>0</v>
      </c>
      <c r="EF155" s="161">
        <f t="shared" si="238"/>
        <v>0</v>
      </c>
      <c r="EG155" s="161">
        <f t="shared" si="239"/>
        <v>0</v>
      </c>
      <c r="EH155" s="161">
        <f t="shared" si="240"/>
        <v>0</v>
      </c>
      <c r="EI155" s="161">
        <f t="shared" si="241"/>
        <v>0</v>
      </c>
      <c r="EJ155" s="161">
        <f t="shared" si="242"/>
        <v>0</v>
      </c>
      <c r="EK155" s="147">
        <f t="shared" si="174"/>
        <v>0</v>
      </c>
      <c r="EL155" s="149"/>
      <c r="EN155" s="151"/>
      <c r="EO155" s="151"/>
      <c r="EP155" s="139">
        <f t="shared" si="175"/>
        <v>0</v>
      </c>
      <c r="EQ155" s="139">
        <f t="shared" si="176"/>
        <v>0</v>
      </c>
      <c r="ER155" s="139">
        <f t="shared" si="177"/>
        <v>0</v>
      </c>
      <c r="ES155" s="139">
        <f t="shared" si="178"/>
        <v>0</v>
      </c>
      <c r="ET155" s="139">
        <f t="shared" si="179"/>
        <v>0</v>
      </c>
      <c r="EU155" s="139">
        <f t="shared" si="180"/>
        <v>0</v>
      </c>
      <c r="EV155" s="139">
        <f t="shared" si="181"/>
        <v>0</v>
      </c>
      <c r="EW155" s="139">
        <f t="shared" si="182"/>
        <v>0</v>
      </c>
      <c r="EX155" s="139">
        <f t="shared" si="183"/>
        <v>0</v>
      </c>
      <c r="EY155" s="139">
        <f t="shared" si="184"/>
        <v>0</v>
      </c>
      <c r="EZ155" s="139">
        <f t="shared" si="185"/>
        <v>0</v>
      </c>
      <c r="FA155" s="139">
        <f t="shared" si="186"/>
        <v>0</v>
      </c>
      <c r="FB155" s="139">
        <f t="shared" si="187"/>
        <v>0</v>
      </c>
      <c r="FC155" s="139">
        <f t="shared" si="188"/>
        <v>0</v>
      </c>
      <c r="FD155" s="139">
        <f t="shared" si="189"/>
        <v>0</v>
      </c>
      <c r="FE155" s="139">
        <f t="shared" si="190"/>
        <v>0</v>
      </c>
      <c r="FF155" s="139">
        <f t="shared" si="191"/>
        <v>0</v>
      </c>
      <c r="FG155" s="139">
        <f t="shared" si="192"/>
        <v>0</v>
      </c>
      <c r="FH155" s="139">
        <f t="shared" si="193"/>
        <v>0</v>
      </c>
      <c r="FI155" s="139">
        <f t="shared" si="194"/>
        <v>0</v>
      </c>
      <c r="FJ155" s="139">
        <f t="shared" si="195"/>
        <v>0</v>
      </c>
      <c r="FK155" s="139">
        <f t="shared" si="196"/>
        <v>0</v>
      </c>
      <c r="FL155" s="139">
        <f t="shared" si="197"/>
        <v>0</v>
      </c>
      <c r="FM155" s="139">
        <f t="shared" si="198"/>
        <v>0</v>
      </c>
      <c r="FN155" s="139">
        <f t="shared" si="199"/>
        <v>0</v>
      </c>
      <c r="FO155" s="139">
        <f t="shared" si="200"/>
        <v>0</v>
      </c>
      <c r="FP155" s="139">
        <f t="shared" si="201"/>
        <v>0</v>
      </c>
      <c r="FQ155" s="139">
        <f t="shared" si="202"/>
        <v>0</v>
      </c>
      <c r="FR155" s="139">
        <f t="shared" si="203"/>
        <v>0</v>
      </c>
      <c r="FS155" s="139">
        <f t="shared" si="204"/>
        <v>0</v>
      </c>
      <c r="FT155" s="139">
        <f t="shared" si="205"/>
        <v>0</v>
      </c>
      <c r="FU155" s="148">
        <f t="shared" si="206"/>
        <v>0</v>
      </c>
      <c r="FV155" s="149"/>
      <c r="FY155" s="211">
        <v>150</v>
      </c>
      <c r="FZ155">
        <v>4.0004976257923062</v>
      </c>
      <c r="GA155">
        <v>16.818265254242405</v>
      </c>
      <c r="GB155">
        <v>22.235915142759687</v>
      </c>
      <c r="GC155">
        <v>14.47004356648975</v>
      </c>
      <c r="GD155">
        <v>14.495250320365185</v>
      </c>
      <c r="GE155">
        <v>33.227255980844909</v>
      </c>
      <c r="GF155">
        <v>33.066288435711243</v>
      </c>
      <c r="GG155">
        <v>14.515230918031072</v>
      </c>
      <c r="GH155">
        <v>8.128599764800768</v>
      </c>
      <c r="GI155">
        <v>22.402411168352774</v>
      </c>
      <c r="GJ155"/>
      <c r="GK155"/>
      <c r="GL155"/>
      <c r="GM155"/>
    </row>
    <row r="156" spans="1:195" s="7" customFormat="1">
      <c r="A156" s="77"/>
      <c r="B156" s="76">
        <f t="shared" ca="1" si="171"/>
        <v>0.33289152313688763</v>
      </c>
      <c r="C156">
        <v>2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138.88888888888889</v>
      </c>
      <c r="J156">
        <v>69.444444444444443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55.3032213546375</v>
      </c>
      <c r="AO156">
        <v>24.601035027701233</v>
      </c>
      <c r="AP156">
        <v>176.17548838741166</v>
      </c>
      <c r="AQ156">
        <v>146.18373537581681</v>
      </c>
      <c r="AR156">
        <v>22.316802896257723</v>
      </c>
      <c r="AS156">
        <v>97.944618085936867</v>
      </c>
      <c r="AT156">
        <v>17.138030076971166</v>
      </c>
      <c r="AU156">
        <v>28.802975691262404</v>
      </c>
      <c r="AV156"/>
      <c r="AW156"/>
      <c r="AX156" s="151"/>
      <c r="AY156" s="76">
        <f t="shared" ca="1" si="172"/>
        <v>0.80397182450523563</v>
      </c>
      <c r="AZ156">
        <v>9</v>
      </c>
      <c r="BA156" s="129">
        <f t="shared" si="170"/>
        <v>39847</v>
      </c>
      <c r="BB156">
        <v>0</v>
      </c>
      <c r="BC156">
        <v>0</v>
      </c>
      <c r="BD156">
        <v>0</v>
      </c>
      <c r="BE156">
        <v>0</v>
      </c>
      <c r="BF156">
        <v>3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7"/>
        <v>0.22729424776324536</v>
      </c>
      <c r="CL156" s="179">
        <f t="shared" si="208"/>
        <v>9</v>
      </c>
      <c r="CM156" s="180">
        <f t="shared" si="209"/>
        <v>39847</v>
      </c>
      <c r="CN156" s="221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10"/>
        <v>9.6000000000000002E-2</v>
      </c>
      <c r="DB156" s="151"/>
      <c r="DC156" s="76">
        <f t="shared" ca="1" si="173"/>
        <v>0.75965876631936435</v>
      </c>
      <c r="DD156">
        <f t="shared" si="211"/>
        <v>9</v>
      </c>
      <c r="DE156" s="129">
        <f t="shared" si="169"/>
        <v>39847</v>
      </c>
      <c r="DF156" s="161">
        <f t="shared" si="212"/>
        <v>0</v>
      </c>
      <c r="DG156" s="161">
        <f t="shared" si="213"/>
        <v>0</v>
      </c>
      <c r="DH156" s="161">
        <f t="shared" si="214"/>
        <v>0</v>
      </c>
      <c r="DI156" s="161">
        <f t="shared" si="215"/>
        <v>0</v>
      </c>
      <c r="DJ156" s="161">
        <f t="shared" si="216"/>
        <v>31.25</v>
      </c>
      <c r="DK156" s="161">
        <f t="shared" si="217"/>
        <v>0</v>
      </c>
      <c r="DL156" s="161">
        <f t="shared" si="218"/>
        <v>0</v>
      </c>
      <c r="DM156" s="161">
        <f t="shared" si="219"/>
        <v>0</v>
      </c>
      <c r="DN156" s="161">
        <f t="shared" si="220"/>
        <v>0</v>
      </c>
      <c r="DO156" s="161">
        <f t="shared" si="221"/>
        <v>0</v>
      </c>
      <c r="DP156" s="161">
        <f t="shared" si="222"/>
        <v>0</v>
      </c>
      <c r="DQ156" s="161">
        <f t="shared" si="223"/>
        <v>0</v>
      </c>
      <c r="DR156" s="161">
        <f t="shared" si="224"/>
        <v>0</v>
      </c>
      <c r="DS156" s="161">
        <f t="shared" si="225"/>
        <v>0</v>
      </c>
      <c r="DT156" s="161">
        <f t="shared" si="226"/>
        <v>0</v>
      </c>
      <c r="DU156" s="161">
        <f t="shared" si="227"/>
        <v>0</v>
      </c>
      <c r="DV156" s="161">
        <f t="shared" si="228"/>
        <v>0</v>
      </c>
      <c r="DW156" s="161">
        <f t="shared" si="229"/>
        <v>0</v>
      </c>
      <c r="DX156" s="161">
        <f t="shared" si="230"/>
        <v>0</v>
      </c>
      <c r="DY156" s="161">
        <f t="shared" si="231"/>
        <v>0</v>
      </c>
      <c r="DZ156" s="161">
        <f t="shared" si="232"/>
        <v>0</v>
      </c>
      <c r="EA156" s="161">
        <f t="shared" si="233"/>
        <v>0</v>
      </c>
      <c r="EB156" s="161">
        <f t="shared" si="234"/>
        <v>0</v>
      </c>
      <c r="EC156" s="161">
        <f t="shared" si="235"/>
        <v>0</v>
      </c>
      <c r="ED156" s="161">
        <f t="shared" si="236"/>
        <v>0</v>
      </c>
      <c r="EE156" s="161">
        <f t="shared" si="237"/>
        <v>0</v>
      </c>
      <c r="EF156" s="161">
        <f t="shared" si="238"/>
        <v>0</v>
      </c>
      <c r="EG156" s="161">
        <f t="shared" si="239"/>
        <v>0</v>
      </c>
      <c r="EH156" s="161">
        <f t="shared" si="240"/>
        <v>0</v>
      </c>
      <c r="EI156" s="161">
        <f t="shared" si="241"/>
        <v>0</v>
      </c>
      <c r="EJ156" s="161">
        <f t="shared" si="242"/>
        <v>0</v>
      </c>
      <c r="EK156" s="147">
        <f t="shared" si="174"/>
        <v>31.25</v>
      </c>
      <c r="EL156" s="149"/>
      <c r="EN156" s="151"/>
      <c r="EO156" s="151"/>
      <c r="EP156" s="139">
        <f t="shared" si="175"/>
        <v>0</v>
      </c>
      <c r="EQ156" s="139">
        <f t="shared" si="176"/>
        <v>0</v>
      </c>
      <c r="ER156" s="139">
        <f t="shared" si="177"/>
        <v>0</v>
      </c>
      <c r="ES156" s="139">
        <f t="shared" si="178"/>
        <v>0</v>
      </c>
      <c r="ET156" s="139">
        <f t="shared" si="179"/>
        <v>12.58591503625053</v>
      </c>
      <c r="EU156" s="139">
        <f t="shared" si="180"/>
        <v>0</v>
      </c>
      <c r="EV156" s="139">
        <f t="shared" si="181"/>
        <v>0</v>
      </c>
      <c r="EW156" s="139">
        <f t="shared" si="182"/>
        <v>0</v>
      </c>
      <c r="EX156" s="139">
        <f t="shared" si="183"/>
        <v>0</v>
      </c>
      <c r="EY156" s="139">
        <f t="shared" si="184"/>
        <v>0</v>
      </c>
      <c r="EZ156" s="139">
        <f t="shared" si="185"/>
        <v>0</v>
      </c>
      <c r="FA156" s="139">
        <f t="shared" si="186"/>
        <v>0</v>
      </c>
      <c r="FB156" s="139">
        <f t="shared" si="187"/>
        <v>0</v>
      </c>
      <c r="FC156" s="139">
        <f t="shared" si="188"/>
        <v>0</v>
      </c>
      <c r="FD156" s="139">
        <f t="shared" si="189"/>
        <v>0</v>
      </c>
      <c r="FE156" s="139">
        <f t="shared" si="190"/>
        <v>0</v>
      </c>
      <c r="FF156" s="139">
        <f t="shared" si="191"/>
        <v>0</v>
      </c>
      <c r="FG156" s="139">
        <f t="shared" si="192"/>
        <v>0</v>
      </c>
      <c r="FH156" s="139">
        <f t="shared" si="193"/>
        <v>0</v>
      </c>
      <c r="FI156" s="139">
        <f t="shared" si="194"/>
        <v>0</v>
      </c>
      <c r="FJ156" s="139">
        <f t="shared" si="195"/>
        <v>0</v>
      </c>
      <c r="FK156" s="139">
        <f t="shared" si="196"/>
        <v>0</v>
      </c>
      <c r="FL156" s="139">
        <f t="shared" si="197"/>
        <v>0</v>
      </c>
      <c r="FM156" s="139">
        <f t="shared" si="198"/>
        <v>0</v>
      </c>
      <c r="FN156" s="139">
        <f t="shared" si="199"/>
        <v>0</v>
      </c>
      <c r="FO156" s="139">
        <f t="shared" si="200"/>
        <v>0</v>
      </c>
      <c r="FP156" s="139">
        <f t="shared" si="201"/>
        <v>0</v>
      </c>
      <c r="FQ156" s="139">
        <f t="shared" si="202"/>
        <v>0</v>
      </c>
      <c r="FR156" s="139">
        <f t="shared" si="203"/>
        <v>0</v>
      </c>
      <c r="FS156" s="139">
        <f t="shared" si="204"/>
        <v>0</v>
      </c>
      <c r="FT156" s="139">
        <f t="shared" si="205"/>
        <v>0</v>
      </c>
      <c r="FU156" s="148">
        <f t="shared" si="206"/>
        <v>12.58591503625053</v>
      </c>
      <c r="FV156" s="149"/>
      <c r="FY156" s="211">
        <v>151</v>
      </c>
      <c r="FZ156">
        <v>5.5261116881988084</v>
      </c>
      <c r="GA156">
        <v>14.5363172428225</v>
      </c>
      <c r="GB156">
        <v>15.265602292937428</v>
      </c>
      <c r="GC156">
        <v>14.020335755049043</v>
      </c>
      <c r="GD156">
        <v>11.432295305155774</v>
      </c>
      <c r="GE156">
        <v>20.517916666609899</v>
      </c>
      <c r="GF156">
        <v>39.296219789064516</v>
      </c>
      <c r="GG156">
        <v>23.704180592115559</v>
      </c>
      <c r="GH156">
        <v>4.7382066693612641</v>
      </c>
      <c r="GI156">
        <v>19.629213962409743</v>
      </c>
      <c r="GJ156"/>
      <c r="GK156"/>
      <c r="GL156"/>
      <c r="GM156"/>
    </row>
    <row r="157" spans="1:195" s="7" customFormat="1">
      <c r="A157" s="77"/>
      <c r="B157" s="76">
        <f t="shared" ca="1" si="171"/>
        <v>0.51052955377953335</v>
      </c>
      <c r="C157">
        <v>5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93.75</v>
      </c>
      <c r="J157">
        <v>31.25</v>
      </c>
      <c r="K157">
        <v>10.416666666666666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78.210072772635996</v>
      </c>
      <c r="AO157">
        <v>30.03800938129358</v>
      </c>
      <c r="AP157">
        <v>187.23338669729364</v>
      </c>
      <c r="AQ157">
        <v>159.77832806816946</v>
      </c>
      <c r="AR157">
        <v>27.889969579853549</v>
      </c>
      <c r="AS157">
        <v>136.72595009872228</v>
      </c>
      <c r="AT157">
        <v>20.240258756474152</v>
      </c>
      <c r="AU157">
        <v>27.044143627970438</v>
      </c>
      <c r="AV157"/>
      <c r="AW157"/>
      <c r="AX157" s="151"/>
      <c r="AY157" s="76">
        <f t="shared" ca="1" si="172"/>
        <v>0.91436342280510186</v>
      </c>
      <c r="AZ157">
        <v>10</v>
      </c>
      <c r="BA157" s="129">
        <f t="shared" si="170"/>
        <v>39847</v>
      </c>
      <c r="BB157">
        <v>0</v>
      </c>
      <c r="BC157">
        <v>0</v>
      </c>
      <c r="BD157">
        <v>0</v>
      </c>
      <c r="BE157">
        <v>0</v>
      </c>
      <c r="BF157">
        <v>3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7"/>
        <v>0.74377111940513174</v>
      </c>
      <c r="CL157" s="179">
        <f t="shared" si="208"/>
        <v>10</v>
      </c>
      <c r="CM157" s="180">
        <f t="shared" si="209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10"/>
        <v>9.6000000000000002E-2</v>
      </c>
      <c r="DB157" s="151"/>
      <c r="DC157" s="76">
        <f t="shared" ca="1" si="173"/>
        <v>0.15580687563274243</v>
      </c>
      <c r="DD157">
        <f t="shared" si="211"/>
        <v>10</v>
      </c>
      <c r="DE157" s="129">
        <f t="shared" si="169"/>
        <v>39847</v>
      </c>
      <c r="DF157" s="161">
        <f t="shared" si="212"/>
        <v>0</v>
      </c>
      <c r="DG157" s="161">
        <f t="shared" si="213"/>
        <v>0</v>
      </c>
      <c r="DH157" s="161">
        <f t="shared" si="214"/>
        <v>0</v>
      </c>
      <c r="DI157" s="161">
        <f t="shared" si="215"/>
        <v>0</v>
      </c>
      <c r="DJ157" s="161">
        <f t="shared" si="216"/>
        <v>31.25</v>
      </c>
      <c r="DK157" s="161">
        <f t="shared" si="217"/>
        <v>0</v>
      </c>
      <c r="DL157" s="161">
        <f t="shared" si="218"/>
        <v>0</v>
      </c>
      <c r="DM157" s="161">
        <f t="shared" si="219"/>
        <v>0</v>
      </c>
      <c r="DN157" s="161">
        <f t="shared" si="220"/>
        <v>0</v>
      </c>
      <c r="DO157" s="161">
        <f t="shared" si="221"/>
        <v>0</v>
      </c>
      <c r="DP157" s="161">
        <f t="shared" si="222"/>
        <v>0</v>
      </c>
      <c r="DQ157" s="161">
        <f t="shared" si="223"/>
        <v>0</v>
      </c>
      <c r="DR157" s="161">
        <f t="shared" si="224"/>
        <v>0</v>
      </c>
      <c r="DS157" s="161">
        <f t="shared" si="225"/>
        <v>0</v>
      </c>
      <c r="DT157" s="161">
        <f t="shared" si="226"/>
        <v>0</v>
      </c>
      <c r="DU157" s="161">
        <f t="shared" si="227"/>
        <v>0</v>
      </c>
      <c r="DV157" s="161">
        <f t="shared" si="228"/>
        <v>0</v>
      </c>
      <c r="DW157" s="161">
        <f t="shared" si="229"/>
        <v>0</v>
      </c>
      <c r="DX157" s="161">
        <f t="shared" si="230"/>
        <v>0</v>
      </c>
      <c r="DY157" s="161">
        <f t="shared" si="231"/>
        <v>0</v>
      </c>
      <c r="DZ157" s="161">
        <f t="shared" si="232"/>
        <v>0</v>
      </c>
      <c r="EA157" s="161">
        <f t="shared" si="233"/>
        <v>0</v>
      </c>
      <c r="EB157" s="161">
        <f t="shared" si="234"/>
        <v>0</v>
      </c>
      <c r="EC157" s="161">
        <f t="shared" si="235"/>
        <v>0</v>
      </c>
      <c r="ED157" s="161">
        <f t="shared" si="236"/>
        <v>0</v>
      </c>
      <c r="EE157" s="161">
        <f t="shared" si="237"/>
        <v>0</v>
      </c>
      <c r="EF157" s="161">
        <f t="shared" si="238"/>
        <v>0</v>
      </c>
      <c r="EG157" s="161">
        <f t="shared" si="239"/>
        <v>0</v>
      </c>
      <c r="EH157" s="161">
        <f t="shared" si="240"/>
        <v>0</v>
      </c>
      <c r="EI157" s="161">
        <f t="shared" si="241"/>
        <v>0</v>
      </c>
      <c r="EJ157" s="161">
        <f t="shared" si="242"/>
        <v>0</v>
      </c>
      <c r="EK157" s="147">
        <f t="shared" si="174"/>
        <v>31.25</v>
      </c>
      <c r="EL157" s="149"/>
      <c r="EN157" s="151"/>
      <c r="EO157" s="151"/>
      <c r="EP157" s="139">
        <f t="shared" si="175"/>
        <v>0</v>
      </c>
      <c r="EQ157" s="139">
        <f t="shared" si="176"/>
        <v>0</v>
      </c>
      <c r="ER157" s="139">
        <f t="shared" si="177"/>
        <v>0</v>
      </c>
      <c r="ES157" s="139">
        <f t="shared" si="178"/>
        <v>0</v>
      </c>
      <c r="ET157" s="139">
        <f t="shared" si="179"/>
        <v>12.58591503625053</v>
      </c>
      <c r="EU157" s="139">
        <f t="shared" si="180"/>
        <v>0</v>
      </c>
      <c r="EV157" s="139">
        <f t="shared" si="181"/>
        <v>0</v>
      </c>
      <c r="EW157" s="139">
        <f t="shared" si="182"/>
        <v>0</v>
      </c>
      <c r="EX157" s="139">
        <f t="shared" si="183"/>
        <v>0</v>
      </c>
      <c r="EY157" s="139">
        <f t="shared" si="184"/>
        <v>0</v>
      </c>
      <c r="EZ157" s="139">
        <f t="shared" si="185"/>
        <v>0</v>
      </c>
      <c r="FA157" s="139">
        <f t="shared" si="186"/>
        <v>0</v>
      </c>
      <c r="FB157" s="139">
        <f t="shared" si="187"/>
        <v>0</v>
      </c>
      <c r="FC157" s="139">
        <f t="shared" si="188"/>
        <v>0</v>
      </c>
      <c r="FD157" s="139">
        <f t="shared" si="189"/>
        <v>0</v>
      </c>
      <c r="FE157" s="139">
        <f t="shared" si="190"/>
        <v>0</v>
      </c>
      <c r="FF157" s="139">
        <f t="shared" si="191"/>
        <v>0</v>
      </c>
      <c r="FG157" s="139">
        <f t="shared" si="192"/>
        <v>0</v>
      </c>
      <c r="FH157" s="139">
        <f t="shared" si="193"/>
        <v>0</v>
      </c>
      <c r="FI157" s="139">
        <f t="shared" si="194"/>
        <v>0</v>
      </c>
      <c r="FJ157" s="139">
        <f t="shared" si="195"/>
        <v>0</v>
      </c>
      <c r="FK157" s="139">
        <f t="shared" si="196"/>
        <v>0</v>
      </c>
      <c r="FL157" s="139">
        <f t="shared" si="197"/>
        <v>0</v>
      </c>
      <c r="FM157" s="139">
        <f t="shared" si="198"/>
        <v>0</v>
      </c>
      <c r="FN157" s="139">
        <f t="shared" si="199"/>
        <v>0</v>
      </c>
      <c r="FO157" s="139">
        <f t="shared" si="200"/>
        <v>0</v>
      </c>
      <c r="FP157" s="139">
        <f t="shared" si="201"/>
        <v>0</v>
      </c>
      <c r="FQ157" s="139">
        <f t="shared" si="202"/>
        <v>0</v>
      </c>
      <c r="FR157" s="139">
        <f t="shared" si="203"/>
        <v>0</v>
      </c>
      <c r="FS157" s="139">
        <f t="shared" si="204"/>
        <v>0</v>
      </c>
      <c r="FT157" s="139">
        <f t="shared" si="205"/>
        <v>0</v>
      </c>
      <c r="FU157" s="148">
        <f t="shared" si="206"/>
        <v>12.58591503625053</v>
      </c>
      <c r="FV157" s="149"/>
      <c r="FY157" s="211">
        <v>152</v>
      </c>
      <c r="FZ157">
        <v>1.4331966639666565</v>
      </c>
      <c r="GA157">
        <v>18.78291510084361</v>
      </c>
      <c r="GB157">
        <v>30.857277062210557</v>
      </c>
      <c r="GC157">
        <v>18.184663191887516</v>
      </c>
      <c r="GD157">
        <v>12.231319222194653</v>
      </c>
      <c r="GE157">
        <v>23.701629989905406</v>
      </c>
      <c r="GF157">
        <v>27.873423402870849</v>
      </c>
      <c r="GG157">
        <v>21.533943050288215</v>
      </c>
      <c r="GH157">
        <v>17.907181712479499</v>
      </c>
      <c r="GI157">
        <v>23.432244364704992</v>
      </c>
      <c r="GJ157"/>
      <c r="GK157"/>
      <c r="GL157"/>
      <c r="GM157"/>
    </row>
    <row r="158" spans="1:195" s="7" customFormat="1">
      <c r="A158" s="128"/>
      <c r="B158" s="76">
        <f t="shared" ca="1" si="171"/>
        <v>0.27226615648628094</v>
      </c>
      <c r="C158">
        <v>6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20.833333333333332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89.290583947632356</v>
      </c>
      <c r="AO158">
        <v>37.083510168073907</v>
      </c>
      <c r="AP158">
        <v>246.11960598595599</v>
      </c>
      <c r="AQ158">
        <v>206.28041702499118</v>
      </c>
      <c r="AR158">
        <v>33.108753489964336</v>
      </c>
      <c r="AS158">
        <v>153.22294089287206</v>
      </c>
      <c r="AT158">
        <v>25.021660493190925</v>
      </c>
      <c r="AU158">
        <v>31.431878291755158</v>
      </c>
      <c r="AV158"/>
      <c r="AW158"/>
      <c r="AX158" s="128"/>
      <c r="AY158" s="76">
        <f t="shared" ca="1" si="172"/>
        <v>0.47370197393863123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4</v>
      </c>
      <c r="BH158">
        <v>2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7"/>
        <v>0.65061363237139891</v>
      </c>
      <c r="CL158" s="179">
        <f t="shared" si="208"/>
        <v>1</v>
      </c>
      <c r="CM158" s="180">
        <f t="shared" si="209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10"/>
        <v>9.6000000000000002E-2</v>
      </c>
      <c r="DB158" s="128"/>
      <c r="DC158" s="76">
        <f t="shared" ca="1" si="173"/>
        <v>0.95270541475038684</v>
      </c>
      <c r="DD158">
        <f t="shared" si="211"/>
        <v>1</v>
      </c>
      <c r="DE158" s="129">
        <f t="shared" ref="DE158:DE167" si="243">IF((DD158)="", "", $C$11)</f>
        <v>39910</v>
      </c>
      <c r="DF158" s="161">
        <f t="shared" si="212"/>
        <v>0</v>
      </c>
      <c r="DG158" s="161">
        <f t="shared" si="213"/>
        <v>0</v>
      </c>
      <c r="DH158" s="161">
        <f t="shared" si="214"/>
        <v>0</v>
      </c>
      <c r="DI158" s="161">
        <f t="shared" si="215"/>
        <v>0</v>
      </c>
      <c r="DJ158" s="161">
        <f t="shared" si="216"/>
        <v>0</v>
      </c>
      <c r="DK158" s="161">
        <f t="shared" si="217"/>
        <v>41.666666666666664</v>
      </c>
      <c r="DL158" s="161">
        <f t="shared" si="218"/>
        <v>20.833333333333332</v>
      </c>
      <c r="DM158" s="161">
        <f t="shared" si="219"/>
        <v>0</v>
      </c>
      <c r="DN158" s="161">
        <f t="shared" si="220"/>
        <v>0</v>
      </c>
      <c r="DO158" s="161">
        <f t="shared" si="221"/>
        <v>0</v>
      </c>
      <c r="DP158" s="161">
        <f t="shared" si="222"/>
        <v>0</v>
      </c>
      <c r="DQ158" s="161">
        <f t="shared" si="223"/>
        <v>0</v>
      </c>
      <c r="DR158" s="161">
        <f t="shared" si="224"/>
        <v>0</v>
      </c>
      <c r="DS158" s="161">
        <f t="shared" si="225"/>
        <v>0</v>
      </c>
      <c r="DT158" s="161">
        <f t="shared" si="226"/>
        <v>0</v>
      </c>
      <c r="DU158" s="161">
        <f t="shared" si="227"/>
        <v>0</v>
      </c>
      <c r="DV158" s="161">
        <f t="shared" si="228"/>
        <v>0</v>
      </c>
      <c r="DW158" s="161">
        <f t="shared" si="229"/>
        <v>0</v>
      </c>
      <c r="DX158" s="161">
        <f t="shared" si="230"/>
        <v>0</v>
      </c>
      <c r="DY158" s="161">
        <f t="shared" si="231"/>
        <v>0</v>
      </c>
      <c r="DZ158" s="161">
        <f t="shared" si="232"/>
        <v>0</v>
      </c>
      <c r="EA158" s="161">
        <f t="shared" si="233"/>
        <v>0</v>
      </c>
      <c r="EB158" s="161">
        <f t="shared" si="234"/>
        <v>0</v>
      </c>
      <c r="EC158" s="161">
        <f t="shared" si="235"/>
        <v>0</v>
      </c>
      <c r="ED158" s="161">
        <f t="shared" si="236"/>
        <v>0</v>
      </c>
      <c r="EE158" s="161">
        <f t="shared" si="237"/>
        <v>0</v>
      </c>
      <c r="EF158" s="161">
        <f t="shared" si="238"/>
        <v>0</v>
      </c>
      <c r="EG158" s="161">
        <f t="shared" si="239"/>
        <v>0</v>
      </c>
      <c r="EH158" s="161">
        <f t="shared" si="240"/>
        <v>0</v>
      </c>
      <c r="EI158" s="161">
        <f t="shared" si="241"/>
        <v>0</v>
      </c>
      <c r="EJ158" s="161">
        <f t="shared" si="242"/>
        <v>0</v>
      </c>
      <c r="EK158" s="147">
        <f t="shared" si="174"/>
        <v>62.5</v>
      </c>
      <c r="EL158" s="149"/>
      <c r="EN158" s="146"/>
      <c r="EO158" s="146"/>
      <c r="EP158" s="139">
        <f t="shared" si="175"/>
        <v>0</v>
      </c>
      <c r="EQ158" s="139">
        <f t="shared" si="176"/>
        <v>0</v>
      </c>
      <c r="ER158" s="139">
        <f t="shared" si="177"/>
        <v>0</v>
      </c>
      <c r="ES158" s="139">
        <f t="shared" si="178"/>
        <v>0</v>
      </c>
      <c r="ET158" s="139">
        <f t="shared" si="179"/>
        <v>0</v>
      </c>
      <c r="EU158" s="139">
        <f t="shared" si="180"/>
        <v>30.492362091625992</v>
      </c>
      <c r="EV158" s="139">
        <f t="shared" si="181"/>
        <v>24.835892995036957</v>
      </c>
      <c r="EW158" s="139">
        <f t="shared" si="182"/>
        <v>0</v>
      </c>
      <c r="EX158" s="139">
        <f t="shared" si="183"/>
        <v>0</v>
      </c>
      <c r="EY158" s="139">
        <f t="shared" si="184"/>
        <v>0</v>
      </c>
      <c r="EZ158" s="139">
        <f t="shared" si="185"/>
        <v>0</v>
      </c>
      <c r="FA158" s="139">
        <f t="shared" si="186"/>
        <v>0</v>
      </c>
      <c r="FB158" s="139">
        <f t="shared" si="187"/>
        <v>0</v>
      </c>
      <c r="FC158" s="139">
        <f t="shared" si="188"/>
        <v>0</v>
      </c>
      <c r="FD158" s="139">
        <f t="shared" si="189"/>
        <v>0</v>
      </c>
      <c r="FE158" s="139">
        <f t="shared" si="190"/>
        <v>0</v>
      </c>
      <c r="FF158" s="139">
        <f t="shared" si="191"/>
        <v>0</v>
      </c>
      <c r="FG158" s="139">
        <f t="shared" si="192"/>
        <v>0</v>
      </c>
      <c r="FH158" s="139">
        <f t="shared" si="193"/>
        <v>0</v>
      </c>
      <c r="FI158" s="139">
        <f t="shared" si="194"/>
        <v>0</v>
      </c>
      <c r="FJ158" s="139">
        <f t="shared" si="195"/>
        <v>0</v>
      </c>
      <c r="FK158" s="139">
        <f t="shared" si="196"/>
        <v>0</v>
      </c>
      <c r="FL158" s="139">
        <f t="shared" si="197"/>
        <v>0</v>
      </c>
      <c r="FM158" s="139">
        <f t="shared" si="198"/>
        <v>0</v>
      </c>
      <c r="FN158" s="139">
        <f t="shared" si="199"/>
        <v>0</v>
      </c>
      <c r="FO158" s="139">
        <f t="shared" si="200"/>
        <v>0</v>
      </c>
      <c r="FP158" s="139">
        <f t="shared" si="201"/>
        <v>0</v>
      </c>
      <c r="FQ158" s="139">
        <f t="shared" si="202"/>
        <v>0</v>
      </c>
      <c r="FR158" s="139">
        <f t="shared" si="203"/>
        <v>0</v>
      </c>
      <c r="FS158" s="139">
        <f t="shared" si="204"/>
        <v>0</v>
      </c>
      <c r="FT158" s="139">
        <f t="shared" si="205"/>
        <v>0</v>
      </c>
      <c r="FU158" s="148">
        <f t="shared" si="206"/>
        <v>55.328255086662949</v>
      </c>
      <c r="FV158" s="149"/>
      <c r="FY158" s="211">
        <v>153</v>
      </c>
      <c r="FZ158">
        <v>1.6339483275743065</v>
      </c>
      <c r="GA158">
        <v>15.247421643943358</v>
      </c>
      <c r="GB158">
        <v>16.365759448923903</v>
      </c>
      <c r="GC158">
        <v>12.142786253121439</v>
      </c>
      <c r="GD158">
        <v>13.99543375782874</v>
      </c>
      <c r="GE158">
        <v>30.40723034373779</v>
      </c>
      <c r="GF158">
        <v>33.10866275905758</v>
      </c>
      <c r="GG158">
        <v>25.993857248397397</v>
      </c>
      <c r="GH158">
        <v>21.373602803596786</v>
      </c>
      <c r="GI158">
        <v>22.457937618316336</v>
      </c>
      <c r="GJ158"/>
      <c r="GK158"/>
      <c r="GL158"/>
      <c r="GM158"/>
    </row>
    <row r="159" spans="1:195" s="7" customFormat="1">
      <c r="A159" s="1"/>
      <c r="B159" s="76">
        <f t="shared" ca="1" si="171"/>
        <v>0.30636443488982157</v>
      </c>
      <c r="C159">
        <v>5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10.416666666666666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76.285447488698935</v>
      </c>
      <c r="AO159">
        <v>36.664662693170932</v>
      </c>
      <c r="AP159">
        <v>264.28335618869335</v>
      </c>
      <c r="AQ159">
        <v>216.64184506056858</v>
      </c>
      <c r="AR159">
        <v>33.440255485483505</v>
      </c>
      <c r="AS159">
        <v>152.57919056590507</v>
      </c>
      <c r="AT159">
        <v>25.571373859013935</v>
      </c>
      <c r="AU159">
        <v>13.306592006958098</v>
      </c>
      <c r="AV159"/>
      <c r="AW159"/>
      <c r="AX159" s="146"/>
      <c r="AY159" s="76">
        <f t="shared" ca="1" si="172"/>
        <v>0.88726656875717413</v>
      </c>
      <c r="AZ159">
        <v>2</v>
      </c>
      <c r="BA159" s="129">
        <f t="shared" ref="BA159:BA167" si="244">IF(AZ159="", "",$C$11)</f>
        <v>39910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7"/>
        <v>0.20193185593593199</v>
      </c>
      <c r="CL159" s="179">
        <f t="shared" si="208"/>
        <v>2</v>
      </c>
      <c r="CM159" s="180">
        <f t="shared" si="209"/>
        <v>39910</v>
      </c>
      <c r="CN159" s="222">
        <v>0</v>
      </c>
      <c r="CO159" s="222">
        <v>0</v>
      </c>
      <c r="CP159" s="222">
        <v>0</v>
      </c>
      <c r="CQ159" s="222">
        <v>0</v>
      </c>
      <c r="CR159" s="222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10"/>
        <v>9.6000000000000002E-2</v>
      </c>
      <c r="DB159" s="146"/>
      <c r="DC159" s="76">
        <f t="shared" ca="1" si="173"/>
        <v>0.35178569712952523</v>
      </c>
      <c r="DD159">
        <f t="shared" si="211"/>
        <v>2</v>
      </c>
      <c r="DE159" s="129">
        <f t="shared" si="243"/>
        <v>39910</v>
      </c>
      <c r="DF159" s="161">
        <f t="shared" si="212"/>
        <v>0</v>
      </c>
      <c r="DG159" s="161">
        <f t="shared" si="213"/>
        <v>0</v>
      </c>
      <c r="DH159" s="161">
        <f t="shared" si="214"/>
        <v>0</v>
      </c>
      <c r="DI159" s="161">
        <f t="shared" si="215"/>
        <v>0</v>
      </c>
      <c r="DJ159" s="161">
        <f t="shared" si="216"/>
        <v>0</v>
      </c>
      <c r="DK159" s="161">
        <f t="shared" si="217"/>
        <v>0</v>
      </c>
      <c r="DL159" s="161">
        <f t="shared" si="218"/>
        <v>0</v>
      </c>
      <c r="DM159" s="161">
        <f t="shared" si="219"/>
        <v>0</v>
      </c>
      <c r="DN159" s="161">
        <f t="shared" si="220"/>
        <v>0</v>
      </c>
      <c r="DO159" s="161">
        <f t="shared" si="221"/>
        <v>0</v>
      </c>
      <c r="DP159" s="161">
        <f t="shared" si="222"/>
        <v>0</v>
      </c>
      <c r="DQ159" s="161">
        <f t="shared" si="223"/>
        <v>0</v>
      </c>
      <c r="DR159" s="161">
        <f t="shared" si="224"/>
        <v>0</v>
      </c>
      <c r="DS159" s="161">
        <f t="shared" si="225"/>
        <v>0</v>
      </c>
      <c r="DT159" s="161">
        <f t="shared" si="226"/>
        <v>0</v>
      </c>
      <c r="DU159" s="161">
        <f t="shared" si="227"/>
        <v>0</v>
      </c>
      <c r="DV159" s="161">
        <f t="shared" si="228"/>
        <v>0</v>
      </c>
      <c r="DW159" s="161">
        <f t="shared" si="229"/>
        <v>0</v>
      </c>
      <c r="DX159" s="161">
        <f t="shared" si="230"/>
        <v>0</v>
      </c>
      <c r="DY159" s="161">
        <f t="shared" si="231"/>
        <v>0</v>
      </c>
      <c r="DZ159" s="161">
        <f t="shared" si="232"/>
        <v>0</v>
      </c>
      <c r="EA159" s="161">
        <f t="shared" si="233"/>
        <v>0</v>
      </c>
      <c r="EB159" s="161">
        <f t="shared" si="234"/>
        <v>0</v>
      </c>
      <c r="EC159" s="161">
        <f t="shared" si="235"/>
        <v>0</v>
      </c>
      <c r="ED159" s="161">
        <f t="shared" si="236"/>
        <v>0</v>
      </c>
      <c r="EE159" s="161">
        <f t="shared" si="237"/>
        <v>0</v>
      </c>
      <c r="EF159" s="161">
        <f t="shared" si="238"/>
        <v>0</v>
      </c>
      <c r="EG159" s="161">
        <f t="shared" si="239"/>
        <v>0</v>
      </c>
      <c r="EH159" s="161">
        <f t="shared" si="240"/>
        <v>0</v>
      </c>
      <c r="EI159" s="161">
        <f t="shared" si="241"/>
        <v>0</v>
      </c>
      <c r="EJ159" s="161">
        <f t="shared" si="242"/>
        <v>0</v>
      </c>
      <c r="EK159" s="147">
        <f t="shared" si="174"/>
        <v>0</v>
      </c>
      <c r="EL159" s="149"/>
      <c r="EN159" s="146"/>
      <c r="EO159" s="146"/>
      <c r="EP159" s="139">
        <f t="shared" si="175"/>
        <v>0</v>
      </c>
      <c r="EQ159" s="139">
        <f t="shared" si="176"/>
        <v>0</v>
      </c>
      <c r="ER159" s="139">
        <f t="shared" si="177"/>
        <v>0</v>
      </c>
      <c r="ES159" s="139">
        <f t="shared" si="178"/>
        <v>0</v>
      </c>
      <c r="ET159" s="139">
        <f t="shared" si="179"/>
        <v>0</v>
      </c>
      <c r="EU159" s="139">
        <f t="shared" si="180"/>
        <v>0</v>
      </c>
      <c r="EV159" s="139">
        <f t="shared" si="181"/>
        <v>0</v>
      </c>
      <c r="EW159" s="139">
        <f t="shared" si="182"/>
        <v>0</v>
      </c>
      <c r="EX159" s="139">
        <f t="shared" si="183"/>
        <v>0</v>
      </c>
      <c r="EY159" s="139">
        <f t="shared" si="184"/>
        <v>0</v>
      </c>
      <c r="EZ159" s="139">
        <f t="shared" si="185"/>
        <v>0</v>
      </c>
      <c r="FA159" s="139">
        <f t="shared" si="186"/>
        <v>0</v>
      </c>
      <c r="FB159" s="139">
        <f t="shared" si="187"/>
        <v>0</v>
      </c>
      <c r="FC159" s="139">
        <f t="shared" si="188"/>
        <v>0</v>
      </c>
      <c r="FD159" s="139">
        <f t="shared" si="189"/>
        <v>0</v>
      </c>
      <c r="FE159" s="139">
        <f t="shared" si="190"/>
        <v>0</v>
      </c>
      <c r="FF159" s="139">
        <f t="shared" si="191"/>
        <v>0</v>
      </c>
      <c r="FG159" s="139">
        <f t="shared" si="192"/>
        <v>0</v>
      </c>
      <c r="FH159" s="139">
        <f t="shared" si="193"/>
        <v>0</v>
      </c>
      <c r="FI159" s="139">
        <f t="shared" si="194"/>
        <v>0</v>
      </c>
      <c r="FJ159" s="139">
        <f t="shared" si="195"/>
        <v>0</v>
      </c>
      <c r="FK159" s="139">
        <f t="shared" si="196"/>
        <v>0</v>
      </c>
      <c r="FL159" s="139">
        <f t="shared" si="197"/>
        <v>0</v>
      </c>
      <c r="FM159" s="139">
        <f t="shared" si="198"/>
        <v>0</v>
      </c>
      <c r="FN159" s="139">
        <f t="shared" si="199"/>
        <v>0</v>
      </c>
      <c r="FO159" s="139">
        <f t="shared" si="200"/>
        <v>0</v>
      </c>
      <c r="FP159" s="139">
        <f t="shared" si="201"/>
        <v>0</v>
      </c>
      <c r="FQ159" s="139">
        <f t="shared" si="202"/>
        <v>0</v>
      </c>
      <c r="FR159" s="139">
        <f t="shared" si="203"/>
        <v>0</v>
      </c>
      <c r="FS159" s="139">
        <f t="shared" si="204"/>
        <v>0</v>
      </c>
      <c r="FT159" s="139">
        <f t="shared" si="205"/>
        <v>0</v>
      </c>
      <c r="FU159" s="148">
        <f t="shared" si="206"/>
        <v>0</v>
      </c>
      <c r="FV159" s="149"/>
      <c r="FY159" s="211">
        <v>154</v>
      </c>
      <c r="FZ159">
        <v>3.0622428001612443</v>
      </c>
      <c r="GA159">
        <v>16.822242633736714</v>
      </c>
      <c r="GB159">
        <v>32.600077840694624</v>
      </c>
      <c r="GC159">
        <v>19.87509880015805</v>
      </c>
      <c r="GD159">
        <v>9.7181742798676698</v>
      </c>
      <c r="GE159">
        <v>16.888289499912847</v>
      </c>
      <c r="GF159">
        <v>22.794977730096562</v>
      </c>
      <c r="GG159">
        <v>28.294028215559717</v>
      </c>
      <c r="GH159">
        <v>25.897080635468892</v>
      </c>
      <c r="GI159">
        <v>22.905135417811444</v>
      </c>
      <c r="GJ159"/>
      <c r="GK159"/>
      <c r="GL159"/>
      <c r="GM159"/>
    </row>
    <row r="160" spans="1:195" s="7" customFormat="1">
      <c r="A160" s="1"/>
      <c r="B160" s="76">
        <f t="shared" ca="1" si="171"/>
        <v>0.7864789822580518</v>
      </c>
      <c r="C160">
        <v>8</v>
      </c>
      <c r="D160">
        <v>39910</v>
      </c>
      <c r="E160">
        <v>0</v>
      </c>
      <c r="F160">
        <v>0</v>
      </c>
      <c r="G160">
        <v>0</v>
      </c>
      <c r="H160">
        <v>10.416666666666666</v>
      </c>
      <c r="I160">
        <v>187.5</v>
      </c>
      <c r="J160">
        <v>93.75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76.34656117100289</v>
      </c>
      <c r="AO160">
        <v>30.141568156655449</v>
      </c>
      <c r="AP160">
        <v>207.08873845576122</v>
      </c>
      <c r="AQ160">
        <v>172.23035885952805</v>
      </c>
      <c r="AR160">
        <v>27.511883771132844</v>
      </c>
      <c r="AS160">
        <v>132.46949993424042</v>
      </c>
      <c r="AT160">
        <v>20.635076040050915</v>
      </c>
      <c r="AU160">
        <v>34.565988229773666</v>
      </c>
      <c r="AV160"/>
      <c r="AW160"/>
      <c r="AX160" s="146"/>
      <c r="AY160" s="76">
        <f t="shared" ca="1" si="172"/>
        <v>9.1882265110072581E-3</v>
      </c>
      <c r="AZ160">
        <v>3</v>
      </c>
      <c r="BA160" s="129">
        <f t="shared" si="244"/>
        <v>39910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1</v>
      </c>
      <c r="BH160">
        <v>1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7"/>
        <v>0.78204396981626356</v>
      </c>
      <c r="CL160" s="179">
        <f t="shared" si="208"/>
        <v>3</v>
      </c>
      <c r="CM160" s="180">
        <f t="shared" si="209"/>
        <v>39910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0"/>
        <v>9.6000000000000002E-2</v>
      </c>
      <c r="DB160" s="146"/>
      <c r="DC160" s="76">
        <f t="shared" ca="1" si="173"/>
        <v>0.69801814534825812</v>
      </c>
      <c r="DD160">
        <f t="shared" si="211"/>
        <v>3</v>
      </c>
      <c r="DE160" s="129">
        <f t="shared" si="243"/>
        <v>39910</v>
      </c>
      <c r="DF160" s="161">
        <f t="shared" si="212"/>
        <v>0</v>
      </c>
      <c r="DG160" s="161">
        <f t="shared" si="213"/>
        <v>0</v>
      </c>
      <c r="DH160" s="161">
        <f t="shared" si="214"/>
        <v>0</v>
      </c>
      <c r="DI160" s="161">
        <f t="shared" si="215"/>
        <v>0</v>
      </c>
      <c r="DJ160" s="161">
        <f t="shared" si="216"/>
        <v>0</v>
      </c>
      <c r="DK160" s="161">
        <f t="shared" si="217"/>
        <v>28.409090909090907</v>
      </c>
      <c r="DL160" s="161">
        <f t="shared" si="218"/>
        <v>28.409090909090907</v>
      </c>
      <c r="DM160" s="161">
        <f t="shared" si="219"/>
        <v>0</v>
      </c>
      <c r="DN160" s="161">
        <f t="shared" si="220"/>
        <v>0</v>
      </c>
      <c r="DO160" s="161">
        <f t="shared" si="221"/>
        <v>0</v>
      </c>
      <c r="DP160" s="161">
        <f t="shared" si="222"/>
        <v>0</v>
      </c>
      <c r="DQ160" s="161">
        <f t="shared" si="223"/>
        <v>0</v>
      </c>
      <c r="DR160" s="161">
        <f t="shared" si="224"/>
        <v>0</v>
      </c>
      <c r="DS160" s="161">
        <f t="shared" si="225"/>
        <v>0</v>
      </c>
      <c r="DT160" s="161">
        <f t="shared" si="226"/>
        <v>0</v>
      </c>
      <c r="DU160" s="161">
        <f t="shared" si="227"/>
        <v>0</v>
      </c>
      <c r="DV160" s="161">
        <f t="shared" si="228"/>
        <v>0</v>
      </c>
      <c r="DW160" s="161">
        <f t="shared" si="229"/>
        <v>0</v>
      </c>
      <c r="DX160" s="161">
        <f t="shared" si="230"/>
        <v>0</v>
      </c>
      <c r="DY160" s="161">
        <f t="shared" si="231"/>
        <v>0</v>
      </c>
      <c r="DZ160" s="161">
        <f t="shared" si="232"/>
        <v>0</v>
      </c>
      <c r="EA160" s="161">
        <f t="shared" si="233"/>
        <v>0</v>
      </c>
      <c r="EB160" s="161">
        <f t="shared" si="234"/>
        <v>0</v>
      </c>
      <c r="EC160" s="161">
        <f t="shared" si="235"/>
        <v>0</v>
      </c>
      <c r="ED160" s="161">
        <f t="shared" si="236"/>
        <v>0</v>
      </c>
      <c r="EE160" s="161">
        <f t="shared" si="237"/>
        <v>0</v>
      </c>
      <c r="EF160" s="161">
        <f t="shared" si="238"/>
        <v>0</v>
      </c>
      <c r="EG160" s="161">
        <f t="shared" si="239"/>
        <v>0</v>
      </c>
      <c r="EH160" s="161">
        <f t="shared" si="240"/>
        <v>0</v>
      </c>
      <c r="EI160" s="161">
        <f t="shared" si="241"/>
        <v>0</v>
      </c>
      <c r="EJ160" s="161">
        <f t="shared" si="242"/>
        <v>0</v>
      </c>
      <c r="EK160" s="147">
        <f t="shared" si="174"/>
        <v>56.818181818181813</v>
      </c>
      <c r="EL160" s="149"/>
      <c r="EN160" s="146"/>
      <c r="EO160" s="146"/>
      <c r="EP160" s="139">
        <f t="shared" si="175"/>
        <v>0</v>
      </c>
      <c r="EQ160" s="139">
        <f t="shared" si="176"/>
        <v>0</v>
      </c>
      <c r="ER160" s="139">
        <f t="shared" si="177"/>
        <v>0</v>
      </c>
      <c r="ES160" s="139">
        <f t="shared" si="178"/>
        <v>0</v>
      </c>
      <c r="ET160" s="139">
        <f t="shared" si="179"/>
        <v>0</v>
      </c>
      <c r="EU160" s="139">
        <f t="shared" si="180"/>
        <v>20.790246880654085</v>
      </c>
      <c r="EV160" s="139">
        <f t="shared" si="181"/>
        <v>33.867126811414032</v>
      </c>
      <c r="EW160" s="139">
        <f t="shared" si="182"/>
        <v>0</v>
      </c>
      <c r="EX160" s="139">
        <f t="shared" si="183"/>
        <v>0</v>
      </c>
      <c r="EY160" s="139">
        <f t="shared" si="184"/>
        <v>0</v>
      </c>
      <c r="EZ160" s="139">
        <f t="shared" si="185"/>
        <v>0</v>
      </c>
      <c r="FA160" s="139">
        <f t="shared" si="186"/>
        <v>0</v>
      </c>
      <c r="FB160" s="139">
        <f t="shared" si="187"/>
        <v>0</v>
      </c>
      <c r="FC160" s="139">
        <f t="shared" si="188"/>
        <v>0</v>
      </c>
      <c r="FD160" s="139">
        <f t="shared" si="189"/>
        <v>0</v>
      </c>
      <c r="FE160" s="139">
        <f t="shared" si="190"/>
        <v>0</v>
      </c>
      <c r="FF160" s="139">
        <f t="shared" si="191"/>
        <v>0</v>
      </c>
      <c r="FG160" s="139">
        <f t="shared" si="192"/>
        <v>0</v>
      </c>
      <c r="FH160" s="139">
        <f t="shared" si="193"/>
        <v>0</v>
      </c>
      <c r="FI160" s="139">
        <f t="shared" si="194"/>
        <v>0</v>
      </c>
      <c r="FJ160" s="139">
        <f t="shared" si="195"/>
        <v>0</v>
      </c>
      <c r="FK160" s="139">
        <f t="shared" si="196"/>
        <v>0</v>
      </c>
      <c r="FL160" s="139">
        <f t="shared" si="197"/>
        <v>0</v>
      </c>
      <c r="FM160" s="139">
        <f t="shared" si="198"/>
        <v>0</v>
      </c>
      <c r="FN160" s="139">
        <f t="shared" si="199"/>
        <v>0</v>
      </c>
      <c r="FO160" s="139">
        <f t="shared" si="200"/>
        <v>0</v>
      </c>
      <c r="FP160" s="139">
        <f t="shared" si="201"/>
        <v>0</v>
      </c>
      <c r="FQ160" s="139">
        <f t="shared" si="202"/>
        <v>0</v>
      </c>
      <c r="FR160" s="139">
        <f t="shared" si="203"/>
        <v>0</v>
      </c>
      <c r="FS160" s="139">
        <f t="shared" si="204"/>
        <v>0</v>
      </c>
      <c r="FT160" s="139">
        <f t="shared" si="205"/>
        <v>0</v>
      </c>
      <c r="FU160" s="148">
        <f t="shared" si="206"/>
        <v>54.65737369206812</v>
      </c>
      <c r="FV160" s="149"/>
      <c r="FY160" s="211">
        <v>155</v>
      </c>
      <c r="FZ160">
        <v>3.8810956230051419</v>
      </c>
      <c r="GA160">
        <v>15.441828376259449</v>
      </c>
      <c r="GB160">
        <v>12.506414297594725</v>
      </c>
      <c r="GC160">
        <v>11.027914693355971</v>
      </c>
      <c r="GD160">
        <v>11.984894660234273</v>
      </c>
      <c r="GE160">
        <v>22.018287076029761</v>
      </c>
      <c r="GF160">
        <v>38.177250404543642</v>
      </c>
      <c r="GG160">
        <v>22.376531263031222</v>
      </c>
      <c r="GH160">
        <v>4.0358830238959076</v>
      </c>
      <c r="GI160">
        <v>18.765026526106542</v>
      </c>
      <c r="GJ160"/>
      <c r="GK160"/>
      <c r="GL160"/>
      <c r="GM160"/>
    </row>
    <row r="161" spans="1:195" s="7" customFormat="1">
      <c r="A161" s="1"/>
      <c r="B161" s="76">
        <f t="shared" ca="1" si="171"/>
        <v>0.82734238956592354</v>
      </c>
      <c r="C161">
        <v>10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10.416666666666666</v>
      </c>
      <c r="K161">
        <v>20.833333333333332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81.686534630198736</v>
      </c>
      <c r="AO161">
        <v>27.090756647910563</v>
      </c>
      <c r="AP161">
        <v>182.25471097860168</v>
      </c>
      <c r="AQ161">
        <v>157.65586805434501</v>
      </c>
      <c r="AR161">
        <v>24.916774713136416</v>
      </c>
      <c r="AS161">
        <v>123.47780755103746</v>
      </c>
      <c r="AT161">
        <v>18.853034006265766</v>
      </c>
      <c r="AU161">
        <v>32.617639412871831</v>
      </c>
      <c r="AV161"/>
      <c r="AW161"/>
      <c r="AX161" s="146"/>
      <c r="AY161" s="76">
        <f t="shared" ca="1" si="172"/>
        <v>0.52534907049927781</v>
      </c>
      <c r="AZ161">
        <v>4</v>
      </c>
      <c r="BA161" s="129">
        <f t="shared" si="244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7"/>
        <v>6.0892217849575658E-2</v>
      </c>
      <c r="CL161" s="179">
        <f t="shared" si="208"/>
        <v>4</v>
      </c>
      <c r="CM161" s="180">
        <f t="shared" si="209"/>
        <v>39910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10"/>
        <v>9.6000000000000002E-2</v>
      </c>
      <c r="DB161" s="146"/>
      <c r="DC161" s="76">
        <f t="shared" ca="1" si="173"/>
        <v>0.24419153569670948</v>
      </c>
      <c r="DD161">
        <f t="shared" si="211"/>
        <v>4</v>
      </c>
      <c r="DE161" s="129">
        <f t="shared" si="243"/>
        <v>39910</v>
      </c>
      <c r="DF161" s="161">
        <f t="shared" si="212"/>
        <v>0</v>
      </c>
      <c r="DG161" s="161">
        <f t="shared" si="213"/>
        <v>0</v>
      </c>
      <c r="DH161" s="161">
        <f t="shared" si="214"/>
        <v>0</v>
      </c>
      <c r="DI161" s="161">
        <f t="shared" si="215"/>
        <v>0</v>
      </c>
      <c r="DJ161" s="161">
        <f t="shared" si="216"/>
        <v>0</v>
      </c>
      <c r="DK161" s="161">
        <f t="shared" si="217"/>
        <v>0</v>
      </c>
      <c r="DL161" s="161">
        <f t="shared" si="218"/>
        <v>0</v>
      </c>
      <c r="DM161" s="161">
        <f t="shared" si="219"/>
        <v>0</v>
      </c>
      <c r="DN161" s="161">
        <f t="shared" si="220"/>
        <v>0</v>
      </c>
      <c r="DO161" s="161">
        <f t="shared" si="221"/>
        <v>0</v>
      </c>
      <c r="DP161" s="161">
        <f t="shared" si="222"/>
        <v>0</v>
      </c>
      <c r="DQ161" s="161">
        <f t="shared" si="223"/>
        <v>0</v>
      </c>
      <c r="DR161" s="161">
        <f t="shared" si="224"/>
        <v>0</v>
      </c>
      <c r="DS161" s="161">
        <f t="shared" si="225"/>
        <v>0</v>
      </c>
      <c r="DT161" s="161">
        <f t="shared" si="226"/>
        <v>0</v>
      </c>
      <c r="DU161" s="161">
        <f t="shared" si="227"/>
        <v>0</v>
      </c>
      <c r="DV161" s="161">
        <f t="shared" si="228"/>
        <v>0</v>
      </c>
      <c r="DW161" s="161">
        <f t="shared" si="229"/>
        <v>0</v>
      </c>
      <c r="DX161" s="161">
        <f t="shared" si="230"/>
        <v>0</v>
      </c>
      <c r="DY161" s="161">
        <f t="shared" si="231"/>
        <v>0</v>
      </c>
      <c r="DZ161" s="161">
        <f t="shared" si="232"/>
        <v>0</v>
      </c>
      <c r="EA161" s="161">
        <f t="shared" si="233"/>
        <v>0</v>
      </c>
      <c r="EB161" s="161">
        <f t="shared" si="234"/>
        <v>0</v>
      </c>
      <c r="EC161" s="161">
        <f t="shared" si="235"/>
        <v>0</v>
      </c>
      <c r="ED161" s="161">
        <f t="shared" si="236"/>
        <v>0</v>
      </c>
      <c r="EE161" s="161">
        <f t="shared" si="237"/>
        <v>0</v>
      </c>
      <c r="EF161" s="161">
        <f t="shared" si="238"/>
        <v>0</v>
      </c>
      <c r="EG161" s="161">
        <f t="shared" si="239"/>
        <v>0</v>
      </c>
      <c r="EH161" s="161">
        <f t="shared" si="240"/>
        <v>0</v>
      </c>
      <c r="EI161" s="161">
        <f t="shared" si="241"/>
        <v>0</v>
      </c>
      <c r="EJ161" s="161">
        <f t="shared" si="242"/>
        <v>0</v>
      </c>
      <c r="EK161" s="147">
        <f t="shared" si="174"/>
        <v>0</v>
      </c>
      <c r="EL161" s="149"/>
      <c r="EN161" s="146"/>
      <c r="EO161" s="146"/>
      <c r="EP161" s="139">
        <f t="shared" si="175"/>
        <v>0</v>
      </c>
      <c r="EQ161" s="139">
        <f t="shared" si="176"/>
        <v>0</v>
      </c>
      <c r="ER161" s="139">
        <f t="shared" si="177"/>
        <v>0</v>
      </c>
      <c r="ES161" s="139">
        <f t="shared" si="178"/>
        <v>0</v>
      </c>
      <c r="ET161" s="139">
        <f t="shared" si="179"/>
        <v>0</v>
      </c>
      <c r="EU161" s="139">
        <f t="shared" si="180"/>
        <v>0</v>
      </c>
      <c r="EV161" s="139">
        <f t="shared" si="181"/>
        <v>0</v>
      </c>
      <c r="EW161" s="139">
        <f t="shared" si="182"/>
        <v>0</v>
      </c>
      <c r="EX161" s="139">
        <f t="shared" si="183"/>
        <v>0</v>
      </c>
      <c r="EY161" s="139">
        <f t="shared" si="184"/>
        <v>0</v>
      </c>
      <c r="EZ161" s="139">
        <f t="shared" si="185"/>
        <v>0</v>
      </c>
      <c r="FA161" s="139">
        <f t="shared" si="186"/>
        <v>0</v>
      </c>
      <c r="FB161" s="139">
        <f t="shared" si="187"/>
        <v>0</v>
      </c>
      <c r="FC161" s="139">
        <f t="shared" si="188"/>
        <v>0</v>
      </c>
      <c r="FD161" s="139">
        <f t="shared" si="189"/>
        <v>0</v>
      </c>
      <c r="FE161" s="139">
        <f t="shared" si="190"/>
        <v>0</v>
      </c>
      <c r="FF161" s="139">
        <f t="shared" si="191"/>
        <v>0</v>
      </c>
      <c r="FG161" s="139">
        <f t="shared" si="192"/>
        <v>0</v>
      </c>
      <c r="FH161" s="139">
        <f t="shared" si="193"/>
        <v>0</v>
      </c>
      <c r="FI161" s="139">
        <f t="shared" si="194"/>
        <v>0</v>
      </c>
      <c r="FJ161" s="139">
        <f t="shared" si="195"/>
        <v>0</v>
      </c>
      <c r="FK161" s="139">
        <f t="shared" si="196"/>
        <v>0</v>
      </c>
      <c r="FL161" s="139">
        <f t="shared" si="197"/>
        <v>0</v>
      </c>
      <c r="FM161" s="139">
        <f t="shared" si="198"/>
        <v>0</v>
      </c>
      <c r="FN161" s="139">
        <f t="shared" si="199"/>
        <v>0</v>
      </c>
      <c r="FO161" s="139">
        <f t="shared" si="200"/>
        <v>0</v>
      </c>
      <c r="FP161" s="139">
        <f t="shared" si="201"/>
        <v>0</v>
      </c>
      <c r="FQ161" s="139">
        <f t="shared" si="202"/>
        <v>0</v>
      </c>
      <c r="FR161" s="139">
        <f t="shared" si="203"/>
        <v>0</v>
      </c>
      <c r="FS161" s="139">
        <f t="shared" si="204"/>
        <v>0</v>
      </c>
      <c r="FT161" s="139">
        <f t="shared" si="205"/>
        <v>0</v>
      </c>
      <c r="FU161" s="148">
        <f t="shared" si="206"/>
        <v>0</v>
      </c>
      <c r="FV161" s="149"/>
      <c r="FY161" s="211">
        <v>156</v>
      </c>
      <c r="FZ161">
        <v>4.1866827692886517</v>
      </c>
      <c r="GA161">
        <v>10.507461923723266</v>
      </c>
      <c r="GB161">
        <v>15.617783361752908</v>
      </c>
      <c r="GC161">
        <v>15.598158172649535</v>
      </c>
      <c r="GD161">
        <v>14.075841217292393</v>
      </c>
      <c r="GE161">
        <v>21.013527080444941</v>
      </c>
      <c r="GF161">
        <v>28.607837171926285</v>
      </c>
      <c r="GG161">
        <v>36.428250937565032</v>
      </c>
      <c r="GH161">
        <v>26.575393476802308</v>
      </c>
      <c r="GI161">
        <v>22.666407049016684</v>
      </c>
      <c r="GJ161"/>
      <c r="GK161"/>
      <c r="GL161"/>
      <c r="GM161"/>
    </row>
    <row r="162" spans="1:195" s="7" customFormat="1">
      <c r="A162" s="1"/>
      <c r="B162" s="76">
        <f t="shared" ca="1" si="171"/>
        <v>0.844670958868456</v>
      </c>
      <c r="C162">
        <v>2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57.712264526503951</v>
      </c>
      <c r="AO162">
        <v>22.778876545130792</v>
      </c>
      <c r="AP162">
        <v>147.33371608123997</v>
      </c>
      <c r="AQ162">
        <v>122.73269644063521</v>
      </c>
      <c r="AR162">
        <v>20.788947773561844</v>
      </c>
      <c r="AS162">
        <v>99.941011496290713</v>
      </c>
      <c r="AT162">
        <v>15.783605392354799</v>
      </c>
      <c r="AU162">
        <v>-7.4371753816046136</v>
      </c>
      <c r="AV162"/>
      <c r="AW162"/>
      <c r="AX162" s="146"/>
      <c r="AY162" s="76">
        <f t="shared" ca="1" si="172"/>
        <v>0.13791396103617526</v>
      </c>
      <c r="AZ162">
        <v>5</v>
      </c>
      <c r="BA162" s="129">
        <f t="shared" si="244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1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7"/>
        <v>0.77599283625523885</v>
      </c>
      <c r="CL162" s="179">
        <f t="shared" si="208"/>
        <v>5</v>
      </c>
      <c r="CM162" s="180">
        <f t="shared" si="209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10"/>
        <v>9.6000000000000002E-2</v>
      </c>
      <c r="DB162" s="146"/>
      <c r="DC162" s="76">
        <f t="shared" ca="1" si="173"/>
        <v>0.68662071167086336</v>
      </c>
      <c r="DD162">
        <f t="shared" si="211"/>
        <v>5</v>
      </c>
      <c r="DE162" s="129">
        <f t="shared" si="243"/>
        <v>39910</v>
      </c>
      <c r="DF162" s="161">
        <f t="shared" si="212"/>
        <v>0</v>
      </c>
      <c r="DG162" s="161">
        <f t="shared" si="213"/>
        <v>0</v>
      </c>
      <c r="DH162" s="161">
        <f t="shared" si="214"/>
        <v>0</v>
      </c>
      <c r="DI162" s="161">
        <f t="shared" si="215"/>
        <v>0</v>
      </c>
      <c r="DJ162" s="161">
        <f t="shared" si="216"/>
        <v>0</v>
      </c>
      <c r="DK162" s="161">
        <f t="shared" si="217"/>
        <v>10.416666666666666</v>
      </c>
      <c r="DL162" s="161">
        <f t="shared" si="218"/>
        <v>0</v>
      </c>
      <c r="DM162" s="161">
        <f t="shared" si="219"/>
        <v>0</v>
      </c>
      <c r="DN162" s="161">
        <f t="shared" si="220"/>
        <v>0</v>
      </c>
      <c r="DO162" s="161">
        <f t="shared" si="221"/>
        <v>0</v>
      </c>
      <c r="DP162" s="161">
        <f t="shared" si="222"/>
        <v>0</v>
      </c>
      <c r="DQ162" s="161">
        <f t="shared" si="223"/>
        <v>0</v>
      </c>
      <c r="DR162" s="161">
        <f t="shared" si="224"/>
        <v>0</v>
      </c>
      <c r="DS162" s="161">
        <f t="shared" si="225"/>
        <v>0</v>
      </c>
      <c r="DT162" s="161">
        <f t="shared" si="226"/>
        <v>0</v>
      </c>
      <c r="DU162" s="161">
        <f t="shared" si="227"/>
        <v>0</v>
      </c>
      <c r="DV162" s="161">
        <f t="shared" si="228"/>
        <v>0</v>
      </c>
      <c r="DW162" s="161">
        <f t="shared" si="229"/>
        <v>0</v>
      </c>
      <c r="DX162" s="161">
        <f t="shared" si="230"/>
        <v>0</v>
      </c>
      <c r="DY162" s="161">
        <f t="shared" si="231"/>
        <v>0</v>
      </c>
      <c r="DZ162" s="161">
        <f t="shared" si="232"/>
        <v>0</v>
      </c>
      <c r="EA162" s="161">
        <f t="shared" si="233"/>
        <v>0</v>
      </c>
      <c r="EB162" s="161">
        <f t="shared" si="234"/>
        <v>0</v>
      </c>
      <c r="EC162" s="161">
        <f t="shared" si="235"/>
        <v>0</v>
      </c>
      <c r="ED162" s="161">
        <f t="shared" si="236"/>
        <v>0</v>
      </c>
      <c r="EE162" s="161">
        <f t="shared" si="237"/>
        <v>0</v>
      </c>
      <c r="EF162" s="161">
        <f t="shared" si="238"/>
        <v>0</v>
      </c>
      <c r="EG162" s="161">
        <f t="shared" si="239"/>
        <v>0</v>
      </c>
      <c r="EH162" s="161">
        <f t="shared" si="240"/>
        <v>0</v>
      </c>
      <c r="EI162" s="161">
        <f t="shared" si="241"/>
        <v>0</v>
      </c>
      <c r="EJ162" s="161">
        <f t="shared" si="242"/>
        <v>0</v>
      </c>
      <c r="EK162" s="147">
        <f t="shared" si="174"/>
        <v>10.416666666666666</v>
      </c>
      <c r="EL162" s="149"/>
      <c r="EN162" s="146"/>
      <c r="EO162" s="146"/>
      <c r="EP162" s="139">
        <f t="shared" si="175"/>
        <v>0</v>
      </c>
      <c r="EQ162" s="139">
        <f t="shared" si="176"/>
        <v>0</v>
      </c>
      <c r="ER162" s="139">
        <f t="shared" si="177"/>
        <v>0</v>
      </c>
      <c r="ES162" s="139">
        <f t="shared" si="178"/>
        <v>0</v>
      </c>
      <c r="ET162" s="139">
        <f t="shared" si="179"/>
        <v>0</v>
      </c>
      <c r="EU162" s="139">
        <f t="shared" si="180"/>
        <v>7.623090522906498</v>
      </c>
      <c r="EV162" s="139">
        <f t="shared" si="181"/>
        <v>0</v>
      </c>
      <c r="EW162" s="139">
        <f t="shared" si="182"/>
        <v>0</v>
      </c>
      <c r="EX162" s="139">
        <f t="shared" si="183"/>
        <v>0</v>
      </c>
      <c r="EY162" s="139">
        <f t="shared" si="184"/>
        <v>0</v>
      </c>
      <c r="EZ162" s="139">
        <f t="shared" si="185"/>
        <v>0</v>
      </c>
      <c r="FA162" s="139">
        <f t="shared" si="186"/>
        <v>0</v>
      </c>
      <c r="FB162" s="139">
        <f t="shared" si="187"/>
        <v>0</v>
      </c>
      <c r="FC162" s="139">
        <f t="shared" si="188"/>
        <v>0</v>
      </c>
      <c r="FD162" s="139">
        <f t="shared" si="189"/>
        <v>0</v>
      </c>
      <c r="FE162" s="139">
        <f t="shared" si="190"/>
        <v>0</v>
      </c>
      <c r="FF162" s="139">
        <f t="shared" si="191"/>
        <v>0</v>
      </c>
      <c r="FG162" s="139">
        <f t="shared" si="192"/>
        <v>0</v>
      </c>
      <c r="FH162" s="139">
        <f t="shared" si="193"/>
        <v>0</v>
      </c>
      <c r="FI162" s="139">
        <f t="shared" si="194"/>
        <v>0</v>
      </c>
      <c r="FJ162" s="139">
        <f t="shared" si="195"/>
        <v>0</v>
      </c>
      <c r="FK162" s="139">
        <f t="shared" si="196"/>
        <v>0</v>
      </c>
      <c r="FL162" s="139">
        <f t="shared" si="197"/>
        <v>0</v>
      </c>
      <c r="FM162" s="139">
        <f t="shared" si="198"/>
        <v>0</v>
      </c>
      <c r="FN162" s="139">
        <f t="shared" si="199"/>
        <v>0</v>
      </c>
      <c r="FO162" s="139">
        <f t="shared" si="200"/>
        <v>0</v>
      </c>
      <c r="FP162" s="139">
        <f t="shared" si="201"/>
        <v>0</v>
      </c>
      <c r="FQ162" s="139">
        <f t="shared" si="202"/>
        <v>0</v>
      </c>
      <c r="FR162" s="139">
        <f t="shared" si="203"/>
        <v>0</v>
      </c>
      <c r="FS162" s="139">
        <f t="shared" si="204"/>
        <v>0</v>
      </c>
      <c r="FT162" s="139">
        <f t="shared" si="205"/>
        <v>0</v>
      </c>
      <c r="FU162" s="148">
        <f t="shared" si="206"/>
        <v>7.623090522906498</v>
      </c>
      <c r="FV162" s="149"/>
      <c r="FY162" s="211">
        <v>157</v>
      </c>
      <c r="FZ162">
        <v>1.2631244851721823</v>
      </c>
      <c r="GA162">
        <v>17.801224271169332</v>
      </c>
      <c r="GB162">
        <v>18.403182959586736</v>
      </c>
      <c r="GC162">
        <v>9.270830349121912</v>
      </c>
      <c r="GD162">
        <v>7.6890379718239412</v>
      </c>
      <c r="GE162">
        <v>20.207543380522338</v>
      </c>
      <c r="GF162">
        <v>36.95668518415237</v>
      </c>
      <c r="GG162">
        <v>26.702098530684495</v>
      </c>
      <c r="GH162">
        <v>14.453526853920668</v>
      </c>
      <c r="GI162">
        <v>18.697698425480084</v>
      </c>
      <c r="GJ162"/>
      <c r="GK162"/>
      <c r="GL162"/>
      <c r="GM162"/>
    </row>
    <row r="163" spans="1:195" s="7" customFormat="1">
      <c r="A163" s="1"/>
      <c r="B163" s="76">
        <f t="shared" ca="1" si="171"/>
        <v>0.89230103762451041</v>
      </c>
      <c r="C163">
        <v>9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34.375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72.847978328317893</v>
      </c>
      <c r="AO163">
        <v>26.378817581677463</v>
      </c>
      <c r="AP163">
        <v>165.4975819020583</v>
      </c>
      <c r="AQ163">
        <v>145.09897676132366</v>
      </c>
      <c r="AR163">
        <v>23.842516468931173</v>
      </c>
      <c r="AS163">
        <v>122.62600444107493</v>
      </c>
      <c r="AT163" t="e">
        <v>#DIV/0!</v>
      </c>
      <c r="AU163" t="e">
        <v>#DIV/0!</v>
      </c>
      <c r="AV163"/>
      <c r="AW163"/>
      <c r="AX163" s="146"/>
      <c r="AY163" s="76">
        <f t="shared" ca="1" si="172"/>
        <v>0.91938708819393611</v>
      </c>
      <c r="AZ163">
        <v>6</v>
      </c>
      <c r="BA163" s="129">
        <f t="shared" si="244"/>
        <v>39910</v>
      </c>
      <c r="BB163">
        <v>0</v>
      </c>
      <c r="BC163">
        <v>0</v>
      </c>
      <c r="BD163">
        <v>0</v>
      </c>
      <c r="BE163">
        <v>0</v>
      </c>
      <c r="BF163">
        <v>2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7"/>
        <v>0.75491382731779133</v>
      </c>
      <c r="CL163" s="179">
        <f t="shared" si="208"/>
        <v>6</v>
      </c>
      <c r="CM163" s="180">
        <f t="shared" si="209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10"/>
        <v>9.6000000000000002E-2</v>
      </c>
      <c r="DB163" s="146"/>
      <c r="DC163" s="76">
        <f t="shared" ca="1" si="173"/>
        <v>0.80635929616605151</v>
      </c>
      <c r="DD163">
        <f t="shared" si="211"/>
        <v>6</v>
      </c>
      <c r="DE163" s="129">
        <f t="shared" si="243"/>
        <v>39910</v>
      </c>
      <c r="DF163" s="161">
        <f t="shared" si="212"/>
        <v>0</v>
      </c>
      <c r="DG163" s="161">
        <f t="shared" si="213"/>
        <v>0</v>
      </c>
      <c r="DH163" s="161">
        <f t="shared" si="214"/>
        <v>0</v>
      </c>
      <c r="DI163" s="161">
        <f t="shared" si="215"/>
        <v>0</v>
      </c>
      <c r="DJ163" s="161">
        <f t="shared" si="216"/>
        <v>20.833333333333332</v>
      </c>
      <c r="DK163" s="161">
        <f t="shared" si="217"/>
        <v>0</v>
      </c>
      <c r="DL163" s="161">
        <f t="shared" si="218"/>
        <v>0</v>
      </c>
      <c r="DM163" s="161">
        <f t="shared" si="219"/>
        <v>0</v>
      </c>
      <c r="DN163" s="161">
        <f t="shared" si="220"/>
        <v>0</v>
      </c>
      <c r="DO163" s="161">
        <f t="shared" si="221"/>
        <v>0</v>
      </c>
      <c r="DP163" s="161">
        <f t="shared" si="222"/>
        <v>0</v>
      </c>
      <c r="DQ163" s="161">
        <f t="shared" si="223"/>
        <v>0</v>
      </c>
      <c r="DR163" s="161">
        <f t="shared" si="224"/>
        <v>0</v>
      </c>
      <c r="DS163" s="161">
        <f t="shared" si="225"/>
        <v>0</v>
      </c>
      <c r="DT163" s="161">
        <f t="shared" si="226"/>
        <v>0</v>
      </c>
      <c r="DU163" s="161">
        <f t="shared" si="227"/>
        <v>0</v>
      </c>
      <c r="DV163" s="161">
        <f t="shared" si="228"/>
        <v>0</v>
      </c>
      <c r="DW163" s="161">
        <f t="shared" si="229"/>
        <v>0</v>
      </c>
      <c r="DX163" s="161">
        <f t="shared" si="230"/>
        <v>0</v>
      </c>
      <c r="DY163" s="161">
        <f t="shared" si="231"/>
        <v>0</v>
      </c>
      <c r="DZ163" s="161">
        <f t="shared" si="232"/>
        <v>0</v>
      </c>
      <c r="EA163" s="161">
        <f t="shared" si="233"/>
        <v>0</v>
      </c>
      <c r="EB163" s="161">
        <f t="shared" si="234"/>
        <v>0</v>
      </c>
      <c r="EC163" s="161">
        <f t="shared" si="235"/>
        <v>0</v>
      </c>
      <c r="ED163" s="161">
        <f t="shared" si="236"/>
        <v>0</v>
      </c>
      <c r="EE163" s="161">
        <f t="shared" si="237"/>
        <v>0</v>
      </c>
      <c r="EF163" s="161">
        <f t="shared" si="238"/>
        <v>0</v>
      </c>
      <c r="EG163" s="161">
        <f t="shared" si="239"/>
        <v>0</v>
      </c>
      <c r="EH163" s="161">
        <f t="shared" si="240"/>
        <v>0</v>
      </c>
      <c r="EI163" s="161">
        <f t="shared" si="241"/>
        <v>0</v>
      </c>
      <c r="EJ163" s="161">
        <f t="shared" si="242"/>
        <v>0</v>
      </c>
      <c r="EK163" s="147">
        <f t="shared" si="174"/>
        <v>20.833333333333332</v>
      </c>
      <c r="EL163" s="149"/>
      <c r="EN163" s="146"/>
      <c r="EO163" s="146"/>
      <c r="EP163" s="139">
        <f t="shared" si="175"/>
        <v>0</v>
      </c>
      <c r="EQ163" s="139">
        <f t="shared" si="176"/>
        <v>0</v>
      </c>
      <c r="ER163" s="139">
        <f t="shared" si="177"/>
        <v>0</v>
      </c>
      <c r="ES163" s="139">
        <f t="shared" si="178"/>
        <v>0</v>
      </c>
      <c r="ET163" s="139">
        <f t="shared" si="179"/>
        <v>8.3906100241670192</v>
      </c>
      <c r="EU163" s="139">
        <f t="shared" si="180"/>
        <v>0</v>
      </c>
      <c r="EV163" s="139">
        <f t="shared" si="181"/>
        <v>0</v>
      </c>
      <c r="EW163" s="139">
        <f t="shared" si="182"/>
        <v>0</v>
      </c>
      <c r="EX163" s="139">
        <f t="shared" si="183"/>
        <v>0</v>
      </c>
      <c r="EY163" s="139">
        <f t="shared" si="184"/>
        <v>0</v>
      </c>
      <c r="EZ163" s="139">
        <f t="shared" si="185"/>
        <v>0</v>
      </c>
      <c r="FA163" s="139">
        <f t="shared" si="186"/>
        <v>0</v>
      </c>
      <c r="FB163" s="139">
        <f t="shared" si="187"/>
        <v>0</v>
      </c>
      <c r="FC163" s="139">
        <f t="shared" si="188"/>
        <v>0</v>
      </c>
      <c r="FD163" s="139">
        <f t="shared" si="189"/>
        <v>0</v>
      </c>
      <c r="FE163" s="139">
        <f t="shared" si="190"/>
        <v>0</v>
      </c>
      <c r="FF163" s="139">
        <f t="shared" si="191"/>
        <v>0</v>
      </c>
      <c r="FG163" s="139">
        <f t="shared" si="192"/>
        <v>0</v>
      </c>
      <c r="FH163" s="139">
        <f t="shared" si="193"/>
        <v>0</v>
      </c>
      <c r="FI163" s="139">
        <f t="shared" si="194"/>
        <v>0</v>
      </c>
      <c r="FJ163" s="139">
        <f t="shared" si="195"/>
        <v>0</v>
      </c>
      <c r="FK163" s="139">
        <f t="shared" si="196"/>
        <v>0</v>
      </c>
      <c r="FL163" s="139">
        <f t="shared" si="197"/>
        <v>0</v>
      </c>
      <c r="FM163" s="139">
        <f t="shared" si="198"/>
        <v>0</v>
      </c>
      <c r="FN163" s="139">
        <f t="shared" si="199"/>
        <v>0</v>
      </c>
      <c r="FO163" s="139">
        <f t="shared" si="200"/>
        <v>0</v>
      </c>
      <c r="FP163" s="139">
        <f t="shared" si="201"/>
        <v>0</v>
      </c>
      <c r="FQ163" s="139">
        <f t="shared" si="202"/>
        <v>0</v>
      </c>
      <c r="FR163" s="139">
        <f t="shared" si="203"/>
        <v>0</v>
      </c>
      <c r="FS163" s="139">
        <f t="shared" si="204"/>
        <v>0</v>
      </c>
      <c r="FT163" s="139">
        <f t="shared" si="205"/>
        <v>0</v>
      </c>
      <c r="FU163" s="148">
        <f t="shared" si="206"/>
        <v>8.3906100241670192</v>
      </c>
      <c r="FV163" s="149"/>
      <c r="FY163" s="211">
        <v>158</v>
      </c>
      <c r="FZ163">
        <v>6.2306353424421363</v>
      </c>
      <c r="GA163">
        <v>18.348507272684987</v>
      </c>
      <c r="GB163">
        <v>21.724085564700573</v>
      </c>
      <c r="GC163">
        <v>19.63461405696896</v>
      </c>
      <c r="GD163">
        <v>15.748735004429875</v>
      </c>
      <c r="GE163">
        <v>24.511915512055747</v>
      </c>
      <c r="GF163">
        <v>32.669064491466926</v>
      </c>
      <c r="GG163">
        <v>29.795231829024846</v>
      </c>
      <c r="GH163">
        <v>23.294208236959442</v>
      </c>
      <c r="GI163">
        <v>25.736682921619717</v>
      </c>
      <c r="GJ163"/>
      <c r="GK163"/>
      <c r="GL163"/>
      <c r="GM163"/>
    </row>
    <row r="164" spans="1:195" s="7" customFormat="1">
      <c r="A164" s="1"/>
      <c r="B164" s="76">
        <f t="shared" ca="1" si="171"/>
        <v>0.11225668008266432</v>
      </c>
      <c r="C164">
        <v>4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72.624006623356252</v>
      </c>
      <c r="AO164">
        <v>30.179911839539493</v>
      </c>
      <c r="AP164">
        <v>213.90358056478181</v>
      </c>
      <c r="AQ164">
        <v>178.45110025468722</v>
      </c>
      <c r="AR164">
        <v>27.269428200185072</v>
      </c>
      <c r="AS164">
        <v>126.8430745505629</v>
      </c>
      <c r="AT164">
        <v>21.052319544153381</v>
      </c>
      <c r="AU164">
        <v>43.190230707420163</v>
      </c>
      <c r="AV164"/>
      <c r="AW164"/>
      <c r="AX164" s="146"/>
      <c r="AY164" s="76">
        <f t="shared" ca="1" si="172"/>
        <v>0.48615147028453887</v>
      </c>
      <c r="AZ164">
        <v>7</v>
      </c>
      <c r="BA164" s="129">
        <f t="shared" si="244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7"/>
        <v>0.88498443989632225</v>
      </c>
      <c r="CL164" s="179">
        <f t="shared" si="208"/>
        <v>7</v>
      </c>
      <c r="CM164" s="180">
        <f t="shared" si="209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10"/>
        <v>9.6000000000000002E-2</v>
      </c>
      <c r="DB164" s="146"/>
      <c r="DC164" s="76">
        <f t="shared" ca="1" si="173"/>
        <v>0.58768708573097506</v>
      </c>
      <c r="DD164">
        <f t="shared" si="211"/>
        <v>7</v>
      </c>
      <c r="DE164" s="129">
        <f t="shared" si="243"/>
        <v>39910</v>
      </c>
      <c r="DF164" s="161">
        <f t="shared" si="212"/>
        <v>0</v>
      </c>
      <c r="DG164" s="161">
        <f t="shared" si="213"/>
        <v>0</v>
      </c>
      <c r="DH164" s="161">
        <f t="shared" si="214"/>
        <v>0</v>
      </c>
      <c r="DI164" s="161">
        <f t="shared" si="215"/>
        <v>0</v>
      </c>
      <c r="DJ164" s="161">
        <f t="shared" si="216"/>
        <v>0</v>
      </c>
      <c r="DK164" s="161">
        <f t="shared" si="217"/>
        <v>0</v>
      </c>
      <c r="DL164" s="161">
        <f t="shared" si="218"/>
        <v>0</v>
      </c>
      <c r="DM164" s="161">
        <f t="shared" si="219"/>
        <v>0</v>
      </c>
      <c r="DN164" s="161">
        <f t="shared" si="220"/>
        <v>0</v>
      </c>
      <c r="DO164" s="161">
        <f t="shared" si="221"/>
        <v>0</v>
      </c>
      <c r="DP164" s="161">
        <f t="shared" si="222"/>
        <v>0</v>
      </c>
      <c r="DQ164" s="161">
        <f t="shared" si="223"/>
        <v>0</v>
      </c>
      <c r="DR164" s="161">
        <f t="shared" si="224"/>
        <v>0</v>
      </c>
      <c r="DS164" s="161">
        <f t="shared" si="225"/>
        <v>0</v>
      </c>
      <c r="DT164" s="161">
        <f t="shared" si="226"/>
        <v>0</v>
      </c>
      <c r="DU164" s="161">
        <f t="shared" si="227"/>
        <v>0</v>
      </c>
      <c r="DV164" s="161">
        <f t="shared" si="228"/>
        <v>0</v>
      </c>
      <c r="DW164" s="161">
        <f t="shared" si="229"/>
        <v>0</v>
      </c>
      <c r="DX164" s="161">
        <f t="shared" si="230"/>
        <v>0</v>
      </c>
      <c r="DY164" s="161">
        <f t="shared" si="231"/>
        <v>0</v>
      </c>
      <c r="DZ164" s="161">
        <f t="shared" si="232"/>
        <v>0</v>
      </c>
      <c r="EA164" s="161">
        <f t="shared" si="233"/>
        <v>0</v>
      </c>
      <c r="EB164" s="161">
        <f t="shared" si="234"/>
        <v>0</v>
      </c>
      <c r="EC164" s="161">
        <f t="shared" si="235"/>
        <v>0</v>
      </c>
      <c r="ED164" s="161">
        <f t="shared" si="236"/>
        <v>0</v>
      </c>
      <c r="EE164" s="161">
        <f t="shared" si="237"/>
        <v>0</v>
      </c>
      <c r="EF164" s="161">
        <f t="shared" si="238"/>
        <v>0</v>
      </c>
      <c r="EG164" s="161">
        <f t="shared" si="239"/>
        <v>0</v>
      </c>
      <c r="EH164" s="161">
        <f t="shared" si="240"/>
        <v>0</v>
      </c>
      <c r="EI164" s="161">
        <f t="shared" si="241"/>
        <v>0</v>
      </c>
      <c r="EJ164" s="161">
        <f t="shared" si="242"/>
        <v>0</v>
      </c>
      <c r="EK164" s="147">
        <f t="shared" si="174"/>
        <v>0</v>
      </c>
      <c r="EL164" s="149"/>
      <c r="EN164" s="146"/>
      <c r="EO164" s="146"/>
      <c r="EP164" s="139">
        <f t="shared" si="175"/>
        <v>0</v>
      </c>
      <c r="EQ164" s="139">
        <f t="shared" si="176"/>
        <v>0</v>
      </c>
      <c r="ER164" s="139">
        <f t="shared" si="177"/>
        <v>0</v>
      </c>
      <c r="ES164" s="139">
        <f t="shared" si="178"/>
        <v>0</v>
      </c>
      <c r="ET164" s="139">
        <f t="shared" si="179"/>
        <v>0</v>
      </c>
      <c r="EU164" s="139">
        <f t="shared" si="180"/>
        <v>0</v>
      </c>
      <c r="EV164" s="139">
        <f t="shared" si="181"/>
        <v>0</v>
      </c>
      <c r="EW164" s="139">
        <f t="shared" si="182"/>
        <v>0</v>
      </c>
      <c r="EX164" s="139">
        <f t="shared" si="183"/>
        <v>0</v>
      </c>
      <c r="EY164" s="139">
        <f t="shared" si="184"/>
        <v>0</v>
      </c>
      <c r="EZ164" s="139">
        <f t="shared" si="185"/>
        <v>0</v>
      </c>
      <c r="FA164" s="139">
        <f t="shared" si="186"/>
        <v>0</v>
      </c>
      <c r="FB164" s="139">
        <f t="shared" si="187"/>
        <v>0</v>
      </c>
      <c r="FC164" s="139">
        <f t="shared" si="188"/>
        <v>0</v>
      </c>
      <c r="FD164" s="139">
        <f t="shared" si="189"/>
        <v>0</v>
      </c>
      <c r="FE164" s="139">
        <f t="shared" si="190"/>
        <v>0</v>
      </c>
      <c r="FF164" s="139">
        <f t="shared" si="191"/>
        <v>0</v>
      </c>
      <c r="FG164" s="139">
        <f t="shared" si="192"/>
        <v>0</v>
      </c>
      <c r="FH164" s="139">
        <f t="shared" si="193"/>
        <v>0</v>
      </c>
      <c r="FI164" s="139">
        <f t="shared" si="194"/>
        <v>0</v>
      </c>
      <c r="FJ164" s="139">
        <f t="shared" si="195"/>
        <v>0</v>
      </c>
      <c r="FK164" s="139">
        <f t="shared" si="196"/>
        <v>0</v>
      </c>
      <c r="FL164" s="139">
        <f t="shared" si="197"/>
        <v>0</v>
      </c>
      <c r="FM164" s="139">
        <f t="shared" si="198"/>
        <v>0</v>
      </c>
      <c r="FN164" s="139">
        <f t="shared" si="199"/>
        <v>0</v>
      </c>
      <c r="FO164" s="139">
        <f t="shared" si="200"/>
        <v>0</v>
      </c>
      <c r="FP164" s="139">
        <f t="shared" si="201"/>
        <v>0</v>
      </c>
      <c r="FQ164" s="139">
        <f t="shared" si="202"/>
        <v>0</v>
      </c>
      <c r="FR164" s="139">
        <f t="shared" si="203"/>
        <v>0</v>
      </c>
      <c r="FS164" s="139">
        <f t="shared" si="204"/>
        <v>0</v>
      </c>
      <c r="FT164" s="139">
        <f t="shared" si="205"/>
        <v>0</v>
      </c>
      <c r="FU164" s="148">
        <f t="shared" si="206"/>
        <v>0</v>
      </c>
      <c r="FV164" s="149"/>
      <c r="FY164" s="211">
        <v>159</v>
      </c>
      <c r="FZ164">
        <v>3.9240225492474567</v>
      </c>
      <c r="GA164">
        <v>13.374298841567793</v>
      </c>
      <c r="GB164">
        <v>18.919630020413482</v>
      </c>
      <c r="GC164">
        <v>14.46762025854815</v>
      </c>
      <c r="GD164">
        <v>17.099441160931534</v>
      </c>
      <c r="GE164">
        <v>41.2130677276798</v>
      </c>
      <c r="GF164">
        <v>34.520576451603247</v>
      </c>
      <c r="GG164">
        <v>9.680963873040227</v>
      </c>
      <c r="GH164">
        <v>6.1307533843532083</v>
      </c>
      <c r="GI164">
        <v>23.147013971641204</v>
      </c>
      <c r="GJ164"/>
      <c r="GK164"/>
      <c r="GL164"/>
      <c r="GM164"/>
    </row>
    <row r="165" spans="1:195" s="7" customFormat="1">
      <c r="A165" s="1"/>
      <c r="B165" s="76">
        <f t="shared" ca="1" si="171"/>
        <v>0.74992686386673424</v>
      </c>
      <c r="C165">
        <v>7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92.100149105210278</v>
      </c>
      <c r="AO165">
        <v>32.755692170364647</v>
      </c>
      <c r="AP165">
        <v>241.20294131874857</v>
      </c>
      <c r="AQ165">
        <v>196.66885052769271</v>
      </c>
      <c r="AR165">
        <v>29.464830196372652</v>
      </c>
      <c r="AS165">
        <v>147.35366834762064</v>
      </c>
      <c r="AT165" t="e">
        <v>#DIV/0!</v>
      </c>
      <c r="AU165" t="e">
        <v>#DIV/0!</v>
      </c>
      <c r="AV165"/>
      <c r="AW165"/>
      <c r="AX165" s="146"/>
      <c r="AY165" s="76">
        <f t="shared" ca="1" si="172"/>
        <v>0.61898532114069282</v>
      </c>
      <c r="AZ165">
        <v>8</v>
      </c>
      <c r="BA165" s="129">
        <f t="shared" si="244"/>
        <v>39910</v>
      </c>
      <c r="BB165">
        <v>0</v>
      </c>
      <c r="BC165">
        <v>0</v>
      </c>
      <c r="BD165">
        <v>0</v>
      </c>
      <c r="BE165">
        <v>1</v>
      </c>
      <c r="BF165">
        <v>18</v>
      </c>
      <c r="BG165">
        <v>9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7"/>
        <v>0.826616273888096</v>
      </c>
      <c r="CL165" s="179">
        <f t="shared" si="208"/>
        <v>8</v>
      </c>
      <c r="CM165" s="180">
        <f t="shared" si="209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10"/>
        <v>9.6000000000000002E-2</v>
      </c>
      <c r="DB165" s="146"/>
      <c r="DC165" s="76">
        <f t="shared" ca="1" si="173"/>
        <v>0.46274152133223811</v>
      </c>
      <c r="DD165">
        <f t="shared" si="211"/>
        <v>8</v>
      </c>
      <c r="DE165" s="129">
        <f t="shared" si="243"/>
        <v>39910</v>
      </c>
      <c r="DF165" s="161">
        <f t="shared" si="212"/>
        <v>0</v>
      </c>
      <c r="DG165" s="161">
        <f t="shared" si="213"/>
        <v>0</v>
      </c>
      <c r="DH165" s="161">
        <f t="shared" si="214"/>
        <v>0</v>
      </c>
      <c r="DI165" s="161">
        <f t="shared" si="215"/>
        <v>10.416666666666666</v>
      </c>
      <c r="DJ165" s="161">
        <f t="shared" si="216"/>
        <v>187.5</v>
      </c>
      <c r="DK165" s="161">
        <f t="shared" si="217"/>
        <v>93.75</v>
      </c>
      <c r="DL165" s="161">
        <f t="shared" si="218"/>
        <v>0</v>
      </c>
      <c r="DM165" s="161">
        <f t="shared" si="219"/>
        <v>0</v>
      </c>
      <c r="DN165" s="161">
        <f t="shared" si="220"/>
        <v>0</v>
      </c>
      <c r="DO165" s="161">
        <f t="shared" si="221"/>
        <v>0</v>
      </c>
      <c r="DP165" s="161">
        <f t="shared" si="222"/>
        <v>0</v>
      </c>
      <c r="DQ165" s="161">
        <f t="shared" si="223"/>
        <v>0</v>
      </c>
      <c r="DR165" s="161">
        <f t="shared" si="224"/>
        <v>0</v>
      </c>
      <c r="DS165" s="161">
        <f t="shared" si="225"/>
        <v>0</v>
      </c>
      <c r="DT165" s="161">
        <f t="shared" si="226"/>
        <v>0</v>
      </c>
      <c r="DU165" s="161">
        <f t="shared" si="227"/>
        <v>0</v>
      </c>
      <c r="DV165" s="161">
        <f t="shared" si="228"/>
        <v>0</v>
      </c>
      <c r="DW165" s="161">
        <f t="shared" si="229"/>
        <v>0</v>
      </c>
      <c r="DX165" s="161">
        <f t="shared" si="230"/>
        <v>0</v>
      </c>
      <c r="DY165" s="161">
        <f t="shared" si="231"/>
        <v>0</v>
      </c>
      <c r="DZ165" s="161">
        <f t="shared" si="232"/>
        <v>0</v>
      </c>
      <c r="EA165" s="161">
        <f t="shared" si="233"/>
        <v>0</v>
      </c>
      <c r="EB165" s="161">
        <f t="shared" si="234"/>
        <v>0</v>
      </c>
      <c r="EC165" s="161">
        <f t="shared" si="235"/>
        <v>0</v>
      </c>
      <c r="ED165" s="161">
        <f t="shared" si="236"/>
        <v>0</v>
      </c>
      <c r="EE165" s="161">
        <f t="shared" si="237"/>
        <v>0</v>
      </c>
      <c r="EF165" s="161">
        <f t="shared" si="238"/>
        <v>0</v>
      </c>
      <c r="EG165" s="161">
        <f t="shared" si="239"/>
        <v>0</v>
      </c>
      <c r="EH165" s="161">
        <f t="shared" si="240"/>
        <v>0</v>
      </c>
      <c r="EI165" s="161">
        <f t="shared" si="241"/>
        <v>0</v>
      </c>
      <c r="EJ165" s="161">
        <f t="shared" si="242"/>
        <v>0</v>
      </c>
      <c r="EK165" s="147">
        <f t="shared" si="174"/>
        <v>291.66666666666663</v>
      </c>
      <c r="EL165" s="149"/>
      <c r="EN165" s="146"/>
      <c r="EO165" s="146"/>
      <c r="EP165" s="139">
        <f t="shared" si="175"/>
        <v>0</v>
      </c>
      <c r="EQ165" s="139">
        <f t="shared" si="176"/>
        <v>0</v>
      </c>
      <c r="ER165" s="139">
        <f t="shared" si="177"/>
        <v>0</v>
      </c>
      <c r="ES165" s="139">
        <f t="shared" si="178"/>
        <v>1.9425876783490643</v>
      </c>
      <c r="ET165" s="139">
        <f t="shared" si="179"/>
        <v>75.515490217503185</v>
      </c>
      <c r="EU165" s="139">
        <f t="shared" si="180"/>
        <v>68.607814706158479</v>
      </c>
      <c r="EV165" s="139">
        <f t="shared" si="181"/>
        <v>0</v>
      </c>
      <c r="EW165" s="139">
        <f t="shared" si="182"/>
        <v>0</v>
      </c>
      <c r="EX165" s="139">
        <f t="shared" si="183"/>
        <v>0</v>
      </c>
      <c r="EY165" s="139">
        <f t="shared" si="184"/>
        <v>0</v>
      </c>
      <c r="EZ165" s="139">
        <f t="shared" si="185"/>
        <v>0</v>
      </c>
      <c r="FA165" s="139">
        <f t="shared" si="186"/>
        <v>0</v>
      </c>
      <c r="FB165" s="139">
        <f t="shared" si="187"/>
        <v>0</v>
      </c>
      <c r="FC165" s="139">
        <f t="shared" si="188"/>
        <v>0</v>
      </c>
      <c r="FD165" s="139">
        <f t="shared" si="189"/>
        <v>0</v>
      </c>
      <c r="FE165" s="139">
        <f t="shared" si="190"/>
        <v>0</v>
      </c>
      <c r="FF165" s="139">
        <f t="shared" si="191"/>
        <v>0</v>
      </c>
      <c r="FG165" s="139">
        <f t="shared" si="192"/>
        <v>0</v>
      </c>
      <c r="FH165" s="139">
        <f t="shared" si="193"/>
        <v>0</v>
      </c>
      <c r="FI165" s="139">
        <f t="shared" si="194"/>
        <v>0</v>
      </c>
      <c r="FJ165" s="139">
        <f t="shared" si="195"/>
        <v>0</v>
      </c>
      <c r="FK165" s="139">
        <f t="shared" si="196"/>
        <v>0</v>
      </c>
      <c r="FL165" s="139">
        <f t="shared" si="197"/>
        <v>0</v>
      </c>
      <c r="FM165" s="139">
        <f t="shared" si="198"/>
        <v>0</v>
      </c>
      <c r="FN165" s="139">
        <f t="shared" si="199"/>
        <v>0</v>
      </c>
      <c r="FO165" s="139">
        <f t="shared" si="200"/>
        <v>0</v>
      </c>
      <c r="FP165" s="139">
        <f t="shared" si="201"/>
        <v>0</v>
      </c>
      <c r="FQ165" s="139">
        <f t="shared" si="202"/>
        <v>0</v>
      </c>
      <c r="FR165" s="139">
        <f t="shared" si="203"/>
        <v>0</v>
      </c>
      <c r="FS165" s="139">
        <f t="shared" si="204"/>
        <v>0</v>
      </c>
      <c r="FT165" s="139">
        <f t="shared" si="205"/>
        <v>0</v>
      </c>
      <c r="FU165" s="148">
        <f t="shared" si="206"/>
        <v>146.06589260201073</v>
      </c>
      <c r="FV165" s="149"/>
      <c r="FY165" s="211">
        <v>160</v>
      </c>
      <c r="FZ165">
        <v>3.3048394730063917</v>
      </c>
      <c r="GA165">
        <v>13.070897573359829</v>
      </c>
      <c r="GB165">
        <v>13.39468087885872</v>
      </c>
      <c r="GC165">
        <v>10.620871181096884</v>
      </c>
      <c r="GD165">
        <v>12.096207926254838</v>
      </c>
      <c r="GE165">
        <v>30.739553369478497</v>
      </c>
      <c r="GF165">
        <v>43.901070568447672</v>
      </c>
      <c r="GG165">
        <v>33.717654595946598</v>
      </c>
      <c r="GH165">
        <v>23.903777133090728</v>
      </c>
      <c r="GI165">
        <v>23.270286173624321</v>
      </c>
      <c r="GJ165"/>
      <c r="GK165"/>
      <c r="GL165"/>
      <c r="GM165"/>
    </row>
    <row r="166" spans="1:195" s="7" customFormat="1">
      <c r="A166" s="1"/>
      <c r="B166" s="76">
        <f t="shared" ca="1" si="171"/>
        <v>0.28453994482998102</v>
      </c>
      <c r="C166">
        <v>3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28.409090909090907</v>
      </c>
      <c r="K166">
        <v>28.409090909090907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93.512117673915824</v>
      </c>
      <c r="AO166">
        <v>33.708680615741088</v>
      </c>
      <c r="AP166">
        <v>208.09026770814393</v>
      </c>
      <c r="AQ166">
        <v>183.35975817739012</v>
      </c>
      <c r="AR166">
        <v>30.530544283831112</v>
      </c>
      <c r="AS166">
        <v>147.84488040079071</v>
      </c>
      <c r="AT166">
        <v>23.414683469641236</v>
      </c>
      <c r="AU166">
        <v>47.306836317504988</v>
      </c>
      <c r="AV166"/>
      <c r="AW166"/>
      <c r="AX166" s="146"/>
      <c r="AY166" s="76">
        <f t="shared" ca="1" si="172"/>
        <v>0.16168479234796429</v>
      </c>
      <c r="AZ166">
        <v>9</v>
      </c>
      <c r="BA166" s="129">
        <f t="shared" si="244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1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7"/>
        <v>0.2563833969723599</v>
      </c>
      <c r="CL166" s="179">
        <f t="shared" si="208"/>
        <v>9</v>
      </c>
      <c r="CM166" s="180">
        <f t="shared" si="209"/>
        <v>39910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10"/>
        <v>9.6000000000000002E-2</v>
      </c>
      <c r="DB166" s="146"/>
      <c r="DC166" s="76">
        <f t="shared" ca="1" si="173"/>
        <v>0.24158103807842979</v>
      </c>
      <c r="DD166">
        <f t="shared" si="211"/>
        <v>9</v>
      </c>
      <c r="DE166" s="129">
        <f t="shared" si="243"/>
        <v>39910</v>
      </c>
      <c r="DF166" s="161">
        <f t="shared" si="212"/>
        <v>0</v>
      </c>
      <c r="DG166" s="161">
        <f t="shared" si="213"/>
        <v>0</v>
      </c>
      <c r="DH166" s="161">
        <f t="shared" si="214"/>
        <v>0</v>
      </c>
      <c r="DI166" s="161">
        <f t="shared" si="215"/>
        <v>0</v>
      </c>
      <c r="DJ166" s="161">
        <f t="shared" si="216"/>
        <v>0</v>
      </c>
      <c r="DK166" s="161">
        <f t="shared" si="217"/>
        <v>34.375</v>
      </c>
      <c r="DL166" s="161">
        <f t="shared" si="218"/>
        <v>0</v>
      </c>
      <c r="DM166" s="161">
        <f t="shared" si="219"/>
        <v>0</v>
      </c>
      <c r="DN166" s="161">
        <f t="shared" si="220"/>
        <v>0</v>
      </c>
      <c r="DO166" s="161">
        <f t="shared" si="221"/>
        <v>0</v>
      </c>
      <c r="DP166" s="161">
        <f t="shared" si="222"/>
        <v>0</v>
      </c>
      <c r="DQ166" s="161">
        <f t="shared" si="223"/>
        <v>0</v>
      </c>
      <c r="DR166" s="161">
        <f t="shared" si="224"/>
        <v>0</v>
      </c>
      <c r="DS166" s="161">
        <f t="shared" si="225"/>
        <v>0</v>
      </c>
      <c r="DT166" s="161">
        <f t="shared" si="226"/>
        <v>0</v>
      </c>
      <c r="DU166" s="161">
        <f t="shared" si="227"/>
        <v>0</v>
      </c>
      <c r="DV166" s="161">
        <f t="shared" si="228"/>
        <v>0</v>
      </c>
      <c r="DW166" s="161">
        <f t="shared" si="229"/>
        <v>0</v>
      </c>
      <c r="DX166" s="161">
        <f t="shared" si="230"/>
        <v>0</v>
      </c>
      <c r="DY166" s="161">
        <f t="shared" si="231"/>
        <v>0</v>
      </c>
      <c r="DZ166" s="161">
        <f t="shared" si="232"/>
        <v>0</v>
      </c>
      <c r="EA166" s="161">
        <f t="shared" si="233"/>
        <v>0</v>
      </c>
      <c r="EB166" s="161">
        <f t="shared" si="234"/>
        <v>0</v>
      </c>
      <c r="EC166" s="161">
        <f t="shared" si="235"/>
        <v>0</v>
      </c>
      <c r="ED166" s="161">
        <f t="shared" si="236"/>
        <v>0</v>
      </c>
      <c r="EE166" s="161">
        <f t="shared" si="237"/>
        <v>0</v>
      </c>
      <c r="EF166" s="161">
        <f t="shared" si="238"/>
        <v>0</v>
      </c>
      <c r="EG166" s="161">
        <f t="shared" si="239"/>
        <v>0</v>
      </c>
      <c r="EH166" s="161">
        <f t="shared" si="240"/>
        <v>0</v>
      </c>
      <c r="EI166" s="161">
        <f t="shared" si="241"/>
        <v>0</v>
      </c>
      <c r="EJ166" s="161">
        <f t="shared" si="242"/>
        <v>0</v>
      </c>
      <c r="EK166" s="147">
        <f t="shared" si="174"/>
        <v>34.375</v>
      </c>
      <c r="EL166" s="149"/>
      <c r="EN166" s="146"/>
      <c r="EO166" s="146"/>
      <c r="EP166" s="139">
        <f t="shared" si="175"/>
        <v>0</v>
      </c>
      <c r="EQ166" s="139">
        <f t="shared" si="176"/>
        <v>0</v>
      </c>
      <c r="ER166" s="139">
        <f t="shared" si="177"/>
        <v>0</v>
      </c>
      <c r="ES166" s="139">
        <f t="shared" si="178"/>
        <v>0</v>
      </c>
      <c r="ET166" s="139">
        <f t="shared" si="179"/>
        <v>0</v>
      </c>
      <c r="EU166" s="139">
        <f t="shared" si="180"/>
        <v>25.156198725591445</v>
      </c>
      <c r="EV166" s="139">
        <f t="shared" si="181"/>
        <v>0</v>
      </c>
      <c r="EW166" s="139">
        <f t="shared" si="182"/>
        <v>0</v>
      </c>
      <c r="EX166" s="139">
        <f t="shared" si="183"/>
        <v>0</v>
      </c>
      <c r="EY166" s="139">
        <f t="shared" si="184"/>
        <v>0</v>
      </c>
      <c r="EZ166" s="139">
        <f t="shared" si="185"/>
        <v>0</v>
      </c>
      <c r="FA166" s="139">
        <f t="shared" si="186"/>
        <v>0</v>
      </c>
      <c r="FB166" s="139">
        <f t="shared" si="187"/>
        <v>0</v>
      </c>
      <c r="FC166" s="139">
        <f t="shared" si="188"/>
        <v>0</v>
      </c>
      <c r="FD166" s="139">
        <f t="shared" si="189"/>
        <v>0</v>
      </c>
      <c r="FE166" s="139">
        <f t="shared" si="190"/>
        <v>0</v>
      </c>
      <c r="FF166" s="139">
        <f t="shared" si="191"/>
        <v>0</v>
      </c>
      <c r="FG166" s="139">
        <f t="shared" si="192"/>
        <v>0</v>
      </c>
      <c r="FH166" s="139">
        <f t="shared" si="193"/>
        <v>0</v>
      </c>
      <c r="FI166" s="139">
        <f t="shared" si="194"/>
        <v>0</v>
      </c>
      <c r="FJ166" s="139">
        <f t="shared" si="195"/>
        <v>0</v>
      </c>
      <c r="FK166" s="139">
        <f t="shared" si="196"/>
        <v>0</v>
      </c>
      <c r="FL166" s="139">
        <f t="shared" si="197"/>
        <v>0</v>
      </c>
      <c r="FM166" s="139">
        <f t="shared" si="198"/>
        <v>0</v>
      </c>
      <c r="FN166" s="139">
        <f t="shared" si="199"/>
        <v>0</v>
      </c>
      <c r="FO166" s="139">
        <f t="shared" si="200"/>
        <v>0</v>
      </c>
      <c r="FP166" s="139">
        <f t="shared" si="201"/>
        <v>0</v>
      </c>
      <c r="FQ166" s="139">
        <f t="shared" si="202"/>
        <v>0</v>
      </c>
      <c r="FR166" s="139">
        <f t="shared" si="203"/>
        <v>0</v>
      </c>
      <c r="FS166" s="139">
        <f t="shared" si="204"/>
        <v>0</v>
      </c>
      <c r="FT166" s="139">
        <f t="shared" si="205"/>
        <v>0</v>
      </c>
      <c r="FU166" s="148">
        <f t="shared" si="206"/>
        <v>25.156198725591445</v>
      </c>
      <c r="FV166" s="149"/>
      <c r="FY166" s="211">
        <v>161</v>
      </c>
      <c r="FZ166">
        <v>5.40511925430277</v>
      </c>
      <c r="GA166">
        <v>19.523086571959119</v>
      </c>
      <c r="GB166">
        <v>21.476663800478637</v>
      </c>
      <c r="GC166">
        <v>16.345810319334767</v>
      </c>
      <c r="GD166">
        <v>12.745339924892235</v>
      </c>
      <c r="GE166">
        <v>22.902193293499124</v>
      </c>
      <c r="GF166">
        <v>26.359096172834047</v>
      </c>
      <c r="GG166">
        <v>33.719135569281832</v>
      </c>
      <c r="GH166">
        <v>32.836119498789479</v>
      </c>
      <c r="GI166">
        <v>24.068597771672511</v>
      </c>
      <c r="GJ166"/>
      <c r="GK166"/>
      <c r="GL166"/>
      <c r="GM166"/>
    </row>
    <row r="167" spans="1:195" s="7" customFormat="1">
      <c r="A167" s="1"/>
      <c r="B167" s="76">
        <f t="shared" ca="1" si="171"/>
        <v>8.2428835664362765E-2</v>
      </c>
      <c r="C167">
        <v>1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41.666666666666664</v>
      </c>
      <c r="K167">
        <v>20.833333333333332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89.741726358862365</v>
      </c>
      <c r="AO167">
        <v>29.689313654904403</v>
      </c>
      <c r="AP167">
        <v>196.66329609063274</v>
      </c>
      <c r="AQ167">
        <v>168.66639996372453</v>
      </c>
      <c r="AR167">
        <v>26.888876609161329</v>
      </c>
      <c r="AS167">
        <v>129.22452773724871</v>
      </c>
      <c r="AT167">
        <v>20.185730915781331</v>
      </c>
      <c r="AU167">
        <v>30.094495692543202</v>
      </c>
      <c r="AV167"/>
      <c r="AW167"/>
      <c r="AX167" s="146"/>
      <c r="AY167" s="76">
        <f t="shared" ca="1" si="172"/>
        <v>0.62329188921145473</v>
      </c>
      <c r="AZ167">
        <v>10</v>
      </c>
      <c r="BA167" s="129">
        <f t="shared" si="244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1</v>
      </c>
      <c r="BH167">
        <v>2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7"/>
        <v>0.57502932611912483</v>
      </c>
      <c r="CL167" s="179">
        <f t="shared" si="208"/>
        <v>10</v>
      </c>
      <c r="CM167" s="180">
        <f t="shared" si="209"/>
        <v>39910</v>
      </c>
      <c r="CN167" s="223">
        <v>0</v>
      </c>
      <c r="CO167" s="223">
        <v>0</v>
      </c>
      <c r="CP167" s="223">
        <v>0</v>
      </c>
      <c r="CQ167" s="223">
        <v>0</v>
      </c>
      <c r="CR167" s="223">
        <v>0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10"/>
        <v>9.6000000000000002E-2</v>
      </c>
      <c r="DB167" s="146"/>
      <c r="DC167" s="76">
        <f t="shared" ca="1" si="173"/>
        <v>0.79189635388086588</v>
      </c>
      <c r="DD167">
        <f t="shared" si="211"/>
        <v>10</v>
      </c>
      <c r="DE167" s="129">
        <f t="shared" si="243"/>
        <v>39910</v>
      </c>
      <c r="DF167" s="161">
        <f t="shared" si="212"/>
        <v>0</v>
      </c>
      <c r="DG167" s="161">
        <f t="shared" si="213"/>
        <v>0</v>
      </c>
      <c r="DH167" s="161">
        <f t="shared" si="214"/>
        <v>0</v>
      </c>
      <c r="DI167" s="161">
        <f t="shared" si="215"/>
        <v>0</v>
      </c>
      <c r="DJ167" s="161">
        <f t="shared" si="216"/>
        <v>0</v>
      </c>
      <c r="DK167" s="161">
        <f t="shared" si="217"/>
        <v>10.416666666666666</v>
      </c>
      <c r="DL167" s="161">
        <f t="shared" si="218"/>
        <v>20.833333333333332</v>
      </c>
      <c r="DM167" s="161">
        <f t="shared" si="219"/>
        <v>0</v>
      </c>
      <c r="DN167" s="161">
        <f t="shared" si="220"/>
        <v>0</v>
      </c>
      <c r="DO167" s="161">
        <f t="shared" si="221"/>
        <v>0</v>
      </c>
      <c r="DP167" s="161">
        <f t="shared" si="222"/>
        <v>0</v>
      </c>
      <c r="DQ167" s="161">
        <f t="shared" si="223"/>
        <v>0</v>
      </c>
      <c r="DR167" s="161">
        <f t="shared" si="224"/>
        <v>0</v>
      </c>
      <c r="DS167" s="161">
        <f t="shared" si="225"/>
        <v>0</v>
      </c>
      <c r="DT167" s="161">
        <f t="shared" si="226"/>
        <v>0</v>
      </c>
      <c r="DU167" s="161">
        <f t="shared" si="227"/>
        <v>0</v>
      </c>
      <c r="DV167" s="161">
        <f t="shared" si="228"/>
        <v>0</v>
      </c>
      <c r="DW167" s="161">
        <f t="shared" si="229"/>
        <v>0</v>
      </c>
      <c r="DX167" s="161">
        <f t="shared" si="230"/>
        <v>0</v>
      </c>
      <c r="DY167" s="161">
        <f t="shared" si="231"/>
        <v>0</v>
      </c>
      <c r="DZ167" s="161">
        <f t="shared" si="232"/>
        <v>0</v>
      </c>
      <c r="EA167" s="161">
        <f t="shared" si="233"/>
        <v>0</v>
      </c>
      <c r="EB167" s="161">
        <f t="shared" si="234"/>
        <v>0</v>
      </c>
      <c r="EC167" s="161">
        <f t="shared" si="235"/>
        <v>0</v>
      </c>
      <c r="ED167" s="161">
        <f t="shared" si="236"/>
        <v>0</v>
      </c>
      <c r="EE167" s="161">
        <f t="shared" si="237"/>
        <v>0</v>
      </c>
      <c r="EF167" s="161">
        <f t="shared" si="238"/>
        <v>0</v>
      </c>
      <c r="EG167" s="161">
        <f t="shared" si="239"/>
        <v>0</v>
      </c>
      <c r="EH167" s="161">
        <f t="shared" si="240"/>
        <v>0</v>
      </c>
      <c r="EI167" s="161">
        <f t="shared" si="241"/>
        <v>0</v>
      </c>
      <c r="EJ167" s="161">
        <f t="shared" si="242"/>
        <v>0</v>
      </c>
      <c r="EK167" s="147">
        <f t="shared" si="174"/>
        <v>31.25</v>
      </c>
      <c r="EL167" s="149"/>
      <c r="EN167" s="146"/>
      <c r="EO167" s="146"/>
      <c r="EP167" s="139">
        <f t="shared" si="175"/>
        <v>0</v>
      </c>
      <c r="EQ167" s="139">
        <f t="shared" si="176"/>
        <v>0</v>
      </c>
      <c r="ER167" s="139">
        <f t="shared" si="177"/>
        <v>0</v>
      </c>
      <c r="ES167" s="139">
        <f t="shared" si="178"/>
        <v>0</v>
      </c>
      <c r="ET167" s="139">
        <f t="shared" si="179"/>
        <v>0</v>
      </c>
      <c r="EU167" s="139">
        <f t="shared" si="180"/>
        <v>7.623090522906498</v>
      </c>
      <c r="EV167" s="139">
        <f t="shared" si="181"/>
        <v>24.835892995036957</v>
      </c>
      <c r="EW167" s="139">
        <f t="shared" si="182"/>
        <v>0</v>
      </c>
      <c r="EX167" s="139">
        <f t="shared" si="183"/>
        <v>0</v>
      </c>
      <c r="EY167" s="139">
        <f t="shared" si="184"/>
        <v>0</v>
      </c>
      <c r="EZ167" s="139">
        <f t="shared" si="185"/>
        <v>0</v>
      </c>
      <c r="FA167" s="139">
        <f t="shared" si="186"/>
        <v>0</v>
      </c>
      <c r="FB167" s="139">
        <f t="shared" si="187"/>
        <v>0</v>
      </c>
      <c r="FC167" s="139">
        <f t="shared" si="188"/>
        <v>0</v>
      </c>
      <c r="FD167" s="139">
        <f t="shared" si="189"/>
        <v>0</v>
      </c>
      <c r="FE167" s="139">
        <f t="shared" si="190"/>
        <v>0</v>
      </c>
      <c r="FF167" s="139">
        <f t="shared" si="191"/>
        <v>0</v>
      </c>
      <c r="FG167" s="139">
        <f t="shared" si="192"/>
        <v>0</v>
      </c>
      <c r="FH167" s="139">
        <f t="shared" si="193"/>
        <v>0</v>
      </c>
      <c r="FI167" s="139">
        <f t="shared" si="194"/>
        <v>0</v>
      </c>
      <c r="FJ167" s="139">
        <f t="shared" si="195"/>
        <v>0</v>
      </c>
      <c r="FK167" s="139">
        <f t="shared" si="196"/>
        <v>0</v>
      </c>
      <c r="FL167" s="139">
        <f t="shared" si="197"/>
        <v>0</v>
      </c>
      <c r="FM167" s="139">
        <f t="shared" si="198"/>
        <v>0</v>
      </c>
      <c r="FN167" s="139">
        <f t="shared" si="199"/>
        <v>0</v>
      </c>
      <c r="FO167" s="139">
        <f t="shared" si="200"/>
        <v>0</v>
      </c>
      <c r="FP167" s="139">
        <f t="shared" si="201"/>
        <v>0</v>
      </c>
      <c r="FQ167" s="139">
        <f t="shared" si="202"/>
        <v>0</v>
      </c>
      <c r="FR167" s="139">
        <f t="shared" si="203"/>
        <v>0</v>
      </c>
      <c r="FS167" s="139">
        <f t="shared" si="204"/>
        <v>0</v>
      </c>
      <c r="FT167" s="139">
        <f t="shared" si="205"/>
        <v>0</v>
      </c>
      <c r="FU167" s="148">
        <f t="shared" si="206"/>
        <v>32.458983517943452</v>
      </c>
      <c r="FV167" s="149"/>
      <c r="FY167" s="211">
        <v>162</v>
      </c>
      <c r="FZ167">
        <v>2.4938055837724216</v>
      </c>
      <c r="GA167">
        <v>18.701173028949583</v>
      </c>
      <c r="GB167">
        <v>23.548471799144643</v>
      </c>
      <c r="GC167">
        <v>16.53784967189484</v>
      </c>
      <c r="GD167">
        <v>15.1991674680012</v>
      </c>
      <c r="GE167">
        <v>29.409843661733813</v>
      </c>
      <c r="GF167">
        <v>28.879622284057142</v>
      </c>
      <c r="GG167">
        <v>28.522158689644613</v>
      </c>
      <c r="GH167">
        <v>27.28962735046084</v>
      </c>
      <c r="GI167">
        <v>25.198497767797367</v>
      </c>
      <c r="GJ167"/>
      <c r="GK167"/>
      <c r="GL167"/>
      <c r="GM167"/>
    </row>
    <row r="168" spans="1:195" s="7" customFormat="1">
      <c r="A168" s="128"/>
      <c r="B168" s="76">
        <f t="shared" ca="1" si="171"/>
        <v>6.3188940556306861E-2</v>
      </c>
      <c r="C168">
        <v>5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90.643382148800995</v>
      </c>
      <c r="AO168">
        <v>35.13358552142747</v>
      </c>
      <c r="AP168">
        <v>236.61749954497952</v>
      </c>
      <c r="AQ168">
        <v>195.93779376135191</v>
      </c>
      <c r="AR168">
        <v>32.451229162146532</v>
      </c>
      <c r="AS168">
        <v>154.25299077528192</v>
      </c>
      <c r="AT168">
        <v>23.961939458702332</v>
      </c>
      <c r="AU168">
        <v>38.210447567037889</v>
      </c>
      <c r="AV168"/>
      <c r="AW168"/>
      <c r="AX168" s="128"/>
      <c r="AY168" s="76">
        <f t="shared" ca="1" si="172"/>
        <v>9.4371854982030712E-2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7"/>
        <v>0.78642324075995007</v>
      </c>
      <c r="CL168" s="179">
        <f t="shared" si="208"/>
        <v>1</v>
      </c>
      <c r="CM168" s="180">
        <f t="shared" si="209"/>
        <v>39949</v>
      </c>
      <c r="CN168">
        <v>0</v>
      </c>
      <c r="CO168">
        <v>0</v>
      </c>
      <c r="CP168">
        <v>1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10"/>
        <v>9.6000000000000002E-2</v>
      </c>
      <c r="DB168" s="128"/>
      <c r="DC168" s="76">
        <f t="shared" ca="1" si="173"/>
        <v>0.6816316792806818</v>
      </c>
      <c r="DD168">
        <f t="shared" si="211"/>
        <v>1</v>
      </c>
      <c r="DE168" s="129">
        <f t="shared" ref="DE168:DE177" si="245">IF((DD168)="", "", $C$12)</f>
        <v>39949</v>
      </c>
      <c r="DF168" s="161">
        <f t="shared" si="212"/>
        <v>0</v>
      </c>
      <c r="DG168" s="161">
        <f t="shared" si="213"/>
        <v>0</v>
      </c>
      <c r="DH168" s="161">
        <f t="shared" si="214"/>
        <v>40.788152610441763</v>
      </c>
      <c r="DI168" s="161">
        <f t="shared" si="215"/>
        <v>0</v>
      </c>
      <c r="DJ168" s="161">
        <f t="shared" si="216"/>
        <v>0</v>
      </c>
      <c r="DK168" s="161">
        <f t="shared" si="217"/>
        <v>0</v>
      </c>
      <c r="DL168" s="161">
        <f t="shared" si="218"/>
        <v>0</v>
      </c>
      <c r="DM168" s="161">
        <f t="shared" si="219"/>
        <v>0</v>
      </c>
      <c r="DN168" s="161">
        <f t="shared" si="220"/>
        <v>0</v>
      </c>
      <c r="DO168" s="161">
        <f t="shared" si="221"/>
        <v>0</v>
      </c>
      <c r="DP168" s="161">
        <f t="shared" si="222"/>
        <v>0</v>
      </c>
      <c r="DQ168" s="161">
        <f t="shared" si="223"/>
        <v>0</v>
      </c>
      <c r="DR168" s="161">
        <f t="shared" si="224"/>
        <v>0</v>
      </c>
      <c r="DS168" s="161">
        <f t="shared" si="225"/>
        <v>0</v>
      </c>
      <c r="DT168" s="161">
        <f t="shared" si="226"/>
        <v>0</v>
      </c>
      <c r="DU168" s="161">
        <f t="shared" si="227"/>
        <v>0</v>
      </c>
      <c r="DV168" s="161">
        <f t="shared" si="228"/>
        <v>0</v>
      </c>
      <c r="DW168" s="161">
        <f t="shared" si="229"/>
        <v>0</v>
      </c>
      <c r="DX168" s="161">
        <f t="shared" si="230"/>
        <v>0</v>
      </c>
      <c r="DY168" s="161">
        <f t="shared" si="231"/>
        <v>0</v>
      </c>
      <c r="DZ168" s="161">
        <f t="shared" si="232"/>
        <v>0</v>
      </c>
      <c r="EA168" s="161">
        <f t="shared" si="233"/>
        <v>0</v>
      </c>
      <c r="EB168" s="161">
        <f t="shared" si="234"/>
        <v>0</v>
      </c>
      <c r="EC168" s="161">
        <f t="shared" si="235"/>
        <v>0</v>
      </c>
      <c r="ED168" s="161">
        <f t="shared" si="236"/>
        <v>0</v>
      </c>
      <c r="EE168" s="161">
        <f t="shared" si="237"/>
        <v>0</v>
      </c>
      <c r="EF168" s="161">
        <f t="shared" si="238"/>
        <v>0</v>
      </c>
      <c r="EG168" s="161">
        <f t="shared" si="239"/>
        <v>0</v>
      </c>
      <c r="EH168" s="161">
        <f t="shared" si="240"/>
        <v>0</v>
      </c>
      <c r="EI168" s="161">
        <f t="shared" si="241"/>
        <v>0</v>
      </c>
      <c r="EJ168" s="161">
        <f t="shared" si="242"/>
        <v>0</v>
      </c>
      <c r="EK168" s="147">
        <f t="shared" si="174"/>
        <v>40.788152610441763</v>
      </c>
      <c r="EL168" s="149"/>
      <c r="EN168" s="146"/>
      <c r="EO168" s="146"/>
      <c r="EP168" s="139">
        <f t="shared" si="175"/>
        <v>0</v>
      </c>
      <c r="EQ168" s="139">
        <f t="shared" si="176"/>
        <v>0</v>
      </c>
      <c r="ER168" s="139">
        <f t="shared" si="177"/>
        <v>2.56980195318538</v>
      </c>
      <c r="ES168" s="139">
        <f t="shared" si="178"/>
        <v>0</v>
      </c>
      <c r="ET168" s="139">
        <f t="shared" si="179"/>
        <v>0</v>
      </c>
      <c r="EU168" s="139">
        <f t="shared" si="180"/>
        <v>0</v>
      </c>
      <c r="EV168" s="139">
        <f t="shared" si="181"/>
        <v>0</v>
      </c>
      <c r="EW168" s="139">
        <f t="shared" si="182"/>
        <v>0</v>
      </c>
      <c r="EX168" s="139">
        <f t="shared" si="183"/>
        <v>0</v>
      </c>
      <c r="EY168" s="139">
        <f t="shared" si="184"/>
        <v>0</v>
      </c>
      <c r="EZ168" s="139">
        <f t="shared" si="185"/>
        <v>0</v>
      </c>
      <c r="FA168" s="139">
        <f t="shared" si="186"/>
        <v>0</v>
      </c>
      <c r="FB168" s="139">
        <f t="shared" si="187"/>
        <v>0</v>
      </c>
      <c r="FC168" s="139">
        <f t="shared" si="188"/>
        <v>0</v>
      </c>
      <c r="FD168" s="139">
        <f t="shared" si="189"/>
        <v>0</v>
      </c>
      <c r="FE168" s="139">
        <f t="shared" si="190"/>
        <v>0</v>
      </c>
      <c r="FF168" s="139">
        <f t="shared" si="191"/>
        <v>0</v>
      </c>
      <c r="FG168" s="139">
        <f t="shared" si="192"/>
        <v>0</v>
      </c>
      <c r="FH168" s="139">
        <f t="shared" si="193"/>
        <v>0</v>
      </c>
      <c r="FI168" s="139">
        <f t="shared" si="194"/>
        <v>0</v>
      </c>
      <c r="FJ168" s="139">
        <f t="shared" si="195"/>
        <v>0</v>
      </c>
      <c r="FK168" s="139">
        <f t="shared" si="196"/>
        <v>0</v>
      </c>
      <c r="FL168" s="139">
        <f t="shared" si="197"/>
        <v>0</v>
      </c>
      <c r="FM168" s="139">
        <f t="shared" si="198"/>
        <v>0</v>
      </c>
      <c r="FN168" s="139">
        <f t="shared" si="199"/>
        <v>0</v>
      </c>
      <c r="FO168" s="139">
        <f t="shared" si="200"/>
        <v>0</v>
      </c>
      <c r="FP168" s="139">
        <f t="shared" si="201"/>
        <v>0</v>
      </c>
      <c r="FQ168" s="139">
        <f t="shared" si="202"/>
        <v>0</v>
      </c>
      <c r="FR168" s="139">
        <f t="shared" si="203"/>
        <v>0</v>
      </c>
      <c r="FS168" s="139">
        <f t="shared" si="204"/>
        <v>0</v>
      </c>
      <c r="FT168" s="139">
        <f t="shared" si="205"/>
        <v>0</v>
      </c>
      <c r="FU168" s="148">
        <f t="shared" si="206"/>
        <v>2.56980195318538</v>
      </c>
      <c r="FV168" s="149"/>
      <c r="FY168" s="211">
        <v>163</v>
      </c>
      <c r="FZ168">
        <v>6.2217698409847229</v>
      </c>
      <c r="GA168">
        <v>15.967754412273697</v>
      </c>
      <c r="GB168">
        <v>23.225143016145505</v>
      </c>
      <c r="GC168">
        <v>15.068747790516632</v>
      </c>
      <c r="GD168">
        <v>8.3338367765769679</v>
      </c>
      <c r="GE168">
        <v>22.536165755556837</v>
      </c>
      <c r="GF168">
        <v>36.345841379604344</v>
      </c>
      <c r="GG168">
        <v>23.561098329680576</v>
      </c>
      <c r="GH168">
        <v>14.072904346472445</v>
      </c>
      <c r="GI168">
        <v>20.883500797837851</v>
      </c>
      <c r="GJ168"/>
      <c r="GK168"/>
      <c r="GL168"/>
      <c r="GM168"/>
    </row>
    <row r="169" spans="1:195" s="7" customFormat="1">
      <c r="A169" s="1"/>
      <c r="B169" s="76">
        <f t="shared" ca="1" si="171"/>
        <v>0.89935454297412587</v>
      </c>
      <c r="C169">
        <v>10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78.142902692721933</v>
      </c>
      <c r="AO169">
        <v>34.158776766839104</v>
      </c>
      <c r="AP169">
        <v>222.19540901594493</v>
      </c>
      <c r="AQ169">
        <v>192.72664020449764</v>
      </c>
      <c r="AR169">
        <v>30.770416777247039</v>
      </c>
      <c r="AS169">
        <v>183.33140063260029</v>
      </c>
      <c r="AT169">
        <v>23.672659974813005</v>
      </c>
      <c r="AU169">
        <v>27.48624246445512</v>
      </c>
      <c r="AV169"/>
      <c r="AW169"/>
      <c r="AX169" s="146"/>
      <c r="AY169" s="76">
        <f t="shared" ca="1" si="172"/>
        <v>0.78472735995902365</v>
      </c>
      <c r="AZ169">
        <v>2</v>
      </c>
      <c r="BA169" s="129">
        <f t="shared" ref="BA169:BA177" si="246">IF(AZ169="", "",$C$12)</f>
        <v>39949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1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7"/>
        <v>0.17151698987318476</v>
      </c>
      <c r="CL169" s="179">
        <f t="shared" si="208"/>
        <v>2</v>
      </c>
      <c r="CM169" s="180">
        <f t="shared" si="209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10"/>
        <v>9.6000000000000002E-2</v>
      </c>
      <c r="DB169" s="146"/>
      <c r="DC169" s="76">
        <f t="shared" ca="1" si="173"/>
        <v>0.78443416684498413</v>
      </c>
      <c r="DD169">
        <f t="shared" si="211"/>
        <v>2</v>
      </c>
      <c r="DE169" s="129">
        <f t="shared" si="245"/>
        <v>39949</v>
      </c>
      <c r="DF169" s="161">
        <f t="shared" si="212"/>
        <v>0</v>
      </c>
      <c r="DG169" s="161">
        <f t="shared" si="213"/>
        <v>0</v>
      </c>
      <c r="DH169" s="161">
        <f t="shared" si="214"/>
        <v>0</v>
      </c>
      <c r="DI169" s="161">
        <f t="shared" si="215"/>
        <v>0</v>
      </c>
      <c r="DJ169" s="161">
        <f t="shared" si="216"/>
        <v>0</v>
      </c>
      <c r="DK169" s="161">
        <f t="shared" si="217"/>
        <v>0</v>
      </c>
      <c r="DL169" s="161">
        <f t="shared" si="218"/>
        <v>0</v>
      </c>
      <c r="DM169" s="161">
        <f t="shared" si="219"/>
        <v>10.416666666666666</v>
      </c>
      <c r="DN169" s="161">
        <f t="shared" si="220"/>
        <v>0</v>
      </c>
      <c r="DO169" s="161">
        <f t="shared" si="221"/>
        <v>0</v>
      </c>
      <c r="DP169" s="161">
        <f t="shared" si="222"/>
        <v>0</v>
      </c>
      <c r="DQ169" s="161">
        <f t="shared" si="223"/>
        <v>0</v>
      </c>
      <c r="DR169" s="161">
        <f t="shared" si="224"/>
        <v>0</v>
      </c>
      <c r="DS169" s="161">
        <f t="shared" si="225"/>
        <v>0</v>
      </c>
      <c r="DT169" s="161">
        <f t="shared" si="226"/>
        <v>0</v>
      </c>
      <c r="DU169" s="161">
        <f t="shared" si="227"/>
        <v>0</v>
      </c>
      <c r="DV169" s="161">
        <f t="shared" si="228"/>
        <v>0</v>
      </c>
      <c r="DW169" s="161">
        <f t="shared" si="229"/>
        <v>0</v>
      </c>
      <c r="DX169" s="161">
        <f t="shared" si="230"/>
        <v>0</v>
      </c>
      <c r="DY169" s="161">
        <f t="shared" si="231"/>
        <v>0</v>
      </c>
      <c r="DZ169" s="161">
        <f t="shared" si="232"/>
        <v>0</v>
      </c>
      <c r="EA169" s="161">
        <f t="shared" si="233"/>
        <v>0</v>
      </c>
      <c r="EB169" s="161">
        <f t="shared" si="234"/>
        <v>0</v>
      </c>
      <c r="EC169" s="161">
        <f t="shared" si="235"/>
        <v>0</v>
      </c>
      <c r="ED169" s="161">
        <f t="shared" si="236"/>
        <v>0</v>
      </c>
      <c r="EE169" s="161">
        <f t="shared" si="237"/>
        <v>0</v>
      </c>
      <c r="EF169" s="161">
        <f t="shared" si="238"/>
        <v>0</v>
      </c>
      <c r="EG169" s="161">
        <f t="shared" si="239"/>
        <v>0</v>
      </c>
      <c r="EH169" s="161">
        <f t="shared" si="240"/>
        <v>0</v>
      </c>
      <c r="EI169" s="161">
        <f t="shared" si="241"/>
        <v>0</v>
      </c>
      <c r="EJ169" s="161">
        <f t="shared" si="242"/>
        <v>0</v>
      </c>
      <c r="EK169" s="147">
        <f t="shared" si="174"/>
        <v>10.416666666666666</v>
      </c>
      <c r="EL169" s="149"/>
      <c r="EN169" s="146"/>
      <c r="EO169" s="146"/>
      <c r="EP169" s="139">
        <f t="shared" si="175"/>
        <v>0</v>
      </c>
      <c r="EQ169" s="139">
        <f t="shared" si="176"/>
        <v>0</v>
      </c>
      <c r="ER169" s="139">
        <f t="shared" si="177"/>
        <v>0</v>
      </c>
      <c r="ES169" s="139">
        <f t="shared" si="178"/>
        <v>0</v>
      </c>
      <c r="ET169" s="139">
        <f t="shared" si="179"/>
        <v>0</v>
      </c>
      <c r="EU169" s="139">
        <f t="shared" si="180"/>
        <v>0</v>
      </c>
      <c r="EV169" s="139">
        <f t="shared" si="181"/>
        <v>0</v>
      </c>
      <c r="EW169" s="139">
        <f t="shared" si="182"/>
        <v>18.759639935571339</v>
      </c>
      <c r="EX169" s="139">
        <f t="shared" si="183"/>
        <v>0</v>
      </c>
      <c r="EY169" s="139">
        <f t="shared" si="184"/>
        <v>0</v>
      </c>
      <c r="EZ169" s="139">
        <f t="shared" si="185"/>
        <v>0</v>
      </c>
      <c r="FA169" s="139">
        <f t="shared" si="186"/>
        <v>0</v>
      </c>
      <c r="FB169" s="139">
        <f t="shared" si="187"/>
        <v>0</v>
      </c>
      <c r="FC169" s="139">
        <f t="shared" si="188"/>
        <v>0</v>
      </c>
      <c r="FD169" s="139">
        <f t="shared" si="189"/>
        <v>0</v>
      </c>
      <c r="FE169" s="139">
        <f t="shared" si="190"/>
        <v>0</v>
      </c>
      <c r="FF169" s="139">
        <f t="shared" si="191"/>
        <v>0</v>
      </c>
      <c r="FG169" s="139">
        <f t="shared" si="192"/>
        <v>0</v>
      </c>
      <c r="FH169" s="139">
        <f t="shared" si="193"/>
        <v>0</v>
      </c>
      <c r="FI169" s="139">
        <f t="shared" si="194"/>
        <v>0</v>
      </c>
      <c r="FJ169" s="139">
        <f t="shared" si="195"/>
        <v>0</v>
      </c>
      <c r="FK169" s="139">
        <f t="shared" si="196"/>
        <v>0</v>
      </c>
      <c r="FL169" s="139">
        <f t="shared" si="197"/>
        <v>0</v>
      </c>
      <c r="FM169" s="139">
        <f t="shared" si="198"/>
        <v>0</v>
      </c>
      <c r="FN169" s="139">
        <f t="shared" si="199"/>
        <v>0</v>
      </c>
      <c r="FO169" s="139">
        <f t="shared" si="200"/>
        <v>0</v>
      </c>
      <c r="FP169" s="139">
        <f t="shared" si="201"/>
        <v>0</v>
      </c>
      <c r="FQ169" s="139">
        <f t="shared" si="202"/>
        <v>0</v>
      </c>
      <c r="FR169" s="139">
        <f t="shared" si="203"/>
        <v>0</v>
      </c>
      <c r="FS169" s="139">
        <f t="shared" si="204"/>
        <v>0</v>
      </c>
      <c r="FT169" s="139">
        <f t="shared" si="205"/>
        <v>0</v>
      </c>
      <c r="FU169" s="148">
        <f t="shared" si="206"/>
        <v>18.759639935571339</v>
      </c>
      <c r="FV169" s="149"/>
      <c r="FY169" s="211">
        <v>164</v>
      </c>
      <c r="FZ169">
        <v>4.1120792810480333</v>
      </c>
      <c r="GA169">
        <v>12.372223421487728</v>
      </c>
      <c r="GB169">
        <v>27.054255357652579</v>
      </c>
      <c r="GC169">
        <v>20.988422406402613</v>
      </c>
      <c r="GD169">
        <v>10.021607892950275</v>
      </c>
      <c r="GE169">
        <v>13.593818632039929</v>
      </c>
      <c r="GF169">
        <v>17.324553481894561</v>
      </c>
      <c r="GG169">
        <v>16.357393964218438</v>
      </c>
      <c r="GH169">
        <v>14.39864290795108</v>
      </c>
      <c r="GI169">
        <v>18.985693512231485</v>
      </c>
      <c r="GJ169"/>
      <c r="GK169"/>
      <c r="GL169"/>
      <c r="GM169"/>
    </row>
    <row r="170" spans="1:195" s="7" customFormat="1">
      <c r="A170" s="1"/>
      <c r="B170" s="76">
        <f t="shared" ca="1" si="171"/>
        <v>0.93644453008898587</v>
      </c>
      <c r="C170">
        <v>9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90.9709037750834</v>
      </c>
      <c r="AO170">
        <v>34.732961494824018</v>
      </c>
      <c r="AP170">
        <v>246.49738419945265</v>
      </c>
      <c r="AQ170">
        <v>198.85734785346773</v>
      </c>
      <c r="AR170">
        <v>31.922609352591568</v>
      </c>
      <c r="AS170">
        <v>151.0331859070742</v>
      </c>
      <c r="AT170">
        <v>23.075469813000637</v>
      </c>
      <c r="AU170">
        <v>40.490235206712626</v>
      </c>
      <c r="AV170"/>
      <c r="AW170"/>
      <c r="AX170" s="146"/>
      <c r="AY170" s="76">
        <f t="shared" ca="1" si="172"/>
        <v>0.16146554967946969</v>
      </c>
      <c r="AZ170">
        <v>3</v>
      </c>
      <c r="BA170" s="129">
        <f t="shared" si="246"/>
        <v>39949</v>
      </c>
      <c r="BB170">
        <v>0</v>
      </c>
      <c r="BC170">
        <v>0</v>
      </c>
      <c r="BD170" s="207">
        <v>1</v>
      </c>
      <c r="BE170" s="207">
        <v>3</v>
      </c>
      <c r="BF170" s="207">
        <v>2</v>
      </c>
      <c r="BG170">
        <v>1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7"/>
        <v>0.56832082731703704</v>
      </c>
      <c r="CL170" s="179">
        <f t="shared" si="208"/>
        <v>3</v>
      </c>
      <c r="CM170" s="180">
        <f t="shared" si="209"/>
        <v>39949</v>
      </c>
      <c r="CN170">
        <v>0</v>
      </c>
      <c r="CO170">
        <v>0</v>
      </c>
      <c r="CP170">
        <v>1</v>
      </c>
      <c r="CQ170">
        <v>1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10"/>
        <v>9.6000000000000002E-2</v>
      </c>
      <c r="DB170" s="146"/>
      <c r="DC170" s="76">
        <f t="shared" ca="1" si="173"/>
        <v>0.3053363862396854</v>
      </c>
      <c r="DD170">
        <f t="shared" si="211"/>
        <v>3</v>
      </c>
      <c r="DE170" s="129">
        <f t="shared" si="245"/>
        <v>39949</v>
      </c>
      <c r="DF170" s="161">
        <f t="shared" si="212"/>
        <v>0</v>
      </c>
      <c r="DG170" s="161">
        <f t="shared" si="213"/>
        <v>0</v>
      </c>
      <c r="DH170" s="161">
        <f t="shared" si="214"/>
        <v>91.43518518518519</v>
      </c>
      <c r="DI170" s="161">
        <f t="shared" si="215"/>
        <v>112.26851851851852</v>
      </c>
      <c r="DJ170" s="161">
        <f t="shared" si="216"/>
        <v>20.833333333333332</v>
      </c>
      <c r="DK170" s="161">
        <f t="shared" si="217"/>
        <v>10.416666666666666</v>
      </c>
      <c r="DL170" s="161">
        <f t="shared" si="218"/>
        <v>0</v>
      </c>
      <c r="DM170" s="161">
        <f t="shared" si="219"/>
        <v>0</v>
      </c>
      <c r="DN170" s="161">
        <f t="shared" si="220"/>
        <v>0</v>
      </c>
      <c r="DO170" s="161">
        <f t="shared" si="221"/>
        <v>0</v>
      </c>
      <c r="DP170" s="161">
        <f t="shared" si="222"/>
        <v>0</v>
      </c>
      <c r="DQ170" s="161">
        <f t="shared" si="223"/>
        <v>0</v>
      </c>
      <c r="DR170" s="161">
        <f t="shared" si="224"/>
        <v>0</v>
      </c>
      <c r="DS170" s="161">
        <f t="shared" si="225"/>
        <v>0</v>
      </c>
      <c r="DT170" s="161">
        <f t="shared" si="226"/>
        <v>0</v>
      </c>
      <c r="DU170" s="161">
        <f t="shared" si="227"/>
        <v>0</v>
      </c>
      <c r="DV170" s="161">
        <f t="shared" si="228"/>
        <v>0</v>
      </c>
      <c r="DW170" s="161">
        <f t="shared" si="229"/>
        <v>0</v>
      </c>
      <c r="DX170" s="161">
        <f t="shared" si="230"/>
        <v>0</v>
      </c>
      <c r="DY170" s="161">
        <f t="shared" si="231"/>
        <v>0</v>
      </c>
      <c r="DZ170" s="161">
        <f t="shared" si="232"/>
        <v>0</v>
      </c>
      <c r="EA170" s="161">
        <f t="shared" si="233"/>
        <v>0</v>
      </c>
      <c r="EB170" s="161">
        <f t="shared" si="234"/>
        <v>0</v>
      </c>
      <c r="EC170" s="161">
        <f t="shared" si="235"/>
        <v>0</v>
      </c>
      <c r="ED170" s="161">
        <f t="shared" si="236"/>
        <v>0</v>
      </c>
      <c r="EE170" s="161">
        <f t="shared" si="237"/>
        <v>0</v>
      </c>
      <c r="EF170" s="161">
        <f t="shared" si="238"/>
        <v>0</v>
      </c>
      <c r="EG170" s="161">
        <f t="shared" si="239"/>
        <v>0</v>
      </c>
      <c r="EH170" s="161">
        <f t="shared" si="240"/>
        <v>0</v>
      </c>
      <c r="EI170" s="161">
        <f t="shared" si="241"/>
        <v>0</v>
      </c>
      <c r="EJ170" s="161">
        <f t="shared" si="242"/>
        <v>0</v>
      </c>
      <c r="EK170" s="147">
        <f t="shared" si="174"/>
        <v>234.9537037037037</v>
      </c>
      <c r="EL170" s="149"/>
      <c r="EN170" s="146"/>
      <c r="EO170" s="146"/>
      <c r="EP170" s="139">
        <f t="shared" si="175"/>
        <v>0</v>
      </c>
      <c r="EQ170" s="139">
        <f t="shared" si="176"/>
        <v>0</v>
      </c>
      <c r="ER170" s="139">
        <f t="shared" si="177"/>
        <v>5.7607491989868516</v>
      </c>
      <c r="ES170" s="139">
        <f t="shared" si="178"/>
        <v>20.936778311095473</v>
      </c>
      <c r="ET170" s="139">
        <f t="shared" si="179"/>
        <v>8.3906100241670192</v>
      </c>
      <c r="EU170" s="139">
        <f t="shared" si="180"/>
        <v>7.623090522906498</v>
      </c>
      <c r="EV170" s="139">
        <f t="shared" si="181"/>
        <v>0</v>
      </c>
      <c r="EW170" s="139">
        <f t="shared" si="182"/>
        <v>0</v>
      </c>
      <c r="EX170" s="139">
        <f t="shared" si="183"/>
        <v>0</v>
      </c>
      <c r="EY170" s="139">
        <f t="shared" si="184"/>
        <v>0</v>
      </c>
      <c r="EZ170" s="139">
        <f t="shared" si="185"/>
        <v>0</v>
      </c>
      <c r="FA170" s="139">
        <f t="shared" si="186"/>
        <v>0</v>
      </c>
      <c r="FB170" s="139">
        <f t="shared" si="187"/>
        <v>0</v>
      </c>
      <c r="FC170" s="139">
        <f t="shared" si="188"/>
        <v>0</v>
      </c>
      <c r="FD170" s="139">
        <f t="shared" si="189"/>
        <v>0</v>
      </c>
      <c r="FE170" s="139">
        <f t="shared" si="190"/>
        <v>0</v>
      </c>
      <c r="FF170" s="139">
        <f t="shared" si="191"/>
        <v>0</v>
      </c>
      <c r="FG170" s="139">
        <f t="shared" si="192"/>
        <v>0</v>
      </c>
      <c r="FH170" s="139">
        <f t="shared" si="193"/>
        <v>0</v>
      </c>
      <c r="FI170" s="139">
        <f t="shared" si="194"/>
        <v>0</v>
      </c>
      <c r="FJ170" s="139">
        <f t="shared" si="195"/>
        <v>0</v>
      </c>
      <c r="FK170" s="139">
        <f t="shared" si="196"/>
        <v>0</v>
      </c>
      <c r="FL170" s="139">
        <f t="shared" si="197"/>
        <v>0</v>
      </c>
      <c r="FM170" s="139">
        <f t="shared" si="198"/>
        <v>0</v>
      </c>
      <c r="FN170" s="139">
        <f t="shared" si="199"/>
        <v>0</v>
      </c>
      <c r="FO170" s="139">
        <f t="shared" si="200"/>
        <v>0</v>
      </c>
      <c r="FP170" s="139">
        <f t="shared" si="201"/>
        <v>0</v>
      </c>
      <c r="FQ170" s="139">
        <f t="shared" si="202"/>
        <v>0</v>
      </c>
      <c r="FR170" s="139">
        <f t="shared" si="203"/>
        <v>0</v>
      </c>
      <c r="FS170" s="139">
        <f t="shared" si="204"/>
        <v>0</v>
      </c>
      <c r="FT170" s="139">
        <f t="shared" si="205"/>
        <v>0</v>
      </c>
      <c r="FU170" s="148">
        <f t="shared" si="206"/>
        <v>42.711228057155836</v>
      </c>
      <c r="FV170" s="149"/>
      <c r="FY170" s="211">
        <v>165</v>
      </c>
      <c r="FZ170">
        <v>6.4005354645082271</v>
      </c>
      <c r="GA170">
        <v>20.125903001805234</v>
      </c>
      <c r="GB170">
        <v>17.006810714999155</v>
      </c>
      <c r="GC170">
        <v>15.018133148724075</v>
      </c>
      <c r="GD170">
        <v>15.810297941642768</v>
      </c>
      <c r="GE170">
        <v>27.847525429467584</v>
      </c>
      <c r="GF170">
        <v>26.764564275576312</v>
      </c>
      <c r="GG170">
        <v>18.015160998838049</v>
      </c>
      <c r="GH170">
        <v>12.623523914471548</v>
      </c>
      <c r="GI170">
        <v>21.772696486154484</v>
      </c>
      <c r="GJ170"/>
      <c r="GK170"/>
      <c r="GL170"/>
      <c r="GM170"/>
    </row>
    <row r="171" spans="1:195" s="7" customFormat="1">
      <c r="A171" s="1"/>
      <c r="B171" s="76">
        <f t="shared" ca="1" si="171"/>
        <v>0.46123267960323044</v>
      </c>
      <c r="C171">
        <v>7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20.833333333333332</v>
      </c>
      <c r="J171">
        <v>187.5</v>
      </c>
      <c r="K171">
        <v>41.666666666666664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74.994341184785426</v>
      </c>
      <c r="AO171">
        <v>28.316179847559653</v>
      </c>
      <c r="AP171">
        <v>185.72046426849235</v>
      </c>
      <c r="AQ171">
        <v>160.21512594405664</v>
      </c>
      <c r="AR171">
        <v>25.725931603498477</v>
      </c>
      <c r="AS171">
        <v>123.31460748157306</v>
      </c>
      <c r="AT171">
        <v>19.787591901475118</v>
      </c>
      <c r="AU171">
        <v>24.087869837940797</v>
      </c>
      <c r="AV171"/>
      <c r="AW171"/>
      <c r="AX171" s="146"/>
      <c r="AY171" s="76">
        <f t="shared" ca="1" si="172"/>
        <v>6.2551582986326792E-2</v>
      </c>
      <c r="AZ171">
        <v>4</v>
      </c>
      <c r="BA171" s="129">
        <f t="shared" si="246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7"/>
        <v>0.89690129141507846</v>
      </c>
      <c r="CL171" s="179">
        <f t="shared" si="208"/>
        <v>4</v>
      </c>
      <c r="CM171" s="180">
        <f t="shared" si="209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10"/>
        <v>9.6000000000000002E-2</v>
      </c>
      <c r="DB171" s="146"/>
      <c r="DC171" s="76">
        <f t="shared" ca="1" si="173"/>
        <v>0.32697578764589297</v>
      </c>
      <c r="DD171">
        <f t="shared" si="211"/>
        <v>4</v>
      </c>
      <c r="DE171" s="129">
        <f t="shared" si="245"/>
        <v>39949</v>
      </c>
      <c r="DF171" s="161">
        <f t="shared" si="212"/>
        <v>0</v>
      </c>
      <c r="DG171" s="161">
        <f t="shared" si="213"/>
        <v>0</v>
      </c>
      <c r="DH171" s="161">
        <f t="shared" si="214"/>
        <v>0</v>
      </c>
      <c r="DI171" s="161">
        <f t="shared" si="215"/>
        <v>0</v>
      </c>
      <c r="DJ171" s="161">
        <f t="shared" si="216"/>
        <v>0</v>
      </c>
      <c r="DK171" s="161">
        <f t="shared" si="217"/>
        <v>0</v>
      </c>
      <c r="DL171" s="161">
        <f t="shared" si="218"/>
        <v>0</v>
      </c>
      <c r="DM171" s="161">
        <f t="shared" si="219"/>
        <v>0</v>
      </c>
      <c r="DN171" s="161">
        <f t="shared" si="220"/>
        <v>0</v>
      </c>
      <c r="DO171" s="161">
        <f t="shared" si="221"/>
        <v>0</v>
      </c>
      <c r="DP171" s="161">
        <f t="shared" si="222"/>
        <v>0</v>
      </c>
      <c r="DQ171" s="161">
        <f t="shared" si="223"/>
        <v>0</v>
      </c>
      <c r="DR171" s="161">
        <f t="shared" si="224"/>
        <v>0</v>
      </c>
      <c r="DS171" s="161">
        <f t="shared" si="225"/>
        <v>0</v>
      </c>
      <c r="DT171" s="161">
        <f t="shared" si="226"/>
        <v>0</v>
      </c>
      <c r="DU171" s="161">
        <f t="shared" si="227"/>
        <v>0</v>
      </c>
      <c r="DV171" s="161">
        <f t="shared" si="228"/>
        <v>0</v>
      </c>
      <c r="DW171" s="161">
        <f t="shared" si="229"/>
        <v>0</v>
      </c>
      <c r="DX171" s="161">
        <f t="shared" si="230"/>
        <v>0</v>
      </c>
      <c r="DY171" s="161">
        <f t="shared" si="231"/>
        <v>0</v>
      </c>
      <c r="DZ171" s="161">
        <f t="shared" si="232"/>
        <v>0</v>
      </c>
      <c r="EA171" s="161">
        <f t="shared" si="233"/>
        <v>0</v>
      </c>
      <c r="EB171" s="161">
        <f t="shared" si="234"/>
        <v>0</v>
      </c>
      <c r="EC171" s="161">
        <f t="shared" si="235"/>
        <v>0</v>
      </c>
      <c r="ED171" s="161">
        <f t="shared" si="236"/>
        <v>0</v>
      </c>
      <c r="EE171" s="161">
        <f t="shared" si="237"/>
        <v>0</v>
      </c>
      <c r="EF171" s="161">
        <f t="shared" si="238"/>
        <v>0</v>
      </c>
      <c r="EG171" s="161">
        <f t="shared" si="239"/>
        <v>0</v>
      </c>
      <c r="EH171" s="161">
        <f t="shared" si="240"/>
        <v>0</v>
      </c>
      <c r="EI171" s="161">
        <f t="shared" si="241"/>
        <v>0</v>
      </c>
      <c r="EJ171" s="161">
        <f t="shared" si="242"/>
        <v>0</v>
      </c>
      <c r="EK171" s="147">
        <f t="shared" si="174"/>
        <v>0</v>
      </c>
      <c r="EL171" s="149"/>
      <c r="EN171" s="146"/>
      <c r="EO171" s="146"/>
      <c r="EP171" s="139">
        <f t="shared" si="175"/>
        <v>0</v>
      </c>
      <c r="EQ171" s="139">
        <f t="shared" si="176"/>
        <v>0</v>
      </c>
      <c r="ER171" s="139">
        <f t="shared" si="177"/>
        <v>0</v>
      </c>
      <c r="ES171" s="139">
        <f t="shared" si="178"/>
        <v>0</v>
      </c>
      <c r="ET171" s="139">
        <f t="shared" si="179"/>
        <v>0</v>
      </c>
      <c r="EU171" s="139">
        <f t="shared" si="180"/>
        <v>0</v>
      </c>
      <c r="EV171" s="139">
        <f t="shared" si="181"/>
        <v>0</v>
      </c>
      <c r="EW171" s="139">
        <f t="shared" si="182"/>
        <v>0</v>
      </c>
      <c r="EX171" s="139">
        <f t="shared" si="183"/>
        <v>0</v>
      </c>
      <c r="EY171" s="139">
        <f t="shared" si="184"/>
        <v>0</v>
      </c>
      <c r="EZ171" s="139">
        <f t="shared" si="185"/>
        <v>0</v>
      </c>
      <c r="FA171" s="139">
        <f t="shared" si="186"/>
        <v>0</v>
      </c>
      <c r="FB171" s="139">
        <f t="shared" si="187"/>
        <v>0</v>
      </c>
      <c r="FC171" s="139">
        <f t="shared" si="188"/>
        <v>0</v>
      </c>
      <c r="FD171" s="139">
        <f t="shared" si="189"/>
        <v>0</v>
      </c>
      <c r="FE171" s="139">
        <f t="shared" si="190"/>
        <v>0</v>
      </c>
      <c r="FF171" s="139">
        <f t="shared" si="191"/>
        <v>0</v>
      </c>
      <c r="FG171" s="139">
        <f t="shared" si="192"/>
        <v>0</v>
      </c>
      <c r="FH171" s="139">
        <f t="shared" si="193"/>
        <v>0</v>
      </c>
      <c r="FI171" s="139">
        <f t="shared" si="194"/>
        <v>0</v>
      </c>
      <c r="FJ171" s="139">
        <f t="shared" si="195"/>
        <v>0</v>
      </c>
      <c r="FK171" s="139">
        <f t="shared" si="196"/>
        <v>0</v>
      </c>
      <c r="FL171" s="139">
        <f t="shared" si="197"/>
        <v>0</v>
      </c>
      <c r="FM171" s="139">
        <f t="shared" si="198"/>
        <v>0</v>
      </c>
      <c r="FN171" s="139">
        <f t="shared" si="199"/>
        <v>0</v>
      </c>
      <c r="FO171" s="139">
        <f t="shared" si="200"/>
        <v>0</v>
      </c>
      <c r="FP171" s="139">
        <f t="shared" si="201"/>
        <v>0</v>
      </c>
      <c r="FQ171" s="139">
        <f t="shared" si="202"/>
        <v>0</v>
      </c>
      <c r="FR171" s="139">
        <f t="shared" si="203"/>
        <v>0</v>
      </c>
      <c r="FS171" s="139">
        <f t="shared" si="204"/>
        <v>0</v>
      </c>
      <c r="FT171" s="139">
        <f t="shared" si="205"/>
        <v>0</v>
      </c>
      <c r="FU171" s="148">
        <f t="shared" si="206"/>
        <v>0</v>
      </c>
      <c r="FV171" s="149"/>
      <c r="FY171" s="211">
        <v>166</v>
      </c>
      <c r="FZ171">
        <v>5.171216026186654</v>
      </c>
      <c r="GA171">
        <v>13.425378114636496</v>
      </c>
      <c r="GB171">
        <v>23.34695904960487</v>
      </c>
      <c r="GC171">
        <v>16.526879892947516</v>
      </c>
      <c r="GD171">
        <v>9.5208833583597574</v>
      </c>
      <c r="GE171">
        <v>22.366981083541539</v>
      </c>
      <c r="GF171">
        <v>36.581376939901851</v>
      </c>
      <c r="GG171">
        <v>23.930659608479981</v>
      </c>
      <c r="GH171">
        <v>13.637726122183002</v>
      </c>
      <c r="GI171">
        <v>21.495275241370607</v>
      </c>
      <c r="GJ171"/>
      <c r="GK171"/>
      <c r="GL171"/>
      <c r="GM171"/>
    </row>
    <row r="172" spans="1:195" s="7" customFormat="1">
      <c r="A172" s="1"/>
      <c r="B172" s="76">
        <f t="shared" ca="1" si="171"/>
        <v>0.78049027292809958</v>
      </c>
      <c r="C172">
        <v>1</v>
      </c>
      <c r="D172">
        <v>39949</v>
      </c>
      <c r="E172">
        <v>0</v>
      </c>
      <c r="F172">
        <v>0</v>
      </c>
      <c r="G172">
        <v>40.788152610441763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85.691578924131392</v>
      </c>
      <c r="AO172">
        <v>34.654645832057597</v>
      </c>
      <c r="AP172">
        <v>227.41037081958066</v>
      </c>
      <c r="AQ172">
        <v>195.27734316046201</v>
      </c>
      <c r="AR172">
        <v>31.684128185049527</v>
      </c>
      <c r="AS172">
        <v>153.95174013678385</v>
      </c>
      <c r="AT172" t="e">
        <v>#DIV/0!</v>
      </c>
      <c r="AU172" t="e">
        <v>#DIV/0!</v>
      </c>
      <c r="AV172"/>
      <c r="AW172"/>
      <c r="AX172" s="146"/>
      <c r="AY172" s="76">
        <f t="shared" ca="1" si="172"/>
        <v>0.43013459889652261</v>
      </c>
      <c r="AZ172">
        <v>5</v>
      </c>
      <c r="BA172" s="129">
        <f t="shared" si="246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7"/>
        <v>0.28006606290825897</v>
      </c>
      <c r="CL172" s="179">
        <f t="shared" si="208"/>
        <v>5</v>
      </c>
      <c r="CM172" s="180">
        <f t="shared" si="209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10"/>
        <v>9.6000000000000002E-2</v>
      </c>
      <c r="DB172" s="146"/>
      <c r="DC172" s="76">
        <f t="shared" ca="1" si="173"/>
        <v>0.54067926929591525</v>
      </c>
      <c r="DD172">
        <f t="shared" si="211"/>
        <v>5</v>
      </c>
      <c r="DE172" s="129">
        <f t="shared" si="245"/>
        <v>39949</v>
      </c>
      <c r="DF172" s="161">
        <f t="shared" si="212"/>
        <v>0</v>
      </c>
      <c r="DG172" s="161">
        <f t="shared" si="213"/>
        <v>0</v>
      </c>
      <c r="DH172" s="161">
        <f t="shared" si="214"/>
        <v>0</v>
      </c>
      <c r="DI172" s="161">
        <f t="shared" si="215"/>
        <v>0</v>
      </c>
      <c r="DJ172" s="161">
        <f t="shared" si="216"/>
        <v>0</v>
      </c>
      <c r="DK172" s="161">
        <f t="shared" si="217"/>
        <v>0</v>
      </c>
      <c r="DL172" s="161">
        <f t="shared" si="218"/>
        <v>0</v>
      </c>
      <c r="DM172" s="161">
        <f t="shared" si="219"/>
        <v>0</v>
      </c>
      <c r="DN172" s="161">
        <f t="shared" si="220"/>
        <v>0</v>
      </c>
      <c r="DO172" s="161">
        <f t="shared" si="221"/>
        <v>0</v>
      </c>
      <c r="DP172" s="161">
        <f t="shared" si="222"/>
        <v>0</v>
      </c>
      <c r="DQ172" s="161">
        <f t="shared" si="223"/>
        <v>0</v>
      </c>
      <c r="DR172" s="161">
        <f t="shared" si="224"/>
        <v>0</v>
      </c>
      <c r="DS172" s="161">
        <f t="shared" si="225"/>
        <v>0</v>
      </c>
      <c r="DT172" s="161">
        <f t="shared" si="226"/>
        <v>0</v>
      </c>
      <c r="DU172" s="161">
        <f t="shared" si="227"/>
        <v>0</v>
      </c>
      <c r="DV172" s="161">
        <f t="shared" si="228"/>
        <v>0</v>
      </c>
      <c r="DW172" s="161">
        <f t="shared" si="229"/>
        <v>0</v>
      </c>
      <c r="DX172" s="161">
        <f t="shared" si="230"/>
        <v>0</v>
      </c>
      <c r="DY172" s="161">
        <f t="shared" si="231"/>
        <v>0</v>
      </c>
      <c r="DZ172" s="161">
        <f t="shared" si="232"/>
        <v>0</v>
      </c>
      <c r="EA172" s="161">
        <f t="shared" si="233"/>
        <v>0</v>
      </c>
      <c r="EB172" s="161">
        <f t="shared" si="234"/>
        <v>0</v>
      </c>
      <c r="EC172" s="161">
        <f t="shared" si="235"/>
        <v>0</v>
      </c>
      <c r="ED172" s="161">
        <f t="shared" si="236"/>
        <v>0</v>
      </c>
      <c r="EE172" s="161">
        <f t="shared" si="237"/>
        <v>0</v>
      </c>
      <c r="EF172" s="161">
        <f t="shared" si="238"/>
        <v>0</v>
      </c>
      <c r="EG172" s="161">
        <f t="shared" si="239"/>
        <v>0</v>
      </c>
      <c r="EH172" s="161">
        <f t="shared" si="240"/>
        <v>0</v>
      </c>
      <c r="EI172" s="161">
        <f t="shared" si="241"/>
        <v>0</v>
      </c>
      <c r="EJ172" s="161">
        <f t="shared" si="242"/>
        <v>0</v>
      </c>
      <c r="EK172" s="147">
        <f t="shared" si="174"/>
        <v>0</v>
      </c>
      <c r="EL172" s="149"/>
      <c r="EN172" s="146"/>
      <c r="EO172" s="146"/>
      <c r="EP172" s="139">
        <f t="shared" si="175"/>
        <v>0</v>
      </c>
      <c r="EQ172" s="139">
        <f t="shared" si="176"/>
        <v>0</v>
      </c>
      <c r="ER172" s="139">
        <f t="shared" si="177"/>
        <v>0</v>
      </c>
      <c r="ES172" s="139">
        <f t="shared" si="178"/>
        <v>0</v>
      </c>
      <c r="ET172" s="139">
        <f t="shared" si="179"/>
        <v>0</v>
      </c>
      <c r="EU172" s="139">
        <f t="shared" si="180"/>
        <v>0</v>
      </c>
      <c r="EV172" s="139">
        <f t="shared" si="181"/>
        <v>0</v>
      </c>
      <c r="EW172" s="139">
        <f t="shared" si="182"/>
        <v>0</v>
      </c>
      <c r="EX172" s="139">
        <f t="shared" si="183"/>
        <v>0</v>
      </c>
      <c r="EY172" s="139">
        <f t="shared" si="184"/>
        <v>0</v>
      </c>
      <c r="EZ172" s="139">
        <f t="shared" si="185"/>
        <v>0</v>
      </c>
      <c r="FA172" s="139">
        <f t="shared" si="186"/>
        <v>0</v>
      </c>
      <c r="FB172" s="139">
        <f t="shared" si="187"/>
        <v>0</v>
      </c>
      <c r="FC172" s="139">
        <f t="shared" si="188"/>
        <v>0</v>
      </c>
      <c r="FD172" s="139">
        <f t="shared" si="189"/>
        <v>0</v>
      </c>
      <c r="FE172" s="139">
        <f t="shared" si="190"/>
        <v>0</v>
      </c>
      <c r="FF172" s="139">
        <f t="shared" si="191"/>
        <v>0</v>
      </c>
      <c r="FG172" s="139">
        <f t="shared" si="192"/>
        <v>0</v>
      </c>
      <c r="FH172" s="139">
        <f t="shared" si="193"/>
        <v>0</v>
      </c>
      <c r="FI172" s="139">
        <f t="shared" si="194"/>
        <v>0</v>
      </c>
      <c r="FJ172" s="139">
        <f t="shared" si="195"/>
        <v>0</v>
      </c>
      <c r="FK172" s="139">
        <f t="shared" si="196"/>
        <v>0</v>
      </c>
      <c r="FL172" s="139">
        <f t="shared" si="197"/>
        <v>0</v>
      </c>
      <c r="FM172" s="139">
        <f t="shared" si="198"/>
        <v>0</v>
      </c>
      <c r="FN172" s="139">
        <f t="shared" si="199"/>
        <v>0</v>
      </c>
      <c r="FO172" s="139">
        <f t="shared" si="200"/>
        <v>0</v>
      </c>
      <c r="FP172" s="139">
        <f t="shared" si="201"/>
        <v>0</v>
      </c>
      <c r="FQ172" s="139">
        <f t="shared" si="202"/>
        <v>0</v>
      </c>
      <c r="FR172" s="139">
        <f t="shared" si="203"/>
        <v>0</v>
      </c>
      <c r="FS172" s="139">
        <f t="shared" si="204"/>
        <v>0</v>
      </c>
      <c r="FT172" s="139">
        <f t="shared" si="205"/>
        <v>0</v>
      </c>
      <c r="FU172" s="148">
        <f t="shared" si="206"/>
        <v>0</v>
      </c>
      <c r="FV172" s="149"/>
      <c r="FY172" s="211">
        <v>167</v>
      </c>
      <c r="FZ172">
        <v>2.2439741752663354</v>
      </c>
      <c r="GA172">
        <v>9.9935661832961848</v>
      </c>
      <c r="GB172">
        <v>15.530482329469018</v>
      </c>
      <c r="GC172">
        <v>10.920111819203704</v>
      </c>
      <c r="GD172">
        <v>7.1994491211416207</v>
      </c>
      <c r="GE172">
        <v>12.489112971494349</v>
      </c>
      <c r="GF172">
        <v>19.77731371849384</v>
      </c>
      <c r="GG172">
        <v>19.33103095424395</v>
      </c>
      <c r="GH172">
        <v>13.579827356413439</v>
      </c>
      <c r="GI172">
        <v>14.470803096713336</v>
      </c>
      <c r="GJ172"/>
      <c r="GK172"/>
      <c r="GL172"/>
      <c r="GM172"/>
    </row>
    <row r="173" spans="1:195" s="7" customFormat="1">
      <c r="A173" s="1"/>
      <c r="B173" s="76">
        <f t="shared" ca="1" si="171"/>
        <v>0.39452290893130026</v>
      </c>
      <c r="C173">
        <v>4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73.09871787524871</v>
      </c>
      <c r="AO173">
        <v>28.225348250497014</v>
      </c>
      <c r="AP173">
        <v>210.96389250391024</v>
      </c>
      <c r="AQ173">
        <v>171.44495241163406</v>
      </c>
      <c r="AR173">
        <v>25.574173335330268</v>
      </c>
      <c r="AS173">
        <v>157.40058007199113</v>
      </c>
      <c r="AT173">
        <v>19.461681338242489</v>
      </c>
      <c r="AU173">
        <v>9.4191144379143257</v>
      </c>
      <c r="AV173"/>
      <c r="AW173"/>
      <c r="AX173" s="146"/>
      <c r="AY173" s="76">
        <f t="shared" ca="1" si="172"/>
        <v>0.63882790075229967</v>
      </c>
      <c r="AZ173">
        <v>6</v>
      </c>
      <c r="BA173" s="129">
        <f t="shared" si="246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7"/>
        <v>0.87979991144676384</v>
      </c>
      <c r="CL173" s="179">
        <f t="shared" si="208"/>
        <v>6</v>
      </c>
      <c r="CM173" s="180">
        <f t="shared" si="209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10"/>
        <v>9.6000000000000002E-2</v>
      </c>
      <c r="DB173" s="146"/>
      <c r="DC173" s="76">
        <f t="shared" ca="1" si="173"/>
        <v>0.26817235647092885</v>
      </c>
      <c r="DD173">
        <f t="shared" si="211"/>
        <v>6</v>
      </c>
      <c r="DE173" s="129">
        <f t="shared" si="245"/>
        <v>39949</v>
      </c>
      <c r="DF173" s="161">
        <f t="shared" si="212"/>
        <v>0</v>
      </c>
      <c r="DG173" s="161">
        <f t="shared" si="213"/>
        <v>0</v>
      </c>
      <c r="DH173" s="161">
        <f t="shared" si="214"/>
        <v>0</v>
      </c>
      <c r="DI173" s="161">
        <f t="shared" si="215"/>
        <v>0</v>
      </c>
      <c r="DJ173" s="161">
        <f t="shared" si="216"/>
        <v>0</v>
      </c>
      <c r="DK173" s="161">
        <f t="shared" si="217"/>
        <v>0</v>
      </c>
      <c r="DL173" s="161">
        <f t="shared" si="218"/>
        <v>0</v>
      </c>
      <c r="DM173" s="161">
        <f t="shared" si="219"/>
        <v>0</v>
      </c>
      <c r="DN173" s="161">
        <f t="shared" si="220"/>
        <v>0</v>
      </c>
      <c r="DO173" s="161">
        <f t="shared" si="221"/>
        <v>0</v>
      </c>
      <c r="DP173" s="161">
        <f t="shared" si="222"/>
        <v>0</v>
      </c>
      <c r="DQ173" s="161">
        <f t="shared" si="223"/>
        <v>0</v>
      </c>
      <c r="DR173" s="161">
        <f t="shared" si="224"/>
        <v>0</v>
      </c>
      <c r="DS173" s="161">
        <f t="shared" si="225"/>
        <v>0</v>
      </c>
      <c r="DT173" s="161">
        <f t="shared" si="226"/>
        <v>0</v>
      </c>
      <c r="DU173" s="161">
        <f t="shared" si="227"/>
        <v>0</v>
      </c>
      <c r="DV173" s="161">
        <f t="shared" si="228"/>
        <v>0</v>
      </c>
      <c r="DW173" s="161">
        <f t="shared" si="229"/>
        <v>0</v>
      </c>
      <c r="DX173" s="161">
        <f t="shared" si="230"/>
        <v>0</v>
      </c>
      <c r="DY173" s="161">
        <f t="shared" si="231"/>
        <v>0</v>
      </c>
      <c r="DZ173" s="161">
        <f t="shared" si="232"/>
        <v>0</v>
      </c>
      <c r="EA173" s="161">
        <f t="shared" si="233"/>
        <v>0</v>
      </c>
      <c r="EB173" s="161">
        <f t="shared" si="234"/>
        <v>0</v>
      </c>
      <c r="EC173" s="161">
        <f t="shared" si="235"/>
        <v>0</v>
      </c>
      <c r="ED173" s="161">
        <f t="shared" si="236"/>
        <v>0</v>
      </c>
      <c r="EE173" s="161">
        <f t="shared" si="237"/>
        <v>0</v>
      </c>
      <c r="EF173" s="161">
        <f t="shared" si="238"/>
        <v>0</v>
      </c>
      <c r="EG173" s="161">
        <f t="shared" si="239"/>
        <v>0</v>
      </c>
      <c r="EH173" s="161">
        <f t="shared" si="240"/>
        <v>0</v>
      </c>
      <c r="EI173" s="161">
        <f t="shared" si="241"/>
        <v>0</v>
      </c>
      <c r="EJ173" s="161">
        <f t="shared" si="242"/>
        <v>0</v>
      </c>
      <c r="EK173" s="147">
        <f t="shared" si="174"/>
        <v>0</v>
      </c>
      <c r="EL173" s="149"/>
      <c r="EN173" s="146"/>
      <c r="EO173" s="146"/>
      <c r="EP173" s="139">
        <f t="shared" si="175"/>
        <v>0</v>
      </c>
      <c r="EQ173" s="139">
        <f t="shared" si="176"/>
        <v>0</v>
      </c>
      <c r="ER173" s="139">
        <f t="shared" si="177"/>
        <v>0</v>
      </c>
      <c r="ES173" s="139">
        <f t="shared" si="178"/>
        <v>0</v>
      </c>
      <c r="ET173" s="139">
        <f t="shared" si="179"/>
        <v>0</v>
      </c>
      <c r="EU173" s="139">
        <f t="shared" si="180"/>
        <v>0</v>
      </c>
      <c r="EV173" s="139">
        <f t="shared" si="181"/>
        <v>0</v>
      </c>
      <c r="EW173" s="139">
        <f t="shared" si="182"/>
        <v>0</v>
      </c>
      <c r="EX173" s="139">
        <f t="shared" si="183"/>
        <v>0</v>
      </c>
      <c r="EY173" s="139">
        <f t="shared" si="184"/>
        <v>0</v>
      </c>
      <c r="EZ173" s="139">
        <f t="shared" si="185"/>
        <v>0</v>
      </c>
      <c r="FA173" s="139">
        <f t="shared" si="186"/>
        <v>0</v>
      </c>
      <c r="FB173" s="139">
        <f t="shared" si="187"/>
        <v>0</v>
      </c>
      <c r="FC173" s="139">
        <f t="shared" si="188"/>
        <v>0</v>
      </c>
      <c r="FD173" s="139">
        <f t="shared" si="189"/>
        <v>0</v>
      </c>
      <c r="FE173" s="139">
        <f t="shared" si="190"/>
        <v>0</v>
      </c>
      <c r="FF173" s="139">
        <f t="shared" si="191"/>
        <v>0</v>
      </c>
      <c r="FG173" s="139">
        <f t="shared" si="192"/>
        <v>0</v>
      </c>
      <c r="FH173" s="139">
        <f t="shared" si="193"/>
        <v>0</v>
      </c>
      <c r="FI173" s="139">
        <f t="shared" si="194"/>
        <v>0</v>
      </c>
      <c r="FJ173" s="139">
        <f t="shared" si="195"/>
        <v>0</v>
      </c>
      <c r="FK173" s="139">
        <f t="shared" si="196"/>
        <v>0</v>
      </c>
      <c r="FL173" s="139">
        <f t="shared" si="197"/>
        <v>0</v>
      </c>
      <c r="FM173" s="139">
        <f t="shared" si="198"/>
        <v>0</v>
      </c>
      <c r="FN173" s="139">
        <f t="shared" si="199"/>
        <v>0</v>
      </c>
      <c r="FO173" s="139">
        <f t="shared" si="200"/>
        <v>0</v>
      </c>
      <c r="FP173" s="139">
        <f t="shared" si="201"/>
        <v>0</v>
      </c>
      <c r="FQ173" s="139">
        <f t="shared" si="202"/>
        <v>0</v>
      </c>
      <c r="FR173" s="139">
        <f t="shared" si="203"/>
        <v>0</v>
      </c>
      <c r="FS173" s="139">
        <f t="shared" si="204"/>
        <v>0</v>
      </c>
      <c r="FT173" s="139">
        <f t="shared" si="205"/>
        <v>0</v>
      </c>
      <c r="FU173" s="148">
        <f t="shared" si="206"/>
        <v>0</v>
      </c>
      <c r="FV173" s="149"/>
      <c r="FY173" s="211">
        <v>168</v>
      </c>
      <c r="FZ173">
        <v>2.974738906763128</v>
      </c>
      <c r="GA173">
        <v>10.86343187233609</v>
      </c>
      <c r="GB173">
        <v>23.370085479003439</v>
      </c>
      <c r="GC173">
        <v>18.237164770322341</v>
      </c>
      <c r="GD173">
        <v>10.994467616393637</v>
      </c>
      <c r="GE173">
        <v>17.095998237305647</v>
      </c>
      <c r="GF173">
        <v>22.621216217184724</v>
      </c>
      <c r="GG173">
        <v>16.969430904384797</v>
      </c>
      <c r="GH173">
        <v>9.1415890211050996</v>
      </c>
      <c r="GI173">
        <v>18.617224607229947</v>
      </c>
      <c r="GJ173"/>
      <c r="GK173"/>
      <c r="GL173"/>
      <c r="GM173"/>
    </row>
    <row r="174" spans="1:195" s="7" customFormat="1">
      <c r="A174" s="1"/>
      <c r="B174" s="76">
        <f t="shared" ca="1" si="171"/>
        <v>3.3139442581793688E-2</v>
      </c>
      <c r="C174">
        <v>8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52.083333333333336</v>
      </c>
      <c r="J174">
        <v>52.083333333333336</v>
      </c>
      <c r="K174">
        <v>10.416666666666666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99.489475134670101</v>
      </c>
      <c r="AO174">
        <v>38.860532287183169</v>
      </c>
      <c r="AP174">
        <v>253.02222699791466</v>
      </c>
      <c r="AQ174">
        <v>217.69368023235322</v>
      </c>
      <c r="AR174">
        <v>35.675828497450148</v>
      </c>
      <c r="AS174">
        <v>168.8472255291606</v>
      </c>
      <c r="AT174">
        <v>26.813998166184316</v>
      </c>
      <c r="AU174">
        <v>44.895779909155372</v>
      </c>
      <c r="AV174"/>
      <c r="AW174"/>
      <c r="AX174" s="146"/>
      <c r="AY174" s="76">
        <f t="shared" ca="1" si="172"/>
        <v>0.37374360686313213</v>
      </c>
      <c r="AZ174">
        <v>7</v>
      </c>
      <c r="BA174" s="129">
        <f t="shared" si="246"/>
        <v>39949</v>
      </c>
      <c r="BB174" s="218">
        <v>0</v>
      </c>
      <c r="BC174" s="218">
        <v>0</v>
      </c>
      <c r="BD174" s="218">
        <v>0</v>
      </c>
      <c r="BE174" s="218">
        <v>0</v>
      </c>
      <c r="BF174" s="218">
        <v>2</v>
      </c>
      <c r="BG174" s="218">
        <v>18</v>
      </c>
      <c r="BH174" s="218">
        <v>4</v>
      </c>
      <c r="BI174" s="218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7"/>
        <v>9.4174819848795721E-2</v>
      </c>
      <c r="CL174" s="179">
        <f t="shared" si="208"/>
        <v>7</v>
      </c>
      <c r="CM174" s="180">
        <f t="shared" si="209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10"/>
        <v>9.6000000000000002E-2</v>
      </c>
      <c r="DB174" s="146"/>
      <c r="DC174" s="76">
        <f t="shared" ca="1" si="173"/>
        <v>0.68106083746849877</v>
      </c>
      <c r="DD174">
        <f t="shared" si="211"/>
        <v>7</v>
      </c>
      <c r="DE174" s="129">
        <f t="shared" si="245"/>
        <v>39949</v>
      </c>
      <c r="DF174" s="161">
        <f t="shared" si="212"/>
        <v>0</v>
      </c>
      <c r="DG174" s="161">
        <f t="shared" si="213"/>
        <v>0</v>
      </c>
      <c r="DH174" s="161">
        <f t="shared" si="214"/>
        <v>0</v>
      </c>
      <c r="DI174" s="161">
        <f t="shared" si="215"/>
        <v>0</v>
      </c>
      <c r="DJ174" s="161">
        <f t="shared" si="216"/>
        <v>20.833333333333332</v>
      </c>
      <c r="DK174" s="161">
        <f t="shared" si="217"/>
        <v>187.5</v>
      </c>
      <c r="DL174" s="161">
        <f t="shared" si="218"/>
        <v>41.666666666666664</v>
      </c>
      <c r="DM174" s="161">
        <f t="shared" si="219"/>
        <v>0</v>
      </c>
      <c r="DN174" s="161">
        <f t="shared" si="220"/>
        <v>0</v>
      </c>
      <c r="DO174" s="161">
        <f t="shared" si="221"/>
        <v>0</v>
      </c>
      <c r="DP174" s="161">
        <f t="shared" si="222"/>
        <v>0</v>
      </c>
      <c r="DQ174" s="161">
        <f t="shared" si="223"/>
        <v>0</v>
      </c>
      <c r="DR174" s="161">
        <f t="shared" si="224"/>
        <v>0</v>
      </c>
      <c r="DS174" s="161">
        <f t="shared" si="225"/>
        <v>0</v>
      </c>
      <c r="DT174" s="161">
        <f t="shared" si="226"/>
        <v>0</v>
      </c>
      <c r="DU174" s="161">
        <f t="shared" si="227"/>
        <v>0</v>
      </c>
      <c r="DV174" s="161">
        <f t="shared" si="228"/>
        <v>0</v>
      </c>
      <c r="DW174" s="161">
        <f t="shared" si="229"/>
        <v>0</v>
      </c>
      <c r="DX174" s="161">
        <f t="shared" si="230"/>
        <v>0</v>
      </c>
      <c r="DY174" s="161">
        <f t="shared" si="231"/>
        <v>0</v>
      </c>
      <c r="DZ174" s="161">
        <f t="shared" si="232"/>
        <v>0</v>
      </c>
      <c r="EA174" s="161">
        <f t="shared" si="233"/>
        <v>0</v>
      </c>
      <c r="EB174" s="161">
        <f t="shared" si="234"/>
        <v>0</v>
      </c>
      <c r="EC174" s="161">
        <f t="shared" si="235"/>
        <v>0</v>
      </c>
      <c r="ED174" s="161">
        <f t="shared" si="236"/>
        <v>0</v>
      </c>
      <c r="EE174" s="161">
        <f t="shared" si="237"/>
        <v>0</v>
      </c>
      <c r="EF174" s="161">
        <f t="shared" si="238"/>
        <v>0</v>
      </c>
      <c r="EG174" s="161">
        <f t="shared" si="239"/>
        <v>0</v>
      </c>
      <c r="EH174" s="161">
        <f t="shared" si="240"/>
        <v>0</v>
      </c>
      <c r="EI174" s="161">
        <f t="shared" si="241"/>
        <v>0</v>
      </c>
      <c r="EJ174" s="161">
        <f t="shared" si="242"/>
        <v>0</v>
      </c>
      <c r="EK174" s="147">
        <f t="shared" si="174"/>
        <v>250</v>
      </c>
      <c r="EL174" s="149"/>
      <c r="EN174" s="146"/>
      <c r="EO174" s="146"/>
      <c r="EP174" s="139">
        <f t="shared" si="175"/>
        <v>0</v>
      </c>
      <c r="EQ174" s="139">
        <f t="shared" si="176"/>
        <v>0</v>
      </c>
      <c r="ER174" s="139">
        <f t="shared" si="177"/>
        <v>0</v>
      </c>
      <c r="ES174" s="139">
        <f t="shared" si="178"/>
        <v>0</v>
      </c>
      <c r="ET174" s="139">
        <f t="shared" si="179"/>
        <v>8.3906100241670192</v>
      </c>
      <c r="EU174" s="139">
        <f t="shared" si="180"/>
        <v>137.21562941231696</v>
      </c>
      <c r="EV174" s="139">
        <f t="shared" si="181"/>
        <v>49.671785990073914</v>
      </c>
      <c r="EW174" s="139">
        <f t="shared" si="182"/>
        <v>0</v>
      </c>
      <c r="EX174" s="139">
        <f t="shared" si="183"/>
        <v>0</v>
      </c>
      <c r="EY174" s="139">
        <f t="shared" si="184"/>
        <v>0</v>
      </c>
      <c r="EZ174" s="139">
        <f t="shared" si="185"/>
        <v>0</v>
      </c>
      <c r="FA174" s="139">
        <f t="shared" si="186"/>
        <v>0</v>
      </c>
      <c r="FB174" s="139">
        <f t="shared" si="187"/>
        <v>0</v>
      </c>
      <c r="FC174" s="139">
        <f t="shared" si="188"/>
        <v>0</v>
      </c>
      <c r="FD174" s="139">
        <f t="shared" si="189"/>
        <v>0</v>
      </c>
      <c r="FE174" s="139">
        <f t="shared" si="190"/>
        <v>0</v>
      </c>
      <c r="FF174" s="139">
        <f t="shared" si="191"/>
        <v>0</v>
      </c>
      <c r="FG174" s="139">
        <f t="shared" si="192"/>
        <v>0</v>
      </c>
      <c r="FH174" s="139">
        <f t="shared" si="193"/>
        <v>0</v>
      </c>
      <c r="FI174" s="139">
        <f t="shared" si="194"/>
        <v>0</v>
      </c>
      <c r="FJ174" s="139">
        <f t="shared" si="195"/>
        <v>0</v>
      </c>
      <c r="FK174" s="139">
        <f t="shared" si="196"/>
        <v>0</v>
      </c>
      <c r="FL174" s="139">
        <f t="shared" si="197"/>
        <v>0</v>
      </c>
      <c r="FM174" s="139">
        <f t="shared" si="198"/>
        <v>0</v>
      </c>
      <c r="FN174" s="139">
        <f t="shared" si="199"/>
        <v>0</v>
      </c>
      <c r="FO174" s="139">
        <f t="shared" si="200"/>
        <v>0</v>
      </c>
      <c r="FP174" s="139">
        <f t="shared" si="201"/>
        <v>0</v>
      </c>
      <c r="FQ174" s="139">
        <f t="shared" si="202"/>
        <v>0</v>
      </c>
      <c r="FR174" s="139">
        <f t="shared" si="203"/>
        <v>0</v>
      </c>
      <c r="FS174" s="139">
        <f t="shared" si="204"/>
        <v>0</v>
      </c>
      <c r="FT174" s="139">
        <f t="shared" si="205"/>
        <v>0</v>
      </c>
      <c r="FU174" s="148">
        <f t="shared" si="206"/>
        <v>195.27802542655789</v>
      </c>
      <c r="FV174" s="149"/>
      <c r="FY174" s="211">
        <v>169</v>
      </c>
      <c r="FZ174">
        <v>6.0232557626963485</v>
      </c>
      <c r="GA174">
        <v>22.573860980151856</v>
      </c>
      <c r="GB174">
        <v>26.079529423798718</v>
      </c>
      <c r="GC174">
        <v>21.855497618681596</v>
      </c>
      <c r="GD174">
        <v>15.851915970157103</v>
      </c>
      <c r="GE174">
        <v>26.402125069866599</v>
      </c>
      <c r="GF174">
        <v>37.347279494079295</v>
      </c>
      <c r="GG174">
        <v>33.717655848037566</v>
      </c>
      <c r="GH174">
        <v>29.574402185009159</v>
      </c>
      <c r="GI174">
        <v>28.687956808620349</v>
      </c>
      <c r="GJ174"/>
      <c r="GK174"/>
      <c r="GL174"/>
      <c r="GM174"/>
    </row>
    <row r="175" spans="1:195" s="7" customFormat="1">
      <c r="A175" s="1"/>
      <c r="B175" s="76">
        <f t="shared" ca="1" si="171"/>
        <v>0.67913574255965736</v>
      </c>
      <c r="C175">
        <v>2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10.416666666666666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90.228442452529265</v>
      </c>
      <c r="AO175">
        <v>35.070401074583856</v>
      </c>
      <c r="AP175">
        <v>198.21749560574332</v>
      </c>
      <c r="AQ175">
        <v>182.47738823902608</v>
      </c>
      <c r="AR175">
        <v>31.311420949654373</v>
      </c>
      <c r="AS175">
        <v>150.10010997832595</v>
      </c>
      <c r="AT175">
        <v>24.61155678710406</v>
      </c>
      <c r="AU175">
        <v>62.294720354066492</v>
      </c>
      <c r="AV175"/>
      <c r="AW175"/>
      <c r="AX175" s="146"/>
      <c r="AY175" s="76">
        <f t="shared" ca="1" si="172"/>
        <v>0.34019657783802004</v>
      </c>
      <c r="AZ175">
        <v>8</v>
      </c>
      <c r="BA175" s="129">
        <f t="shared" si="246"/>
        <v>39949</v>
      </c>
      <c r="BB175">
        <v>0</v>
      </c>
      <c r="BC175">
        <v>0</v>
      </c>
      <c r="BD175">
        <v>0</v>
      </c>
      <c r="BE175">
        <v>0</v>
      </c>
      <c r="BF175">
        <v>5</v>
      </c>
      <c r="BG175">
        <v>5</v>
      </c>
      <c r="BH175">
        <v>1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7"/>
        <v>0.97176172387532933</v>
      </c>
      <c r="CL175" s="179">
        <f t="shared" si="208"/>
        <v>8</v>
      </c>
      <c r="CM175" s="180">
        <f t="shared" si="209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10"/>
        <v>9.6000000000000002E-2</v>
      </c>
      <c r="DB175" s="146"/>
      <c r="DC175" s="76">
        <f t="shared" ca="1" si="173"/>
        <v>0.57961132108209945</v>
      </c>
      <c r="DD175">
        <f t="shared" si="211"/>
        <v>8</v>
      </c>
      <c r="DE175" s="129">
        <f t="shared" si="245"/>
        <v>39949</v>
      </c>
      <c r="DF175" s="161">
        <f t="shared" si="212"/>
        <v>0</v>
      </c>
      <c r="DG175" s="161">
        <f t="shared" si="213"/>
        <v>0</v>
      </c>
      <c r="DH175" s="161">
        <f t="shared" si="214"/>
        <v>0</v>
      </c>
      <c r="DI175" s="161">
        <f t="shared" si="215"/>
        <v>0</v>
      </c>
      <c r="DJ175" s="161">
        <f t="shared" si="216"/>
        <v>52.083333333333336</v>
      </c>
      <c r="DK175" s="161">
        <f t="shared" si="217"/>
        <v>52.083333333333336</v>
      </c>
      <c r="DL175" s="161">
        <f t="shared" si="218"/>
        <v>10.416666666666666</v>
      </c>
      <c r="DM175" s="161">
        <f t="shared" si="219"/>
        <v>0</v>
      </c>
      <c r="DN175" s="161">
        <f t="shared" si="220"/>
        <v>0</v>
      </c>
      <c r="DO175" s="161">
        <f t="shared" si="221"/>
        <v>0</v>
      </c>
      <c r="DP175" s="161">
        <f t="shared" si="222"/>
        <v>0</v>
      </c>
      <c r="DQ175" s="161">
        <f t="shared" si="223"/>
        <v>0</v>
      </c>
      <c r="DR175" s="161">
        <f t="shared" si="224"/>
        <v>0</v>
      </c>
      <c r="DS175" s="161">
        <f t="shared" si="225"/>
        <v>0</v>
      </c>
      <c r="DT175" s="161">
        <f t="shared" si="226"/>
        <v>0</v>
      </c>
      <c r="DU175" s="161">
        <f t="shared" si="227"/>
        <v>0</v>
      </c>
      <c r="DV175" s="161">
        <f t="shared" si="228"/>
        <v>0</v>
      </c>
      <c r="DW175" s="161">
        <f t="shared" si="229"/>
        <v>0</v>
      </c>
      <c r="DX175" s="161">
        <f t="shared" si="230"/>
        <v>0</v>
      </c>
      <c r="DY175" s="161">
        <f t="shared" si="231"/>
        <v>0</v>
      </c>
      <c r="DZ175" s="161">
        <f t="shared" si="232"/>
        <v>0</v>
      </c>
      <c r="EA175" s="161">
        <f t="shared" si="233"/>
        <v>0</v>
      </c>
      <c r="EB175" s="161">
        <f t="shared" si="234"/>
        <v>0</v>
      </c>
      <c r="EC175" s="161">
        <f t="shared" si="235"/>
        <v>0</v>
      </c>
      <c r="ED175" s="161">
        <f t="shared" si="236"/>
        <v>0</v>
      </c>
      <c r="EE175" s="161">
        <f t="shared" si="237"/>
        <v>0</v>
      </c>
      <c r="EF175" s="161">
        <f t="shared" si="238"/>
        <v>0</v>
      </c>
      <c r="EG175" s="161">
        <f t="shared" si="239"/>
        <v>0</v>
      </c>
      <c r="EH175" s="161">
        <f t="shared" si="240"/>
        <v>0</v>
      </c>
      <c r="EI175" s="161">
        <f t="shared" si="241"/>
        <v>0</v>
      </c>
      <c r="EJ175" s="161">
        <f t="shared" si="242"/>
        <v>0</v>
      </c>
      <c r="EK175" s="147">
        <f t="shared" si="174"/>
        <v>114.58333333333334</v>
      </c>
      <c r="EL175" s="149"/>
      <c r="EN175" s="146"/>
      <c r="EO175" s="146"/>
      <c r="EP175" s="139">
        <f t="shared" si="175"/>
        <v>0</v>
      </c>
      <c r="EQ175" s="139">
        <f t="shared" si="176"/>
        <v>0</v>
      </c>
      <c r="ER175" s="139">
        <f t="shared" si="177"/>
        <v>0</v>
      </c>
      <c r="ES175" s="139">
        <f t="shared" si="178"/>
        <v>0</v>
      </c>
      <c r="ET175" s="139">
        <f t="shared" si="179"/>
        <v>20.976525060417551</v>
      </c>
      <c r="EU175" s="139">
        <f t="shared" si="180"/>
        <v>38.115452614532494</v>
      </c>
      <c r="EV175" s="139">
        <f t="shared" si="181"/>
        <v>12.417946497518479</v>
      </c>
      <c r="EW175" s="139">
        <f t="shared" si="182"/>
        <v>0</v>
      </c>
      <c r="EX175" s="139">
        <f t="shared" si="183"/>
        <v>0</v>
      </c>
      <c r="EY175" s="139">
        <f t="shared" si="184"/>
        <v>0</v>
      </c>
      <c r="EZ175" s="139">
        <f t="shared" si="185"/>
        <v>0</v>
      </c>
      <c r="FA175" s="139">
        <f t="shared" si="186"/>
        <v>0</v>
      </c>
      <c r="FB175" s="139">
        <f t="shared" si="187"/>
        <v>0</v>
      </c>
      <c r="FC175" s="139">
        <f t="shared" si="188"/>
        <v>0</v>
      </c>
      <c r="FD175" s="139">
        <f t="shared" si="189"/>
        <v>0</v>
      </c>
      <c r="FE175" s="139">
        <f t="shared" si="190"/>
        <v>0</v>
      </c>
      <c r="FF175" s="139">
        <f t="shared" si="191"/>
        <v>0</v>
      </c>
      <c r="FG175" s="139">
        <f t="shared" si="192"/>
        <v>0</v>
      </c>
      <c r="FH175" s="139">
        <f t="shared" si="193"/>
        <v>0</v>
      </c>
      <c r="FI175" s="139">
        <f t="shared" si="194"/>
        <v>0</v>
      </c>
      <c r="FJ175" s="139">
        <f t="shared" si="195"/>
        <v>0</v>
      </c>
      <c r="FK175" s="139">
        <f t="shared" si="196"/>
        <v>0</v>
      </c>
      <c r="FL175" s="139">
        <f t="shared" si="197"/>
        <v>0</v>
      </c>
      <c r="FM175" s="139">
        <f t="shared" si="198"/>
        <v>0</v>
      </c>
      <c r="FN175" s="139">
        <f t="shared" si="199"/>
        <v>0</v>
      </c>
      <c r="FO175" s="139">
        <f t="shared" si="200"/>
        <v>0</v>
      </c>
      <c r="FP175" s="139">
        <f t="shared" si="201"/>
        <v>0</v>
      </c>
      <c r="FQ175" s="139">
        <f t="shared" si="202"/>
        <v>0</v>
      </c>
      <c r="FR175" s="139">
        <f t="shared" si="203"/>
        <v>0</v>
      </c>
      <c r="FS175" s="139">
        <f t="shared" si="204"/>
        <v>0</v>
      </c>
      <c r="FT175" s="139">
        <f t="shared" si="205"/>
        <v>0</v>
      </c>
      <c r="FU175" s="148">
        <f t="shared" si="206"/>
        <v>71.509924172468516</v>
      </c>
      <c r="FV175" s="149"/>
      <c r="FY175" s="211">
        <v>170</v>
      </c>
      <c r="FZ175">
        <v>5.6160238097230764</v>
      </c>
      <c r="GA175">
        <v>8.8539138975795666</v>
      </c>
      <c r="GB175">
        <v>11.198195044192722</v>
      </c>
      <c r="GC175">
        <v>10.635613272307198</v>
      </c>
      <c r="GD175">
        <v>10.180098037382148</v>
      </c>
      <c r="GE175">
        <v>20.089098655017164</v>
      </c>
      <c r="GF175">
        <v>23.930059566866465</v>
      </c>
      <c r="GG175">
        <v>17.332212125205565</v>
      </c>
      <c r="GH175">
        <v>10.751255196235066</v>
      </c>
      <c r="GI175">
        <v>16.008090945475693</v>
      </c>
      <c r="GJ175"/>
      <c r="GK175"/>
      <c r="GL175"/>
      <c r="GM175"/>
    </row>
    <row r="176" spans="1:195" s="7" customFormat="1">
      <c r="A176" s="1"/>
      <c r="B176" s="76">
        <f t="shared" ca="1" si="171"/>
        <v>0.52001264651215084</v>
      </c>
      <c r="C176">
        <v>6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84.481790871857612</v>
      </c>
      <c r="AO176">
        <v>35.370644358378492</v>
      </c>
      <c r="AP176">
        <v>245.01874679233455</v>
      </c>
      <c r="AQ176">
        <v>208.0198388731645</v>
      </c>
      <c r="AR176">
        <v>31.696602937003156</v>
      </c>
      <c r="AS176">
        <v>146.90408097272325</v>
      </c>
      <c r="AT176">
        <v>24.623357879645123</v>
      </c>
      <c r="AU176">
        <v>36.770726913452542</v>
      </c>
      <c r="AV176"/>
      <c r="AW176"/>
      <c r="AX176" s="146"/>
      <c r="AY176" s="76">
        <f t="shared" ca="1" si="172"/>
        <v>0.25655765785644657</v>
      </c>
      <c r="AZ176">
        <v>9</v>
      </c>
      <c r="BA176" s="129">
        <f t="shared" si="246"/>
        <v>39949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7"/>
        <v>0.71390146026704038</v>
      </c>
      <c r="CL176" s="179">
        <f t="shared" si="208"/>
        <v>9</v>
      </c>
      <c r="CM176" s="180">
        <f t="shared" si="209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10"/>
        <v>9.6000000000000002E-2</v>
      </c>
      <c r="DB176" s="146"/>
      <c r="DC176" s="76">
        <f t="shared" ca="1" si="173"/>
        <v>0.88855105747454521</v>
      </c>
      <c r="DD176">
        <f t="shared" si="211"/>
        <v>9</v>
      </c>
      <c r="DE176" s="129">
        <f t="shared" si="245"/>
        <v>39949</v>
      </c>
      <c r="DF176" s="161">
        <f t="shared" si="212"/>
        <v>0</v>
      </c>
      <c r="DG176" s="161">
        <f t="shared" si="213"/>
        <v>0</v>
      </c>
      <c r="DH176" s="161">
        <f t="shared" si="214"/>
        <v>0</v>
      </c>
      <c r="DI176" s="161">
        <f t="shared" si="215"/>
        <v>0</v>
      </c>
      <c r="DJ176" s="161">
        <f t="shared" si="216"/>
        <v>0</v>
      </c>
      <c r="DK176" s="161">
        <f t="shared" si="217"/>
        <v>0</v>
      </c>
      <c r="DL176" s="161">
        <f t="shared" si="218"/>
        <v>0</v>
      </c>
      <c r="DM176" s="161">
        <f t="shared" si="219"/>
        <v>0</v>
      </c>
      <c r="DN176" s="161">
        <f t="shared" si="220"/>
        <v>0</v>
      </c>
      <c r="DO176" s="161">
        <f t="shared" si="221"/>
        <v>0</v>
      </c>
      <c r="DP176" s="161">
        <f t="shared" si="222"/>
        <v>0</v>
      </c>
      <c r="DQ176" s="161">
        <f t="shared" si="223"/>
        <v>0</v>
      </c>
      <c r="DR176" s="161">
        <f t="shared" si="224"/>
        <v>0</v>
      </c>
      <c r="DS176" s="161">
        <f t="shared" si="225"/>
        <v>0</v>
      </c>
      <c r="DT176" s="161">
        <f t="shared" si="226"/>
        <v>0</v>
      </c>
      <c r="DU176" s="161">
        <f t="shared" si="227"/>
        <v>0</v>
      </c>
      <c r="DV176" s="161">
        <f t="shared" si="228"/>
        <v>0</v>
      </c>
      <c r="DW176" s="161">
        <f t="shared" si="229"/>
        <v>0</v>
      </c>
      <c r="DX176" s="161">
        <f t="shared" si="230"/>
        <v>0</v>
      </c>
      <c r="DY176" s="161">
        <f t="shared" si="231"/>
        <v>0</v>
      </c>
      <c r="DZ176" s="161">
        <f t="shared" si="232"/>
        <v>0</v>
      </c>
      <c r="EA176" s="161">
        <f t="shared" si="233"/>
        <v>0</v>
      </c>
      <c r="EB176" s="161">
        <f t="shared" si="234"/>
        <v>0</v>
      </c>
      <c r="EC176" s="161">
        <f t="shared" si="235"/>
        <v>0</v>
      </c>
      <c r="ED176" s="161">
        <f t="shared" si="236"/>
        <v>0</v>
      </c>
      <c r="EE176" s="161">
        <f t="shared" si="237"/>
        <v>0</v>
      </c>
      <c r="EF176" s="161">
        <f t="shared" si="238"/>
        <v>0</v>
      </c>
      <c r="EG176" s="161">
        <f t="shared" si="239"/>
        <v>0</v>
      </c>
      <c r="EH176" s="161">
        <f t="shared" si="240"/>
        <v>0</v>
      </c>
      <c r="EI176" s="161">
        <f t="shared" si="241"/>
        <v>0</v>
      </c>
      <c r="EJ176" s="161">
        <f t="shared" si="242"/>
        <v>0</v>
      </c>
      <c r="EK176" s="147">
        <f t="shared" si="174"/>
        <v>0</v>
      </c>
      <c r="EL176" s="149"/>
      <c r="EN176" s="146"/>
      <c r="EO176" s="146"/>
      <c r="EP176" s="139">
        <f t="shared" si="175"/>
        <v>0</v>
      </c>
      <c r="EQ176" s="139">
        <f t="shared" si="176"/>
        <v>0</v>
      </c>
      <c r="ER176" s="139">
        <f t="shared" si="177"/>
        <v>0</v>
      </c>
      <c r="ES176" s="139">
        <f t="shared" si="178"/>
        <v>0</v>
      </c>
      <c r="ET176" s="139">
        <f t="shared" si="179"/>
        <v>0</v>
      </c>
      <c r="EU176" s="139">
        <f t="shared" si="180"/>
        <v>0</v>
      </c>
      <c r="EV176" s="139">
        <f t="shared" si="181"/>
        <v>0</v>
      </c>
      <c r="EW176" s="139">
        <f t="shared" si="182"/>
        <v>0</v>
      </c>
      <c r="EX176" s="139">
        <f t="shared" si="183"/>
        <v>0</v>
      </c>
      <c r="EY176" s="139">
        <f t="shared" si="184"/>
        <v>0</v>
      </c>
      <c r="EZ176" s="139">
        <f t="shared" si="185"/>
        <v>0</v>
      </c>
      <c r="FA176" s="139">
        <f t="shared" si="186"/>
        <v>0</v>
      </c>
      <c r="FB176" s="139">
        <f t="shared" si="187"/>
        <v>0</v>
      </c>
      <c r="FC176" s="139">
        <f t="shared" si="188"/>
        <v>0</v>
      </c>
      <c r="FD176" s="139">
        <f t="shared" si="189"/>
        <v>0</v>
      </c>
      <c r="FE176" s="139">
        <f t="shared" si="190"/>
        <v>0</v>
      </c>
      <c r="FF176" s="139">
        <f t="shared" si="191"/>
        <v>0</v>
      </c>
      <c r="FG176" s="139">
        <f t="shared" si="192"/>
        <v>0</v>
      </c>
      <c r="FH176" s="139">
        <f t="shared" si="193"/>
        <v>0</v>
      </c>
      <c r="FI176" s="139">
        <f t="shared" si="194"/>
        <v>0</v>
      </c>
      <c r="FJ176" s="139">
        <f t="shared" si="195"/>
        <v>0</v>
      </c>
      <c r="FK176" s="139">
        <f t="shared" si="196"/>
        <v>0</v>
      </c>
      <c r="FL176" s="139">
        <f t="shared" si="197"/>
        <v>0</v>
      </c>
      <c r="FM176" s="139">
        <f t="shared" si="198"/>
        <v>0</v>
      </c>
      <c r="FN176" s="139">
        <f t="shared" si="199"/>
        <v>0</v>
      </c>
      <c r="FO176" s="139">
        <f t="shared" si="200"/>
        <v>0</v>
      </c>
      <c r="FP176" s="139">
        <f t="shared" si="201"/>
        <v>0</v>
      </c>
      <c r="FQ176" s="139">
        <f t="shared" si="202"/>
        <v>0</v>
      </c>
      <c r="FR176" s="139">
        <f t="shared" si="203"/>
        <v>0</v>
      </c>
      <c r="FS176" s="139">
        <f t="shared" si="204"/>
        <v>0</v>
      </c>
      <c r="FT176" s="139">
        <f t="shared" si="205"/>
        <v>0</v>
      </c>
      <c r="FU176" s="148">
        <f t="shared" si="206"/>
        <v>0</v>
      </c>
      <c r="FV176" s="149"/>
      <c r="FY176" s="211">
        <v>171</v>
      </c>
      <c r="FZ176">
        <v>5.7979291367890404</v>
      </c>
      <c r="GA176">
        <v>20.413621714148455</v>
      </c>
      <c r="GB176">
        <v>20.55741692607652</v>
      </c>
      <c r="GC176">
        <v>17.449451502639853</v>
      </c>
      <c r="GD176">
        <v>15.234230141340831</v>
      </c>
      <c r="GE176">
        <v>22.343225052789222</v>
      </c>
      <c r="GF176">
        <v>24.598850614156444</v>
      </c>
      <c r="GG176">
        <v>24.797168992367645</v>
      </c>
      <c r="GH176">
        <v>17.273518712568141</v>
      </c>
      <c r="GI176">
        <v>22.605879765594839</v>
      </c>
      <c r="GJ176"/>
      <c r="GK176"/>
      <c r="GL176"/>
      <c r="GM176"/>
    </row>
    <row r="177" spans="1:195" s="7" customFormat="1">
      <c r="A177" s="1"/>
      <c r="B177" s="76">
        <f t="shared" ca="1" si="171"/>
        <v>0.37314436834411335</v>
      </c>
      <c r="C177">
        <v>3</v>
      </c>
      <c r="D177">
        <v>39949</v>
      </c>
      <c r="E177">
        <v>0</v>
      </c>
      <c r="F177">
        <v>0</v>
      </c>
      <c r="G177">
        <v>91.43518518518519</v>
      </c>
      <c r="H177">
        <v>112.26851851851852</v>
      </c>
      <c r="I177">
        <v>20.833333333333332</v>
      </c>
      <c r="J177">
        <v>10.416666666666666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96.007651665755773</v>
      </c>
      <c r="AO177">
        <v>36.775016887592145</v>
      </c>
      <c r="AP177">
        <v>254.26735599751356</v>
      </c>
      <c r="AQ177">
        <v>215.3811621770445</v>
      </c>
      <c r="AR177">
        <v>33.289253685941695</v>
      </c>
      <c r="AS177">
        <v>165.73576168010482</v>
      </c>
      <c r="AT177" t="e">
        <v>#DIV/0!</v>
      </c>
      <c r="AU177" t="e">
        <v>#DIV/0!</v>
      </c>
      <c r="AV177"/>
      <c r="AW177"/>
      <c r="AX177" s="146"/>
      <c r="AY177" s="76">
        <f t="shared" ca="1" si="172"/>
        <v>0.28415706573916855</v>
      </c>
      <c r="AZ177">
        <v>10</v>
      </c>
      <c r="BA177" s="129">
        <f t="shared" si="246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7"/>
        <v>2.8130905389458505E-3</v>
      </c>
      <c r="CL177" s="179">
        <f t="shared" si="208"/>
        <v>10</v>
      </c>
      <c r="CM177" s="180">
        <f t="shared" si="209"/>
        <v>39949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10"/>
        <v>9.6000000000000002E-2</v>
      </c>
      <c r="DB177" s="146"/>
      <c r="DC177" s="76">
        <f t="shared" ca="1" si="173"/>
        <v>0.42378346437903813</v>
      </c>
      <c r="DD177">
        <f t="shared" si="211"/>
        <v>10</v>
      </c>
      <c r="DE177" s="129">
        <f t="shared" si="245"/>
        <v>39949</v>
      </c>
      <c r="DF177" s="161">
        <f t="shared" si="212"/>
        <v>0</v>
      </c>
      <c r="DG177" s="161">
        <f t="shared" si="213"/>
        <v>0</v>
      </c>
      <c r="DH177" s="161">
        <f t="shared" si="214"/>
        <v>0</v>
      </c>
      <c r="DI177" s="161">
        <f t="shared" si="215"/>
        <v>0</v>
      </c>
      <c r="DJ177" s="161">
        <f t="shared" si="216"/>
        <v>0</v>
      </c>
      <c r="DK177" s="161">
        <f t="shared" si="217"/>
        <v>0</v>
      </c>
      <c r="DL177" s="161">
        <f t="shared" si="218"/>
        <v>0</v>
      </c>
      <c r="DM177" s="161">
        <f t="shared" si="219"/>
        <v>0</v>
      </c>
      <c r="DN177" s="161">
        <f t="shared" si="220"/>
        <v>0</v>
      </c>
      <c r="DO177" s="161">
        <f t="shared" si="221"/>
        <v>0</v>
      </c>
      <c r="DP177" s="161">
        <f t="shared" si="222"/>
        <v>0</v>
      </c>
      <c r="DQ177" s="161">
        <f t="shared" si="223"/>
        <v>0</v>
      </c>
      <c r="DR177" s="161">
        <f t="shared" si="224"/>
        <v>0</v>
      </c>
      <c r="DS177" s="161">
        <f t="shared" si="225"/>
        <v>0</v>
      </c>
      <c r="DT177" s="161">
        <f t="shared" si="226"/>
        <v>0</v>
      </c>
      <c r="DU177" s="161">
        <f t="shared" si="227"/>
        <v>0</v>
      </c>
      <c r="DV177" s="161">
        <f t="shared" si="228"/>
        <v>0</v>
      </c>
      <c r="DW177" s="161">
        <f t="shared" si="229"/>
        <v>0</v>
      </c>
      <c r="DX177" s="161">
        <f t="shared" si="230"/>
        <v>0</v>
      </c>
      <c r="DY177" s="161">
        <f t="shared" si="231"/>
        <v>0</v>
      </c>
      <c r="DZ177" s="161">
        <f t="shared" si="232"/>
        <v>0</v>
      </c>
      <c r="EA177" s="161">
        <f t="shared" si="233"/>
        <v>0</v>
      </c>
      <c r="EB177" s="161">
        <f t="shared" si="234"/>
        <v>0</v>
      </c>
      <c r="EC177" s="161">
        <f t="shared" si="235"/>
        <v>0</v>
      </c>
      <c r="ED177" s="161">
        <f t="shared" si="236"/>
        <v>0</v>
      </c>
      <c r="EE177" s="161">
        <f t="shared" si="237"/>
        <v>0</v>
      </c>
      <c r="EF177" s="161">
        <f t="shared" si="238"/>
        <v>0</v>
      </c>
      <c r="EG177" s="161">
        <f t="shared" si="239"/>
        <v>0</v>
      </c>
      <c r="EH177" s="161">
        <f t="shared" si="240"/>
        <v>0</v>
      </c>
      <c r="EI177" s="161">
        <f t="shared" si="241"/>
        <v>0</v>
      </c>
      <c r="EJ177" s="161">
        <f t="shared" si="242"/>
        <v>0</v>
      </c>
      <c r="EK177" s="147">
        <f t="shared" si="174"/>
        <v>0</v>
      </c>
      <c r="EL177" s="149"/>
      <c r="EN177" s="146"/>
      <c r="EO177" s="146"/>
      <c r="EP177" s="139">
        <f t="shared" si="175"/>
        <v>0</v>
      </c>
      <c r="EQ177" s="139">
        <f t="shared" si="176"/>
        <v>0</v>
      </c>
      <c r="ER177" s="139">
        <f t="shared" si="177"/>
        <v>0</v>
      </c>
      <c r="ES177" s="139">
        <f t="shared" si="178"/>
        <v>0</v>
      </c>
      <c r="ET177" s="139">
        <f t="shared" si="179"/>
        <v>0</v>
      </c>
      <c r="EU177" s="139">
        <f t="shared" si="180"/>
        <v>0</v>
      </c>
      <c r="EV177" s="139">
        <f t="shared" si="181"/>
        <v>0</v>
      </c>
      <c r="EW177" s="139">
        <f t="shared" si="182"/>
        <v>0</v>
      </c>
      <c r="EX177" s="139">
        <f t="shared" si="183"/>
        <v>0</v>
      </c>
      <c r="EY177" s="139">
        <f t="shared" si="184"/>
        <v>0</v>
      </c>
      <c r="EZ177" s="139">
        <f t="shared" si="185"/>
        <v>0</v>
      </c>
      <c r="FA177" s="139">
        <f t="shared" si="186"/>
        <v>0</v>
      </c>
      <c r="FB177" s="139">
        <f t="shared" si="187"/>
        <v>0</v>
      </c>
      <c r="FC177" s="139">
        <f t="shared" si="188"/>
        <v>0</v>
      </c>
      <c r="FD177" s="139">
        <f t="shared" si="189"/>
        <v>0</v>
      </c>
      <c r="FE177" s="139">
        <f t="shared" si="190"/>
        <v>0</v>
      </c>
      <c r="FF177" s="139">
        <f t="shared" si="191"/>
        <v>0</v>
      </c>
      <c r="FG177" s="139">
        <f t="shared" si="192"/>
        <v>0</v>
      </c>
      <c r="FH177" s="139">
        <f t="shared" si="193"/>
        <v>0</v>
      </c>
      <c r="FI177" s="139">
        <f t="shared" si="194"/>
        <v>0</v>
      </c>
      <c r="FJ177" s="139">
        <f t="shared" si="195"/>
        <v>0</v>
      </c>
      <c r="FK177" s="139">
        <f t="shared" si="196"/>
        <v>0</v>
      </c>
      <c r="FL177" s="139">
        <f t="shared" si="197"/>
        <v>0</v>
      </c>
      <c r="FM177" s="139">
        <f t="shared" si="198"/>
        <v>0</v>
      </c>
      <c r="FN177" s="139">
        <f t="shared" si="199"/>
        <v>0</v>
      </c>
      <c r="FO177" s="139">
        <f t="shared" si="200"/>
        <v>0</v>
      </c>
      <c r="FP177" s="139">
        <f t="shared" si="201"/>
        <v>0</v>
      </c>
      <c r="FQ177" s="139">
        <f t="shared" si="202"/>
        <v>0</v>
      </c>
      <c r="FR177" s="139">
        <f t="shared" si="203"/>
        <v>0</v>
      </c>
      <c r="FS177" s="139">
        <f t="shared" si="204"/>
        <v>0</v>
      </c>
      <c r="FT177" s="139">
        <f t="shared" si="205"/>
        <v>0</v>
      </c>
      <c r="FU177" s="148">
        <f t="shared" si="206"/>
        <v>0</v>
      </c>
      <c r="FV177" s="149"/>
      <c r="FY177" s="211">
        <v>172</v>
      </c>
      <c r="FZ177">
        <v>4.3396434922746172</v>
      </c>
      <c r="GA177">
        <v>8.7189175037072228</v>
      </c>
      <c r="GB177">
        <v>15.734516074281531</v>
      </c>
      <c r="GC177">
        <v>12.664614147919021</v>
      </c>
      <c r="GD177">
        <v>9.7599970108768925</v>
      </c>
      <c r="GE177">
        <v>25.616875860775131</v>
      </c>
      <c r="GF177">
        <v>34.954016330946828</v>
      </c>
      <c r="GG177">
        <v>18.060861612070454</v>
      </c>
      <c r="GH177">
        <v>9.7860139008008957</v>
      </c>
      <c r="GI177">
        <v>18.680948794020452</v>
      </c>
      <c r="GJ177"/>
      <c r="GK177"/>
      <c r="GL177"/>
      <c r="GM177"/>
    </row>
    <row r="178" spans="1:195" s="7" customFormat="1">
      <c r="A178" s="128"/>
      <c r="B178" s="76">
        <f t="shared" ca="1" si="171"/>
        <v>5.2984328202652975E-2</v>
      </c>
      <c r="C178">
        <v>3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92.342897827532809</v>
      </c>
      <c r="AO178">
        <v>38.294878431507854</v>
      </c>
      <c r="AP178">
        <v>251.19947597002681</v>
      </c>
      <c r="AQ178">
        <v>215.78021730545646</v>
      </c>
      <c r="AR178">
        <v>34.771568954652203</v>
      </c>
      <c r="AS178">
        <v>166.70283843687764</v>
      </c>
      <c r="AT178">
        <v>26.001218805222944</v>
      </c>
      <c r="AU178">
        <v>36.222271519624719</v>
      </c>
      <c r="AV178"/>
      <c r="AW178"/>
      <c r="AX178" s="128"/>
      <c r="AY178" s="76">
        <f t="shared" ca="1" si="172"/>
        <v>0.5174647153226557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7"/>
        <v>0.64195957895853062</v>
      </c>
      <c r="CL178" s="179">
        <f t="shared" si="208"/>
        <v>1</v>
      </c>
      <c r="CM178" s="180">
        <f t="shared" si="209"/>
        <v>39987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10"/>
        <v>9.6000000000000002E-2</v>
      </c>
      <c r="DB178" s="128"/>
      <c r="DC178" s="76">
        <f t="shared" ca="1" si="173"/>
        <v>1.9538487897143852E-2</v>
      </c>
      <c r="DD178">
        <f t="shared" si="211"/>
        <v>1</v>
      </c>
      <c r="DE178" s="129">
        <f t="shared" ref="DE178:DE187" si="247">IF((DD178)="", "", $C$13)</f>
        <v>39987</v>
      </c>
      <c r="DF178" s="161">
        <f t="shared" si="212"/>
        <v>0</v>
      </c>
      <c r="DG178" s="161">
        <f t="shared" si="213"/>
        <v>0</v>
      </c>
      <c r="DH178" s="161">
        <f t="shared" si="214"/>
        <v>0</v>
      </c>
      <c r="DI178" s="161">
        <f t="shared" si="215"/>
        <v>0</v>
      </c>
      <c r="DJ178" s="161">
        <f t="shared" si="216"/>
        <v>0</v>
      </c>
      <c r="DK178" s="161">
        <f t="shared" si="217"/>
        <v>0</v>
      </c>
      <c r="DL178" s="161">
        <f t="shared" si="218"/>
        <v>0</v>
      </c>
      <c r="DM178" s="161">
        <f t="shared" si="219"/>
        <v>0</v>
      </c>
      <c r="DN178" s="161">
        <f t="shared" si="220"/>
        <v>0</v>
      </c>
      <c r="DO178" s="161">
        <f t="shared" si="221"/>
        <v>0</v>
      </c>
      <c r="DP178" s="161">
        <f t="shared" si="222"/>
        <v>0</v>
      </c>
      <c r="DQ178" s="161">
        <f t="shared" si="223"/>
        <v>0</v>
      </c>
      <c r="DR178" s="161">
        <f t="shared" si="224"/>
        <v>0</v>
      </c>
      <c r="DS178" s="161">
        <f t="shared" si="225"/>
        <v>0</v>
      </c>
      <c r="DT178" s="161">
        <f t="shared" si="226"/>
        <v>0</v>
      </c>
      <c r="DU178" s="161">
        <f t="shared" si="227"/>
        <v>0</v>
      </c>
      <c r="DV178" s="161">
        <f t="shared" si="228"/>
        <v>0</v>
      </c>
      <c r="DW178" s="161">
        <f t="shared" si="229"/>
        <v>0</v>
      </c>
      <c r="DX178" s="161">
        <f t="shared" si="230"/>
        <v>0</v>
      </c>
      <c r="DY178" s="161">
        <f t="shared" si="231"/>
        <v>0</v>
      </c>
      <c r="DZ178" s="161">
        <f t="shared" si="232"/>
        <v>0</v>
      </c>
      <c r="EA178" s="161">
        <f t="shared" si="233"/>
        <v>0</v>
      </c>
      <c r="EB178" s="161">
        <f t="shared" si="234"/>
        <v>0</v>
      </c>
      <c r="EC178" s="161">
        <f t="shared" si="235"/>
        <v>0</v>
      </c>
      <c r="ED178" s="161">
        <f t="shared" si="236"/>
        <v>0</v>
      </c>
      <c r="EE178" s="161">
        <f t="shared" si="237"/>
        <v>0</v>
      </c>
      <c r="EF178" s="161">
        <f t="shared" si="238"/>
        <v>0</v>
      </c>
      <c r="EG178" s="161">
        <f t="shared" si="239"/>
        <v>0</v>
      </c>
      <c r="EH178" s="161">
        <f t="shared" si="240"/>
        <v>0</v>
      </c>
      <c r="EI178" s="161">
        <f t="shared" si="241"/>
        <v>0</v>
      </c>
      <c r="EJ178" s="161">
        <f t="shared" si="242"/>
        <v>0</v>
      </c>
      <c r="EK178" s="147">
        <f t="shared" si="174"/>
        <v>0</v>
      </c>
      <c r="EL178" s="149"/>
      <c r="EN178" s="146"/>
      <c r="EO178" s="146"/>
      <c r="EP178" s="139">
        <f t="shared" si="175"/>
        <v>0</v>
      </c>
      <c r="EQ178" s="139">
        <f t="shared" si="176"/>
        <v>0</v>
      </c>
      <c r="ER178" s="139">
        <f t="shared" si="177"/>
        <v>0</v>
      </c>
      <c r="ES178" s="139">
        <f t="shared" si="178"/>
        <v>0</v>
      </c>
      <c r="ET178" s="139">
        <f t="shared" si="179"/>
        <v>0</v>
      </c>
      <c r="EU178" s="139">
        <f t="shared" si="180"/>
        <v>0</v>
      </c>
      <c r="EV178" s="139">
        <f t="shared" si="181"/>
        <v>0</v>
      </c>
      <c r="EW178" s="139">
        <f t="shared" si="182"/>
        <v>0</v>
      </c>
      <c r="EX178" s="139">
        <f t="shared" si="183"/>
        <v>0</v>
      </c>
      <c r="EY178" s="139">
        <f t="shared" si="184"/>
        <v>0</v>
      </c>
      <c r="EZ178" s="139">
        <f t="shared" si="185"/>
        <v>0</v>
      </c>
      <c r="FA178" s="139">
        <f t="shared" si="186"/>
        <v>0</v>
      </c>
      <c r="FB178" s="139">
        <f t="shared" si="187"/>
        <v>0</v>
      </c>
      <c r="FC178" s="139">
        <f t="shared" si="188"/>
        <v>0</v>
      </c>
      <c r="FD178" s="139">
        <f t="shared" si="189"/>
        <v>0</v>
      </c>
      <c r="FE178" s="139">
        <f t="shared" si="190"/>
        <v>0</v>
      </c>
      <c r="FF178" s="139">
        <f t="shared" si="191"/>
        <v>0</v>
      </c>
      <c r="FG178" s="139">
        <f t="shared" si="192"/>
        <v>0</v>
      </c>
      <c r="FH178" s="139">
        <f t="shared" si="193"/>
        <v>0</v>
      </c>
      <c r="FI178" s="139">
        <f t="shared" si="194"/>
        <v>0</v>
      </c>
      <c r="FJ178" s="139">
        <f t="shared" si="195"/>
        <v>0</v>
      </c>
      <c r="FK178" s="139">
        <f t="shared" si="196"/>
        <v>0</v>
      </c>
      <c r="FL178" s="139">
        <f t="shared" si="197"/>
        <v>0</v>
      </c>
      <c r="FM178" s="139">
        <f t="shared" si="198"/>
        <v>0</v>
      </c>
      <c r="FN178" s="139">
        <f t="shared" si="199"/>
        <v>0</v>
      </c>
      <c r="FO178" s="139">
        <f t="shared" si="200"/>
        <v>0</v>
      </c>
      <c r="FP178" s="139">
        <f t="shared" si="201"/>
        <v>0</v>
      </c>
      <c r="FQ178" s="139">
        <f t="shared" si="202"/>
        <v>0</v>
      </c>
      <c r="FR178" s="139">
        <f t="shared" si="203"/>
        <v>0</v>
      </c>
      <c r="FS178" s="139">
        <f t="shared" si="204"/>
        <v>0</v>
      </c>
      <c r="FT178" s="139">
        <f t="shared" si="205"/>
        <v>0</v>
      </c>
      <c r="FU178" s="148">
        <f t="shared" si="206"/>
        <v>0</v>
      </c>
      <c r="FV178" s="149"/>
      <c r="FY178" s="211">
        <v>173</v>
      </c>
      <c r="FZ178">
        <v>3.007718414543211</v>
      </c>
      <c r="GA178">
        <v>10.112261610452014</v>
      </c>
      <c r="GB178">
        <v>11.395111282340416</v>
      </c>
      <c r="GC178">
        <v>11.266936570202953</v>
      </c>
      <c r="GD178">
        <v>11.082122508355095</v>
      </c>
      <c r="GE178">
        <v>22.375557622382814</v>
      </c>
      <c r="GF178">
        <v>32.743400457065192</v>
      </c>
      <c r="GG178">
        <v>23.365358987600715</v>
      </c>
      <c r="GH178">
        <v>15.602623845006342</v>
      </c>
      <c r="GI178">
        <v>18.659644333805783</v>
      </c>
      <c r="GJ178"/>
      <c r="GK178"/>
      <c r="GL178"/>
      <c r="GM178"/>
    </row>
    <row r="179" spans="1:195" s="7" customFormat="1">
      <c r="A179" s="1"/>
      <c r="B179" s="76">
        <f t="shared" ca="1" si="171"/>
        <v>0.2680938446523351</v>
      </c>
      <c r="C179">
        <v>7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86.579374959806628</v>
      </c>
      <c r="AO179">
        <v>31.821526590298426</v>
      </c>
      <c r="AP179">
        <v>227.03454312817399</v>
      </c>
      <c r="AQ179">
        <v>186.21676244564961</v>
      </c>
      <c r="AR179">
        <v>28.456314715910136</v>
      </c>
      <c r="AS179">
        <v>141.1900693504023</v>
      </c>
      <c r="AT179" t="e">
        <v>#DIV/0!</v>
      </c>
      <c r="AU179" t="e">
        <v>#DIV/0!</v>
      </c>
      <c r="AV179"/>
      <c r="AW179"/>
      <c r="AX179" s="146"/>
      <c r="AY179" s="76">
        <f t="shared" ca="1" si="172"/>
        <v>0.59954167225032795</v>
      </c>
      <c r="AZ179">
        <v>2</v>
      </c>
      <c r="BA179" s="129">
        <f t="shared" ref="BA179:BA187" si="248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7"/>
        <v>0.44119773270402196</v>
      </c>
      <c r="CL179" s="179">
        <f t="shared" si="208"/>
        <v>2</v>
      </c>
      <c r="CM179" s="180">
        <f t="shared" si="209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10"/>
        <v>9.6000000000000002E-2</v>
      </c>
      <c r="DB179" s="146"/>
      <c r="DC179" s="76">
        <f t="shared" ca="1" si="173"/>
        <v>0.4140066007020593</v>
      </c>
      <c r="DD179">
        <f t="shared" si="211"/>
        <v>2</v>
      </c>
      <c r="DE179" s="129">
        <f t="shared" si="247"/>
        <v>39987</v>
      </c>
      <c r="DF179" s="161">
        <f t="shared" si="212"/>
        <v>0</v>
      </c>
      <c r="DG179" s="161">
        <f t="shared" si="213"/>
        <v>0</v>
      </c>
      <c r="DH179" s="161">
        <f t="shared" si="214"/>
        <v>0</v>
      </c>
      <c r="DI179" s="161">
        <f t="shared" si="215"/>
        <v>0</v>
      </c>
      <c r="DJ179" s="161">
        <f t="shared" si="216"/>
        <v>0</v>
      </c>
      <c r="DK179" s="161">
        <f t="shared" si="217"/>
        <v>0</v>
      </c>
      <c r="DL179" s="161">
        <f t="shared" si="218"/>
        <v>0</v>
      </c>
      <c r="DM179" s="161">
        <f t="shared" si="219"/>
        <v>0</v>
      </c>
      <c r="DN179" s="161">
        <f t="shared" si="220"/>
        <v>0</v>
      </c>
      <c r="DO179" s="161">
        <f t="shared" si="221"/>
        <v>0</v>
      </c>
      <c r="DP179" s="161">
        <f t="shared" si="222"/>
        <v>0</v>
      </c>
      <c r="DQ179" s="161">
        <f t="shared" si="223"/>
        <v>0</v>
      </c>
      <c r="DR179" s="161">
        <f t="shared" si="224"/>
        <v>0</v>
      </c>
      <c r="DS179" s="161">
        <f t="shared" si="225"/>
        <v>0</v>
      </c>
      <c r="DT179" s="161">
        <f t="shared" si="226"/>
        <v>0</v>
      </c>
      <c r="DU179" s="161">
        <f t="shared" si="227"/>
        <v>0</v>
      </c>
      <c r="DV179" s="161">
        <f t="shared" si="228"/>
        <v>0</v>
      </c>
      <c r="DW179" s="161">
        <f t="shared" si="229"/>
        <v>0</v>
      </c>
      <c r="DX179" s="161">
        <f t="shared" si="230"/>
        <v>0</v>
      </c>
      <c r="DY179" s="161">
        <f t="shared" si="231"/>
        <v>0</v>
      </c>
      <c r="DZ179" s="161">
        <f t="shared" si="232"/>
        <v>0</v>
      </c>
      <c r="EA179" s="161">
        <f t="shared" si="233"/>
        <v>0</v>
      </c>
      <c r="EB179" s="161">
        <f t="shared" si="234"/>
        <v>0</v>
      </c>
      <c r="EC179" s="161">
        <f t="shared" si="235"/>
        <v>0</v>
      </c>
      <c r="ED179" s="161">
        <f t="shared" si="236"/>
        <v>0</v>
      </c>
      <c r="EE179" s="161">
        <f t="shared" si="237"/>
        <v>0</v>
      </c>
      <c r="EF179" s="161">
        <f t="shared" si="238"/>
        <v>0</v>
      </c>
      <c r="EG179" s="161">
        <f t="shared" si="239"/>
        <v>0</v>
      </c>
      <c r="EH179" s="161">
        <f t="shared" si="240"/>
        <v>0</v>
      </c>
      <c r="EI179" s="161">
        <f t="shared" si="241"/>
        <v>0</v>
      </c>
      <c r="EJ179" s="161">
        <f t="shared" si="242"/>
        <v>0</v>
      </c>
      <c r="EK179" s="147">
        <f t="shared" si="174"/>
        <v>0</v>
      </c>
      <c r="EL179" s="149"/>
      <c r="EN179" s="146"/>
      <c r="EO179" s="146"/>
      <c r="EP179" s="139">
        <f t="shared" si="175"/>
        <v>0</v>
      </c>
      <c r="EQ179" s="139">
        <f t="shared" si="176"/>
        <v>0</v>
      </c>
      <c r="ER179" s="139">
        <f t="shared" si="177"/>
        <v>0</v>
      </c>
      <c r="ES179" s="139">
        <f t="shared" si="178"/>
        <v>0</v>
      </c>
      <c r="ET179" s="139">
        <f t="shared" si="179"/>
        <v>0</v>
      </c>
      <c r="EU179" s="139">
        <f t="shared" si="180"/>
        <v>0</v>
      </c>
      <c r="EV179" s="139">
        <f t="shared" si="181"/>
        <v>0</v>
      </c>
      <c r="EW179" s="139">
        <f t="shared" si="182"/>
        <v>0</v>
      </c>
      <c r="EX179" s="139">
        <f t="shared" si="183"/>
        <v>0</v>
      </c>
      <c r="EY179" s="139">
        <f t="shared" si="184"/>
        <v>0</v>
      </c>
      <c r="EZ179" s="139">
        <f t="shared" si="185"/>
        <v>0</v>
      </c>
      <c r="FA179" s="139">
        <f t="shared" si="186"/>
        <v>0</v>
      </c>
      <c r="FB179" s="139">
        <f t="shared" si="187"/>
        <v>0</v>
      </c>
      <c r="FC179" s="139">
        <f t="shared" si="188"/>
        <v>0</v>
      </c>
      <c r="FD179" s="139">
        <f t="shared" si="189"/>
        <v>0</v>
      </c>
      <c r="FE179" s="139">
        <f t="shared" si="190"/>
        <v>0</v>
      </c>
      <c r="FF179" s="139">
        <f t="shared" si="191"/>
        <v>0</v>
      </c>
      <c r="FG179" s="139">
        <f t="shared" si="192"/>
        <v>0</v>
      </c>
      <c r="FH179" s="139">
        <f t="shared" si="193"/>
        <v>0</v>
      </c>
      <c r="FI179" s="139">
        <f t="shared" si="194"/>
        <v>0</v>
      </c>
      <c r="FJ179" s="139">
        <f t="shared" si="195"/>
        <v>0</v>
      </c>
      <c r="FK179" s="139">
        <f t="shared" si="196"/>
        <v>0</v>
      </c>
      <c r="FL179" s="139">
        <f t="shared" si="197"/>
        <v>0</v>
      </c>
      <c r="FM179" s="139">
        <f t="shared" si="198"/>
        <v>0</v>
      </c>
      <c r="FN179" s="139">
        <f t="shared" si="199"/>
        <v>0</v>
      </c>
      <c r="FO179" s="139">
        <f t="shared" si="200"/>
        <v>0</v>
      </c>
      <c r="FP179" s="139">
        <f t="shared" si="201"/>
        <v>0</v>
      </c>
      <c r="FQ179" s="139">
        <f t="shared" si="202"/>
        <v>0</v>
      </c>
      <c r="FR179" s="139">
        <f t="shared" si="203"/>
        <v>0</v>
      </c>
      <c r="FS179" s="139">
        <f t="shared" si="204"/>
        <v>0</v>
      </c>
      <c r="FT179" s="139">
        <f t="shared" si="205"/>
        <v>0</v>
      </c>
      <c r="FU179" s="148">
        <f t="shared" si="206"/>
        <v>0</v>
      </c>
      <c r="FV179" s="149"/>
      <c r="FY179" s="211">
        <v>174</v>
      </c>
      <c r="FZ179">
        <v>6.9502969871622398</v>
      </c>
      <c r="GA179">
        <v>15.603094960965828</v>
      </c>
      <c r="GB179">
        <v>11.800574438151486</v>
      </c>
      <c r="GC179">
        <v>6.1959450800338676</v>
      </c>
      <c r="GD179">
        <v>8.4580816398121463</v>
      </c>
      <c r="GE179">
        <v>26.620988151832155</v>
      </c>
      <c r="GF179">
        <v>34.266748901629086</v>
      </c>
      <c r="GG179">
        <v>20.339276603713422</v>
      </c>
      <c r="GH179">
        <v>13.987790594655877</v>
      </c>
      <c r="GI179">
        <v>17.824380739011605</v>
      </c>
      <c r="GJ179"/>
      <c r="GK179"/>
      <c r="GL179"/>
      <c r="GM179"/>
    </row>
    <row r="180" spans="1:195" s="7" customFormat="1">
      <c r="A180" s="1"/>
      <c r="B180" s="76">
        <f t="shared" ca="1" si="171"/>
        <v>0.89799083509607724</v>
      </c>
      <c r="C180">
        <v>6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75.972642758024747</v>
      </c>
      <c r="AO180">
        <v>28.961303745043882</v>
      </c>
      <c r="AP180">
        <v>186.91392335146921</v>
      </c>
      <c r="AQ180">
        <v>155.20869085787669</v>
      </c>
      <c r="AR180">
        <v>26.391546719168677</v>
      </c>
      <c r="AS180">
        <v>122.24541969720589</v>
      </c>
      <c r="AT180" t="e">
        <v>#DIV/0!</v>
      </c>
      <c r="AU180" t="e">
        <v>#DIV/0!</v>
      </c>
      <c r="AV180"/>
      <c r="AW180"/>
      <c r="AX180" s="146"/>
      <c r="AY180" s="76">
        <f t="shared" ca="1" si="172"/>
        <v>0.27156524621873324</v>
      </c>
      <c r="AZ180">
        <v>3</v>
      </c>
      <c r="BA180" s="129">
        <f t="shared" si="248"/>
        <v>39987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7"/>
        <v>0.84367587390555188</v>
      </c>
      <c r="CL180" s="179">
        <f t="shared" si="208"/>
        <v>3</v>
      </c>
      <c r="CM180" s="180">
        <f t="shared" si="209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10"/>
        <v>9.6000000000000002E-2</v>
      </c>
      <c r="DB180" s="146"/>
      <c r="DC180" s="76">
        <f t="shared" ca="1" si="173"/>
        <v>0.99359593214181441</v>
      </c>
      <c r="DD180">
        <f t="shared" si="211"/>
        <v>3</v>
      </c>
      <c r="DE180" s="129">
        <f t="shared" si="247"/>
        <v>39987</v>
      </c>
      <c r="DF180" s="161">
        <f t="shared" si="212"/>
        <v>0</v>
      </c>
      <c r="DG180" s="161">
        <f t="shared" si="213"/>
        <v>0</v>
      </c>
      <c r="DH180" s="161">
        <f t="shared" si="214"/>
        <v>0</v>
      </c>
      <c r="DI180" s="161">
        <f t="shared" si="215"/>
        <v>0</v>
      </c>
      <c r="DJ180" s="161">
        <f t="shared" si="216"/>
        <v>0</v>
      </c>
      <c r="DK180" s="161">
        <f t="shared" si="217"/>
        <v>0</v>
      </c>
      <c r="DL180" s="161">
        <f t="shared" si="218"/>
        <v>0</v>
      </c>
      <c r="DM180" s="161">
        <f t="shared" si="219"/>
        <v>0</v>
      </c>
      <c r="DN180" s="161">
        <f t="shared" si="220"/>
        <v>0</v>
      </c>
      <c r="DO180" s="161">
        <f t="shared" si="221"/>
        <v>0</v>
      </c>
      <c r="DP180" s="161">
        <f t="shared" si="222"/>
        <v>0</v>
      </c>
      <c r="DQ180" s="161">
        <f t="shared" si="223"/>
        <v>0</v>
      </c>
      <c r="DR180" s="161">
        <f t="shared" si="224"/>
        <v>0</v>
      </c>
      <c r="DS180" s="161">
        <f t="shared" si="225"/>
        <v>0</v>
      </c>
      <c r="DT180" s="161">
        <f t="shared" si="226"/>
        <v>0</v>
      </c>
      <c r="DU180" s="161">
        <f t="shared" si="227"/>
        <v>0</v>
      </c>
      <c r="DV180" s="161">
        <f t="shared" si="228"/>
        <v>0</v>
      </c>
      <c r="DW180" s="161">
        <f t="shared" si="229"/>
        <v>0</v>
      </c>
      <c r="DX180" s="161">
        <f t="shared" si="230"/>
        <v>0</v>
      </c>
      <c r="DY180" s="161">
        <f t="shared" si="231"/>
        <v>0</v>
      </c>
      <c r="DZ180" s="161">
        <f t="shared" si="232"/>
        <v>0</v>
      </c>
      <c r="EA180" s="161">
        <f t="shared" si="233"/>
        <v>0</v>
      </c>
      <c r="EB180" s="161">
        <f t="shared" si="234"/>
        <v>0</v>
      </c>
      <c r="EC180" s="161">
        <f t="shared" si="235"/>
        <v>0</v>
      </c>
      <c r="ED180" s="161">
        <f t="shared" si="236"/>
        <v>0</v>
      </c>
      <c r="EE180" s="161">
        <f t="shared" si="237"/>
        <v>0</v>
      </c>
      <c r="EF180" s="161">
        <f t="shared" si="238"/>
        <v>0</v>
      </c>
      <c r="EG180" s="161">
        <f t="shared" si="239"/>
        <v>0</v>
      </c>
      <c r="EH180" s="161">
        <f t="shared" si="240"/>
        <v>0</v>
      </c>
      <c r="EI180" s="161">
        <f t="shared" si="241"/>
        <v>0</v>
      </c>
      <c r="EJ180" s="161">
        <f t="shared" si="242"/>
        <v>0</v>
      </c>
      <c r="EK180" s="147">
        <f t="shared" si="174"/>
        <v>0</v>
      </c>
      <c r="EL180" s="149"/>
      <c r="EN180" s="146"/>
      <c r="EO180" s="146"/>
      <c r="EP180" s="139">
        <f t="shared" si="175"/>
        <v>0</v>
      </c>
      <c r="EQ180" s="139">
        <f t="shared" si="176"/>
        <v>0</v>
      </c>
      <c r="ER180" s="139">
        <f t="shared" si="177"/>
        <v>0</v>
      </c>
      <c r="ES180" s="139">
        <f t="shared" si="178"/>
        <v>0</v>
      </c>
      <c r="ET180" s="139">
        <f t="shared" si="179"/>
        <v>0</v>
      </c>
      <c r="EU180" s="139">
        <f t="shared" si="180"/>
        <v>0</v>
      </c>
      <c r="EV180" s="139">
        <f t="shared" si="181"/>
        <v>0</v>
      </c>
      <c r="EW180" s="139">
        <f t="shared" si="182"/>
        <v>0</v>
      </c>
      <c r="EX180" s="139">
        <f t="shared" si="183"/>
        <v>0</v>
      </c>
      <c r="EY180" s="139">
        <f t="shared" si="184"/>
        <v>0</v>
      </c>
      <c r="EZ180" s="139">
        <f t="shared" si="185"/>
        <v>0</v>
      </c>
      <c r="FA180" s="139">
        <f t="shared" si="186"/>
        <v>0</v>
      </c>
      <c r="FB180" s="139">
        <f t="shared" si="187"/>
        <v>0</v>
      </c>
      <c r="FC180" s="139">
        <f t="shared" si="188"/>
        <v>0</v>
      </c>
      <c r="FD180" s="139">
        <f t="shared" si="189"/>
        <v>0</v>
      </c>
      <c r="FE180" s="139">
        <f t="shared" si="190"/>
        <v>0</v>
      </c>
      <c r="FF180" s="139">
        <f t="shared" si="191"/>
        <v>0</v>
      </c>
      <c r="FG180" s="139">
        <f t="shared" si="192"/>
        <v>0</v>
      </c>
      <c r="FH180" s="139">
        <f t="shared" si="193"/>
        <v>0</v>
      </c>
      <c r="FI180" s="139">
        <f t="shared" si="194"/>
        <v>0</v>
      </c>
      <c r="FJ180" s="139">
        <f t="shared" si="195"/>
        <v>0</v>
      </c>
      <c r="FK180" s="139">
        <f t="shared" si="196"/>
        <v>0</v>
      </c>
      <c r="FL180" s="139">
        <f t="shared" si="197"/>
        <v>0</v>
      </c>
      <c r="FM180" s="139">
        <f t="shared" si="198"/>
        <v>0</v>
      </c>
      <c r="FN180" s="139">
        <f t="shared" si="199"/>
        <v>0</v>
      </c>
      <c r="FO180" s="139">
        <f t="shared" si="200"/>
        <v>0</v>
      </c>
      <c r="FP180" s="139">
        <f t="shared" si="201"/>
        <v>0</v>
      </c>
      <c r="FQ180" s="139">
        <f t="shared" si="202"/>
        <v>0</v>
      </c>
      <c r="FR180" s="139">
        <f t="shared" si="203"/>
        <v>0</v>
      </c>
      <c r="FS180" s="139">
        <f t="shared" si="204"/>
        <v>0</v>
      </c>
      <c r="FT180" s="139">
        <f t="shared" si="205"/>
        <v>0</v>
      </c>
      <c r="FU180" s="148">
        <f t="shared" si="206"/>
        <v>0</v>
      </c>
      <c r="FV180" s="149"/>
      <c r="FY180" s="211">
        <v>175</v>
      </c>
      <c r="FZ180">
        <v>4.7394807045361116</v>
      </c>
      <c r="GA180">
        <v>18.815587129607344</v>
      </c>
      <c r="GB180">
        <v>29.43020275334311</v>
      </c>
      <c r="GC180">
        <v>19.588887335722379</v>
      </c>
      <c r="GD180">
        <v>15.702811172265312</v>
      </c>
      <c r="GE180">
        <v>26.392085897036186</v>
      </c>
      <c r="GF180">
        <v>18.532638584794871</v>
      </c>
      <c r="GG180">
        <v>19.969179219038075</v>
      </c>
      <c r="GH180">
        <v>21.281121701656435</v>
      </c>
      <c r="GI180">
        <v>24.460709206876771</v>
      </c>
      <c r="GJ180"/>
      <c r="GK180"/>
      <c r="GL180"/>
      <c r="GM180"/>
    </row>
    <row r="181" spans="1:195" s="7" customFormat="1">
      <c r="A181" s="1"/>
      <c r="B181" s="76">
        <f t="shared" ca="1" si="171"/>
        <v>0.18140802095794673</v>
      </c>
      <c r="C181">
        <v>10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88.658291210940988</v>
      </c>
      <c r="AO181">
        <v>33.089333468724135</v>
      </c>
      <c r="AP181">
        <v>201.82656177511609</v>
      </c>
      <c r="AQ181">
        <v>181.38515137618742</v>
      </c>
      <c r="AR181">
        <v>29.906304051438727</v>
      </c>
      <c r="AS181">
        <v>147.1070483476299</v>
      </c>
      <c r="AT181" t="e">
        <v>#DIV/0!</v>
      </c>
      <c r="AU181" t="e">
        <v>#DIV/0!</v>
      </c>
      <c r="AV181"/>
      <c r="AW181"/>
      <c r="AX181" s="146"/>
      <c r="AY181" s="76">
        <f t="shared" ca="1" si="172"/>
        <v>0.15116969596521579</v>
      </c>
      <c r="AZ181">
        <v>4</v>
      </c>
      <c r="BA181" s="129">
        <f t="shared" si="248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7"/>
        <v>0.89340009423055733</v>
      </c>
      <c r="CL181" s="179">
        <f t="shared" si="208"/>
        <v>4</v>
      </c>
      <c r="CM181" s="180">
        <f t="shared" si="209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10"/>
        <v>9.6000000000000002E-2</v>
      </c>
      <c r="DB181" s="146"/>
      <c r="DC181" s="76">
        <f t="shared" ca="1" si="173"/>
        <v>5.2616224222156838E-2</v>
      </c>
      <c r="DD181">
        <f t="shared" si="211"/>
        <v>4</v>
      </c>
      <c r="DE181" s="129">
        <f t="shared" si="247"/>
        <v>39987</v>
      </c>
      <c r="DF181" s="161">
        <f t="shared" si="212"/>
        <v>0</v>
      </c>
      <c r="DG181" s="161">
        <f t="shared" si="213"/>
        <v>0</v>
      </c>
      <c r="DH181" s="161">
        <f t="shared" si="214"/>
        <v>0</v>
      </c>
      <c r="DI181" s="161">
        <f t="shared" si="215"/>
        <v>0</v>
      </c>
      <c r="DJ181" s="161">
        <f t="shared" si="216"/>
        <v>0</v>
      </c>
      <c r="DK181" s="161">
        <f t="shared" si="217"/>
        <v>0</v>
      </c>
      <c r="DL181" s="161">
        <f t="shared" si="218"/>
        <v>0</v>
      </c>
      <c r="DM181" s="161">
        <f t="shared" si="219"/>
        <v>0</v>
      </c>
      <c r="DN181" s="161">
        <f t="shared" si="220"/>
        <v>0</v>
      </c>
      <c r="DO181" s="161">
        <f t="shared" si="221"/>
        <v>0</v>
      </c>
      <c r="DP181" s="161">
        <f t="shared" si="222"/>
        <v>0</v>
      </c>
      <c r="DQ181" s="161">
        <f t="shared" si="223"/>
        <v>0</v>
      </c>
      <c r="DR181" s="161">
        <f t="shared" si="224"/>
        <v>0</v>
      </c>
      <c r="DS181" s="161">
        <f t="shared" si="225"/>
        <v>0</v>
      </c>
      <c r="DT181" s="161">
        <f t="shared" si="226"/>
        <v>0</v>
      </c>
      <c r="DU181" s="161">
        <f t="shared" si="227"/>
        <v>0</v>
      </c>
      <c r="DV181" s="161">
        <f t="shared" si="228"/>
        <v>0</v>
      </c>
      <c r="DW181" s="161">
        <f t="shared" si="229"/>
        <v>0</v>
      </c>
      <c r="DX181" s="161">
        <f t="shared" si="230"/>
        <v>0</v>
      </c>
      <c r="DY181" s="161">
        <f t="shared" si="231"/>
        <v>0</v>
      </c>
      <c r="DZ181" s="161">
        <f t="shared" si="232"/>
        <v>0</v>
      </c>
      <c r="EA181" s="161">
        <f t="shared" si="233"/>
        <v>0</v>
      </c>
      <c r="EB181" s="161">
        <f t="shared" si="234"/>
        <v>0</v>
      </c>
      <c r="EC181" s="161">
        <f t="shared" si="235"/>
        <v>0</v>
      </c>
      <c r="ED181" s="161">
        <f t="shared" si="236"/>
        <v>0</v>
      </c>
      <c r="EE181" s="161">
        <f t="shared" si="237"/>
        <v>0</v>
      </c>
      <c r="EF181" s="161">
        <f t="shared" si="238"/>
        <v>0</v>
      </c>
      <c r="EG181" s="161">
        <f t="shared" si="239"/>
        <v>0</v>
      </c>
      <c r="EH181" s="161">
        <f t="shared" si="240"/>
        <v>0</v>
      </c>
      <c r="EI181" s="161">
        <f t="shared" si="241"/>
        <v>0</v>
      </c>
      <c r="EJ181" s="161">
        <f t="shared" si="242"/>
        <v>0</v>
      </c>
      <c r="EK181" s="147">
        <f t="shared" si="174"/>
        <v>0</v>
      </c>
      <c r="EL181" s="149"/>
      <c r="EN181" s="146"/>
      <c r="EO181" s="146"/>
      <c r="EP181" s="139">
        <f t="shared" si="175"/>
        <v>0</v>
      </c>
      <c r="EQ181" s="139">
        <f t="shared" si="176"/>
        <v>0</v>
      </c>
      <c r="ER181" s="139">
        <f t="shared" si="177"/>
        <v>0</v>
      </c>
      <c r="ES181" s="139">
        <f t="shared" si="178"/>
        <v>0</v>
      </c>
      <c r="ET181" s="139">
        <f t="shared" si="179"/>
        <v>0</v>
      </c>
      <c r="EU181" s="139">
        <f t="shared" si="180"/>
        <v>0</v>
      </c>
      <c r="EV181" s="139">
        <f t="shared" si="181"/>
        <v>0</v>
      </c>
      <c r="EW181" s="139">
        <f t="shared" si="182"/>
        <v>0</v>
      </c>
      <c r="EX181" s="139">
        <f t="shared" si="183"/>
        <v>0</v>
      </c>
      <c r="EY181" s="139">
        <f t="shared" si="184"/>
        <v>0</v>
      </c>
      <c r="EZ181" s="139">
        <f t="shared" si="185"/>
        <v>0</v>
      </c>
      <c r="FA181" s="139">
        <f t="shared" si="186"/>
        <v>0</v>
      </c>
      <c r="FB181" s="139">
        <f t="shared" si="187"/>
        <v>0</v>
      </c>
      <c r="FC181" s="139">
        <f t="shared" si="188"/>
        <v>0</v>
      </c>
      <c r="FD181" s="139">
        <f t="shared" si="189"/>
        <v>0</v>
      </c>
      <c r="FE181" s="139">
        <f t="shared" si="190"/>
        <v>0</v>
      </c>
      <c r="FF181" s="139">
        <f t="shared" si="191"/>
        <v>0</v>
      </c>
      <c r="FG181" s="139">
        <f t="shared" si="192"/>
        <v>0</v>
      </c>
      <c r="FH181" s="139">
        <f t="shared" si="193"/>
        <v>0</v>
      </c>
      <c r="FI181" s="139">
        <f t="shared" si="194"/>
        <v>0</v>
      </c>
      <c r="FJ181" s="139">
        <f t="shared" si="195"/>
        <v>0</v>
      </c>
      <c r="FK181" s="139">
        <f t="shared" si="196"/>
        <v>0</v>
      </c>
      <c r="FL181" s="139">
        <f t="shared" si="197"/>
        <v>0</v>
      </c>
      <c r="FM181" s="139">
        <f t="shared" si="198"/>
        <v>0</v>
      </c>
      <c r="FN181" s="139">
        <f t="shared" si="199"/>
        <v>0</v>
      </c>
      <c r="FO181" s="139">
        <f t="shared" si="200"/>
        <v>0</v>
      </c>
      <c r="FP181" s="139">
        <f t="shared" si="201"/>
        <v>0</v>
      </c>
      <c r="FQ181" s="139">
        <f t="shared" si="202"/>
        <v>0</v>
      </c>
      <c r="FR181" s="139">
        <f t="shared" si="203"/>
        <v>0</v>
      </c>
      <c r="FS181" s="139">
        <f t="shared" si="204"/>
        <v>0</v>
      </c>
      <c r="FT181" s="139">
        <f t="shared" si="205"/>
        <v>0</v>
      </c>
      <c r="FU181" s="148">
        <f t="shared" si="206"/>
        <v>0</v>
      </c>
      <c r="FV181" s="149"/>
      <c r="FY181" s="211">
        <v>176</v>
      </c>
      <c r="FZ181">
        <v>5.7153608513926821</v>
      </c>
      <c r="GA181">
        <v>18.864934133574003</v>
      </c>
      <c r="GB181">
        <v>11.71999052915937</v>
      </c>
      <c r="GC181">
        <v>7.8820383075183056</v>
      </c>
      <c r="GD181">
        <v>11.965199285759105</v>
      </c>
      <c r="GE181">
        <v>22.559402428140864</v>
      </c>
      <c r="GF181">
        <v>24.530679514860037</v>
      </c>
      <c r="GG181">
        <v>24.509538153677482</v>
      </c>
      <c r="GH181">
        <v>20.54597514331407</v>
      </c>
      <c r="GI181">
        <v>18.854890868930593</v>
      </c>
      <c r="GJ181"/>
      <c r="GK181"/>
      <c r="GL181"/>
      <c r="GM181"/>
    </row>
    <row r="182" spans="1:195" s="7" customFormat="1">
      <c r="A182" s="1"/>
      <c r="B182" s="76">
        <f t="shared" ca="1" si="171"/>
        <v>0.573941481693796</v>
      </c>
      <c r="C182">
        <v>4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80.888467820836738</v>
      </c>
      <c r="AO182">
        <v>32.679112340608015</v>
      </c>
      <c r="AP182">
        <v>226.24963183490377</v>
      </c>
      <c r="AQ182">
        <v>186.00333543721229</v>
      </c>
      <c r="AR182">
        <v>29.466340866391917</v>
      </c>
      <c r="AS182">
        <v>146.12334084997565</v>
      </c>
      <c r="AT182">
        <v>22.077148474421403</v>
      </c>
      <c r="AU182">
        <v>33.193013643526882</v>
      </c>
      <c r="AV182"/>
      <c r="AW182"/>
      <c r="AX182" s="146"/>
      <c r="AY182" s="76">
        <f t="shared" ca="1" si="172"/>
        <v>0.45140522622564005</v>
      </c>
      <c r="AZ182">
        <v>5</v>
      </c>
      <c r="BA182" s="129">
        <f t="shared" si="248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7"/>
        <v>0.6192589397449062</v>
      </c>
      <c r="CL182" s="179">
        <f t="shared" si="208"/>
        <v>5</v>
      </c>
      <c r="CM182" s="180">
        <f t="shared" si="209"/>
        <v>39987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10"/>
        <v>9.6000000000000002E-2</v>
      </c>
      <c r="DB182" s="146"/>
      <c r="DC182" s="76">
        <f t="shared" ca="1" si="173"/>
        <v>0.80105901381387667</v>
      </c>
      <c r="DD182">
        <f t="shared" si="211"/>
        <v>5</v>
      </c>
      <c r="DE182" s="129">
        <f t="shared" si="247"/>
        <v>39987</v>
      </c>
      <c r="DF182" s="161">
        <f t="shared" si="212"/>
        <v>0</v>
      </c>
      <c r="DG182" s="161">
        <f t="shared" si="213"/>
        <v>0</v>
      </c>
      <c r="DH182" s="161">
        <f t="shared" si="214"/>
        <v>0</v>
      </c>
      <c r="DI182" s="161">
        <f t="shared" si="215"/>
        <v>0</v>
      </c>
      <c r="DJ182" s="161">
        <f t="shared" si="216"/>
        <v>0</v>
      </c>
      <c r="DK182" s="161">
        <f t="shared" si="217"/>
        <v>0</v>
      </c>
      <c r="DL182" s="161">
        <f t="shared" si="218"/>
        <v>0</v>
      </c>
      <c r="DM182" s="161">
        <f t="shared" si="219"/>
        <v>0</v>
      </c>
      <c r="DN182" s="161">
        <f t="shared" si="220"/>
        <v>0</v>
      </c>
      <c r="DO182" s="161">
        <f t="shared" si="221"/>
        <v>0</v>
      </c>
      <c r="DP182" s="161">
        <f t="shared" si="222"/>
        <v>0</v>
      </c>
      <c r="DQ182" s="161">
        <f t="shared" si="223"/>
        <v>0</v>
      </c>
      <c r="DR182" s="161">
        <f t="shared" si="224"/>
        <v>0</v>
      </c>
      <c r="DS182" s="161">
        <f t="shared" si="225"/>
        <v>0</v>
      </c>
      <c r="DT182" s="161">
        <f t="shared" si="226"/>
        <v>0</v>
      </c>
      <c r="DU182" s="161">
        <f t="shared" si="227"/>
        <v>0</v>
      </c>
      <c r="DV182" s="161">
        <f t="shared" si="228"/>
        <v>0</v>
      </c>
      <c r="DW182" s="161">
        <f t="shared" si="229"/>
        <v>0</v>
      </c>
      <c r="DX182" s="161">
        <f t="shared" si="230"/>
        <v>0</v>
      </c>
      <c r="DY182" s="161">
        <f t="shared" si="231"/>
        <v>0</v>
      </c>
      <c r="DZ182" s="161">
        <f t="shared" si="232"/>
        <v>0</v>
      </c>
      <c r="EA182" s="161">
        <f t="shared" si="233"/>
        <v>0</v>
      </c>
      <c r="EB182" s="161">
        <f t="shared" si="234"/>
        <v>0</v>
      </c>
      <c r="EC182" s="161">
        <f t="shared" si="235"/>
        <v>0</v>
      </c>
      <c r="ED182" s="161">
        <f t="shared" si="236"/>
        <v>0</v>
      </c>
      <c r="EE182" s="161">
        <f t="shared" si="237"/>
        <v>0</v>
      </c>
      <c r="EF182" s="161">
        <f t="shared" si="238"/>
        <v>0</v>
      </c>
      <c r="EG182" s="161">
        <f t="shared" si="239"/>
        <v>0</v>
      </c>
      <c r="EH182" s="161">
        <f t="shared" si="240"/>
        <v>0</v>
      </c>
      <c r="EI182" s="161">
        <f t="shared" si="241"/>
        <v>0</v>
      </c>
      <c r="EJ182" s="161">
        <f t="shared" si="242"/>
        <v>0</v>
      </c>
      <c r="EK182" s="147">
        <f t="shared" si="174"/>
        <v>0</v>
      </c>
      <c r="EL182" s="149"/>
      <c r="EN182" s="146"/>
      <c r="EO182" s="146"/>
      <c r="EP182" s="139">
        <f t="shared" si="175"/>
        <v>0</v>
      </c>
      <c r="EQ182" s="139">
        <f t="shared" si="176"/>
        <v>0</v>
      </c>
      <c r="ER182" s="139">
        <f t="shared" si="177"/>
        <v>0</v>
      </c>
      <c r="ES182" s="139">
        <f t="shared" si="178"/>
        <v>0</v>
      </c>
      <c r="ET182" s="139">
        <f t="shared" si="179"/>
        <v>0</v>
      </c>
      <c r="EU182" s="139">
        <f t="shared" si="180"/>
        <v>0</v>
      </c>
      <c r="EV182" s="139">
        <f t="shared" si="181"/>
        <v>0</v>
      </c>
      <c r="EW182" s="139">
        <f t="shared" si="182"/>
        <v>0</v>
      </c>
      <c r="EX182" s="139">
        <f t="shared" si="183"/>
        <v>0</v>
      </c>
      <c r="EY182" s="139">
        <f t="shared" si="184"/>
        <v>0</v>
      </c>
      <c r="EZ182" s="139">
        <f t="shared" si="185"/>
        <v>0</v>
      </c>
      <c r="FA182" s="139">
        <f t="shared" si="186"/>
        <v>0</v>
      </c>
      <c r="FB182" s="139">
        <f t="shared" si="187"/>
        <v>0</v>
      </c>
      <c r="FC182" s="139">
        <f t="shared" si="188"/>
        <v>0</v>
      </c>
      <c r="FD182" s="139">
        <f t="shared" si="189"/>
        <v>0</v>
      </c>
      <c r="FE182" s="139">
        <f t="shared" si="190"/>
        <v>0</v>
      </c>
      <c r="FF182" s="139">
        <f t="shared" si="191"/>
        <v>0</v>
      </c>
      <c r="FG182" s="139">
        <f t="shared" si="192"/>
        <v>0</v>
      </c>
      <c r="FH182" s="139">
        <f t="shared" si="193"/>
        <v>0</v>
      </c>
      <c r="FI182" s="139">
        <f t="shared" si="194"/>
        <v>0</v>
      </c>
      <c r="FJ182" s="139">
        <f t="shared" si="195"/>
        <v>0</v>
      </c>
      <c r="FK182" s="139">
        <f t="shared" si="196"/>
        <v>0</v>
      </c>
      <c r="FL182" s="139">
        <f t="shared" si="197"/>
        <v>0</v>
      </c>
      <c r="FM182" s="139">
        <f t="shared" si="198"/>
        <v>0</v>
      </c>
      <c r="FN182" s="139">
        <f t="shared" si="199"/>
        <v>0</v>
      </c>
      <c r="FO182" s="139">
        <f t="shared" si="200"/>
        <v>0</v>
      </c>
      <c r="FP182" s="139">
        <f t="shared" si="201"/>
        <v>0</v>
      </c>
      <c r="FQ182" s="139">
        <f t="shared" si="202"/>
        <v>0</v>
      </c>
      <c r="FR182" s="139">
        <f t="shared" si="203"/>
        <v>0</v>
      </c>
      <c r="FS182" s="139">
        <f t="shared" si="204"/>
        <v>0</v>
      </c>
      <c r="FT182" s="139">
        <f t="shared" si="205"/>
        <v>0</v>
      </c>
      <c r="FU182" s="148">
        <f t="shared" si="206"/>
        <v>0</v>
      </c>
      <c r="FV182" s="149"/>
      <c r="FY182" s="211">
        <v>177</v>
      </c>
      <c r="FZ182">
        <v>3.2907077156895035</v>
      </c>
      <c r="GA182">
        <v>16.666204197327421</v>
      </c>
      <c r="GB182">
        <v>17.945458506670992</v>
      </c>
      <c r="GC182">
        <v>13.867016760258981</v>
      </c>
      <c r="GD182">
        <v>13.304429067297153</v>
      </c>
      <c r="GE182">
        <v>25.243633315685404</v>
      </c>
      <c r="GF182">
        <v>28.819382669625117</v>
      </c>
      <c r="GG182">
        <v>31.070238617743478</v>
      </c>
      <c r="GH182">
        <v>28.185059651932281</v>
      </c>
      <c r="GI182">
        <v>22.899703321639521</v>
      </c>
      <c r="GJ182"/>
      <c r="GK182"/>
      <c r="GL182"/>
      <c r="GM182"/>
    </row>
    <row r="183" spans="1:195" s="7" customFormat="1">
      <c r="A183" s="1"/>
      <c r="B183" s="76">
        <f t="shared" ca="1" si="171"/>
        <v>0.83907043526872371</v>
      </c>
      <c r="C183">
        <v>5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58.535073851199044</v>
      </c>
      <c r="AO183">
        <v>21.92369632738362</v>
      </c>
      <c r="AP183">
        <v>152.14734281069863</v>
      </c>
      <c r="AQ183">
        <v>125.53567172573578</v>
      </c>
      <c r="AR183">
        <v>20.109757719301598</v>
      </c>
      <c r="AS183">
        <v>94.994457670752169</v>
      </c>
      <c r="AT183">
        <v>14.16373322550578</v>
      </c>
      <c r="AU183">
        <v>15.711235474733758</v>
      </c>
      <c r="AV183"/>
      <c r="AW183"/>
      <c r="AX183" s="146"/>
      <c r="AY183" s="76">
        <f t="shared" ca="1" si="172"/>
        <v>0.61055627606521146</v>
      </c>
      <c r="AZ183">
        <v>6</v>
      </c>
      <c r="BA183" s="129">
        <f t="shared" si="248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7"/>
        <v>0.87523393799831428</v>
      </c>
      <c r="CL183" s="179">
        <f t="shared" si="208"/>
        <v>6</v>
      </c>
      <c r="CM183" s="180">
        <f t="shared" si="209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10"/>
        <v>9.6000000000000002E-2</v>
      </c>
      <c r="DB183" s="146"/>
      <c r="DC183" s="76">
        <f t="shared" ca="1" si="173"/>
        <v>0.71323646381063277</v>
      </c>
      <c r="DD183">
        <f t="shared" si="211"/>
        <v>6</v>
      </c>
      <c r="DE183" s="129">
        <f t="shared" si="247"/>
        <v>39987</v>
      </c>
      <c r="DF183" s="161">
        <f t="shared" si="212"/>
        <v>0</v>
      </c>
      <c r="DG183" s="161">
        <f t="shared" si="213"/>
        <v>0</v>
      </c>
      <c r="DH183" s="161">
        <f t="shared" si="214"/>
        <v>0</v>
      </c>
      <c r="DI183" s="161">
        <f t="shared" si="215"/>
        <v>0</v>
      </c>
      <c r="DJ183" s="161">
        <f t="shared" si="216"/>
        <v>0</v>
      </c>
      <c r="DK183" s="161">
        <f t="shared" si="217"/>
        <v>0</v>
      </c>
      <c r="DL183" s="161">
        <f t="shared" si="218"/>
        <v>0</v>
      </c>
      <c r="DM183" s="161">
        <f t="shared" si="219"/>
        <v>0</v>
      </c>
      <c r="DN183" s="161">
        <f t="shared" si="220"/>
        <v>0</v>
      </c>
      <c r="DO183" s="161">
        <f t="shared" si="221"/>
        <v>0</v>
      </c>
      <c r="DP183" s="161">
        <f t="shared" si="222"/>
        <v>0</v>
      </c>
      <c r="DQ183" s="161">
        <f t="shared" si="223"/>
        <v>0</v>
      </c>
      <c r="DR183" s="161">
        <f t="shared" si="224"/>
        <v>0</v>
      </c>
      <c r="DS183" s="161">
        <f t="shared" si="225"/>
        <v>0</v>
      </c>
      <c r="DT183" s="161">
        <f t="shared" si="226"/>
        <v>0</v>
      </c>
      <c r="DU183" s="161">
        <f t="shared" si="227"/>
        <v>0</v>
      </c>
      <c r="DV183" s="161">
        <f t="shared" si="228"/>
        <v>0</v>
      </c>
      <c r="DW183" s="161">
        <f t="shared" si="229"/>
        <v>0</v>
      </c>
      <c r="DX183" s="161">
        <f t="shared" si="230"/>
        <v>0</v>
      </c>
      <c r="DY183" s="161">
        <f t="shared" si="231"/>
        <v>0</v>
      </c>
      <c r="DZ183" s="161">
        <f t="shared" si="232"/>
        <v>0</v>
      </c>
      <c r="EA183" s="161">
        <f t="shared" si="233"/>
        <v>0</v>
      </c>
      <c r="EB183" s="161">
        <f t="shared" si="234"/>
        <v>0</v>
      </c>
      <c r="EC183" s="161">
        <f t="shared" si="235"/>
        <v>0</v>
      </c>
      <c r="ED183" s="161">
        <f t="shared" si="236"/>
        <v>0</v>
      </c>
      <c r="EE183" s="161">
        <f t="shared" si="237"/>
        <v>0</v>
      </c>
      <c r="EF183" s="161">
        <f t="shared" si="238"/>
        <v>0</v>
      </c>
      <c r="EG183" s="161">
        <f t="shared" si="239"/>
        <v>0</v>
      </c>
      <c r="EH183" s="161">
        <f t="shared" si="240"/>
        <v>0</v>
      </c>
      <c r="EI183" s="161">
        <f t="shared" si="241"/>
        <v>0</v>
      </c>
      <c r="EJ183" s="161">
        <f t="shared" si="242"/>
        <v>0</v>
      </c>
      <c r="EK183" s="147">
        <f t="shared" si="174"/>
        <v>0</v>
      </c>
      <c r="EL183" s="149"/>
      <c r="EN183" s="146"/>
      <c r="EO183" s="146"/>
      <c r="EP183" s="139">
        <f t="shared" si="175"/>
        <v>0</v>
      </c>
      <c r="EQ183" s="139">
        <f t="shared" si="176"/>
        <v>0</v>
      </c>
      <c r="ER183" s="139">
        <f t="shared" si="177"/>
        <v>0</v>
      </c>
      <c r="ES183" s="139">
        <f t="shared" si="178"/>
        <v>0</v>
      </c>
      <c r="ET183" s="139">
        <f t="shared" si="179"/>
        <v>0</v>
      </c>
      <c r="EU183" s="139">
        <f t="shared" si="180"/>
        <v>0</v>
      </c>
      <c r="EV183" s="139">
        <f t="shared" si="181"/>
        <v>0</v>
      </c>
      <c r="EW183" s="139">
        <f t="shared" si="182"/>
        <v>0</v>
      </c>
      <c r="EX183" s="139">
        <f t="shared" si="183"/>
        <v>0</v>
      </c>
      <c r="EY183" s="139">
        <f t="shared" si="184"/>
        <v>0</v>
      </c>
      <c r="EZ183" s="139">
        <f t="shared" si="185"/>
        <v>0</v>
      </c>
      <c r="FA183" s="139">
        <f t="shared" si="186"/>
        <v>0</v>
      </c>
      <c r="FB183" s="139">
        <f t="shared" si="187"/>
        <v>0</v>
      </c>
      <c r="FC183" s="139">
        <f t="shared" si="188"/>
        <v>0</v>
      </c>
      <c r="FD183" s="139">
        <f t="shared" si="189"/>
        <v>0</v>
      </c>
      <c r="FE183" s="139">
        <f t="shared" si="190"/>
        <v>0</v>
      </c>
      <c r="FF183" s="139">
        <f t="shared" si="191"/>
        <v>0</v>
      </c>
      <c r="FG183" s="139">
        <f t="shared" si="192"/>
        <v>0</v>
      </c>
      <c r="FH183" s="139">
        <f t="shared" si="193"/>
        <v>0</v>
      </c>
      <c r="FI183" s="139">
        <f t="shared" si="194"/>
        <v>0</v>
      </c>
      <c r="FJ183" s="139">
        <f t="shared" si="195"/>
        <v>0</v>
      </c>
      <c r="FK183" s="139">
        <f t="shared" si="196"/>
        <v>0</v>
      </c>
      <c r="FL183" s="139">
        <f t="shared" si="197"/>
        <v>0</v>
      </c>
      <c r="FM183" s="139">
        <f t="shared" si="198"/>
        <v>0</v>
      </c>
      <c r="FN183" s="139">
        <f t="shared" si="199"/>
        <v>0</v>
      </c>
      <c r="FO183" s="139">
        <f t="shared" si="200"/>
        <v>0</v>
      </c>
      <c r="FP183" s="139">
        <f t="shared" si="201"/>
        <v>0</v>
      </c>
      <c r="FQ183" s="139">
        <f t="shared" si="202"/>
        <v>0</v>
      </c>
      <c r="FR183" s="139">
        <f t="shared" si="203"/>
        <v>0</v>
      </c>
      <c r="FS183" s="139">
        <f t="shared" si="204"/>
        <v>0</v>
      </c>
      <c r="FT183" s="139">
        <f t="shared" si="205"/>
        <v>0</v>
      </c>
      <c r="FU183" s="148">
        <f t="shared" si="206"/>
        <v>0</v>
      </c>
      <c r="FV183" s="149"/>
      <c r="FY183" s="211">
        <v>178</v>
      </c>
      <c r="FZ183">
        <v>4.3347689079989813</v>
      </c>
      <c r="GA183">
        <v>14.753270863695583</v>
      </c>
      <c r="GB183">
        <v>21.134770417807314</v>
      </c>
      <c r="GC183">
        <v>13.064522499525182</v>
      </c>
      <c r="GD183">
        <v>9.6881680316451728</v>
      </c>
      <c r="GE183">
        <v>21.339131980959404</v>
      </c>
      <c r="GF183">
        <v>18.028671978795217</v>
      </c>
      <c r="GG183">
        <v>15.378757115580196</v>
      </c>
      <c r="GH183">
        <v>16.813264635386147</v>
      </c>
      <c r="GI183">
        <v>17.8363876335364</v>
      </c>
      <c r="GJ183"/>
      <c r="GK183"/>
      <c r="GL183"/>
      <c r="GM183"/>
    </row>
    <row r="184" spans="1:195" s="7" customFormat="1">
      <c r="A184" s="1"/>
      <c r="B184" s="76">
        <f t="shared" ref="B184:B215" ca="1" si="249">IF(C184="", "", RAND())</f>
        <v>6.5031270306174171E-2</v>
      </c>
      <c r="C184">
        <v>2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72.330476458008789</v>
      </c>
      <c r="AO184">
        <v>28.338778433150452</v>
      </c>
      <c r="AP184">
        <v>177.98088750617325</v>
      </c>
      <c r="AQ184">
        <v>150.88534763202887</v>
      </c>
      <c r="AR184">
        <v>25.781508976646105</v>
      </c>
      <c r="AS184">
        <v>123.48983873829226</v>
      </c>
      <c r="AT184" t="e">
        <v>#DIV/0!</v>
      </c>
      <c r="AU184" t="e">
        <v>#DIV/0!</v>
      </c>
      <c r="AV184"/>
      <c r="AW184"/>
      <c r="AX184" s="146"/>
      <c r="AY184" s="76">
        <f t="shared" ca="1" si="172"/>
        <v>1.9257903122210429E-2</v>
      </c>
      <c r="AZ184">
        <v>7</v>
      </c>
      <c r="BA184" s="129">
        <f t="shared" si="248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7"/>
        <v>0.48724961966548896</v>
      </c>
      <c r="CL184" s="179">
        <f t="shared" si="208"/>
        <v>7</v>
      </c>
      <c r="CM184" s="180">
        <f t="shared" si="209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10"/>
        <v>9.6000000000000002E-2</v>
      </c>
      <c r="DB184" s="146"/>
      <c r="DC184" s="76">
        <f t="shared" ca="1" si="173"/>
        <v>0.87883855239448971</v>
      </c>
      <c r="DD184">
        <f t="shared" si="211"/>
        <v>7</v>
      </c>
      <c r="DE184" s="129">
        <f t="shared" si="247"/>
        <v>39987</v>
      </c>
      <c r="DF184" s="161">
        <f t="shared" si="212"/>
        <v>0</v>
      </c>
      <c r="DG184" s="161">
        <f t="shared" si="213"/>
        <v>0</v>
      </c>
      <c r="DH184" s="161">
        <f t="shared" si="214"/>
        <v>0</v>
      </c>
      <c r="DI184" s="161">
        <f t="shared" si="215"/>
        <v>0</v>
      </c>
      <c r="DJ184" s="161">
        <f t="shared" si="216"/>
        <v>0</v>
      </c>
      <c r="DK184" s="161">
        <f t="shared" si="217"/>
        <v>0</v>
      </c>
      <c r="DL184" s="161">
        <f t="shared" si="218"/>
        <v>0</v>
      </c>
      <c r="DM184" s="161">
        <f t="shared" si="219"/>
        <v>0</v>
      </c>
      <c r="DN184" s="161">
        <f t="shared" si="220"/>
        <v>0</v>
      </c>
      <c r="DO184" s="161">
        <f t="shared" si="221"/>
        <v>0</v>
      </c>
      <c r="DP184" s="161">
        <f t="shared" si="222"/>
        <v>0</v>
      </c>
      <c r="DQ184" s="161">
        <f t="shared" si="223"/>
        <v>0</v>
      </c>
      <c r="DR184" s="161">
        <f t="shared" si="224"/>
        <v>0</v>
      </c>
      <c r="DS184" s="161">
        <f t="shared" si="225"/>
        <v>0</v>
      </c>
      <c r="DT184" s="161">
        <f t="shared" si="226"/>
        <v>0</v>
      </c>
      <c r="DU184" s="161">
        <f t="shared" si="227"/>
        <v>0</v>
      </c>
      <c r="DV184" s="161">
        <f t="shared" si="228"/>
        <v>0</v>
      </c>
      <c r="DW184" s="161">
        <f t="shared" si="229"/>
        <v>0</v>
      </c>
      <c r="DX184" s="161">
        <f t="shared" si="230"/>
        <v>0</v>
      </c>
      <c r="DY184" s="161">
        <f t="shared" si="231"/>
        <v>0</v>
      </c>
      <c r="DZ184" s="161">
        <f t="shared" si="232"/>
        <v>0</v>
      </c>
      <c r="EA184" s="161">
        <f t="shared" si="233"/>
        <v>0</v>
      </c>
      <c r="EB184" s="161">
        <f t="shared" si="234"/>
        <v>0</v>
      </c>
      <c r="EC184" s="161">
        <f t="shared" si="235"/>
        <v>0</v>
      </c>
      <c r="ED184" s="161">
        <f t="shared" si="236"/>
        <v>0</v>
      </c>
      <c r="EE184" s="161">
        <f t="shared" si="237"/>
        <v>0</v>
      </c>
      <c r="EF184" s="161">
        <f t="shared" si="238"/>
        <v>0</v>
      </c>
      <c r="EG184" s="161">
        <f t="shared" si="239"/>
        <v>0</v>
      </c>
      <c r="EH184" s="161">
        <f t="shared" si="240"/>
        <v>0</v>
      </c>
      <c r="EI184" s="161">
        <f t="shared" si="241"/>
        <v>0</v>
      </c>
      <c r="EJ184" s="161">
        <f t="shared" si="242"/>
        <v>0</v>
      </c>
      <c r="EK184" s="147">
        <f t="shared" ref="EK184:EK207" si="250">IF(DF184="", "", SUM(DF184:EJ184))</f>
        <v>0</v>
      </c>
      <c r="EL184" s="149"/>
      <c r="EN184" s="146"/>
      <c r="EO184" s="146"/>
      <c r="EP184" s="139">
        <f t="shared" ref="EP184:EP207" si="251">IF(DF184="", "", DF184*G$36)</f>
        <v>0</v>
      </c>
      <c r="EQ184" s="139">
        <f t="shared" ref="EQ184:EQ207" si="252">IF(DG184="", "", DG184*H$36)</f>
        <v>0</v>
      </c>
      <c r="ER184" s="139">
        <f t="shared" ref="ER184:ER207" si="253">IF(DH184="", "", DH184*I$36)</f>
        <v>0</v>
      </c>
      <c r="ES184" s="139">
        <f t="shared" ref="ES184:ES207" si="254">IF(DI184="", "", DI184*J$36)</f>
        <v>0</v>
      </c>
      <c r="ET184" s="139">
        <f t="shared" ref="ET184:ET207" si="255">IF(DJ184="", "", DJ184*K$36)</f>
        <v>0</v>
      </c>
      <c r="EU184" s="139">
        <f t="shared" ref="EU184:EU207" si="256">IF(DK184="", "", DK184*L$36)</f>
        <v>0</v>
      </c>
      <c r="EV184" s="139">
        <f t="shared" ref="EV184:EV207" si="257">IF(DL184="", "", DL184*M$36)</f>
        <v>0</v>
      </c>
      <c r="EW184" s="139">
        <f t="shared" ref="EW184:EW207" si="258">IF(DM184="", "", DM184*N$36)</f>
        <v>0</v>
      </c>
      <c r="EX184" s="139">
        <f t="shared" ref="EX184:EX207" si="259">IF(DN184="", "", DN184*O$36)</f>
        <v>0</v>
      </c>
      <c r="EY184" s="139">
        <f t="shared" ref="EY184:EY207" si="260">IF(DO184="", "", DO184*P$36)</f>
        <v>0</v>
      </c>
      <c r="EZ184" s="139">
        <f t="shared" ref="EZ184:EZ207" si="261">IF(DP184="", "", DP184*Q$36)</f>
        <v>0</v>
      </c>
      <c r="FA184" s="139">
        <f t="shared" ref="FA184:FA207" si="262">IF(DQ184="", "", DQ184*R$36)</f>
        <v>0</v>
      </c>
      <c r="FB184" s="139">
        <f t="shared" ref="FB184:FB207" si="263">IF(DR184="", "", DR184*S$36)</f>
        <v>0</v>
      </c>
      <c r="FC184" s="139">
        <f t="shared" ref="FC184:FC207" si="264">IF(DS184="", "", DS184*T$36)</f>
        <v>0</v>
      </c>
      <c r="FD184" s="139">
        <f t="shared" ref="FD184:FD207" si="265">IF(DT184="", "", DT184*U$36)</f>
        <v>0</v>
      </c>
      <c r="FE184" s="139">
        <f t="shared" ref="FE184:FE207" si="266">IF(DU184="", "", DU184*V$36)</f>
        <v>0</v>
      </c>
      <c r="FF184" s="139">
        <f t="shared" ref="FF184:FF207" si="267">IF(DV184="", "", DV184*W$36)</f>
        <v>0</v>
      </c>
      <c r="FG184" s="139">
        <f t="shared" ref="FG184:FG207" si="268">IF(DW184="", "", DW184*X$36)</f>
        <v>0</v>
      </c>
      <c r="FH184" s="139">
        <f t="shared" ref="FH184:FH207" si="269">IF(DX184="", "", DX184*Y$36)</f>
        <v>0</v>
      </c>
      <c r="FI184" s="139">
        <f t="shared" ref="FI184:FI207" si="270">IF(DY184="", "", DY184*Z$36)</f>
        <v>0</v>
      </c>
      <c r="FJ184" s="139">
        <f t="shared" ref="FJ184:FJ207" si="271">IF(DZ184="", "", DZ184*AA$36)</f>
        <v>0</v>
      </c>
      <c r="FK184" s="139">
        <f t="shared" ref="FK184:FK207" si="272">IF(EA184="", "", EA184*AB$36)</f>
        <v>0</v>
      </c>
      <c r="FL184" s="139">
        <f t="shared" ref="FL184:FL207" si="273">IF(EB184="", "", EB184*AC$36)</f>
        <v>0</v>
      </c>
      <c r="FM184" s="139">
        <f t="shared" ref="FM184:FM207" si="274">IF(EC184="", "", EC184*AD$36)</f>
        <v>0</v>
      </c>
      <c r="FN184" s="139">
        <f t="shared" ref="FN184:FN207" si="275">IF(ED184="", "", ED184*AE$36)</f>
        <v>0</v>
      </c>
      <c r="FO184" s="139">
        <f t="shared" ref="FO184:FO207" si="276">IF(EE184="", "", EE184*AF$36)</f>
        <v>0</v>
      </c>
      <c r="FP184" s="139">
        <f t="shared" ref="FP184:FP207" si="277">IF(EF184="", "", EF184*AG$36)</f>
        <v>0</v>
      </c>
      <c r="FQ184" s="139">
        <f t="shared" ref="FQ184:FQ207" si="278">IF(EG184="", "", EG184*AH$36)</f>
        <v>0</v>
      </c>
      <c r="FR184" s="139">
        <f t="shared" ref="FR184:FR207" si="279">IF(EH184="", "", EH184*AI$36)</f>
        <v>0</v>
      </c>
      <c r="FS184" s="139">
        <f t="shared" ref="FS184:FS207" si="280">IF(EI184="", "", EI184*AJ$36)</f>
        <v>0</v>
      </c>
      <c r="FT184" s="139">
        <f t="shared" ref="FT184:FT207" si="281">IF(EJ184="", "", EJ184*AK$36)</f>
        <v>0</v>
      </c>
      <c r="FU184" s="148">
        <f t="shared" ref="FU184:FU207" si="282">IF(EP184="","",SUM(EP184:FT184))</f>
        <v>0</v>
      </c>
      <c r="FV184" s="149"/>
      <c r="FY184" s="211">
        <v>179</v>
      </c>
      <c r="FZ184">
        <v>7.505944312782046</v>
      </c>
      <c r="GA184">
        <v>13.37212875265689</v>
      </c>
      <c r="GB184">
        <v>9.7108246246549221</v>
      </c>
      <c r="GC184">
        <v>9.9033830060101842</v>
      </c>
      <c r="GD184">
        <v>9.0357706229331125</v>
      </c>
      <c r="GE184">
        <v>15.449533385707163</v>
      </c>
      <c r="GF184">
        <v>16.385677644696003</v>
      </c>
      <c r="GG184">
        <v>15.636248594293741</v>
      </c>
      <c r="GH184">
        <v>16.54291503229517</v>
      </c>
      <c r="GI184">
        <v>14.73656785095984</v>
      </c>
      <c r="GJ184"/>
      <c r="GK184"/>
      <c r="GL184"/>
      <c r="GM184"/>
    </row>
    <row r="185" spans="1:195" s="7" customFormat="1">
      <c r="A185" s="1"/>
      <c r="B185" s="76">
        <f t="shared" ca="1" si="249"/>
        <v>0.35973358919903631</v>
      </c>
      <c r="C185">
        <v>9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70.112179487179489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116.04998733934147</v>
      </c>
      <c r="AO185">
        <v>43.291750638613173</v>
      </c>
      <c r="AP185">
        <v>292.62116130785836</v>
      </c>
      <c r="AQ185">
        <v>248.11347916109858</v>
      </c>
      <c r="AR185">
        <v>39.51784220667998</v>
      </c>
      <c r="AS185">
        <v>186.02553250775603</v>
      </c>
      <c r="AT185">
        <v>29.753278904544686</v>
      </c>
      <c r="AU185">
        <v>53.551281189314679</v>
      </c>
      <c r="AV185"/>
      <c r="AW185"/>
      <c r="AX185" s="146"/>
      <c r="AY185" s="76">
        <f t="shared" ca="1" si="172"/>
        <v>0.2887422606562573</v>
      </c>
      <c r="AZ185">
        <v>8</v>
      </c>
      <c r="BA185" s="129">
        <f t="shared" si="248"/>
        <v>39987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7"/>
        <v>0.59014059049804968</v>
      </c>
      <c r="CL185" s="179">
        <f t="shared" si="208"/>
        <v>8</v>
      </c>
      <c r="CM185" s="180">
        <f t="shared" si="209"/>
        <v>39987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10"/>
        <v>9.6000000000000002E-2</v>
      </c>
      <c r="DB185" s="146"/>
      <c r="DC185" s="76">
        <f t="shared" ca="1" si="173"/>
        <v>0.32885308221897303</v>
      </c>
      <c r="DD185">
        <f t="shared" si="211"/>
        <v>8</v>
      </c>
      <c r="DE185" s="129">
        <f t="shared" si="247"/>
        <v>39987</v>
      </c>
      <c r="DF185" s="161">
        <f t="shared" si="212"/>
        <v>0</v>
      </c>
      <c r="DG185" s="161">
        <f t="shared" si="213"/>
        <v>0</v>
      </c>
      <c r="DH185" s="161">
        <f t="shared" si="214"/>
        <v>0</v>
      </c>
      <c r="DI185" s="161">
        <f t="shared" si="215"/>
        <v>0</v>
      </c>
      <c r="DJ185" s="161">
        <f t="shared" si="216"/>
        <v>0</v>
      </c>
      <c r="DK185" s="161">
        <f t="shared" si="217"/>
        <v>0</v>
      </c>
      <c r="DL185" s="161">
        <f t="shared" si="218"/>
        <v>0</v>
      </c>
      <c r="DM185" s="161">
        <f t="shared" si="219"/>
        <v>0</v>
      </c>
      <c r="DN185" s="161">
        <f t="shared" si="220"/>
        <v>0</v>
      </c>
      <c r="DO185" s="161">
        <f t="shared" si="221"/>
        <v>0</v>
      </c>
      <c r="DP185" s="161">
        <f t="shared" si="222"/>
        <v>0</v>
      </c>
      <c r="DQ185" s="161">
        <f t="shared" si="223"/>
        <v>0</v>
      </c>
      <c r="DR185" s="161">
        <f t="shared" si="224"/>
        <v>0</v>
      </c>
      <c r="DS185" s="161">
        <f t="shared" si="225"/>
        <v>0</v>
      </c>
      <c r="DT185" s="161">
        <f t="shared" si="226"/>
        <v>0</v>
      </c>
      <c r="DU185" s="161">
        <f t="shared" si="227"/>
        <v>0</v>
      </c>
      <c r="DV185" s="161">
        <f t="shared" si="228"/>
        <v>0</v>
      </c>
      <c r="DW185" s="161">
        <f t="shared" si="229"/>
        <v>0</v>
      </c>
      <c r="DX185" s="161">
        <f t="shared" si="230"/>
        <v>0</v>
      </c>
      <c r="DY185" s="161">
        <f t="shared" si="231"/>
        <v>0</v>
      </c>
      <c r="DZ185" s="161">
        <f t="shared" si="232"/>
        <v>0</v>
      </c>
      <c r="EA185" s="161">
        <f t="shared" si="233"/>
        <v>0</v>
      </c>
      <c r="EB185" s="161">
        <f t="shared" si="234"/>
        <v>0</v>
      </c>
      <c r="EC185" s="161">
        <f t="shared" si="235"/>
        <v>0</v>
      </c>
      <c r="ED185" s="161">
        <f t="shared" si="236"/>
        <v>0</v>
      </c>
      <c r="EE185" s="161">
        <f t="shared" si="237"/>
        <v>0</v>
      </c>
      <c r="EF185" s="161">
        <f t="shared" si="238"/>
        <v>0</v>
      </c>
      <c r="EG185" s="161">
        <f t="shared" si="239"/>
        <v>0</v>
      </c>
      <c r="EH185" s="161">
        <f t="shared" si="240"/>
        <v>0</v>
      </c>
      <c r="EI185" s="161">
        <f t="shared" si="241"/>
        <v>0</v>
      </c>
      <c r="EJ185" s="161">
        <f t="shared" si="242"/>
        <v>0</v>
      </c>
      <c r="EK185" s="147">
        <f t="shared" si="250"/>
        <v>0</v>
      </c>
      <c r="EL185" s="149"/>
      <c r="EN185" s="146"/>
      <c r="EO185" s="146"/>
      <c r="EP185" s="139">
        <f t="shared" si="251"/>
        <v>0</v>
      </c>
      <c r="EQ185" s="139">
        <f t="shared" si="252"/>
        <v>0</v>
      </c>
      <c r="ER185" s="139">
        <f t="shared" si="253"/>
        <v>0</v>
      </c>
      <c r="ES185" s="139">
        <f t="shared" si="254"/>
        <v>0</v>
      </c>
      <c r="ET185" s="139">
        <f t="shared" si="255"/>
        <v>0</v>
      </c>
      <c r="EU185" s="139">
        <f t="shared" si="256"/>
        <v>0</v>
      </c>
      <c r="EV185" s="139">
        <f t="shared" si="257"/>
        <v>0</v>
      </c>
      <c r="EW185" s="139">
        <f t="shared" si="258"/>
        <v>0</v>
      </c>
      <c r="EX185" s="139">
        <f t="shared" si="259"/>
        <v>0</v>
      </c>
      <c r="EY185" s="139">
        <f t="shared" si="260"/>
        <v>0</v>
      </c>
      <c r="EZ185" s="139">
        <f t="shared" si="261"/>
        <v>0</v>
      </c>
      <c r="FA185" s="139">
        <f t="shared" si="262"/>
        <v>0</v>
      </c>
      <c r="FB185" s="139">
        <f t="shared" si="263"/>
        <v>0</v>
      </c>
      <c r="FC185" s="139">
        <f t="shared" si="264"/>
        <v>0</v>
      </c>
      <c r="FD185" s="139">
        <f t="shared" si="265"/>
        <v>0</v>
      </c>
      <c r="FE185" s="139">
        <f t="shared" si="266"/>
        <v>0</v>
      </c>
      <c r="FF185" s="139">
        <f t="shared" si="267"/>
        <v>0</v>
      </c>
      <c r="FG185" s="139">
        <f t="shared" si="268"/>
        <v>0</v>
      </c>
      <c r="FH185" s="139">
        <f t="shared" si="269"/>
        <v>0</v>
      </c>
      <c r="FI185" s="139">
        <f t="shared" si="270"/>
        <v>0</v>
      </c>
      <c r="FJ185" s="139">
        <f t="shared" si="271"/>
        <v>0</v>
      </c>
      <c r="FK185" s="139">
        <f t="shared" si="272"/>
        <v>0</v>
      </c>
      <c r="FL185" s="139">
        <f t="shared" si="273"/>
        <v>0</v>
      </c>
      <c r="FM185" s="139">
        <f t="shared" si="274"/>
        <v>0</v>
      </c>
      <c r="FN185" s="139">
        <f t="shared" si="275"/>
        <v>0</v>
      </c>
      <c r="FO185" s="139">
        <f t="shared" si="276"/>
        <v>0</v>
      </c>
      <c r="FP185" s="139">
        <f t="shared" si="277"/>
        <v>0</v>
      </c>
      <c r="FQ185" s="139">
        <f t="shared" si="278"/>
        <v>0</v>
      </c>
      <c r="FR185" s="139">
        <f t="shared" si="279"/>
        <v>0</v>
      </c>
      <c r="FS185" s="139">
        <f t="shared" si="280"/>
        <v>0</v>
      </c>
      <c r="FT185" s="139">
        <f t="shared" si="281"/>
        <v>0</v>
      </c>
      <c r="FU185" s="148">
        <f t="shared" si="282"/>
        <v>0</v>
      </c>
      <c r="FV185" s="149"/>
      <c r="FY185" s="211">
        <v>180</v>
      </c>
      <c r="FZ185">
        <v>2.6336457681316543</v>
      </c>
      <c r="GA185">
        <v>4.6805172565949764</v>
      </c>
      <c r="GB185">
        <v>6.7874488885683855</v>
      </c>
      <c r="GC185">
        <v>10.084678801723229</v>
      </c>
      <c r="GD185">
        <v>13.751810084627037</v>
      </c>
      <c r="GE185">
        <v>31.643930790641662</v>
      </c>
      <c r="GF185">
        <v>40.414220927151142</v>
      </c>
      <c r="GG185">
        <v>29.915376218125893</v>
      </c>
      <c r="GH185">
        <v>23.346499075898993</v>
      </c>
      <c r="GI185">
        <v>21.747421904982556</v>
      </c>
      <c r="GJ185"/>
      <c r="GK185"/>
      <c r="GL185"/>
      <c r="GM185"/>
    </row>
    <row r="186" spans="1:195" s="7" customFormat="1">
      <c r="A186" s="1"/>
      <c r="B186" s="76">
        <f t="shared" ca="1" si="249"/>
        <v>0.4699121090493823</v>
      </c>
      <c r="C186">
        <v>1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62.715078417645159</v>
      </c>
      <c r="AO186">
        <v>24.24608994312883</v>
      </c>
      <c r="AP186">
        <v>152.75492805830669</v>
      </c>
      <c r="AQ186">
        <v>134.59456054998466</v>
      </c>
      <c r="AR186">
        <v>21.963114784398922</v>
      </c>
      <c r="AS186">
        <v>103.94917960715942</v>
      </c>
      <c r="AT186" t="e">
        <v>#DIV/0!</v>
      </c>
      <c r="AU186" t="e">
        <v>#DIV/0!</v>
      </c>
      <c r="AV186"/>
      <c r="AW186"/>
      <c r="AX186" s="146"/>
      <c r="AY186" s="76">
        <f t="shared" ca="1" si="172"/>
        <v>7.0384050859519931E-3</v>
      </c>
      <c r="AZ186">
        <v>9</v>
      </c>
      <c r="BA186" s="129">
        <f t="shared" si="248"/>
        <v>39987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7"/>
        <v>0.60275023767663605</v>
      </c>
      <c r="CL186" s="179">
        <f t="shared" si="208"/>
        <v>9</v>
      </c>
      <c r="CM186" s="180">
        <f t="shared" si="209"/>
        <v>39987</v>
      </c>
      <c r="CN186">
        <v>0</v>
      </c>
      <c r="CO186">
        <v>0</v>
      </c>
      <c r="CP186">
        <v>0</v>
      </c>
      <c r="CQ186">
        <v>0</v>
      </c>
      <c r="CR186">
        <v>1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10"/>
        <v>9.6000000000000002E-2</v>
      </c>
      <c r="DB186" s="146"/>
      <c r="DC186" s="76">
        <f t="shared" ca="1" si="173"/>
        <v>0.20620012244414987</v>
      </c>
      <c r="DD186">
        <f t="shared" si="211"/>
        <v>9</v>
      </c>
      <c r="DE186" s="129">
        <f t="shared" si="247"/>
        <v>39987</v>
      </c>
      <c r="DF186" s="161">
        <f t="shared" si="212"/>
        <v>0</v>
      </c>
      <c r="DG186" s="161">
        <f t="shared" si="213"/>
        <v>0</v>
      </c>
      <c r="DH186" s="161">
        <f t="shared" si="214"/>
        <v>0</v>
      </c>
      <c r="DI186" s="161">
        <f t="shared" si="215"/>
        <v>0</v>
      </c>
      <c r="DJ186" s="161">
        <f t="shared" si="216"/>
        <v>70.112179487179489</v>
      </c>
      <c r="DK186" s="161">
        <f t="shared" si="217"/>
        <v>0</v>
      </c>
      <c r="DL186" s="161">
        <f t="shared" si="218"/>
        <v>0</v>
      </c>
      <c r="DM186" s="161">
        <f t="shared" si="219"/>
        <v>0</v>
      </c>
      <c r="DN186" s="161">
        <f t="shared" si="220"/>
        <v>0</v>
      </c>
      <c r="DO186" s="161">
        <f t="shared" si="221"/>
        <v>0</v>
      </c>
      <c r="DP186" s="161">
        <f t="shared" si="222"/>
        <v>0</v>
      </c>
      <c r="DQ186" s="161">
        <f t="shared" si="223"/>
        <v>0</v>
      </c>
      <c r="DR186" s="161">
        <f t="shared" si="224"/>
        <v>0</v>
      </c>
      <c r="DS186" s="161">
        <f t="shared" si="225"/>
        <v>0</v>
      </c>
      <c r="DT186" s="161">
        <f t="shared" si="226"/>
        <v>0</v>
      </c>
      <c r="DU186" s="161">
        <f t="shared" si="227"/>
        <v>0</v>
      </c>
      <c r="DV186" s="161">
        <f t="shared" si="228"/>
        <v>0</v>
      </c>
      <c r="DW186" s="161">
        <f t="shared" si="229"/>
        <v>0</v>
      </c>
      <c r="DX186" s="161">
        <f t="shared" si="230"/>
        <v>0</v>
      </c>
      <c r="DY186" s="161">
        <f t="shared" si="231"/>
        <v>0</v>
      </c>
      <c r="DZ186" s="161">
        <f t="shared" si="232"/>
        <v>0</v>
      </c>
      <c r="EA186" s="161">
        <f t="shared" si="233"/>
        <v>0</v>
      </c>
      <c r="EB186" s="161">
        <f t="shared" si="234"/>
        <v>0</v>
      </c>
      <c r="EC186" s="161">
        <f t="shared" si="235"/>
        <v>0</v>
      </c>
      <c r="ED186" s="161">
        <f t="shared" si="236"/>
        <v>0</v>
      </c>
      <c r="EE186" s="161">
        <f t="shared" si="237"/>
        <v>0</v>
      </c>
      <c r="EF186" s="161">
        <f t="shared" si="238"/>
        <v>0</v>
      </c>
      <c r="EG186" s="161">
        <f t="shared" si="239"/>
        <v>0</v>
      </c>
      <c r="EH186" s="161">
        <f t="shared" si="240"/>
        <v>0</v>
      </c>
      <c r="EI186" s="161">
        <f t="shared" si="241"/>
        <v>0</v>
      </c>
      <c r="EJ186" s="161">
        <f t="shared" si="242"/>
        <v>0</v>
      </c>
      <c r="EK186" s="147">
        <f t="shared" si="250"/>
        <v>70.112179487179489</v>
      </c>
      <c r="EL186" s="149"/>
      <c r="EN186" s="146"/>
      <c r="EO186" s="146"/>
      <c r="EP186" s="139">
        <f t="shared" si="251"/>
        <v>0</v>
      </c>
      <c r="EQ186" s="139">
        <f t="shared" si="252"/>
        <v>0</v>
      </c>
      <c r="ER186" s="139">
        <f t="shared" si="253"/>
        <v>0</v>
      </c>
      <c r="ES186" s="139">
        <f t="shared" si="254"/>
        <v>0</v>
      </c>
      <c r="ET186" s="139">
        <f t="shared" si="255"/>
        <v>28.237629889023626</v>
      </c>
      <c r="EU186" s="139">
        <f t="shared" si="256"/>
        <v>0</v>
      </c>
      <c r="EV186" s="139">
        <f t="shared" si="257"/>
        <v>0</v>
      </c>
      <c r="EW186" s="139">
        <f t="shared" si="258"/>
        <v>0</v>
      </c>
      <c r="EX186" s="139">
        <f t="shared" si="259"/>
        <v>0</v>
      </c>
      <c r="EY186" s="139">
        <f t="shared" si="260"/>
        <v>0</v>
      </c>
      <c r="EZ186" s="139">
        <f t="shared" si="261"/>
        <v>0</v>
      </c>
      <c r="FA186" s="139">
        <f t="shared" si="262"/>
        <v>0</v>
      </c>
      <c r="FB186" s="139">
        <f t="shared" si="263"/>
        <v>0</v>
      </c>
      <c r="FC186" s="139">
        <f t="shared" si="264"/>
        <v>0</v>
      </c>
      <c r="FD186" s="139">
        <f t="shared" si="265"/>
        <v>0</v>
      </c>
      <c r="FE186" s="139">
        <f t="shared" si="266"/>
        <v>0</v>
      </c>
      <c r="FF186" s="139">
        <f t="shared" si="267"/>
        <v>0</v>
      </c>
      <c r="FG186" s="139">
        <f t="shared" si="268"/>
        <v>0</v>
      </c>
      <c r="FH186" s="139">
        <f t="shared" si="269"/>
        <v>0</v>
      </c>
      <c r="FI186" s="139">
        <f t="shared" si="270"/>
        <v>0</v>
      </c>
      <c r="FJ186" s="139">
        <f t="shared" si="271"/>
        <v>0</v>
      </c>
      <c r="FK186" s="139">
        <f t="shared" si="272"/>
        <v>0</v>
      </c>
      <c r="FL186" s="139">
        <f t="shared" si="273"/>
        <v>0</v>
      </c>
      <c r="FM186" s="139">
        <f t="shared" si="274"/>
        <v>0</v>
      </c>
      <c r="FN186" s="139">
        <f t="shared" si="275"/>
        <v>0</v>
      </c>
      <c r="FO186" s="139">
        <f t="shared" si="276"/>
        <v>0</v>
      </c>
      <c r="FP186" s="139">
        <f t="shared" si="277"/>
        <v>0</v>
      </c>
      <c r="FQ186" s="139">
        <f t="shared" si="278"/>
        <v>0</v>
      </c>
      <c r="FR186" s="139">
        <f t="shared" si="279"/>
        <v>0</v>
      </c>
      <c r="FS186" s="139">
        <f t="shared" si="280"/>
        <v>0</v>
      </c>
      <c r="FT186" s="139">
        <f t="shared" si="281"/>
        <v>0</v>
      </c>
      <c r="FU186" s="148">
        <f t="shared" si="282"/>
        <v>28.237629889023626</v>
      </c>
      <c r="FV186" s="149"/>
      <c r="FY186" s="211">
        <v>181</v>
      </c>
      <c r="FZ186">
        <v>3.3046674162780074</v>
      </c>
      <c r="GA186">
        <v>14.015391236376933</v>
      </c>
      <c r="GB186">
        <v>12.176110197435875</v>
      </c>
      <c r="GC186">
        <v>10.165625032516482</v>
      </c>
      <c r="GD186">
        <v>12.562754629024997</v>
      </c>
      <c r="GE186">
        <v>22.701253038525092</v>
      </c>
      <c r="GF186">
        <v>17.878674304150806</v>
      </c>
      <c r="GG186">
        <v>8.2431777673389739</v>
      </c>
      <c r="GH186">
        <v>5.3836965978176679</v>
      </c>
      <c r="GI186">
        <v>15.331086846087658</v>
      </c>
      <c r="GJ186"/>
      <c r="GK186"/>
      <c r="GL186"/>
      <c r="GM186"/>
    </row>
    <row r="187" spans="1:195" s="7" customFormat="1">
      <c r="A187" s="1"/>
      <c r="B187" s="76">
        <f t="shared" ca="1" si="249"/>
        <v>0.78608030320005806</v>
      </c>
      <c r="C187">
        <v>8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90.271710681297009</v>
      </c>
      <c r="AO187">
        <v>34.541086865989897</v>
      </c>
      <c r="AP187">
        <v>219.30645757432762</v>
      </c>
      <c r="AQ187">
        <v>191.07129255847099</v>
      </c>
      <c r="AR187">
        <v>31.457843860667378</v>
      </c>
      <c r="AS187">
        <v>145.04822846198138</v>
      </c>
      <c r="AT187" t="e">
        <v>#DIV/0!</v>
      </c>
      <c r="AU187" t="e">
        <v>#DIV/0!</v>
      </c>
      <c r="AV187"/>
      <c r="AW187"/>
      <c r="AX187" s="146"/>
      <c r="AY187" s="76">
        <f t="shared" ca="1" si="172"/>
        <v>0.36532893387382281</v>
      </c>
      <c r="AZ187">
        <v>10</v>
      </c>
      <c r="BA187" s="129">
        <f t="shared" si="248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7"/>
        <v>0.26581888803444764</v>
      </c>
      <c r="CL187" s="179">
        <f t="shared" si="208"/>
        <v>10</v>
      </c>
      <c r="CM187" s="180">
        <f t="shared" si="209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10"/>
        <v>9.6000000000000002E-2</v>
      </c>
      <c r="DB187" s="146"/>
      <c r="DC187" s="76">
        <f t="shared" ca="1" si="173"/>
        <v>0.83874193777073902</v>
      </c>
      <c r="DD187">
        <f t="shared" si="211"/>
        <v>10</v>
      </c>
      <c r="DE187" s="129">
        <f t="shared" si="247"/>
        <v>39987</v>
      </c>
      <c r="DF187" s="161">
        <f t="shared" si="212"/>
        <v>0</v>
      </c>
      <c r="DG187" s="161">
        <f t="shared" si="213"/>
        <v>0</v>
      </c>
      <c r="DH187" s="161">
        <f t="shared" si="214"/>
        <v>0</v>
      </c>
      <c r="DI187" s="161">
        <f t="shared" si="215"/>
        <v>0</v>
      </c>
      <c r="DJ187" s="161">
        <f t="shared" si="216"/>
        <v>0</v>
      </c>
      <c r="DK187" s="161">
        <f t="shared" si="217"/>
        <v>0</v>
      </c>
      <c r="DL187" s="161">
        <f t="shared" si="218"/>
        <v>0</v>
      </c>
      <c r="DM187" s="161">
        <f t="shared" si="219"/>
        <v>0</v>
      </c>
      <c r="DN187" s="161">
        <f t="shared" si="220"/>
        <v>0</v>
      </c>
      <c r="DO187" s="161">
        <f t="shared" si="221"/>
        <v>0</v>
      </c>
      <c r="DP187" s="161">
        <f t="shared" si="222"/>
        <v>0</v>
      </c>
      <c r="DQ187" s="161">
        <f t="shared" si="223"/>
        <v>0</v>
      </c>
      <c r="DR187" s="161">
        <f t="shared" si="224"/>
        <v>0</v>
      </c>
      <c r="DS187" s="161">
        <f t="shared" si="225"/>
        <v>0</v>
      </c>
      <c r="DT187" s="161">
        <f t="shared" si="226"/>
        <v>0</v>
      </c>
      <c r="DU187" s="161">
        <f t="shared" si="227"/>
        <v>0</v>
      </c>
      <c r="DV187" s="161">
        <f t="shared" si="228"/>
        <v>0</v>
      </c>
      <c r="DW187" s="161">
        <f t="shared" si="229"/>
        <v>0</v>
      </c>
      <c r="DX187" s="161">
        <f t="shared" si="230"/>
        <v>0</v>
      </c>
      <c r="DY187" s="161">
        <f t="shared" si="231"/>
        <v>0</v>
      </c>
      <c r="DZ187" s="161">
        <f t="shared" si="232"/>
        <v>0</v>
      </c>
      <c r="EA187" s="161">
        <f t="shared" si="233"/>
        <v>0</v>
      </c>
      <c r="EB187" s="161">
        <f t="shared" si="234"/>
        <v>0</v>
      </c>
      <c r="EC187" s="161">
        <f t="shared" si="235"/>
        <v>0</v>
      </c>
      <c r="ED187" s="161">
        <f t="shared" si="236"/>
        <v>0</v>
      </c>
      <c r="EE187" s="161">
        <f t="shared" si="237"/>
        <v>0</v>
      </c>
      <c r="EF187" s="161">
        <f t="shared" si="238"/>
        <v>0</v>
      </c>
      <c r="EG187" s="161">
        <f t="shared" si="239"/>
        <v>0</v>
      </c>
      <c r="EH187" s="161">
        <f t="shared" si="240"/>
        <v>0</v>
      </c>
      <c r="EI187" s="161">
        <f t="shared" si="241"/>
        <v>0</v>
      </c>
      <c r="EJ187" s="161">
        <f t="shared" si="242"/>
        <v>0</v>
      </c>
      <c r="EK187" s="147">
        <f t="shared" si="250"/>
        <v>0</v>
      </c>
      <c r="EL187" s="149"/>
      <c r="EN187" s="146"/>
      <c r="EO187" s="146"/>
      <c r="EP187" s="139">
        <f t="shared" si="251"/>
        <v>0</v>
      </c>
      <c r="EQ187" s="139">
        <f t="shared" si="252"/>
        <v>0</v>
      </c>
      <c r="ER187" s="139">
        <f t="shared" si="253"/>
        <v>0</v>
      </c>
      <c r="ES187" s="139">
        <f t="shared" si="254"/>
        <v>0</v>
      </c>
      <c r="ET187" s="139">
        <f t="shared" si="255"/>
        <v>0</v>
      </c>
      <c r="EU187" s="139">
        <f t="shared" si="256"/>
        <v>0</v>
      </c>
      <c r="EV187" s="139">
        <f t="shared" si="257"/>
        <v>0</v>
      </c>
      <c r="EW187" s="139">
        <f t="shared" si="258"/>
        <v>0</v>
      </c>
      <c r="EX187" s="139">
        <f t="shared" si="259"/>
        <v>0</v>
      </c>
      <c r="EY187" s="139">
        <f t="shared" si="260"/>
        <v>0</v>
      </c>
      <c r="EZ187" s="139">
        <f t="shared" si="261"/>
        <v>0</v>
      </c>
      <c r="FA187" s="139">
        <f t="shared" si="262"/>
        <v>0</v>
      </c>
      <c r="FB187" s="139">
        <f t="shared" si="263"/>
        <v>0</v>
      </c>
      <c r="FC187" s="139">
        <f t="shared" si="264"/>
        <v>0</v>
      </c>
      <c r="FD187" s="139">
        <f t="shared" si="265"/>
        <v>0</v>
      </c>
      <c r="FE187" s="139">
        <f t="shared" si="266"/>
        <v>0</v>
      </c>
      <c r="FF187" s="139">
        <f t="shared" si="267"/>
        <v>0</v>
      </c>
      <c r="FG187" s="139">
        <f t="shared" si="268"/>
        <v>0</v>
      </c>
      <c r="FH187" s="139">
        <f t="shared" si="269"/>
        <v>0</v>
      </c>
      <c r="FI187" s="139">
        <f t="shared" si="270"/>
        <v>0</v>
      </c>
      <c r="FJ187" s="139">
        <f t="shared" si="271"/>
        <v>0</v>
      </c>
      <c r="FK187" s="139">
        <f t="shared" si="272"/>
        <v>0</v>
      </c>
      <c r="FL187" s="139">
        <f t="shared" si="273"/>
        <v>0</v>
      </c>
      <c r="FM187" s="139">
        <f t="shared" si="274"/>
        <v>0</v>
      </c>
      <c r="FN187" s="139">
        <f t="shared" si="275"/>
        <v>0</v>
      </c>
      <c r="FO187" s="139">
        <f t="shared" si="276"/>
        <v>0</v>
      </c>
      <c r="FP187" s="139">
        <f t="shared" si="277"/>
        <v>0</v>
      </c>
      <c r="FQ187" s="139">
        <f t="shared" si="278"/>
        <v>0</v>
      </c>
      <c r="FR187" s="139">
        <f t="shared" si="279"/>
        <v>0</v>
      </c>
      <c r="FS187" s="139">
        <f t="shared" si="280"/>
        <v>0</v>
      </c>
      <c r="FT187" s="139">
        <f t="shared" si="281"/>
        <v>0</v>
      </c>
      <c r="FU187" s="148">
        <f t="shared" si="282"/>
        <v>0</v>
      </c>
      <c r="FV187" s="149"/>
      <c r="FY187" s="211">
        <v>182</v>
      </c>
      <c r="FZ187">
        <v>8.5194909395394163</v>
      </c>
      <c r="GA187">
        <v>23.260078065270093</v>
      </c>
      <c r="GB187">
        <v>13.010245160593454</v>
      </c>
      <c r="GC187">
        <v>9.7126184752512259</v>
      </c>
      <c r="GD187">
        <v>13.769169112121277</v>
      </c>
      <c r="GE187">
        <v>26.280171599331005</v>
      </c>
      <c r="GF187">
        <v>20.432398339954133</v>
      </c>
      <c r="GG187">
        <v>17.666036181225692</v>
      </c>
      <c r="GH187">
        <v>17.100193089486908</v>
      </c>
      <c r="GI187">
        <v>19.417999631411334</v>
      </c>
      <c r="GJ187"/>
      <c r="GK187"/>
      <c r="GL187"/>
      <c r="GM187"/>
    </row>
    <row r="188" spans="1:195" s="7" customFormat="1">
      <c r="A188" s="128"/>
      <c r="B188" s="76" t="str">
        <f t="shared" ca="1" si="249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67.226693346988768</v>
      </c>
      <c r="AO188">
        <v>28.500074603943421</v>
      </c>
      <c r="AP188">
        <v>185.53758298083585</v>
      </c>
      <c r="AQ188">
        <v>158.31640472767305</v>
      </c>
      <c r="AR188">
        <v>25.330182306320214</v>
      </c>
      <c r="AS188">
        <v>118.80130972310708</v>
      </c>
      <c r="AT188" t="e">
        <v>#DIV/0!</v>
      </c>
      <c r="AU188" t="e">
        <v>#DIV/0!</v>
      </c>
      <c r="AV188"/>
      <c r="AW188"/>
      <c r="AX188" s="128"/>
      <c r="AY188" s="76" t="str">
        <f t="shared" ca="1" si="172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7"/>
        <v/>
      </c>
      <c r="CL188" s="179" t="str">
        <f t="shared" si="208"/>
        <v/>
      </c>
      <c r="CM188" s="180" t="str">
        <f t="shared" si="209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0"/>
        <v/>
      </c>
      <c r="DB188" s="128"/>
      <c r="DC188" s="76" t="str">
        <f t="shared" ca="1" si="173"/>
        <v/>
      </c>
      <c r="DD188" t="str">
        <f t="shared" si="211"/>
        <v/>
      </c>
      <c r="DE188" s="129" t="str">
        <f t="shared" ref="DE188:DE197" si="283">IF((DD188)="", "", $C$14)</f>
        <v/>
      </c>
      <c r="DF188" s="161" t="str">
        <f t="shared" ref="DF188:DF207" si="284">IF($AZ188="", "", ((BB188*$CW188)+(CN188*$CX188))/$CZ188)</f>
        <v/>
      </c>
      <c r="DG188" s="161" t="str">
        <f t="shared" ref="DG188:DG207" si="285">IF($AZ188="", "", ((BC188*$CW188)+(CO188*$CX188))/$CZ188)</f>
        <v/>
      </c>
      <c r="DH188" s="161" t="str">
        <f t="shared" ref="DH188:DH207" si="286">IF($AZ188="", "", ((BD188*$CW188)+(CP188*$CX188))/$CZ188)</f>
        <v/>
      </c>
      <c r="DI188" s="161" t="str">
        <f t="shared" ref="DI188:DI207" si="287">IF($AZ188="", "", ((BE188*$CW188)+(CQ188*$CX188))/$CZ188)</f>
        <v/>
      </c>
      <c r="DJ188" s="161" t="str">
        <f t="shared" ref="DJ188:DJ207" si="288">IF($AZ188="", "", ((BF188*$CW188)+(CR188*$CX188))/$CZ188)</f>
        <v/>
      </c>
      <c r="DK188" s="161" t="str">
        <f t="shared" ref="DK188:DK207" si="289">IF($AZ188="", "", ((BG188*$CW188)+(CS188*$CX188))/$CZ188)</f>
        <v/>
      </c>
      <c r="DL188" s="161" t="str">
        <f t="shared" ref="DL188:DL207" si="290">IF($AZ188="", "", ((BH188*$CW188)+(CT188*$CX188))/$CZ188)</f>
        <v/>
      </c>
      <c r="DM188" s="161" t="str">
        <f t="shared" ref="DM188:DM207" si="291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2">IF($AZ188="", "", (BK187*$CW188)/$CZ188)</f>
        <v/>
      </c>
      <c r="DP188" s="161" t="str">
        <f t="shared" ref="DP188:DP193" si="293">IF($AZ188="", "", (BL187*$CW188)/$CZ188)</f>
        <v/>
      </c>
      <c r="DQ188" s="161" t="str">
        <f t="shared" ref="DQ188:DQ193" si="294">IF($AZ188="", "", (BM187*$CW188)/$CZ188)</f>
        <v/>
      </c>
      <c r="DR188" s="161" t="str">
        <f t="shared" ref="DR188:DR193" si="295">IF($AZ188="", "", (BN187*$CW188)/$CZ188)</f>
        <v/>
      </c>
      <c r="DS188" s="161" t="str">
        <f t="shared" ref="DS188:DS193" si="296">IF($AZ188="", "", (BO187*$CW188)/$CZ188)</f>
        <v/>
      </c>
      <c r="DT188" s="161" t="str">
        <f t="shared" ref="DT188:DT193" si="297">IF($AZ188="", "", (BP187*$CW188)/$CZ188)</f>
        <v/>
      </c>
      <c r="DU188" s="161" t="str">
        <f t="shared" ref="DU188:DU193" si="298">IF($AZ188="", "", (BQ187*$CW188)/$CZ188)</f>
        <v/>
      </c>
      <c r="DV188" s="161" t="str">
        <f t="shared" ref="DV188:DV193" si="299">IF($AZ188="", "", (BR187*$CW188)/$CZ188)</f>
        <v/>
      </c>
      <c r="DW188" s="161" t="str">
        <f t="shared" ref="DW188:DW193" si="300">IF($AZ188="", "", (BS187*$CW188)/$CZ188)</f>
        <v/>
      </c>
      <c r="DX188" s="161" t="str">
        <f t="shared" ref="DX188:DX193" si="301">IF($AZ188="", "", (BT187*$CW188)/$CZ188)</f>
        <v/>
      </c>
      <c r="DY188" s="161" t="str">
        <f t="shared" ref="DY188:DY193" si="302">IF($AZ188="", "", (BU187*$CW188)/$CZ188)</f>
        <v/>
      </c>
      <c r="DZ188" s="161" t="str">
        <f t="shared" ref="DZ188:DZ193" si="303">IF($AZ188="", "", (BV187*$CW188)/$CZ188)</f>
        <v/>
      </c>
      <c r="EA188" s="161" t="str">
        <f t="shared" ref="EA188:EA193" si="304">IF($AZ188="", "", (BW187*$CW188)/$CZ188)</f>
        <v/>
      </c>
      <c r="EB188" s="161" t="str">
        <f t="shared" ref="EB188:EB193" si="305">IF($AZ188="", "", (BX187*$CW188)/$CZ188)</f>
        <v/>
      </c>
      <c r="EC188" s="161" t="str">
        <f t="shared" ref="EC188:EC193" si="306">IF($AZ188="", "", (BY187*$CW188)/$CZ188)</f>
        <v/>
      </c>
      <c r="ED188" s="161" t="str">
        <f t="shared" ref="ED188:ED193" si="307">IF($AZ188="", "", (BZ187*$CW188)/$CZ188)</f>
        <v/>
      </c>
      <c r="EE188" s="161" t="str">
        <f t="shared" ref="EE188:EE193" si="308">IF($AZ188="", "", (CA187*$CW188)/$CZ188)</f>
        <v/>
      </c>
      <c r="EF188" s="161" t="str">
        <f t="shared" ref="EF188:EF193" si="309">IF($AZ188="", "", (CB187*$CW188)/$CZ188)</f>
        <v/>
      </c>
      <c r="EG188" s="161" t="str">
        <f t="shared" ref="EG188:EG193" si="310">IF($AZ188="", "", (CC187*$CW188)/$CZ188)</f>
        <v/>
      </c>
      <c r="EH188" s="161" t="str">
        <f t="shared" ref="EH188:EH193" si="311">IF($AZ188="", "", (CD187*$CW188)/$CZ188)</f>
        <v/>
      </c>
      <c r="EI188" s="161" t="str">
        <f t="shared" ref="EI188:EI193" si="312">IF($AZ188="", "", (CE187*$CW188)/$CZ188)</f>
        <v/>
      </c>
      <c r="EJ188" s="161" t="str">
        <f t="shared" ref="EJ188:EJ193" si="313">IF($AZ188="", "", (CF187*$CW188)/$CZ188)</f>
        <v/>
      </c>
      <c r="EK188" s="147" t="str">
        <f t="shared" si="250"/>
        <v/>
      </c>
      <c r="EL188" s="149"/>
      <c r="EN188" s="146"/>
      <c r="EO188" s="146"/>
      <c r="EP188" s="139" t="str">
        <f t="shared" si="251"/>
        <v/>
      </c>
      <c r="EQ188" s="139" t="str">
        <f t="shared" si="252"/>
        <v/>
      </c>
      <c r="ER188" s="139" t="str">
        <f t="shared" si="253"/>
        <v/>
      </c>
      <c r="ES188" s="139" t="str">
        <f t="shared" si="254"/>
        <v/>
      </c>
      <c r="ET188" s="139" t="str">
        <f t="shared" si="255"/>
        <v/>
      </c>
      <c r="EU188" s="139" t="str">
        <f t="shared" si="256"/>
        <v/>
      </c>
      <c r="EV188" s="139" t="str">
        <f t="shared" si="257"/>
        <v/>
      </c>
      <c r="EW188" s="139" t="str">
        <f t="shared" si="258"/>
        <v/>
      </c>
      <c r="EX188" s="139" t="str">
        <f t="shared" si="259"/>
        <v/>
      </c>
      <c r="EY188" s="139" t="str">
        <f t="shared" si="260"/>
        <v/>
      </c>
      <c r="EZ188" s="139" t="str">
        <f t="shared" si="261"/>
        <v/>
      </c>
      <c r="FA188" s="139" t="str">
        <f t="shared" si="262"/>
        <v/>
      </c>
      <c r="FB188" s="139" t="str">
        <f t="shared" si="263"/>
        <v/>
      </c>
      <c r="FC188" s="139" t="str">
        <f t="shared" si="264"/>
        <v/>
      </c>
      <c r="FD188" s="139" t="str">
        <f t="shared" si="265"/>
        <v/>
      </c>
      <c r="FE188" s="139" t="str">
        <f t="shared" si="266"/>
        <v/>
      </c>
      <c r="FF188" s="139" t="str">
        <f t="shared" si="267"/>
        <v/>
      </c>
      <c r="FG188" s="139" t="str">
        <f t="shared" si="268"/>
        <v/>
      </c>
      <c r="FH188" s="139" t="str">
        <f t="shared" si="269"/>
        <v/>
      </c>
      <c r="FI188" s="139" t="str">
        <f t="shared" si="270"/>
        <v/>
      </c>
      <c r="FJ188" s="139" t="str">
        <f t="shared" si="271"/>
        <v/>
      </c>
      <c r="FK188" s="139" t="str">
        <f t="shared" si="272"/>
        <v/>
      </c>
      <c r="FL188" s="139" t="str">
        <f t="shared" si="273"/>
        <v/>
      </c>
      <c r="FM188" s="139" t="str">
        <f t="shared" si="274"/>
        <v/>
      </c>
      <c r="FN188" s="139" t="str">
        <f t="shared" si="275"/>
        <v/>
      </c>
      <c r="FO188" s="139" t="str">
        <f t="shared" si="276"/>
        <v/>
      </c>
      <c r="FP188" s="139" t="str">
        <f t="shared" si="277"/>
        <v/>
      </c>
      <c r="FQ188" s="139" t="str">
        <f t="shared" si="278"/>
        <v/>
      </c>
      <c r="FR188" s="139" t="str">
        <f t="shared" si="279"/>
        <v/>
      </c>
      <c r="FS188" s="139" t="str">
        <f t="shared" si="280"/>
        <v/>
      </c>
      <c r="FT188" s="139" t="str">
        <f t="shared" si="281"/>
        <v/>
      </c>
      <c r="FU188" s="148" t="str">
        <f t="shared" si="282"/>
        <v/>
      </c>
      <c r="FV188" s="149"/>
      <c r="FY188" s="211">
        <v>183</v>
      </c>
      <c r="FZ188">
        <v>6.4138280598633424</v>
      </c>
      <c r="GA188">
        <v>19.078199345305254</v>
      </c>
      <c r="GB188">
        <v>15.02269190647905</v>
      </c>
      <c r="GC188">
        <v>12.907304721231888</v>
      </c>
      <c r="GD188">
        <v>13.250255831020663</v>
      </c>
      <c r="GE188">
        <v>22.098739944123725</v>
      </c>
      <c r="GF188">
        <v>26.480944323786265</v>
      </c>
      <c r="GG188">
        <v>21.954434101674071</v>
      </c>
      <c r="GH188">
        <v>14.666103435989292</v>
      </c>
      <c r="GI188">
        <v>19.999159212582239</v>
      </c>
      <c r="GJ188"/>
      <c r="GK188"/>
      <c r="GL188"/>
      <c r="GM188"/>
    </row>
    <row r="189" spans="1:195" s="7" customFormat="1">
      <c r="A189" s="1"/>
      <c r="B189" s="76" t="str">
        <f t="shared" ca="1" si="249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70.275413335094541</v>
      </c>
      <c r="AO189">
        <v>28.149402853283128</v>
      </c>
      <c r="AP189">
        <v>184.62644607602175</v>
      </c>
      <c r="AQ189">
        <v>159.61073563175452</v>
      </c>
      <c r="AR189">
        <v>25.516938083661682</v>
      </c>
      <c r="AS189">
        <v>119.24685879014203</v>
      </c>
      <c r="AT189">
        <v>19.809054658835148</v>
      </c>
      <c r="AU189">
        <v>18.290061539215245</v>
      </c>
      <c r="AV189"/>
      <c r="AW189"/>
      <c r="AX189" s="146"/>
      <c r="AY189" s="76" t="str">
        <f t="shared" ca="1" si="172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7"/>
        <v/>
      </c>
      <c r="CL189" s="179" t="str">
        <f t="shared" si="208"/>
        <v/>
      </c>
      <c r="CM189" s="180" t="str">
        <f t="shared" si="209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0"/>
        <v/>
      </c>
      <c r="DB189" s="146"/>
      <c r="DC189" s="76" t="str">
        <f t="shared" ca="1" si="173"/>
        <v/>
      </c>
      <c r="DD189" t="str">
        <f t="shared" si="211"/>
        <v/>
      </c>
      <c r="DE189" s="129" t="str">
        <f t="shared" si="283"/>
        <v/>
      </c>
      <c r="DF189" s="161" t="str">
        <f t="shared" si="284"/>
        <v/>
      </c>
      <c r="DG189" s="161" t="str">
        <f t="shared" si="285"/>
        <v/>
      </c>
      <c r="DH189" s="161" t="str">
        <f t="shared" si="286"/>
        <v/>
      </c>
      <c r="DI189" s="161" t="str">
        <f t="shared" si="287"/>
        <v/>
      </c>
      <c r="DJ189" s="161" t="str">
        <f t="shared" si="288"/>
        <v/>
      </c>
      <c r="DK189" s="161" t="str">
        <f t="shared" si="289"/>
        <v/>
      </c>
      <c r="DL189" s="161" t="str">
        <f t="shared" si="290"/>
        <v/>
      </c>
      <c r="DM189" s="161" t="str">
        <f t="shared" si="291"/>
        <v/>
      </c>
      <c r="DN189" s="161" t="str">
        <f>IF($AZ189="", "", (BJ189*$CW189)/$CZ189)</f>
        <v/>
      </c>
      <c r="DO189" s="161" t="str">
        <f t="shared" si="292"/>
        <v/>
      </c>
      <c r="DP189" s="161" t="str">
        <f t="shared" si="293"/>
        <v/>
      </c>
      <c r="DQ189" s="161" t="str">
        <f t="shared" si="294"/>
        <v/>
      </c>
      <c r="DR189" s="161" t="str">
        <f t="shared" si="295"/>
        <v/>
      </c>
      <c r="DS189" s="161" t="str">
        <f t="shared" si="296"/>
        <v/>
      </c>
      <c r="DT189" s="161" t="str">
        <f t="shared" si="297"/>
        <v/>
      </c>
      <c r="DU189" s="161" t="str">
        <f t="shared" si="298"/>
        <v/>
      </c>
      <c r="DV189" s="161" t="str">
        <f t="shared" si="299"/>
        <v/>
      </c>
      <c r="DW189" s="161" t="str">
        <f t="shared" si="300"/>
        <v/>
      </c>
      <c r="DX189" s="161" t="str">
        <f t="shared" si="301"/>
        <v/>
      </c>
      <c r="DY189" s="161" t="str">
        <f t="shared" si="302"/>
        <v/>
      </c>
      <c r="DZ189" s="161" t="str">
        <f t="shared" si="303"/>
        <v/>
      </c>
      <c r="EA189" s="161" t="str">
        <f t="shared" si="304"/>
        <v/>
      </c>
      <c r="EB189" s="161" t="str">
        <f t="shared" si="305"/>
        <v/>
      </c>
      <c r="EC189" s="161" t="str">
        <f t="shared" si="306"/>
        <v/>
      </c>
      <c r="ED189" s="161" t="str">
        <f t="shared" si="307"/>
        <v/>
      </c>
      <c r="EE189" s="161" t="str">
        <f t="shared" si="308"/>
        <v/>
      </c>
      <c r="EF189" s="161" t="str">
        <f t="shared" si="309"/>
        <v/>
      </c>
      <c r="EG189" s="161" t="str">
        <f t="shared" si="310"/>
        <v/>
      </c>
      <c r="EH189" s="161" t="str">
        <f t="shared" si="311"/>
        <v/>
      </c>
      <c r="EI189" s="161" t="str">
        <f t="shared" si="312"/>
        <v/>
      </c>
      <c r="EJ189" s="161" t="str">
        <f t="shared" si="313"/>
        <v/>
      </c>
      <c r="EK189" s="147" t="str">
        <f t="shared" si="250"/>
        <v/>
      </c>
      <c r="EL189" s="149"/>
      <c r="EN189" s="146"/>
      <c r="EO189" s="146"/>
      <c r="EP189" s="139" t="str">
        <f t="shared" si="251"/>
        <v/>
      </c>
      <c r="EQ189" s="139" t="str">
        <f t="shared" si="252"/>
        <v/>
      </c>
      <c r="ER189" s="139" t="str">
        <f t="shared" si="253"/>
        <v/>
      </c>
      <c r="ES189" s="139" t="str">
        <f t="shared" si="254"/>
        <v/>
      </c>
      <c r="ET189" s="139" t="str">
        <f t="shared" si="255"/>
        <v/>
      </c>
      <c r="EU189" s="139" t="str">
        <f t="shared" si="256"/>
        <v/>
      </c>
      <c r="EV189" s="139" t="str">
        <f t="shared" si="257"/>
        <v/>
      </c>
      <c r="EW189" s="139" t="str">
        <f t="shared" si="258"/>
        <v/>
      </c>
      <c r="EX189" s="139" t="str">
        <f t="shared" si="259"/>
        <v/>
      </c>
      <c r="EY189" s="139" t="str">
        <f t="shared" si="260"/>
        <v/>
      </c>
      <c r="EZ189" s="139" t="str">
        <f t="shared" si="261"/>
        <v/>
      </c>
      <c r="FA189" s="139" t="str">
        <f t="shared" si="262"/>
        <v/>
      </c>
      <c r="FB189" s="139" t="str">
        <f t="shared" si="263"/>
        <v/>
      </c>
      <c r="FC189" s="139" t="str">
        <f t="shared" si="264"/>
        <v/>
      </c>
      <c r="FD189" s="139" t="str">
        <f t="shared" si="265"/>
        <v/>
      </c>
      <c r="FE189" s="139" t="str">
        <f t="shared" si="266"/>
        <v/>
      </c>
      <c r="FF189" s="139" t="str">
        <f t="shared" si="267"/>
        <v/>
      </c>
      <c r="FG189" s="139" t="str">
        <f t="shared" si="268"/>
        <v/>
      </c>
      <c r="FH189" s="139" t="str">
        <f t="shared" si="269"/>
        <v/>
      </c>
      <c r="FI189" s="139" t="str">
        <f t="shared" si="270"/>
        <v/>
      </c>
      <c r="FJ189" s="139" t="str">
        <f t="shared" si="271"/>
        <v/>
      </c>
      <c r="FK189" s="139" t="str">
        <f t="shared" si="272"/>
        <v/>
      </c>
      <c r="FL189" s="139" t="str">
        <f t="shared" si="273"/>
        <v/>
      </c>
      <c r="FM189" s="139" t="str">
        <f t="shared" si="274"/>
        <v/>
      </c>
      <c r="FN189" s="139" t="str">
        <f t="shared" si="275"/>
        <v/>
      </c>
      <c r="FO189" s="139" t="str">
        <f t="shared" si="276"/>
        <v/>
      </c>
      <c r="FP189" s="139" t="str">
        <f t="shared" si="277"/>
        <v/>
      </c>
      <c r="FQ189" s="139" t="str">
        <f t="shared" si="278"/>
        <v/>
      </c>
      <c r="FR189" s="139" t="str">
        <f t="shared" si="279"/>
        <v/>
      </c>
      <c r="FS189" s="139" t="str">
        <f t="shared" si="280"/>
        <v/>
      </c>
      <c r="FT189" s="139" t="str">
        <f t="shared" si="281"/>
        <v/>
      </c>
      <c r="FU189" s="148" t="str">
        <f t="shared" si="282"/>
        <v/>
      </c>
      <c r="FV189" s="149"/>
      <c r="FY189" s="211">
        <v>184</v>
      </c>
      <c r="FZ189">
        <v>1.8061122281422453</v>
      </c>
      <c r="GA189">
        <v>10.351832168051057</v>
      </c>
      <c r="GB189">
        <v>19.635122561401925</v>
      </c>
      <c r="GC189">
        <v>14.535372196121831</v>
      </c>
      <c r="GD189">
        <v>11.155194747814878</v>
      </c>
      <c r="GE189">
        <v>21.284134204087856</v>
      </c>
      <c r="GF189">
        <v>21.993347043522029</v>
      </c>
      <c r="GG189">
        <v>17.092005496975261</v>
      </c>
      <c r="GH189">
        <v>15.316136242515093</v>
      </c>
      <c r="GI189">
        <v>18.464783366645733</v>
      </c>
      <c r="GJ189"/>
      <c r="GK189"/>
      <c r="GL189"/>
      <c r="GM189"/>
    </row>
    <row r="190" spans="1:195" s="7" customFormat="1">
      <c r="A190" s="1"/>
      <c r="B190" s="76" t="str">
        <f t="shared" ca="1" si="249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72.592053879522211</v>
      </c>
      <c r="AO190">
        <v>26.783862342843531</v>
      </c>
      <c r="AP190">
        <v>191.23746769325024</v>
      </c>
      <c r="AQ190">
        <v>162.04717809696771</v>
      </c>
      <c r="AR190">
        <v>24.162386861272399</v>
      </c>
      <c r="AS190">
        <v>120.52144105251504</v>
      </c>
      <c r="AT190">
        <v>18.734800863895138</v>
      </c>
      <c r="AU190">
        <v>36.573592012504776</v>
      </c>
      <c r="AV190"/>
      <c r="AW190"/>
      <c r="AX190" s="146"/>
      <c r="AY190" s="76" t="str">
        <f t="shared" ca="1" si="172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7"/>
        <v/>
      </c>
      <c r="CL190" s="179" t="str">
        <f t="shared" si="208"/>
        <v/>
      </c>
      <c r="CM190" s="180" t="str">
        <f t="shared" si="209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0"/>
        <v/>
      </c>
      <c r="DB190" s="146"/>
      <c r="DC190" s="76" t="str">
        <f t="shared" ca="1" si="173"/>
        <v/>
      </c>
      <c r="DD190" t="str">
        <f t="shared" si="211"/>
        <v/>
      </c>
      <c r="DE190" s="129" t="str">
        <f t="shared" si="283"/>
        <v/>
      </c>
      <c r="DF190" s="161" t="str">
        <f t="shared" si="284"/>
        <v/>
      </c>
      <c r="DG190" s="161" t="str">
        <f t="shared" si="285"/>
        <v/>
      </c>
      <c r="DH190" s="161" t="str">
        <f t="shared" si="286"/>
        <v/>
      </c>
      <c r="DI190" s="161" t="str">
        <f t="shared" si="287"/>
        <v/>
      </c>
      <c r="DJ190" s="161" t="str">
        <f t="shared" si="288"/>
        <v/>
      </c>
      <c r="DK190" s="161" t="str">
        <f t="shared" si="289"/>
        <v/>
      </c>
      <c r="DL190" s="161" t="str">
        <f t="shared" si="290"/>
        <v/>
      </c>
      <c r="DM190" s="161" t="str">
        <f t="shared" si="291"/>
        <v/>
      </c>
      <c r="DN190" s="161" t="str">
        <f>IF($AZ190="", "", (BJ190*$CW190)/$CZ190)</f>
        <v/>
      </c>
      <c r="DO190" s="161" t="str">
        <f t="shared" si="292"/>
        <v/>
      </c>
      <c r="DP190" s="161" t="str">
        <f t="shared" si="293"/>
        <v/>
      </c>
      <c r="DQ190" s="161" t="str">
        <f t="shared" si="294"/>
        <v/>
      </c>
      <c r="DR190" s="161" t="str">
        <f t="shared" si="295"/>
        <v/>
      </c>
      <c r="DS190" s="161" t="str">
        <f t="shared" si="296"/>
        <v/>
      </c>
      <c r="DT190" s="161" t="str">
        <f t="shared" si="297"/>
        <v/>
      </c>
      <c r="DU190" s="161" t="str">
        <f t="shared" si="298"/>
        <v/>
      </c>
      <c r="DV190" s="161" t="str">
        <f t="shared" si="299"/>
        <v/>
      </c>
      <c r="DW190" s="161" t="str">
        <f t="shared" si="300"/>
        <v/>
      </c>
      <c r="DX190" s="161" t="str">
        <f t="shared" si="301"/>
        <v/>
      </c>
      <c r="DY190" s="161" t="str">
        <f t="shared" si="302"/>
        <v/>
      </c>
      <c r="DZ190" s="161" t="str">
        <f t="shared" si="303"/>
        <v/>
      </c>
      <c r="EA190" s="161" t="str">
        <f t="shared" si="304"/>
        <v/>
      </c>
      <c r="EB190" s="161" t="str">
        <f t="shared" si="305"/>
        <v/>
      </c>
      <c r="EC190" s="161" t="str">
        <f t="shared" si="306"/>
        <v/>
      </c>
      <c r="ED190" s="161" t="str">
        <f t="shared" si="307"/>
        <v/>
      </c>
      <c r="EE190" s="161" t="str">
        <f t="shared" si="308"/>
        <v/>
      </c>
      <c r="EF190" s="161" t="str">
        <f t="shared" si="309"/>
        <v/>
      </c>
      <c r="EG190" s="161" t="str">
        <f t="shared" si="310"/>
        <v/>
      </c>
      <c r="EH190" s="161" t="str">
        <f t="shared" si="311"/>
        <v/>
      </c>
      <c r="EI190" s="161" t="str">
        <f t="shared" si="312"/>
        <v/>
      </c>
      <c r="EJ190" s="161" t="str">
        <f t="shared" si="313"/>
        <v/>
      </c>
      <c r="EK190" s="147" t="str">
        <f t="shared" si="250"/>
        <v/>
      </c>
      <c r="EL190" s="149"/>
      <c r="EN190" s="146"/>
      <c r="EO190" s="146"/>
      <c r="EP190" s="139" t="str">
        <f t="shared" si="251"/>
        <v/>
      </c>
      <c r="EQ190" s="139" t="str">
        <f t="shared" si="252"/>
        <v/>
      </c>
      <c r="ER190" s="139" t="str">
        <f t="shared" si="253"/>
        <v/>
      </c>
      <c r="ES190" s="139" t="str">
        <f t="shared" si="254"/>
        <v/>
      </c>
      <c r="ET190" s="139" t="str">
        <f t="shared" si="255"/>
        <v/>
      </c>
      <c r="EU190" s="139" t="str">
        <f t="shared" si="256"/>
        <v/>
      </c>
      <c r="EV190" s="139" t="str">
        <f t="shared" si="257"/>
        <v/>
      </c>
      <c r="EW190" s="139" t="str">
        <f t="shared" si="258"/>
        <v/>
      </c>
      <c r="EX190" s="139" t="str">
        <f t="shared" si="259"/>
        <v/>
      </c>
      <c r="EY190" s="139" t="str">
        <f t="shared" si="260"/>
        <v/>
      </c>
      <c r="EZ190" s="139" t="str">
        <f t="shared" si="261"/>
        <v/>
      </c>
      <c r="FA190" s="139" t="str">
        <f t="shared" si="262"/>
        <v/>
      </c>
      <c r="FB190" s="139" t="str">
        <f t="shared" si="263"/>
        <v/>
      </c>
      <c r="FC190" s="139" t="str">
        <f t="shared" si="264"/>
        <v/>
      </c>
      <c r="FD190" s="139" t="str">
        <f t="shared" si="265"/>
        <v/>
      </c>
      <c r="FE190" s="139" t="str">
        <f t="shared" si="266"/>
        <v/>
      </c>
      <c r="FF190" s="139" t="str">
        <f t="shared" si="267"/>
        <v/>
      </c>
      <c r="FG190" s="139" t="str">
        <f t="shared" si="268"/>
        <v/>
      </c>
      <c r="FH190" s="139" t="str">
        <f t="shared" si="269"/>
        <v/>
      </c>
      <c r="FI190" s="139" t="str">
        <f t="shared" si="270"/>
        <v/>
      </c>
      <c r="FJ190" s="139" t="str">
        <f t="shared" si="271"/>
        <v/>
      </c>
      <c r="FK190" s="139" t="str">
        <f t="shared" si="272"/>
        <v/>
      </c>
      <c r="FL190" s="139" t="str">
        <f t="shared" si="273"/>
        <v/>
      </c>
      <c r="FM190" s="139" t="str">
        <f t="shared" si="274"/>
        <v/>
      </c>
      <c r="FN190" s="139" t="str">
        <f t="shared" si="275"/>
        <v/>
      </c>
      <c r="FO190" s="139" t="str">
        <f t="shared" si="276"/>
        <v/>
      </c>
      <c r="FP190" s="139" t="str">
        <f t="shared" si="277"/>
        <v/>
      </c>
      <c r="FQ190" s="139" t="str">
        <f t="shared" si="278"/>
        <v/>
      </c>
      <c r="FR190" s="139" t="str">
        <f t="shared" si="279"/>
        <v/>
      </c>
      <c r="FS190" s="139" t="str">
        <f t="shared" si="280"/>
        <v/>
      </c>
      <c r="FT190" s="139" t="str">
        <f t="shared" si="281"/>
        <v/>
      </c>
      <c r="FU190" s="148" t="str">
        <f t="shared" si="282"/>
        <v/>
      </c>
      <c r="FV190" s="149"/>
      <c r="FY190" s="211">
        <v>185</v>
      </c>
      <c r="FZ190">
        <v>4.2947005281037693</v>
      </c>
      <c r="GA190">
        <v>22.157654077561514</v>
      </c>
      <c r="GB190">
        <v>21.969371824172431</v>
      </c>
      <c r="GC190">
        <v>14.024374918232109</v>
      </c>
      <c r="GD190">
        <v>11.223908966009159</v>
      </c>
      <c r="GE190">
        <v>19.099045308780305</v>
      </c>
      <c r="GF190">
        <v>21.441466743952127</v>
      </c>
      <c r="GG190">
        <v>30.262556023467539</v>
      </c>
      <c r="GH190">
        <v>29.169768873428993</v>
      </c>
      <c r="GI190">
        <v>21.581341834503665</v>
      </c>
      <c r="GJ190"/>
      <c r="GK190"/>
      <c r="GL190"/>
      <c r="GM190"/>
    </row>
    <row r="191" spans="1:195" s="7" customFormat="1">
      <c r="A191" s="1"/>
      <c r="B191" s="76" t="str">
        <f t="shared" ca="1" si="249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97.088283319417542</v>
      </c>
      <c r="AO191">
        <v>36.803685236801982</v>
      </c>
      <c r="AP191">
        <v>230.18329529916329</v>
      </c>
      <c r="AQ191">
        <v>198.91270370487661</v>
      </c>
      <c r="AR191">
        <v>34.130781907595335</v>
      </c>
      <c r="AS191">
        <v>163.88891649646303</v>
      </c>
      <c r="AT191">
        <v>24.933803719140613</v>
      </c>
      <c r="AU191">
        <v>46.086460600416189</v>
      </c>
      <c r="AV191"/>
      <c r="AW191"/>
      <c r="AX191" s="146"/>
      <c r="AY191" s="76" t="str">
        <f t="shared" ca="1" si="172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7"/>
        <v/>
      </c>
      <c r="CL191" s="179" t="str">
        <f t="shared" si="208"/>
        <v/>
      </c>
      <c r="CM191" s="180" t="str">
        <f t="shared" si="209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0"/>
        <v/>
      </c>
      <c r="DB191" s="146"/>
      <c r="DC191" s="76" t="str">
        <f t="shared" ca="1" si="173"/>
        <v/>
      </c>
      <c r="DD191" t="str">
        <f t="shared" si="211"/>
        <v/>
      </c>
      <c r="DE191" s="129" t="str">
        <f t="shared" si="283"/>
        <v/>
      </c>
      <c r="DF191" s="161" t="str">
        <f t="shared" si="284"/>
        <v/>
      </c>
      <c r="DG191" s="161" t="str">
        <f t="shared" si="285"/>
        <v/>
      </c>
      <c r="DH191" s="161" t="str">
        <f t="shared" si="286"/>
        <v/>
      </c>
      <c r="DI191" s="161" t="str">
        <f t="shared" si="287"/>
        <v/>
      </c>
      <c r="DJ191" s="161" t="str">
        <f t="shared" si="288"/>
        <v/>
      </c>
      <c r="DK191" s="161" t="str">
        <f t="shared" si="289"/>
        <v/>
      </c>
      <c r="DL191" s="161" t="str">
        <f t="shared" si="290"/>
        <v/>
      </c>
      <c r="DM191" s="161" t="str">
        <f t="shared" si="291"/>
        <v/>
      </c>
      <c r="DN191" s="161" t="str">
        <f>IF($AZ191="", "", (BJ191*$CW191)/$CZ191)</f>
        <v/>
      </c>
      <c r="DO191" s="161" t="str">
        <f t="shared" si="292"/>
        <v/>
      </c>
      <c r="DP191" s="161" t="str">
        <f t="shared" si="293"/>
        <v/>
      </c>
      <c r="DQ191" s="161" t="str">
        <f t="shared" si="294"/>
        <v/>
      </c>
      <c r="DR191" s="161" t="str">
        <f t="shared" si="295"/>
        <v/>
      </c>
      <c r="DS191" s="161" t="str">
        <f t="shared" si="296"/>
        <v/>
      </c>
      <c r="DT191" s="161" t="str">
        <f t="shared" si="297"/>
        <v/>
      </c>
      <c r="DU191" s="161" t="str">
        <f t="shared" si="298"/>
        <v/>
      </c>
      <c r="DV191" s="161" t="str">
        <f t="shared" si="299"/>
        <v/>
      </c>
      <c r="DW191" s="161" t="str">
        <f t="shared" si="300"/>
        <v/>
      </c>
      <c r="DX191" s="161" t="str">
        <f t="shared" si="301"/>
        <v/>
      </c>
      <c r="DY191" s="161" t="str">
        <f t="shared" si="302"/>
        <v/>
      </c>
      <c r="DZ191" s="161" t="str">
        <f t="shared" si="303"/>
        <v/>
      </c>
      <c r="EA191" s="161" t="str">
        <f t="shared" si="304"/>
        <v/>
      </c>
      <c r="EB191" s="161" t="str">
        <f t="shared" si="305"/>
        <v/>
      </c>
      <c r="EC191" s="161" t="str">
        <f t="shared" si="306"/>
        <v/>
      </c>
      <c r="ED191" s="161" t="str">
        <f t="shared" si="307"/>
        <v/>
      </c>
      <c r="EE191" s="161" t="str">
        <f t="shared" si="308"/>
        <v/>
      </c>
      <c r="EF191" s="161" t="str">
        <f t="shared" si="309"/>
        <v/>
      </c>
      <c r="EG191" s="161" t="str">
        <f t="shared" si="310"/>
        <v/>
      </c>
      <c r="EH191" s="161" t="str">
        <f t="shared" si="311"/>
        <v/>
      </c>
      <c r="EI191" s="161" t="str">
        <f t="shared" si="312"/>
        <v/>
      </c>
      <c r="EJ191" s="161" t="str">
        <f t="shared" si="313"/>
        <v/>
      </c>
      <c r="EK191" s="147" t="str">
        <f t="shared" si="250"/>
        <v/>
      </c>
      <c r="EL191" s="149"/>
      <c r="EN191" s="146"/>
      <c r="EO191" s="146"/>
      <c r="EP191" s="139" t="str">
        <f t="shared" si="251"/>
        <v/>
      </c>
      <c r="EQ191" s="139" t="str">
        <f t="shared" si="252"/>
        <v/>
      </c>
      <c r="ER191" s="139" t="str">
        <f t="shared" si="253"/>
        <v/>
      </c>
      <c r="ES191" s="139" t="str">
        <f t="shared" si="254"/>
        <v/>
      </c>
      <c r="ET191" s="139" t="str">
        <f t="shared" si="255"/>
        <v/>
      </c>
      <c r="EU191" s="139" t="str">
        <f t="shared" si="256"/>
        <v/>
      </c>
      <c r="EV191" s="139" t="str">
        <f t="shared" si="257"/>
        <v/>
      </c>
      <c r="EW191" s="139" t="str">
        <f t="shared" si="258"/>
        <v/>
      </c>
      <c r="EX191" s="139" t="str">
        <f t="shared" si="259"/>
        <v/>
      </c>
      <c r="EY191" s="139" t="str">
        <f t="shared" si="260"/>
        <v/>
      </c>
      <c r="EZ191" s="139" t="str">
        <f t="shared" si="261"/>
        <v/>
      </c>
      <c r="FA191" s="139" t="str">
        <f t="shared" si="262"/>
        <v/>
      </c>
      <c r="FB191" s="139" t="str">
        <f t="shared" si="263"/>
        <v/>
      </c>
      <c r="FC191" s="139" t="str">
        <f t="shared" si="264"/>
        <v/>
      </c>
      <c r="FD191" s="139" t="str">
        <f t="shared" si="265"/>
        <v/>
      </c>
      <c r="FE191" s="139" t="str">
        <f t="shared" si="266"/>
        <v/>
      </c>
      <c r="FF191" s="139" t="str">
        <f t="shared" si="267"/>
        <v/>
      </c>
      <c r="FG191" s="139" t="str">
        <f t="shared" si="268"/>
        <v/>
      </c>
      <c r="FH191" s="139" t="str">
        <f t="shared" si="269"/>
        <v/>
      </c>
      <c r="FI191" s="139" t="str">
        <f t="shared" si="270"/>
        <v/>
      </c>
      <c r="FJ191" s="139" t="str">
        <f t="shared" si="271"/>
        <v/>
      </c>
      <c r="FK191" s="139" t="str">
        <f t="shared" si="272"/>
        <v/>
      </c>
      <c r="FL191" s="139" t="str">
        <f t="shared" si="273"/>
        <v/>
      </c>
      <c r="FM191" s="139" t="str">
        <f t="shared" si="274"/>
        <v/>
      </c>
      <c r="FN191" s="139" t="str">
        <f t="shared" si="275"/>
        <v/>
      </c>
      <c r="FO191" s="139" t="str">
        <f t="shared" si="276"/>
        <v/>
      </c>
      <c r="FP191" s="139" t="str">
        <f t="shared" si="277"/>
        <v/>
      </c>
      <c r="FQ191" s="139" t="str">
        <f t="shared" si="278"/>
        <v/>
      </c>
      <c r="FR191" s="139" t="str">
        <f t="shared" si="279"/>
        <v/>
      </c>
      <c r="FS191" s="139" t="str">
        <f t="shared" si="280"/>
        <v/>
      </c>
      <c r="FT191" s="139" t="str">
        <f t="shared" si="281"/>
        <v/>
      </c>
      <c r="FU191" s="148" t="str">
        <f t="shared" si="282"/>
        <v/>
      </c>
      <c r="FV191" s="149"/>
      <c r="FY191" s="211">
        <v>186</v>
      </c>
      <c r="FZ191">
        <v>2.9278486704431179</v>
      </c>
      <c r="GA191">
        <v>12.092866013755614</v>
      </c>
      <c r="GB191">
        <v>29.047865064307068</v>
      </c>
      <c r="GC191">
        <v>19.597325753645116</v>
      </c>
      <c r="GD191">
        <v>9.3063290510209882</v>
      </c>
      <c r="GE191">
        <v>21.565380155820417</v>
      </c>
      <c r="GF191">
        <v>48.72036599797498</v>
      </c>
      <c r="GG191">
        <v>26.406448226935638</v>
      </c>
      <c r="GH191">
        <v>4.80695061456339</v>
      </c>
      <c r="GI191">
        <v>23.291693059321371</v>
      </c>
      <c r="GJ191"/>
      <c r="GK191"/>
      <c r="GL191"/>
      <c r="GM191"/>
    </row>
    <row r="192" spans="1:195" s="7" customFormat="1">
      <c r="A192" s="1"/>
      <c r="B192" s="76" t="str">
        <f t="shared" ca="1" si="249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79.147956152935279</v>
      </c>
      <c r="AO192">
        <v>28.120342202701636</v>
      </c>
      <c r="AP192">
        <v>192.05245494439805</v>
      </c>
      <c r="AQ192">
        <v>167.14800921632653</v>
      </c>
      <c r="AR192">
        <v>26.166187982469609</v>
      </c>
      <c r="AS192">
        <v>125.71719411529362</v>
      </c>
      <c r="AT192">
        <v>19.703678205004241</v>
      </c>
      <c r="AU192">
        <v>37.065832940934357</v>
      </c>
      <c r="AV192"/>
      <c r="AW192"/>
      <c r="AX192" s="146"/>
      <c r="AY192" s="76" t="str">
        <f t="shared" ca="1" si="172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7"/>
        <v/>
      </c>
      <c r="CL192" s="179" t="str">
        <f t="shared" si="208"/>
        <v/>
      </c>
      <c r="CM192" s="180" t="str">
        <f t="shared" si="209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0"/>
        <v/>
      </c>
      <c r="DB192" s="146"/>
      <c r="DC192" s="76" t="str">
        <f t="shared" ca="1" si="173"/>
        <v/>
      </c>
      <c r="DD192" t="str">
        <f t="shared" si="211"/>
        <v/>
      </c>
      <c r="DE192" s="129" t="str">
        <f t="shared" si="283"/>
        <v/>
      </c>
      <c r="DF192" s="161" t="str">
        <f t="shared" si="284"/>
        <v/>
      </c>
      <c r="DG192" s="161" t="str">
        <f t="shared" si="285"/>
        <v/>
      </c>
      <c r="DH192" s="161" t="str">
        <f t="shared" si="286"/>
        <v/>
      </c>
      <c r="DI192" s="161" t="str">
        <f t="shared" si="287"/>
        <v/>
      </c>
      <c r="DJ192" s="161" t="str">
        <f t="shared" si="288"/>
        <v/>
      </c>
      <c r="DK192" s="161" t="str">
        <f t="shared" si="289"/>
        <v/>
      </c>
      <c r="DL192" s="161" t="str">
        <f t="shared" si="290"/>
        <v/>
      </c>
      <c r="DM192" s="161" t="str">
        <f t="shared" si="291"/>
        <v/>
      </c>
      <c r="DN192" s="161" t="str">
        <f>IF($AZ192="", "", (BJ192*$CW192)/$CZ192)</f>
        <v/>
      </c>
      <c r="DO192" s="161" t="str">
        <f t="shared" si="292"/>
        <v/>
      </c>
      <c r="DP192" s="161" t="str">
        <f t="shared" si="293"/>
        <v/>
      </c>
      <c r="DQ192" s="161" t="str">
        <f t="shared" si="294"/>
        <v/>
      </c>
      <c r="DR192" s="161" t="str">
        <f t="shared" si="295"/>
        <v/>
      </c>
      <c r="DS192" s="161" t="str">
        <f t="shared" si="296"/>
        <v/>
      </c>
      <c r="DT192" s="161" t="str">
        <f t="shared" si="297"/>
        <v/>
      </c>
      <c r="DU192" s="161" t="str">
        <f t="shared" si="298"/>
        <v/>
      </c>
      <c r="DV192" s="161" t="str">
        <f t="shared" si="299"/>
        <v/>
      </c>
      <c r="DW192" s="161" t="str">
        <f t="shared" si="300"/>
        <v/>
      </c>
      <c r="DX192" s="161" t="str">
        <f t="shared" si="301"/>
        <v/>
      </c>
      <c r="DY192" s="161" t="str">
        <f t="shared" si="302"/>
        <v/>
      </c>
      <c r="DZ192" s="161" t="str">
        <f t="shared" si="303"/>
        <v/>
      </c>
      <c r="EA192" s="161" t="str">
        <f t="shared" si="304"/>
        <v/>
      </c>
      <c r="EB192" s="161" t="str">
        <f t="shared" si="305"/>
        <v/>
      </c>
      <c r="EC192" s="161" t="str">
        <f t="shared" si="306"/>
        <v/>
      </c>
      <c r="ED192" s="161" t="str">
        <f t="shared" si="307"/>
        <v/>
      </c>
      <c r="EE192" s="161" t="str">
        <f t="shared" si="308"/>
        <v/>
      </c>
      <c r="EF192" s="161" t="str">
        <f t="shared" si="309"/>
        <v/>
      </c>
      <c r="EG192" s="161" t="str">
        <f t="shared" si="310"/>
        <v/>
      </c>
      <c r="EH192" s="161" t="str">
        <f t="shared" si="311"/>
        <v/>
      </c>
      <c r="EI192" s="161" t="str">
        <f t="shared" si="312"/>
        <v/>
      </c>
      <c r="EJ192" s="161" t="str">
        <f t="shared" si="313"/>
        <v/>
      </c>
      <c r="EK192" s="147" t="str">
        <f t="shared" si="250"/>
        <v/>
      </c>
      <c r="EL192" s="149"/>
      <c r="EN192" s="146"/>
      <c r="EO192" s="146"/>
      <c r="EP192" s="139" t="str">
        <f t="shared" si="251"/>
        <v/>
      </c>
      <c r="EQ192" s="139" t="str">
        <f t="shared" si="252"/>
        <v/>
      </c>
      <c r="ER192" s="139" t="str">
        <f t="shared" si="253"/>
        <v/>
      </c>
      <c r="ES192" s="139" t="str">
        <f t="shared" si="254"/>
        <v/>
      </c>
      <c r="ET192" s="139" t="str">
        <f t="shared" si="255"/>
        <v/>
      </c>
      <c r="EU192" s="139" t="str">
        <f t="shared" si="256"/>
        <v/>
      </c>
      <c r="EV192" s="139" t="str">
        <f t="shared" si="257"/>
        <v/>
      </c>
      <c r="EW192" s="139" t="str">
        <f t="shared" si="258"/>
        <v/>
      </c>
      <c r="EX192" s="139" t="str">
        <f t="shared" si="259"/>
        <v/>
      </c>
      <c r="EY192" s="139" t="str">
        <f t="shared" si="260"/>
        <v/>
      </c>
      <c r="EZ192" s="139" t="str">
        <f t="shared" si="261"/>
        <v/>
      </c>
      <c r="FA192" s="139" t="str">
        <f t="shared" si="262"/>
        <v/>
      </c>
      <c r="FB192" s="139" t="str">
        <f t="shared" si="263"/>
        <v/>
      </c>
      <c r="FC192" s="139" t="str">
        <f t="shared" si="264"/>
        <v/>
      </c>
      <c r="FD192" s="139" t="str">
        <f t="shared" si="265"/>
        <v/>
      </c>
      <c r="FE192" s="139" t="str">
        <f t="shared" si="266"/>
        <v/>
      </c>
      <c r="FF192" s="139" t="str">
        <f t="shared" si="267"/>
        <v/>
      </c>
      <c r="FG192" s="139" t="str">
        <f t="shared" si="268"/>
        <v/>
      </c>
      <c r="FH192" s="139" t="str">
        <f t="shared" si="269"/>
        <v/>
      </c>
      <c r="FI192" s="139" t="str">
        <f t="shared" si="270"/>
        <v/>
      </c>
      <c r="FJ192" s="139" t="str">
        <f t="shared" si="271"/>
        <v/>
      </c>
      <c r="FK192" s="139" t="str">
        <f t="shared" si="272"/>
        <v/>
      </c>
      <c r="FL192" s="139" t="str">
        <f t="shared" si="273"/>
        <v/>
      </c>
      <c r="FM192" s="139" t="str">
        <f t="shared" si="274"/>
        <v/>
      </c>
      <c r="FN192" s="139" t="str">
        <f t="shared" si="275"/>
        <v/>
      </c>
      <c r="FO192" s="139" t="str">
        <f t="shared" si="276"/>
        <v/>
      </c>
      <c r="FP192" s="139" t="str">
        <f t="shared" si="277"/>
        <v/>
      </c>
      <c r="FQ192" s="139" t="str">
        <f t="shared" si="278"/>
        <v/>
      </c>
      <c r="FR192" s="139" t="str">
        <f t="shared" si="279"/>
        <v/>
      </c>
      <c r="FS192" s="139" t="str">
        <f t="shared" si="280"/>
        <v/>
      </c>
      <c r="FT192" s="139" t="str">
        <f t="shared" si="281"/>
        <v/>
      </c>
      <c r="FU192" s="148" t="str">
        <f t="shared" si="282"/>
        <v/>
      </c>
      <c r="FV192" s="149"/>
      <c r="FY192" s="211">
        <v>187</v>
      </c>
      <c r="FZ192">
        <v>3.5721894930113214</v>
      </c>
      <c r="GA192">
        <v>10.946050788014201</v>
      </c>
      <c r="GB192">
        <v>18.964829698625532</v>
      </c>
      <c r="GC192">
        <v>13.858710765585199</v>
      </c>
      <c r="GD192">
        <v>11.288437375619134</v>
      </c>
      <c r="GE192">
        <v>24.341224334804195</v>
      </c>
      <c r="GF192">
        <v>22.635126088017628</v>
      </c>
      <c r="GG192">
        <v>14.696192851263712</v>
      </c>
      <c r="GH192">
        <v>13.511083411211313</v>
      </c>
      <c r="GI192">
        <v>18.521037095203994</v>
      </c>
      <c r="GJ192"/>
      <c r="GK192"/>
      <c r="GL192"/>
      <c r="GM192"/>
    </row>
    <row r="193" spans="1:195" s="7" customFormat="1">
      <c r="A193" s="1"/>
      <c r="B193" s="76" t="str">
        <f t="shared" ca="1" si="249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82.122246404354286</v>
      </c>
      <c r="AO193">
        <v>34.829734403480906</v>
      </c>
      <c r="AP193">
        <v>235.26820901676138</v>
      </c>
      <c r="AQ193">
        <v>201.29183382386984</v>
      </c>
      <c r="AR193">
        <v>31.544409153061444</v>
      </c>
      <c r="AS193">
        <v>175.29306907229716</v>
      </c>
      <c r="AT193" t="e">
        <v>#DIV/0!</v>
      </c>
      <c r="AU193" t="e">
        <v>#DIV/0!</v>
      </c>
      <c r="AV193"/>
      <c r="AW193"/>
      <c r="AX193" s="146"/>
      <c r="AY193" s="76" t="str">
        <f t="shared" ca="1" si="172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7"/>
        <v/>
      </c>
      <c r="CL193" s="179" t="str">
        <f t="shared" si="208"/>
        <v/>
      </c>
      <c r="CM193" s="180" t="str">
        <f t="shared" si="209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0"/>
        <v/>
      </c>
      <c r="DB193" s="146"/>
      <c r="DC193" s="76" t="str">
        <f t="shared" ca="1" si="173"/>
        <v/>
      </c>
      <c r="DD193" t="str">
        <f t="shared" si="211"/>
        <v/>
      </c>
      <c r="DE193" s="129" t="str">
        <f t="shared" si="283"/>
        <v/>
      </c>
      <c r="DF193" s="161" t="str">
        <f t="shared" si="284"/>
        <v/>
      </c>
      <c r="DG193" s="161" t="str">
        <f t="shared" si="285"/>
        <v/>
      </c>
      <c r="DH193" s="161" t="str">
        <f t="shared" si="286"/>
        <v/>
      </c>
      <c r="DI193" s="161" t="str">
        <f t="shared" si="287"/>
        <v/>
      </c>
      <c r="DJ193" s="161" t="str">
        <f t="shared" si="288"/>
        <v/>
      </c>
      <c r="DK193" s="161" t="str">
        <f t="shared" si="289"/>
        <v/>
      </c>
      <c r="DL193" s="161" t="str">
        <f t="shared" si="290"/>
        <v/>
      </c>
      <c r="DM193" s="161" t="str">
        <f t="shared" si="291"/>
        <v/>
      </c>
      <c r="DN193" s="161" t="str">
        <f t="shared" ref="DN193:DN207" si="314">IF($AZ193="", "", (BJ193*$CW193)/$CZ193)</f>
        <v/>
      </c>
      <c r="DO193" s="161" t="str">
        <f t="shared" si="292"/>
        <v/>
      </c>
      <c r="DP193" s="161" t="str">
        <f t="shared" si="293"/>
        <v/>
      </c>
      <c r="DQ193" s="161" t="str">
        <f t="shared" si="294"/>
        <v/>
      </c>
      <c r="DR193" s="161" t="str">
        <f t="shared" si="295"/>
        <v/>
      </c>
      <c r="DS193" s="161" t="str">
        <f t="shared" si="296"/>
        <v/>
      </c>
      <c r="DT193" s="161" t="str">
        <f t="shared" si="297"/>
        <v/>
      </c>
      <c r="DU193" s="161" t="str">
        <f t="shared" si="298"/>
        <v/>
      </c>
      <c r="DV193" s="161" t="str">
        <f t="shared" si="299"/>
        <v/>
      </c>
      <c r="DW193" s="161" t="str">
        <f t="shared" si="300"/>
        <v/>
      </c>
      <c r="DX193" s="161" t="str">
        <f t="shared" si="301"/>
        <v/>
      </c>
      <c r="DY193" s="161" t="str">
        <f t="shared" si="302"/>
        <v/>
      </c>
      <c r="DZ193" s="161" t="str">
        <f t="shared" si="303"/>
        <v/>
      </c>
      <c r="EA193" s="161" t="str">
        <f t="shared" si="304"/>
        <v/>
      </c>
      <c r="EB193" s="161" t="str">
        <f t="shared" si="305"/>
        <v/>
      </c>
      <c r="EC193" s="161" t="str">
        <f t="shared" si="306"/>
        <v/>
      </c>
      <c r="ED193" s="161" t="str">
        <f t="shared" si="307"/>
        <v/>
      </c>
      <c r="EE193" s="161" t="str">
        <f t="shared" si="308"/>
        <v/>
      </c>
      <c r="EF193" s="161" t="str">
        <f t="shared" si="309"/>
        <v/>
      </c>
      <c r="EG193" s="161" t="str">
        <f t="shared" si="310"/>
        <v/>
      </c>
      <c r="EH193" s="161" t="str">
        <f t="shared" si="311"/>
        <v/>
      </c>
      <c r="EI193" s="161" t="str">
        <f t="shared" si="312"/>
        <v/>
      </c>
      <c r="EJ193" s="161" t="str">
        <f t="shared" si="313"/>
        <v/>
      </c>
      <c r="EK193" s="147" t="str">
        <f t="shared" si="250"/>
        <v/>
      </c>
      <c r="EL193" s="149"/>
      <c r="EN193" s="146"/>
      <c r="EO193" s="146"/>
      <c r="EP193" s="139" t="str">
        <f t="shared" si="251"/>
        <v/>
      </c>
      <c r="EQ193" s="139" t="str">
        <f t="shared" si="252"/>
        <v/>
      </c>
      <c r="ER193" s="139" t="str">
        <f t="shared" si="253"/>
        <v/>
      </c>
      <c r="ES193" s="139" t="str">
        <f t="shared" si="254"/>
        <v/>
      </c>
      <c r="ET193" s="139" t="str">
        <f t="shared" si="255"/>
        <v/>
      </c>
      <c r="EU193" s="139" t="str">
        <f t="shared" si="256"/>
        <v/>
      </c>
      <c r="EV193" s="139" t="str">
        <f t="shared" si="257"/>
        <v/>
      </c>
      <c r="EW193" s="139" t="str">
        <f t="shared" si="258"/>
        <v/>
      </c>
      <c r="EX193" s="139" t="str">
        <f t="shared" si="259"/>
        <v/>
      </c>
      <c r="EY193" s="139" t="str">
        <f t="shared" si="260"/>
        <v/>
      </c>
      <c r="EZ193" s="139" t="str">
        <f t="shared" si="261"/>
        <v/>
      </c>
      <c r="FA193" s="139" t="str">
        <f t="shared" si="262"/>
        <v/>
      </c>
      <c r="FB193" s="139" t="str">
        <f t="shared" si="263"/>
        <v/>
      </c>
      <c r="FC193" s="139" t="str">
        <f t="shared" si="264"/>
        <v/>
      </c>
      <c r="FD193" s="139" t="str">
        <f t="shared" si="265"/>
        <v/>
      </c>
      <c r="FE193" s="139" t="str">
        <f t="shared" si="266"/>
        <v/>
      </c>
      <c r="FF193" s="139" t="str">
        <f t="shared" si="267"/>
        <v/>
      </c>
      <c r="FG193" s="139" t="str">
        <f t="shared" si="268"/>
        <v/>
      </c>
      <c r="FH193" s="139" t="str">
        <f t="shared" si="269"/>
        <v/>
      </c>
      <c r="FI193" s="139" t="str">
        <f t="shared" si="270"/>
        <v/>
      </c>
      <c r="FJ193" s="139" t="str">
        <f t="shared" si="271"/>
        <v/>
      </c>
      <c r="FK193" s="139" t="str">
        <f t="shared" si="272"/>
        <v/>
      </c>
      <c r="FL193" s="139" t="str">
        <f t="shared" si="273"/>
        <v/>
      </c>
      <c r="FM193" s="139" t="str">
        <f t="shared" si="274"/>
        <v/>
      </c>
      <c r="FN193" s="139" t="str">
        <f t="shared" si="275"/>
        <v/>
      </c>
      <c r="FO193" s="139" t="str">
        <f t="shared" si="276"/>
        <v/>
      </c>
      <c r="FP193" s="139" t="str">
        <f t="shared" si="277"/>
        <v/>
      </c>
      <c r="FQ193" s="139" t="str">
        <f t="shared" si="278"/>
        <v/>
      </c>
      <c r="FR193" s="139" t="str">
        <f t="shared" si="279"/>
        <v/>
      </c>
      <c r="FS193" s="139" t="str">
        <f t="shared" si="280"/>
        <v/>
      </c>
      <c r="FT193" s="139" t="str">
        <f t="shared" si="281"/>
        <v/>
      </c>
      <c r="FU193" s="148" t="str">
        <f t="shared" si="282"/>
        <v/>
      </c>
      <c r="FV193" s="149"/>
      <c r="FY193" s="211">
        <v>188</v>
      </c>
      <c r="FZ193">
        <v>3.8043641685260012</v>
      </c>
      <c r="GA193">
        <v>14.155795744771266</v>
      </c>
      <c r="GB193">
        <v>31.421117751264237</v>
      </c>
      <c r="GC193">
        <v>21.373081739965784</v>
      </c>
      <c r="GD193">
        <v>11.93420412451399</v>
      </c>
      <c r="GE193">
        <v>20.439158382740221</v>
      </c>
      <c r="GF193">
        <v>26.810506298713314</v>
      </c>
      <c r="GG193">
        <v>28.928562515789565</v>
      </c>
      <c r="GH193">
        <v>21.381475608328451</v>
      </c>
      <c r="GI193">
        <v>24.110918416868035</v>
      </c>
      <c r="GJ193"/>
      <c r="GK193"/>
      <c r="GL193"/>
      <c r="GM193"/>
    </row>
    <row r="194" spans="1:195" s="7" customFormat="1">
      <c r="A194" s="1"/>
      <c r="B194" s="76" t="str">
        <f t="shared" ca="1" si="249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77.034630396929813</v>
      </c>
      <c r="AO194">
        <v>27.029344332322275</v>
      </c>
      <c r="AP194">
        <v>178.65720904294099</v>
      </c>
      <c r="AQ194">
        <v>152.37171406492959</v>
      </c>
      <c r="AR194">
        <v>24.476858105976159</v>
      </c>
      <c r="AS194">
        <v>124.18381618683171</v>
      </c>
      <c r="AT194" t="e">
        <v>#DIV/0!</v>
      </c>
      <c r="AU194" t="e">
        <v>#DIV/0!</v>
      </c>
      <c r="AV194"/>
      <c r="AW194"/>
      <c r="AX194" s="146"/>
      <c r="AY194" s="76" t="str">
        <f t="shared" ca="1" si="172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7"/>
        <v/>
      </c>
      <c r="CL194" s="179" t="str">
        <f t="shared" si="208"/>
        <v/>
      </c>
      <c r="CM194" s="180" t="str">
        <f t="shared" si="209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0"/>
        <v/>
      </c>
      <c r="DB194" s="146"/>
      <c r="DC194" s="76" t="str">
        <f t="shared" ca="1" si="173"/>
        <v/>
      </c>
      <c r="DD194" t="str">
        <f t="shared" si="211"/>
        <v/>
      </c>
      <c r="DE194" s="129" t="str">
        <f t="shared" si="283"/>
        <v/>
      </c>
      <c r="DF194" s="161" t="str">
        <f t="shared" si="284"/>
        <v/>
      </c>
      <c r="DG194" s="161" t="str">
        <f t="shared" si="285"/>
        <v/>
      </c>
      <c r="DH194" s="161" t="str">
        <f t="shared" si="286"/>
        <v/>
      </c>
      <c r="DI194" s="161" t="str">
        <f t="shared" si="287"/>
        <v/>
      </c>
      <c r="DJ194" s="161" t="str">
        <f t="shared" si="288"/>
        <v/>
      </c>
      <c r="DK194" s="161" t="str">
        <f t="shared" si="289"/>
        <v/>
      </c>
      <c r="DL194" s="161" t="str">
        <f t="shared" si="290"/>
        <v/>
      </c>
      <c r="DM194" s="161" t="str">
        <f t="shared" si="291"/>
        <v/>
      </c>
      <c r="DN194" s="161" t="str">
        <f t="shared" si="314"/>
        <v/>
      </c>
      <c r="DO194" s="161" t="str">
        <f t="shared" ref="DO194:DO206" si="315">IF($AZ194="", "", (BK193*$CW194)/$CZ194)</f>
        <v/>
      </c>
      <c r="DP194" s="161" t="str">
        <f t="shared" ref="DP194:DP206" si="316">IF($AZ194="", "", (BL193*$CW194)/$CZ194)</f>
        <v/>
      </c>
      <c r="DQ194" s="161" t="str">
        <f t="shared" ref="DQ194:DQ206" si="317">IF($AZ194="", "", (BM193*$CW194)/$CZ194)</f>
        <v/>
      </c>
      <c r="DR194" s="161" t="str">
        <f t="shared" ref="DR194:DR206" si="318">IF($AZ194="", "", (BN193*$CW194)/$CZ194)</f>
        <v/>
      </c>
      <c r="DS194" s="161" t="str">
        <f t="shared" ref="DS194:DS206" si="319">IF($AZ194="", "", (BO193*$CW194)/$CZ194)</f>
        <v/>
      </c>
      <c r="DT194" s="161" t="str">
        <f t="shared" ref="DT194:DT206" si="320">IF($AZ194="", "", (BP193*$CW194)/$CZ194)</f>
        <v/>
      </c>
      <c r="DU194" s="161" t="str">
        <f t="shared" ref="DU194:DU206" si="321">IF($AZ194="", "", (BQ193*$CW194)/$CZ194)</f>
        <v/>
      </c>
      <c r="DV194" s="161" t="str">
        <f t="shared" ref="DV194:DV206" si="322">IF($AZ194="", "", (BR193*$CW194)/$CZ194)</f>
        <v/>
      </c>
      <c r="DW194" s="161" t="str">
        <f t="shared" ref="DW194:DW206" si="323">IF($AZ194="", "", (BS193*$CW194)/$CZ194)</f>
        <v/>
      </c>
      <c r="DX194" s="161" t="str">
        <f t="shared" ref="DX194:DX206" si="324">IF($AZ194="", "", (BT193*$CW194)/$CZ194)</f>
        <v/>
      </c>
      <c r="DY194" s="161" t="str">
        <f t="shared" ref="DY194:DY206" si="325">IF($AZ194="", "", (BU193*$CW194)/$CZ194)</f>
        <v/>
      </c>
      <c r="DZ194" s="161" t="str">
        <f t="shared" ref="DZ194:DZ206" si="326">IF($AZ194="", "", (BV193*$CW194)/$CZ194)</f>
        <v/>
      </c>
      <c r="EA194" s="161" t="str">
        <f t="shared" ref="EA194:EA206" si="327">IF($AZ194="", "", (BW193*$CW194)/$CZ194)</f>
        <v/>
      </c>
      <c r="EB194" s="161" t="str">
        <f t="shared" ref="EB194:EB206" si="328">IF($AZ194="", "", (BX193*$CW194)/$CZ194)</f>
        <v/>
      </c>
      <c r="EC194" s="161" t="str">
        <f t="shared" ref="EC194:EC206" si="329">IF($AZ194="", "", (BY193*$CW194)/$CZ194)</f>
        <v/>
      </c>
      <c r="ED194" s="161" t="str">
        <f t="shared" ref="ED194:ED206" si="330">IF($AZ194="", "", (BZ193*$CW194)/$CZ194)</f>
        <v/>
      </c>
      <c r="EE194" s="161" t="str">
        <f t="shared" ref="EE194:EE206" si="331">IF($AZ194="", "", (CA193*$CW194)/$CZ194)</f>
        <v/>
      </c>
      <c r="EF194" s="161" t="str">
        <f t="shared" ref="EF194:EF206" si="332">IF($AZ194="", "", (CB193*$CW194)/$CZ194)</f>
        <v/>
      </c>
      <c r="EG194" s="161" t="str">
        <f t="shared" ref="EG194:EG206" si="333">IF($AZ194="", "", (CC193*$CW194)/$CZ194)</f>
        <v/>
      </c>
      <c r="EH194" s="161" t="str">
        <f t="shared" ref="EH194:EH206" si="334">IF($AZ194="", "", (CD193*$CW194)/$CZ194)</f>
        <v/>
      </c>
      <c r="EI194" s="161" t="str">
        <f t="shared" ref="EI194:EI206" si="335">IF($AZ194="", "", (CE193*$CW194)/$CZ194)</f>
        <v/>
      </c>
      <c r="EJ194" s="161" t="str">
        <f t="shared" ref="EJ194:EJ206" si="336">IF($AZ194="", "", (CF193*$CW194)/$CZ194)</f>
        <v/>
      </c>
      <c r="EK194" s="147" t="str">
        <f t="shared" si="250"/>
        <v/>
      </c>
      <c r="EL194" s="149"/>
      <c r="EN194" s="146"/>
      <c r="EO194" s="146"/>
      <c r="EP194" s="139" t="str">
        <f t="shared" si="251"/>
        <v/>
      </c>
      <c r="EQ194" s="139" t="str">
        <f t="shared" si="252"/>
        <v/>
      </c>
      <c r="ER194" s="139" t="str">
        <f t="shared" si="253"/>
        <v/>
      </c>
      <c r="ES194" s="139" t="str">
        <f t="shared" si="254"/>
        <v/>
      </c>
      <c r="ET194" s="139" t="str">
        <f t="shared" si="255"/>
        <v/>
      </c>
      <c r="EU194" s="139" t="str">
        <f t="shared" si="256"/>
        <v/>
      </c>
      <c r="EV194" s="139" t="str">
        <f t="shared" si="257"/>
        <v/>
      </c>
      <c r="EW194" s="139" t="str">
        <f t="shared" si="258"/>
        <v/>
      </c>
      <c r="EX194" s="139" t="str">
        <f t="shared" si="259"/>
        <v/>
      </c>
      <c r="EY194" s="139" t="str">
        <f t="shared" si="260"/>
        <v/>
      </c>
      <c r="EZ194" s="139" t="str">
        <f t="shared" si="261"/>
        <v/>
      </c>
      <c r="FA194" s="139" t="str">
        <f t="shared" si="262"/>
        <v/>
      </c>
      <c r="FB194" s="139" t="str">
        <f t="shared" si="263"/>
        <v/>
      </c>
      <c r="FC194" s="139" t="str">
        <f t="shared" si="264"/>
        <v/>
      </c>
      <c r="FD194" s="139" t="str">
        <f t="shared" si="265"/>
        <v/>
      </c>
      <c r="FE194" s="139" t="str">
        <f t="shared" si="266"/>
        <v/>
      </c>
      <c r="FF194" s="139" t="str">
        <f t="shared" si="267"/>
        <v/>
      </c>
      <c r="FG194" s="139" t="str">
        <f t="shared" si="268"/>
        <v/>
      </c>
      <c r="FH194" s="139" t="str">
        <f t="shared" si="269"/>
        <v/>
      </c>
      <c r="FI194" s="139" t="str">
        <f t="shared" si="270"/>
        <v/>
      </c>
      <c r="FJ194" s="139" t="str">
        <f t="shared" si="271"/>
        <v/>
      </c>
      <c r="FK194" s="139" t="str">
        <f t="shared" si="272"/>
        <v/>
      </c>
      <c r="FL194" s="139" t="str">
        <f t="shared" si="273"/>
        <v/>
      </c>
      <c r="FM194" s="139" t="str">
        <f t="shared" si="274"/>
        <v/>
      </c>
      <c r="FN194" s="139" t="str">
        <f t="shared" si="275"/>
        <v/>
      </c>
      <c r="FO194" s="139" t="str">
        <f t="shared" si="276"/>
        <v/>
      </c>
      <c r="FP194" s="139" t="str">
        <f t="shared" si="277"/>
        <v/>
      </c>
      <c r="FQ194" s="139" t="str">
        <f t="shared" si="278"/>
        <v/>
      </c>
      <c r="FR194" s="139" t="str">
        <f t="shared" si="279"/>
        <v/>
      </c>
      <c r="FS194" s="139" t="str">
        <f t="shared" si="280"/>
        <v/>
      </c>
      <c r="FT194" s="139" t="str">
        <f t="shared" si="281"/>
        <v/>
      </c>
      <c r="FU194" s="148" t="str">
        <f t="shared" si="282"/>
        <v/>
      </c>
      <c r="FV194" s="149"/>
      <c r="FY194" s="211">
        <v>189</v>
      </c>
      <c r="FZ194">
        <v>6.783033864052511</v>
      </c>
      <c r="GA194">
        <v>20.334109171127306</v>
      </c>
      <c r="GB194">
        <v>17.137757938799371</v>
      </c>
      <c r="GC194">
        <v>12.145639525869434</v>
      </c>
      <c r="GD194">
        <v>10.389006621128164</v>
      </c>
      <c r="GE194">
        <v>23.9092313630773</v>
      </c>
      <c r="GF194">
        <v>29.828499876930714</v>
      </c>
      <c r="GG194">
        <v>22.413060126775257</v>
      </c>
      <c r="GH194">
        <v>20.582127982853351</v>
      </c>
      <c r="GI194">
        <v>20.40577428271741</v>
      </c>
      <c r="GJ194"/>
      <c r="GK194"/>
      <c r="GL194"/>
      <c r="GM194"/>
    </row>
    <row r="195" spans="1:195" s="7" customFormat="1">
      <c r="A195" s="1"/>
      <c r="B195" s="76" t="str">
        <f t="shared" ca="1" si="249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72.618296133039593</v>
      </c>
      <c r="AO195">
        <v>22.116886738835809</v>
      </c>
      <c r="AP195">
        <v>145.81695978877107</v>
      </c>
      <c r="AQ195">
        <v>128.27899382698908</v>
      </c>
      <c r="AR195">
        <v>20.301342203967405</v>
      </c>
      <c r="AS195">
        <v>102.19679428254344</v>
      </c>
      <c r="AT195">
        <v>14.9098267972981</v>
      </c>
      <c r="AU195">
        <v>34.703950647493144</v>
      </c>
      <c r="AV195"/>
      <c r="AW195"/>
      <c r="AX195" s="146"/>
      <c r="AY195" s="76" t="str">
        <f t="shared" ca="1" si="172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7"/>
        <v/>
      </c>
      <c r="CL195" s="179" t="str">
        <f t="shared" si="208"/>
        <v/>
      </c>
      <c r="CM195" s="180" t="str">
        <f t="shared" si="209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0"/>
        <v/>
      </c>
      <c r="DB195" s="146"/>
      <c r="DC195" s="76" t="str">
        <f t="shared" ca="1" si="173"/>
        <v/>
      </c>
      <c r="DD195" t="str">
        <f t="shared" si="211"/>
        <v/>
      </c>
      <c r="DE195" s="129" t="str">
        <f t="shared" si="283"/>
        <v/>
      </c>
      <c r="DF195" s="161" t="str">
        <f t="shared" si="284"/>
        <v/>
      </c>
      <c r="DG195" s="161" t="str">
        <f t="shared" si="285"/>
        <v/>
      </c>
      <c r="DH195" s="161" t="str">
        <f t="shared" si="286"/>
        <v/>
      </c>
      <c r="DI195" s="161" t="str">
        <f t="shared" si="287"/>
        <v/>
      </c>
      <c r="DJ195" s="161" t="str">
        <f t="shared" si="288"/>
        <v/>
      </c>
      <c r="DK195" s="161" t="str">
        <f t="shared" si="289"/>
        <v/>
      </c>
      <c r="DL195" s="161" t="str">
        <f t="shared" si="290"/>
        <v/>
      </c>
      <c r="DM195" s="161" t="str">
        <f t="shared" si="291"/>
        <v/>
      </c>
      <c r="DN195" s="161" t="str">
        <f t="shared" si="314"/>
        <v/>
      </c>
      <c r="DO195" s="161" t="str">
        <f t="shared" si="315"/>
        <v/>
      </c>
      <c r="DP195" s="161" t="str">
        <f t="shared" si="316"/>
        <v/>
      </c>
      <c r="DQ195" s="161" t="str">
        <f t="shared" si="317"/>
        <v/>
      </c>
      <c r="DR195" s="161" t="str">
        <f t="shared" si="318"/>
        <v/>
      </c>
      <c r="DS195" s="161" t="str">
        <f t="shared" si="319"/>
        <v/>
      </c>
      <c r="DT195" s="161" t="str">
        <f t="shared" si="320"/>
        <v/>
      </c>
      <c r="DU195" s="161" t="str">
        <f t="shared" si="321"/>
        <v/>
      </c>
      <c r="DV195" s="161" t="str">
        <f t="shared" si="322"/>
        <v/>
      </c>
      <c r="DW195" s="161" t="str">
        <f t="shared" si="323"/>
        <v/>
      </c>
      <c r="DX195" s="161" t="str">
        <f t="shared" si="324"/>
        <v/>
      </c>
      <c r="DY195" s="161" t="str">
        <f t="shared" si="325"/>
        <v/>
      </c>
      <c r="DZ195" s="161" t="str">
        <f t="shared" si="326"/>
        <v/>
      </c>
      <c r="EA195" s="161" t="str">
        <f t="shared" si="327"/>
        <v/>
      </c>
      <c r="EB195" s="161" t="str">
        <f t="shared" si="328"/>
        <v/>
      </c>
      <c r="EC195" s="161" t="str">
        <f t="shared" si="329"/>
        <v/>
      </c>
      <c r="ED195" s="161" t="str">
        <f t="shared" si="330"/>
        <v/>
      </c>
      <c r="EE195" s="161" t="str">
        <f t="shared" si="331"/>
        <v/>
      </c>
      <c r="EF195" s="161" t="str">
        <f t="shared" si="332"/>
        <v/>
      </c>
      <c r="EG195" s="161" t="str">
        <f t="shared" si="333"/>
        <v/>
      </c>
      <c r="EH195" s="161" t="str">
        <f t="shared" si="334"/>
        <v/>
      </c>
      <c r="EI195" s="161" t="str">
        <f t="shared" si="335"/>
        <v/>
      </c>
      <c r="EJ195" s="161" t="str">
        <f t="shared" si="336"/>
        <v/>
      </c>
      <c r="EK195" s="147" t="str">
        <f t="shared" si="250"/>
        <v/>
      </c>
      <c r="EL195" s="149"/>
      <c r="EN195" s="146"/>
      <c r="EO195" s="146"/>
      <c r="EP195" s="139" t="str">
        <f t="shared" si="251"/>
        <v/>
      </c>
      <c r="EQ195" s="139" t="str">
        <f t="shared" si="252"/>
        <v/>
      </c>
      <c r="ER195" s="139" t="str">
        <f t="shared" si="253"/>
        <v/>
      </c>
      <c r="ES195" s="139" t="str">
        <f t="shared" si="254"/>
        <v/>
      </c>
      <c r="ET195" s="139" t="str">
        <f t="shared" si="255"/>
        <v/>
      </c>
      <c r="EU195" s="139" t="str">
        <f t="shared" si="256"/>
        <v/>
      </c>
      <c r="EV195" s="139" t="str">
        <f t="shared" si="257"/>
        <v/>
      </c>
      <c r="EW195" s="139" t="str">
        <f t="shared" si="258"/>
        <v/>
      </c>
      <c r="EX195" s="139" t="str">
        <f t="shared" si="259"/>
        <v/>
      </c>
      <c r="EY195" s="139" t="str">
        <f t="shared" si="260"/>
        <v/>
      </c>
      <c r="EZ195" s="139" t="str">
        <f t="shared" si="261"/>
        <v/>
      </c>
      <c r="FA195" s="139" t="str">
        <f t="shared" si="262"/>
        <v/>
      </c>
      <c r="FB195" s="139" t="str">
        <f t="shared" si="263"/>
        <v/>
      </c>
      <c r="FC195" s="139" t="str">
        <f t="shared" si="264"/>
        <v/>
      </c>
      <c r="FD195" s="139" t="str">
        <f t="shared" si="265"/>
        <v/>
      </c>
      <c r="FE195" s="139" t="str">
        <f t="shared" si="266"/>
        <v/>
      </c>
      <c r="FF195" s="139" t="str">
        <f t="shared" si="267"/>
        <v/>
      </c>
      <c r="FG195" s="139" t="str">
        <f t="shared" si="268"/>
        <v/>
      </c>
      <c r="FH195" s="139" t="str">
        <f t="shared" si="269"/>
        <v/>
      </c>
      <c r="FI195" s="139" t="str">
        <f t="shared" si="270"/>
        <v/>
      </c>
      <c r="FJ195" s="139" t="str">
        <f t="shared" si="271"/>
        <v/>
      </c>
      <c r="FK195" s="139" t="str">
        <f t="shared" si="272"/>
        <v/>
      </c>
      <c r="FL195" s="139" t="str">
        <f t="shared" si="273"/>
        <v/>
      </c>
      <c r="FM195" s="139" t="str">
        <f t="shared" si="274"/>
        <v/>
      </c>
      <c r="FN195" s="139" t="str">
        <f t="shared" si="275"/>
        <v/>
      </c>
      <c r="FO195" s="139" t="str">
        <f t="shared" si="276"/>
        <v/>
      </c>
      <c r="FP195" s="139" t="str">
        <f t="shared" si="277"/>
        <v/>
      </c>
      <c r="FQ195" s="139" t="str">
        <f t="shared" si="278"/>
        <v/>
      </c>
      <c r="FR195" s="139" t="str">
        <f t="shared" si="279"/>
        <v/>
      </c>
      <c r="FS195" s="139" t="str">
        <f t="shared" si="280"/>
        <v/>
      </c>
      <c r="FT195" s="139" t="str">
        <f t="shared" si="281"/>
        <v/>
      </c>
      <c r="FU195" s="148" t="str">
        <f t="shared" si="282"/>
        <v/>
      </c>
      <c r="FV195" s="149"/>
      <c r="FY195" s="211">
        <v>190</v>
      </c>
      <c r="FZ195">
        <v>2.8777499648012776</v>
      </c>
      <c r="GA195">
        <v>7.4531672317597879</v>
      </c>
      <c r="GB195">
        <v>18.465738287063825</v>
      </c>
      <c r="GC195">
        <v>16.608129469460728</v>
      </c>
      <c r="GD195">
        <v>8.7812333306937269</v>
      </c>
      <c r="GE195">
        <v>14.0493902628433</v>
      </c>
      <c r="GF195">
        <v>29.731573637157343</v>
      </c>
      <c r="GG195">
        <v>25.466606599687886</v>
      </c>
      <c r="GH195">
        <v>16.882008580588273</v>
      </c>
      <c r="GI195">
        <v>18.655642506632226</v>
      </c>
      <c r="GJ195"/>
      <c r="GK195"/>
      <c r="GL195"/>
      <c r="GM195"/>
    </row>
    <row r="196" spans="1:195" s="7" customFormat="1">
      <c r="A196" s="1"/>
      <c r="B196" s="76" t="str">
        <f t="shared" ca="1" si="249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69.294741341564858</v>
      </c>
      <c r="AO196">
        <v>32.835251175556373</v>
      </c>
      <c r="AP196">
        <v>209.46413454125519</v>
      </c>
      <c r="AQ196">
        <v>185.00554971644553</v>
      </c>
      <c r="AR196">
        <v>29.596217833200495</v>
      </c>
      <c r="AS196">
        <v>133.48467384233371</v>
      </c>
      <c r="AT196">
        <v>23.301983843544807</v>
      </c>
      <c r="AU196">
        <v>32.490141314588797</v>
      </c>
      <c r="AV196"/>
      <c r="AW196"/>
      <c r="AX196" s="146"/>
      <c r="AY196" s="76" t="str">
        <f t="shared" ca="1" si="172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7"/>
        <v/>
      </c>
      <c r="CL196" s="179" t="str">
        <f t="shared" si="208"/>
        <v/>
      </c>
      <c r="CM196" s="180" t="str">
        <f t="shared" si="209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0"/>
        <v/>
      </c>
      <c r="DB196" s="146"/>
      <c r="DC196" s="76" t="str">
        <f t="shared" ca="1" si="173"/>
        <v/>
      </c>
      <c r="DD196" t="str">
        <f t="shared" si="211"/>
        <v/>
      </c>
      <c r="DE196" s="129" t="str">
        <f t="shared" si="283"/>
        <v/>
      </c>
      <c r="DF196" s="161" t="str">
        <f t="shared" si="284"/>
        <v/>
      </c>
      <c r="DG196" s="161" t="str">
        <f t="shared" si="285"/>
        <v/>
      </c>
      <c r="DH196" s="161" t="str">
        <f t="shared" si="286"/>
        <v/>
      </c>
      <c r="DI196" s="161" t="str">
        <f t="shared" si="287"/>
        <v/>
      </c>
      <c r="DJ196" s="161" t="str">
        <f t="shared" si="288"/>
        <v/>
      </c>
      <c r="DK196" s="161" t="str">
        <f t="shared" si="289"/>
        <v/>
      </c>
      <c r="DL196" s="161" t="str">
        <f t="shared" si="290"/>
        <v/>
      </c>
      <c r="DM196" s="161" t="str">
        <f t="shared" si="291"/>
        <v/>
      </c>
      <c r="DN196" s="161" t="str">
        <f t="shared" si="314"/>
        <v/>
      </c>
      <c r="DO196" s="161" t="str">
        <f t="shared" si="315"/>
        <v/>
      </c>
      <c r="DP196" s="161" t="str">
        <f t="shared" si="316"/>
        <v/>
      </c>
      <c r="DQ196" s="161" t="str">
        <f t="shared" si="317"/>
        <v/>
      </c>
      <c r="DR196" s="161" t="str">
        <f t="shared" si="318"/>
        <v/>
      </c>
      <c r="DS196" s="161" t="str">
        <f t="shared" si="319"/>
        <v/>
      </c>
      <c r="DT196" s="161" t="str">
        <f t="shared" si="320"/>
        <v/>
      </c>
      <c r="DU196" s="161" t="str">
        <f t="shared" si="321"/>
        <v/>
      </c>
      <c r="DV196" s="161" t="str">
        <f t="shared" si="322"/>
        <v/>
      </c>
      <c r="DW196" s="161" t="str">
        <f t="shared" si="323"/>
        <v/>
      </c>
      <c r="DX196" s="161" t="str">
        <f t="shared" si="324"/>
        <v/>
      </c>
      <c r="DY196" s="161" t="str">
        <f t="shared" si="325"/>
        <v/>
      </c>
      <c r="DZ196" s="161" t="str">
        <f t="shared" si="326"/>
        <v/>
      </c>
      <c r="EA196" s="161" t="str">
        <f t="shared" si="327"/>
        <v/>
      </c>
      <c r="EB196" s="161" t="str">
        <f t="shared" si="328"/>
        <v/>
      </c>
      <c r="EC196" s="161" t="str">
        <f t="shared" si="329"/>
        <v/>
      </c>
      <c r="ED196" s="161" t="str">
        <f t="shared" si="330"/>
        <v/>
      </c>
      <c r="EE196" s="161" t="str">
        <f t="shared" si="331"/>
        <v/>
      </c>
      <c r="EF196" s="161" t="str">
        <f t="shared" si="332"/>
        <v/>
      </c>
      <c r="EG196" s="161" t="str">
        <f t="shared" si="333"/>
        <v/>
      </c>
      <c r="EH196" s="161" t="str">
        <f t="shared" si="334"/>
        <v/>
      </c>
      <c r="EI196" s="161" t="str">
        <f t="shared" si="335"/>
        <v/>
      </c>
      <c r="EJ196" s="161" t="str">
        <f t="shared" si="336"/>
        <v/>
      </c>
      <c r="EK196" s="147" t="str">
        <f t="shared" si="250"/>
        <v/>
      </c>
      <c r="EL196" s="149"/>
      <c r="EN196" s="146"/>
      <c r="EO196" s="146"/>
      <c r="EP196" s="139" t="str">
        <f t="shared" si="251"/>
        <v/>
      </c>
      <c r="EQ196" s="139" t="str">
        <f t="shared" si="252"/>
        <v/>
      </c>
      <c r="ER196" s="139" t="str">
        <f t="shared" si="253"/>
        <v/>
      </c>
      <c r="ES196" s="139" t="str">
        <f t="shared" si="254"/>
        <v/>
      </c>
      <c r="ET196" s="139" t="str">
        <f t="shared" si="255"/>
        <v/>
      </c>
      <c r="EU196" s="139" t="str">
        <f t="shared" si="256"/>
        <v/>
      </c>
      <c r="EV196" s="139" t="str">
        <f t="shared" si="257"/>
        <v/>
      </c>
      <c r="EW196" s="139" t="str">
        <f t="shared" si="258"/>
        <v/>
      </c>
      <c r="EX196" s="139" t="str">
        <f t="shared" si="259"/>
        <v/>
      </c>
      <c r="EY196" s="139" t="str">
        <f t="shared" si="260"/>
        <v/>
      </c>
      <c r="EZ196" s="139" t="str">
        <f t="shared" si="261"/>
        <v/>
      </c>
      <c r="FA196" s="139" t="str">
        <f t="shared" si="262"/>
        <v/>
      </c>
      <c r="FB196" s="139" t="str">
        <f t="shared" si="263"/>
        <v/>
      </c>
      <c r="FC196" s="139" t="str">
        <f t="shared" si="264"/>
        <v/>
      </c>
      <c r="FD196" s="139" t="str">
        <f t="shared" si="265"/>
        <v/>
      </c>
      <c r="FE196" s="139" t="str">
        <f t="shared" si="266"/>
        <v/>
      </c>
      <c r="FF196" s="139" t="str">
        <f t="shared" si="267"/>
        <v/>
      </c>
      <c r="FG196" s="139" t="str">
        <f t="shared" si="268"/>
        <v/>
      </c>
      <c r="FH196" s="139" t="str">
        <f t="shared" si="269"/>
        <v/>
      </c>
      <c r="FI196" s="139" t="str">
        <f t="shared" si="270"/>
        <v/>
      </c>
      <c r="FJ196" s="139" t="str">
        <f t="shared" si="271"/>
        <v/>
      </c>
      <c r="FK196" s="139" t="str">
        <f t="shared" si="272"/>
        <v/>
      </c>
      <c r="FL196" s="139" t="str">
        <f t="shared" si="273"/>
        <v/>
      </c>
      <c r="FM196" s="139" t="str">
        <f t="shared" si="274"/>
        <v/>
      </c>
      <c r="FN196" s="139" t="str">
        <f t="shared" si="275"/>
        <v/>
      </c>
      <c r="FO196" s="139" t="str">
        <f t="shared" si="276"/>
        <v/>
      </c>
      <c r="FP196" s="139" t="str">
        <f t="shared" si="277"/>
        <v/>
      </c>
      <c r="FQ196" s="139" t="str">
        <f t="shared" si="278"/>
        <v/>
      </c>
      <c r="FR196" s="139" t="str">
        <f t="shared" si="279"/>
        <v/>
      </c>
      <c r="FS196" s="139" t="str">
        <f t="shared" si="280"/>
        <v/>
      </c>
      <c r="FT196" s="139" t="str">
        <f t="shared" si="281"/>
        <v/>
      </c>
      <c r="FU196" s="148" t="str">
        <f t="shared" si="282"/>
        <v/>
      </c>
      <c r="FV196" s="149"/>
      <c r="FY196" s="211">
        <v>191</v>
      </c>
      <c r="FZ196">
        <v>1.751257194666497</v>
      </c>
      <c r="GA196">
        <v>9.1518105261234872</v>
      </c>
      <c r="GB196">
        <v>12.63556324107619</v>
      </c>
      <c r="GC196">
        <v>13.958650295810719</v>
      </c>
      <c r="GD196">
        <v>12.695121653149547</v>
      </c>
      <c r="GE196">
        <v>23.86945357356587</v>
      </c>
      <c r="GF196">
        <v>26.90289166882291</v>
      </c>
      <c r="GG196">
        <v>7.9155705463433126</v>
      </c>
      <c r="GH196">
        <v>3.3903930954395047</v>
      </c>
      <c r="GI196">
        <v>16.730177812486193</v>
      </c>
      <c r="GJ196"/>
      <c r="GK196"/>
      <c r="GL196"/>
      <c r="GM196"/>
    </row>
    <row r="197" spans="1:195" s="7" customFormat="1">
      <c r="A197" s="1"/>
      <c r="B197" s="76" t="str">
        <f t="shared" ca="1" si="249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65.506139305488915</v>
      </c>
      <c r="AO197">
        <v>23.123858284824809</v>
      </c>
      <c r="AP197">
        <v>131.09152156665866</v>
      </c>
      <c r="AQ197">
        <v>121.76243706555249</v>
      </c>
      <c r="AR197">
        <v>21.037108422407563</v>
      </c>
      <c r="AS197">
        <v>105.61994910014793</v>
      </c>
      <c r="AT197">
        <v>15.918668828764465</v>
      </c>
      <c r="AU197">
        <v>48.568972211532255</v>
      </c>
      <c r="AV197"/>
      <c r="AW197"/>
      <c r="AX197" s="146"/>
      <c r="AY197" s="76" t="str">
        <f t="shared" ca="1" si="172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7"/>
        <v/>
      </c>
      <c r="CL197" s="179" t="str">
        <f t="shared" si="208"/>
        <v/>
      </c>
      <c r="CM197" s="180" t="str">
        <f t="shared" si="209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0"/>
        <v/>
      </c>
      <c r="DB197" s="146"/>
      <c r="DC197" s="76" t="str">
        <f t="shared" ca="1" si="173"/>
        <v/>
      </c>
      <c r="DD197" t="str">
        <f t="shared" si="211"/>
        <v/>
      </c>
      <c r="DE197" s="129" t="str">
        <f t="shared" si="283"/>
        <v/>
      </c>
      <c r="DF197" s="161" t="str">
        <f t="shared" si="284"/>
        <v/>
      </c>
      <c r="DG197" s="161" t="str">
        <f t="shared" si="285"/>
        <v/>
      </c>
      <c r="DH197" s="161" t="str">
        <f t="shared" si="286"/>
        <v/>
      </c>
      <c r="DI197" s="161" t="str">
        <f t="shared" si="287"/>
        <v/>
      </c>
      <c r="DJ197" s="161" t="str">
        <f t="shared" si="288"/>
        <v/>
      </c>
      <c r="DK197" s="161" t="str">
        <f t="shared" si="289"/>
        <v/>
      </c>
      <c r="DL197" s="161" t="str">
        <f t="shared" si="290"/>
        <v/>
      </c>
      <c r="DM197" s="161" t="str">
        <f t="shared" si="291"/>
        <v/>
      </c>
      <c r="DN197" s="161" t="str">
        <f t="shared" si="314"/>
        <v/>
      </c>
      <c r="DO197" s="161" t="str">
        <f t="shared" si="315"/>
        <v/>
      </c>
      <c r="DP197" s="161" t="str">
        <f t="shared" si="316"/>
        <v/>
      </c>
      <c r="DQ197" s="161" t="str">
        <f t="shared" si="317"/>
        <v/>
      </c>
      <c r="DR197" s="161" t="str">
        <f t="shared" si="318"/>
        <v/>
      </c>
      <c r="DS197" s="161" t="str">
        <f t="shared" si="319"/>
        <v/>
      </c>
      <c r="DT197" s="161" t="str">
        <f t="shared" si="320"/>
        <v/>
      </c>
      <c r="DU197" s="161" t="str">
        <f t="shared" si="321"/>
        <v/>
      </c>
      <c r="DV197" s="161" t="str">
        <f t="shared" si="322"/>
        <v/>
      </c>
      <c r="DW197" s="161" t="str">
        <f t="shared" si="323"/>
        <v/>
      </c>
      <c r="DX197" s="161" t="str">
        <f t="shared" si="324"/>
        <v/>
      </c>
      <c r="DY197" s="161" t="str">
        <f t="shared" si="325"/>
        <v/>
      </c>
      <c r="DZ197" s="161" t="str">
        <f t="shared" si="326"/>
        <v/>
      </c>
      <c r="EA197" s="161" t="str">
        <f t="shared" si="327"/>
        <v/>
      </c>
      <c r="EB197" s="161" t="str">
        <f t="shared" si="328"/>
        <v/>
      </c>
      <c r="EC197" s="161" t="str">
        <f t="shared" si="329"/>
        <v/>
      </c>
      <c r="ED197" s="161" t="str">
        <f t="shared" si="330"/>
        <v/>
      </c>
      <c r="EE197" s="161" t="str">
        <f t="shared" si="331"/>
        <v/>
      </c>
      <c r="EF197" s="161" t="str">
        <f t="shared" si="332"/>
        <v/>
      </c>
      <c r="EG197" s="161" t="str">
        <f t="shared" si="333"/>
        <v/>
      </c>
      <c r="EH197" s="161" t="str">
        <f t="shared" si="334"/>
        <v/>
      </c>
      <c r="EI197" s="161" t="str">
        <f t="shared" si="335"/>
        <v/>
      </c>
      <c r="EJ197" s="161" t="str">
        <f t="shared" si="336"/>
        <v/>
      </c>
      <c r="EK197" s="147" t="str">
        <f t="shared" si="250"/>
        <v/>
      </c>
      <c r="EL197" s="149"/>
      <c r="EN197" s="146"/>
      <c r="EO197" s="146"/>
      <c r="EP197" s="139" t="str">
        <f t="shared" si="251"/>
        <v/>
      </c>
      <c r="EQ197" s="139" t="str">
        <f t="shared" si="252"/>
        <v/>
      </c>
      <c r="ER197" s="139" t="str">
        <f t="shared" si="253"/>
        <v/>
      </c>
      <c r="ES197" s="139" t="str">
        <f t="shared" si="254"/>
        <v/>
      </c>
      <c r="ET197" s="139" t="str">
        <f t="shared" si="255"/>
        <v/>
      </c>
      <c r="EU197" s="139" t="str">
        <f t="shared" si="256"/>
        <v/>
      </c>
      <c r="EV197" s="139" t="str">
        <f t="shared" si="257"/>
        <v/>
      </c>
      <c r="EW197" s="139" t="str">
        <f t="shared" si="258"/>
        <v/>
      </c>
      <c r="EX197" s="139" t="str">
        <f t="shared" si="259"/>
        <v/>
      </c>
      <c r="EY197" s="139" t="str">
        <f t="shared" si="260"/>
        <v/>
      </c>
      <c r="EZ197" s="139" t="str">
        <f t="shared" si="261"/>
        <v/>
      </c>
      <c r="FA197" s="139" t="str">
        <f t="shared" si="262"/>
        <v/>
      </c>
      <c r="FB197" s="139" t="str">
        <f t="shared" si="263"/>
        <v/>
      </c>
      <c r="FC197" s="139" t="str">
        <f t="shared" si="264"/>
        <v/>
      </c>
      <c r="FD197" s="139" t="str">
        <f t="shared" si="265"/>
        <v/>
      </c>
      <c r="FE197" s="139" t="str">
        <f t="shared" si="266"/>
        <v/>
      </c>
      <c r="FF197" s="139" t="str">
        <f t="shared" si="267"/>
        <v/>
      </c>
      <c r="FG197" s="139" t="str">
        <f t="shared" si="268"/>
        <v/>
      </c>
      <c r="FH197" s="139" t="str">
        <f t="shared" si="269"/>
        <v/>
      </c>
      <c r="FI197" s="139" t="str">
        <f t="shared" si="270"/>
        <v/>
      </c>
      <c r="FJ197" s="139" t="str">
        <f t="shared" si="271"/>
        <v/>
      </c>
      <c r="FK197" s="139" t="str">
        <f t="shared" si="272"/>
        <v/>
      </c>
      <c r="FL197" s="139" t="str">
        <f t="shared" si="273"/>
        <v/>
      </c>
      <c r="FM197" s="139" t="str">
        <f t="shared" si="274"/>
        <v/>
      </c>
      <c r="FN197" s="139" t="str">
        <f t="shared" si="275"/>
        <v/>
      </c>
      <c r="FO197" s="139" t="str">
        <f t="shared" si="276"/>
        <v/>
      </c>
      <c r="FP197" s="139" t="str">
        <f t="shared" si="277"/>
        <v/>
      </c>
      <c r="FQ197" s="139" t="str">
        <f t="shared" si="278"/>
        <v/>
      </c>
      <c r="FR197" s="139" t="str">
        <f t="shared" si="279"/>
        <v/>
      </c>
      <c r="FS197" s="139" t="str">
        <f t="shared" si="280"/>
        <v/>
      </c>
      <c r="FT197" s="139" t="str">
        <f t="shared" si="281"/>
        <v/>
      </c>
      <c r="FU197" s="148" t="str">
        <f t="shared" si="282"/>
        <v/>
      </c>
      <c r="FV197" s="149"/>
      <c r="FY197" s="211">
        <v>192</v>
      </c>
      <c r="FZ197">
        <v>6.0522691325557174</v>
      </c>
      <c r="GA197">
        <v>19.568620581137001</v>
      </c>
      <c r="GB197">
        <v>29.867337852508452</v>
      </c>
      <c r="GC197">
        <v>21.472266090593884</v>
      </c>
      <c r="GD197">
        <v>11.918167333195402</v>
      </c>
      <c r="GE197">
        <v>20.863147312759438</v>
      </c>
      <c r="GF197">
        <v>35.568039055524793</v>
      </c>
      <c r="GG197">
        <v>23.104314915953498</v>
      </c>
      <c r="GH197">
        <v>8.8984544040611286</v>
      </c>
      <c r="GI197">
        <v>23.707375198418106</v>
      </c>
      <c r="GJ197"/>
      <c r="GK197"/>
      <c r="GL197"/>
      <c r="GM197"/>
    </row>
    <row r="198" spans="1:195" s="7" customFormat="1">
      <c r="A198" s="128"/>
      <c r="B198" s="76" t="str">
        <f t="shared" ca="1" si="249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83.356601436108178</v>
      </c>
      <c r="AO198">
        <v>29.358647194270027</v>
      </c>
      <c r="AP198">
        <v>188.38125774406836</v>
      </c>
      <c r="AQ198">
        <v>169.16840059418453</v>
      </c>
      <c r="AR198">
        <v>26.750882543569109</v>
      </c>
      <c r="AS198">
        <v>127.48091091252465</v>
      </c>
      <c r="AT198">
        <v>20.498284526628826</v>
      </c>
      <c r="AU198">
        <v>36.488572082265428</v>
      </c>
      <c r="AV198"/>
      <c r="AW198"/>
      <c r="AX198" s="128"/>
      <c r="AY198" s="76" t="str">
        <f t="shared" ca="1" si="172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7"/>
        <v/>
      </c>
      <c r="CL198" s="179" t="str">
        <f t="shared" si="208"/>
        <v/>
      </c>
      <c r="CM198" s="180" t="str">
        <f t="shared" si="209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0"/>
        <v/>
      </c>
      <c r="DB198" s="128"/>
      <c r="DC198" s="76" t="str">
        <f t="shared" ca="1" si="173"/>
        <v/>
      </c>
      <c r="DD198" t="str">
        <f t="shared" si="211"/>
        <v/>
      </c>
      <c r="DE198" s="129" t="str">
        <f t="shared" ref="DE198:DE207" si="337">IF((DD198)="", "", $C$15)</f>
        <v/>
      </c>
      <c r="DF198" s="161" t="str">
        <f t="shared" si="284"/>
        <v/>
      </c>
      <c r="DG198" s="161" t="str">
        <f t="shared" si="285"/>
        <v/>
      </c>
      <c r="DH198" s="161" t="str">
        <f t="shared" si="286"/>
        <v/>
      </c>
      <c r="DI198" s="161" t="str">
        <f t="shared" si="287"/>
        <v/>
      </c>
      <c r="DJ198" s="161" t="str">
        <f t="shared" si="288"/>
        <v/>
      </c>
      <c r="DK198" s="161" t="str">
        <f t="shared" si="289"/>
        <v/>
      </c>
      <c r="DL198" s="161" t="str">
        <f t="shared" si="290"/>
        <v/>
      </c>
      <c r="DM198" s="161" t="str">
        <f t="shared" si="291"/>
        <v/>
      </c>
      <c r="DN198" s="161" t="str">
        <f t="shared" si="314"/>
        <v/>
      </c>
      <c r="DO198" s="161" t="str">
        <f t="shared" si="315"/>
        <v/>
      </c>
      <c r="DP198" s="161" t="str">
        <f t="shared" si="316"/>
        <v/>
      </c>
      <c r="DQ198" s="161" t="str">
        <f t="shared" si="317"/>
        <v/>
      </c>
      <c r="DR198" s="161" t="str">
        <f t="shared" si="318"/>
        <v/>
      </c>
      <c r="DS198" s="161" t="str">
        <f t="shared" si="319"/>
        <v/>
      </c>
      <c r="DT198" s="161" t="str">
        <f t="shared" si="320"/>
        <v/>
      </c>
      <c r="DU198" s="161" t="str">
        <f t="shared" si="321"/>
        <v/>
      </c>
      <c r="DV198" s="161" t="str">
        <f t="shared" si="322"/>
        <v/>
      </c>
      <c r="DW198" s="161" t="str">
        <f t="shared" si="323"/>
        <v/>
      </c>
      <c r="DX198" s="161" t="str">
        <f t="shared" si="324"/>
        <v/>
      </c>
      <c r="DY198" s="161" t="str">
        <f t="shared" si="325"/>
        <v/>
      </c>
      <c r="DZ198" s="161" t="str">
        <f t="shared" si="326"/>
        <v/>
      </c>
      <c r="EA198" s="161" t="str">
        <f t="shared" si="327"/>
        <v/>
      </c>
      <c r="EB198" s="161" t="str">
        <f t="shared" si="328"/>
        <v/>
      </c>
      <c r="EC198" s="161" t="str">
        <f t="shared" si="329"/>
        <v/>
      </c>
      <c r="ED198" s="161" t="str">
        <f t="shared" si="330"/>
        <v/>
      </c>
      <c r="EE198" s="161" t="str">
        <f t="shared" si="331"/>
        <v/>
      </c>
      <c r="EF198" s="161" t="str">
        <f t="shared" si="332"/>
        <v/>
      </c>
      <c r="EG198" s="161" t="str">
        <f t="shared" si="333"/>
        <v/>
      </c>
      <c r="EH198" s="161" t="str">
        <f t="shared" si="334"/>
        <v/>
      </c>
      <c r="EI198" s="161" t="str">
        <f t="shared" si="335"/>
        <v/>
      </c>
      <c r="EJ198" s="161" t="str">
        <f t="shared" si="336"/>
        <v/>
      </c>
      <c r="EK198" s="147" t="str">
        <f t="shared" si="250"/>
        <v/>
      </c>
      <c r="EL198" s="149"/>
      <c r="EN198" s="146"/>
      <c r="EO198" s="146"/>
      <c r="EP198" s="139" t="str">
        <f t="shared" si="251"/>
        <v/>
      </c>
      <c r="EQ198" s="139" t="str">
        <f t="shared" si="252"/>
        <v/>
      </c>
      <c r="ER198" s="139" t="str">
        <f t="shared" si="253"/>
        <v/>
      </c>
      <c r="ES198" s="139" t="str">
        <f t="shared" si="254"/>
        <v/>
      </c>
      <c r="ET198" s="139" t="str">
        <f t="shared" si="255"/>
        <v/>
      </c>
      <c r="EU198" s="139" t="str">
        <f t="shared" si="256"/>
        <v/>
      </c>
      <c r="EV198" s="139" t="str">
        <f t="shared" si="257"/>
        <v/>
      </c>
      <c r="EW198" s="139" t="str">
        <f t="shared" si="258"/>
        <v/>
      </c>
      <c r="EX198" s="139" t="str">
        <f t="shared" si="259"/>
        <v/>
      </c>
      <c r="EY198" s="139" t="str">
        <f t="shared" si="260"/>
        <v/>
      </c>
      <c r="EZ198" s="139" t="str">
        <f t="shared" si="261"/>
        <v/>
      </c>
      <c r="FA198" s="139" t="str">
        <f t="shared" si="262"/>
        <v/>
      </c>
      <c r="FB198" s="139" t="str">
        <f t="shared" si="263"/>
        <v/>
      </c>
      <c r="FC198" s="139" t="str">
        <f t="shared" si="264"/>
        <v/>
      </c>
      <c r="FD198" s="139" t="str">
        <f t="shared" si="265"/>
        <v/>
      </c>
      <c r="FE198" s="139" t="str">
        <f t="shared" si="266"/>
        <v/>
      </c>
      <c r="FF198" s="139" t="str">
        <f t="shared" si="267"/>
        <v/>
      </c>
      <c r="FG198" s="139" t="str">
        <f t="shared" si="268"/>
        <v/>
      </c>
      <c r="FH198" s="139" t="str">
        <f t="shared" si="269"/>
        <v/>
      </c>
      <c r="FI198" s="139" t="str">
        <f t="shared" si="270"/>
        <v/>
      </c>
      <c r="FJ198" s="139" t="str">
        <f t="shared" si="271"/>
        <v/>
      </c>
      <c r="FK198" s="139" t="str">
        <f t="shared" si="272"/>
        <v/>
      </c>
      <c r="FL198" s="139" t="str">
        <f t="shared" si="273"/>
        <v/>
      </c>
      <c r="FM198" s="139" t="str">
        <f t="shared" si="274"/>
        <v/>
      </c>
      <c r="FN198" s="139" t="str">
        <f t="shared" si="275"/>
        <v/>
      </c>
      <c r="FO198" s="139" t="str">
        <f t="shared" si="276"/>
        <v/>
      </c>
      <c r="FP198" s="139" t="str">
        <f t="shared" si="277"/>
        <v/>
      </c>
      <c r="FQ198" s="139" t="str">
        <f t="shared" si="278"/>
        <v/>
      </c>
      <c r="FR198" s="139" t="str">
        <f t="shared" si="279"/>
        <v/>
      </c>
      <c r="FS198" s="139" t="str">
        <f t="shared" si="280"/>
        <v/>
      </c>
      <c r="FT198" s="139" t="str">
        <f t="shared" si="281"/>
        <v/>
      </c>
      <c r="FU198" s="148" t="str">
        <f t="shared" si="282"/>
        <v/>
      </c>
      <c r="FV198" s="149"/>
      <c r="FY198" s="211">
        <v>193</v>
      </c>
      <c r="FZ198">
        <v>8.4788292057204604</v>
      </c>
      <c r="GA198">
        <v>22.547070784739585</v>
      </c>
      <c r="GB198">
        <v>35.310510307022838</v>
      </c>
      <c r="GC198">
        <v>24.21038274744771</v>
      </c>
      <c r="GD198">
        <v>12.190753682292948</v>
      </c>
      <c r="GE198">
        <v>18.601991354906836</v>
      </c>
      <c r="GF198">
        <v>28.316821609177104</v>
      </c>
      <c r="GG198">
        <v>18.801490666361843</v>
      </c>
      <c r="GH198">
        <v>6.5087827847714017</v>
      </c>
      <c r="GI198">
        <v>23.84963943522137</v>
      </c>
      <c r="GJ198"/>
      <c r="GK198"/>
      <c r="GL198"/>
      <c r="GM198"/>
    </row>
    <row r="199" spans="1:195" s="7" customFormat="1">
      <c r="A199" s="1"/>
      <c r="B199" s="76" t="str">
        <f t="shared" ca="1" si="249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90.041676058800277</v>
      </c>
      <c r="AO199">
        <v>30.206783139813361</v>
      </c>
      <c r="AP199">
        <v>196.34255929954534</v>
      </c>
      <c r="AQ199">
        <v>171.87166088205581</v>
      </c>
      <c r="AR199">
        <v>27.590711170358286</v>
      </c>
      <c r="AS199">
        <v>142.45369331703779</v>
      </c>
      <c r="AT199">
        <v>20.52869640379588</v>
      </c>
      <c r="AU199">
        <v>43.988704953027437</v>
      </c>
      <c r="AV199"/>
      <c r="AW199"/>
      <c r="AX199" s="146"/>
      <c r="AY199" s="76" t="str">
        <f t="shared" ca="1" si="172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7"/>
        <v/>
      </c>
      <c r="CL199" s="179" t="str">
        <f t="shared" si="208"/>
        <v/>
      </c>
      <c r="CM199" s="180" t="str">
        <f t="shared" si="209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0"/>
        <v/>
      </c>
      <c r="DB199" s="146"/>
      <c r="DC199" s="76" t="str">
        <f t="shared" ca="1" si="173"/>
        <v/>
      </c>
      <c r="DD199" t="str">
        <f t="shared" si="211"/>
        <v/>
      </c>
      <c r="DE199" s="129" t="str">
        <f t="shared" si="337"/>
        <v/>
      </c>
      <c r="DF199" s="161" t="str">
        <f t="shared" si="284"/>
        <v/>
      </c>
      <c r="DG199" s="161" t="str">
        <f t="shared" si="285"/>
        <v/>
      </c>
      <c r="DH199" s="161" t="str">
        <f t="shared" si="286"/>
        <v/>
      </c>
      <c r="DI199" s="161" t="str">
        <f t="shared" si="287"/>
        <v/>
      </c>
      <c r="DJ199" s="161" t="str">
        <f t="shared" si="288"/>
        <v/>
      </c>
      <c r="DK199" s="161" t="str">
        <f t="shared" si="289"/>
        <v/>
      </c>
      <c r="DL199" s="161" t="str">
        <f t="shared" si="290"/>
        <v/>
      </c>
      <c r="DM199" s="161" t="str">
        <f t="shared" si="291"/>
        <v/>
      </c>
      <c r="DN199" s="161" t="str">
        <f t="shared" si="314"/>
        <v/>
      </c>
      <c r="DO199" s="161" t="str">
        <f t="shared" si="315"/>
        <v/>
      </c>
      <c r="DP199" s="161" t="str">
        <f t="shared" si="316"/>
        <v/>
      </c>
      <c r="DQ199" s="161" t="str">
        <f t="shared" si="317"/>
        <v/>
      </c>
      <c r="DR199" s="161" t="str">
        <f t="shared" si="318"/>
        <v/>
      </c>
      <c r="DS199" s="161" t="str">
        <f t="shared" si="319"/>
        <v/>
      </c>
      <c r="DT199" s="161" t="str">
        <f t="shared" si="320"/>
        <v/>
      </c>
      <c r="DU199" s="161" t="str">
        <f t="shared" si="321"/>
        <v/>
      </c>
      <c r="DV199" s="161" t="str">
        <f t="shared" si="322"/>
        <v/>
      </c>
      <c r="DW199" s="161" t="str">
        <f t="shared" si="323"/>
        <v/>
      </c>
      <c r="DX199" s="161" t="str">
        <f t="shared" si="324"/>
        <v/>
      </c>
      <c r="DY199" s="161" t="str">
        <f t="shared" si="325"/>
        <v/>
      </c>
      <c r="DZ199" s="161" t="str">
        <f t="shared" si="326"/>
        <v/>
      </c>
      <c r="EA199" s="161" t="str">
        <f t="shared" si="327"/>
        <v/>
      </c>
      <c r="EB199" s="161" t="str">
        <f t="shared" si="328"/>
        <v/>
      </c>
      <c r="EC199" s="161" t="str">
        <f t="shared" si="329"/>
        <v/>
      </c>
      <c r="ED199" s="161" t="str">
        <f t="shared" si="330"/>
        <v/>
      </c>
      <c r="EE199" s="161" t="str">
        <f t="shared" si="331"/>
        <v/>
      </c>
      <c r="EF199" s="161" t="str">
        <f t="shared" si="332"/>
        <v/>
      </c>
      <c r="EG199" s="161" t="str">
        <f t="shared" si="333"/>
        <v/>
      </c>
      <c r="EH199" s="161" t="str">
        <f t="shared" si="334"/>
        <v/>
      </c>
      <c r="EI199" s="161" t="str">
        <f t="shared" si="335"/>
        <v/>
      </c>
      <c r="EJ199" s="161" t="str">
        <f t="shared" si="336"/>
        <v/>
      </c>
      <c r="EK199" s="147" t="str">
        <f t="shared" si="250"/>
        <v/>
      </c>
      <c r="EL199" s="149"/>
      <c r="EN199" s="146"/>
      <c r="EO199" s="146"/>
      <c r="EP199" s="139" t="str">
        <f t="shared" si="251"/>
        <v/>
      </c>
      <c r="EQ199" s="139" t="str">
        <f t="shared" si="252"/>
        <v/>
      </c>
      <c r="ER199" s="139" t="str">
        <f t="shared" si="253"/>
        <v/>
      </c>
      <c r="ES199" s="139" t="str">
        <f t="shared" si="254"/>
        <v/>
      </c>
      <c r="ET199" s="139" t="str">
        <f t="shared" si="255"/>
        <v/>
      </c>
      <c r="EU199" s="139" t="str">
        <f t="shared" si="256"/>
        <v/>
      </c>
      <c r="EV199" s="139" t="str">
        <f t="shared" si="257"/>
        <v/>
      </c>
      <c r="EW199" s="139" t="str">
        <f t="shared" si="258"/>
        <v/>
      </c>
      <c r="EX199" s="139" t="str">
        <f t="shared" si="259"/>
        <v/>
      </c>
      <c r="EY199" s="139" t="str">
        <f t="shared" si="260"/>
        <v/>
      </c>
      <c r="EZ199" s="139" t="str">
        <f t="shared" si="261"/>
        <v/>
      </c>
      <c r="FA199" s="139" t="str">
        <f t="shared" si="262"/>
        <v/>
      </c>
      <c r="FB199" s="139" t="str">
        <f t="shared" si="263"/>
        <v/>
      </c>
      <c r="FC199" s="139" t="str">
        <f t="shared" si="264"/>
        <v/>
      </c>
      <c r="FD199" s="139" t="str">
        <f t="shared" si="265"/>
        <v/>
      </c>
      <c r="FE199" s="139" t="str">
        <f t="shared" si="266"/>
        <v/>
      </c>
      <c r="FF199" s="139" t="str">
        <f t="shared" si="267"/>
        <v/>
      </c>
      <c r="FG199" s="139" t="str">
        <f t="shared" si="268"/>
        <v/>
      </c>
      <c r="FH199" s="139" t="str">
        <f t="shared" si="269"/>
        <v/>
      </c>
      <c r="FI199" s="139" t="str">
        <f t="shared" si="270"/>
        <v/>
      </c>
      <c r="FJ199" s="139" t="str">
        <f t="shared" si="271"/>
        <v/>
      </c>
      <c r="FK199" s="139" t="str">
        <f t="shared" si="272"/>
        <v/>
      </c>
      <c r="FL199" s="139" t="str">
        <f t="shared" si="273"/>
        <v/>
      </c>
      <c r="FM199" s="139" t="str">
        <f t="shared" si="274"/>
        <v/>
      </c>
      <c r="FN199" s="139" t="str">
        <f t="shared" si="275"/>
        <v/>
      </c>
      <c r="FO199" s="139" t="str">
        <f t="shared" si="276"/>
        <v/>
      </c>
      <c r="FP199" s="139" t="str">
        <f t="shared" si="277"/>
        <v/>
      </c>
      <c r="FQ199" s="139" t="str">
        <f t="shared" si="278"/>
        <v/>
      </c>
      <c r="FR199" s="139" t="str">
        <f t="shared" si="279"/>
        <v/>
      </c>
      <c r="FS199" s="139" t="str">
        <f t="shared" si="280"/>
        <v/>
      </c>
      <c r="FT199" s="139" t="str">
        <f t="shared" si="281"/>
        <v/>
      </c>
      <c r="FU199" s="148" t="str">
        <f t="shared" si="282"/>
        <v/>
      </c>
      <c r="FV199" s="149"/>
      <c r="FY199" s="211">
        <v>194</v>
      </c>
      <c r="FZ199">
        <v>5.9035634467390699</v>
      </c>
      <c r="GA199">
        <v>26.054965546643153</v>
      </c>
      <c r="GB199">
        <v>17.20235392063843</v>
      </c>
      <c r="GC199">
        <v>7.5349708264441055</v>
      </c>
      <c r="GD199">
        <v>9.1380105674922074</v>
      </c>
      <c r="GE199">
        <v>22.526480919483262</v>
      </c>
      <c r="GF199">
        <v>22.392429715304253</v>
      </c>
      <c r="GG199">
        <v>24.322222391993748</v>
      </c>
      <c r="GH199">
        <v>28.488126105433299</v>
      </c>
      <c r="GI199">
        <v>19.394947032305986</v>
      </c>
      <c r="GJ199"/>
      <c r="GK199"/>
      <c r="GL199"/>
      <c r="GM199"/>
    </row>
    <row r="200" spans="1:195" s="7" customFormat="1">
      <c r="A200" s="1"/>
      <c r="B200" s="76" t="str">
        <f t="shared" ca="1" si="249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74.62614383195303</v>
      </c>
      <c r="AO200">
        <v>27.851467579101961</v>
      </c>
      <c r="AP200">
        <v>175.69550832113185</v>
      </c>
      <c r="AQ200">
        <v>151.63404025527791</v>
      </c>
      <c r="AR200">
        <v>25.43842513971715</v>
      </c>
      <c r="AS200">
        <v>121.77442521151622</v>
      </c>
      <c r="AT200">
        <v>18.701234213977305</v>
      </c>
      <c r="AU200">
        <v>-0.48245869875971037</v>
      </c>
      <c r="AV200"/>
      <c r="AW200"/>
      <c r="AX200" s="146"/>
      <c r="AY200" s="76" t="str">
        <f t="shared" ca="1" si="172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7"/>
        <v/>
      </c>
      <c r="CL200" s="179" t="str">
        <f t="shared" si="208"/>
        <v/>
      </c>
      <c r="CM200" s="180" t="str">
        <f t="shared" si="209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0"/>
        <v/>
      </c>
      <c r="DB200" s="146"/>
      <c r="DC200" s="76" t="str">
        <f t="shared" ca="1" si="173"/>
        <v/>
      </c>
      <c r="DD200" t="str">
        <f t="shared" si="211"/>
        <v/>
      </c>
      <c r="DE200" s="129" t="str">
        <f t="shared" si="337"/>
        <v/>
      </c>
      <c r="DF200" s="161" t="str">
        <f t="shared" si="284"/>
        <v/>
      </c>
      <c r="DG200" s="161" t="str">
        <f t="shared" si="285"/>
        <v/>
      </c>
      <c r="DH200" s="161" t="str">
        <f t="shared" si="286"/>
        <v/>
      </c>
      <c r="DI200" s="161" t="str">
        <f t="shared" si="287"/>
        <v/>
      </c>
      <c r="DJ200" s="161" t="str">
        <f t="shared" si="288"/>
        <v/>
      </c>
      <c r="DK200" s="161" t="str">
        <f t="shared" si="289"/>
        <v/>
      </c>
      <c r="DL200" s="161" t="str">
        <f t="shared" si="290"/>
        <v/>
      </c>
      <c r="DM200" s="161" t="str">
        <f t="shared" si="291"/>
        <v/>
      </c>
      <c r="DN200" s="161" t="str">
        <f t="shared" si="314"/>
        <v/>
      </c>
      <c r="DO200" s="161" t="str">
        <f t="shared" si="315"/>
        <v/>
      </c>
      <c r="DP200" s="161" t="str">
        <f t="shared" si="316"/>
        <v/>
      </c>
      <c r="DQ200" s="161" t="str">
        <f t="shared" si="317"/>
        <v/>
      </c>
      <c r="DR200" s="161" t="str">
        <f t="shared" si="318"/>
        <v/>
      </c>
      <c r="DS200" s="161" t="str">
        <f t="shared" si="319"/>
        <v/>
      </c>
      <c r="DT200" s="161" t="str">
        <f t="shared" si="320"/>
        <v/>
      </c>
      <c r="DU200" s="161" t="str">
        <f t="shared" si="321"/>
        <v/>
      </c>
      <c r="DV200" s="161" t="str">
        <f t="shared" si="322"/>
        <v/>
      </c>
      <c r="DW200" s="161" t="str">
        <f t="shared" si="323"/>
        <v/>
      </c>
      <c r="DX200" s="161" t="str">
        <f t="shared" si="324"/>
        <v/>
      </c>
      <c r="DY200" s="161" t="str">
        <f t="shared" si="325"/>
        <v/>
      </c>
      <c r="DZ200" s="161" t="str">
        <f t="shared" si="326"/>
        <v/>
      </c>
      <c r="EA200" s="161" t="str">
        <f t="shared" si="327"/>
        <v/>
      </c>
      <c r="EB200" s="161" t="str">
        <f t="shared" si="328"/>
        <v/>
      </c>
      <c r="EC200" s="161" t="str">
        <f t="shared" si="329"/>
        <v/>
      </c>
      <c r="ED200" s="161" t="str">
        <f t="shared" si="330"/>
        <v/>
      </c>
      <c r="EE200" s="161" t="str">
        <f t="shared" si="331"/>
        <v/>
      </c>
      <c r="EF200" s="161" t="str">
        <f t="shared" si="332"/>
        <v/>
      </c>
      <c r="EG200" s="161" t="str">
        <f t="shared" si="333"/>
        <v/>
      </c>
      <c r="EH200" s="161" t="str">
        <f t="shared" si="334"/>
        <v/>
      </c>
      <c r="EI200" s="161" t="str">
        <f t="shared" si="335"/>
        <v/>
      </c>
      <c r="EJ200" s="161" t="str">
        <f t="shared" si="336"/>
        <v/>
      </c>
      <c r="EK200" s="147" t="str">
        <f t="shared" si="250"/>
        <v/>
      </c>
      <c r="EL200" s="149"/>
      <c r="EN200" s="146"/>
      <c r="EO200" s="146"/>
      <c r="EP200" s="139" t="str">
        <f t="shared" si="251"/>
        <v/>
      </c>
      <c r="EQ200" s="139" t="str">
        <f t="shared" si="252"/>
        <v/>
      </c>
      <c r="ER200" s="139" t="str">
        <f t="shared" si="253"/>
        <v/>
      </c>
      <c r="ES200" s="139" t="str">
        <f t="shared" si="254"/>
        <v/>
      </c>
      <c r="ET200" s="139" t="str">
        <f t="shared" si="255"/>
        <v/>
      </c>
      <c r="EU200" s="139" t="str">
        <f t="shared" si="256"/>
        <v/>
      </c>
      <c r="EV200" s="139" t="str">
        <f t="shared" si="257"/>
        <v/>
      </c>
      <c r="EW200" s="139" t="str">
        <f t="shared" si="258"/>
        <v/>
      </c>
      <c r="EX200" s="139" t="str">
        <f t="shared" si="259"/>
        <v/>
      </c>
      <c r="EY200" s="139" t="str">
        <f t="shared" si="260"/>
        <v/>
      </c>
      <c r="EZ200" s="139" t="str">
        <f t="shared" si="261"/>
        <v/>
      </c>
      <c r="FA200" s="139" t="str">
        <f t="shared" si="262"/>
        <v/>
      </c>
      <c r="FB200" s="139" t="str">
        <f t="shared" si="263"/>
        <v/>
      </c>
      <c r="FC200" s="139" t="str">
        <f t="shared" si="264"/>
        <v/>
      </c>
      <c r="FD200" s="139" t="str">
        <f t="shared" si="265"/>
        <v/>
      </c>
      <c r="FE200" s="139" t="str">
        <f t="shared" si="266"/>
        <v/>
      </c>
      <c r="FF200" s="139" t="str">
        <f t="shared" si="267"/>
        <v/>
      </c>
      <c r="FG200" s="139" t="str">
        <f t="shared" si="268"/>
        <v/>
      </c>
      <c r="FH200" s="139" t="str">
        <f t="shared" si="269"/>
        <v/>
      </c>
      <c r="FI200" s="139" t="str">
        <f t="shared" si="270"/>
        <v/>
      </c>
      <c r="FJ200" s="139" t="str">
        <f t="shared" si="271"/>
        <v/>
      </c>
      <c r="FK200" s="139" t="str">
        <f t="shared" si="272"/>
        <v/>
      </c>
      <c r="FL200" s="139" t="str">
        <f t="shared" si="273"/>
        <v/>
      </c>
      <c r="FM200" s="139" t="str">
        <f t="shared" si="274"/>
        <v/>
      </c>
      <c r="FN200" s="139" t="str">
        <f t="shared" si="275"/>
        <v/>
      </c>
      <c r="FO200" s="139" t="str">
        <f t="shared" si="276"/>
        <v/>
      </c>
      <c r="FP200" s="139" t="str">
        <f t="shared" si="277"/>
        <v/>
      </c>
      <c r="FQ200" s="139" t="str">
        <f t="shared" si="278"/>
        <v/>
      </c>
      <c r="FR200" s="139" t="str">
        <f t="shared" si="279"/>
        <v/>
      </c>
      <c r="FS200" s="139" t="str">
        <f t="shared" si="280"/>
        <v/>
      </c>
      <c r="FT200" s="139" t="str">
        <f t="shared" si="281"/>
        <v/>
      </c>
      <c r="FU200" s="148" t="str">
        <f t="shared" si="282"/>
        <v/>
      </c>
      <c r="FV200" s="149"/>
      <c r="FY200" s="211">
        <v>195</v>
      </c>
      <c r="FZ200">
        <v>2.0613267350280262</v>
      </c>
      <c r="GA200">
        <v>22.135777048114093</v>
      </c>
      <c r="GB200">
        <v>43.438246642110983</v>
      </c>
      <c r="GC200">
        <v>23.947893479055786</v>
      </c>
      <c r="GD200">
        <v>8.9454410289754129</v>
      </c>
      <c r="GE200">
        <v>14.716676086581401</v>
      </c>
      <c r="GF200">
        <v>19.536271472519733</v>
      </c>
      <c r="GG200">
        <v>11.506587314483459</v>
      </c>
      <c r="GH200">
        <v>5.3642286717551233</v>
      </c>
      <c r="GI200">
        <v>21.102659215503575</v>
      </c>
      <c r="GJ200"/>
      <c r="GK200"/>
      <c r="GL200"/>
      <c r="GM200"/>
    </row>
    <row r="201" spans="1:195" s="7" customFormat="1">
      <c r="A201" s="1"/>
      <c r="B201" s="76" t="str">
        <f t="shared" ca="1" si="249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82.857965212259543</v>
      </c>
      <c r="AO201">
        <v>32.871300029100048</v>
      </c>
      <c r="AP201">
        <v>234.36403739172798</v>
      </c>
      <c r="AQ201">
        <v>195.22418909821161</v>
      </c>
      <c r="AR201">
        <v>29.989996815135367</v>
      </c>
      <c r="AS201">
        <v>143.02098154098007</v>
      </c>
      <c r="AT201" t="e">
        <v>#DIV/0!</v>
      </c>
      <c r="AU201" t="e">
        <v>#DIV/0!</v>
      </c>
      <c r="AV201"/>
      <c r="AW201"/>
      <c r="AX201" s="146"/>
      <c r="AY201" s="76" t="str">
        <f t="shared" ca="1" si="172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7"/>
        <v/>
      </c>
      <c r="CL201" s="179" t="str">
        <f t="shared" si="208"/>
        <v/>
      </c>
      <c r="CM201" s="180" t="str">
        <f t="shared" si="209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0"/>
        <v/>
      </c>
      <c r="DB201" s="146"/>
      <c r="DC201" s="76" t="str">
        <f t="shared" ca="1" si="173"/>
        <v/>
      </c>
      <c r="DD201" t="str">
        <f t="shared" si="211"/>
        <v/>
      </c>
      <c r="DE201" s="129" t="str">
        <f t="shared" si="337"/>
        <v/>
      </c>
      <c r="DF201" s="161" t="str">
        <f t="shared" si="284"/>
        <v/>
      </c>
      <c r="DG201" s="161" t="str">
        <f t="shared" si="285"/>
        <v/>
      </c>
      <c r="DH201" s="161" t="str">
        <f t="shared" si="286"/>
        <v/>
      </c>
      <c r="DI201" s="161" t="str">
        <f t="shared" si="287"/>
        <v/>
      </c>
      <c r="DJ201" s="161" t="str">
        <f t="shared" si="288"/>
        <v/>
      </c>
      <c r="DK201" s="161" t="str">
        <f t="shared" si="289"/>
        <v/>
      </c>
      <c r="DL201" s="161" t="str">
        <f t="shared" si="290"/>
        <v/>
      </c>
      <c r="DM201" s="161" t="str">
        <f t="shared" si="291"/>
        <v/>
      </c>
      <c r="DN201" s="161" t="str">
        <f t="shared" si="314"/>
        <v/>
      </c>
      <c r="DO201" s="161" t="str">
        <f t="shared" si="315"/>
        <v/>
      </c>
      <c r="DP201" s="161" t="str">
        <f t="shared" si="316"/>
        <v/>
      </c>
      <c r="DQ201" s="161" t="str">
        <f t="shared" si="317"/>
        <v/>
      </c>
      <c r="DR201" s="161" t="str">
        <f t="shared" si="318"/>
        <v/>
      </c>
      <c r="DS201" s="161" t="str">
        <f t="shared" si="319"/>
        <v/>
      </c>
      <c r="DT201" s="161" t="str">
        <f t="shared" si="320"/>
        <v/>
      </c>
      <c r="DU201" s="161" t="str">
        <f t="shared" si="321"/>
        <v/>
      </c>
      <c r="DV201" s="161" t="str">
        <f t="shared" si="322"/>
        <v/>
      </c>
      <c r="DW201" s="161" t="str">
        <f t="shared" si="323"/>
        <v/>
      </c>
      <c r="DX201" s="161" t="str">
        <f t="shared" si="324"/>
        <v/>
      </c>
      <c r="DY201" s="161" t="str">
        <f t="shared" si="325"/>
        <v/>
      </c>
      <c r="DZ201" s="161" t="str">
        <f t="shared" si="326"/>
        <v/>
      </c>
      <c r="EA201" s="161" t="str">
        <f t="shared" si="327"/>
        <v/>
      </c>
      <c r="EB201" s="161" t="str">
        <f t="shared" si="328"/>
        <v/>
      </c>
      <c r="EC201" s="161" t="str">
        <f t="shared" si="329"/>
        <v/>
      </c>
      <c r="ED201" s="161" t="str">
        <f t="shared" si="330"/>
        <v/>
      </c>
      <c r="EE201" s="161" t="str">
        <f t="shared" si="331"/>
        <v/>
      </c>
      <c r="EF201" s="161" t="str">
        <f t="shared" si="332"/>
        <v/>
      </c>
      <c r="EG201" s="161" t="str">
        <f t="shared" si="333"/>
        <v/>
      </c>
      <c r="EH201" s="161" t="str">
        <f t="shared" si="334"/>
        <v/>
      </c>
      <c r="EI201" s="161" t="str">
        <f t="shared" si="335"/>
        <v/>
      </c>
      <c r="EJ201" s="161" t="str">
        <f t="shared" si="336"/>
        <v/>
      </c>
      <c r="EK201" s="147" t="str">
        <f t="shared" si="250"/>
        <v/>
      </c>
      <c r="EL201" s="149"/>
      <c r="EN201" s="146"/>
      <c r="EO201" s="146"/>
      <c r="EP201" s="139" t="str">
        <f t="shared" si="251"/>
        <v/>
      </c>
      <c r="EQ201" s="139" t="str">
        <f t="shared" si="252"/>
        <v/>
      </c>
      <c r="ER201" s="139" t="str">
        <f t="shared" si="253"/>
        <v/>
      </c>
      <c r="ES201" s="139" t="str">
        <f t="shared" si="254"/>
        <v/>
      </c>
      <c r="ET201" s="139" t="str">
        <f t="shared" si="255"/>
        <v/>
      </c>
      <c r="EU201" s="139" t="str">
        <f t="shared" si="256"/>
        <v/>
      </c>
      <c r="EV201" s="139" t="str">
        <f t="shared" si="257"/>
        <v/>
      </c>
      <c r="EW201" s="139" t="str">
        <f t="shared" si="258"/>
        <v/>
      </c>
      <c r="EX201" s="139" t="str">
        <f t="shared" si="259"/>
        <v/>
      </c>
      <c r="EY201" s="139" t="str">
        <f t="shared" si="260"/>
        <v/>
      </c>
      <c r="EZ201" s="139" t="str">
        <f t="shared" si="261"/>
        <v/>
      </c>
      <c r="FA201" s="139" t="str">
        <f t="shared" si="262"/>
        <v/>
      </c>
      <c r="FB201" s="139" t="str">
        <f t="shared" si="263"/>
        <v/>
      </c>
      <c r="FC201" s="139" t="str">
        <f t="shared" si="264"/>
        <v/>
      </c>
      <c r="FD201" s="139" t="str">
        <f t="shared" si="265"/>
        <v/>
      </c>
      <c r="FE201" s="139" t="str">
        <f t="shared" si="266"/>
        <v/>
      </c>
      <c r="FF201" s="139" t="str">
        <f t="shared" si="267"/>
        <v/>
      </c>
      <c r="FG201" s="139" t="str">
        <f t="shared" si="268"/>
        <v/>
      </c>
      <c r="FH201" s="139" t="str">
        <f t="shared" si="269"/>
        <v/>
      </c>
      <c r="FI201" s="139" t="str">
        <f t="shared" si="270"/>
        <v/>
      </c>
      <c r="FJ201" s="139" t="str">
        <f t="shared" si="271"/>
        <v/>
      </c>
      <c r="FK201" s="139" t="str">
        <f t="shared" si="272"/>
        <v/>
      </c>
      <c r="FL201" s="139" t="str">
        <f t="shared" si="273"/>
        <v/>
      </c>
      <c r="FM201" s="139" t="str">
        <f t="shared" si="274"/>
        <v/>
      </c>
      <c r="FN201" s="139" t="str">
        <f t="shared" si="275"/>
        <v/>
      </c>
      <c r="FO201" s="139" t="str">
        <f t="shared" si="276"/>
        <v/>
      </c>
      <c r="FP201" s="139" t="str">
        <f t="shared" si="277"/>
        <v/>
      </c>
      <c r="FQ201" s="139" t="str">
        <f t="shared" si="278"/>
        <v/>
      </c>
      <c r="FR201" s="139" t="str">
        <f t="shared" si="279"/>
        <v/>
      </c>
      <c r="FS201" s="139" t="str">
        <f t="shared" si="280"/>
        <v/>
      </c>
      <c r="FT201" s="139" t="str">
        <f t="shared" si="281"/>
        <v/>
      </c>
      <c r="FU201" s="148" t="str">
        <f t="shared" si="282"/>
        <v/>
      </c>
      <c r="FV201" s="149"/>
      <c r="FY201" s="211">
        <v>196</v>
      </c>
      <c r="FZ201">
        <v>8.4117911009984958</v>
      </c>
      <c r="GA201">
        <v>18.701471636282125</v>
      </c>
      <c r="GB201">
        <v>22.333480985880978</v>
      </c>
      <c r="GC201">
        <v>17.421630382549573</v>
      </c>
      <c r="GD201">
        <v>9.9386142137860549</v>
      </c>
      <c r="GE201">
        <v>14.30016127883478</v>
      </c>
      <c r="GF201">
        <v>24.716464024360388</v>
      </c>
      <c r="GG201">
        <v>16.358101126139029</v>
      </c>
      <c r="GH201">
        <v>6.4699726773935202</v>
      </c>
      <c r="GI201">
        <v>18.506983102530366</v>
      </c>
      <c r="GJ201"/>
      <c r="GK201"/>
      <c r="GL201"/>
      <c r="GM201"/>
    </row>
    <row r="202" spans="1:195" s="7" customFormat="1">
      <c r="A202" s="1"/>
      <c r="B202" s="76" t="str">
        <f t="shared" ca="1" si="249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88.21005104782283</v>
      </c>
      <c r="AO202">
        <v>35.157468517953916</v>
      </c>
      <c r="AP202">
        <v>245.82995456039981</v>
      </c>
      <c r="AQ202">
        <v>197.76307260778773</v>
      </c>
      <c r="AR202">
        <v>31.910706927641002</v>
      </c>
      <c r="AS202">
        <v>147.96944588126428</v>
      </c>
      <c r="AT202">
        <v>23.862998124917663</v>
      </c>
      <c r="AU202">
        <v>-6.2142285113601501</v>
      </c>
      <c r="AV202"/>
      <c r="AW202"/>
      <c r="AX202" s="146"/>
      <c r="AY202" s="76" t="str">
        <f t="shared" ca="1" si="172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7"/>
        <v/>
      </c>
      <c r="CL202" s="179" t="str">
        <f t="shared" si="208"/>
        <v/>
      </c>
      <c r="CM202" s="180" t="str">
        <f t="shared" si="209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0"/>
        <v/>
      </c>
      <c r="DB202" s="146"/>
      <c r="DC202" s="76" t="str">
        <f t="shared" ca="1" si="173"/>
        <v/>
      </c>
      <c r="DD202" t="str">
        <f t="shared" si="211"/>
        <v/>
      </c>
      <c r="DE202" s="129" t="str">
        <f t="shared" si="337"/>
        <v/>
      </c>
      <c r="DF202" s="161" t="str">
        <f t="shared" si="284"/>
        <v/>
      </c>
      <c r="DG202" s="161" t="str">
        <f t="shared" si="285"/>
        <v/>
      </c>
      <c r="DH202" s="161" t="str">
        <f t="shared" si="286"/>
        <v/>
      </c>
      <c r="DI202" s="161" t="str">
        <f t="shared" si="287"/>
        <v/>
      </c>
      <c r="DJ202" s="161" t="str">
        <f t="shared" si="288"/>
        <v/>
      </c>
      <c r="DK202" s="161" t="str">
        <f t="shared" si="289"/>
        <v/>
      </c>
      <c r="DL202" s="161" t="str">
        <f t="shared" si="290"/>
        <v/>
      </c>
      <c r="DM202" s="161" t="str">
        <f t="shared" si="291"/>
        <v/>
      </c>
      <c r="DN202" s="161" t="str">
        <f t="shared" si="314"/>
        <v/>
      </c>
      <c r="DO202" s="161" t="str">
        <f t="shared" si="315"/>
        <v/>
      </c>
      <c r="DP202" s="161" t="str">
        <f t="shared" si="316"/>
        <v/>
      </c>
      <c r="DQ202" s="161" t="str">
        <f t="shared" si="317"/>
        <v/>
      </c>
      <c r="DR202" s="161" t="str">
        <f t="shared" si="318"/>
        <v/>
      </c>
      <c r="DS202" s="161" t="str">
        <f t="shared" si="319"/>
        <v/>
      </c>
      <c r="DT202" s="161" t="str">
        <f t="shared" si="320"/>
        <v/>
      </c>
      <c r="DU202" s="161" t="str">
        <f t="shared" si="321"/>
        <v/>
      </c>
      <c r="DV202" s="161" t="str">
        <f t="shared" si="322"/>
        <v/>
      </c>
      <c r="DW202" s="161" t="str">
        <f t="shared" si="323"/>
        <v/>
      </c>
      <c r="DX202" s="161" t="str">
        <f t="shared" si="324"/>
        <v/>
      </c>
      <c r="DY202" s="161" t="str">
        <f t="shared" si="325"/>
        <v/>
      </c>
      <c r="DZ202" s="161" t="str">
        <f t="shared" si="326"/>
        <v/>
      </c>
      <c r="EA202" s="161" t="str">
        <f t="shared" si="327"/>
        <v/>
      </c>
      <c r="EB202" s="161" t="str">
        <f t="shared" si="328"/>
        <v/>
      </c>
      <c r="EC202" s="161" t="str">
        <f t="shared" si="329"/>
        <v/>
      </c>
      <c r="ED202" s="161" t="str">
        <f t="shared" si="330"/>
        <v/>
      </c>
      <c r="EE202" s="161" t="str">
        <f t="shared" si="331"/>
        <v/>
      </c>
      <c r="EF202" s="161" t="str">
        <f t="shared" si="332"/>
        <v/>
      </c>
      <c r="EG202" s="161" t="str">
        <f t="shared" si="333"/>
        <v/>
      </c>
      <c r="EH202" s="161" t="str">
        <f t="shared" si="334"/>
        <v/>
      </c>
      <c r="EI202" s="161" t="str">
        <f t="shared" si="335"/>
        <v/>
      </c>
      <c r="EJ202" s="161" t="str">
        <f t="shared" si="336"/>
        <v/>
      </c>
      <c r="EK202" s="147" t="str">
        <f t="shared" si="250"/>
        <v/>
      </c>
      <c r="EL202" s="149"/>
      <c r="EN202" s="146"/>
      <c r="EO202" s="146"/>
      <c r="EP202" s="139" t="str">
        <f t="shared" si="251"/>
        <v/>
      </c>
      <c r="EQ202" s="139" t="str">
        <f t="shared" si="252"/>
        <v/>
      </c>
      <c r="ER202" s="139" t="str">
        <f t="shared" si="253"/>
        <v/>
      </c>
      <c r="ES202" s="139" t="str">
        <f t="shared" si="254"/>
        <v/>
      </c>
      <c r="ET202" s="139" t="str">
        <f t="shared" si="255"/>
        <v/>
      </c>
      <c r="EU202" s="139" t="str">
        <f t="shared" si="256"/>
        <v/>
      </c>
      <c r="EV202" s="139" t="str">
        <f t="shared" si="257"/>
        <v/>
      </c>
      <c r="EW202" s="139" t="str">
        <f t="shared" si="258"/>
        <v/>
      </c>
      <c r="EX202" s="139" t="str">
        <f t="shared" si="259"/>
        <v/>
      </c>
      <c r="EY202" s="139" t="str">
        <f t="shared" si="260"/>
        <v/>
      </c>
      <c r="EZ202" s="139" t="str">
        <f t="shared" si="261"/>
        <v/>
      </c>
      <c r="FA202" s="139" t="str">
        <f t="shared" si="262"/>
        <v/>
      </c>
      <c r="FB202" s="139" t="str">
        <f t="shared" si="263"/>
        <v/>
      </c>
      <c r="FC202" s="139" t="str">
        <f t="shared" si="264"/>
        <v/>
      </c>
      <c r="FD202" s="139" t="str">
        <f t="shared" si="265"/>
        <v/>
      </c>
      <c r="FE202" s="139" t="str">
        <f t="shared" si="266"/>
        <v/>
      </c>
      <c r="FF202" s="139" t="str">
        <f t="shared" si="267"/>
        <v/>
      </c>
      <c r="FG202" s="139" t="str">
        <f t="shared" si="268"/>
        <v/>
      </c>
      <c r="FH202" s="139" t="str">
        <f t="shared" si="269"/>
        <v/>
      </c>
      <c r="FI202" s="139" t="str">
        <f t="shared" si="270"/>
        <v/>
      </c>
      <c r="FJ202" s="139" t="str">
        <f t="shared" si="271"/>
        <v/>
      </c>
      <c r="FK202" s="139" t="str">
        <f t="shared" si="272"/>
        <v/>
      </c>
      <c r="FL202" s="139" t="str">
        <f t="shared" si="273"/>
        <v/>
      </c>
      <c r="FM202" s="139" t="str">
        <f t="shared" si="274"/>
        <v/>
      </c>
      <c r="FN202" s="139" t="str">
        <f t="shared" si="275"/>
        <v/>
      </c>
      <c r="FO202" s="139" t="str">
        <f t="shared" si="276"/>
        <v/>
      </c>
      <c r="FP202" s="139" t="str">
        <f t="shared" si="277"/>
        <v/>
      </c>
      <c r="FQ202" s="139" t="str">
        <f t="shared" si="278"/>
        <v/>
      </c>
      <c r="FR202" s="139" t="str">
        <f t="shared" si="279"/>
        <v/>
      </c>
      <c r="FS202" s="139" t="str">
        <f t="shared" si="280"/>
        <v/>
      </c>
      <c r="FT202" s="139" t="str">
        <f t="shared" si="281"/>
        <v/>
      </c>
      <c r="FU202" s="148" t="str">
        <f t="shared" si="282"/>
        <v/>
      </c>
      <c r="FV202" s="149"/>
      <c r="FY202" s="211">
        <v>197</v>
      </c>
      <c r="FZ202">
        <v>6.1011768207257706</v>
      </c>
      <c r="GA202">
        <v>19.6406431941381</v>
      </c>
      <c r="GB202">
        <v>12.300546598202152</v>
      </c>
      <c r="GC202">
        <v>9.3645572188862829</v>
      </c>
      <c r="GD202">
        <v>9.7970305074741191</v>
      </c>
      <c r="GE202">
        <v>23.758164223586064</v>
      </c>
      <c r="GF202">
        <v>36.333931710550985</v>
      </c>
      <c r="GG202">
        <v>18.844829406436411</v>
      </c>
      <c r="GH202">
        <v>8.6563848357777644</v>
      </c>
      <c r="GI202">
        <v>18.125826114034808</v>
      </c>
      <c r="GJ202"/>
      <c r="GK202"/>
      <c r="GL202"/>
      <c r="GM202"/>
    </row>
    <row r="203" spans="1:195" s="7" customFormat="1">
      <c r="A203" s="1"/>
      <c r="B203" s="76" t="str">
        <f t="shared" ca="1" si="249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66.995251569338365</v>
      </c>
      <c r="AO203">
        <v>28.146801054049433</v>
      </c>
      <c r="AP203">
        <v>175.45519948233732</v>
      </c>
      <c r="AQ203">
        <v>152.33488190135625</v>
      </c>
      <c r="AR203">
        <v>25.388086550749666</v>
      </c>
      <c r="AS203">
        <v>120.26208653052859</v>
      </c>
      <c r="AT203" t="e">
        <v>#DIV/0!</v>
      </c>
      <c r="AU203" t="e">
        <v>#DIV/0!</v>
      </c>
      <c r="AV203"/>
      <c r="AW203"/>
      <c r="AX203" s="146"/>
      <c r="AY203" s="76" t="str">
        <f t="shared" ca="1" si="172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7"/>
        <v/>
      </c>
      <c r="CL203" s="179" t="str">
        <f t="shared" si="208"/>
        <v/>
      </c>
      <c r="CM203" s="180" t="str">
        <f t="shared" si="209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0"/>
        <v/>
      </c>
      <c r="DB203" s="146"/>
      <c r="DC203" s="76" t="str">
        <f t="shared" ca="1" si="173"/>
        <v/>
      </c>
      <c r="DD203" t="str">
        <f t="shared" si="211"/>
        <v/>
      </c>
      <c r="DE203" s="129" t="str">
        <f t="shared" si="337"/>
        <v/>
      </c>
      <c r="DF203" s="161" t="str">
        <f t="shared" si="284"/>
        <v/>
      </c>
      <c r="DG203" s="161" t="str">
        <f t="shared" si="285"/>
        <v/>
      </c>
      <c r="DH203" s="161" t="str">
        <f t="shared" si="286"/>
        <v/>
      </c>
      <c r="DI203" s="161" t="str">
        <f t="shared" si="287"/>
        <v/>
      </c>
      <c r="DJ203" s="161" t="str">
        <f t="shared" si="288"/>
        <v/>
      </c>
      <c r="DK203" s="161" t="str">
        <f t="shared" si="289"/>
        <v/>
      </c>
      <c r="DL203" s="161" t="str">
        <f t="shared" si="290"/>
        <v/>
      </c>
      <c r="DM203" s="161" t="str">
        <f t="shared" si="291"/>
        <v/>
      </c>
      <c r="DN203" s="161" t="str">
        <f t="shared" si="314"/>
        <v/>
      </c>
      <c r="DO203" s="161" t="str">
        <f t="shared" si="315"/>
        <v/>
      </c>
      <c r="DP203" s="161" t="str">
        <f t="shared" si="316"/>
        <v/>
      </c>
      <c r="DQ203" s="161" t="str">
        <f t="shared" si="317"/>
        <v/>
      </c>
      <c r="DR203" s="161" t="str">
        <f t="shared" si="318"/>
        <v/>
      </c>
      <c r="DS203" s="161" t="str">
        <f t="shared" si="319"/>
        <v/>
      </c>
      <c r="DT203" s="161" t="str">
        <f t="shared" si="320"/>
        <v/>
      </c>
      <c r="DU203" s="161" t="str">
        <f t="shared" si="321"/>
        <v/>
      </c>
      <c r="DV203" s="161" t="str">
        <f t="shared" si="322"/>
        <v/>
      </c>
      <c r="DW203" s="161" t="str">
        <f t="shared" si="323"/>
        <v/>
      </c>
      <c r="DX203" s="161" t="str">
        <f t="shared" si="324"/>
        <v/>
      </c>
      <c r="DY203" s="161" t="str">
        <f t="shared" si="325"/>
        <v/>
      </c>
      <c r="DZ203" s="161" t="str">
        <f t="shared" si="326"/>
        <v/>
      </c>
      <c r="EA203" s="161" t="str">
        <f t="shared" si="327"/>
        <v/>
      </c>
      <c r="EB203" s="161" t="str">
        <f t="shared" si="328"/>
        <v/>
      </c>
      <c r="EC203" s="161" t="str">
        <f t="shared" si="329"/>
        <v/>
      </c>
      <c r="ED203" s="161" t="str">
        <f t="shared" si="330"/>
        <v/>
      </c>
      <c r="EE203" s="161" t="str">
        <f t="shared" si="331"/>
        <v/>
      </c>
      <c r="EF203" s="161" t="str">
        <f t="shared" si="332"/>
        <v/>
      </c>
      <c r="EG203" s="161" t="str">
        <f t="shared" si="333"/>
        <v/>
      </c>
      <c r="EH203" s="161" t="str">
        <f t="shared" si="334"/>
        <v/>
      </c>
      <c r="EI203" s="161" t="str">
        <f t="shared" si="335"/>
        <v/>
      </c>
      <c r="EJ203" s="161" t="str">
        <f t="shared" si="336"/>
        <v/>
      </c>
      <c r="EK203" s="147" t="str">
        <f t="shared" si="250"/>
        <v/>
      </c>
      <c r="EL203" s="149"/>
      <c r="EN203" s="146"/>
      <c r="EO203" s="146"/>
      <c r="EP203" s="139" t="str">
        <f t="shared" si="251"/>
        <v/>
      </c>
      <c r="EQ203" s="139" t="str">
        <f t="shared" si="252"/>
        <v/>
      </c>
      <c r="ER203" s="139" t="str">
        <f t="shared" si="253"/>
        <v/>
      </c>
      <c r="ES203" s="139" t="str">
        <f t="shared" si="254"/>
        <v/>
      </c>
      <c r="ET203" s="139" t="str">
        <f t="shared" si="255"/>
        <v/>
      </c>
      <c r="EU203" s="139" t="str">
        <f t="shared" si="256"/>
        <v/>
      </c>
      <c r="EV203" s="139" t="str">
        <f t="shared" si="257"/>
        <v/>
      </c>
      <c r="EW203" s="139" t="str">
        <f t="shared" si="258"/>
        <v/>
      </c>
      <c r="EX203" s="139" t="str">
        <f t="shared" si="259"/>
        <v/>
      </c>
      <c r="EY203" s="139" t="str">
        <f t="shared" si="260"/>
        <v/>
      </c>
      <c r="EZ203" s="139" t="str">
        <f t="shared" si="261"/>
        <v/>
      </c>
      <c r="FA203" s="139" t="str">
        <f t="shared" si="262"/>
        <v/>
      </c>
      <c r="FB203" s="139" t="str">
        <f t="shared" si="263"/>
        <v/>
      </c>
      <c r="FC203" s="139" t="str">
        <f t="shared" si="264"/>
        <v/>
      </c>
      <c r="FD203" s="139" t="str">
        <f t="shared" si="265"/>
        <v/>
      </c>
      <c r="FE203" s="139" t="str">
        <f t="shared" si="266"/>
        <v/>
      </c>
      <c r="FF203" s="139" t="str">
        <f t="shared" si="267"/>
        <v/>
      </c>
      <c r="FG203" s="139" t="str">
        <f t="shared" si="268"/>
        <v/>
      </c>
      <c r="FH203" s="139" t="str">
        <f t="shared" si="269"/>
        <v/>
      </c>
      <c r="FI203" s="139" t="str">
        <f t="shared" si="270"/>
        <v/>
      </c>
      <c r="FJ203" s="139" t="str">
        <f t="shared" si="271"/>
        <v/>
      </c>
      <c r="FK203" s="139" t="str">
        <f t="shared" si="272"/>
        <v/>
      </c>
      <c r="FL203" s="139" t="str">
        <f t="shared" si="273"/>
        <v/>
      </c>
      <c r="FM203" s="139" t="str">
        <f t="shared" si="274"/>
        <v/>
      </c>
      <c r="FN203" s="139" t="str">
        <f t="shared" si="275"/>
        <v/>
      </c>
      <c r="FO203" s="139" t="str">
        <f t="shared" si="276"/>
        <v/>
      </c>
      <c r="FP203" s="139" t="str">
        <f t="shared" si="277"/>
        <v/>
      </c>
      <c r="FQ203" s="139" t="str">
        <f t="shared" si="278"/>
        <v/>
      </c>
      <c r="FR203" s="139" t="str">
        <f t="shared" si="279"/>
        <v/>
      </c>
      <c r="FS203" s="139" t="str">
        <f t="shared" si="280"/>
        <v/>
      </c>
      <c r="FT203" s="139" t="str">
        <f t="shared" si="281"/>
        <v/>
      </c>
      <c r="FU203" s="148" t="str">
        <f t="shared" si="282"/>
        <v/>
      </c>
      <c r="FV203" s="149"/>
      <c r="FY203" s="211">
        <v>198</v>
      </c>
      <c r="FZ203">
        <v>3.1770732594264031</v>
      </c>
      <c r="GA203">
        <v>9.5533032817765093</v>
      </c>
      <c r="GB203">
        <v>17.96486654086852</v>
      </c>
      <c r="GC203">
        <v>16.451955004128862</v>
      </c>
      <c r="GD203">
        <v>16.121402485717102</v>
      </c>
      <c r="GE203">
        <v>29.076933928112677</v>
      </c>
      <c r="GF203">
        <v>28.09711408600586</v>
      </c>
      <c r="GG203">
        <v>17.105305673252367</v>
      </c>
      <c r="GH203">
        <v>7.1677534447894802</v>
      </c>
      <c r="GI203">
        <v>21.185353636894735</v>
      </c>
      <c r="GJ203"/>
      <c r="GK203"/>
      <c r="GL203"/>
      <c r="GM203"/>
    </row>
    <row r="204" spans="1:195" s="7" customFormat="1">
      <c r="A204" s="1"/>
      <c r="B204" s="76" t="str">
        <f t="shared" ca="1" si="249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86.922986399108083</v>
      </c>
      <c r="AO204">
        <v>36.807317497070812</v>
      </c>
      <c r="AP204">
        <v>247.92305203933722</v>
      </c>
      <c r="AQ204">
        <v>204.35918475148088</v>
      </c>
      <c r="AR204">
        <v>33.607789623814931</v>
      </c>
      <c r="AS204">
        <v>159.73335178415084</v>
      </c>
      <c r="AT204" t="e">
        <v>#DIV/0!</v>
      </c>
      <c r="AU204" t="e">
        <v>#DIV/0!</v>
      </c>
      <c r="AV204"/>
      <c r="AW204"/>
      <c r="AX204" s="146"/>
      <c r="AY204" s="76" t="str">
        <f t="shared" ca="1" si="172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7"/>
        <v/>
      </c>
      <c r="CL204" s="179" t="str">
        <f t="shared" si="208"/>
        <v/>
      </c>
      <c r="CM204" s="180" t="str">
        <f t="shared" si="209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0"/>
        <v/>
      </c>
      <c r="DB204" s="146"/>
      <c r="DC204" s="76" t="str">
        <f t="shared" ca="1" si="173"/>
        <v/>
      </c>
      <c r="DD204" t="str">
        <f t="shared" si="211"/>
        <v/>
      </c>
      <c r="DE204" s="129" t="str">
        <f t="shared" si="337"/>
        <v/>
      </c>
      <c r="DF204" s="161" t="str">
        <f t="shared" si="284"/>
        <v/>
      </c>
      <c r="DG204" s="161" t="str">
        <f t="shared" si="285"/>
        <v/>
      </c>
      <c r="DH204" s="161" t="str">
        <f t="shared" si="286"/>
        <v/>
      </c>
      <c r="DI204" s="161" t="str">
        <f t="shared" si="287"/>
        <v/>
      </c>
      <c r="DJ204" s="161" t="str">
        <f t="shared" si="288"/>
        <v/>
      </c>
      <c r="DK204" s="161" t="str">
        <f t="shared" si="289"/>
        <v/>
      </c>
      <c r="DL204" s="161" t="str">
        <f t="shared" si="290"/>
        <v/>
      </c>
      <c r="DM204" s="161" t="str">
        <f t="shared" si="291"/>
        <v/>
      </c>
      <c r="DN204" s="161" t="str">
        <f t="shared" si="314"/>
        <v/>
      </c>
      <c r="DO204" s="161" t="str">
        <f t="shared" si="315"/>
        <v/>
      </c>
      <c r="DP204" s="161" t="str">
        <f t="shared" si="316"/>
        <v/>
      </c>
      <c r="DQ204" s="161" t="str">
        <f t="shared" si="317"/>
        <v/>
      </c>
      <c r="DR204" s="161" t="str">
        <f t="shared" si="318"/>
        <v/>
      </c>
      <c r="DS204" s="161" t="str">
        <f t="shared" si="319"/>
        <v/>
      </c>
      <c r="DT204" s="161" t="str">
        <f t="shared" si="320"/>
        <v/>
      </c>
      <c r="DU204" s="161" t="str">
        <f t="shared" si="321"/>
        <v/>
      </c>
      <c r="DV204" s="161" t="str">
        <f t="shared" si="322"/>
        <v/>
      </c>
      <c r="DW204" s="161" t="str">
        <f t="shared" si="323"/>
        <v/>
      </c>
      <c r="DX204" s="161" t="str">
        <f t="shared" si="324"/>
        <v/>
      </c>
      <c r="DY204" s="161" t="str">
        <f t="shared" si="325"/>
        <v/>
      </c>
      <c r="DZ204" s="161" t="str">
        <f t="shared" si="326"/>
        <v/>
      </c>
      <c r="EA204" s="161" t="str">
        <f t="shared" si="327"/>
        <v/>
      </c>
      <c r="EB204" s="161" t="str">
        <f t="shared" si="328"/>
        <v/>
      </c>
      <c r="EC204" s="161" t="str">
        <f t="shared" si="329"/>
        <v/>
      </c>
      <c r="ED204" s="161" t="str">
        <f t="shared" si="330"/>
        <v/>
      </c>
      <c r="EE204" s="161" t="str">
        <f t="shared" si="331"/>
        <v/>
      </c>
      <c r="EF204" s="161" t="str">
        <f t="shared" si="332"/>
        <v/>
      </c>
      <c r="EG204" s="161" t="str">
        <f t="shared" si="333"/>
        <v/>
      </c>
      <c r="EH204" s="161" t="str">
        <f t="shared" si="334"/>
        <v/>
      </c>
      <c r="EI204" s="161" t="str">
        <f t="shared" si="335"/>
        <v/>
      </c>
      <c r="EJ204" s="161" t="str">
        <f t="shared" si="336"/>
        <v/>
      </c>
      <c r="EK204" s="147" t="str">
        <f t="shared" si="250"/>
        <v/>
      </c>
      <c r="EL204" s="149"/>
      <c r="EN204" s="146"/>
      <c r="EO204" s="146"/>
      <c r="EP204" s="139" t="str">
        <f t="shared" si="251"/>
        <v/>
      </c>
      <c r="EQ204" s="139" t="str">
        <f t="shared" si="252"/>
        <v/>
      </c>
      <c r="ER204" s="139" t="str">
        <f t="shared" si="253"/>
        <v/>
      </c>
      <c r="ES204" s="139" t="str">
        <f t="shared" si="254"/>
        <v/>
      </c>
      <c r="ET204" s="139" t="str">
        <f t="shared" si="255"/>
        <v/>
      </c>
      <c r="EU204" s="139" t="str">
        <f t="shared" si="256"/>
        <v/>
      </c>
      <c r="EV204" s="139" t="str">
        <f t="shared" si="257"/>
        <v/>
      </c>
      <c r="EW204" s="139" t="str">
        <f t="shared" si="258"/>
        <v/>
      </c>
      <c r="EX204" s="139" t="str">
        <f t="shared" si="259"/>
        <v/>
      </c>
      <c r="EY204" s="139" t="str">
        <f t="shared" si="260"/>
        <v/>
      </c>
      <c r="EZ204" s="139" t="str">
        <f t="shared" si="261"/>
        <v/>
      </c>
      <c r="FA204" s="139" t="str">
        <f t="shared" si="262"/>
        <v/>
      </c>
      <c r="FB204" s="139" t="str">
        <f t="shared" si="263"/>
        <v/>
      </c>
      <c r="FC204" s="139" t="str">
        <f t="shared" si="264"/>
        <v/>
      </c>
      <c r="FD204" s="139" t="str">
        <f t="shared" si="265"/>
        <v/>
      </c>
      <c r="FE204" s="139" t="str">
        <f t="shared" si="266"/>
        <v/>
      </c>
      <c r="FF204" s="139" t="str">
        <f t="shared" si="267"/>
        <v/>
      </c>
      <c r="FG204" s="139" t="str">
        <f t="shared" si="268"/>
        <v/>
      </c>
      <c r="FH204" s="139" t="str">
        <f t="shared" si="269"/>
        <v/>
      </c>
      <c r="FI204" s="139" t="str">
        <f t="shared" si="270"/>
        <v/>
      </c>
      <c r="FJ204" s="139" t="str">
        <f t="shared" si="271"/>
        <v/>
      </c>
      <c r="FK204" s="139" t="str">
        <f t="shared" si="272"/>
        <v/>
      </c>
      <c r="FL204" s="139" t="str">
        <f t="shared" si="273"/>
        <v/>
      </c>
      <c r="FM204" s="139" t="str">
        <f t="shared" si="274"/>
        <v/>
      </c>
      <c r="FN204" s="139" t="str">
        <f t="shared" si="275"/>
        <v/>
      </c>
      <c r="FO204" s="139" t="str">
        <f t="shared" si="276"/>
        <v/>
      </c>
      <c r="FP204" s="139" t="str">
        <f t="shared" si="277"/>
        <v/>
      </c>
      <c r="FQ204" s="139" t="str">
        <f t="shared" si="278"/>
        <v/>
      </c>
      <c r="FR204" s="139" t="str">
        <f t="shared" si="279"/>
        <v/>
      </c>
      <c r="FS204" s="139" t="str">
        <f t="shared" si="280"/>
        <v/>
      </c>
      <c r="FT204" s="139" t="str">
        <f t="shared" si="281"/>
        <v/>
      </c>
      <c r="FU204" s="148" t="str">
        <f t="shared" si="282"/>
        <v/>
      </c>
      <c r="FV204" s="149"/>
      <c r="FY204" s="211">
        <v>199</v>
      </c>
      <c r="FZ204">
        <v>4.0252927215611978</v>
      </c>
      <c r="GA204">
        <v>15.119034511715501</v>
      </c>
      <c r="GB204">
        <v>13.020502454053256</v>
      </c>
      <c r="GC204">
        <v>12.030627043757441</v>
      </c>
      <c r="GD204">
        <v>12.346041409420165</v>
      </c>
      <c r="GE204">
        <v>19.343709978689123</v>
      </c>
      <c r="GF204">
        <v>23.179656421477336</v>
      </c>
      <c r="GG204">
        <v>22.223221047663323</v>
      </c>
      <c r="GH204">
        <v>20.360739292039657</v>
      </c>
      <c r="GI204">
        <v>18.931597327165477</v>
      </c>
      <c r="GJ204"/>
      <c r="GK204"/>
      <c r="GL204"/>
      <c r="GM204"/>
    </row>
    <row r="205" spans="1:195" s="7" customFormat="1">
      <c r="A205" s="1"/>
      <c r="B205" s="76" t="str">
        <f t="shared" ca="1" si="249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90.315468379641743</v>
      </c>
      <c r="AO205">
        <v>30.853184302702651</v>
      </c>
      <c r="AP205">
        <v>216.07503094620228</v>
      </c>
      <c r="AQ205">
        <v>183.92824075333084</v>
      </c>
      <c r="AR205">
        <v>27.764060931402636</v>
      </c>
      <c r="AS205">
        <v>134.03840215123196</v>
      </c>
      <c r="AT205">
        <v>21.007133561872184</v>
      </c>
      <c r="AU205">
        <v>45.299934946822447</v>
      </c>
      <c r="AV205"/>
      <c r="AW205"/>
      <c r="AX205" s="146"/>
      <c r="AY205" s="76" t="str">
        <f t="shared" ca="1" si="172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7"/>
        <v/>
      </c>
      <c r="CL205" s="179" t="str">
        <f t="shared" si="208"/>
        <v/>
      </c>
      <c r="CM205" s="180" t="str">
        <f t="shared" si="209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0"/>
        <v/>
      </c>
      <c r="DB205" s="146"/>
      <c r="DC205" s="76" t="str">
        <f t="shared" ca="1" si="173"/>
        <v/>
      </c>
      <c r="DD205" t="str">
        <f t="shared" si="211"/>
        <v/>
      </c>
      <c r="DE205" s="129" t="str">
        <f t="shared" si="337"/>
        <v/>
      </c>
      <c r="DF205" s="161" t="str">
        <f t="shared" si="284"/>
        <v/>
      </c>
      <c r="DG205" s="161" t="str">
        <f t="shared" si="285"/>
        <v/>
      </c>
      <c r="DH205" s="161" t="str">
        <f t="shared" si="286"/>
        <v/>
      </c>
      <c r="DI205" s="161" t="str">
        <f t="shared" si="287"/>
        <v/>
      </c>
      <c r="DJ205" s="161" t="str">
        <f t="shared" si="288"/>
        <v/>
      </c>
      <c r="DK205" s="161" t="str">
        <f t="shared" si="289"/>
        <v/>
      </c>
      <c r="DL205" s="161" t="str">
        <f t="shared" si="290"/>
        <v/>
      </c>
      <c r="DM205" s="161" t="str">
        <f t="shared" si="291"/>
        <v/>
      </c>
      <c r="DN205" s="161" t="str">
        <f t="shared" si="314"/>
        <v/>
      </c>
      <c r="DO205" s="161" t="str">
        <f t="shared" si="315"/>
        <v/>
      </c>
      <c r="DP205" s="161" t="str">
        <f t="shared" si="316"/>
        <v/>
      </c>
      <c r="DQ205" s="161" t="str">
        <f t="shared" si="317"/>
        <v/>
      </c>
      <c r="DR205" s="161" t="str">
        <f t="shared" si="318"/>
        <v/>
      </c>
      <c r="DS205" s="161" t="str">
        <f t="shared" si="319"/>
        <v/>
      </c>
      <c r="DT205" s="161" t="str">
        <f t="shared" si="320"/>
        <v/>
      </c>
      <c r="DU205" s="161" t="str">
        <f t="shared" si="321"/>
        <v/>
      </c>
      <c r="DV205" s="161" t="str">
        <f t="shared" si="322"/>
        <v/>
      </c>
      <c r="DW205" s="161" t="str">
        <f t="shared" si="323"/>
        <v/>
      </c>
      <c r="DX205" s="161" t="str">
        <f t="shared" si="324"/>
        <v/>
      </c>
      <c r="DY205" s="161" t="str">
        <f t="shared" si="325"/>
        <v/>
      </c>
      <c r="DZ205" s="161" t="str">
        <f t="shared" si="326"/>
        <v/>
      </c>
      <c r="EA205" s="161" t="str">
        <f t="shared" si="327"/>
        <v/>
      </c>
      <c r="EB205" s="161" t="str">
        <f t="shared" si="328"/>
        <v/>
      </c>
      <c r="EC205" s="161" t="str">
        <f t="shared" si="329"/>
        <v/>
      </c>
      <c r="ED205" s="161" t="str">
        <f t="shared" si="330"/>
        <v/>
      </c>
      <c r="EE205" s="161" t="str">
        <f t="shared" si="331"/>
        <v/>
      </c>
      <c r="EF205" s="161" t="str">
        <f t="shared" si="332"/>
        <v/>
      </c>
      <c r="EG205" s="161" t="str">
        <f t="shared" si="333"/>
        <v/>
      </c>
      <c r="EH205" s="161" t="str">
        <f t="shared" si="334"/>
        <v/>
      </c>
      <c r="EI205" s="161" t="str">
        <f t="shared" si="335"/>
        <v/>
      </c>
      <c r="EJ205" s="161" t="str">
        <f t="shared" si="336"/>
        <v/>
      </c>
      <c r="EK205" s="147" t="str">
        <f t="shared" si="250"/>
        <v/>
      </c>
      <c r="EL205" s="149"/>
      <c r="EN205" s="146"/>
      <c r="EO205" s="146"/>
      <c r="EP205" s="139" t="str">
        <f t="shared" si="251"/>
        <v/>
      </c>
      <c r="EQ205" s="139" t="str">
        <f t="shared" si="252"/>
        <v/>
      </c>
      <c r="ER205" s="139" t="str">
        <f t="shared" si="253"/>
        <v/>
      </c>
      <c r="ES205" s="139" t="str">
        <f t="shared" si="254"/>
        <v/>
      </c>
      <c r="ET205" s="139" t="str">
        <f t="shared" si="255"/>
        <v/>
      </c>
      <c r="EU205" s="139" t="str">
        <f t="shared" si="256"/>
        <v/>
      </c>
      <c r="EV205" s="139" t="str">
        <f t="shared" si="257"/>
        <v/>
      </c>
      <c r="EW205" s="139" t="str">
        <f t="shared" si="258"/>
        <v/>
      </c>
      <c r="EX205" s="139" t="str">
        <f t="shared" si="259"/>
        <v/>
      </c>
      <c r="EY205" s="139" t="str">
        <f t="shared" si="260"/>
        <v/>
      </c>
      <c r="EZ205" s="139" t="str">
        <f t="shared" si="261"/>
        <v/>
      </c>
      <c r="FA205" s="139" t="str">
        <f t="shared" si="262"/>
        <v/>
      </c>
      <c r="FB205" s="139" t="str">
        <f t="shared" si="263"/>
        <v/>
      </c>
      <c r="FC205" s="139" t="str">
        <f t="shared" si="264"/>
        <v/>
      </c>
      <c r="FD205" s="139" t="str">
        <f t="shared" si="265"/>
        <v/>
      </c>
      <c r="FE205" s="139" t="str">
        <f t="shared" si="266"/>
        <v/>
      </c>
      <c r="FF205" s="139" t="str">
        <f t="shared" si="267"/>
        <v/>
      </c>
      <c r="FG205" s="139" t="str">
        <f t="shared" si="268"/>
        <v/>
      </c>
      <c r="FH205" s="139" t="str">
        <f t="shared" si="269"/>
        <v/>
      </c>
      <c r="FI205" s="139" t="str">
        <f t="shared" si="270"/>
        <v/>
      </c>
      <c r="FJ205" s="139" t="str">
        <f t="shared" si="271"/>
        <v/>
      </c>
      <c r="FK205" s="139" t="str">
        <f t="shared" si="272"/>
        <v/>
      </c>
      <c r="FL205" s="139" t="str">
        <f t="shared" si="273"/>
        <v/>
      </c>
      <c r="FM205" s="139" t="str">
        <f t="shared" si="274"/>
        <v/>
      </c>
      <c r="FN205" s="139" t="str">
        <f t="shared" si="275"/>
        <v/>
      </c>
      <c r="FO205" s="139" t="str">
        <f t="shared" si="276"/>
        <v/>
      </c>
      <c r="FP205" s="139" t="str">
        <f t="shared" si="277"/>
        <v/>
      </c>
      <c r="FQ205" s="139" t="str">
        <f t="shared" si="278"/>
        <v/>
      </c>
      <c r="FR205" s="139" t="str">
        <f t="shared" si="279"/>
        <v/>
      </c>
      <c r="FS205" s="139" t="str">
        <f t="shared" si="280"/>
        <v/>
      </c>
      <c r="FT205" s="139" t="str">
        <f t="shared" si="281"/>
        <v/>
      </c>
      <c r="FU205" s="148" t="str">
        <f t="shared" si="282"/>
        <v/>
      </c>
      <c r="FV205" s="149"/>
      <c r="FY205" s="211">
        <v>200</v>
      </c>
      <c r="FZ205">
        <v>2.9327155126655065</v>
      </c>
      <c r="GA205">
        <v>10.526718307006227</v>
      </c>
      <c r="GB205">
        <v>8.2397818443902402</v>
      </c>
      <c r="GC205">
        <v>10.622989690648712</v>
      </c>
      <c r="GD205">
        <v>13.349253732717829</v>
      </c>
      <c r="GE205">
        <v>23.946106298236135</v>
      </c>
      <c r="GF205">
        <v>20.807471524150451</v>
      </c>
      <c r="GG205">
        <v>14.496292526430288</v>
      </c>
      <c r="GH205">
        <v>16.732693761638977</v>
      </c>
      <c r="GI205">
        <v>17.137427246493932</v>
      </c>
      <c r="GJ205"/>
      <c r="GK205"/>
      <c r="GL205"/>
      <c r="GM205"/>
    </row>
    <row r="206" spans="1:195" s="7" customFormat="1">
      <c r="A206" s="1"/>
      <c r="B206" s="76" t="str">
        <f t="shared" ca="1" si="249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71.560146942907963</v>
      </c>
      <c r="AO206">
        <v>28.255756578236465</v>
      </c>
      <c r="AP206">
        <v>192.83058474169215</v>
      </c>
      <c r="AQ206">
        <v>158.97123987068838</v>
      </c>
      <c r="AR206">
        <v>25.72256122273393</v>
      </c>
      <c r="AS206">
        <v>121.66560967222155</v>
      </c>
      <c r="AT206">
        <v>18.643871950783812</v>
      </c>
      <c r="AU206">
        <v>9.0873730024817423</v>
      </c>
      <c r="AV206"/>
      <c r="AW206"/>
      <c r="AX206" s="146"/>
      <c r="AY206" s="76" t="str">
        <f t="shared" ca="1" si="172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7"/>
        <v/>
      </c>
      <c r="CL206" s="179" t="str">
        <f t="shared" si="208"/>
        <v/>
      </c>
      <c r="CM206" s="180" t="str">
        <f t="shared" si="209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0"/>
        <v/>
      </c>
      <c r="DB206" s="146"/>
      <c r="DC206" s="76" t="str">
        <f t="shared" ca="1" si="173"/>
        <v/>
      </c>
      <c r="DD206" t="str">
        <f t="shared" si="211"/>
        <v/>
      </c>
      <c r="DE206" s="129" t="str">
        <f t="shared" si="337"/>
        <v/>
      </c>
      <c r="DF206" s="161" t="str">
        <f t="shared" si="284"/>
        <v/>
      </c>
      <c r="DG206" s="161" t="str">
        <f t="shared" si="285"/>
        <v/>
      </c>
      <c r="DH206" s="161" t="str">
        <f t="shared" si="286"/>
        <v/>
      </c>
      <c r="DI206" s="161" t="str">
        <f t="shared" si="287"/>
        <v/>
      </c>
      <c r="DJ206" s="161" t="str">
        <f t="shared" si="288"/>
        <v/>
      </c>
      <c r="DK206" s="161" t="str">
        <f t="shared" si="289"/>
        <v/>
      </c>
      <c r="DL206" s="161" t="str">
        <f t="shared" si="290"/>
        <v/>
      </c>
      <c r="DM206" s="161" t="str">
        <f t="shared" si="291"/>
        <v/>
      </c>
      <c r="DN206" s="161" t="str">
        <f t="shared" si="314"/>
        <v/>
      </c>
      <c r="DO206" s="161" t="str">
        <f t="shared" si="315"/>
        <v/>
      </c>
      <c r="DP206" s="161" t="str">
        <f t="shared" si="316"/>
        <v/>
      </c>
      <c r="DQ206" s="161" t="str">
        <f t="shared" si="317"/>
        <v/>
      </c>
      <c r="DR206" s="161" t="str">
        <f t="shared" si="318"/>
        <v/>
      </c>
      <c r="DS206" s="161" t="str">
        <f t="shared" si="319"/>
        <v/>
      </c>
      <c r="DT206" s="161" t="str">
        <f t="shared" si="320"/>
        <v/>
      </c>
      <c r="DU206" s="161" t="str">
        <f t="shared" si="321"/>
        <v/>
      </c>
      <c r="DV206" s="161" t="str">
        <f t="shared" si="322"/>
        <v/>
      </c>
      <c r="DW206" s="161" t="str">
        <f t="shared" si="323"/>
        <v/>
      </c>
      <c r="DX206" s="161" t="str">
        <f t="shared" si="324"/>
        <v/>
      </c>
      <c r="DY206" s="161" t="str">
        <f t="shared" si="325"/>
        <v/>
      </c>
      <c r="DZ206" s="161" t="str">
        <f t="shared" si="326"/>
        <v/>
      </c>
      <c r="EA206" s="161" t="str">
        <f t="shared" si="327"/>
        <v/>
      </c>
      <c r="EB206" s="161" t="str">
        <f t="shared" si="328"/>
        <v/>
      </c>
      <c r="EC206" s="161" t="str">
        <f t="shared" si="329"/>
        <v/>
      </c>
      <c r="ED206" s="161" t="str">
        <f t="shared" si="330"/>
        <v/>
      </c>
      <c r="EE206" s="161" t="str">
        <f t="shared" si="331"/>
        <v/>
      </c>
      <c r="EF206" s="161" t="str">
        <f t="shared" si="332"/>
        <v/>
      </c>
      <c r="EG206" s="161" t="str">
        <f t="shared" si="333"/>
        <v/>
      </c>
      <c r="EH206" s="161" t="str">
        <f t="shared" si="334"/>
        <v/>
      </c>
      <c r="EI206" s="161" t="str">
        <f t="shared" si="335"/>
        <v/>
      </c>
      <c r="EJ206" s="161" t="str">
        <f t="shared" si="336"/>
        <v/>
      </c>
      <c r="EK206" s="147" t="str">
        <f t="shared" si="250"/>
        <v/>
      </c>
      <c r="EL206" s="149"/>
      <c r="EN206" s="146"/>
      <c r="EO206" s="146"/>
      <c r="EP206" s="139" t="str">
        <f t="shared" si="251"/>
        <v/>
      </c>
      <c r="EQ206" s="139" t="str">
        <f t="shared" si="252"/>
        <v/>
      </c>
      <c r="ER206" s="139" t="str">
        <f t="shared" si="253"/>
        <v/>
      </c>
      <c r="ES206" s="139" t="str">
        <f t="shared" si="254"/>
        <v/>
      </c>
      <c r="ET206" s="139" t="str">
        <f t="shared" si="255"/>
        <v/>
      </c>
      <c r="EU206" s="139" t="str">
        <f t="shared" si="256"/>
        <v/>
      </c>
      <c r="EV206" s="139" t="str">
        <f t="shared" si="257"/>
        <v/>
      </c>
      <c r="EW206" s="139" t="str">
        <f t="shared" si="258"/>
        <v/>
      </c>
      <c r="EX206" s="139" t="str">
        <f t="shared" si="259"/>
        <v/>
      </c>
      <c r="EY206" s="139" t="str">
        <f t="shared" si="260"/>
        <v/>
      </c>
      <c r="EZ206" s="139" t="str">
        <f t="shared" si="261"/>
        <v/>
      </c>
      <c r="FA206" s="139" t="str">
        <f t="shared" si="262"/>
        <v/>
      </c>
      <c r="FB206" s="139" t="str">
        <f t="shared" si="263"/>
        <v/>
      </c>
      <c r="FC206" s="139" t="str">
        <f t="shared" si="264"/>
        <v/>
      </c>
      <c r="FD206" s="139" t="str">
        <f t="shared" si="265"/>
        <v/>
      </c>
      <c r="FE206" s="139" t="str">
        <f t="shared" si="266"/>
        <v/>
      </c>
      <c r="FF206" s="139" t="str">
        <f t="shared" si="267"/>
        <v/>
      </c>
      <c r="FG206" s="139" t="str">
        <f t="shared" si="268"/>
        <v/>
      </c>
      <c r="FH206" s="139" t="str">
        <f t="shared" si="269"/>
        <v/>
      </c>
      <c r="FI206" s="139" t="str">
        <f t="shared" si="270"/>
        <v/>
      </c>
      <c r="FJ206" s="139" t="str">
        <f t="shared" si="271"/>
        <v/>
      </c>
      <c r="FK206" s="139" t="str">
        <f t="shared" si="272"/>
        <v/>
      </c>
      <c r="FL206" s="139" t="str">
        <f t="shared" si="273"/>
        <v/>
      </c>
      <c r="FM206" s="139" t="str">
        <f t="shared" si="274"/>
        <v/>
      </c>
      <c r="FN206" s="139" t="str">
        <f t="shared" si="275"/>
        <v/>
      </c>
      <c r="FO206" s="139" t="str">
        <f t="shared" si="276"/>
        <v/>
      </c>
      <c r="FP206" s="139" t="str">
        <f t="shared" si="277"/>
        <v/>
      </c>
      <c r="FQ206" s="139" t="str">
        <f t="shared" si="278"/>
        <v/>
      </c>
      <c r="FR206" s="139" t="str">
        <f t="shared" si="279"/>
        <v/>
      </c>
      <c r="FS206" s="139" t="str">
        <f t="shared" si="280"/>
        <v/>
      </c>
      <c r="FT206" s="139" t="str">
        <f t="shared" si="281"/>
        <v/>
      </c>
      <c r="FU206" s="148" t="str">
        <f t="shared" si="282"/>
        <v/>
      </c>
      <c r="FV206" s="149"/>
      <c r="FY206" s="211">
        <v>201</v>
      </c>
      <c r="FZ206">
        <v>3.9139646163967443</v>
      </c>
      <c r="GA206">
        <v>15.719754325511374</v>
      </c>
      <c r="GB206">
        <v>17.015755481033079</v>
      </c>
      <c r="GC206">
        <v>15.512255815468713</v>
      </c>
      <c r="GD206">
        <v>14.155141120570228</v>
      </c>
      <c r="GE206">
        <v>29.28418647575344</v>
      </c>
      <c r="GF206">
        <v>41.607658387771565</v>
      </c>
      <c r="GG206">
        <v>17.447403204567124</v>
      </c>
      <c r="GH206">
        <v>3.6279197856534715</v>
      </c>
      <c r="GI206">
        <v>21.844582318985193</v>
      </c>
      <c r="GJ206"/>
      <c r="GK206"/>
      <c r="GL206"/>
      <c r="GM206"/>
    </row>
    <row r="207" spans="1:195" s="7" customFormat="1">
      <c r="A207" s="1"/>
      <c r="B207" s="76" t="str">
        <f t="shared" ca="1" si="249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62.760352051949624</v>
      </c>
      <c r="AO207">
        <v>25.332815876454113</v>
      </c>
      <c r="AP207">
        <v>141.29980717259966</v>
      </c>
      <c r="AQ207">
        <v>129.00088960748425</v>
      </c>
      <c r="AR207">
        <v>22.643141897722764</v>
      </c>
      <c r="AS207">
        <v>104.64997322545099</v>
      </c>
      <c r="AT207">
        <v>17.499471181255462</v>
      </c>
      <c r="AU207">
        <v>44.390226267759594</v>
      </c>
      <c r="AV207"/>
      <c r="AW207"/>
      <c r="AX207" s="146"/>
      <c r="AY207" s="76" t="str">
        <f t="shared" ca="1" si="172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7"/>
        <v/>
      </c>
      <c r="CL207" s="179" t="str">
        <f t="shared" si="208"/>
        <v/>
      </c>
      <c r="CM207" s="180" t="str">
        <f t="shared" si="209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0"/>
        <v/>
      </c>
      <c r="DB207" s="146"/>
      <c r="DC207" s="76" t="str">
        <f t="shared" ca="1" si="173"/>
        <v/>
      </c>
      <c r="DD207" t="str">
        <f t="shared" si="211"/>
        <v/>
      </c>
      <c r="DE207" s="129" t="str">
        <f t="shared" si="337"/>
        <v/>
      </c>
      <c r="DF207" s="161" t="str">
        <f t="shared" si="284"/>
        <v/>
      </c>
      <c r="DG207" s="161" t="str">
        <f t="shared" si="285"/>
        <v/>
      </c>
      <c r="DH207" s="161" t="str">
        <f t="shared" si="286"/>
        <v/>
      </c>
      <c r="DI207" s="161" t="str">
        <f t="shared" si="287"/>
        <v/>
      </c>
      <c r="DJ207" s="161" t="str">
        <f t="shared" si="288"/>
        <v/>
      </c>
      <c r="DK207" s="161" t="str">
        <f t="shared" si="289"/>
        <v/>
      </c>
      <c r="DL207" s="161" t="str">
        <f t="shared" si="290"/>
        <v/>
      </c>
      <c r="DM207" s="161" t="str">
        <f t="shared" si="291"/>
        <v/>
      </c>
      <c r="DN207" s="161" t="str">
        <f t="shared" si="314"/>
        <v/>
      </c>
      <c r="DO207" s="161" t="str">
        <f t="shared" ref="DO207:EJ207" si="338">IF($AZ207="", "", (BK207*$CW207)/$CZ207)</f>
        <v/>
      </c>
      <c r="DP207" s="161" t="str">
        <f t="shared" si="338"/>
        <v/>
      </c>
      <c r="DQ207" s="161" t="str">
        <f t="shared" si="338"/>
        <v/>
      </c>
      <c r="DR207" s="161" t="str">
        <f t="shared" si="338"/>
        <v/>
      </c>
      <c r="DS207" s="161" t="str">
        <f t="shared" si="338"/>
        <v/>
      </c>
      <c r="DT207" s="161" t="str">
        <f t="shared" si="338"/>
        <v/>
      </c>
      <c r="DU207" s="161" t="str">
        <f t="shared" si="338"/>
        <v/>
      </c>
      <c r="DV207" s="161" t="str">
        <f t="shared" si="338"/>
        <v/>
      </c>
      <c r="DW207" s="161" t="str">
        <f t="shared" si="338"/>
        <v/>
      </c>
      <c r="DX207" s="161" t="str">
        <f t="shared" si="338"/>
        <v/>
      </c>
      <c r="DY207" s="161" t="str">
        <f t="shared" si="338"/>
        <v/>
      </c>
      <c r="DZ207" s="161" t="str">
        <f t="shared" si="338"/>
        <v/>
      </c>
      <c r="EA207" s="161" t="str">
        <f t="shared" si="338"/>
        <v/>
      </c>
      <c r="EB207" s="161" t="str">
        <f t="shared" si="338"/>
        <v/>
      </c>
      <c r="EC207" s="161" t="str">
        <f t="shared" si="338"/>
        <v/>
      </c>
      <c r="ED207" s="161" t="str">
        <f t="shared" si="338"/>
        <v/>
      </c>
      <c r="EE207" s="161" t="str">
        <f t="shared" si="338"/>
        <v/>
      </c>
      <c r="EF207" s="161" t="str">
        <f t="shared" si="338"/>
        <v/>
      </c>
      <c r="EG207" s="161" t="str">
        <f t="shared" si="338"/>
        <v/>
      </c>
      <c r="EH207" s="161" t="str">
        <f t="shared" si="338"/>
        <v/>
      </c>
      <c r="EI207" s="161" t="str">
        <f t="shared" si="338"/>
        <v/>
      </c>
      <c r="EJ207" s="161" t="str">
        <f t="shared" si="338"/>
        <v/>
      </c>
      <c r="EK207" s="147" t="str">
        <f t="shared" si="250"/>
        <v/>
      </c>
      <c r="EL207" s="149"/>
      <c r="EN207" s="146"/>
      <c r="EO207" s="146"/>
      <c r="EP207" s="139" t="str">
        <f t="shared" si="251"/>
        <v/>
      </c>
      <c r="EQ207" s="139" t="str">
        <f t="shared" si="252"/>
        <v/>
      </c>
      <c r="ER207" s="139" t="str">
        <f t="shared" si="253"/>
        <v/>
      </c>
      <c r="ES207" s="139" t="str">
        <f t="shared" si="254"/>
        <v/>
      </c>
      <c r="ET207" s="139" t="str">
        <f t="shared" si="255"/>
        <v/>
      </c>
      <c r="EU207" s="139" t="str">
        <f t="shared" si="256"/>
        <v/>
      </c>
      <c r="EV207" s="139" t="str">
        <f t="shared" si="257"/>
        <v/>
      </c>
      <c r="EW207" s="139" t="str">
        <f t="shared" si="258"/>
        <v/>
      </c>
      <c r="EX207" s="139" t="str">
        <f t="shared" si="259"/>
        <v/>
      </c>
      <c r="EY207" s="139" t="str">
        <f t="shared" si="260"/>
        <v/>
      </c>
      <c r="EZ207" s="139" t="str">
        <f t="shared" si="261"/>
        <v/>
      </c>
      <c r="FA207" s="139" t="str">
        <f t="shared" si="262"/>
        <v/>
      </c>
      <c r="FB207" s="139" t="str">
        <f t="shared" si="263"/>
        <v/>
      </c>
      <c r="FC207" s="139" t="str">
        <f t="shared" si="264"/>
        <v/>
      </c>
      <c r="FD207" s="139" t="str">
        <f t="shared" si="265"/>
        <v/>
      </c>
      <c r="FE207" s="139" t="str">
        <f t="shared" si="266"/>
        <v/>
      </c>
      <c r="FF207" s="139" t="str">
        <f t="shared" si="267"/>
        <v/>
      </c>
      <c r="FG207" s="139" t="str">
        <f t="shared" si="268"/>
        <v/>
      </c>
      <c r="FH207" s="139" t="str">
        <f t="shared" si="269"/>
        <v/>
      </c>
      <c r="FI207" s="139" t="str">
        <f t="shared" si="270"/>
        <v/>
      </c>
      <c r="FJ207" s="139" t="str">
        <f t="shared" si="271"/>
        <v/>
      </c>
      <c r="FK207" s="139" t="str">
        <f t="shared" si="272"/>
        <v/>
      </c>
      <c r="FL207" s="139" t="str">
        <f t="shared" si="273"/>
        <v/>
      </c>
      <c r="FM207" s="139" t="str">
        <f t="shared" si="274"/>
        <v/>
      </c>
      <c r="FN207" s="139" t="str">
        <f t="shared" si="275"/>
        <v/>
      </c>
      <c r="FO207" s="139" t="str">
        <f t="shared" si="276"/>
        <v/>
      </c>
      <c r="FP207" s="139" t="str">
        <f t="shared" si="277"/>
        <v/>
      </c>
      <c r="FQ207" s="139" t="str">
        <f t="shared" si="278"/>
        <v/>
      </c>
      <c r="FR207" s="139" t="str">
        <f t="shared" si="279"/>
        <v/>
      </c>
      <c r="FS207" s="139" t="str">
        <f t="shared" si="280"/>
        <v/>
      </c>
      <c r="FT207" s="139" t="str">
        <f t="shared" si="281"/>
        <v/>
      </c>
      <c r="FU207" s="148" t="str">
        <f t="shared" si="282"/>
        <v/>
      </c>
      <c r="FV207" s="149"/>
      <c r="FY207" s="211">
        <v>202</v>
      </c>
      <c r="FZ207">
        <v>3.7924007121352359</v>
      </c>
      <c r="GA207">
        <v>7.9603059396528675</v>
      </c>
      <c r="GB207">
        <v>16.710045875748651</v>
      </c>
      <c r="GC207">
        <v>15.705149394053052</v>
      </c>
      <c r="GD207">
        <v>14.236626610007486</v>
      </c>
      <c r="GE207">
        <v>23.878187280418416</v>
      </c>
      <c r="GF207">
        <v>28.831823795702391</v>
      </c>
      <c r="GG207">
        <v>27.404641089390271</v>
      </c>
      <c r="GH207">
        <v>17.425931650965541</v>
      </c>
      <c r="GI207">
        <v>21.561640010335172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97.641699148632839</v>
      </c>
      <c r="AO208">
        <v>36.137066191156023</v>
      </c>
      <c r="AP208">
        <v>242.78928521434278</v>
      </c>
      <c r="AQ208">
        <v>201.01999187670742</v>
      </c>
      <c r="AR208">
        <v>32.711204529548183</v>
      </c>
      <c r="AS208">
        <v>160.4591218043677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5.8180770051909967</v>
      </c>
      <c r="GA208">
        <v>20.023995746325099</v>
      </c>
      <c r="GB208">
        <v>26.521692805062166</v>
      </c>
      <c r="GC208">
        <v>20.051921283219958</v>
      </c>
      <c r="GD208">
        <v>14.737770836526611</v>
      </c>
      <c r="GE208">
        <v>24.274646518119557</v>
      </c>
      <c r="GF208">
        <v>30.233510243495839</v>
      </c>
      <c r="GG208">
        <v>20.574940275847833</v>
      </c>
      <c r="GH208">
        <v>10.437111756087305</v>
      </c>
      <c r="GI208">
        <v>23.752290819211183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102.91482496194013</v>
      </c>
      <c r="AO209">
        <v>36.357745256305108</v>
      </c>
      <c r="AP209">
        <v>240.92118593479867</v>
      </c>
      <c r="AQ209">
        <v>198.81627257766212</v>
      </c>
      <c r="AR209">
        <v>33.186635063490606</v>
      </c>
      <c r="AS209">
        <v>163.06411923795696</v>
      </c>
      <c r="AT209" t="e">
        <v>#DIV/0!</v>
      </c>
      <c r="AU209" t="e">
        <v>#DIV/0!</v>
      </c>
      <c r="AV209"/>
      <c r="AW209"/>
      <c r="FY209" s="211">
        <v>204</v>
      </c>
      <c r="FZ209">
        <v>5.8298606628001277</v>
      </c>
      <c r="GA209">
        <v>23.577007407778069</v>
      </c>
      <c r="GB209">
        <v>19.841968807266912</v>
      </c>
      <c r="GC209">
        <v>10.063849810739949</v>
      </c>
      <c r="GD209">
        <v>8.4874236015519973</v>
      </c>
      <c r="GE209">
        <v>18.029868761838308</v>
      </c>
      <c r="GF209">
        <v>25.968125113199577</v>
      </c>
      <c r="GG209">
        <v>29.667491766720449</v>
      </c>
      <c r="GH209">
        <v>23.762959316024205</v>
      </c>
      <c r="GI209">
        <v>19.604275635614069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88.156986728975369</v>
      </c>
      <c r="AO210">
        <v>29.072574612078206</v>
      </c>
      <c r="AP210">
        <v>218.53138558152665</v>
      </c>
      <c r="AQ210">
        <v>182.95807047247752</v>
      </c>
      <c r="AR210">
        <v>26.618159312569258</v>
      </c>
      <c r="AS210">
        <v>142.05519830642621</v>
      </c>
      <c r="AT210">
        <v>20.372886911104327</v>
      </c>
      <c r="AU210">
        <v>49.183819250926838</v>
      </c>
      <c r="AV210"/>
      <c r="AW210"/>
      <c r="FY210" s="211">
        <v>205</v>
      </c>
      <c r="FZ210">
        <v>8.1724432321627809</v>
      </c>
      <c r="GA210">
        <v>25.554036443063993</v>
      </c>
      <c r="GB210">
        <v>19.337665486134053</v>
      </c>
      <c r="GC210">
        <v>13.994394815924821</v>
      </c>
      <c r="GD210">
        <v>11.409820362450406</v>
      </c>
      <c r="GE210">
        <v>22.224809408141532</v>
      </c>
      <c r="GF210">
        <v>28.00296183071298</v>
      </c>
      <c r="GG210">
        <v>17.433608205151955</v>
      </c>
      <c r="GH210">
        <v>12.002984094160485</v>
      </c>
      <c r="GI210">
        <v>20.104866231943522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89.883712529965948</v>
      </c>
      <c r="AO211">
        <v>31.948215598411942</v>
      </c>
      <c r="AP211">
        <v>217.46868879268894</v>
      </c>
      <c r="AQ211">
        <v>172.75510769412756</v>
      </c>
      <c r="AR211">
        <v>29.350972851513408</v>
      </c>
      <c r="AS211">
        <v>141.82488854482634</v>
      </c>
      <c r="AT211">
        <v>21.086883683806501</v>
      </c>
      <c r="AU211">
        <v>29.824084605520813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1">
        <v>206</v>
      </c>
      <c r="FZ211">
        <v>3.8849512465373746</v>
      </c>
      <c r="GA211">
        <v>14.304206199323907</v>
      </c>
      <c r="GB211">
        <v>20.585636999988715</v>
      </c>
      <c r="GC211">
        <v>13.933593911490984</v>
      </c>
      <c r="GD211">
        <v>9.7149788929067213</v>
      </c>
      <c r="GE211">
        <v>17.487602231436</v>
      </c>
      <c r="GF211">
        <v>23.94491392343242</v>
      </c>
      <c r="GG211">
        <v>14.743514436078378</v>
      </c>
      <c r="GH211">
        <v>4.3107755050562826</v>
      </c>
      <c r="GI211">
        <v>16.805274000840519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87.443274212166727</v>
      </c>
      <c r="AO212">
        <v>27.941184849249886</v>
      </c>
      <c r="AP212">
        <v>186.36770760687824</v>
      </c>
      <c r="AQ212">
        <v>157.15867052875532</v>
      </c>
      <c r="AR212">
        <v>25.599048057242697</v>
      </c>
      <c r="AS212">
        <v>133.87062187252198</v>
      </c>
      <c r="AT212">
        <v>18.719850232680603</v>
      </c>
      <c r="AU212">
        <v>33.788031921667731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" si="339">AVERAGE(DF88:DF97)</f>
        <v>0</v>
      </c>
      <c r="DG212" s="182">
        <f t="shared" ref="DG212:EJ212" si="340">AVERAGE(DG88:DG97)</f>
        <v>1.0416666666666665</v>
      </c>
      <c r="DH212" s="182">
        <f t="shared" si="340"/>
        <v>15.625</v>
      </c>
      <c r="DI212" s="182">
        <f t="shared" si="340"/>
        <v>2.083333333333333</v>
      </c>
      <c r="DJ212" s="182"/>
      <c r="DK212" s="182">
        <f t="shared" si="340"/>
        <v>0</v>
      </c>
      <c r="DL212" s="182">
        <f t="shared" si="340"/>
        <v>0</v>
      </c>
      <c r="DM212" s="182">
        <f t="shared" si="340"/>
        <v>0</v>
      </c>
      <c r="DN212" s="182">
        <f t="shared" si="340"/>
        <v>0</v>
      </c>
      <c r="DO212" s="182">
        <f t="shared" si="340"/>
        <v>0</v>
      </c>
      <c r="DP212" s="182">
        <f t="shared" si="340"/>
        <v>0</v>
      </c>
      <c r="DQ212" s="182">
        <f t="shared" si="340"/>
        <v>0</v>
      </c>
      <c r="DR212" s="182">
        <f t="shared" si="340"/>
        <v>0</v>
      </c>
      <c r="DS212" s="182">
        <f t="shared" si="340"/>
        <v>0</v>
      </c>
      <c r="DT212" s="182">
        <f t="shared" si="340"/>
        <v>0</v>
      </c>
      <c r="DU212" s="182">
        <f t="shared" si="340"/>
        <v>0</v>
      </c>
      <c r="DV212" s="182">
        <f t="shared" si="340"/>
        <v>0</v>
      </c>
      <c r="DW212" s="182">
        <f t="shared" si="340"/>
        <v>0</v>
      </c>
      <c r="DX212" s="182">
        <f t="shared" si="340"/>
        <v>0</v>
      </c>
      <c r="DY212" s="182">
        <f t="shared" si="340"/>
        <v>0</v>
      </c>
      <c r="DZ212" s="182">
        <f t="shared" si="340"/>
        <v>0</v>
      </c>
      <c r="EA212" s="182">
        <f t="shared" si="340"/>
        <v>0</v>
      </c>
      <c r="EB212" s="182">
        <f t="shared" si="340"/>
        <v>0</v>
      </c>
      <c r="EC212" s="182">
        <f t="shared" si="340"/>
        <v>0</v>
      </c>
      <c r="ED212" s="182">
        <f t="shared" si="340"/>
        <v>0</v>
      </c>
      <c r="EE212" s="182">
        <f t="shared" si="340"/>
        <v>0</v>
      </c>
      <c r="EF212" s="182">
        <f t="shared" si="340"/>
        <v>0</v>
      </c>
      <c r="EG212" s="182">
        <f t="shared" si="340"/>
        <v>0</v>
      </c>
      <c r="EH212" s="182">
        <f t="shared" si="340"/>
        <v>0</v>
      </c>
      <c r="EI212" s="182">
        <f t="shared" si="340"/>
        <v>0</v>
      </c>
      <c r="EJ212" s="182">
        <f t="shared" si="340"/>
        <v>0</v>
      </c>
      <c r="FY212" s="211">
        <v>207</v>
      </c>
      <c r="FZ212">
        <v>3.2234622050818236</v>
      </c>
      <c r="GA212">
        <v>8.5575480240510888</v>
      </c>
      <c r="GB212">
        <v>15.675010540584923</v>
      </c>
      <c r="GC212">
        <v>12.065778915352002</v>
      </c>
      <c r="GD212">
        <v>10.809020887210732</v>
      </c>
      <c r="GE212">
        <v>22.863344459244573</v>
      </c>
      <c r="GF212">
        <v>29.76653274819671</v>
      </c>
      <c r="GG212">
        <v>30.291716155636983</v>
      </c>
      <c r="GH212">
        <v>22.167468246989081</v>
      </c>
      <c r="GI212">
        <v>20.058547961903141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76.701393029305621</v>
      </c>
      <c r="AO213">
        <v>27.500652155158555</v>
      </c>
      <c r="AP213">
        <v>190.93347588017232</v>
      </c>
      <c r="AQ213">
        <v>162.92309062981246</v>
      </c>
      <c r="AR213">
        <v>24.465715456423052</v>
      </c>
      <c r="AS213">
        <v>121.34326669786864</v>
      </c>
      <c r="AT213" t="e">
        <v>#DIV/0!</v>
      </c>
      <c r="AU213" t="e">
        <v>#DIV/0!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" si="341">AVERAGE(DF98:DF107)</f>
        <v>0</v>
      </c>
      <c r="DG213" s="185">
        <f t="shared" ref="DG213:EJ213" si="342">AVERAGE(DG98:DG107)</f>
        <v>8.3333333333333321</v>
      </c>
      <c r="DH213" s="185">
        <f t="shared" si="342"/>
        <v>45.833333333333336</v>
      </c>
      <c r="DI213" s="185">
        <f t="shared" si="342"/>
        <v>8.3333333333333321</v>
      </c>
      <c r="DJ213" s="185">
        <f t="shared" si="342"/>
        <v>0</v>
      </c>
      <c r="DK213" s="185">
        <f t="shared" si="342"/>
        <v>0</v>
      </c>
      <c r="DL213" s="185"/>
      <c r="DM213" s="185"/>
      <c r="DN213" s="185">
        <f t="shared" si="342"/>
        <v>0</v>
      </c>
      <c r="DO213" s="185">
        <f t="shared" si="342"/>
        <v>0</v>
      </c>
      <c r="DP213" s="185">
        <f t="shared" si="342"/>
        <v>0</v>
      </c>
      <c r="DQ213" s="185">
        <f t="shared" si="342"/>
        <v>0</v>
      </c>
      <c r="DR213" s="185">
        <f t="shared" si="342"/>
        <v>0</v>
      </c>
      <c r="DS213" s="185">
        <f t="shared" si="342"/>
        <v>0</v>
      </c>
      <c r="DT213" s="185">
        <f t="shared" si="342"/>
        <v>0</v>
      </c>
      <c r="DU213" s="185">
        <f t="shared" si="342"/>
        <v>0</v>
      </c>
      <c r="DV213" s="185">
        <f t="shared" si="342"/>
        <v>0</v>
      </c>
      <c r="DW213" s="185">
        <f t="shared" si="342"/>
        <v>0</v>
      </c>
      <c r="DX213" s="185">
        <f t="shared" si="342"/>
        <v>0</v>
      </c>
      <c r="DY213" s="185">
        <f t="shared" si="342"/>
        <v>0</v>
      </c>
      <c r="DZ213" s="185">
        <f t="shared" si="342"/>
        <v>0</v>
      </c>
      <c r="EA213" s="185">
        <f t="shared" si="342"/>
        <v>0</v>
      </c>
      <c r="EB213" s="185">
        <f t="shared" si="342"/>
        <v>0</v>
      </c>
      <c r="EC213" s="185">
        <f t="shared" si="342"/>
        <v>0</v>
      </c>
      <c r="ED213" s="185">
        <f t="shared" si="342"/>
        <v>0</v>
      </c>
      <c r="EE213" s="185">
        <f t="shared" si="342"/>
        <v>0</v>
      </c>
      <c r="EF213" s="185">
        <f t="shared" si="342"/>
        <v>0</v>
      </c>
      <c r="EG213" s="185">
        <f t="shared" si="342"/>
        <v>0</v>
      </c>
      <c r="EH213" s="185">
        <f t="shared" si="342"/>
        <v>0</v>
      </c>
      <c r="EI213" s="185">
        <f t="shared" si="342"/>
        <v>0</v>
      </c>
      <c r="EJ213" s="185">
        <f t="shared" si="342"/>
        <v>0</v>
      </c>
      <c r="FY213" s="211">
        <v>208</v>
      </c>
      <c r="FZ213">
        <v>4.6408737243613061</v>
      </c>
      <c r="GA213">
        <v>30.380795051109963</v>
      </c>
      <c r="GB213">
        <v>31.35020146148398</v>
      </c>
      <c r="GC213">
        <v>17.146935462664779</v>
      </c>
      <c r="GD213">
        <v>11.270701170336881</v>
      </c>
      <c r="GE213">
        <v>17.823641802316075</v>
      </c>
      <c r="GF213">
        <v>22.063406953231418</v>
      </c>
      <c r="GG213">
        <v>22.870940208056332</v>
      </c>
      <c r="GH213">
        <v>18.326971879266981</v>
      </c>
      <c r="GI213">
        <v>22.37718560842583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79.891232112340262</v>
      </c>
      <c r="AO214">
        <v>32.404387855225742</v>
      </c>
      <c r="AP214">
        <v>183.29625210699231</v>
      </c>
      <c r="AQ214">
        <v>165.90106134097252</v>
      </c>
      <c r="AR214">
        <v>29.283594243549111</v>
      </c>
      <c r="AS214">
        <v>140.17905284444493</v>
      </c>
      <c r="AT214" t="e">
        <v>#DIV/0!</v>
      </c>
      <c r="AU214" t="e">
        <v>#DIV/0!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" si="343">AVERAGE(DF108:DF117)</f>
        <v>0</v>
      </c>
      <c r="DG214" s="182">
        <f t="shared" ref="DG214:EJ214" si="344">AVERAGE(DG108:DG117)</f>
        <v>0</v>
      </c>
      <c r="DH214" s="182">
        <f t="shared" si="344"/>
        <v>13.205645161290324</v>
      </c>
      <c r="DI214" s="182">
        <f t="shared" si="344"/>
        <v>44.791666666666671</v>
      </c>
      <c r="DJ214" s="182">
        <f t="shared" si="344"/>
        <v>27.083333333333336</v>
      </c>
      <c r="DK214" s="182">
        <f t="shared" si="344"/>
        <v>1.0416666666666665</v>
      </c>
      <c r="DL214" s="182"/>
      <c r="DM214" s="182"/>
      <c r="DN214" s="182">
        <f t="shared" si="344"/>
        <v>0</v>
      </c>
      <c r="DO214" s="182">
        <f t="shared" si="344"/>
        <v>0</v>
      </c>
      <c r="DP214" s="182">
        <f t="shared" si="344"/>
        <v>0</v>
      </c>
      <c r="DQ214" s="182">
        <f t="shared" si="344"/>
        <v>0</v>
      </c>
      <c r="DR214" s="182">
        <f t="shared" si="344"/>
        <v>0</v>
      </c>
      <c r="DS214" s="182">
        <f t="shared" si="344"/>
        <v>0</v>
      </c>
      <c r="DT214" s="182">
        <f t="shared" si="344"/>
        <v>0</v>
      </c>
      <c r="DU214" s="182">
        <f t="shared" si="344"/>
        <v>0</v>
      </c>
      <c r="DV214" s="182">
        <f t="shared" si="344"/>
        <v>0</v>
      </c>
      <c r="DW214" s="182">
        <f t="shared" si="344"/>
        <v>0</v>
      </c>
      <c r="DX214" s="182">
        <f t="shared" si="344"/>
        <v>0</v>
      </c>
      <c r="DY214" s="182">
        <f t="shared" si="344"/>
        <v>0</v>
      </c>
      <c r="DZ214" s="182">
        <f t="shared" si="344"/>
        <v>0</v>
      </c>
      <c r="EA214" s="182">
        <f t="shared" si="344"/>
        <v>0</v>
      </c>
      <c r="EB214" s="182">
        <f t="shared" si="344"/>
        <v>0</v>
      </c>
      <c r="EC214" s="182">
        <f t="shared" si="344"/>
        <v>0</v>
      </c>
      <c r="ED214" s="182">
        <f t="shared" si="344"/>
        <v>0</v>
      </c>
      <c r="EE214" s="182">
        <f t="shared" si="344"/>
        <v>0</v>
      </c>
      <c r="EF214" s="182">
        <f t="shared" si="344"/>
        <v>0</v>
      </c>
      <c r="EG214" s="182">
        <f t="shared" si="344"/>
        <v>0</v>
      </c>
      <c r="EH214" s="182">
        <f t="shared" si="344"/>
        <v>0</v>
      </c>
      <c r="EI214" s="182">
        <f t="shared" si="344"/>
        <v>0</v>
      </c>
      <c r="EJ214" s="182">
        <f t="shared" si="344"/>
        <v>0</v>
      </c>
      <c r="FY214" s="211">
        <v>209</v>
      </c>
      <c r="FZ214">
        <v>2.6514872854349631</v>
      </c>
      <c r="GA214">
        <v>17.130174637968526</v>
      </c>
      <c r="GB214">
        <v>27.934553570985329</v>
      </c>
      <c r="GC214">
        <v>21.492566841254718</v>
      </c>
      <c r="GD214">
        <v>13.211165826864729</v>
      </c>
      <c r="GE214">
        <v>22.218386700437296</v>
      </c>
      <c r="GF214">
        <v>26.82603988523617</v>
      </c>
      <c r="GG214">
        <v>24.268016884121483</v>
      </c>
      <c r="GH214">
        <v>22.148000320926535</v>
      </c>
      <c r="GI214">
        <v>23.981496636873569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70.121966190126287</v>
      </c>
      <c r="AO215">
        <v>28.261373403569316</v>
      </c>
      <c r="AP215">
        <v>184.76886805136834</v>
      </c>
      <c r="AQ215">
        <v>160.58042220754248</v>
      </c>
      <c r="AR215">
        <v>26.254433737810004</v>
      </c>
      <c r="AS215">
        <v>123.45832095007273</v>
      </c>
      <c r="AT215">
        <v>20.071560427766297</v>
      </c>
      <c r="AU215">
        <v>31.364624464814401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" si="345">AVERAGE(DF118:DF127)</f>
        <v>0</v>
      </c>
      <c r="DG215" s="182">
        <f t="shared" ref="DG215:EJ215" si="346">AVERAGE(DG118:DG127)</f>
        <v>0</v>
      </c>
      <c r="DH215" s="182">
        <f t="shared" si="346"/>
        <v>35.563066004876347</v>
      </c>
      <c r="DI215" s="182">
        <f t="shared" si="346"/>
        <v>17.013888888888886</v>
      </c>
      <c r="DJ215" s="182">
        <f t="shared" si="346"/>
        <v>73.165654388714728</v>
      </c>
      <c r="DK215" s="182">
        <f t="shared" si="346"/>
        <v>15.861742424242426</v>
      </c>
      <c r="DL215" s="182"/>
      <c r="DM215" s="182"/>
      <c r="DN215" s="182">
        <f t="shared" si="346"/>
        <v>0</v>
      </c>
      <c r="DO215" s="182">
        <f t="shared" si="346"/>
        <v>0</v>
      </c>
      <c r="DP215" s="182">
        <f t="shared" si="346"/>
        <v>0</v>
      </c>
      <c r="DQ215" s="182">
        <f t="shared" si="346"/>
        <v>0</v>
      </c>
      <c r="DR215" s="182">
        <f t="shared" si="346"/>
        <v>0</v>
      </c>
      <c r="DS215" s="182">
        <f t="shared" si="346"/>
        <v>0</v>
      </c>
      <c r="DT215" s="182">
        <f t="shared" si="346"/>
        <v>0</v>
      </c>
      <c r="DU215" s="182">
        <f t="shared" si="346"/>
        <v>0</v>
      </c>
      <c r="DV215" s="182">
        <f t="shared" si="346"/>
        <v>0</v>
      </c>
      <c r="DW215" s="182">
        <f t="shared" si="346"/>
        <v>0</v>
      </c>
      <c r="DX215" s="182">
        <f t="shared" si="346"/>
        <v>0</v>
      </c>
      <c r="DY215" s="182">
        <f t="shared" si="346"/>
        <v>0</v>
      </c>
      <c r="DZ215" s="182">
        <f t="shared" si="346"/>
        <v>0</v>
      </c>
      <c r="EA215" s="182">
        <f t="shared" si="346"/>
        <v>0</v>
      </c>
      <c r="EB215" s="182">
        <f t="shared" si="346"/>
        <v>0</v>
      </c>
      <c r="EC215" s="182">
        <f t="shared" si="346"/>
        <v>0</v>
      </c>
      <c r="ED215" s="182">
        <f t="shared" si="346"/>
        <v>0</v>
      </c>
      <c r="EE215" s="182">
        <f t="shared" si="346"/>
        <v>0</v>
      </c>
      <c r="EF215" s="182">
        <f t="shared" si="346"/>
        <v>0</v>
      </c>
      <c r="EG215" s="182">
        <f t="shared" si="346"/>
        <v>0</v>
      </c>
      <c r="EH215" s="182">
        <f t="shared" si="346"/>
        <v>0</v>
      </c>
      <c r="EI215" s="182">
        <f t="shared" si="346"/>
        <v>0</v>
      </c>
      <c r="EJ215" s="182">
        <f t="shared" si="346"/>
        <v>0</v>
      </c>
      <c r="FY215" s="211">
        <v>210</v>
      </c>
      <c r="FZ215">
        <v>5.0780473585997035</v>
      </c>
      <c r="GA215">
        <v>19.481093201033559</v>
      </c>
      <c r="GB215">
        <v>23.948919164238454</v>
      </c>
      <c r="GC215">
        <v>15.236183590478987</v>
      </c>
      <c r="GD215">
        <v>9.756295882628045</v>
      </c>
      <c r="GE215">
        <v>17.648787435418484</v>
      </c>
      <c r="GF215">
        <v>17.335823971703313</v>
      </c>
      <c r="GG215">
        <v>12.13500246677722</v>
      </c>
      <c r="GH215">
        <v>10.960501851641418</v>
      </c>
      <c r="GI215">
        <v>17.65196528816508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68.729440509339341</v>
      </c>
      <c r="AO216">
        <v>25.67060710195101</v>
      </c>
      <c r="AP216">
        <v>150.11256038813806</v>
      </c>
      <c r="AQ216">
        <v>138.79145044437831</v>
      </c>
      <c r="AR216">
        <v>23.438348027051141</v>
      </c>
      <c r="AS216">
        <v>113.45551002274361</v>
      </c>
      <c r="AT216">
        <v>17.972695942494493</v>
      </c>
      <c r="AU216">
        <v>33.108813159909523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" si="347">AVERAGE(DF128:DF137)</f>
        <v>0</v>
      </c>
      <c r="DG216" s="182">
        <f t="shared" ref="DG216:EJ216" si="348">AVERAGE(DG128:DG137)</f>
        <v>0</v>
      </c>
      <c r="DH216" s="182">
        <f t="shared" si="348"/>
        <v>37.433862433862437</v>
      </c>
      <c r="DI216" s="182">
        <f t="shared" si="348"/>
        <v>7.670454545454545</v>
      </c>
      <c r="DJ216" s="182">
        <f t="shared" si="348"/>
        <v>66.516122766122777</v>
      </c>
      <c r="DK216" s="182">
        <f t="shared" si="348"/>
        <v>22.807400932400931</v>
      </c>
      <c r="DL216" s="182">
        <f t="shared" si="348"/>
        <v>0</v>
      </c>
      <c r="DM216" s="182">
        <f t="shared" si="348"/>
        <v>0</v>
      </c>
      <c r="DN216" s="182">
        <f t="shared" si="348"/>
        <v>0</v>
      </c>
      <c r="DO216" s="182">
        <f t="shared" si="348"/>
        <v>0</v>
      </c>
      <c r="DP216" s="182">
        <f t="shared" si="348"/>
        <v>0</v>
      </c>
      <c r="DQ216" s="182">
        <f t="shared" si="348"/>
        <v>0</v>
      </c>
      <c r="DR216" s="182">
        <f t="shared" si="348"/>
        <v>0</v>
      </c>
      <c r="DS216" s="182">
        <f t="shared" si="348"/>
        <v>0</v>
      </c>
      <c r="DT216" s="182">
        <f t="shared" si="348"/>
        <v>0</v>
      </c>
      <c r="DU216" s="182">
        <f t="shared" si="348"/>
        <v>0</v>
      </c>
      <c r="DV216" s="182">
        <f t="shared" si="348"/>
        <v>0</v>
      </c>
      <c r="DW216" s="182">
        <f t="shared" si="348"/>
        <v>0</v>
      </c>
      <c r="DX216" s="182">
        <f t="shared" si="348"/>
        <v>0</v>
      </c>
      <c r="DY216" s="182">
        <f t="shared" si="348"/>
        <v>0</v>
      </c>
      <c r="DZ216" s="182">
        <f t="shared" si="348"/>
        <v>0</v>
      </c>
      <c r="EA216" s="182">
        <f t="shared" si="348"/>
        <v>0</v>
      </c>
      <c r="EB216" s="182">
        <f t="shared" si="348"/>
        <v>0</v>
      </c>
      <c r="EC216" s="182">
        <f t="shared" si="348"/>
        <v>0</v>
      </c>
      <c r="ED216" s="182">
        <f t="shared" si="348"/>
        <v>0</v>
      </c>
      <c r="EE216" s="182">
        <f t="shared" si="348"/>
        <v>0</v>
      </c>
      <c r="EF216" s="182">
        <f t="shared" si="348"/>
        <v>0</v>
      </c>
      <c r="EG216" s="182">
        <f t="shared" si="348"/>
        <v>0</v>
      </c>
      <c r="EH216" s="182">
        <f t="shared" si="348"/>
        <v>0</v>
      </c>
      <c r="EI216" s="182">
        <f t="shared" si="348"/>
        <v>0</v>
      </c>
      <c r="EJ216" s="182">
        <f t="shared" si="348"/>
        <v>0</v>
      </c>
      <c r="FY216" s="211">
        <v>211</v>
      </c>
      <c r="FZ216">
        <v>3.6215998857674707</v>
      </c>
      <c r="GA216">
        <v>20.102420706450211</v>
      </c>
      <c r="GB216">
        <v>25.320398454866396</v>
      </c>
      <c r="GC216">
        <v>17.990332255976309</v>
      </c>
      <c r="GD216">
        <v>12.370594272281702</v>
      </c>
      <c r="GE216">
        <v>19.009521150225286</v>
      </c>
      <c r="GF216">
        <v>32.027777243990798</v>
      </c>
      <c r="GG216">
        <v>22.396550117776084</v>
      </c>
      <c r="GH216">
        <v>7.4590990322124249</v>
      </c>
      <c r="GI216">
        <v>21.56803693095344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84.503422873557383</v>
      </c>
      <c r="AO217">
        <v>33.252279866562432</v>
      </c>
      <c r="AP217">
        <v>206.47237838226226</v>
      </c>
      <c r="AQ217">
        <v>180.12862153171093</v>
      </c>
      <c r="AR217">
        <v>29.654450025969634</v>
      </c>
      <c r="AS217">
        <v>139.09604760999312</v>
      </c>
      <c r="AT217" t="e">
        <v>#DIV/0!</v>
      </c>
      <c r="AU217" t="e">
        <v>#DIV/0!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" si="349">AVERAGE(DF138:DF147)</f>
        <v>0</v>
      </c>
      <c r="DG217" s="182">
        <f t="shared" ref="DG217:EJ217" si="350">AVERAGE(DG138:DG147)</f>
        <v>0</v>
      </c>
      <c r="DH217" s="182">
        <f t="shared" si="350"/>
        <v>3.125</v>
      </c>
      <c r="DI217" s="182">
        <f t="shared" si="350"/>
        <v>2.083333333333333</v>
      </c>
      <c r="DJ217" s="182">
        <f t="shared" si="350"/>
        <v>66.081375020328508</v>
      </c>
      <c r="DK217" s="182">
        <f t="shared" si="350"/>
        <v>28.671328671328673</v>
      </c>
      <c r="DL217" s="182">
        <f t="shared" si="350"/>
        <v>1.0416666666666665</v>
      </c>
      <c r="DM217" s="182">
        <f t="shared" si="350"/>
        <v>0</v>
      </c>
      <c r="DN217" s="182">
        <f t="shared" si="350"/>
        <v>0</v>
      </c>
      <c r="DO217" s="182">
        <f t="shared" si="350"/>
        <v>0</v>
      </c>
      <c r="DP217" s="182">
        <f t="shared" si="350"/>
        <v>0</v>
      </c>
      <c r="DQ217" s="182">
        <f t="shared" si="350"/>
        <v>0</v>
      </c>
      <c r="DR217" s="182">
        <f t="shared" si="350"/>
        <v>0</v>
      </c>
      <c r="DS217" s="182">
        <f t="shared" si="350"/>
        <v>0</v>
      </c>
      <c r="DT217" s="182">
        <f t="shared" si="350"/>
        <v>0</v>
      </c>
      <c r="DU217" s="182">
        <f t="shared" si="350"/>
        <v>0</v>
      </c>
      <c r="DV217" s="182">
        <f t="shared" si="350"/>
        <v>0</v>
      </c>
      <c r="DW217" s="182">
        <f t="shared" si="350"/>
        <v>0</v>
      </c>
      <c r="DX217" s="182">
        <f t="shared" si="350"/>
        <v>0</v>
      </c>
      <c r="DY217" s="182">
        <f t="shared" si="350"/>
        <v>0</v>
      </c>
      <c r="DZ217" s="182">
        <f t="shared" si="350"/>
        <v>0</v>
      </c>
      <c r="EA217" s="182">
        <f t="shared" si="350"/>
        <v>0</v>
      </c>
      <c r="EB217" s="182">
        <f t="shared" si="350"/>
        <v>0</v>
      </c>
      <c r="EC217" s="182">
        <f t="shared" si="350"/>
        <v>0</v>
      </c>
      <c r="ED217" s="182">
        <f t="shared" si="350"/>
        <v>0</v>
      </c>
      <c r="EE217" s="182">
        <f t="shared" si="350"/>
        <v>0</v>
      </c>
      <c r="EF217" s="182">
        <f t="shared" si="350"/>
        <v>0</v>
      </c>
      <c r="EG217" s="182">
        <f t="shared" si="350"/>
        <v>0</v>
      </c>
      <c r="EH217" s="182">
        <f t="shared" si="350"/>
        <v>0</v>
      </c>
      <c r="EI217" s="182">
        <f t="shared" si="350"/>
        <v>0</v>
      </c>
      <c r="EJ217" s="182">
        <f t="shared" si="350"/>
        <v>0</v>
      </c>
      <c r="FY217" s="211">
        <v>212</v>
      </c>
      <c r="FZ217">
        <v>5.3160951094966586</v>
      </c>
      <c r="GA217">
        <v>24.481558859363091</v>
      </c>
      <c r="GB217">
        <v>27.159999871904411</v>
      </c>
      <c r="GC217">
        <v>16.659796148738767</v>
      </c>
      <c r="GD217">
        <v>9.9643575681157586</v>
      </c>
      <c r="GE217">
        <v>19.525339607749356</v>
      </c>
      <c r="GF217">
        <v>27.382383677762043</v>
      </c>
      <c r="GG217">
        <v>24.112783468314337</v>
      </c>
      <c r="GH217">
        <v>23.294208236959442</v>
      </c>
      <c r="GI217">
        <v>22.475285019478243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78.99722137770452</v>
      </c>
      <c r="AO218">
        <v>32.786227609618535</v>
      </c>
      <c r="AP218">
        <v>203.3291127935602</v>
      </c>
      <c r="AQ218">
        <v>177.50675235840907</v>
      </c>
      <c r="AR218">
        <v>30.013731558591754</v>
      </c>
      <c r="AS218">
        <v>142.20934409131905</v>
      </c>
      <c r="AT218">
        <v>22.422955377320559</v>
      </c>
      <c r="AU218">
        <v>35.168420561417221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" si="351">AVERAGE(DF148:DF157)</f>
        <v>0</v>
      </c>
      <c r="DG218" s="182">
        <f t="shared" ref="DG218:EJ218" si="352">AVERAGE(DG148:DG157)</f>
        <v>0</v>
      </c>
      <c r="DH218" s="182">
        <f t="shared" si="352"/>
        <v>0</v>
      </c>
      <c r="DI218" s="182">
        <f t="shared" si="352"/>
        <v>0</v>
      </c>
      <c r="DJ218" s="182">
        <f t="shared" si="352"/>
        <v>44.704861111111107</v>
      </c>
      <c r="DK218" s="182">
        <f t="shared" si="352"/>
        <v>28.211805555555557</v>
      </c>
      <c r="DL218" s="182">
        <f t="shared" si="352"/>
        <v>1.3020833333333333</v>
      </c>
      <c r="DM218" s="182">
        <f t="shared" si="352"/>
        <v>0</v>
      </c>
      <c r="DN218" s="182">
        <f t="shared" si="352"/>
        <v>0</v>
      </c>
      <c r="DO218" s="182">
        <f t="shared" si="352"/>
        <v>0</v>
      </c>
      <c r="DP218" s="182">
        <f t="shared" si="352"/>
        <v>0</v>
      </c>
      <c r="DQ218" s="182">
        <f t="shared" si="352"/>
        <v>0</v>
      </c>
      <c r="DR218" s="182">
        <f t="shared" si="352"/>
        <v>0</v>
      </c>
      <c r="DS218" s="182">
        <f t="shared" si="352"/>
        <v>0</v>
      </c>
      <c r="DT218" s="182">
        <f t="shared" si="352"/>
        <v>0</v>
      </c>
      <c r="DU218" s="182">
        <f t="shared" si="352"/>
        <v>0</v>
      </c>
      <c r="DV218" s="182">
        <f t="shared" si="352"/>
        <v>0</v>
      </c>
      <c r="DW218" s="182">
        <f t="shared" si="352"/>
        <v>0</v>
      </c>
      <c r="DX218" s="182">
        <f t="shared" si="352"/>
        <v>0</v>
      </c>
      <c r="DY218" s="182">
        <f t="shared" si="352"/>
        <v>0</v>
      </c>
      <c r="DZ218" s="182">
        <f t="shared" si="352"/>
        <v>0</v>
      </c>
      <c r="EA218" s="182">
        <f t="shared" si="352"/>
        <v>0</v>
      </c>
      <c r="EB218" s="182">
        <f t="shared" si="352"/>
        <v>0</v>
      </c>
      <c r="EC218" s="182">
        <f t="shared" si="352"/>
        <v>0</v>
      </c>
      <c r="ED218" s="182">
        <f t="shared" si="352"/>
        <v>0</v>
      </c>
      <c r="EE218" s="182">
        <f t="shared" si="352"/>
        <v>0</v>
      </c>
      <c r="EF218" s="182">
        <f t="shared" si="352"/>
        <v>0</v>
      </c>
      <c r="EG218" s="182">
        <f t="shared" si="352"/>
        <v>0</v>
      </c>
      <c r="EH218" s="182">
        <f t="shared" si="352"/>
        <v>0</v>
      </c>
      <c r="EI218" s="182">
        <f t="shared" si="352"/>
        <v>0</v>
      </c>
      <c r="EJ218" s="182">
        <f t="shared" si="352"/>
        <v>0</v>
      </c>
      <c r="FY218" s="211">
        <v>213</v>
      </c>
      <c r="FZ218">
        <v>1.685265657792018</v>
      </c>
      <c r="GA218">
        <v>16.745042855703016</v>
      </c>
      <c r="GB218">
        <v>28.666921264956269</v>
      </c>
      <c r="GC218">
        <v>21.221737237919946</v>
      </c>
      <c r="GD218">
        <v>14.531716638876215</v>
      </c>
      <c r="GE218">
        <v>20.223168778605412</v>
      </c>
      <c r="GF218">
        <v>23.225712544347637</v>
      </c>
      <c r="GG218">
        <v>17.873091433097443</v>
      </c>
      <c r="GH218">
        <v>9.3508356765114513</v>
      </c>
      <c r="GI218">
        <v>22.07444465614045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94.555755802599165</v>
      </c>
      <c r="AO219">
        <v>36.056720788597559</v>
      </c>
      <c r="AP219">
        <v>228.58766691459999</v>
      </c>
      <c r="AQ219">
        <v>196.42595728908651</v>
      </c>
      <c r="AR219">
        <v>32.873000627093269</v>
      </c>
      <c r="AS219">
        <v>155.67392603445646</v>
      </c>
      <c r="AT219">
        <v>24.810145386612927</v>
      </c>
      <c r="AU219">
        <v>44.696596030213954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" si="353">AVERAGE(DF158:DF167)</f>
        <v>0</v>
      </c>
      <c r="DG219" s="182">
        <f t="shared" ref="DG219:EJ219" si="354">AVERAGE(DG158:DG167)</f>
        <v>0</v>
      </c>
      <c r="DH219" s="182">
        <f t="shared" si="354"/>
        <v>0</v>
      </c>
      <c r="DI219" s="182"/>
      <c r="DJ219" s="182">
        <f t="shared" si="354"/>
        <v>20.833333333333336</v>
      </c>
      <c r="DK219" s="182">
        <f t="shared" si="354"/>
        <v>21.90340909090909</v>
      </c>
      <c r="DL219" s="182">
        <f t="shared" si="354"/>
        <v>7.007575757575756</v>
      </c>
      <c r="DM219" s="182">
        <f t="shared" si="354"/>
        <v>0</v>
      </c>
      <c r="DN219" s="182">
        <f t="shared" si="354"/>
        <v>0</v>
      </c>
      <c r="DO219" s="182">
        <f t="shared" si="354"/>
        <v>0</v>
      </c>
      <c r="DP219" s="182">
        <f t="shared" si="354"/>
        <v>0</v>
      </c>
      <c r="DQ219" s="182">
        <f t="shared" si="354"/>
        <v>0</v>
      </c>
      <c r="DR219" s="182">
        <f t="shared" si="354"/>
        <v>0</v>
      </c>
      <c r="DS219" s="182">
        <f t="shared" si="354"/>
        <v>0</v>
      </c>
      <c r="DT219" s="182">
        <f t="shared" si="354"/>
        <v>0</v>
      </c>
      <c r="DU219" s="182">
        <f t="shared" si="354"/>
        <v>0</v>
      </c>
      <c r="DV219" s="182">
        <f t="shared" si="354"/>
        <v>0</v>
      </c>
      <c r="DW219" s="182">
        <f t="shared" si="354"/>
        <v>0</v>
      </c>
      <c r="DX219" s="182">
        <f t="shared" si="354"/>
        <v>0</v>
      </c>
      <c r="DY219" s="182">
        <f t="shared" si="354"/>
        <v>0</v>
      </c>
      <c r="DZ219" s="182">
        <f t="shared" si="354"/>
        <v>0</v>
      </c>
      <c r="EA219" s="182">
        <f t="shared" si="354"/>
        <v>0</v>
      </c>
      <c r="EB219" s="182">
        <f t="shared" si="354"/>
        <v>0</v>
      </c>
      <c r="EC219" s="182">
        <f t="shared" si="354"/>
        <v>0</v>
      </c>
      <c r="ED219" s="182">
        <f t="shared" si="354"/>
        <v>0</v>
      </c>
      <c r="EE219" s="182">
        <f t="shared" si="354"/>
        <v>0</v>
      </c>
      <c r="EF219" s="182">
        <f t="shared" si="354"/>
        <v>0</v>
      </c>
      <c r="EG219" s="182">
        <f t="shared" si="354"/>
        <v>0</v>
      </c>
      <c r="EH219" s="182">
        <f t="shared" si="354"/>
        <v>0</v>
      </c>
      <c r="EI219" s="182">
        <f t="shared" si="354"/>
        <v>0</v>
      </c>
      <c r="EJ219" s="182">
        <f t="shared" si="354"/>
        <v>0</v>
      </c>
      <c r="FY219" s="211">
        <v>214</v>
      </c>
      <c r="FZ219">
        <v>3.18677293731532</v>
      </c>
      <c r="GA219">
        <v>17.374165567732739</v>
      </c>
      <c r="GB219">
        <v>24.143968269043</v>
      </c>
      <c r="GC219">
        <v>17.905293038457121</v>
      </c>
      <c r="GD219">
        <v>13.515058229737546</v>
      </c>
      <c r="GE219">
        <v>26.728821517117147</v>
      </c>
      <c r="GF219">
        <v>37.110767275168769</v>
      </c>
      <c r="GG219">
        <v>23.234927034508409</v>
      </c>
      <c r="GH219">
        <v>14.932183808404597</v>
      </c>
      <c r="GI219">
        <v>24.038673416091942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89.576464139286344</v>
      </c>
      <c r="AO220">
        <v>29.69626731798429</v>
      </c>
      <c r="AP220">
        <v>225.70983753276857</v>
      </c>
      <c r="AQ220">
        <v>184.83283088353366</v>
      </c>
      <c r="AR220">
        <v>27.154771701484112</v>
      </c>
      <c r="AS220">
        <v>141.16324723630424</v>
      </c>
      <c r="AT220">
        <v>20.260416416098774</v>
      </c>
      <c r="AU220">
        <v>41.291094579383333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" si="355">AVERAGE(DF168:DF177)</f>
        <v>0</v>
      </c>
      <c r="DG220" s="182">
        <f t="shared" ref="DG220:EJ220" si="356">AVERAGE(DG168:DG177)</f>
        <v>0</v>
      </c>
      <c r="DH220" s="182"/>
      <c r="DI220" s="182"/>
      <c r="DJ220" s="182"/>
      <c r="DK220" s="182">
        <f t="shared" si="356"/>
        <v>25</v>
      </c>
      <c r="DL220" s="182">
        <f t="shared" si="356"/>
        <v>5.208333333333333</v>
      </c>
      <c r="DM220" s="182">
        <f t="shared" si="356"/>
        <v>1.0416666666666665</v>
      </c>
      <c r="DN220" s="182">
        <f t="shared" si="356"/>
        <v>0</v>
      </c>
      <c r="DO220" s="182">
        <f t="shared" si="356"/>
        <v>0</v>
      </c>
      <c r="DP220" s="182">
        <f t="shared" si="356"/>
        <v>0</v>
      </c>
      <c r="DQ220" s="182">
        <f t="shared" si="356"/>
        <v>0</v>
      </c>
      <c r="DR220" s="182">
        <f t="shared" si="356"/>
        <v>0</v>
      </c>
      <c r="DS220" s="182">
        <f t="shared" si="356"/>
        <v>0</v>
      </c>
      <c r="DT220" s="182">
        <f t="shared" si="356"/>
        <v>0</v>
      </c>
      <c r="DU220" s="182">
        <f t="shared" si="356"/>
        <v>0</v>
      </c>
      <c r="DV220" s="182">
        <f t="shared" si="356"/>
        <v>0</v>
      </c>
      <c r="DW220" s="182">
        <f t="shared" si="356"/>
        <v>0</v>
      </c>
      <c r="DX220" s="182">
        <f t="shared" si="356"/>
        <v>0</v>
      </c>
      <c r="DY220" s="182">
        <f t="shared" si="356"/>
        <v>0</v>
      </c>
      <c r="DZ220" s="182">
        <f t="shared" si="356"/>
        <v>0</v>
      </c>
      <c r="EA220" s="182">
        <f t="shared" si="356"/>
        <v>0</v>
      </c>
      <c r="EB220" s="182">
        <f t="shared" si="356"/>
        <v>0</v>
      </c>
      <c r="EC220" s="182">
        <f t="shared" si="356"/>
        <v>0</v>
      </c>
      <c r="ED220" s="182">
        <f t="shared" si="356"/>
        <v>0</v>
      </c>
      <c r="EE220" s="182">
        <f t="shared" si="356"/>
        <v>0</v>
      </c>
      <c r="EF220" s="182">
        <f t="shared" si="356"/>
        <v>0</v>
      </c>
      <c r="EG220" s="182">
        <f t="shared" si="356"/>
        <v>0</v>
      </c>
      <c r="EH220" s="182">
        <f t="shared" si="356"/>
        <v>0</v>
      </c>
      <c r="EI220" s="182">
        <f t="shared" si="356"/>
        <v>0</v>
      </c>
      <c r="EJ220" s="182">
        <f t="shared" si="356"/>
        <v>0</v>
      </c>
      <c r="FY220" s="211">
        <v>215</v>
      </c>
      <c r="FZ220">
        <v>1.9191398648825451</v>
      </c>
      <c r="GA220">
        <v>9.698485595472544</v>
      </c>
      <c r="GB220">
        <v>23.776336193917782</v>
      </c>
      <c r="GC220">
        <v>12.882003774912198</v>
      </c>
      <c r="GD220">
        <v>7.4494698636268524</v>
      </c>
      <c r="GE220">
        <v>20.182965935873156</v>
      </c>
      <c r="GF220">
        <v>27.910638159571988</v>
      </c>
      <c r="GG220">
        <v>19.777304819784693</v>
      </c>
      <c r="GH220">
        <v>10.839467067499736</v>
      </c>
      <c r="GI220">
        <v>17.780261732739969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97.566329617480136</v>
      </c>
      <c r="AO221">
        <v>30.55103807323038</v>
      </c>
      <c r="AP221">
        <v>208.21412023085369</v>
      </c>
      <c r="AQ221">
        <v>178.23759010984656</v>
      </c>
      <c r="AR221">
        <v>27.440013008677401</v>
      </c>
      <c r="AS221">
        <v>141.60619152305597</v>
      </c>
      <c r="AT221" t="e">
        <v>#DIV/0!</v>
      </c>
      <c r="AU221" t="e">
        <v>#DIV/0!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" si="357">AVERAGE(DF178:DF187)</f>
        <v>0</v>
      </c>
      <c r="DG221" s="182">
        <f t="shared" ref="DG221:EJ221" si="358">AVERAGE(DG178:DG187)</f>
        <v>0</v>
      </c>
      <c r="DH221" s="182"/>
      <c r="DI221" s="182"/>
      <c r="DJ221" s="182"/>
      <c r="DK221" s="182">
        <f t="shared" si="358"/>
        <v>0</v>
      </c>
      <c r="DL221" s="182">
        <f t="shared" si="358"/>
        <v>0</v>
      </c>
      <c r="DM221" s="182">
        <f t="shared" si="358"/>
        <v>0</v>
      </c>
      <c r="DN221" s="182">
        <f t="shared" si="358"/>
        <v>0</v>
      </c>
      <c r="DO221" s="182">
        <f t="shared" si="358"/>
        <v>0</v>
      </c>
      <c r="DP221" s="182">
        <f t="shared" si="358"/>
        <v>0</v>
      </c>
      <c r="DQ221" s="182">
        <f t="shared" si="358"/>
        <v>0</v>
      </c>
      <c r="DR221" s="182">
        <f t="shared" si="358"/>
        <v>0</v>
      </c>
      <c r="DS221" s="182">
        <f t="shared" si="358"/>
        <v>0</v>
      </c>
      <c r="DT221" s="182">
        <f t="shared" si="358"/>
        <v>0</v>
      </c>
      <c r="DU221" s="182">
        <f t="shared" si="358"/>
        <v>0</v>
      </c>
      <c r="DV221" s="182">
        <f t="shared" si="358"/>
        <v>0</v>
      </c>
      <c r="DW221" s="182">
        <f t="shared" si="358"/>
        <v>0</v>
      </c>
      <c r="DX221" s="182">
        <f t="shared" si="358"/>
        <v>0</v>
      </c>
      <c r="DY221" s="182">
        <f t="shared" si="358"/>
        <v>0</v>
      </c>
      <c r="DZ221" s="182">
        <f t="shared" si="358"/>
        <v>0</v>
      </c>
      <c r="EA221" s="182">
        <f t="shared" si="358"/>
        <v>0</v>
      </c>
      <c r="EB221" s="182">
        <f t="shared" si="358"/>
        <v>0</v>
      </c>
      <c r="EC221" s="182">
        <f t="shared" si="358"/>
        <v>0</v>
      </c>
      <c r="ED221" s="182">
        <f t="shared" si="358"/>
        <v>0</v>
      </c>
      <c r="EE221" s="182">
        <f t="shared" si="358"/>
        <v>0</v>
      </c>
      <c r="EF221" s="182">
        <f t="shared" si="358"/>
        <v>0</v>
      </c>
      <c r="EG221" s="182">
        <f t="shared" si="358"/>
        <v>0</v>
      </c>
      <c r="EH221" s="182">
        <f t="shared" si="358"/>
        <v>0</v>
      </c>
      <c r="EI221" s="182">
        <f t="shared" si="358"/>
        <v>0</v>
      </c>
      <c r="EJ221" s="182">
        <f t="shared" si="358"/>
        <v>0</v>
      </c>
      <c r="FY221" s="211">
        <v>216</v>
      </c>
      <c r="FZ221">
        <v>2.3889701010965623</v>
      </c>
      <c r="GA221">
        <v>13.285629398605028</v>
      </c>
      <c r="GB221">
        <v>22.54293241608401</v>
      </c>
      <c r="GC221">
        <v>19.229298475411376</v>
      </c>
      <c r="GD221">
        <v>11.586545043549545</v>
      </c>
      <c r="GE221">
        <v>17.716622012375595</v>
      </c>
      <c r="GF221">
        <v>32.220943677153933</v>
      </c>
      <c r="GG221">
        <v>26.459448983058067</v>
      </c>
      <c r="GH221">
        <v>18.007220512289216</v>
      </c>
      <c r="GI221">
        <v>21.942264495124807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75.488432999023559</v>
      </c>
      <c r="AO222">
        <v>25.486546063165711</v>
      </c>
      <c r="AP222">
        <v>165.00683172227062</v>
      </c>
      <c r="AQ222">
        <v>139.7154473470913</v>
      </c>
      <c r="AR222">
        <v>23.19624173817337</v>
      </c>
      <c r="AS222">
        <v>115.19772638227676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1">
        <v>217</v>
      </c>
      <c r="FZ222">
        <v>3.7021579427532552</v>
      </c>
      <c r="GA222">
        <v>19.884168597434275</v>
      </c>
      <c r="GB222">
        <v>29.631847167024961</v>
      </c>
      <c r="GC222">
        <v>15.379798059917967</v>
      </c>
      <c r="GD222">
        <v>8.7304955362443817</v>
      </c>
      <c r="GE222">
        <v>30.312901167119222</v>
      </c>
      <c r="GF222">
        <v>35.661895108581298</v>
      </c>
      <c r="GG222">
        <v>14.795874727971771</v>
      </c>
      <c r="GH222">
        <v>12.929794549887639</v>
      </c>
      <c r="GI222">
        <v>22.014126868885896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74.7455287358937</v>
      </c>
      <c r="AO223">
        <v>30.631582527725065</v>
      </c>
      <c r="AP223">
        <v>207.247107505662</v>
      </c>
      <c r="AQ223">
        <v>175.47843014425106</v>
      </c>
      <c r="AR223">
        <v>27.739111407701163</v>
      </c>
      <c r="AS223">
        <v>130.4462005995828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1">
        <v>218</v>
      </c>
      <c r="FZ223">
        <v>3.7530758593338795</v>
      </c>
      <c r="GA223">
        <v>24.082705291983771</v>
      </c>
      <c r="GB223">
        <v>25.350149800302844</v>
      </c>
      <c r="GC223">
        <v>15.672059130808773</v>
      </c>
      <c r="GD223">
        <v>11.98569497303574</v>
      </c>
      <c r="GE223">
        <v>24.655733031009074</v>
      </c>
      <c r="GF223">
        <v>30.65772719530624</v>
      </c>
      <c r="GG223">
        <v>20.877713366117352</v>
      </c>
      <c r="GH223">
        <v>14.193939130614126</v>
      </c>
      <c r="GI223">
        <v>22.252261509107651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91.687904203608426</v>
      </c>
      <c r="AO224">
        <v>33.813834272919735</v>
      </c>
      <c r="AP224">
        <v>241.55953233510087</v>
      </c>
      <c r="AQ224">
        <v>198.25165332125354</v>
      </c>
      <c r="AR224">
        <v>31.10210701775657</v>
      </c>
      <c r="AS224">
        <v>139.62308832467104</v>
      </c>
      <c r="AT224">
        <v>23.201310951328285</v>
      </c>
      <c r="AU224">
        <v>50.346392613350737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1">
        <v>219</v>
      </c>
      <c r="FZ224">
        <v>3.626755627238464</v>
      </c>
      <c r="GA224">
        <v>9.2556250662217643</v>
      </c>
      <c r="GB224">
        <v>14.849009835789943</v>
      </c>
      <c r="GC224">
        <v>14.027626680372826</v>
      </c>
      <c r="GD224">
        <v>13.91986681283181</v>
      </c>
      <c r="GE224">
        <v>30.659148690655421</v>
      </c>
      <c r="GF224">
        <v>27.523615709831624</v>
      </c>
      <c r="GG224">
        <v>20.661866322538373</v>
      </c>
      <c r="GH224">
        <v>22.798033127452335</v>
      </c>
      <c r="GI224">
        <v>21.45968809328301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91.697105833369363</v>
      </c>
      <c r="AO225">
        <v>36.694492881122777</v>
      </c>
      <c r="AP225">
        <v>240.39051424994688</v>
      </c>
      <c r="AQ225">
        <v>201.86188859010335</v>
      </c>
      <c r="AR225">
        <v>33.101832757947115</v>
      </c>
      <c r="AS225">
        <v>153.78290811708436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7.3771516132256118E-2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1">
        <v>220</v>
      </c>
      <c r="FZ225">
        <v>6.537339236274013</v>
      </c>
      <c r="GA225">
        <v>18.858821691265184</v>
      </c>
      <c r="GB225">
        <v>20.688145503720058</v>
      </c>
      <c r="GC225">
        <v>15.835176573382761</v>
      </c>
      <c r="GD225">
        <v>16.793445836325773</v>
      </c>
      <c r="GE225">
        <v>34.111041364547425</v>
      </c>
      <c r="GF225">
        <v>36.020194440933729</v>
      </c>
      <c r="GG225">
        <v>27.256672496267939</v>
      </c>
      <c r="GH225">
        <v>17.43380445569721</v>
      </c>
      <c r="GI225">
        <v>25.908868310437658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77.669755434675807</v>
      </c>
      <c r="AO226">
        <v>26.74966529923439</v>
      </c>
      <c r="AP226">
        <v>176.93808296616118</v>
      </c>
      <c r="AQ226">
        <v>149.23262021068427</v>
      </c>
      <c r="AR226">
        <v>24.386918938006094</v>
      </c>
      <c r="AS226">
        <v>122.19710305188015</v>
      </c>
      <c r="AT226">
        <v>18.116312210403077</v>
      </c>
      <c r="AU226">
        <v>47.669134985687521</v>
      </c>
      <c r="AV226"/>
      <c r="AW226"/>
      <c r="DE226" s="187">
        <f>DE101</f>
        <v>39673</v>
      </c>
      <c r="DF226" s="205"/>
      <c r="DG226" s="205">
        <f t="shared" ref="DG226:DG234" si="359">((DG213*$H$372)+(DH213*$I$372)+(DI213*$J$372)+(DJ213*$K$372)+(DK213*$L$372)+(DL213*$M$372)+(DM213*$N$372)+(DN213*$O$372)+(DO213*$P$372)+(DP213*$Q$372)+(DQ213*$R$372)+(DR213*$S$372)+(DS213*$T$372)+(DT213*$U$372))/SUM(DG213:DT213)</f>
        <v>7.2381909809594636E-2</v>
      </c>
      <c r="DH226" s="205">
        <f>(LN(DG226/DG225))/(DE213-DE212)</f>
        <v>-7.0430715463288467E-4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1">
        <v>221</v>
      </c>
      <c r="FZ226">
        <v>2.4561802625469116</v>
      </c>
      <c r="GA226">
        <v>7.2098701158543115</v>
      </c>
      <c r="GB226">
        <v>16.96487004231707</v>
      </c>
      <c r="GC226">
        <v>17.189536505043208</v>
      </c>
      <c r="GD226">
        <v>12.430885264764248</v>
      </c>
      <c r="GE226">
        <v>17.328093035930738</v>
      </c>
      <c r="GF226">
        <v>34.722250967948902</v>
      </c>
      <c r="GG226">
        <v>30.839559814288624</v>
      </c>
      <c r="GH226">
        <v>14.787138220130974</v>
      </c>
      <c r="GI226">
        <v>21.01384724888625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91.559443624332346</v>
      </c>
      <c r="AO227">
        <v>32.680054639825855</v>
      </c>
      <c r="AP227">
        <v>217.14020565335119</v>
      </c>
      <c r="AQ227">
        <v>181.86633005050012</v>
      </c>
      <c r="AR227">
        <v>29.872617111307154</v>
      </c>
      <c r="AS227">
        <v>148.21150726754036</v>
      </c>
      <c r="AT227">
        <v>22.358592116620752</v>
      </c>
      <c r="AU227">
        <v>29.749188500335698</v>
      </c>
      <c r="AV227"/>
      <c r="AW227"/>
      <c r="DE227" s="187">
        <f>DE111</f>
        <v>39714</v>
      </c>
      <c r="DF227" s="205"/>
      <c r="DG227" s="205">
        <f t="shared" si="359"/>
        <v>0.24215830171678551</v>
      </c>
      <c r="DH227" s="205">
        <f t="shared" ref="DH227:DH234" si="360">(LN(DG227/DG226))/(DE214-DE213)</f>
        <v>2.9454518243034182E-2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1">
        <v>222</v>
      </c>
      <c r="FZ227">
        <v>7.4692550450155419</v>
      </c>
      <c r="GA227">
        <v>21.571508430573139</v>
      </c>
      <c r="GB227">
        <v>16.888084767784584</v>
      </c>
      <c r="GC227">
        <v>9.7184329690808848</v>
      </c>
      <c r="GD227">
        <v>11.025859775830586</v>
      </c>
      <c r="GE227">
        <v>24.486463709313519</v>
      </c>
      <c r="GF227">
        <v>35.768035969423458</v>
      </c>
      <c r="GG227">
        <v>29.550543944869744</v>
      </c>
      <c r="GH227">
        <v>14.456541673720642</v>
      </c>
      <c r="GI227">
        <v>21.016270651412686</v>
      </c>
      <c r="GJ227"/>
      <c r="GK227"/>
      <c r="GL227"/>
      <c r="GM227"/>
    </row>
    <row r="228" spans="1:195" s="7" customFormat="1">
      <c r="A228" s="9" t="s">
        <v>60</v>
      </c>
      <c r="B228">
        <v>0.7023493142025885</v>
      </c>
      <c r="C228">
        <v>8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93.794742003314681</v>
      </c>
      <c r="AO228">
        <v>33.836035910972988</v>
      </c>
      <c r="AP228">
        <v>244.39554177108462</v>
      </c>
      <c r="AQ228">
        <v>200.37180756788212</v>
      </c>
      <c r="AR228">
        <v>30.963417090597876</v>
      </c>
      <c r="AS228">
        <v>145.08117423279035</v>
      </c>
      <c r="AT228">
        <v>23.181040246138437</v>
      </c>
      <c r="AU228">
        <v>44.617015100316074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9"/>
        <v>0.32830063267406395</v>
      </c>
      <c r="DH228" s="205">
        <f t="shared" si="360"/>
        <v>9.2223666666983728E-3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1">
        <v>223</v>
      </c>
      <c r="FZ228">
        <v>8.0175090438450773</v>
      </c>
      <c r="GA228">
        <v>23.282770830271414</v>
      </c>
      <c r="GB228">
        <v>21.458873869720001</v>
      </c>
      <c r="GC228">
        <v>18.087054348679438</v>
      </c>
      <c r="GD228">
        <v>13.495393859018771</v>
      </c>
      <c r="GE228">
        <v>20.930549128870535</v>
      </c>
      <c r="GF228">
        <v>22.227933461330778</v>
      </c>
      <c r="GG228">
        <v>7.1085934764682381</v>
      </c>
      <c r="GH228">
        <v>3.511427879581186</v>
      </c>
      <c r="GI228">
        <v>19.41900478465212</v>
      </c>
      <c r="GJ228"/>
      <c r="GK228"/>
      <c r="GL228"/>
      <c r="GM228"/>
    </row>
    <row r="229" spans="1:195" s="7" customFormat="1">
      <c r="A229" s="90"/>
      <c r="B229">
        <v>0.62660662115531118</v>
      </c>
      <c r="C229">
        <v>2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83.574102412432467</v>
      </c>
      <c r="AO229">
        <v>33.567052501143003</v>
      </c>
      <c r="AP229">
        <v>206.18466172850555</v>
      </c>
      <c r="AQ229">
        <v>175.59793674394987</v>
      </c>
      <c r="AR229">
        <v>30.804839490346083</v>
      </c>
      <c r="AS229">
        <v>143.77387709793101</v>
      </c>
      <c r="AT229">
        <v>22.645532928368826</v>
      </c>
      <c r="AU229">
        <v>45.518462226753009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9"/>
        <v>0.35163160736333238</v>
      </c>
      <c r="DH229" s="205">
        <f t="shared" si="360"/>
        <v>2.4519394979773371E-3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1">
        <v>224</v>
      </c>
      <c r="FZ229">
        <v>3.5627787143710106</v>
      </c>
      <c r="GA229">
        <v>6.7723845119596255</v>
      </c>
      <c r="GB229">
        <v>23.664570764400377</v>
      </c>
      <c r="GC229">
        <v>18.906928427387538</v>
      </c>
      <c r="GD229">
        <v>12.782502663980399</v>
      </c>
      <c r="GE229">
        <v>31.034053587982346</v>
      </c>
      <c r="GF229">
        <v>39.534566767575086</v>
      </c>
      <c r="GG229">
        <v>27.989081468943631</v>
      </c>
      <c r="GH229">
        <v>21.521978318532675</v>
      </c>
      <c r="GI229">
        <v>25.153365946363138</v>
      </c>
      <c r="GJ229"/>
      <c r="GK229"/>
      <c r="GL229"/>
      <c r="GM229"/>
    </row>
    <row r="230" spans="1:195" s="7" customFormat="1">
      <c r="A230" s="77"/>
      <c r="B230">
        <v>0.96939300015578089</v>
      </c>
      <c r="C230">
        <v>10</v>
      </c>
      <c r="D230">
        <v>39646</v>
      </c>
      <c r="E230">
        <v>0</v>
      </c>
      <c r="F230">
        <v>0</v>
      </c>
      <c r="G230">
        <v>41.666666666666664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85.978803611595197</v>
      </c>
      <c r="AO230">
        <v>36.280935523509271</v>
      </c>
      <c r="AP230">
        <v>238.63445471471542</v>
      </c>
      <c r="AQ230">
        <v>202.17063109357659</v>
      </c>
      <c r="AR230">
        <v>32.940525099786029</v>
      </c>
      <c r="AS230">
        <v>158.01307403141908</v>
      </c>
      <c r="AT230">
        <v>25.105201254074725</v>
      </c>
      <c r="AU230">
        <v>36.149794817841709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9"/>
        <v>0.48932929400280639</v>
      </c>
      <c r="DH230" s="205">
        <f t="shared" si="360"/>
        <v>1.3768817005784898E-2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1">
        <v>225</v>
      </c>
      <c r="FZ230">
        <v>1.4673657752970199</v>
      </c>
      <c r="GA230">
        <v>8.7228713555738508</v>
      </c>
      <c r="GB230">
        <v>27.158884861834874</v>
      </c>
      <c r="GC230">
        <v>23.301602123091815</v>
      </c>
      <c r="GD230">
        <v>16.552807286975813</v>
      </c>
      <c r="GE230">
        <v>21.326147542973334</v>
      </c>
      <c r="GF230">
        <v>16.615616118793731</v>
      </c>
      <c r="GG230">
        <v>26.65449016843414</v>
      </c>
      <c r="GH230">
        <v>26.018115419610577</v>
      </c>
      <c r="GI230">
        <v>24.315132075658425</v>
      </c>
      <c r="GJ230"/>
      <c r="GK230"/>
      <c r="GL230"/>
      <c r="GM230"/>
    </row>
    <row r="231" spans="1:195" s="7" customFormat="1">
      <c r="A231" s="77"/>
      <c r="B231">
        <v>1.5926505545984515E-2</v>
      </c>
      <c r="C231">
        <v>5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60.789163971244022</v>
      </c>
      <c r="AO231">
        <v>27.081238825650235</v>
      </c>
      <c r="AP231">
        <v>188.28936679611971</v>
      </c>
      <c r="AQ231">
        <v>152.21607300828146</v>
      </c>
      <c r="AR231">
        <v>24.582441818359822</v>
      </c>
      <c r="AS231">
        <v>109.94258978521833</v>
      </c>
      <c r="AT231">
        <v>18.458811171275268</v>
      </c>
      <c r="AU231">
        <v>4.7211747792280532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DE218</f>
        <v>39847</v>
      </c>
      <c r="DF231" s="205"/>
      <c r="DG231" s="205">
        <f t="shared" si="359"/>
        <v>0.54168204335499204</v>
      </c>
      <c r="DH231" s="205">
        <f t="shared" si="360"/>
        <v>2.1175734940723709E-3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1">
        <v>226</v>
      </c>
      <c r="FZ231">
        <v>4.2478102917837601</v>
      </c>
      <c r="GA231">
        <v>10.367333183243389</v>
      </c>
      <c r="GB231">
        <v>16.680165149551588</v>
      </c>
      <c r="GC231">
        <v>16.141890836257655</v>
      </c>
      <c r="GD231">
        <v>11.414785904833273</v>
      </c>
      <c r="GE231">
        <v>17.963843232527374</v>
      </c>
      <c r="GF231">
        <v>21.491150880131524</v>
      </c>
      <c r="GG231">
        <v>18.248071958118995</v>
      </c>
      <c r="GH231">
        <v>19.691238559451314</v>
      </c>
      <c r="GI231">
        <v>18.900397274550876</v>
      </c>
      <c r="GJ231"/>
      <c r="GK231"/>
      <c r="GL231"/>
      <c r="GM231"/>
    </row>
    <row r="232" spans="1:195" s="7" customFormat="1">
      <c r="A232" s="77"/>
      <c r="B232">
        <v>0.68147539263434487</v>
      </c>
      <c r="C232">
        <v>2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77.590519049304149</v>
      </c>
      <c r="AO232">
        <v>33.290087693812225</v>
      </c>
      <c r="AP232">
        <v>223.04065345898803</v>
      </c>
      <c r="AQ232">
        <v>185.37987511474816</v>
      </c>
      <c r="AR232">
        <v>30.283461726618331</v>
      </c>
      <c r="AS232">
        <v>139.30724173507073</v>
      </c>
      <c r="AT232">
        <v>22.840383874678324</v>
      </c>
      <c r="AU232">
        <v>38.773881963835429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9"/>
        <v>0.65884472533144733</v>
      </c>
      <c r="DH232" s="205">
        <f t="shared" si="360"/>
        <v>3.108074470832421E-3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1">
        <v>227</v>
      </c>
      <c r="FZ232">
        <v>8.9173397209764591</v>
      </c>
      <c r="GA232">
        <v>16.230892528864349</v>
      </c>
      <c r="GB232">
        <v>8.6314192579340361</v>
      </c>
      <c r="GC232">
        <v>11.166215269143503</v>
      </c>
      <c r="GD232">
        <v>12.440560309223105</v>
      </c>
      <c r="GE232">
        <v>17.587796055059133</v>
      </c>
      <c r="GF232">
        <v>14.28390638403015</v>
      </c>
      <c r="GG232">
        <v>17.213080648969267</v>
      </c>
      <c r="GH232">
        <v>19.250452408331864</v>
      </c>
      <c r="GI232">
        <v>16.744050506437691</v>
      </c>
      <c r="GJ232"/>
      <c r="GK232"/>
      <c r="GL232"/>
      <c r="GM232"/>
    </row>
    <row r="233" spans="1:195" s="7" customFormat="1">
      <c r="A233" s="77"/>
      <c r="B233">
        <v>0.71437673145576941</v>
      </c>
      <c r="C233">
        <v>5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86.304818484354044</v>
      </c>
      <c r="AO233">
        <v>33.527051139305847</v>
      </c>
      <c r="AP233">
        <v>234.81319438371884</v>
      </c>
      <c r="AQ233">
        <v>193.04305972582068</v>
      </c>
      <c r="AR233">
        <v>29.63766823733144</v>
      </c>
      <c r="AS233">
        <v>141.19478386394306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9"/>
        <v>0.84417134391334303</v>
      </c>
      <c r="DH233" s="205">
        <v>1.9826E-2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1">
        <v>228</v>
      </c>
      <c r="FZ233">
        <v>2.2519389724220744</v>
      </c>
      <c r="GA233">
        <v>11.292380704423945</v>
      </c>
      <c r="GB233">
        <v>10.152270932895439</v>
      </c>
      <c r="GC233">
        <v>7.0082905660266261</v>
      </c>
      <c r="GD233">
        <v>9.0923928878370042</v>
      </c>
      <c r="GE233">
        <v>25.119097721489833</v>
      </c>
      <c r="GF233">
        <v>35.355955125344906</v>
      </c>
      <c r="GG233">
        <v>23.433440825352111</v>
      </c>
      <c r="GH233">
        <v>15.247392297312967</v>
      </c>
      <c r="GI233">
        <v>17.435537023530909</v>
      </c>
      <c r="GJ233"/>
      <c r="GK233"/>
      <c r="GL233"/>
      <c r="GM233"/>
    </row>
    <row r="234" spans="1:195" s="7" customFormat="1">
      <c r="A234" s="77"/>
      <c r="B234">
        <v>0.66615619559961203</v>
      </c>
      <c r="C234">
        <v>6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85.173953311778263</v>
      </c>
      <c r="AO234">
        <v>33.992669505912382</v>
      </c>
      <c r="AP234">
        <v>231.76692186318559</v>
      </c>
      <c r="AQ234">
        <v>193.48105928761944</v>
      </c>
      <c r="AR234">
        <v>30.569009624070727</v>
      </c>
      <c r="AS234">
        <v>154.47981010487632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 t="e">
        <f t="shared" si="359"/>
        <v>#DIV/0!</v>
      </c>
      <c r="DH234" s="205" t="e">
        <f t="shared" si="360"/>
        <v>#DIV/0!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1">
        <v>229</v>
      </c>
      <c r="FZ234">
        <v>3.9533510115380053</v>
      </c>
      <c r="GA234">
        <v>12.25292502216401</v>
      </c>
      <c r="GB234">
        <v>14.063817970923136</v>
      </c>
      <c r="GC234">
        <v>17.507164841361149</v>
      </c>
      <c r="GD234">
        <v>18.452473813612414</v>
      </c>
      <c r="GE234">
        <v>25.774534165027944</v>
      </c>
      <c r="GF234">
        <v>21.076787188113794</v>
      </c>
      <c r="GG234">
        <v>12.02014838799122</v>
      </c>
      <c r="GH234">
        <v>5.940974655009402</v>
      </c>
      <c r="GI234">
        <v>20.091836771921695</v>
      </c>
      <c r="GJ234"/>
      <c r="GK234"/>
      <c r="GL234"/>
      <c r="GM234"/>
    </row>
    <row r="235" spans="1:195" s="7" customFormat="1">
      <c r="A235" s="77"/>
      <c r="B235">
        <v>0.43104283096971691</v>
      </c>
      <c r="C235">
        <v>2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85.710131603386557</v>
      </c>
      <c r="AO235">
        <v>32.563300094851876</v>
      </c>
      <c r="AP235">
        <v>200.03216650178553</v>
      </c>
      <c r="AQ235">
        <v>178.78123596621558</v>
      </c>
      <c r="AR235">
        <v>29.220102977077087</v>
      </c>
      <c r="AS235">
        <v>140.18181390630221</v>
      </c>
      <c r="AT235">
        <v>21.864311809078444</v>
      </c>
      <c r="AU235">
        <v>39.680819875003152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1">
        <v>230</v>
      </c>
      <c r="FZ235">
        <v>3.585921836691123</v>
      </c>
      <c r="GA235">
        <v>17.838607938497624</v>
      </c>
      <c r="GB235">
        <v>37.010108769836641</v>
      </c>
      <c r="GC235">
        <v>24.443264810620782</v>
      </c>
      <c r="GD235">
        <v>10.465160879201939</v>
      </c>
      <c r="GE235">
        <v>13.468674769382169</v>
      </c>
      <c r="GF235">
        <v>29.681106084766363</v>
      </c>
      <c r="GG235">
        <v>29.958424507460091</v>
      </c>
      <c r="GH235">
        <v>14.597359490787166</v>
      </c>
      <c r="GI235">
        <v>24.056711019571051</v>
      </c>
      <c r="GJ235"/>
      <c r="GK235"/>
      <c r="GL235"/>
      <c r="GM235"/>
    </row>
    <row r="236" spans="1:195" s="7" customFormat="1">
      <c r="A236" s="77"/>
      <c r="B236">
        <v>5.6458954056229249E-2</v>
      </c>
      <c r="C236">
        <v>4</v>
      </c>
      <c r="D236">
        <v>39646</v>
      </c>
      <c r="E236">
        <v>0</v>
      </c>
      <c r="F236">
        <v>0</v>
      </c>
      <c r="G236">
        <v>52.083333333333336</v>
      </c>
      <c r="H236">
        <v>0</v>
      </c>
      <c r="I236">
        <v>10.416666666666666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95.130488133939167</v>
      </c>
      <c r="AO236">
        <v>39.533993642792225</v>
      </c>
      <c r="AP236">
        <v>250.88587690324701</v>
      </c>
      <c r="AQ236">
        <v>219.44350990885178</v>
      </c>
      <c r="AR236">
        <v>35.727027063138998</v>
      </c>
      <c r="AS236">
        <v>163.32018480433362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1">
        <v>231</v>
      </c>
      <c r="FZ236">
        <v>0.64819644610043514</v>
      </c>
      <c r="GA236">
        <v>10.701226896575168</v>
      </c>
      <c r="GB236">
        <v>15.67824120297368</v>
      </c>
      <c r="GC236">
        <v>11.286366202395042</v>
      </c>
      <c r="GD236">
        <v>12.170782156061382</v>
      </c>
      <c r="GE236">
        <v>26.842490027063285</v>
      </c>
      <c r="GF236">
        <v>23.473097675507454</v>
      </c>
      <c r="GG236">
        <v>18.053002535720438</v>
      </c>
      <c r="GH236">
        <v>16.813264635386147</v>
      </c>
      <c r="GI236">
        <v>18.475193182669223</v>
      </c>
      <c r="GJ236"/>
      <c r="GK236"/>
      <c r="GL236"/>
      <c r="GM236"/>
    </row>
    <row r="237" spans="1:195" s="7" customFormat="1">
      <c r="A237" s="77"/>
      <c r="B237">
        <v>0.41062013583929113</v>
      </c>
      <c r="C237">
        <v>7</v>
      </c>
      <c r="D237">
        <v>39646</v>
      </c>
      <c r="E237">
        <v>0</v>
      </c>
      <c r="F237">
        <v>0</v>
      </c>
      <c r="G237">
        <v>20.833333333333332</v>
      </c>
      <c r="H237">
        <v>0</v>
      </c>
      <c r="I237">
        <v>20.833333333333332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77.877097147586568</v>
      </c>
      <c r="AO237">
        <v>31.823253024057728</v>
      </c>
      <c r="AP237">
        <v>206.73265339026509</v>
      </c>
      <c r="AQ237">
        <v>174.94223147771123</v>
      </c>
      <c r="AR237">
        <v>29.201470011936848</v>
      </c>
      <c r="AS237">
        <v>135.13618898207315</v>
      </c>
      <c r="AT237">
        <v>21.563086831313019</v>
      </c>
      <c r="AU237">
        <v>22.902901057222685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1">
        <v>232</v>
      </c>
      <c r="FZ237">
        <v>3.9407069843147982</v>
      </c>
      <c r="GA237">
        <v>16.577725506748742</v>
      </c>
      <c r="GB237">
        <v>21.212824669387295</v>
      </c>
      <c r="GC237">
        <v>15.491799955523359</v>
      </c>
      <c r="GD237">
        <v>9.5538332510237112</v>
      </c>
      <c r="GE237">
        <v>18.790680360522476</v>
      </c>
      <c r="GF237">
        <v>40.073345483879251</v>
      </c>
      <c r="GG237">
        <v>28.303787409941133</v>
      </c>
      <c r="GH237">
        <v>13.342300666199474</v>
      </c>
      <c r="GI237">
        <v>21.364381484567136</v>
      </c>
      <c r="GJ237"/>
      <c r="GK237"/>
      <c r="GL237"/>
      <c r="GM237"/>
    </row>
    <row r="238" spans="1:195" s="7" customFormat="1">
      <c r="A238" s="77"/>
      <c r="B238">
        <v>0.47382140022619534</v>
      </c>
      <c r="C238">
        <v>3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85.995366641502613</v>
      </c>
      <c r="AO238">
        <v>31.924694364285966</v>
      </c>
      <c r="AP238">
        <v>227.6875341835443</v>
      </c>
      <c r="AQ238">
        <v>191.95099693702483</v>
      </c>
      <c r="AR238">
        <v>28.987087689352411</v>
      </c>
      <c r="AS238">
        <v>149.75552253453102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1">
        <v>233</v>
      </c>
      <c r="FZ238">
        <v>3.4824480142939289</v>
      </c>
      <c r="GA238">
        <v>18.485223965868183</v>
      </c>
      <c r="GB238">
        <v>27.611082532344842</v>
      </c>
      <c r="GC238">
        <v>15.809950121979304</v>
      </c>
      <c r="GD238">
        <v>11.832461594092349</v>
      </c>
      <c r="GE238">
        <v>21.119433066250902</v>
      </c>
      <c r="GF238">
        <v>27.600870265167135</v>
      </c>
      <c r="GG238">
        <v>23.916199256805477</v>
      </c>
      <c r="GH238">
        <v>11.97470405935287</v>
      </c>
      <c r="GI238">
        <v>21.71816302974392</v>
      </c>
      <c r="GJ238"/>
      <c r="GK238"/>
      <c r="GL238"/>
      <c r="GM238"/>
    </row>
    <row r="239" spans="1:195" s="7" customFormat="1">
      <c r="A239" s="77" t="s">
        <v>61</v>
      </c>
      <c r="B239">
        <v>0.42700174626820075</v>
      </c>
      <c r="C239">
        <v>6</v>
      </c>
      <c r="D239">
        <v>39673</v>
      </c>
      <c r="E239">
        <v>0</v>
      </c>
      <c r="F239">
        <v>0</v>
      </c>
      <c r="G239">
        <v>31.25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90.379874277252242</v>
      </c>
      <c r="AO239">
        <v>29.268461868163371</v>
      </c>
      <c r="AP239">
        <v>177.239014452996</v>
      </c>
      <c r="AQ239">
        <v>157.53911068243755</v>
      </c>
      <c r="AR239">
        <v>26.564960088701042</v>
      </c>
      <c r="AS239">
        <v>127.53245946324284</v>
      </c>
      <c r="AT239">
        <v>20.549318773254647</v>
      </c>
      <c r="AU239">
        <v>56.314862731328752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1">
        <v>234</v>
      </c>
      <c r="FZ239">
        <v>4.1194726078383024</v>
      </c>
      <c r="GA239">
        <v>21.024689059227256</v>
      </c>
      <c r="GB239">
        <v>21.980861770106131</v>
      </c>
      <c r="GC239">
        <v>14.907483278935672</v>
      </c>
      <c r="GD239">
        <v>11.619291761606139</v>
      </c>
      <c r="GE239">
        <v>20.774990741227398</v>
      </c>
      <c r="GF239">
        <v>26.775006541163311</v>
      </c>
      <c r="GG239">
        <v>19.301453561329236</v>
      </c>
      <c r="GH239">
        <v>10.872289980376747</v>
      </c>
      <c r="GI239">
        <v>19.94283835187478</v>
      </c>
      <c r="GJ239"/>
      <c r="GK239"/>
      <c r="GL239"/>
      <c r="GM239"/>
    </row>
    <row r="240" spans="1:195" s="7" customFormat="1">
      <c r="A240" s="77" t="s">
        <v>62</v>
      </c>
      <c r="B240">
        <v>0.36689245807186044</v>
      </c>
      <c r="C240">
        <v>2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86.325677528278661</v>
      </c>
      <c r="AO240">
        <v>38.48606871980337</v>
      </c>
      <c r="AP240">
        <v>250.68641603299241</v>
      </c>
      <c r="AQ240">
        <v>210.9222111714958</v>
      </c>
      <c r="AR240">
        <v>34.450623766393662</v>
      </c>
      <c r="AS240">
        <v>156.26578910371853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1.0416666666666665</v>
      </c>
      <c r="DH240" s="182">
        <v>15.625</v>
      </c>
      <c r="DI240" s="182">
        <v>2.083333333333333</v>
      </c>
      <c r="DJ240" s="182">
        <v>3.125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1">
        <v>235</v>
      </c>
      <c r="FZ240">
        <v>3.274779535299535</v>
      </c>
      <c r="GA240">
        <v>8.6413657889516866</v>
      </c>
      <c r="GB240">
        <v>22.900770519866345</v>
      </c>
      <c r="GC240">
        <v>17.710518291763226</v>
      </c>
      <c r="GD240">
        <v>9.8074272309831514</v>
      </c>
      <c r="GE240">
        <v>15.902199042417079</v>
      </c>
      <c r="GF240">
        <v>23.005778146649032</v>
      </c>
      <c r="GG240">
        <v>21.856923554647572</v>
      </c>
      <c r="GH240">
        <v>15.994449083848506</v>
      </c>
      <c r="GI240">
        <v>19.058940266591279</v>
      </c>
      <c r="GJ240"/>
      <c r="GK240"/>
      <c r="GL240"/>
      <c r="GM240"/>
    </row>
    <row r="241" spans="1:195" s="7" customFormat="1">
      <c r="A241" s="77"/>
      <c r="B241">
        <v>0.83233963723596371</v>
      </c>
      <c r="C241">
        <v>3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84.350150631349152</v>
      </c>
      <c r="AO241">
        <v>37.013438799931052</v>
      </c>
      <c r="AP241">
        <v>221.79099987897763</v>
      </c>
      <c r="AQ241">
        <v>192.13303272824356</v>
      </c>
      <c r="AR241">
        <v>34.184104370167006</v>
      </c>
      <c r="AS241">
        <v>155.48186491521369</v>
      </c>
      <c r="AT241">
        <v>25.238827528596456</v>
      </c>
      <c r="AU241">
        <v>39.640455679945866</v>
      </c>
      <c r="AV241"/>
      <c r="AW241"/>
      <c r="DE241" s="187">
        <v>39673</v>
      </c>
      <c r="DF241" s="185">
        <v>0</v>
      </c>
      <c r="DG241" s="185">
        <v>8.3333333333333321</v>
      </c>
      <c r="DH241" s="185">
        <v>45.833333333333336</v>
      </c>
      <c r="DI241" s="185">
        <v>8.3333333333333321</v>
      </c>
      <c r="DJ241" s="185">
        <v>0</v>
      </c>
      <c r="DK241" s="185">
        <v>0</v>
      </c>
      <c r="DL241" s="185">
        <v>1.0416666666666665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1">
        <v>236</v>
      </c>
      <c r="FZ241">
        <v>8.2052017111659001</v>
      </c>
      <c r="GA241">
        <v>20.359282175041777</v>
      </c>
      <c r="GB241">
        <v>21.436301892457891</v>
      </c>
      <c r="GC241">
        <v>17.863024918279208</v>
      </c>
      <c r="GD241">
        <v>13.833856733797468</v>
      </c>
      <c r="GE241">
        <v>24.487582946277215</v>
      </c>
      <c r="GF241">
        <v>34.341360536887294</v>
      </c>
      <c r="GG241">
        <v>29.052519282046951</v>
      </c>
      <c r="GH241">
        <v>20.703162766995035</v>
      </c>
      <c r="GI241">
        <v>24.693355632044231</v>
      </c>
      <c r="GJ241"/>
      <c r="GK241"/>
      <c r="GL241"/>
      <c r="GM241"/>
    </row>
    <row r="242" spans="1:195" s="7" customFormat="1">
      <c r="A242" s="1"/>
      <c r="B242">
        <v>0.93191340806057554</v>
      </c>
      <c r="C242">
        <v>4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75.16051275142938</v>
      </c>
      <c r="AO242">
        <v>28.280353595508455</v>
      </c>
      <c r="AP242">
        <v>179.49721764612164</v>
      </c>
      <c r="AQ242">
        <v>155.14668727044975</v>
      </c>
      <c r="AR242">
        <v>26.034895657863284</v>
      </c>
      <c r="AS242">
        <v>126.40783855024998</v>
      </c>
      <c r="AT242">
        <v>19.361036177259862</v>
      </c>
      <c r="AU242">
        <v>30.538737959663816</v>
      </c>
      <c r="AV242"/>
      <c r="AW242"/>
      <c r="BI242" s="162"/>
      <c r="DE242" s="187">
        <v>39714</v>
      </c>
      <c r="DF242" s="182">
        <v>0</v>
      </c>
      <c r="DG242" s="182">
        <v>0</v>
      </c>
      <c r="DH242" s="182">
        <v>13.205645161290324</v>
      </c>
      <c r="DI242" s="182">
        <v>44.791666666666671</v>
      </c>
      <c r="DJ242" s="182">
        <v>27.083333333333336</v>
      </c>
      <c r="DK242" s="182">
        <v>1.0416666666666665</v>
      </c>
      <c r="DL242" s="182">
        <v>0</v>
      </c>
      <c r="DM242" s="182">
        <v>0</v>
      </c>
      <c r="DN242" s="182">
        <v>0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1">
        <v>237</v>
      </c>
      <c r="FZ242">
        <v>1.5447783192223838</v>
      </c>
      <c r="GA242">
        <v>12.772648580972589</v>
      </c>
      <c r="GB242">
        <v>21.172386825505654</v>
      </c>
      <c r="GC242">
        <v>13.827165991115288</v>
      </c>
      <c r="GD242">
        <v>10.418257921473133</v>
      </c>
      <c r="GE242">
        <v>19.148988639858597</v>
      </c>
      <c r="GF242">
        <v>34.016938183775849</v>
      </c>
      <c r="GG242">
        <v>38.847925652005159</v>
      </c>
      <c r="GH242">
        <v>24.262338607446377</v>
      </c>
      <c r="GI242">
        <v>22.104578135148071</v>
      </c>
      <c r="GJ242"/>
      <c r="GK242"/>
      <c r="GL242"/>
      <c r="GM242"/>
    </row>
    <row r="243" spans="1:195" s="7" customFormat="1">
      <c r="A243" s="1"/>
      <c r="B243">
        <v>0.84944608046301484</v>
      </c>
      <c r="C243">
        <v>1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10.416666666666666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81.233661477411474</v>
      </c>
      <c r="AO243">
        <v>25.096429623987483</v>
      </c>
      <c r="AP243">
        <v>156.50214006625615</v>
      </c>
      <c r="AQ243">
        <v>142.46571308896955</v>
      </c>
      <c r="AR243">
        <v>23.29125307962352</v>
      </c>
      <c r="AS243">
        <v>122.7807169180444</v>
      </c>
      <c r="AT243">
        <v>17.330535664592897</v>
      </c>
      <c r="AU243">
        <v>42.850693712047402</v>
      </c>
      <c r="AV243"/>
      <c r="AW243"/>
      <c r="DE243" s="187">
        <v>39747</v>
      </c>
      <c r="DF243" s="182">
        <v>0</v>
      </c>
      <c r="DG243" s="182">
        <v>0</v>
      </c>
      <c r="DH243" s="182">
        <v>35.563066004876347</v>
      </c>
      <c r="DI243" s="182">
        <v>17.013888888888886</v>
      </c>
      <c r="DJ243" s="182">
        <v>73.165654388714728</v>
      </c>
      <c r="DK243" s="182">
        <v>15.861742424242426</v>
      </c>
      <c r="DL243" s="182">
        <v>0</v>
      </c>
      <c r="DM243" s="182">
        <v>2.604166666666667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1">
        <v>238</v>
      </c>
      <c r="FZ243">
        <v>3.1647868972311741</v>
      </c>
      <c r="GA243">
        <v>12.314530338730542</v>
      </c>
      <c r="GB243">
        <v>21.844076794013414</v>
      </c>
      <c r="GC243">
        <v>15.386791872383711</v>
      </c>
      <c r="GD243">
        <v>12.65180329327908</v>
      </c>
      <c r="GE243">
        <v>20.035491004628103</v>
      </c>
      <c r="GF243">
        <v>12.497873528012363</v>
      </c>
      <c r="GG243">
        <v>18.603331921814188</v>
      </c>
      <c r="GH243">
        <v>21.678934134999473</v>
      </c>
      <c r="GI243">
        <v>19.371923834764093</v>
      </c>
      <c r="GJ243"/>
      <c r="GK243"/>
      <c r="GL243"/>
      <c r="GM243"/>
    </row>
    <row r="244" spans="1:195" s="7" customFormat="1">
      <c r="A244" s="1"/>
      <c r="B244">
        <v>0.86739506525596344</v>
      </c>
      <c r="C244">
        <v>7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63.817593717184558</v>
      </c>
      <c r="AO244">
        <v>26.408962786892936</v>
      </c>
      <c r="AP244">
        <v>183.89519253209662</v>
      </c>
      <c r="AQ244">
        <v>156.38869705663581</v>
      </c>
      <c r="AR244">
        <v>23.609213978973024</v>
      </c>
      <c r="AS244">
        <v>116.23955891472167</v>
      </c>
      <c r="AT244">
        <v>18.373240858384928</v>
      </c>
      <c r="AU244">
        <v>22.830343384427682</v>
      </c>
      <c r="AV244"/>
      <c r="AW244"/>
      <c r="DE244" s="187">
        <v>39775</v>
      </c>
      <c r="DF244" s="182">
        <v>0</v>
      </c>
      <c r="DG244" s="182">
        <v>1.0416666666666665</v>
      </c>
      <c r="DH244" s="182">
        <v>36.392195767195766</v>
      </c>
      <c r="DI244" s="182">
        <v>7.670454545454545</v>
      </c>
      <c r="DJ244" s="182">
        <v>66.516122766122777</v>
      </c>
      <c r="DK244" s="182">
        <v>22.807400932400931</v>
      </c>
      <c r="DL244" s="182">
        <v>0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1">
        <v>239</v>
      </c>
      <c r="FZ244">
        <v>5.1750716497188858</v>
      </c>
      <c r="GA244">
        <v>13.579725119033837</v>
      </c>
      <c r="GB244">
        <v>16.304430316255196</v>
      </c>
      <c r="GC244">
        <v>13.468199074263145</v>
      </c>
      <c r="GD244">
        <v>8.3195823203817234</v>
      </c>
      <c r="GE244">
        <v>14.651030345488286</v>
      </c>
      <c r="GF244">
        <v>32.735865716071061</v>
      </c>
      <c r="GG244">
        <v>23.885965186750855</v>
      </c>
      <c r="GH244">
        <v>10.718432283358055</v>
      </c>
      <c r="GI244">
        <v>17.772381409568499</v>
      </c>
      <c r="GJ244"/>
      <c r="GK244"/>
      <c r="GL244"/>
      <c r="GM244"/>
    </row>
    <row r="245" spans="1:195" s="7" customFormat="1">
      <c r="A245" s="1"/>
      <c r="B245">
        <v>0.2477619404668181</v>
      </c>
      <c r="C245">
        <v>4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78.980198541313982</v>
      </c>
      <c r="AO245">
        <v>30.406476050578494</v>
      </c>
      <c r="AP245">
        <v>157.17572682271935</v>
      </c>
      <c r="AQ245">
        <v>151.13401382766276</v>
      </c>
      <c r="AR245">
        <v>27.741178238303458</v>
      </c>
      <c r="AS245">
        <v>136.33635783518599</v>
      </c>
      <c r="AT245" t="e">
        <v>#DIV/0!</v>
      </c>
      <c r="AU245" t="e">
        <v>#DIV/0!</v>
      </c>
      <c r="AV245"/>
      <c r="AW245"/>
      <c r="DE245" s="187">
        <v>39799</v>
      </c>
      <c r="DF245" s="182">
        <v>0</v>
      </c>
      <c r="DG245" s="182">
        <v>0</v>
      </c>
      <c r="DH245" s="182">
        <v>3.125</v>
      </c>
      <c r="DI245" s="182">
        <v>2.083333333333333</v>
      </c>
      <c r="DJ245" s="182">
        <v>66.081375020328508</v>
      </c>
      <c r="DK245" s="182">
        <v>28.671328671328673</v>
      </c>
      <c r="DL245" s="182">
        <v>1.0416666666666665</v>
      </c>
      <c r="DM245" s="182">
        <v>0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1">
        <v>240</v>
      </c>
      <c r="FZ245">
        <v>3.4575438180580655</v>
      </c>
      <c r="GA245">
        <v>13.607922464331415</v>
      </c>
      <c r="GB245">
        <v>13.964459081479241</v>
      </c>
      <c r="GC245">
        <v>8.2153530562053039</v>
      </c>
      <c r="GD245">
        <v>10.449412188316915</v>
      </c>
      <c r="GE245">
        <v>24.16020892591083</v>
      </c>
      <c r="GF245">
        <v>35.01665792725197</v>
      </c>
      <c r="GG245">
        <v>36.629708523460124</v>
      </c>
      <c r="GH245">
        <v>27.963670961118577</v>
      </c>
      <c r="GI245">
        <v>21.349374893376595</v>
      </c>
      <c r="GJ245"/>
      <c r="GK245"/>
      <c r="GL245"/>
      <c r="GM245"/>
    </row>
    <row r="246" spans="1:195" s="7" customFormat="1">
      <c r="A246" s="1"/>
      <c r="B246">
        <v>0.47224153288944848</v>
      </c>
      <c r="C246">
        <v>1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10.416666666666666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102.68624073638325</v>
      </c>
      <c r="AO246">
        <v>36.775224102740019</v>
      </c>
      <c r="AP246">
        <v>257.12951883980548</v>
      </c>
      <c r="AQ246">
        <v>205.10534010681494</v>
      </c>
      <c r="AR246">
        <v>33.734070465869024</v>
      </c>
      <c r="AS246">
        <v>160.26345082309098</v>
      </c>
      <c r="AT246" t="e">
        <v>#DIV/0!</v>
      </c>
      <c r="AU246" t="e">
        <v>#DIV/0!</v>
      </c>
      <c r="AV246"/>
      <c r="AW246"/>
      <c r="DE246" s="187">
        <v>39847</v>
      </c>
      <c r="DF246" s="182">
        <v>0</v>
      </c>
      <c r="DG246" s="182">
        <v>0</v>
      </c>
      <c r="DH246" s="182">
        <v>0</v>
      </c>
      <c r="DI246" s="182">
        <v>0</v>
      </c>
      <c r="DJ246" s="182">
        <v>44.704861111111107</v>
      </c>
      <c r="DK246" s="182">
        <v>28.211805555555557</v>
      </c>
      <c r="DL246" s="182">
        <v>1.3020833333333333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1">
        <v>241</v>
      </c>
      <c r="FZ246">
        <v>4.5137546649917182</v>
      </c>
      <c r="GA246">
        <v>21.035536667728316</v>
      </c>
      <c r="GB246">
        <v>22.768287787080649</v>
      </c>
      <c r="GC246">
        <v>15.533036473085545</v>
      </c>
      <c r="GD246">
        <v>10.074873625488022</v>
      </c>
      <c r="GE246">
        <v>24.5842720305291</v>
      </c>
      <c r="GF246">
        <v>40.960951790988837</v>
      </c>
      <c r="GG246">
        <v>22.321859148162925</v>
      </c>
      <c r="GH246">
        <v>13.987790594655877</v>
      </c>
      <c r="GI246">
        <v>22.406822081901726</v>
      </c>
      <c r="GJ246"/>
      <c r="GK246"/>
      <c r="GL246"/>
      <c r="GM246"/>
    </row>
    <row r="247" spans="1:195" s="7" customFormat="1">
      <c r="A247" s="77" t="s">
        <v>61</v>
      </c>
      <c r="B247">
        <v>0.28572901688790697</v>
      </c>
      <c r="C247">
        <v>4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65.415167908536574</v>
      </c>
      <c r="AO247">
        <v>28.184548525650193</v>
      </c>
      <c r="AP247">
        <v>174.67172330859748</v>
      </c>
      <c r="AQ247">
        <v>154.14186096045225</v>
      </c>
      <c r="AR247">
        <v>25.276344062568786</v>
      </c>
      <c r="AS247">
        <v>116.80461816585498</v>
      </c>
      <c r="AT247" t="e">
        <v>#DIV/0!</v>
      </c>
      <c r="AU247" t="e">
        <v>#DIV/0!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1.0416666666666665</v>
      </c>
      <c r="DJ247" s="182">
        <v>20.833333333333336</v>
      </c>
      <c r="DK247" s="182">
        <v>21.90340909090909</v>
      </c>
      <c r="DL247" s="182">
        <v>7.007575757575756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1">
        <v>242</v>
      </c>
      <c r="FZ247">
        <v>5.0589057233576344</v>
      </c>
      <c r="GA247">
        <v>9.1426346332844997</v>
      </c>
      <c r="GB247">
        <v>30.0380638851288</v>
      </c>
      <c r="GC247">
        <v>21.689090791276776</v>
      </c>
      <c r="GD247">
        <v>13.121694555450503</v>
      </c>
      <c r="GE247">
        <v>24.335923166408715</v>
      </c>
      <c r="GF247">
        <v>23.815386577084716</v>
      </c>
      <c r="GG247">
        <v>15.831458525631476</v>
      </c>
      <c r="GH247">
        <v>11.853669275211189</v>
      </c>
      <c r="GI247">
        <v>22.59720083253497</v>
      </c>
      <c r="GJ247"/>
      <c r="GK247"/>
      <c r="GL247"/>
      <c r="GM247"/>
    </row>
    <row r="248" spans="1:195" s="7" customFormat="1">
      <c r="A248" s="77" t="s">
        <v>62</v>
      </c>
      <c r="B248">
        <v>0.94630556573544311</v>
      </c>
      <c r="C248">
        <v>7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81.473059576361493</v>
      </c>
      <c r="AO248">
        <v>32.337565053818572</v>
      </c>
      <c r="AP248">
        <v>231.38482404018305</v>
      </c>
      <c r="AQ248">
        <v>188.65138577210737</v>
      </c>
      <c r="AR248">
        <v>29.385871563859986</v>
      </c>
      <c r="AS248">
        <v>143.50761390955083</v>
      </c>
      <c r="AT248">
        <v>22.153162956608597</v>
      </c>
      <c r="AU248">
        <v>29.703925570532462</v>
      </c>
      <c r="AV248"/>
      <c r="AW248"/>
      <c r="DE248" s="187">
        <v>39949</v>
      </c>
      <c r="DF248" s="182">
        <v>0</v>
      </c>
      <c r="DG248" s="182">
        <v>0</v>
      </c>
      <c r="DH248" s="182">
        <v>13.222333779562694</v>
      </c>
      <c r="DI248" s="182">
        <v>11.226851851851851</v>
      </c>
      <c r="DJ248" s="182">
        <v>9.375</v>
      </c>
      <c r="DK248" s="182">
        <v>25</v>
      </c>
      <c r="DL248" s="182">
        <v>5.208333333333333</v>
      </c>
      <c r="DM248" s="182">
        <v>1.0416666666666665</v>
      </c>
      <c r="DN248" s="182">
        <v>0</v>
      </c>
      <c r="DO248" s="182">
        <v>8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1">
        <v>243</v>
      </c>
      <c r="FZ248">
        <v>4.4870122970736652</v>
      </c>
      <c r="GA248">
        <v>13.705066195514741</v>
      </c>
      <c r="GB248">
        <v>7.7323782971890287</v>
      </c>
      <c r="GC248">
        <v>7.4023542497748842</v>
      </c>
      <c r="GD248">
        <v>10.474357474146393</v>
      </c>
      <c r="GE248">
        <v>18.885209370659261</v>
      </c>
      <c r="GF248">
        <v>21.118590236465806</v>
      </c>
      <c r="GG248">
        <v>20.731945566487603</v>
      </c>
      <c r="GH248">
        <v>17.240695799691128</v>
      </c>
      <c r="GI248">
        <v>15.674090572258395</v>
      </c>
      <c r="GJ248"/>
      <c r="GK248"/>
      <c r="GL248"/>
      <c r="GM248"/>
    </row>
    <row r="249" spans="1:195" s="7" customFormat="1">
      <c r="A249" s="1"/>
      <c r="B249">
        <v>0.55099331748996594</v>
      </c>
      <c r="C249">
        <v>6</v>
      </c>
      <c r="D249">
        <v>39714</v>
      </c>
      <c r="E249">
        <v>0</v>
      </c>
      <c r="F249">
        <v>0</v>
      </c>
      <c r="G249">
        <v>0</v>
      </c>
      <c r="H249">
        <v>20.833333333333332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82.261118553808998</v>
      </c>
      <c r="AO249">
        <v>32.799768015405718</v>
      </c>
      <c r="AP249">
        <v>221.63396865125816</v>
      </c>
      <c r="AQ249">
        <v>183.5505359058989</v>
      </c>
      <c r="AR249">
        <v>30.378913055573019</v>
      </c>
      <c r="AS249">
        <v>137.6776921891491</v>
      </c>
      <c r="AT249">
        <v>22.087973047177147</v>
      </c>
      <c r="AU249">
        <v>10.468344700150451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0</v>
      </c>
      <c r="DJ249" s="182">
        <v>7.0112179487179489</v>
      </c>
      <c r="DK249" s="182">
        <v>0</v>
      </c>
      <c r="DL249" s="182">
        <v>0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1">
        <v>244</v>
      </c>
      <c r="FZ249">
        <v>4.1742795645732009</v>
      </c>
      <c r="GA249">
        <v>14.992875972044725</v>
      </c>
      <c r="GB249">
        <v>31.407096787823786</v>
      </c>
      <c r="GC249">
        <v>21.260966895691347</v>
      </c>
      <c r="GD249">
        <v>12.480494267707401</v>
      </c>
      <c r="GE249">
        <v>26.723097109596715</v>
      </c>
      <c r="GF249">
        <v>37.494138282075895</v>
      </c>
      <c r="GG249">
        <v>33.383308951258279</v>
      </c>
      <c r="GH249">
        <v>26.542570563925299</v>
      </c>
      <c r="GI249">
        <v>27.356810162182526</v>
      </c>
      <c r="GJ249"/>
      <c r="GK249"/>
      <c r="GL249"/>
      <c r="GM249"/>
    </row>
    <row r="250" spans="1:195" s="7" customFormat="1">
      <c r="A250" s="1"/>
      <c r="B250">
        <v>0.44929835236527427</v>
      </c>
      <c r="C250">
        <v>7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78.149151499068381</v>
      </c>
      <c r="AO250">
        <v>30.441467304515431</v>
      </c>
      <c r="AP250">
        <v>203.12635743058831</v>
      </c>
      <c r="AQ250">
        <v>171.31837765368493</v>
      </c>
      <c r="AR250">
        <v>27.543631612452799</v>
      </c>
      <c r="AS250">
        <v>139.57938161048421</v>
      </c>
      <c r="AT250" t="e">
        <v>#DIV/0!</v>
      </c>
      <c r="AU250" t="e">
        <v>#DIV/0!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1">
        <v>245</v>
      </c>
      <c r="FZ250">
        <v>5.5934677131949684</v>
      </c>
      <c r="GA250">
        <v>15.860512855664254</v>
      </c>
      <c r="GB250">
        <v>35.859156770893357</v>
      </c>
      <c r="GC250">
        <v>21.723137045355735</v>
      </c>
      <c r="GD250">
        <v>7.8734144823614036</v>
      </c>
      <c r="GE250">
        <v>16.245661863402361</v>
      </c>
      <c r="GF250">
        <v>23.558541008416512</v>
      </c>
      <c r="GG250">
        <v>29.869571563133583</v>
      </c>
      <c r="GH250">
        <v>27.942990083648915</v>
      </c>
      <c r="GI250">
        <v>23.514269743604462</v>
      </c>
      <c r="GJ250"/>
      <c r="GK250"/>
      <c r="GL250"/>
      <c r="GM250"/>
    </row>
    <row r="251" spans="1:195" s="7" customFormat="1">
      <c r="A251" s="1"/>
      <c r="B251">
        <v>0.20169763071633628</v>
      </c>
      <c r="C251">
        <v>8</v>
      </c>
      <c r="D251">
        <v>39714</v>
      </c>
      <c r="E251">
        <v>0</v>
      </c>
      <c r="F251">
        <v>0</v>
      </c>
      <c r="G251">
        <v>0</v>
      </c>
      <c r="H251">
        <v>10.416666666666666</v>
      </c>
      <c r="I251">
        <v>0</v>
      </c>
      <c r="J251">
        <v>10.416666666666666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77.522213336015781</v>
      </c>
      <c r="AO251">
        <v>28.923057135541256</v>
      </c>
      <c r="AP251">
        <v>189.94302850648074</v>
      </c>
      <c r="AQ251">
        <v>158.15315146101744</v>
      </c>
      <c r="AR251">
        <v>26.478282701449842</v>
      </c>
      <c r="AS251">
        <v>124.10118695811632</v>
      </c>
      <c r="AT251">
        <v>19.158711603193272</v>
      </c>
      <c r="AU251">
        <v>15.568936642534442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1">
        <v>246</v>
      </c>
      <c r="FZ251">
        <v>6.2071771276908461</v>
      </c>
      <c r="GA251">
        <v>20.231287986683025</v>
      </c>
      <c r="GB251">
        <v>28.721285968307967</v>
      </c>
      <c r="GC251">
        <v>17.075577560731578</v>
      </c>
      <c r="GD251">
        <v>9.2300010173448488</v>
      </c>
      <c r="GE251">
        <v>15.603991877070282</v>
      </c>
      <c r="GF251">
        <v>26.064401307645625</v>
      </c>
      <c r="GG251">
        <v>21.749604585429616</v>
      </c>
      <c r="GH251">
        <v>10.747925269572791</v>
      </c>
      <c r="GI251">
        <v>20.279579475212483</v>
      </c>
      <c r="GJ251"/>
      <c r="GK251"/>
      <c r="GL251"/>
      <c r="GM251"/>
    </row>
    <row r="252" spans="1:195" s="7" customFormat="1">
      <c r="A252" s="1"/>
      <c r="B252">
        <v>0.88518501232849278</v>
      </c>
      <c r="C252">
        <v>2</v>
      </c>
      <c r="D252">
        <v>39714</v>
      </c>
      <c r="E252">
        <v>0</v>
      </c>
      <c r="F252">
        <v>0</v>
      </c>
      <c r="G252">
        <v>0</v>
      </c>
      <c r="H252">
        <v>20.833333333333332</v>
      </c>
      <c r="I252">
        <v>10.416666666666666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97.005457740482058</v>
      </c>
      <c r="AO252">
        <v>37.469372007456649</v>
      </c>
      <c r="AP252">
        <v>251.94374674527896</v>
      </c>
      <c r="AQ252">
        <v>214.97564859499295</v>
      </c>
      <c r="AR252">
        <v>34.06440899745072</v>
      </c>
      <c r="AS252">
        <v>158.18732951867298</v>
      </c>
      <c r="AT252">
        <v>25.61653301741066</v>
      </c>
      <c r="AU252">
        <v>46.11007935043034</v>
      </c>
      <c r="AV252"/>
      <c r="AW252"/>
      <c r="FY252" s="211">
        <v>247</v>
      </c>
      <c r="FZ252">
        <v>2.0245206247413012</v>
      </c>
      <c r="GA252">
        <v>13.047674374588553</v>
      </c>
      <c r="GB252">
        <v>23.256434729953416</v>
      </c>
      <c r="GC252">
        <v>17.176460877989506</v>
      </c>
      <c r="GD252">
        <v>11.035962071948623</v>
      </c>
      <c r="GE252">
        <v>23.905002736675158</v>
      </c>
      <c r="GF252">
        <v>26.836898390326898</v>
      </c>
      <c r="GG252">
        <v>15.037162511218485</v>
      </c>
      <c r="GH252">
        <v>13.951869562330762</v>
      </c>
      <c r="GI252">
        <v>20.069682460947465</v>
      </c>
      <c r="GJ252"/>
      <c r="GK252"/>
      <c r="GL252"/>
      <c r="GM252"/>
    </row>
    <row r="253" spans="1:195" s="7" customFormat="1">
      <c r="A253" s="1"/>
      <c r="B253">
        <v>4.9510318824070865E-3</v>
      </c>
      <c r="C253">
        <v>5</v>
      </c>
      <c r="D253">
        <v>39714</v>
      </c>
      <c r="E253">
        <v>0</v>
      </c>
      <c r="F253">
        <v>0</v>
      </c>
      <c r="G253">
        <v>0</v>
      </c>
      <c r="H253">
        <v>10.416666666666666</v>
      </c>
      <c r="I253">
        <v>20.833333333333332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79.125634920423551</v>
      </c>
      <c r="AO253">
        <v>33.788268466291548</v>
      </c>
      <c r="AP253">
        <v>242.68953103426156</v>
      </c>
      <c r="AQ253">
        <v>198.11600685652311</v>
      </c>
      <c r="AR253">
        <v>30.844210547383753</v>
      </c>
      <c r="AS253">
        <v>138.90198295225798</v>
      </c>
      <c r="AT253" t="e">
        <v>#DIV/0!</v>
      </c>
      <c r="AU253" t="e">
        <v>#DIV/0!</v>
      </c>
      <c r="AV253"/>
      <c r="AW253"/>
      <c r="FY253" s="211">
        <v>248</v>
      </c>
      <c r="FZ253">
        <v>4.0265928394999593</v>
      </c>
      <c r="GA253">
        <v>13.210819826440723</v>
      </c>
      <c r="GB253">
        <v>14.151893150640989</v>
      </c>
      <c r="GC253">
        <v>11.096003760902988</v>
      </c>
      <c r="GD253">
        <v>10.734980982729628</v>
      </c>
      <c r="GE253">
        <v>22.001736862986544</v>
      </c>
      <c r="GF253">
        <v>20.315789185415724</v>
      </c>
      <c r="GG253">
        <v>9.0651854833693584</v>
      </c>
      <c r="GH253">
        <v>6.2472452904254947</v>
      </c>
      <c r="GI253">
        <v>15.420475124553528</v>
      </c>
      <c r="GJ253"/>
      <c r="GK253"/>
      <c r="GL253"/>
      <c r="GM253"/>
    </row>
    <row r="254" spans="1:195" s="7" customFormat="1">
      <c r="A254" s="1"/>
      <c r="B254">
        <v>0.27073206721470067</v>
      </c>
      <c r="C254">
        <v>1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10.416666666666666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70.303529904032857</v>
      </c>
      <c r="AO254">
        <v>29.131408432969984</v>
      </c>
      <c r="AP254">
        <v>182.05980388153267</v>
      </c>
      <c r="AQ254">
        <v>157.54954361985614</v>
      </c>
      <c r="AR254">
        <v>27.120267791009436</v>
      </c>
      <c r="AS254">
        <v>137.13724423721257</v>
      </c>
      <c r="AT254">
        <v>20.03197737648162</v>
      </c>
      <c r="AU254">
        <v>29.447411085898196</v>
      </c>
      <c r="AV254"/>
      <c r="AW254"/>
      <c r="FY254" s="211">
        <v>249</v>
      </c>
      <c r="FZ254">
        <v>7.2197309868873845</v>
      </c>
      <c r="GA254">
        <v>19.079708513192294</v>
      </c>
      <c r="GB254">
        <v>18.350896167394225</v>
      </c>
      <c r="GC254">
        <v>12.829806866143505</v>
      </c>
      <c r="GD254">
        <v>9.7932165666368025</v>
      </c>
      <c r="GE254">
        <v>16.945048314236725</v>
      </c>
      <c r="GF254">
        <v>20.088503825822052</v>
      </c>
      <c r="GG254">
        <v>21.076800414959031</v>
      </c>
      <c r="GH254">
        <v>17.478222489905097</v>
      </c>
      <c r="GI254">
        <v>18.161583614754875</v>
      </c>
      <c r="GJ254"/>
      <c r="GK254"/>
      <c r="GL254"/>
      <c r="GM254"/>
    </row>
    <row r="255" spans="1:195" s="7" customFormat="1">
      <c r="A255" s="1"/>
      <c r="B255">
        <v>0.80882304928102666</v>
      </c>
      <c r="C255">
        <v>2</v>
      </c>
      <c r="D255">
        <v>39714</v>
      </c>
      <c r="E255">
        <v>0</v>
      </c>
      <c r="F255">
        <v>0</v>
      </c>
      <c r="G255">
        <v>0</v>
      </c>
      <c r="H255">
        <v>20.833333333333332</v>
      </c>
      <c r="I255">
        <v>10.416666666666666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66.230511675824175</v>
      </c>
      <c r="AO255">
        <v>26.978107627012339</v>
      </c>
      <c r="AP255">
        <v>190.92402469109754</v>
      </c>
      <c r="AQ255">
        <v>156.61068342088956</v>
      </c>
      <c r="AR255">
        <v>24.515525558014645</v>
      </c>
      <c r="AS255">
        <v>118.35035245378307</v>
      </c>
      <c r="AT255">
        <v>18.531501537363738</v>
      </c>
      <c r="AU255">
        <v>37.64941319465558</v>
      </c>
      <c r="AV255"/>
      <c r="AW255"/>
      <c r="FY255" s="211">
        <v>250</v>
      </c>
      <c r="FZ255">
        <v>3.854283075386209</v>
      </c>
      <c r="GA255">
        <v>14.921605676548539</v>
      </c>
      <c r="GB255">
        <v>34.236794649719982</v>
      </c>
      <c r="GC255">
        <v>22.008959078630781</v>
      </c>
      <c r="GD255">
        <v>8.7175809600051366</v>
      </c>
      <c r="GE255">
        <v>21.972335334056652</v>
      </c>
      <c r="GF255">
        <v>34.124978054545636</v>
      </c>
      <c r="GG255">
        <v>23.26472646699585</v>
      </c>
      <c r="GH255">
        <v>18.321363952436979</v>
      </c>
      <c r="GI255">
        <v>23.798340545282052</v>
      </c>
      <c r="GJ255"/>
      <c r="GK255"/>
      <c r="GL255"/>
      <c r="GM255"/>
    </row>
    <row r="256" spans="1:195" s="7" customFormat="1">
      <c r="A256" s="1"/>
      <c r="B256">
        <v>3.4924296567391266E-2</v>
      </c>
      <c r="C256">
        <v>2</v>
      </c>
      <c r="D256">
        <v>39714</v>
      </c>
      <c r="E256">
        <v>0</v>
      </c>
      <c r="F256">
        <v>0</v>
      </c>
      <c r="G256">
        <v>0</v>
      </c>
      <c r="H256">
        <v>20.833333333333332</v>
      </c>
      <c r="I256">
        <v>10.416666666666666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75.128622841397402</v>
      </c>
      <c r="AO256">
        <v>32.070550551990216</v>
      </c>
      <c r="AP256">
        <v>233.64725469533576</v>
      </c>
      <c r="AQ256">
        <v>194.814311839509</v>
      </c>
      <c r="AR256">
        <v>29.547802768058382</v>
      </c>
      <c r="AS256">
        <v>136.62531662508067</v>
      </c>
      <c r="AT256">
        <v>22.577544627571658</v>
      </c>
      <c r="AU256">
        <v>-2.8551706220609256</v>
      </c>
      <c r="AV256"/>
      <c r="AW256"/>
      <c r="FY256" s="211">
        <v>251</v>
      </c>
      <c r="FZ256">
        <v>1.4616385634605567</v>
      </c>
      <c r="GA256">
        <v>13.317527478534435</v>
      </c>
      <c r="GB256">
        <v>20.131180719054242</v>
      </c>
      <c r="GC256">
        <v>11.193332827034679</v>
      </c>
      <c r="GD256">
        <v>7.0558630426526792</v>
      </c>
      <c r="GE256">
        <v>11.684748268320556</v>
      </c>
      <c r="GF256">
        <v>10.392736459987757</v>
      </c>
      <c r="GG256">
        <v>13.592284417525459</v>
      </c>
      <c r="GH256">
        <v>14.166724144567119</v>
      </c>
      <c r="GI256">
        <v>13.705970524638953</v>
      </c>
      <c r="GJ256"/>
      <c r="GK256"/>
      <c r="GL256"/>
      <c r="GM256"/>
    </row>
    <row r="257" spans="1:195" s="7" customFormat="1">
      <c r="A257" s="1"/>
      <c r="B257">
        <v>2.7852993280213845E-2</v>
      </c>
      <c r="C257">
        <v>10</v>
      </c>
      <c r="D257">
        <v>39714</v>
      </c>
      <c r="E257">
        <v>0</v>
      </c>
      <c r="F257">
        <v>0</v>
      </c>
      <c r="G257">
        <v>10.416666666666666</v>
      </c>
      <c r="H257">
        <v>72.916666666666671</v>
      </c>
      <c r="I257">
        <v>72.916666666666671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84.658822398762595</v>
      </c>
      <c r="AO257">
        <v>33.941938230637028</v>
      </c>
      <c r="AP257">
        <v>239.94925941267354</v>
      </c>
      <c r="AQ257">
        <v>198.18718486461273</v>
      </c>
      <c r="AR257">
        <v>30.41801424284602</v>
      </c>
      <c r="AS257">
        <v>140.48437361792568</v>
      </c>
      <c r="AT257">
        <v>23.419373167029928</v>
      </c>
      <c r="AU257">
        <v>38.710312769909478</v>
      </c>
      <c r="AV257"/>
      <c r="AW257"/>
      <c r="FY257" s="211">
        <v>252</v>
      </c>
      <c r="FZ257">
        <v>2.0512964092813961</v>
      </c>
      <c r="GA257">
        <v>9.6819513813666358</v>
      </c>
      <c r="GB257">
        <v>12.644183316381836</v>
      </c>
      <c r="GC257">
        <v>9.1592254776222486</v>
      </c>
      <c r="GD257">
        <v>10.181655126291927</v>
      </c>
      <c r="GE257">
        <v>16.173631291983956</v>
      </c>
      <c r="GF257">
        <v>16.114727072808417</v>
      </c>
      <c r="GG257">
        <v>18.101786566673972</v>
      </c>
      <c r="GH257">
        <v>11.95069325522093</v>
      </c>
      <c r="GI257">
        <v>14.560599818407093</v>
      </c>
      <c r="GJ257"/>
      <c r="GK257"/>
      <c r="GL257"/>
      <c r="GM257"/>
    </row>
    <row r="258" spans="1:195" s="7" customFormat="1">
      <c r="A258" s="1"/>
      <c r="B258">
        <v>5.7922716634601024E-2</v>
      </c>
      <c r="C258">
        <v>5</v>
      </c>
      <c r="D258">
        <v>39747</v>
      </c>
      <c r="E258">
        <v>0</v>
      </c>
      <c r="F258">
        <v>0</v>
      </c>
      <c r="G258">
        <v>110.47979797979797</v>
      </c>
      <c r="H258">
        <v>110.47979797979797</v>
      </c>
      <c r="I258">
        <v>0</v>
      </c>
      <c r="J258">
        <v>20.833333333333332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85.263386054692006</v>
      </c>
      <c r="AO258">
        <v>34.079569077947511</v>
      </c>
      <c r="AP258">
        <v>207.71167097398381</v>
      </c>
      <c r="AQ258">
        <v>177.48402796536928</v>
      </c>
      <c r="AR258">
        <v>31.344901977427032</v>
      </c>
      <c r="AS258">
        <v>151.42890586106176</v>
      </c>
      <c r="AT258">
        <v>23.289331554669786</v>
      </c>
      <c r="AU258">
        <v>39.758108976372014</v>
      </c>
      <c r="AV258"/>
      <c r="AW258"/>
      <c r="FY258" s="211">
        <v>253</v>
      </c>
      <c r="FZ258">
        <v>6.1448182530363482</v>
      </c>
      <c r="GA258">
        <v>16.582108793733841</v>
      </c>
      <c r="GB258">
        <v>14.019328926563448</v>
      </c>
      <c r="GC258">
        <v>12.131852114953482</v>
      </c>
      <c r="GD258">
        <v>11.394694601720474</v>
      </c>
      <c r="GE258">
        <v>22.749986729442337</v>
      </c>
      <c r="GF258">
        <v>24.635832190506378</v>
      </c>
      <c r="GG258">
        <v>19.367343454784919</v>
      </c>
      <c r="GH258">
        <v>20.320275381645146</v>
      </c>
      <c r="GI258">
        <v>19.16509720104731</v>
      </c>
      <c r="GJ258"/>
      <c r="GK258"/>
      <c r="GL258"/>
      <c r="GM258"/>
    </row>
    <row r="259" spans="1:195" s="7" customFormat="1">
      <c r="A259" s="90"/>
      <c r="B259">
        <v>0.40916322713259223</v>
      </c>
      <c r="C259">
        <v>1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56.163646924438069</v>
      </c>
      <c r="AO259">
        <v>23.678147214502559</v>
      </c>
      <c r="AP259">
        <v>156.44318772118714</v>
      </c>
      <c r="AQ259">
        <v>137.45170005926093</v>
      </c>
      <c r="AR259">
        <v>21.655270257867944</v>
      </c>
      <c r="AS259">
        <v>100.64584033793525</v>
      </c>
      <c r="AT259">
        <v>16.835383444680826</v>
      </c>
      <c r="AU259">
        <v>28.217800120074539</v>
      </c>
      <c r="AV259"/>
      <c r="AW259"/>
      <c r="FY259" s="211">
        <v>254</v>
      </c>
      <c r="FZ259">
        <v>7.1425825629495616</v>
      </c>
      <c r="GA259">
        <v>19.356641887757419</v>
      </c>
      <c r="GB259">
        <v>22.776370944769546</v>
      </c>
      <c r="GC259">
        <v>15.019032339960566</v>
      </c>
      <c r="GD259">
        <v>11.37096434968354</v>
      </c>
      <c r="GE259">
        <v>18.980400468409346</v>
      </c>
      <c r="GF259">
        <v>22.900127304645636</v>
      </c>
      <c r="GG259">
        <v>14.183669372753776</v>
      </c>
      <c r="GH259">
        <v>4.2779525921792709</v>
      </c>
      <c r="GI259">
        <v>18.614811747674171</v>
      </c>
      <c r="GJ259"/>
      <c r="GK259"/>
      <c r="GL259"/>
      <c r="GM259"/>
    </row>
    <row r="260" spans="1:195" s="7" customFormat="1">
      <c r="A260" s="77" t="s">
        <v>61</v>
      </c>
      <c r="B260">
        <v>0.35146289169799605</v>
      </c>
      <c r="C260">
        <v>4</v>
      </c>
      <c r="D260">
        <v>39747</v>
      </c>
      <c r="E260">
        <v>0</v>
      </c>
      <c r="F260">
        <v>0</v>
      </c>
      <c r="G260">
        <v>62.859195402298845</v>
      </c>
      <c r="H260">
        <v>28.409090909090907</v>
      </c>
      <c r="I260">
        <v>119.67737722048066</v>
      </c>
      <c r="J260">
        <v>28.409090909090907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98.48998323231325</v>
      </c>
      <c r="AO260">
        <v>41.59417988506523</v>
      </c>
      <c r="AP260">
        <v>286.43660922763712</v>
      </c>
      <c r="AQ260">
        <v>235.81563855687915</v>
      </c>
      <c r="AR260">
        <v>37.762981202869362</v>
      </c>
      <c r="AS260">
        <v>173.90807398008576</v>
      </c>
      <c r="AT260">
        <v>28.792685558414231</v>
      </c>
      <c r="AU260">
        <v>55.551697782091324</v>
      </c>
      <c r="AV260"/>
      <c r="AW260"/>
      <c r="FY260" s="211">
        <v>255</v>
      </c>
      <c r="FZ260">
        <v>4.2248130330094584</v>
      </c>
      <c r="GA260">
        <v>10.890256618498459</v>
      </c>
      <c r="GB260">
        <v>16.802146878493211</v>
      </c>
      <c r="GC260">
        <v>15.047133848938106</v>
      </c>
      <c r="GD260">
        <v>11.273471673268983</v>
      </c>
      <c r="GE260">
        <v>18.507382347156778</v>
      </c>
      <c r="GF260">
        <v>27.063377452880584</v>
      </c>
      <c r="GG260">
        <v>20.399182751677774</v>
      </c>
      <c r="GH260">
        <v>12.099068770156824</v>
      </c>
      <c r="GI260">
        <v>18.700353744654691</v>
      </c>
      <c r="GJ260"/>
      <c r="GK260"/>
      <c r="GL260"/>
      <c r="GM260"/>
    </row>
    <row r="261" spans="1:195" s="7" customFormat="1">
      <c r="A261" s="77" t="s">
        <v>62</v>
      </c>
      <c r="B261">
        <v>0.77447567090166203</v>
      </c>
      <c r="C261">
        <v>3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95.505897744839956</v>
      </c>
      <c r="AO261">
        <v>35.95916391751571</v>
      </c>
      <c r="AP261">
        <v>261.69289003425052</v>
      </c>
      <c r="AQ261">
        <v>208.04072312967554</v>
      </c>
      <c r="AR261">
        <v>32.744396300376323</v>
      </c>
      <c r="AS261">
        <v>157.43888364453167</v>
      </c>
      <c r="AT261" t="e">
        <v>#DIV/0!</v>
      </c>
      <c r="AU261" t="e">
        <v>#DIV/0!</v>
      </c>
      <c r="AV261"/>
      <c r="AW261"/>
      <c r="FY261" s="211">
        <v>256</v>
      </c>
      <c r="FZ261">
        <v>4.8297234739180936</v>
      </c>
      <c r="GA261">
        <v>14.250454108380438</v>
      </c>
      <c r="GB261">
        <v>17.308734761407475</v>
      </c>
      <c r="GC261">
        <v>14.996323630335077</v>
      </c>
      <c r="GD261">
        <v>12.610784164422526</v>
      </c>
      <c r="GE261">
        <v>29.416276892207456</v>
      </c>
      <c r="GF261">
        <v>40.691841399480126</v>
      </c>
      <c r="GG261">
        <v>28.390316874236991</v>
      </c>
      <c r="GH261">
        <v>23.870954220213715</v>
      </c>
      <c r="GI261">
        <v>24.154529309938507</v>
      </c>
      <c r="GJ261"/>
      <c r="GK261"/>
      <c r="GL261"/>
      <c r="GM261"/>
    </row>
    <row r="262" spans="1:195" s="7" customFormat="1" ht="12.75" customHeight="1">
      <c r="A262" s="77"/>
      <c r="B262">
        <v>0.50922539951796519</v>
      </c>
      <c r="C262">
        <v>2</v>
      </c>
      <c r="D262">
        <v>39747</v>
      </c>
      <c r="E262">
        <v>0</v>
      </c>
      <c r="F262">
        <v>0</v>
      </c>
      <c r="G262">
        <v>182.29166666666666</v>
      </c>
      <c r="H262">
        <v>0</v>
      </c>
      <c r="I262">
        <v>390.625</v>
      </c>
      <c r="J262">
        <v>78.125</v>
      </c>
      <c r="K262">
        <v>0</v>
      </c>
      <c r="L262">
        <v>26.041666666666668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96.903178657602282</v>
      </c>
      <c r="AO262">
        <v>30.549168441281303</v>
      </c>
      <c r="AP262">
        <v>216.25808165698302</v>
      </c>
      <c r="AQ262">
        <v>175.91083217568905</v>
      </c>
      <c r="AR262">
        <v>28.256368416729991</v>
      </c>
      <c r="AS262">
        <v>143.14694557296281</v>
      </c>
      <c r="AT262">
        <v>20.194985937117412</v>
      </c>
      <c r="AU262">
        <v>25.824999666274465</v>
      </c>
      <c r="AV262"/>
      <c r="AW262"/>
      <c r="FY262" s="211">
        <v>257</v>
      </c>
      <c r="FZ262">
        <v>8.2156237084963681</v>
      </c>
      <c r="GA262">
        <v>23.104316120227754</v>
      </c>
      <c r="GB262">
        <v>41.196243106920171</v>
      </c>
      <c r="GC262">
        <v>25.359210780342465</v>
      </c>
      <c r="GD262">
        <v>13.419615839490671</v>
      </c>
      <c r="GE262">
        <v>28.4133450933247</v>
      </c>
      <c r="GF262">
        <v>34.645853938356915</v>
      </c>
      <c r="GG262">
        <v>30.566307994656363</v>
      </c>
      <c r="GH262">
        <v>24.024811917232409</v>
      </c>
      <c r="GI262">
        <v>30.063529105576666</v>
      </c>
      <c r="GJ262"/>
      <c r="GK262"/>
      <c r="GL262"/>
      <c r="GM262"/>
    </row>
    <row r="263" spans="1:195" s="7" customFormat="1">
      <c r="A263" s="77"/>
      <c r="B263">
        <v>0.85875480729114728</v>
      </c>
      <c r="C263">
        <v>9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10.416666666666666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76.38524987448929</v>
      </c>
      <c r="AO263">
        <v>30.569491492334429</v>
      </c>
      <c r="AP263">
        <v>195.32265422508635</v>
      </c>
      <c r="AQ263">
        <v>166.34166834072016</v>
      </c>
      <c r="AR263">
        <v>27.306086130529199</v>
      </c>
      <c r="AS263">
        <v>128.80566093524718</v>
      </c>
      <c r="AT263" t="e">
        <v>#DIV/0!</v>
      </c>
      <c r="AU263" t="e">
        <v>#DIV/0!</v>
      </c>
      <c r="AV263"/>
      <c r="AW263"/>
      <c r="FY263" s="211">
        <v>258</v>
      </c>
      <c r="FZ263">
        <v>7.5007885713110545</v>
      </c>
      <c r="GA263">
        <v>22.567836335909579</v>
      </c>
      <c r="GB263">
        <v>16.150451713632567</v>
      </c>
      <c r="GC263">
        <v>9.6235436826260141</v>
      </c>
      <c r="GD263">
        <v>7.947967952719269</v>
      </c>
      <c r="GE263">
        <v>13.055868684642315</v>
      </c>
      <c r="GF263">
        <v>19.112648741172684</v>
      </c>
      <c r="GG263">
        <v>14.385136525732953</v>
      </c>
      <c r="GH263">
        <v>6.1307533843532083</v>
      </c>
      <c r="GI263">
        <v>14.607497623886236</v>
      </c>
      <c r="GJ263"/>
      <c r="GK263"/>
      <c r="GL263"/>
      <c r="GM263"/>
    </row>
    <row r="264" spans="1:195" s="7" customFormat="1">
      <c r="A264" s="77"/>
      <c r="B264">
        <v>0.8268139365625391</v>
      </c>
      <c r="C264">
        <v>3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66.001367456669868</v>
      </c>
      <c r="AO264">
        <v>23.397331401723765</v>
      </c>
      <c r="AP264">
        <v>140.79178184766045</v>
      </c>
      <c r="AQ264">
        <v>126.27072250696494</v>
      </c>
      <c r="AR264">
        <v>21.003494121239605</v>
      </c>
      <c r="AS264">
        <v>104.39710154331829</v>
      </c>
      <c r="AT264" t="e">
        <v>#DIV/0!</v>
      </c>
      <c r="AU264" t="e">
        <v>#DIV/0!</v>
      </c>
      <c r="AV264"/>
      <c r="AW264"/>
      <c r="FY264" s="211">
        <v>259</v>
      </c>
      <c r="FZ264">
        <v>3.0787841995257916</v>
      </c>
      <c r="GA264">
        <v>8.2323550155520362</v>
      </c>
      <c r="GB264">
        <v>29.977157714384369</v>
      </c>
      <c r="GC264">
        <v>23.167180365330744</v>
      </c>
      <c r="GD264">
        <v>10.923173059526391</v>
      </c>
      <c r="GE264">
        <v>15.650473236497614</v>
      </c>
      <c r="GF264">
        <v>20.423859461166803</v>
      </c>
      <c r="GG264">
        <v>22.77613669023183</v>
      </c>
      <c r="GH264">
        <v>18.500297502348221</v>
      </c>
      <c r="GI264">
        <v>21.41862546707414</v>
      </c>
      <c r="GJ264"/>
      <c r="GK264"/>
      <c r="GL264"/>
      <c r="GM264"/>
    </row>
    <row r="265" spans="1:195" s="7" customFormat="1">
      <c r="A265" s="77"/>
      <c r="B265">
        <v>0.73992422565249605</v>
      </c>
      <c r="C265">
        <v>2</v>
      </c>
      <c r="D265">
        <v>39747</v>
      </c>
      <c r="E265">
        <v>0</v>
      </c>
      <c r="F265">
        <v>0</v>
      </c>
      <c r="G265">
        <v>182.29166666666666</v>
      </c>
      <c r="H265">
        <v>0</v>
      </c>
      <c r="I265">
        <v>390.625</v>
      </c>
      <c r="J265">
        <v>78.125</v>
      </c>
      <c r="K265">
        <v>0</v>
      </c>
      <c r="L265">
        <v>26.041666666666668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76.99872845170708</v>
      </c>
      <c r="AO265">
        <v>27.63998192622601</v>
      </c>
      <c r="AP265">
        <v>190.98364513966192</v>
      </c>
      <c r="AQ265">
        <v>161.02351775993199</v>
      </c>
      <c r="AR265">
        <v>25.213235860599173</v>
      </c>
      <c r="AS265">
        <v>128.12729324693586</v>
      </c>
      <c r="AT265" t="e">
        <v>#DIV/0!</v>
      </c>
      <c r="AU265" t="e">
        <v>#DIV/0!</v>
      </c>
      <c r="AV265"/>
      <c r="AW265"/>
      <c r="FY265" s="211">
        <v>260</v>
      </c>
      <c r="FZ265">
        <v>1.5170650673017749</v>
      </c>
      <c r="GA265">
        <v>18.249251697777751</v>
      </c>
      <c r="GB265">
        <v>19.403433076984911</v>
      </c>
      <c r="GC265">
        <v>8.8988063317771733</v>
      </c>
      <c r="GD265">
        <v>7.8640866853979592</v>
      </c>
      <c r="GE265">
        <v>22.373454647125744</v>
      </c>
      <c r="GF265">
        <v>31.935374096897615</v>
      </c>
      <c r="GG265">
        <v>18.240101195529331</v>
      </c>
      <c r="GH265">
        <v>8.6858778219925021</v>
      </c>
      <c r="GI265">
        <v>17.257795986601458</v>
      </c>
      <c r="GJ265"/>
      <c r="GK265"/>
      <c r="GL265"/>
      <c r="GM265"/>
    </row>
    <row r="266" spans="1:195" s="7" customFormat="1">
      <c r="A266" s="1"/>
      <c r="B266">
        <v>0.51765463165653092</v>
      </c>
      <c r="C266">
        <v>6</v>
      </c>
      <c r="D266">
        <v>39747</v>
      </c>
      <c r="E266">
        <v>0</v>
      </c>
      <c r="F266">
        <v>0</v>
      </c>
      <c r="G266">
        <v>0</v>
      </c>
      <c r="H266">
        <v>31.25</v>
      </c>
      <c r="I266">
        <v>72.916666666666671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90.580399635621731</v>
      </c>
      <c r="AO266">
        <v>36.384010102366183</v>
      </c>
      <c r="AP266">
        <v>255.22106333928258</v>
      </c>
      <c r="AQ266">
        <v>205.2209677936078</v>
      </c>
      <c r="AR266">
        <v>32.605451657408146</v>
      </c>
      <c r="AS266">
        <v>148.83948337291164</v>
      </c>
      <c r="AT266" t="e">
        <v>#DIV/0!</v>
      </c>
      <c r="AU266" t="e">
        <v>#DIV/0!</v>
      </c>
      <c r="AV266"/>
      <c r="AW266"/>
      <c r="FY266" s="211">
        <v>261</v>
      </c>
      <c r="FZ266">
        <v>3.8437180423529473</v>
      </c>
      <c r="GA266">
        <v>24.521146442899877</v>
      </c>
      <c r="GB266">
        <v>31.228037934228265</v>
      </c>
      <c r="GC266">
        <v>20.260246588234427</v>
      </c>
      <c r="GD266">
        <v>12.437147554025358</v>
      </c>
      <c r="GE266">
        <v>22.339525490720938</v>
      </c>
      <c r="GF266">
        <v>31.437100173832899</v>
      </c>
      <c r="GG266">
        <v>30.442251424822615</v>
      </c>
      <c r="GH266">
        <v>27.49887400586719</v>
      </c>
      <c r="GI266">
        <v>26.178217214407692</v>
      </c>
      <c r="GJ266"/>
      <c r="GK266"/>
      <c r="GL266"/>
      <c r="GM266"/>
    </row>
    <row r="267" spans="1:195" s="7" customFormat="1">
      <c r="A267" s="1"/>
      <c r="B267">
        <v>0.52379443973507467</v>
      </c>
      <c r="C267">
        <v>4</v>
      </c>
      <c r="D267">
        <v>39747</v>
      </c>
      <c r="E267">
        <v>0</v>
      </c>
      <c r="F267">
        <v>0</v>
      </c>
      <c r="G267">
        <v>62.859195402298845</v>
      </c>
      <c r="H267">
        <v>28.409090909090907</v>
      </c>
      <c r="I267">
        <v>119.67737722048066</v>
      </c>
      <c r="J267">
        <v>28.409090909090907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59.762592477713454</v>
      </c>
      <c r="AO267">
        <v>20.574072594123116</v>
      </c>
      <c r="AP267">
        <v>141.6524308392641</v>
      </c>
      <c r="AQ267">
        <v>116.70200644577645</v>
      </c>
      <c r="AR267">
        <v>19.153932958761303</v>
      </c>
      <c r="AS267">
        <v>94.171657639484764</v>
      </c>
      <c r="AT267">
        <v>13.618541467986729</v>
      </c>
      <c r="AU267">
        <v>12.539402994461316</v>
      </c>
      <c r="AV267"/>
      <c r="AW267"/>
      <c r="FY267" s="211">
        <v>262</v>
      </c>
      <c r="FZ267">
        <v>6.1034144060450455</v>
      </c>
      <c r="GA267">
        <v>21.606662228496525</v>
      </c>
      <c r="GB267">
        <v>19.720165892131806</v>
      </c>
      <c r="GC267">
        <v>15.225560631421537</v>
      </c>
      <c r="GD267">
        <v>12.864611095235304</v>
      </c>
      <c r="GE267">
        <v>20.772935355593287</v>
      </c>
      <c r="GF267">
        <v>22.950362453013227</v>
      </c>
      <c r="GG267">
        <v>23.571822328337557</v>
      </c>
      <c r="GH267">
        <v>20.053129960469235</v>
      </c>
      <c r="GI267">
        <v>21.156928339802402</v>
      </c>
      <c r="GJ267"/>
      <c r="GK267"/>
      <c r="GL267"/>
      <c r="GM267"/>
    </row>
    <row r="268" spans="1:195" s="7" customFormat="1">
      <c r="A268" s="1"/>
      <c r="B268">
        <v>0.24749655083584177</v>
      </c>
      <c r="C268">
        <v>2</v>
      </c>
      <c r="D268">
        <v>39775</v>
      </c>
      <c r="E268">
        <v>0</v>
      </c>
      <c r="F268">
        <v>0</v>
      </c>
      <c r="G268">
        <v>0</v>
      </c>
      <c r="H268">
        <v>0</v>
      </c>
      <c r="I268">
        <v>10.416666666666666</v>
      </c>
      <c r="J268">
        <v>20.833333333333332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57.845353758972692</v>
      </c>
      <c r="AO268">
        <v>21.915403135406439</v>
      </c>
      <c r="AP268">
        <v>137.97007429722515</v>
      </c>
      <c r="AQ268">
        <v>120.61974971603843</v>
      </c>
      <c r="AR268">
        <v>20.371593006003408</v>
      </c>
      <c r="AS268">
        <v>100.02432579943638</v>
      </c>
      <c r="AT268">
        <v>15.049526656364383</v>
      </c>
      <c r="AU268">
        <v>16.774329285783395</v>
      </c>
      <c r="AV268"/>
      <c r="AW268"/>
      <c r="FY268" s="211">
        <v>263</v>
      </c>
      <c r="FZ268">
        <v>6.4502347565129812</v>
      </c>
      <c r="GA268">
        <v>17.116501327208958</v>
      </c>
      <c r="GB268">
        <v>12.547305071841015</v>
      </c>
      <c r="GC268">
        <v>13.995764410201351</v>
      </c>
      <c r="GD268">
        <v>13.081560102865705</v>
      </c>
      <c r="GE268">
        <v>24.789506624004677</v>
      </c>
      <c r="GF268">
        <v>39.576116410778305</v>
      </c>
      <c r="GG268">
        <v>19.271590151390011</v>
      </c>
      <c r="GH268">
        <v>10.01732158929982</v>
      </c>
      <c r="GI268">
        <v>21.037719949447084</v>
      </c>
      <c r="GJ268"/>
      <c r="GK268"/>
      <c r="GL268"/>
      <c r="GM268"/>
    </row>
    <row r="269" spans="1:195" s="7" customFormat="1">
      <c r="A269" s="1"/>
      <c r="B269">
        <v>0.25877863698634584</v>
      </c>
      <c r="C269">
        <v>4</v>
      </c>
      <c r="D269">
        <v>39775</v>
      </c>
      <c r="E269">
        <v>0</v>
      </c>
      <c r="F269">
        <v>0</v>
      </c>
      <c r="G269">
        <v>10.416666666666666</v>
      </c>
      <c r="H269">
        <v>20.833333333333332</v>
      </c>
      <c r="I269">
        <v>10.416666666666666</v>
      </c>
      <c r="J269">
        <v>10.416666666666666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72.240078315519057</v>
      </c>
      <c r="AO269">
        <v>28.904092791059156</v>
      </c>
      <c r="AP269">
        <v>191.54860250191842</v>
      </c>
      <c r="AQ269">
        <v>166.51133764743369</v>
      </c>
      <c r="AR269">
        <v>26.168337778343854</v>
      </c>
      <c r="AS269">
        <v>127.04380999859879</v>
      </c>
      <c r="AT269">
        <v>20.395610461682931</v>
      </c>
      <c r="AU269">
        <v>43.045032837136333</v>
      </c>
      <c r="AV269"/>
      <c r="AW269"/>
      <c r="FY269" s="211">
        <v>264</v>
      </c>
      <c r="FZ269">
        <v>1.9257677810206837</v>
      </c>
      <c r="GA269">
        <v>7.2618840280675414</v>
      </c>
      <c r="GB269">
        <v>10.027467425500406</v>
      </c>
      <c r="GC269">
        <v>13.66043221752183</v>
      </c>
      <c r="GD269">
        <v>13.818035682009373</v>
      </c>
      <c r="GE269">
        <v>22.163572289386398</v>
      </c>
      <c r="GF269">
        <v>23.322670741673615</v>
      </c>
      <c r="GG269">
        <v>20.555279731431337</v>
      </c>
      <c r="GH269">
        <v>18.448006663408666</v>
      </c>
      <c r="GI269">
        <v>18.504131982288438</v>
      </c>
      <c r="GJ269"/>
      <c r="GK269"/>
      <c r="GL269"/>
      <c r="GM269"/>
    </row>
    <row r="270" spans="1:195" s="7" customFormat="1">
      <c r="A270" s="1"/>
      <c r="B270">
        <v>0.96819444923944364</v>
      </c>
      <c r="C270">
        <v>8</v>
      </c>
      <c r="D270">
        <v>39775</v>
      </c>
      <c r="E270">
        <v>0</v>
      </c>
      <c r="F270">
        <v>0</v>
      </c>
      <c r="G270">
        <v>52.083333333333336</v>
      </c>
      <c r="H270">
        <v>0</v>
      </c>
      <c r="I270">
        <v>69.444444444444443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84.079982460204548</v>
      </c>
      <c r="AO270">
        <v>27.989677964441768</v>
      </c>
      <c r="AP270">
        <v>180.95113480727443</v>
      </c>
      <c r="AQ270">
        <v>154.62255357078283</v>
      </c>
      <c r="AR270">
        <v>25.825252697528814</v>
      </c>
      <c r="AS270">
        <v>132.40092405607919</v>
      </c>
      <c r="AT270">
        <v>19.224881834459737</v>
      </c>
      <c r="AU270">
        <v>37.633304692032731</v>
      </c>
      <c r="AV270"/>
      <c r="AW270"/>
      <c r="FY270" s="211">
        <v>265</v>
      </c>
      <c r="FZ270">
        <v>2.5388944114890797</v>
      </c>
      <c r="GA270">
        <v>13.009940981848976</v>
      </c>
      <c r="GB270">
        <v>27.80467740851255</v>
      </c>
      <c r="GC270">
        <v>21.550401953045299</v>
      </c>
      <c r="GD270">
        <v>12.451112851565528</v>
      </c>
      <c r="GE270">
        <v>15.957027443349737</v>
      </c>
      <c r="GF270">
        <v>19.023054579786063</v>
      </c>
      <c r="GG270">
        <v>21.547031948282388</v>
      </c>
      <c r="GH270">
        <v>17.273518712568141</v>
      </c>
      <c r="GI270">
        <v>21.237077407505257</v>
      </c>
      <c r="GJ270"/>
      <c r="GK270"/>
      <c r="GL270"/>
      <c r="GM270"/>
    </row>
    <row r="271" spans="1:195" s="7" customFormat="1">
      <c r="A271" s="77"/>
      <c r="B271">
        <v>0.99473964383464031</v>
      </c>
      <c r="C271">
        <v>10</v>
      </c>
      <c r="D271">
        <v>39775</v>
      </c>
      <c r="E271">
        <v>0</v>
      </c>
      <c r="F271">
        <v>0</v>
      </c>
      <c r="G271">
        <v>10.416666666666666</v>
      </c>
      <c r="H271">
        <v>10.416666666666666</v>
      </c>
      <c r="I271">
        <v>52.083333333333336</v>
      </c>
      <c r="J271">
        <v>52.083333333333336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65.45362017824543</v>
      </c>
      <c r="AO271">
        <v>28.295974074911509</v>
      </c>
      <c r="AP271">
        <v>181.30311507031738</v>
      </c>
      <c r="AQ271">
        <v>155.00718711873486</v>
      </c>
      <c r="AR271">
        <v>25.792474405012356</v>
      </c>
      <c r="AS271">
        <v>126.9868164107319</v>
      </c>
      <c r="AT271" t="e">
        <v>#DIV/0!</v>
      </c>
      <c r="AU271" t="e">
        <v>#DIV/0!</v>
      </c>
      <c r="AV271"/>
      <c r="AW271"/>
      <c r="FY271" s="211">
        <v>266</v>
      </c>
      <c r="FZ271">
        <v>3.091586817878329</v>
      </c>
      <c r="GA271">
        <v>24.516183498511261</v>
      </c>
      <c r="GB271">
        <v>25.968456955850904</v>
      </c>
      <c r="GC271">
        <v>16.433204240404077</v>
      </c>
      <c r="GD271">
        <v>12.192283257084412</v>
      </c>
      <c r="GE271">
        <v>19.701395896517994</v>
      </c>
      <c r="GF271">
        <v>25.591365509404675</v>
      </c>
      <c r="GG271">
        <v>23.104414386135197</v>
      </c>
      <c r="GH271">
        <v>16.115483867990186</v>
      </c>
      <c r="GI271">
        <v>21.727068512943152</v>
      </c>
      <c r="GJ271"/>
      <c r="GK271"/>
      <c r="GL271"/>
      <c r="GM271"/>
    </row>
    <row r="272" spans="1:195" s="7" customFormat="1">
      <c r="A272" s="77"/>
      <c r="B272">
        <v>0.86174426568321838</v>
      </c>
      <c r="C272">
        <v>2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10.416666666666666</v>
      </c>
      <c r="J272">
        <v>20.833333333333332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85.337454402131783</v>
      </c>
      <c r="AO272">
        <v>36.56925050005551</v>
      </c>
      <c r="AP272">
        <v>247.90424012819568</v>
      </c>
      <c r="AQ272">
        <v>210.5199388345404</v>
      </c>
      <c r="AR272">
        <v>32.878003952272969</v>
      </c>
      <c r="AS272">
        <v>159.4608271740158</v>
      </c>
      <c r="AT272">
        <v>25.813484107648915</v>
      </c>
      <c r="AU272">
        <v>49.852853403299036</v>
      </c>
      <c r="AV272"/>
      <c r="AW272"/>
      <c r="FY272" s="211">
        <v>267</v>
      </c>
      <c r="FZ272">
        <v>3.8566927174338685</v>
      </c>
      <c r="GA272">
        <v>12.382843677060819</v>
      </c>
      <c r="GB272">
        <v>13.740953100846461</v>
      </c>
      <c r="GC272">
        <v>11.036742096383305</v>
      </c>
      <c r="GD272">
        <v>12.217507818728746</v>
      </c>
      <c r="GE272">
        <v>24.638988218190633</v>
      </c>
      <c r="GF272">
        <v>31.969266810259064</v>
      </c>
      <c r="GG272">
        <v>21.693042239438221</v>
      </c>
      <c r="GH272">
        <v>7.6966257224263925</v>
      </c>
      <c r="GI272">
        <v>18.648573617429889</v>
      </c>
      <c r="GJ272"/>
      <c r="GK272"/>
      <c r="GL272"/>
      <c r="GM272"/>
    </row>
    <row r="273" spans="1:195" s="7" customFormat="1">
      <c r="A273" s="1"/>
      <c r="B273">
        <v>0.50972201514297488</v>
      </c>
      <c r="C273">
        <v>8</v>
      </c>
      <c r="D273">
        <v>39775</v>
      </c>
      <c r="E273">
        <v>0</v>
      </c>
      <c r="F273">
        <v>0</v>
      </c>
      <c r="G273">
        <v>52.083333333333336</v>
      </c>
      <c r="H273">
        <v>0</v>
      </c>
      <c r="I273">
        <v>69.444444444444443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121.3957351078287</v>
      </c>
      <c r="AO273">
        <v>45.82662112393588</v>
      </c>
      <c r="AP273">
        <v>315.77318882513254</v>
      </c>
      <c r="AQ273">
        <v>259.0088576046245</v>
      </c>
      <c r="AR273">
        <v>41.700384956519827</v>
      </c>
      <c r="AS273">
        <v>208.44985605453962</v>
      </c>
      <c r="AT273">
        <v>30.681277016783188</v>
      </c>
      <c r="AU273">
        <v>60.373913739392336</v>
      </c>
      <c r="AV273"/>
      <c r="AW273"/>
      <c r="FY273" s="211">
        <v>268</v>
      </c>
      <c r="FZ273">
        <v>0.94401738662485513</v>
      </c>
      <c r="GA273">
        <v>8.2516891082418482</v>
      </c>
      <c r="GB273">
        <v>17.630388233611185</v>
      </c>
      <c r="GC273">
        <v>17.704596727801221</v>
      </c>
      <c r="GD273">
        <v>14.402472119517602</v>
      </c>
      <c r="GE273">
        <v>24.438318189135721</v>
      </c>
      <c r="GF273">
        <v>33.167417231048226</v>
      </c>
      <c r="GG273">
        <v>23.107862074067583</v>
      </c>
      <c r="GH273">
        <v>14.040081433595432</v>
      </c>
      <c r="GI273">
        <v>21.702619939593976</v>
      </c>
      <c r="GJ273"/>
      <c r="GK273"/>
      <c r="GL273"/>
      <c r="GM273"/>
    </row>
    <row r="274" spans="1:195" s="7" customFormat="1">
      <c r="A274" s="1"/>
      <c r="B274">
        <v>0.14191283492739171</v>
      </c>
      <c r="C274">
        <v>10</v>
      </c>
      <c r="D274">
        <v>39775</v>
      </c>
      <c r="E274">
        <v>0</v>
      </c>
      <c r="F274">
        <v>0</v>
      </c>
      <c r="G274">
        <v>10.416666666666666</v>
      </c>
      <c r="H274">
        <v>10.416666666666666</v>
      </c>
      <c r="I274">
        <v>52.083333333333336</v>
      </c>
      <c r="J274">
        <v>52.083333333333336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73.791811484175909</v>
      </c>
      <c r="AO274">
        <v>22.075286951797274</v>
      </c>
      <c r="AP274">
        <v>156.89127010633291</v>
      </c>
      <c r="AQ274">
        <v>131.08249321598586</v>
      </c>
      <c r="AR274">
        <v>20.312197734125423</v>
      </c>
      <c r="AS274">
        <v>110.63256626053561</v>
      </c>
      <c r="AT274">
        <v>15.006334752898146</v>
      </c>
      <c r="AU274">
        <v>30.331709414718421</v>
      </c>
      <c r="AV274"/>
      <c r="AW274"/>
      <c r="FY274" s="211">
        <v>269</v>
      </c>
      <c r="FZ274">
        <v>5.7446921415262482</v>
      </c>
      <c r="GA274">
        <v>19.565696472604962</v>
      </c>
      <c r="GB274">
        <v>17.218720919270126</v>
      </c>
      <c r="GC274">
        <v>10.969175177407719</v>
      </c>
      <c r="GD274">
        <v>11.454335136915287</v>
      </c>
      <c r="GE274">
        <v>21.564347283318494</v>
      </c>
      <c r="GF274">
        <v>28.02109579664862</v>
      </c>
      <c r="GG274">
        <v>29.9295120965288</v>
      </c>
      <c r="GH274">
        <v>22.11972028611892</v>
      </c>
      <c r="GI274">
        <v>20.86529362362084</v>
      </c>
      <c r="GJ274"/>
      <c r="GK274"/>
      <c r="GL274"/>
      <c r="GM274"/>
    </row>
    <row r="275" spans="1:195" s="7" customFormat="1">
      <c r="A275" s="1"/>
      <c r="B275">
        <v>0.62493704303174091</v>
      </c>
      <c r="C275">
        <v>9</v>
      </c>
      <c r="D275">
        <v>39775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78.417494780710143</v>
      </c>
      <c r="AO275">
        <v>32.793679247134421</v>
      </c>
      <c r="AP275">
        <v>211.05071349783418</v>
      </c>
      <c r="AQ275">
        <v>174.14804271163794</v>
      </c>
      <c r="AR275">
        <v>29.926173113440242</v>
      </c>
      <c r="AS275">
        <v>138.68459012824738</v>
      </c>
      <c r="AT275" t="e">
        <v>#DIV/0!</v>
      </c>
      <c r="AU275" t="e">
        <v>#DIV/0!</v>
      </c>
      <c r="AV275"/>
      <c r="AW275"/>
      <c r="FY275" s="211">
        <v>270</v>
      </c>
      <c r="FZ275">
        <v>3.2049323748928238</v>
      </c>
      <c r="GA275">
        <v>11.595506204717452</v>
      </c>
      <c r="GB275">
        <v>33.88434774525934</v>
      </c>
      <c r="GC275">
        <v>21.163995076046277</v>
      </c>
      <c r="GD275">
        <v>13.810654257738163</v>
      </c>
      <c r="GE275">
        <v>29.694155855422174</v>
      </c>
      <c r="GF275">
        <v>27.829897933863986</v>
      </c>
      <c r="GG275">
        <v>17.056926329367432</v>
      </c>
      <c r="GH275">
        <v>8.3989493678917473</v>
      </c>
      <c r="GI275">
        <v>23.905618706948587</v>
      </c>
      <c r="GJ275"/>
      <c r="GK275"/>
      <c r="GL275"/>
      <c r="GM275"/>
    </row>
    <row r="276" spans="1:195" s="7" customFormat="1">
      <c r="A276" s="1"/>
      <c r="B276">
        <v>0.77112426584874605</v>
      </c>
      <c r="C276">
        <v>9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67.697046408728085</v>
      </c>
      <c r="AO276">
        <v>26.147056039340704</v>
      </c>
      <c r="AP276">
        <v>188.03848054425984</v>
      </c>
      <c r="AQ276">
        <v>154.42524660738621</v>
      </c>
      <c r="AR276">
        <v>23.492924388782356</v>
      </c>
      <c r="AS276">
        <v>142.38729973480613</v>
      </c>
      <c r="AT276">
        <v>18.091439568090589</v>
      </c>
      <c r="AU276">
        <v>21.975748494017736</v>
      </c>
      <c r="AV276"/>
      <c r="AW276"/>
      <c r="FY276" s="211">
        <v>271</v>
      </c>
      <c r="FZ276">
        <v>2.4797843408440143</v>
      </c>
      <c r="GA276">
        <v>13.590048484557389</v>
      </c>
      <c r="GB276">
        <v>22.082532405294479</v>
      </c>
      <c r="GC276">
        <v>16.938815331911037</v>
      </c>
      <c r="GD276">
        <v>11.294860298691255</v>
      </c>
      <c r="GE276">
        <v>17.745679455503662</v>
      </c>
      <c r="GF276">
        <v>30.660445669749755</v>
      </c>
      <c r="GG276">
        <v>25.889840651192255</v>
      </c>
      <c r="GH276">
        <v>12.86559348275491</v>
      </c>
      <c r="GI276">
        <v>20.586250184346376</v>
      </c>
      <c r="GJ276"/>
      <c r="GK276"/>
      <c r="GL276"/>
      <c r="GM276"/>
    </row>
    <row r="277" spans="1:195" s="7" customFormat="1">
      <c r="A277" s="1"/>
      <c r="B277">
        <v>0.1899158048318792</v>
      </c>
      <c r="C277">
        <v>2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10.416666666666666</v>
      </c>
      <c r="J277">
        <v>20.833333333333332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106.58356091354278</v>
      </c>
      <c r="AO277">
        <v>39.682525903080304</v>
      </c>
      <c r="AP277">
        <v>280.84609558408931</v>
      </c>
      <c r="AQ277">
        <v>230.18626487139218</v>
      </c>
      <c r="AR277">
        <v>36.201712592980627</v>
      </c>
      <c r="AS277">
        <v>176.99045073594309</v>
      </c>
      <c r="AT277">
        <v>26.596972867524915</v>
      </c>
      <c r="AU277">
        <v>49.034195262240424</v>
      </c>
      <c r="AV277"/>
      <c r="AW277"/>
      <c r="FY277" s="211">
        <v>272</v>
      </c>
      <c r="FZ277">
        <v>3.1406665627767643</v>
      </c>
      <c r="GA277">
        <v>21.469320447179847</v>
      </c>
      <c r="GB277">
        <v>15.670720719309347</v>
      </c>
      <c r="GC277">
        <v>8.4634245369587227</v>
      </c>
      <c r="GD277">
        <v>9.5452843680247863</v>
      </c>
      <c r="GE277">
        <v>20.834209844298471</v>
      </c>
      <c r="GF277">
        <v>20.238670484764341</v>
      </c>
      <c r="GG277">
        <v>11.321714634282257</v>
      </c>
      <c r="GH277">
        <v>9.9768576789053096</v>
      </c>
      <c r="GI277">
        <v>15.531174099504902</v>
      </c>
      <c r="GJ277"/>
      <c r="GK277"/>
      <c r="GL277"/>
      <c r="GM277"/>
    </row>
    <row r="278" spans="1:195" s="7" customFormat="1">
      <c r="A278" s="1"/>
      <c r="B278">
        <v>0.48529505831454234</v>
      </c>
      <c r="C278">
        <v>4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151.5151515151515</v>
      </c>
      <c r="J278">
        <v>113.63636363636363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88.327384621071303</v>
      </c>
      <c r="AO278">
        <v>32.269636804444119</v>
      </c>
      <c r="AP278">
        <v>215.13151683896783</v>
      </c>
      <c r="AQ278">
        <v>184.02559269054592</v>
      </c>
      <c r="AR278">
        <v>29.337562544240026</v>
      </c>
      <c r="AS278">
        <v>140.67575936051088</v>
      </c>
      <c r="AT278" t="e">
        <v>#DIV/0!</v>
      </c>
      <c r="AU278" t="e">
        <v>#DIV/0!</v>
      </c>
      <c r="AV278"/>
      <c r="AW278"/>
      <c r="FY278" s="211">
        <v>273</v>
      </c>
      <c r="FZ278">
        <v>8.3789221076068934</v>
      </c>
      <c r="GA278">
        <v>18.191381099884129</v>
      </c>
      <c r="GB278">
        <v>18.276660346865604</v>
      </c>
      <c r="GC278">
        <v>13.087081431755175</v>
      </c>
      <c r="GD278">
        <v>10.191706851978477</v>
      </c>
      <c r="GE278">
        <v>21.257059680443898</v>
      </c>
      <c r="GF278">
        <v>34.130029883662637</v>
      </c>
      <c r="GG278">
        <v>31.642237637164712</v>
      </c>
      <c r="GH278">
        <v>20.053129960469231</v>
      </c>
      <c r="GI278">
        <v>21.611811051357488</v>
      </c>
      <c r="GJ278"/>
      <c r="GK278"/>
      <c r="GL278"/>
      <c r="GM278"/>
    </row>
    <row r="279" spans="1:195" s="7" customFormat="1">
      <c r="A279" s="1"/>
      <c r="B279">
        <v>0.11704649843629777</v>
      </c>
      <c r="C279">
        <v>4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151.5151515151515</v>
      </c>
      <c r="J279">
        <v>113.63636363636363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91.166638377429521</v>
      </c>
      <c r="AO279">
        <v>31.429286818132567</v>
      </c>
      <c r="AP279">
        <v>203.67900198883237</v>
      </c>
      <c r="AQ279">
        <v>177.8836203935499</v>
      </c>
      <c r="AR279">
        <v>28.58217718125708</v>
      </c>
      <c r="AS279">
        <v>149.64296679341476</v>
      </c>
      <c r="AT279">
        <v>21.745360895936894</v>
      </c>
      <c r="AU279">
        <v>32.190902740304331</v>
      </c>
      <c r="AV279"/>
      <c r="AW279"/>
      <c r="FY279" s="211">
        <v>274</v>
      </c>
      <c r="FZ279">
        <v>0.73753851118074198</v>
      </c>
      <c r="GA279">
        <v>7.5546986551367077</v>
      </c>
      <c r="GB279">
        <v>14.308984561576402</v>
      </c>
      <c r="GC279">
        <v>15.352314965777051</v>
      </c>
      <c r="GD279">
        <v>12.563443188447049</v>
      </c>
      <c r="GE279">
        <v>17.068540492732755</v>
      </c>
      <c r="GF279">
        <v>15.719507092899198</v>
      </c>
      <c r="GG279">
        <v>15.5457455755592</v>
      </c>
      <c r="GH279">
        <v>14.072904346472445</v>
      </c>
      <c r="GI279">
        <v>16.425199701656332</v>
      </c>
      <c r="GJ279"/>
      <c r="GK279"/>
      <c r="GL279"/>
      <c r="GM279"/>
    </row>
    <row r="280" spans="1:195" s="7" customFormat="1">
      <c r="A280" s="1"/>
      <c r="B280">
        <v>0.46325455997862153</v>
      </c>
      <c r="C280">
        <v>10</v>
      </c>
      <c r="D280">
        <v>39799</v>
      </c>
      <c r="E280">
        <v>0</v>
      </c>
      <c r="F280">
        <v>0</v>
      </c>
      <c r="G280">
        <v>31.25</v>
      </c>
      <c r="H280">
        <v>0</v>
      </c>
      <c r="I280">
        <v>0</v>
      </c>
      <c r="J280">
        <v>10.416666666666666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65.744358018153179</v>
      </c>
      <c r="AO280">
        <v>28.139859391907777</v>
      </c>
      <c r="AP280">
        <v>166.12433432364793</v>
      </c>
      <c r="AQ280">
        <v>149.68724854230831</v>
      </c>
      <c r="AR280">
        <v>25.500458684599437</v>
      </c>
      <c r="AS280">
        <v>126.25640896650424</v>
      </c>
      <c r="AT280">
        <v>19.121436627191319</v>
      </c>
      <c r="AU280">
        <v>28.954840726170914</v>
      </c>
      <c r="AV280"/>
      <c r="AW280"/>
      <c r="FY280" s="211">
        <v>275</v>
      </c>
      <c r="FZ280">
        <v>3.0672526780864269</v>
      </c>
      <c r="GA280">
        <v>16.053068594302943</v>
      </c>
      <c r="GB280">
        <v>22.667605638441277</v>
      </c>
      <c r="GC280">
        <v>17.802272375685934</v>
      </c>
      <c r="GD280">
        <v>10.388201759211874</v>
      </c>
      <c r="GE280">
        <v>18.447733621016585</v>
      </c>
      <c r="GF280">
        <v>35.16697906279142</v>
      </c>
      <c r="GG280">
        <v>27.179858672541041</v>
      </c>
      <c r="GH280">
        <v>17.273518712568141</v>
      </c>
      <c r="GI280">
        <v>21.823602135150917</v>
      </c>
      <c r="GJ280"/>
      <c r="GK280"/>
      <c r="GL280"/>
      <c r="GM280"/>
    </row>
    <row r="281" spans="1:195" s="7" customFormat="1">
      <c r="A281" s="1"/>
      <c r="B281">
        <v>0.9725833340728729</v>
      </c>
      <c r="C281">
        <v>8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20.833333333333332</v>
      </c>
      <c r="J281">
        <v>72.916666666666671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78.097735309207408</v>
      </c>
      <c r="AO281">
        <v>32.355833087354277</v>
      </c>
      <c r="AP281">
        <v>205.68990300532403</v>
      </c>
      <c r="AQ281">
        <v>172.39273769795304</v>
      </c>
      <c r="AR281">
        <v>29.680188871704537</v>
      </c>
      <c r="AS281">
        <v>136.96879517855683</v>
      </c>
      <c r="AT281" t="e">
        <v>#DIV/0!</v>
      </c>
      <c r="AU281" t="e">
        <v>#DIV/0!</v>
      </c>
      <c r="AV281"/>
      <c r="AW281"/>
      <c r="FY281" s="211">
        <v>276</v>
      </c>
      <c r="FZ281">
        <v>1.7976461403219171</v>
      </c>
      <c r="GA281">
        <v>12.647552677471268</v>
      </c>
      <c r="GB281">
        <v>32.652878566932031</v>
      </c>
      <c r="GC281">
        <v>22.379222715610751</v>
      </c>
      <c r="GD281">
        <v>10.618328998217724</v>
      </c>
      <c r="GE281">
        <v>19.277431157874499</v>
      </c>
      <c r="GF281">
        <v>28.661635745861656</v>
      </c>
      <c r="GG281">
        <v>22.226058221787991</v>
      </c>
      <c r="GH281">
        <v>17.551509313176616</v>
      </c>
      <c r="GI281">
        <v>23.094254050086288</v>
      </c>
      <c r="GJ281"/>
      <c r="GK281"/>
      <c r="GL281"/>
      <c r="GM281"/>
    </row>
    <row r="282" spans="1:195" s="7" customFormat="1">
      <c r="A282" s="1"/>
      <c r="B282">
        <v>0.2487807185502815</v>
      </c>
      <c r="C282">
        <v>2</v>
      </c>
      <c r="D282">
        <v>39799</v>
      </c>
      <c r="E282">
        <v>0</v>
      </c>
      <c r="F282">
        <v>0</v>
      </c>
      <c r="G282">
        <v>0</v>
      </c>
      <c r="H282">
        <v>10.416666666666666</v>
      </c>
      <c r="I282">
        <v>62.5</v>
      </c>
      <c r="J282">
        <v>20.833333333333332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87.341193413603008</v>
      </c>
      <c r="AO282">
        <v>33.01593489143923</v>
      </c>
      <c r="AP282">
        <v>225.66525977671614</v>
      </c>
      <c r="AQ282">
        <v>188.44144294272019</v>
      </c>
      <c r="AR282">
        <v>30.136474709646279</v>
      </c>
      <c r="AS282">
        <v>183.21956588923814</v>
      </c>
      <c r="AT282">
        <v>22.498512661752429</v>
      </c>
      <c r="AU282">
        <v>34.950436832632242</v>
      </c>
      <c r="AV282"/>
      <c r="AW282"/>
      <c r="FY282" s="211">
        <v>277</v>
      </c>
      <c r="FZ282">
        <v>3.8784586240487808</v>
      </c>
      <c r="GA282">
        <v>10.688150695517031</v>
      </c>
      <c r="GB282">
        <v>19.219458456172312</v>
      </c>
      <c r="GC282">
        <v>16.265108441366799</v>
      </c>
      <c r="GD282">
        <v>9.5102356237557206</v>
      </c>
      <c r="GE282">
        <v>12.40599482274027</v>
      </c>
      <c r="GF282">
        <v>30.941083273705111</v>
      </c>
      <c r="GG282">
        <v>35.430280488806616</v>
      </c>
      <c r="GH282">
        <v>22.600381593376859</v>
      </c>
      <c r="GI282">
        <v>20.561036712573873</v>
      </c>
      <c r="GJ282"/>
      <c r="GK282"/>
      <c r="GL282"/>
      <c r="GM282"/>
    </row>
    <row r="283" spans="1:195" s="7" customFormat="1">
      <c r="A283" s="1"/>
      <c r="B283">
        <v>0.31612856207967877</v>
      </c>
      <c r="C283">
        <v>4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151.5151515151515</v>
      </c>
      <c r="J283">
        <v>113.63636363636363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77.574258069991473</v>
      </c>
      <c r="AO283">
        <v>28.442996448906335</v>
      </c>
      <c r="AP283">
        <v>180.50471151021284</v>
      </c>
      <c r="AQ283">
        <v>157.88123601819743</v>
      </c>
      <c r="AR283">
        <v>25.664684213188416</v>
      </c>
      <c r="AS283">
        <v>133.12736766088986</v>
      </c>
      <c r="AT283" t="e">
        <v>#DIV/0!</v>
      </c>
      <c r="AU283" t="e">
        <v>#DIV/0!</v>
      </c>
      <c r="AV283"/>
      <c r="AW283"/>
      <c r="FY283" s="211">
        <v>278</v>
      </c>
      <c r="FZ283">
        <v>7.0657342659501987</v>
      </c>
      <c r="GA283">
        <v>19.344486412592616</v>
      </c>
      <c r="GB283">
        <v>12.635584623617181</v>
      </c>
      <c r="GC283">
        <v>10.418443079982213</v>
      </c>
      <c r="GD283">
        <v>13.301745335063455</v>
      </c>
      <c r="GE283">
        <v>32.578629265671381</v>
      </c>
      <c r="GF283">
        <v>32.460851670448633</v>
      </c>
      <c r="GG283">
        <v>21.488401473626109</v>
      </c>
      <c r="GH283">
        <v>22.575431485231515</v>
      </c>
      <c r="GI283">
        <v>21.982179472374025</v>
      </c>
      <c r="GJ283"/>
      <c r="GK283"/>
      <c r="GL283"/>
      <c r="GM283"/>
    </row>
    <row r="284" spans="1:195" s="7" customFormat="1">
      <c r="A284" s="1"/>
      <c r="B284">
        <v>2.4207125723139988E-2</v>
      </c>
      <c r="C284">
        <v>5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76.52190410586995</v>
      </c>
      <c r="AO284">
        <v>32.961526315862145</v>
      </c>
      <c r="AP284">
        <v>200.63907273188605</v>
      </c>
      <c r="AQ284">
        <v>175.38946244323765</v>
      </c>
      <c r="AR284">
        <v>29.821294135955139</v>
      </c>
      <c r="AS284">
        <v>140.0959270752885</v>
      </c>
      <c r="AT284">
        <v>22.965013269525411</v>
      </c>
      <c r="AU284">
        <v>41.931388807529714</v>
      </c>
      <c r="AV284"/>
      <c r="AW284"/>
      <c r="FY284" s="211">
        <v>279</v>
      </c>
      <c r="FZ284">
        <v>1.3001026521872912</v>
      </c>
      <c r="GA284">
        <v>13.927039902838413</v>
      </c>
      <c r="GB284">
        <v>20.680309066961058</v>
      </c>
      <c r="GC284">
        <v>14.46576005485252</v>
      </c>
      <c r="GD284">
        <v>12.659517180112566</v>
      </c>
      <c r="GE284">
        <v>22.800892293902667</v>
      </c>
      <c r="GF284">
        <v>18.786313261056417</v>
      </c>
      <c r="GG284">
        <v>13.86713602361108</v>
      </c>
      <c r="GH284">
        <v>14.516788617039994</v>
      </c>
      <c r="GI284">
        <v>18.870527138122021</v>
      </c>
      <c r="GJ284"/>
      <c r="GK284"/>
      <c r="GL284"/>
      <c r="GM284"/>
    </row>
    <row r="285" spans="1:195" s="7" customFormat="1">
      <c r="A285" s="1"/>
      <c r="B285">
        <v>0.91188913966027219</v>
      </c>
      <c r="C285">
        <v>10</v>
      </c>
      <c r="D285">
        <v>39799</v>
      </c>
      <c r="E285">
        <v>0</v>
      </c>
      <c r="F285">
        <v>0</v>
      </c>
      <c r="G285">
        <v>31.25</v>
      </c>
      <c r="H285">
        <v>0</v>
      </c>
      <c r="I285">
        <v>0</v>
      </c>
      <c r="J285">
        <v>10.416666666666666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89.279385700822644</v>
      </c>
      <c r="AO285">
        <v>31.450465732869667</v>
      </c>
      <c r="AP285">
        <v>221.61164935067379</v>
      </c>
      <c r="AQ285">
        <v>187.45258893396002</v>
      </c>
      <c r="AR285">
        <v>28.964263581703634</v>
      </c>
      <c r="AS285">
        <v>142.70374569440594</v>
      </c>
      <c r="AT285">
        <v>21.921313643433649</v>
      </c>
      <c r="AU285">
        <v>38.921073430109288</v>
      </c>
      <c r="AV285"/>
      <c r="AW285"/>
      <c r="FY285" s="211">
        <v>280</v>
      </c>
      <c r="FZ285">
        <v>2.7265255364699983</v>
      </c>
      <c r="GA285">
        <v>12.122589044775424</v>
      </c>
      <c r="GB285">
        <v>19.189611589474293</v>
      </c>
      <c r="GC285">
        <v>13.431009070707933</v>
      </c>
      <c r="GD285">
        <v>10.406595373876943</v>
      </c>
      <c r="GE285">
        <v>19.19369567348091</v>
      </c>
      <c r="GF285">
        <v>20.969552506879136</v>
      </c>
      <c r="GG285">
        <v>20.068454442997776</v>
      </c>
      <c r="GH285">
        <v>16.780441722509138</v>
      </c>
      <c r="GI285">
        <v>18.173291151864216</v>
      </c>
      <c r="GJ285"/>
      <c r="GK285"/>
      <c r="GL285"/>
      <c r="GM285"/>
    </row>
    <row r="286" spans="1:195" s="7" customFormat="1">
      <c r="A286" s="1"/>
      <c r="B286">
        <v>0.60178375988333266</v>
      </c>
      <c r="C286">
        <v>10</v>
      </c>
      <c r="D286">
        <v>39799</v>
      </c>
      <c r="E286">
        <v>0</v>
      </c>
      <c r="F286">
        <v>0</v>
      </c>
      <c r="G286">
        <v>31.25</v>
      </c>
      <c r="H286">
        <v>0</v>
      </c>
      <c r="I286">
        <v>0</v>
      </c>
      <c r="J286">
        <v>10.416666666666666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96.062877578811523</v>
      </c>
      <c r="AO286">
        <v>36.470541334169312</v>
      </c>
      <c r="AP286">
        <v>223.56510973661972</v>
      </c>
      <c r="AQ286">
        <v>190.54498385214799</v>
      </c>
      <c r="AR286">
        <v>33.078538136128167</v>
      </c>
      <c r="AS286">
        <v>158.87103990805949</v>
      </c>
      <c r="AT286" t="e">
        <v>#DIV/0!</v>
      </c>
      <c r="AU286" t="e">
        <v>#DIV/0!</v>
      </c>
      <c r="AV286"/>
      <c r="AW286"/>
      <c r="FY286" s="211">
        <v>281</v>
      </c>
      <c r="FZ286">
        <v>4.63135525917553</v>
      </c>
      <c r="GA286">
        <v>18.021425012482705</v>
      </c>
      <c r="GB286">
        <v>17.64304510215122</v>
      </c>
      <c r="GC286">
        <v>12.198865909967573</v>
      </c>
      <c r="GD286">
        <v>10.150033632954818</v>
      </c>
      <c r="GE286">
        <v>17.089809689835956</v>
      </c>
      <c r="GF286">
        <v>22.444286974454567</v>
      </c>
      <c r="GG286">
        <v>29.629447084875068</v>
      </c>
      <c r="GH286">
        <v>29.816471753292518</v>
      </c>
      <c r="GI286">
        <v>20.22412079227146</v>
      </c>
      <c r="GJ286"/>
      <c r="GK286"/>
      <c r="GL286"/>
      <c r="GM286"/>
    </row>
    <row r="287" spans="1:195" s="7" customFormat="1">
      <c r="A287" s="1"/>
      <c r="B287">
        <v>0.1724148756608086</v>
      </c>
      <c r="C287">
        <v>8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20.833333333333332</v>
      </c>
      <c r="J287">
        <v>72.916666666666671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72.306528586487886</v>
      </c>
      <c r="AO287">
        <v>31.385988735872576</v>
      </c>
      <c r="AP287">
        <v>209.54650522175166</v>
      </c>
      <c r="AQ287">
        <v>174.13385030484514</v>
      </c>
      <c r="AR287">
        <v>28.584842150705231</v>
      </c>
      <c r="AS287">
        <v>132.28263740645946</v>
      </c>
      <c r="AT287" t="e">
        <v>#DIV/0!</v>
      </c>
      <c r="AU287" t="e">
        <v>#DIV/0!</v>
      </c>
      <c r="AV287"/>
      <c r="AW287"/>
      <c r="FY287" s="211">
        <v>282</v>
      </c>
      <c r="FZ287">
        <v>4.2330717149440726</v>
      </c>
      <c r="GA287">
        <v>9.5175048936279474</v>
      </c>
      <c r="GB287">
        <v>26.999539010927148</v>
      </c>
      <c r="GC287">
        <v>23.470572704521807</v>
      </c>
      <c r="GD287">
        <v>15.569876893783892</v>
      </c>
      <c r="GE287">
        <v>19.873030627295922</v>
      </c>
      <c r="GF287">
        <v>29.123291440065454</v>
      </c>
      <c r="GG287">
        <v>27.609694486561448</v>
      </c>
      <c r="GH287">
        <v>13.584370234482837</v>
      </c>
      <c r="GI287">
        <v>24.442046703665433</v>
      </c>
      <c r="GJ287"/>
      <c r="GK287"/>
      <c r="GL287"/>
      <c r="GM287"/>
    </row>
    <row r="288" spans="1:195" s="7" customFormat="1">
      <c r="A288" s="1"/>
      <c r="B288">
        <v>0.16785410917073351</v>
      </c>
      <c r="C288">
        <v>9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31.25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67.954539015264103</v>
      </c>
      <c r="AO288">
        <v>23.460609881129134</v>
      </c>
      <c r="AP288">
        <v>157.99733082862349</v>
      </c>
      <c r="AQ288">
        <v>136.19204337600476</v>
      </c>
      <c r="AR288">
        <v>21.165079591893424</v>
      </c>
      <c r="AS288">
        <v>104.82963098487164</v>
      </c>
      <c r="AT288">
        <v>16.212961064088425</v>
      </c>
      <c r="AU288">
        <v>37.973436975640332</v>
      </c>
      <c r="AV288"/>
      <c r="AW288"/>
      <c r="FY288" s="211">
        <v>283</v>
      </c>
      <c r="FZ288">
        <v>2.6800750484746749</v>
      </c>
      <c r="GA288">
        <v>5.4122892739347792</v>
      </c>
      <c r="GB288">
        <v>8.0059592383644507</v>
      </c>
      <c r="GC288">
        <v>7.9879978937348159</v>
      </c>
      <c r="GD288">
        <v>6.7565375739945379</v>
      </c>
      <c r="GE288">
        <v>15.945163003991857</v>
      </c>
      <c r="GF288">
        <v>22.02834919360842</v>
      </c>
      <c r="GG288">
        <v>9.9757316931499425</v>
      </c>
      <c r="GH288">
        <v>4.0881738628354638</v>
      </c>
      <c r="GI288">
        <v>11.317588130100699</v>
      </c>
      <c r="GJ288"/>
      <c r="GK288"/>
      <c r="GL288"/>
      <c r="GM288"/>
    </row>
    <row r="289" spans="1:195" s="7" customFormat="1">
      <c r="A289" s="1"/>
      <c r="B289">
        <v>0.31829965540111083</v>
      </c>
      <c r="C289">
        <v>9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31.25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90.616146187222682</v>
      </c>
      <c r="AO289">
        <v>32.944647277401103</v>
      </c>
      <c r="AP289">
        <v>236.26178508779492</v>
      </c>
      <c r="AQ289">
        <v>196.82002005118821</v>
      </c>
      <c r="AR289">
        <v>29.857228332864665</v>
      </c>
      <c r="AS289">
        <v>145.76822195806832</v>
      </c>
      <c r="AT289" t="e">
        <v>#DIV/0!</v>
      </c>
      <c r="AU289" t="e">
        <v>#DIV/0!</v>
      </c>
      <c r="AV289"/>
      <c r="AW289"/>
      <c r="FY289" s="211">
        <v>284</v>
      </c>
      <c r="FZ289">
        <v>6.0284115041673418</v>
      </c>
      <c r="GA289">
        <v>15.687810492694183</v>
      </c>
      <c r="GB289">
        <v>23.012242979860954</v>
      </c>
      <c r="GC289">
        <v>17.318521627235484</v>
      </c>
      <c r="GD289">
        <v>12.739269267823074</v>
      </c>
      <c r="GE289">
        <v>20.212975007000754</v>
      </c>
      <c r="GF289">
        <v>25.37341413340403</v>
      </c>
      <c r="GG289">
        <v>29.059856925529253</v>
      </c>
      <c r="GH289">
        <v>20.295199528752594</v>
      </c>
      <c r="GI289">
        <v>22.365846762743786</v>
      </c>
      <c r="GJ289"/>
      <c r="GK289"/>
      <c r="GL289"/>
      <c r="GM289"/>
    </row>
    <row r="290" spans="1:195" s="7" customFormat="1">
      <c r="A290" s="1"/>
      <c r="B290">
        <v>0.48282643366530476</v>
      </c>
      <c r="C290">
        <v>7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20.833333333333332</v>
      </c>
      <c r="J290">
        <v>20.833333333333332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61.509789501307786</v>
      </c>
      <c r="AO290">
        <v>25.011230914431028</v>
      </c>
      <c r="AP290">
        <v>143.28199044324072</v>
      </c>
      <c r="AQ290">
        <v>129.34887709143786</v>
      </c>
      <c r="AR290">
        <v>22.709989773614318</v>
      </c>
      <c r="AS290">
        <v>102.41741459489471</v>
      </c>
      <c r="AT290" t="e">
        <v>#DIV/0!</v>
      </c>
      <c r="AU290" t="e">
        <v>#DIV/0!</v>
      </c>
      <c r="AV290"/>
      <c r="AW290"/>
      <c r="FY290" s="211">
        <v>285</v>
      </c>
      <c r="FZ290">
        <v>5.8869052048543011</v>
      </c>
      <c r="GA290">
        <v>23.536357697266148</v>
      </c>
      <c r="GB290">
        <v>17.332349973919506</v>
      </c>
      <c r="GC290">
        <v>7.160260106343534</v>
      </c>
      <c r="GD290">
        <v>10.509434291041231</v>
      </c>
      <c r="GE290">
        <v>33.471885785558392</v>
      </c>
      <c r="GF290">
        <v>43.958808162927397</v>
      </c>
      <c r="GG290">
        <v>22.172751379389393</v>
      </c>
      <c r="GH290">
        <v>9.2103329663072255</v>
      </c>
      <c r="GI290">
        <v>21.357908745568714</v>
      </c>
      <c r="GJ290"/>
      <c r="GK290"/>
      <c r="GL290"/>
      <c r="GM290"/>
    </row>
    <row r="291" spans="1:195" s="7" customFormat="1">
      <c r="A291" s="1"/>
      <c r="B291">
        <v>0.92962892483259907</v>
      </c>
      <c r="C291">
        <v>6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20.833333333333332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76.640492105412505</v>
      </c>
      <c r="AO291">
        <v>33.238223215466277</v>
      </c>
      <c r="AP291">
        <v>231.11048080298363</v>
      </c>
      <c r="AQ291">
        <v>189.87009324979653</v>
      </c>
      <c r="AR291">
        <v>29.967640742017746</v>
      </c>
      <c r="AS291">
        <v>140.79178919036892</v>
      </c>
      <c r="AT291" t="e">
        <v>#DIV/0!</v>
      </c>
      <c r="AU291" t="e">
        <v>#DIV/0!</v>
      </c>
      <c r="AV291"/>
      <c r="AW291"/>
      <c r="FY291" s="211">
        <v>286</v>
      </c>
      <c r="FZ291">
        <v>2.4989613252434149</v>
      </c>
      <c r="GA291">
        <v>21.179011116898018</v>
      </c>
      <c r="GB291">
        <v>22.028680145499113</v>
      </c>
      <c r="GC291">
        <v>13.806351714652214</v>
      </c>
      <c r="GD291">
        <v>9.9271487889161225</v>
      </c>
      <c r="GE291">
        <v>18.222177710464408</v>
      </c>
      <c r="GF291">
        <v>24.852700045128785</v>
      </c>
      <c r="GG291">
        <v>23.936118696746302</v>
      </c>
      <c r="GH291">
        <v>20.174164744610916</v>
      </c>
      <c r="GI291">
        <v>19.757231729928733</v>
      </c>
      <c r="GJ291"/>
      <c r="GK291"/>
      <c r="GL291"/>
      <c r="GM291"/>
    </row>
    <row r="292" spans="1:195" s="7" customFormat="1">
      <c r="A292" s="1"/>
      <c r="B292">
        <v>0.48062520951607635</v>
      </c>
      <c r="C292">
        <v>5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93.75</v>
      </c>
      <c r="J292">
        <v>31.25</v>
      </c>
      <c r="K292">
        <v>10.416666666666666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84.840419165395502</v>
      </c>
      <c r="AO292">
        <v>34.924499070143113</v>
      </c>
      <c r="AP292">
        <v>234.78734491793011</v>
      </c>
      <c r="AQ292">
        <v>190.90651758734072</v>
      </c>
      <c r="AR292">
        <v>31.938997905814155</v>
      </c>
      <c r="AS292">
        <v>149.89317852416949</v>
      </c>
      <c r="AT292">
        <v>23.60157027678267</v>
      </c>
      <c r="AU292">
        <v>35.453207762336319</v>
      </c>
      <c r="AV292"/>
      <c r="AW292"/>
      <c r="FY292" s="211">
        <v>287</v>
      </c>
      <c r="FZ292">
        <v>3.777079351268068</v>
      </c>
      <c r="GA292">
        <v>11.780403732616392</v>
      </c>
      <c r="GB292">
        <v>16.77615889850258</v>
      </c>
      <c r="GC292">
        <v>12.633405248822859</v>
      </c>
      <c r="GD292">
        <v>10.27421248425369</v>
      </c>
      <c r="GE292">
        <v>21.801176553480115</v>
      </c>
      <c r="GF292">
        <v>33.912375676829839</v>
      </c>
      <c r="GG292">
        <v>20.606821380133955</v>
      </c>
      <c r="GH292">
        <v>9.2343437704391658</v>
      </c>
      <c r="GI292">
        <v>18.825626951844363</v>
      </c>
      <c r="GJ292"/>
      <c r="GK292"/>
      <c r="GL292"/>
      <c r="GM292"/>
    </row>
    <row r="293" spans="1:195" s="7" customFormat="1">
      <c r="A293" s="1"/>
      <c r="B293">
        <v>0.68483587840728455</v>
      </c>
      <c r="C293">
        <v>5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93.75</v>
      </c>
      <c r="J293">
        <v>31.25</v>
      </c>
      <c r="K293">
        <v>10.416666666666666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79.096764478337761</v>
      </c>
      <c r="AO293">
        <v>31.167365102233003</v>
      </c>
      <c r="AP293">
        <v>222.57312286197077</v>
      </c>
      <c r="AQ293">
        <v>181.50018873206338</v>
      </c>
      <c r="AR293">
        <v>28.720747862511178</v>
      </c>
      <c r="AS293">
        <v>143.26591815099729</v>
      </c>
      <c r="AT293">
        <v>20.969494859122896</v>
      </c>
      <c r="AU293">
        <v>15.377032444046513</v>
      </c>
      <c r="AV293"/>
      <c r="AW293"/>
      <c r="FY293" s="211">
        <v>288</v>
      </c>
      <c r="FZ293">
        <v>4.1689517663738238</v>
      </c>
      <c r="GA293">
        <v>17.168933581697495</v>
      </c>
      <c r="GB293">
        <v>15.617609750803666</v>
      </c>
      <c r="GC293">
        <v>11.815165622031813</v>
      </c>
      <c r="GD293">
        <v>10.302847744342088</v>
      </c>
      <c r="GE293">
        <v>22.677054769249839</v>
      </c>
      <c r="GF293">
        <v>31.725439797630873</v>
      </c>
      <c r="GG293">
        <v>24.264052123721459</v>
      </c>
      <c r="GH293">
        <v>20.562344949928505</v>
      </c>
      <c r="GI293">
        <v>19.978308522362063</v>
      </c>
      <c r="GJ293"/>
      <c r="GK293"/>
      <c r="GL293"/>
      <c r="GM293"/>
    </row>
    <row r="294" spans="1:195" s="7" customFormat="1">
      <c r="A294" s="1"/>
      <c r="B294">
        <v>0.13494603417048578</v>
      </c>
      <c r="C294">
        <v>10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31.25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84.690231248186279</v>
      </c>
      <c r="AO294">
        <v>33.374431566832818</v>
      </c>
      <c r="AP294">
        <v>220.47788508454545</v>
      </c>
      <c r="AQ294">
        <v>193.85148708455731</v>
      </c>
      <c r="AR294">
        <v>29.81825701723632</v>
      </c>
      <c r="AS294">
        <v>142.62088426014705</v>
      </c>
      <c r="AT294">
        <v>23.370793811027408</v>
      </c>
      <c r="AU294">
        <v>59.579665591393201</v>
      </c>
      <c r="AV294"/>
      <c r="AW294"/>
      <c r="FY294" s="211">
        <v>289</v>
      </c>
      <c r="FZ294">
        <v>8.183154128741851</v>
      </c>
      <c r="GA294">
        <v>17.570020914495899</v>
      </c>
      <c r="GB294">
        <v>9.0337157532320926</v>
      </c>
      <c r="GC294">
        <v>7.8610218905429203</v>
      </c>
      <c r="GD294">
        <v>8.9163549003967386</v>
      </c>
      <c r="GE294">
        <v>17.857783015191469</v>
      </c>
      <c r="GF294">
        <v>18.867425150999861</v>
      </c>
      <c r="GG294">
        <v>5.2824907625076998</v>
      </c>
      <c r="GH294">
        <v>2.062047447580289</v>
      </c>
      <c r="GI294">
        <v>12.740482177163772</v>
      </c>
      <c r="GJ294"/>
      <c r="GK294"/>
      <c r="GL294"/>
      <c r="GM294"/>
    </row>
    <row r="295" spans="1:195" s="7" customFormat="1">
      <c r="A295" s="1"/>
      <c r="B295">
        <v>0.37427422347979578</v>
      </c>
      <c r="C295">
        <v>5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93.75</v>
      </c>
      <c r="J295">
        <v>31.25</v>
      </c>
      <c r="K295">
        <v>10.416666666666666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66.13235929842503</v>
      </c>
      <c r="AO295">
        <v>28.390036236123915</v>
      </c>
      <c r="AP295">
        <v>174.5191488818927</v>
      </c>
      <c r="AQ295">
        <v>151.87438619068405</v>
      </c>
      <c r="AR295">
        <v>26.114877893448767</v>
      </c>
      <c r="AS295">
        <v>159.41252452321564</v>
      </c>
      <c r="AT295">
        <v>19.926546594224348</v>
      </c>
      <c r="AU295">
        <v>34.329731039913426</v>
      </c>
      <c r="AV295"/>
      <c r="AW295"/>
      <c r="FY295" s="211">
        <v>290</v>
      </c>
      <c r="FZ295">
        <v>8.9176286202250648</v>
      </c>
      <c r="GA295">
        <v>25.511756281101562</v>
      </c>
      <c r="GB295">
        <v>13.834560346600048</v>
      </c>
      <c r="GC295">
        <v>11.360190985084744</v>
      </c>
      <c r="GD295">
        <v>13.573112934888382</v>
      </c>
      <c r="GE295">
        <v>26.014786140727466</v>
      </c>
      <c r="GF295">
        <v>24.73614772152126</v>
      </c>
      <c r="GG295">
        <v>21.523761331788243</v>
      </c>
      <c r="GH295">
        <v>23.531734927173414</v>
      </c>
      <c r="GI295">
        <v>21.398571768457742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63.680965292583757</v>
      </c>
      <c r="AO296">
        <v>27.606181307582563</v>
      </c>
      <c r="AP296">
        <v>181.5883101760738</v>
      </c>
      <c r="AQ296">
        <v>153.06176611303576</v>
      </c>
      <c r="AR296">
        <v>25.246222023694827</v>
      </c>
      <c r="AS296">
        <v>110.47737189684199</v>
      </c>
      <c r="AT296">
        <v>18.697359343754464</v>
      </c>
      <c r="AU296">
        <v>25.040016940392544</v>
      </c>
      <c r="AV296"/>
      <c r="AW296"/>
      <c r="FY296" s="211">
        <v>291</v>
      </c>
      <c r="FZ296">
        <v>3.7100044834672636</v>
      </c>
      <c r="GA296">
        <v>16.531468261623022</v>
      </c>
      <c r="GB296">
        <v>44.929558892171215</v>
      </c>
      <c r="GC296">
        <v>28.613893886102534</v>
      </c>
      <c r="GD296">
        <v>10.578906638915372</v>
      </c>
      <c r="GE296">
        <v>13.638600986125336</v>
      </c>
      <c r="GF296">
        <v>15.711063810847023</v>
      </c>
      <c r="GG296">
        <v>23.267940335224278</v>
      </c>
      <c r="GH296">
        <v>22.817501053514874</v>
      </c>
      <c r="GI296">
        <v>24.799895522322153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75.712815445335238</v>
      </c>
      <c r="AO297">
        <v>30.351136004703751</v>
      </c>
      <c r="AP297">
        <v>218.67519694393934</v>
      </c>
      <c r="AQ297">
        <v>181.84886121146144</v>
      </c>
      <c r="AR297">
        <v>28.142015622640962</v>
      </c>
      <c r="AS297">
        <v>131.04942120064689</v>
      </c>
      <c r="AT297">
        <v>20.956056778944109</v>
      </c>
      <c r="AU297">
        <v>28.433331813216508</v>
      </c>
      <c r="AV297"/>
      <c r="AW297"/>
      <c r="FY297" s="211">
        <v>292</v>
      </c>
      <c r="FZ297">
        <v>2.881859138424784</v>
      </c>
      <c r="GA297">
        <v>10.001134546175596</v>
      </c>
      <c r="GB297">
        <v>17.891806508001721</v>
      </c>
      <c r="GC297">
        <v>16.459285531253538</v>
      </c>
      <c r="GD297">
        <v>9.9717138777351142</v>
      </c>
      <c r="GE297">
        <v>17.388102342707224</v>
      </c>
      <c r="GF297">
        <v>30.069109586257518</v>
      </c>
      <c r="GG297">
        <v>22.182159833312717</v>
      </c>
      <c r="GH297">
        <v>15.05761356796916</v>
      </c>
      <c r="GI297">
        <v>18.98868793726426</v>
      </c>
      <c r="GJ297"/>
      <c r="GK297"/>
      <c r="GL297"/>
      <c r="GM297"/>
    </row>
    <row r="298" spans="1:195" s="7" customFormat="1">
      <c r="A298" s="1"/>
      <c r="B298">
        <v>0.75774496545500725</v>
      </c>
      <c r="C298">
        <v>4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95.06193666569115</v>
      </c>
      <c r="AO298">
        <v>36.944162619760924</v>
      </c>
      <c r="AP298">
        <v>226.92963174604219</v>
      </c>
      <c r="AQ298">
        <v>194.42299870987594</v>
      </c>
      <c r="AR298">
        <v>34.271932447134532</v>
      </c>
      <c r="AS298">
        <v>169.22049249768261</v>
      </c>
      <c r="AT298">
        <v>24.932693784325412</v>
      </c>
      <c r="AU298">
        <v>35.618023364091208</v>
      </c>
      <c r="AV298"/>
      <c r="AW298"/>
      <c r="FY298" s="211">
        <v>293</v>
      </c>
      <c r="FZ298">
        <v>4.3518265635208353</v>
      </c>
      <c r="GA298">
        <v>19.234014833995069</v>
      </c>
      <c r="GB298">
        <v>17.006771797938452</v>
      </c>
      <c r="GC298">
        <v>10.779561278645993</v>
      </c>
      <c r="GD298">
        <v>7.8803206540062654</v>
      </c>
      <c r="GE298">
        <v>15.053451611603892</v>
      </c>
      <c r="GF298">
        <v>31.060317745590858</v>
      </c>
      <c r="GG298">
        <v>27.956642922297114</v>
      </c>
      <c r="GH298">
        <v>16.590662993165331</v>
      </c>
      <c r="GI298">
        <v>18.16088415433596</v>
      </c>
      <c r="GJ298"/>
      <c r="GK298"/>
      <c r="GL298"/>
      <c r="GM298"/>
    </row>
    <row r="299" spans="1:195" s="7" customFormat="1">
      <c r="A299" s="1"/>
      <c r="B299">
        <v>0.28125766984915579</v>
      </c>
      <c r="C299">
        <v>9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34.375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45.520961777125891</v>
      </c>
      <c r="AO299">
        <v>17.271743128820621</v>
      </c>
      <c r="AP299">
        <v>108.09015058897094</v>
      </c>
      <c r="AQ299">
        <v>94.197864912189644</v>
      </c>
      <c r="AR299">
        <v>15.298478674201471</v>
      </c>
      <c r="AS299">
        <v>75.050341363893367</v>
      </c>
      <c r="AT299" t="e">
        <v>#DIV/0!</v>
      </c>
      <c r="AU299" t="e">
        <v>#DIV/0!</v>
      </c>
      <c r="AV299"/>
      <c r="AW299"/>
      <c r="FY299" s="211">
        <v>294</v>
      </c>
      <c r="FZ299">
        <v>4.1800548531505139</v>
      </c>
      <c r="GA299">
        <v>11.793872921744637</v>
      </c>
      <c r="GB299">
        <v>19.203105729585982</v>
      </c>
      <c r="GC299">
        <v>14.950984511912152</v>
      </c>
      <c r="GD299">
        <v>10.561548238491625</v>
      </c>
      <c r="GE299">
        <v>19.958823237927668</v>
      </c>
      <c r="GF299">
        <v>23.885363350851215</v>
      </c>
      <c r="GG299">
        <v>21.211397051919604</v>
      </c>
      <c r="GH299">
        <v>16.711697777307013</v>
      </c>
      <c r="GI299">
        <v>18.964299067465134</v>
      </c>
      <c r="GJ299"/>
      <c r="GK299"/>
      <c r="GL299"/>
      <c r="GM299"/>
    </row>
    <row r="300" spans="1:195" s="7" customFormat="1">
      <c r="A300" s="1"/>
      <c r="B300">
        <v>0.40259173431528961</v>
      </c>
      <c r="C300">
        <v>3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28.409090909090907</v>
      </c>
      <c r="K300">
        <v>28.409090909090907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89.14834758605889</v>
      </c>
      <c r="AO300">
        <v>34.141922838314017</v>
      </c>
      <c r="AP300">
        <v>226.89747692523434</v>
      </c>
      <c r="AQ300">
        <v>192.09354822921145</v>
      </c>
      <c r="AR300">
        <v>31.242602202227886</v>
      </c>
      <c r="AS300">
        <v>145.99833010919042</v>
      </c>
      <c r="AT300" t="e">
        <v>#DIV/0!</v>
      </c>
      <c r="AU300" t="e">
        <v>#DIV/0!</v>
      </c>
      <c r="AV300"/>
      <c r="AW300"/>
      <c r="FY300" s="211">
        <v>295</v>
      </c>
      <c r="FZ300">
        <v>8.7520926357952629</v>
      </c>
      <c r="GA300">
        <v>23.333160056558182</v>
      </c>
      <c r="GB300">
        <v>15.493726687822509</v>
      </c>
      <c r="GC300">
        <v>12.844655701911247</v>
      </c>
      <c r="GD300">
        <v>11.678864158185355</v>
      </c>
      <c r="GE300">
        <v>21.774235857459814</v>
      </c>
      <c r="GF300">
        <v>23.856710351743139</v>
      </c>
      <c r="GG300">
        <v>25.334357997013139</v>
      </c>
      <c r="GH300">
        <v>26.676960334881446</v>
      </c>
      <c r="GI300">
        <v>20.949409405305651</v>
      </c>
      <c r="GJ300"/>
      <c r="GK300"/>
      <c r="GL300"/>
      <c r="GM300"/>
    </row>
    <row r="301" spans="1:195" s="7" customFormat="1">
      <c r="A301" s="1"/>
      <c r="B301">
        <v>0.47339204356717168</v>
      </c>
      <c r="C301">
        <v>2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90.032104360603043</v>
      </c>
      <c r="AO301">
        <v>32.347575616100222</v>
      </c>
      <c r="AP301">
        <v>230.74847657587443</v>
      </c>
      <c r="AQ301">
        <v>194.59699431317583</v>
      </c>
      <c r="AR301">
        <v>28.873184928016705</v>
      </c>
      <c r="AS301">
        <v>137.05298543402418</v>
      </c>
      <c r="AT301">
        <v>22.770006139510468</v>
      </c>
      <c r="AU301">
        <v>43.012932667212702</v>
      </c>
      <c r="AV301"/>
      <c r="AW301"/>
      <c r="FY301" s="211">
        <v>296</v>
      </c>
      <c r="FZ301">
        <v>3.4930420683527803</v>
      </c>
      <c r="GA301">
        <v>9.5465911251822657</v>
      </c>
      <c r="GB301">
        <v>25.899141084435602</v>
      </c>
      <c r="GC301">
        <v>21.952697242240653</v>
      </c>
      <c r="GD301">
        <v>14.862081816236104</v>
      </c>
      <c r="GE301">
        <v>26.013843943138092</v>
      </c>
      <c r="GF301">
        <v>31.971037698914799</v>
      </c>
      <c r="GG301">
        <v>37.058843967806851</v>
      </c>
      <c r="GH301">
        <v>34.961428709489098</v>
      </c>
      <c r="GI301">
        <v>27.635707722318891</v>
      </c>
      <c r="GJ301"/>
      <c r="GK301"/>
      <c r="GL301"/>
      <c r="GM301"/>
    </row>
    <row r="302" spans="1:195" s="7" customFormat="1">
      <c r="A302" s="1"/>
      <c r="B302">
        <v>0.42114777242225188</v>
      </c>
      <c r="C302">
        <v>8</v>
      </c>
      <c r="D302">
        <v>39910</v>
      </c>
      <c r="E302">
        <v>0</v>
      </c>
      <c r="F302">
        <v>0</v>
      </c>
      <c r="G302">
        <v>0</v>
      </c>
      <c r="H302">
        <v>10.416666666666666</v>
      </c>
      <c r="I302">
        <v>187.5</v>
      </c>
      <c r="J302">
        <v>93.75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76.986904277905708</v>
      </c>
      <c r="AO302">
        <v>30.115950355293354</v>
      </c>
      <c r="AP302">
        <v>213.53432264809948</v>
      </c>
      <c r="AQ302">
        <v>176.38254601808802</v>
      </c>
      <c r="AR302">
        <v>27.243523658249554</v>
      </c>
      <c r="AS302">
        <v>134.38965399042334</v>
      </c>
      <c r="AT302" t="e">
        <v>#DIV/0!</v>
      </c>
      <c r="AU302" t="e">
        <v>#DIV/0!</v>
      </c>
      <c r="AV302"/>
      <c r="AW302"/>
      <c r="FY302" s="211">
        <v>297</v>
      </c>
      <c r="FZ302">
        <v>5.0441671465179461</v>
      </c>
      <c r="GA302">
        <v>15.421736709735004</v>
      </c>
      <c r="GB302">
        <v>14.07769439328777</v>
      </c>
      <c r="GC302">
        <v>10.798624527864492</v>
      </c>
      <c r="GD302">
        <v>13.736012926470405</v>
      </c>
      <c r="GE302">
        <v>25.239606939585403</v>
      </c>
      <c r="GF302">
        <v>19.121612065470295</v>
      </c>
      <c r="GG302">
        <v>10.699320696059548</v>
      </c>
      <c r="GH302">
        <v>4.8352306493710051</v>
      </c>
      <c r="GI302">
        <v>16.911150693089017</v>
      </c>
      <c r="GJ302"/>
      <c r="GK302"/>
      <c r="GL302"/>
      <c r="GM302"/>
    </row>
    <row r="303" spans="1:195" s="7" customFormat="1">
      <c r="A303" s="1"/>
      <c r="B303">
        <v>0.18308666368050908</v>
      </c>
      <c r="C303">
        <v>9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34.375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75.028321849790444</v>
      </c>
      <c r="AO303">
        <v>28.332882296192587</v>
      </c>
      <c r="AP303">
        <v>188.7239819731733</v>
      </c>
      <c r="AQ303">
        <v>159.62160404819102</v>
      </c>
      <c r="AR303">
        <v>25.802715303162678</v>
      </c>
      <c r="AS303">
        <v>129.09562507701651</v>
      </c>
      <c r="AT303">
        <v>19.582350905251829</v>
      </c>
      <c r="AU303">
        <v>30.852001097365974</v>
      </c>
      <c r="AV303"/>
      <c r="AW303"/>
      <c r="FY303" s="211">
        <v>298</v>
      </c>
      <c r="FZ303">
        <v>1.0623728215645323</v>
      </c>
      <c r="GA303">
        <v>14.366199543961843</v>
      </c>
      <c r="GB303">
        <v>22.141523796486624</v>
      </c>
      <c r="GC303">
        <v>13.523818760393745</v>
      </c>
      <c r="GD303">
        <v>13.636927385396902</v>
      </c>
      <c r="GE303">
        <v>28.971295099707557</v>
      </c>
      <c r="GF303">
        <v>27.392774867523585</v>
      </c>
      <c r="GG303">
        <v>14.747883719600521</v>
      </c>
      <c r="GH303">
        <v>5.2954847265529983</v>
      </c>
      <c r="GI303">
        <v>19.978471448641237</v>
      </c>
      <c r="GJ303"/>
      <c r="GK303"/>
      <c r="GL303"/>
      <c r="GM303"/>
    </row>
    <row r="304" spans="1:195" s="7" customFormat="1">
      <c r="A304" s="1"/>
      <c r="B304">
        <v>0.60222621894294814</v>
      </c>
      <c r="C304">
        <v>5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10.416666666666666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79.179228032532706</v>
      </c>
      <c r="AO304">
        <v>30.207386620872683</v>
      </c>
      <c r="AP304">
        <v>210.73616197772867</v>
      </c>
      <c r="AQ304">
        <v>178.28070862814161</v>
      </c>
      <c r="AR304">
        <v>27.21603711063522</v>
      </c>
      <c r="AS304">
        <v>132.91444177554956</v>
      </c>
      <c r="AT304">
        <v>20.852295111141597</v>
      </c>
      <c r="AU304">
        <v>40.823934995880713</v>
      </c>
      <c r="AV304"/>
      <c r="AW304"/>
      <c r="FY304" s="211">
        <v>299</v>
      </c>
      <c r="FZ304">
        <v>3.7742702955833227</v>
      </c>
      <c r="GA304">
        <v>16.679972162450504</v>
      </c>
      <c r="GB304">
        <v>28.011577000223287</v>
      </c>
      <c r="GC304">
        <v>23.164221094601125</v>
      </c>
      <c r="GD304">
        <v>16.450995627796694</v>
      </c>
      <c r="GE304">
        <v>22.198017333057056</v>
      </c>
      <c r="GF304">
        <v>21.684454679476342</v>
      </c>
      <c r="GG304">
        <v>17.123605902128862</v>
      </c>
      <c r="GH304">
        <v>14.516788617039994</v>
      </c>
      <c r="GI304">
        <v>23.879910123670808</v>
      </c>
      <c r="GJ304"/>
      <c r="GK304"/>
      <c r="GL304"/>
      <c r="GM304"/>
    </row>
    <row r="305" spans="1:195" s="7" customFormat="1">
      <c r="A305" s="1"/>
      <c r="B305">
        <v>0.71946433404097121</v>
      </c>
      <c r="C305">
        <v>6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20.833333333333332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64.801430816438085</v>
      </c>
      <c r="AO305">
        <v>19.089531815134908</v>
      </c>
      <c r="AP305">
        <v>119.81561947234856</v>
      </c>
      <c r="AQ305">
        <v>108.3744961408526</v>
      </c>
      <c r="AR305">
        <v>17.272422163519465</v>
      </c>
      <c r="AS305">
        <v>91.389990223042489</v>
      </c>
      <c r="AT305">
        <v>13.2836857766211</v>
      </c>
      <c r="AU305">
        <v>61.282764839440105</v>
      </c>
      <c r="AV305"/>
      <c r="AW305"/>
      <c r="FY305" s="211">
        <v>300</v>
      </c>
      <c r="FZ305">
        <v>4.3281409918608418</v>
      </c>
      <c r="GA305">
        <v>18.815380699723047</v>
      </c>
      <c r="GB305">
        <v>28.944327992529292</v>
      </c>
      <c r="GC305">
        <v>19.800442607071314</v>
      </c>
      <c r="GD305">
        <v>13.327108001403488</v>
      </c>
      <c r="GE305">
        <v>25.12335352136985</v>
      </c>
      <c r="GF305">
        <v>39.011066563181458</v>
      </c>
      <c r="GG305">
        <v>19.249502071689768</v>
      </c>
      <c r="GH305">
        <v>0.7665247125980853</v>
      </c>
      <c r="GI305">
        <v>23.395783373305282</v>
      </c>
      <c r="GJ305"/>
      <c r="GK305"/>
      <c r="GL305"/>
      <c r="GM305"/>
    </row>
    <row r="306" spans="1:195" s="7" customFormat="1">
      <c r="A306" s="1"/>
      <c r="B306">
        <v>0.81892603036476164</v>
      </c>
      <c r="C306">
        <v>9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34.375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90.546923081443367</v>
      </c>
      <c r="AO306">
        <v>32.318873656540269</v>
      </c>
      <c r="AP306">
        <v>217.08990967507586</v>
      </c>
      <c r="AQ306">
        <v>190.40225105756792</v>
      </c>
      <c r="AR306">
        <v>29.38248521633966</v>
      </c>
      <c r="AS306">
        <v>145.30764275903471</v>
      </c>
      <c r="AT306">
        <v>22.255854238993987</v>
      </c>
      <c r="AU306">
        <v>48.122850106637927</v>
      </c>
      <c r="AV306"/>
      <c r="AW306"/>
      <c r="FY306" s="211">
        <v>301</v>
      </c>
      <c r="FZ306">
        <v>5.4328325062233773</v>
      </c>
      <c r="GA306">
        <v>14.048071055900351</v>
      </c>
      <c r="GB306">
        <v>26.735729751749343</v>
      </c>
      <c r="GC306">
        <v>19.738157973793776</v>
      </c>
      <c r="GD306">
        <v>11.096565450086928</v>
      </c>
      <c r="GE306">
        <v>21.771221963983027</v>
      </c>
      <c r="GF306">
        <v>30.31615563314169</v>
      </c>
      <c r="GG306">
        <v>28.518539038057089</v>
      </c>
      <c r="GH306">
        <v>25.199299868072931</v>
      </c>
      <c r="GI306">
        <v>23.934600343360501</v>
      </c>
      <c r="GJ306"/>
      <c r="GK306"/>
      <c r="GL306"/>
      <c r="GM306"/>
    </row>
    <row r="307" spans="1:195" s="7" customFormat="1">
      <c r="A307" s="1"/>
      <c r="B307">
        <v>0.28836955254257557</v>
      </c>
      <c r="C307">
        <v>1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41.666666666666664</v>
      </c>
      <c r="K307">
        <v>20.833333333333332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97.763552658309635</v>
      </c>
      <c r="AO307">
        <v>37.726074355188771</v>
      </c>
      <c r="AP307">
        <v>256.12506410033069</v>
      </c>
      <c r="AQ307">
        <v>204.59883387031303</v>
      </c>
      <c r="AR307">
        <v>34.855208428521962</v>
      </c>
      <c r="AS307">
        <v>170.81002885806384</v>
      </c>
      <c r="AT307">
        <v>25.066457697942074</v>
      </c>
      <c r="AU307">
        <v>44.097080711370353</v>
      </c>
      <c r="AV307"/>
      <c r="AW307"/>
      <c r="FY307" s="211">
        <v>302</v>
      </c>
      <c r="FZ307">
        <v>1.4044368441985611</v>
      </c>
      <c r="GA307">
        <v>14.575374179726026</v>
      </c>
      <c r="GB307">
        <v>23.839210928954103</v>
      </c>
      <c r="GC307">
        <v>14.124311674345883</v>
      </c>
      <c r="GD307">
        <v>14.22636821978362</v>
      </c>
      <c r="GE307">
        <v>33.520931218181687</v>
      </c>
      <c r="GF307">
        <v>28.726212732618322</v>
      </c>
      <c r="GG307">
        <v>22.054832444174597</v>
      </c>
      <c r="GH307">
        <v>23.173173452817764</v>
      </c>
      <c r="GI307">
        <v>23.850421868930642</v>
      </c>
      <c r="GJ307"/>
      <c r="GK307"/>
      <c r="GL307"/>
      <c r="GM307"/>
    </row>
    <row r="308" spans="1:195" s="7" customFormat="1">
      <c r="A308" s="1"/>
      <c r="B308">
        <v>0.97897531071815003</v>
      </c>
      <c r="C308">
        <v>4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63.294588758033534</v>
      </c>
      <c r="AO308">
        <v>28.920567958146943</v>
      </c>
      <c r="AP308">
        <v>191.94779251502086</v>
      </c>
      <c r="AQ308">
        <v>160.89147286910162</v>
      </c>
      <c r="AR308">
        <v>26.013991264597792</v>
      </c>
      <c r="AS308">
        <v>119.22173944703142</v>
      </c>
      <c r="AT308" t="e">
        <v>#DIV/0!</v>
      </c>
      <c r="AU308" t="e">
        <v>#DIV/0!</v>
      </c>
      <c r="AV308"/>
      <c r="AW308"/>
      <c r="FY308" s="211">
        <v>303</v>
      </c>
      <c r="FZ308">
        <v>4.3415907644237786</v>
      </c>
      <c r="GA308">
        <v>22.158290877027003</v>
      </c>
      <c r="GB308">
        <v>26.687453575826922</v>
      </c>
      <c r="GC308">
        <v>18.178099739995304</v>
      </c>
      <c r="GD308">
        <v>10.479057741366724</v>
      </c>
      <c r="GE308">
        <v>16.076745036496778</v>
      </c>
      <c r="GF308">
        <v>16.130217013184556</v>
      </c>
      <c r="GG308">
        <v>21.037589401084617</v>
      </c>
      <c r="GH308">
        <v>24.601557900486689</v>
      </c>
      <c r="GI308">
        <v>20.576916670061703</v>
      </c>
      <c r="GJ308"/>
      <c r="GK308"/>
      <c r="GL308"/>
      <c r="GM308"/>
    </row>
    <row r="309" spans="1:195" s="7" customFormat="1">
      <c r="A309" s="1"/>
      <c r="B309">
        <v>0.90512530564579685</v>
      </c>
      <c r="C309">
        <v>8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52.083333333333336</v>
      </c>
      <c r="J309">
        <v>52.083333333333336</v>
      </c>
      <c r="K309">
        <v>10.416666666666666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71.680940622915713</v>
      </c>
      <c r="AO309">
        <v>27.551215141153545</v>
      </c>
      <c r="AP309">
        <v>206.72553807771442</v>
      </c>
      <c r="AQ309">
        <v>168.07445455509975</v>
      </c>
      <c r="AR309">
        <v>25.037711051300121</v>
      </c>
      <c r="AS309">
        <v>119.1715930836266</v>
      </c>
      <c r="AT309" t="e">
        <v>#DIV/0!</v>
      </c>
      <c r="AU309" t="e">
        <v>#DIV/0!</v>
      </c>
      <c r="AV309"/>
      <c r="AW309"/>
      <c r="FY309" s="211">
        <v>304</v>
      </c>
      <c r="FZ309">
        <v>2.8401246435757681</v>
      </c>
      <c r="GA309">
        <v>10.446679863092335</v>
      </c>
      <c r="GB309">
        <v>25.707253550557333</v>
      </c>
      <c r="GC309">
        <v>19.159979519653422</v>
      </c>
      <c r="GD309">
        <v>12.070724825443857</v>
      </c>
      <c r="GE309">
        <v>26.730179096448506</v>
      </c>
      <c r="GF309">
        <v>32.950650625701542</v>
      </c>
      <c r="GG309">
        <v>12.050610842852945</v>
      </c>
      <c r="GH309">
        <v>5.3642286717551233</v>
      </c>
      <c r="GI309">
        <v>21.241865401761071</v>
      </c>
      <c r="GJ309"/>
      <c r="GK309"/>
      <c r="GL309"/>
      <c r="GM309"/>
    </row>
    <row r="310" spans="1:195" s="7" customFormat="1">
      <c r="A310" s="1"/>
      <c r="B310">
        <v>0.92884098294226902</v>
      </c>
      <c r="C310">
        <v>5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70.376812035185182</v>
      </c>
      <c r="AO310">
        <v>28.939300674554811</v>
      </c>
      <c r="AP310">
        <v>189.81517628949493</v>
      </c>
      <c r="AQ310">
        <v>161.42114674035554</v>
      </c>
      <c r="AR310">
        <v>26.171501555812089</v>
      </c>
      <c r="AS310">
        <v>121.98050366873305</v>
      </c>
      <c r="AT310" t="e">
        <v>#DIV/0!</v>
      </c>
      <c r="AU310" t="e">
        <v>#DIV/0!</v>
      </c>
      <c r="AV310"/>
      <c r="AW310"/>
      <c r="FY310" s="211">
        <v>305</v>
      </c>
      <c r="FZ310">
        <v>3.6742173339239432</v>
      </c>
      <c r="GA310">
        <v>8.4303874610185954</v>
      </c>
      <c r="GB310">
        <v>17.735529569257373</v>
      </c>
      <c r="GC310">
        <v>13.193142202050357</v>
      </c>
      <c r="GD310">
        <v>11.196854734300919</v>
      </c>
      <c r="GE310">
        <v>23.762979019071391</v>
      </c>
      <c r="GF310">
        <v>27.957910896759465</v>
      </c>
      <c r="GG310">
        <v>18.525151804013838</v>
      </c>
      <c r="GH310">
        <v>8.0553129415292464</v>
      </c>
      <c r="GI310">
        <v>18.264645883370846</v>
      </c>
      <c r="GJ310"/>
      <c r="GK310"/>
      <c r="GL310"/>
      <c r="GM310"/>
    </row>
    <row r="311" spans="1:195" s="7" customFormat="1">
      <c r="A311" s="1"/>
      <c r="B311">
        <v>0.29332773187998562</v>
      </c>
      <c r="C311">
        <v>3</v>
      </c>
      <c r="D311">
        <v>39949</v>
      </c>
      <c r="E311">
        <v>0</v>
      </c>
      <c r="F311">
        <v>0</v>
      </c>
      <c r="G311">
        <v>91.43518518518519</v>
      </c>
      <c r="H311">
        <v>112.26851851851852</v>
      </c>
      <c r="I311">
        <v>20.833333333333332</v>
      </c>
      <c r="J311">
        <v>10.416666666666666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95.324142595934475</v>
      </c>
      <c r="AO311">
        <v>31.804631572390598</v>
      </c>
      <c r="AP311">
        <v>221.14389814948856</v>
      </c>
      <c r="AQ311">
        <v>190.69417318667576</v>
      </c>
      <c r="AR311">
        <v>28.702324382944099</v>
      </c>
      <c r="AS311">
        <v>149.39446341360005</v>
      </c>
      <c r="AT311" t="e">
        <v>#DIV/0!</v>
      </c>
      <c r="AU311" t="e">
        <v>#DIV/0!</v>
      </c>
      <c r="AV311"/>
      <c r="AW311"/>
      <c r="FY311" s="211">
        <v>306</v>
      </c>
      <c r="FZ311">
        <v>1.9074653077403858</v>
      </c>
      <c r="GA311">
        <v>12.953878054211275</v>
      </c>
      <c r="GB311">
        <v>12.821206137455937</v>
      </c>
      <c r="GC311">
        <v>8.8656946715497256</v>
      </c>
      <c r="GD311">
        <v>8.0538989245902783</v>
      </c>
      <c r="GE311">
        <v>20.521829477669094</v>
      </c>
      <c r="GF311">
        <v>32.708830118654063</v>
      </c>
      <c r="GG311">
        <v>22.842815896796324</v>
      </c>
      <c r="GH311">
        <v>16.199152861185464</v>
      </c>
      <c r="GI311">
        <v>17.124887717705064</v>
      </c>
      <c r="GJ311"/>
      <c r="GK311"/>
      <c r="GL311"/>
      <c r="GM311"/>
    </row>
    <row r="312" spans="1:195" s="7" customFormat="1">
      <c r="A312" s="1"/>
      <c r="B312">
        <v>0.83002603959599641</v>
      </c>
      <c r="C312">
        <v>1</v>
      </c>
      <c r="D312">
        <v>39949</v>
      </c>
      <c r="E312">
        <v>0</v>
      </c>
      <c r="F312">
        <v>0</v>
      </c>
      <c r="G312">
        <v>40.788152610441763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92.761619784613714</v>
      </c>
      <c r="AO312">
        <v>42.00180346466108</v>
      </c>
      <c r="AP312">
        <v>276.99443634895351</v>
      </c>
      <c r="AQ312">
        <v>233.39441537811518</v>
      </c>
      <c r="AR312">
        <v>38.387936885247228</v>
      </c>
      <c r="AS312">
        <v>180.88021767225922</v>
      </c>
      <c r="AT312">
        <v>29.604331816676609</v>
      </c>
      <c r="AU312">
        <v>42.328951784243444</v>
      </c>
      <c r="AV312"/>
      <c r="AW312"/>
      <c r="FY312" s="211">
        <v>307</v>
      </c>
      <c r="FZ312">
        <v>4.2378280427779789</v>
      </c>
      <c r="GA312">
        <v>22.26993375353646</v>
      </c>
      <c r="GB312">
        <v>19.673093566745891</v>
      </c>
      <c r="GC312">
        <v>11.805181777192093</v>
      </c>
      <c r="GD312">
        <v>8.1350821664120012</v>
      </c>
      <c r="GE312">
        <v>16.297671422320555</v>
      </c>
      <c r="GF312">
        <v>24.037823377268449</v>
      </c>
      <c r="GG312">
        <v>13.705952953002233</v>
      </c>
      <c r="GH312">
        <v>8.7695468151877769</v>
      </c>
      <c r="GI312">
        <v>16.33665555424345</v>
      </c>
      <c r="GJ312"/>
      <c r="GK312"/>
      <c r="GL312"/>
      <c r="GM312"/>
    </row>
    <row r="313" spans="1:195" s="7" customFormat="1">
      <c r="A313" s="1"/>
      <c r="B313">
        <v>0.69516826897470185</v>
      </c>
      <c r="C313">
        <v>6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71.329912401346604</v>
      </c>
      <c r="AO313">
        <v>25.61850676013221</v>
      </c>
      <c r="AP313">
        <v>147.21157574481538</v>
      </c>
      <c r="AQ313">
        <v>135.88515674745088</v>
      </c>
      <c r="AR313">
        <v>23.313159228823679</v>
      </c>
      <c r="AS313">
        <v>120.55886925645854</v>
      </c>
      <c r="AT313" t="e">
        <v>#DIV/0!</v>
      </c>
      <c r="AU313" t="e">
        <v>#DIV/0!</v>
      </c>
      <c r="AV313"/>
      <c r="AW313"/>
      <c r="FY313" s="211">
        <v>308</v>
      </c>
      <c r="FZ313">
        <v>3.3268255130905375</v>
      </c>
      <c r="GA313">
        <v>10.336356823037811</v>
      </c>
      <c r="GB313">
        <v>9.557960365782213</v>
      </c>
      <c r="GC313">
        <v>10.624175755874804</v>
      </c>
      <c r="GD313">
        <v>14.445966167727791</v>
      </c>
      <c r="GE313">
        <v>24.009564792888582</v>
      </c>
      <c r="GF313">
        <v>16.312587199119029</v>
      </c>
      <c r="GG313">
        <v>19.261713169514959</v>
      </c>
      <c r="GH313">
        <v>20.389019326847269</v>
      </c>
      <c r="GI313">
        <v>17.97150310217107</v>
      </c>
      <c r="GJ313"/>
      <c r="GK313"/>
      <c r="GL313"/>
      <c r="GM313"/>
    </row>
    <row r="314" spans="1:195" s="7" customFormat="1">
      <c r="A314" s="1"/>
      <c r="B314">
        <v>0.42600315715715809</v>
      </c>
      <c r="C314">
        <v>3</v>
      </c>
      <c r="D314">
        <v>39949</v>
      </c>
      <c r="E314">
        <v>0</v>
      </c>
      <c r="F314">
        <v>0</v>
      </c>
      <c r="G314">
        <v>91.43518518518519</v>
      </c>
      <c r="H314">
        <v>112.26851851851852</v>
      </c>
      <c r="I314">
        <v>20.833333333333332</v>
      </c>
      <c r="J314">
        <v>10.416666666666666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75.676351886195434</v>
      </c>
      <c r="AO314">
        <v>30.458470189956369</v>
      </c>
      <c r="AP314">
        <v>183.91933950978901</v>
      </c>
      <c r="AQ314">
        <v>161.11675216982954</v>
      </c>
      <c r="AR314">
        <v>27.502396536528646</v>
      </c>
      <c r="AS314">
        <v>127.79607221483958</v>
      </c>
      <c r="AT314" t="e">
        <v>#DIV/0!</v>
      </c>
      <c r="AU314" t="e">
        <v>#DIV/0!</v>
      </c>
      <c r="AV314"/>
      <c r="AW314"/>
      <c r="FY314" s="211">
        <v>309</v>
      </c>
      <c r="FZ314">
        <v>1.7011584890246563</v>
      </c>
      <c r="GA314">
        <v>14.514314693265415</v>
      </c>
      <c r="GB314">
        <v>23.682213170537558</v>
      </c>
      <c r="GC314">
        <v>15.678011278777598</v>
      </c>
      <c r="GD314">
        <v>11.591537449190788</v>
      </c>
      <c r="GE314">
        <v>26.817740165892719</v>
      </c>
      <c r="GF314">
        <v>26.02166490941358</v>
      </c>
      <c r="GG314">
        <v>8.7978196331011915</v>
      </c>
      <c r="GH314">
        <v>6.3040790074344457</v>
      </c>
      <c r="GI314">
        <v>19.09484647956047</v>
      </c>
      <c r="GJ314"/>
      <c r="GK314"/>
      <c r="GL314"/>
      <c r="GM314"/>
    </row>
    <row r="315" spans="1:195" s="7" customFormat="1">
      <c r="A315" s="1"/>
      <c r="B315">
        <v>0.71472022374016153</v>
      </c>
      <c r="C315">
        <v>8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52.083333333333336</v>
      </c>
      <c r="J315">
        <v>52.083333333333336</v>
      </c>
      <c r="K315">
        <v>10.416666666666666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93.622163864760452</v>
      </c>
      <c r="AO315">
        <v>35.912521943263968</v>
      </c>
      <c r="AP315">
        <v>214.85586174002222</v>
      </c>
      <c r="AQ315">
        <v>187.48381283602799</v>
      </c>
      <c r="AR315">
        <v>33.230745893470321</v>
      </c>
      <c r="AS315">
        <v>166.76453636581962</v>
      </c>
      <c r="AT315">
        <v>24.605760012225797</v>
      </c>
      <c r="AU315">
        <v>45.461437615303311</v>
      </c>
      <c r="AV315"/>
      <c r="AW315"/>
      <c r="FY315" s="211">
        <v>310</v>
      </c>
      <c r="FZ315">
        <v>4.6696335441294003</v>
      </c>
      <c r="GA315">
        <v>13.558597872661361</v>
      </c>
      <c r="GB315">
        <v>19.268979919877207</v>
      </c>
      <c r="GC315">
        <v>16.439961617993795</v>
      </c>
      <c r="GD315">
        <v>12.789747009618448</v>
      </c>
      <c r="GE315">
        <v>19.678377451730448</v>
      </c>
      <c r="GF315">
        <v>28.983331475968757</v>
      </c>
      <c r="GG315">
        <v>20.884298403951973</v>
      </c>
      <c r="GH315">
        <v>8.7695468151877769</v>
      </c>
      <c r="GI315">
        <v>20.102027980426104</v>
      </c>
      <c r="GJ315"/>
      <c r="GK315"/>
      <c r="GL315"/>
      <c r="GM315"/>
    </row>
    <row r="316" spans="1:195" s="7" customFormat="1">
      <c r="A316" s="1"/>
      <c r="B316">
        <v>0.52637527436333631</v>
      </c>
      <c r="C316">
        <v>1</v>
      </c>
      <c r="D316">
        <v>39949</v>
      </c>
      <c r="E316">
        <v>0</v>
      </c>
      <c r="F316">
        <v>0</v>
      </c>
      <c r="G316">
        <v>40.788152610441763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89.813612313903946</v>
      </c>
      <c r="AO316">
        <v>35.536102090353417</v>
      </c>
      <c r="AP316">
        <v>229.20607234879594</v>
      </c>
      <c r="AQ316">
        <v>192.7616305347324</v>
      </c>
      <c r="AR316">
        <v>32.181179415267067</v>
      </c>
      <c r="AS316">
        <v>148.0221126551705</v>
      </c>
      <c r="AT316" t="e">
        <v>#DIV/0!</v>
      </c>
      <c r="AU316" t="e">
        <v>#DIV/0!</v>
      </c>
      <c r="AV316"/>
      <c r="AW316"/>
      <c r="FY316" s="211">
        <v>311</v>
      </c>
      <c r="FZ316">
        <v>6.165614689570214</v>
      </c>
      <c r="GA316">
        <v>19.749221045669891</v>
      </c>
      <c r="GB316">
        <v>20.215506256694972</v>
      </c>
      <c r="GC316">
        <v>13.58607264613517</v>
      </c>
      <c r="GD316">
        <v>10.680137692528984</v>
      </c>
      <c r="GE316">
        <v>22.472381638935563</v>
      </c>
      <c r="GF316">
        <v>26.249610659616749</v>
      </c>
      <c r="GG316">
        <v>10.624390766444634</v>
      </c>
      <c r="GH316">
        <v>3.967139078693783</v>
      </c>
      <c r="GI316">
        <v>18.007167951279218</v>
      </c>
      <c r="GJ316"/>
      <c r="GK316"/>
      <c r="GL316"/>
      <c r="GM316"/>
    </row>
    <row r="317" spans="1:195" s="7" customFormat="1">
      <c r="A317" s="1"/>
      <c r="B317">
        <v>0.74027470201319723</v>
      </c>
      <c r="C317">
        <v>3</v>
      </c>
      <c r="D317">
        <v>39949</v>
      </c>
      <c r="E317">
        <v>0</v>
      </c>
      <c r="F317">
        <v>0</v>
      </c>
      <c r="G317">
        <v>91.43518518518519</v>
      </c>
      <c r="H317">
        <v>112.26851851851852</v>
      </c>
      <c r="I317">
        <v>20.833333333333332</v>
      </c>
      <c r="J317">
        <v>10.416666666666666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97.547267789014469</v>
      </c>
      <c r="AO317">
        <v>36.316288498409151</v>
      </c>
      <c r="AP317">
        <v>249.70318567985984</v>
      </c>
      <c r="AQ317">
        <v>206.79117358436903</v>
      </c>
      <c r="AR317">
        <v>33.065216079914308</v>
      </c>
      <c r="AS317">
        <v>160.84035139237801</v>
      </c>
      <c r="AT317">
        <v>24.413184630900144</v>
      </c>
      <c r="AU317">
        <v>35.55919220735634</v>
      </c>
      <c r="AV317"/>
      <c r="AW317"/>
      <c r="FY317" s="211">
        <v>312</v>
      </c>
      <c r="FZ317">
        <v>4.4553619282579335</v>
      </c>
      <c r="GA317">
        <v>16.772159959037708</v>
      </c>
      <c r="GB317">
        <v>22.296771806104502</v>
      </c>
      <c r="GC317">
        <v>14.180200423442624</v>
      </c>
      <c r="GD317">
        <v>8.1840218853844711</v>
      </c>
      <c r="GE317">
        <v>17.31159125005593</v>
      </c>
      <c r="GF317">
        <v>30.679032771488092</v>
      </c>
      <c r="GG317">
        <v>29.484002535930916</v>
      </c>
      <c r="GH317">
        <v>23.851486294151176</v>
      </c>
      <c r="GI317">
        <v>20.738337510380763</v>
      </c>
      <c r="GJ317"/>
      <c r="GK317"/>
      <c r="GL317"/>
      <c r="GM317"/>
    </row>
    <row r="318" spans="1:195" s="7" customFormat="1">
      <c r="A318" s="1"/>
      <c r="B318">
        <v>0.51660781439981562</v>
      </c>
      <c r="C318">
        <v>9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70.112179487179489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84.107310166976788</v>
      </c>
      <c r="AO318">
        <v>35.902321805773944</v>
      </c>
      <c r="AP318">
        <v>230.64925282157748</v>
      </c>
      <c r="AQ318">
        <v>199.49527356373122</v>
      </c>
      <c r="AR318">
        <v>32.74555844649155</v>
      </c>
      <c r="AS318">
        <v>155.29882935941035</v>
      </c>
      <c r="AT318">
        <v>25.095509149211164</v>
      </c>
      <c r="AU318">
        <v>37.232841717794841</v>
      </c>
      <c r="AV318"/>
      <c r="AW318"/>
      <c r="FY318" s="211">
        <v>313</v>
      </c>
      <c r="FZ318">
        <v>4.7549741221316646</v>
      </c>
      <c r="GA318">
        <v>11.376956256022474</v>
      </c>
      <c r="GB318">
        <v>32.935983552979835</v>
      </c>
      <c r="GC318">
        <v>24.874024998205314</v>
      </c>
      <c r="GD318">
        <v>14.070384833559885</v>
      </c>
      <c r="GE318">
        <v>24.141919422548202</v>
      </c>
      <c r="GF318">
        <v>27.844794605485067</v>
      </c>
      <c r="GG318">
        <v>25.879689302203566</v>
      </c>
      <c r="GH318">
        <v>19.752341507135938</v>
      </c>
      <c r="GI318">
        <v>25.835414327563921</v>
      </c>
      <c r="GJ318"/>
      <c r="GK318"/>
      <c r="GL318"/>
      <c r="GM318"/>
    </row>
    <row r="319" spans="1:195" s="7" customFormat="1">
      <c r="A319" s="1"/>
      <c r="B319">
        <v>0.27526167908147103</v>
      </c>
      <c r="C319">
        <v>2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85.160365644232783</v>
      </c>
      <c r="AO319">
        <v>31.385035315277879</v>
      </c>
      <c r="AP319">
        <v>216.57168065469443</v>
      </c>
      <c r="AQ319">
        <v>180.26751871995404</v>
      </c>
      <c r="AR319">
        <v>28.492739846024108</v>
      </c>
      <c r="AS319">
        <v>144.35567516552985</v>
      </c>
      <c r="AT319" t="e">
        <v>#DIV/0!</v>
      </c>
      <c r="AU319" t="e">
        <v>#DIV/0!</v>
      </c>
      <c r="AV319"/>
      <c r="AW319"/>
      <c r="FY319" s="211">
        <v>314</v>
      </c>
      <c r="FZ319">
        <v>3.7193047477190939</v>
      </c>
      <c r="GA319">
        <v>13.961337126722924</v>
      </c>
      <c r="GB319">
        <v>11.567519588883535</v>
      </c>
      <c r="GC319">
        <v>8.6108957862085909</v>
      </c>
      <c r="GD319">
        <v>12.43476858513211</v>
      </c>
      <c r="GE319">
        <v>27.835233075214084</v>
      </c>
      <c r="GF319">
        <v>29.147986256195416</v>
      </c>
      <c r="GG319">
        <v>30.37648218066122</v>
      </c>
      <c r="GH319">
        <v>30.214284186635556</v>
      </c>
      <c r="GI319">
        <v>21.281121855579734</v>
      </c>
      <c r="GJ319"/>
      <c r="GK319"/>
      <c r="GL319"/>
      <c r="GM319"/>
    </row>
    <row r="320" spans="1:195" s="7" customFormat="1">
      <c r="A320" s="1"/>
      <c r="B320">
        <v>0.88059528466820769</v>
      </c>
      <c r="C320">
        <v>4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79.427237173820473</v>
      </c>
      <c r="AO320">
        <v>32.141007032900845</v>
      </c>
      <c r="AP320">
        <v>197.6166863078933</v>
      </c>
      <c r="AQ320">
        <v>168.56229704084188</v>
      </c>
      <c r="AR320">
        <v>28.909096144138005</v>
      </c>
      <c r="AS320">
        <v>135.55494575283478</v>
      </c>
      <c r="AT320">
        <v>22.167531037394223</v>
      </c>
      <c r="AU320">
        <v>42.038012794982116</v>
      </c>
      <c r="AV320"/>
      <c r="AW320"/>
      <c r="FY320" s="211">
        <v>315</v>
      </c>
      <c r="FZ320">
        <v>5.1326900006594682</v>
      </c>
      <c r="GA320">
        <v>15.718190677661056</v>
      </c>
      <c r="GB320">
        <v>12.029855293855917</v>
      </c>
      <c r="GC320">
        <v>10.750597850661112</v>
      </c>
      <c r="GD320">
        <v>13.31540914234446</v>
      </c>
      <c r="GE320">
        <v>21.898688368065983</v>
      </c>
      <c r="GF320">
        <v>24.055095836490501</v>
      </c>
      <c r="GG320">
        <v>37.847863092822074</v>
      </c>
      <c r="GH320">
        <v>37.362569705362489</v>
      </c>
      <c r="GI320">
        <v>22.289511789360077</v>
      </c>
      <c r="GJ320"/>
      <c r="GK320"/>
      <c r="GL320"/>
      <c r="GM320"/>
    </row>
    <row r="321" spans="1:195" s="7" customFormat="1">
      <c r="A321" s="1"/>
      <c r="B321">
        <v>0.48033836054694223</v>
      </c>
      <c r="C321">
        <v>9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70.112179487179489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69.497208380084103</v>
      </c>
      <c r="AO321">
        <v>27.825163756144804</v>
      </c>
      <c r="AP321">
        <v>173.63955068478469</v>
      </c>
      <c r="AQ321">
        <v>150.79613184529597</v>
      </c>
      <c r="AR321">
        <v>25.147550337542111</v>
      </c>
      <c r="AS321">
        <v>119.58684014505992</v>
      </c>
      <c r="AT321" t="e">
        <v>#DIV/0!</v>
      </c>
      <c r="AU321" t="e">
        <v>#DIV/0!</v>
      </c>
      <c r="AV321"/>
      <c r="AW321"/>
      <c r="FY321" s="211">
        <v>316</v>
      </c>
      <c r="FZ321">
        <v>2.9163461700293425</v>
      </c>
      <c r="GA321">
        <v>12.123805288781124</v>
      </c>
      <c r="GB321">
        <v>19.981610658325025</v>
      </c>
      <c r="GC321">
        <v>14.68358249034782</v>
      </c>
      <c r="GD321">
        <v>11.591500844130085</v>
      </c>
      <c r="GE321">
        <v>20.613199608596055</v>
      </c>
      <c r="GF321">
        <v>19.117405186435025</v>
      </c>
      <c r="GG321">
        <v>17.005708647446784</v>
      </c>
      <c r="GH321">
        <v>14.698926348866305</v>
      </c>
      <c r="GI321">
        <v>18.356608767390032</v>
      </c>
      <c r="GJ321"/>
      <c r="GK321"/>
      <c r="GL321"/>
      <c r="GM321"/>
    </row>
    <row r="322" spans="1:195" s="7" customFormat="1">
      <c r="A322" s="1"/>
      <c r="B322">
        <v>5.7103568528197535E-2</v>
      </c>
      <c r="C322">
        <v>8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61.930150652640556</v>
      </c>
      <c r="AO322">
        <v>25.955217718349672</v>
      </c>
      <c r="AP322">
        <v>185.51645431680998</v>
      </c>
      <c r="AQ322">
        <v>153.99965916755761</v>
      </c>
      <c r="AR322">
        <v>23.280311614640034</v>
      </c>
      <c r="AS322">
        <v>141.00811762576194</v>
      </c>
      <c r="AT322">
        <v>17.805199810901335</v>
      </c>
      <c r="AU322">
        <v>-13.376151972808309</v>
      </c>
      <c r="AV322"/>
      <c r="AW322"/>
      <c r="FY322" s="211">
        <v>317</v>
      </c>
      <c r="FZ322">
        <v>1.915430104896124</v>
      </c>
      <c r="GA322">
        <v>18.986030541615428</v>
      </c>
      <c r="GB322">
        <v>22.027894690137195</v>
      </c>
      <c r="GC322">
        <v>15.674968184044864</v>
      </c>
      <c r="GD322">
        <v>11.616576633732425</v>
      </c>
      <c r="GE322">
        <v>16.733699615700708</v>
      </c>
      <c r="GF322">
        <v>16.712166659983154</v>
      </c>
      <c r="GG322">
        <v>15.460653851045089</v>
      </c>
      <c r="GH322">
        <v>13.511083411211313</v>
      </c>
      <c r="GI322">
        <v>18.102813337975373</v>
      </c>
      <c r="GJ322"/>
      <c r="GK322"/>
      <c r="GL322"/>
      <c r="GM322"/>
    </row>
    <row r="323" spans="1:195" s="7" customFormat="1">
      <c r="A323" s="1"/>
      <c r="B323">
        <v>0.20900665446934275</v>
      </c>
      <c r="C323">
        <v>5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73.330383972004142</v>
      </c>
      <c r="AO323">
        <v>24.710830875472347</v>
      </c>
      <c r="AP323">
        <v>175.40820684634608</v>
      </c>
      <c r="AQ323">
        <v>145.26876942868688</v>
      </c>
      <c r="AR323">
        <v>22.332760447125978</v>
      </c>
      <c r="AS323">
        <v>116.15938969316419</v>
      </c>
      <c r="AT323">
        <v>16.516828849985512</v>
      </c>
      <c r="AU323">
        <v>36.452381644988598</v>
      </c>
      <c r="AV323"/>
      <c r="AW323"/>
      <c r="FY323" s="211">
        <v>318</v>
      </c>
      <c r="FZ323">
        <v>5.9406874772999902</v>
      </c>
      <c r="GA323">
        <v>15.236458944524355</v>
      </c>
      <c r="GB323">
        <v>16.940147160665393</v>
      </c>
      <c r="GC323">
        <v>13.851587074514924</v>
      </c>
      <c r="GD323">
        <v>13.671582473044428</v>
      </c>
      <c r="GE323">
        <v>21.254746758330185</v>
      </c>
      <c r="GF323">
        <v>21.29153797849802</v>
      </c>
      <c r="GG323">
        <v>17.503966958449965</v>
      </c>
      <c r="GH323">
        <v>9.9814005569747053</v>
      </c>
      <c r="GI323">
        <v>19.024250917302133</v>
      </c>
      <c r="GJ323"/>
      <c r="GK323"/>
      <c r="GL323"/>
      <c r="GM323"/>
    </row>
    <row r="324" spans="1:195" s="7" customFormat="1">
      <c r="A324" s="1"/>
      <c r="B324">
        <v>0.41433660804940042</v>
      </c>
      <c r="C324">
        <v>8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67.092693706756208</v>
      </c>
      <c r="AO324">
        <v>27.18589987430725</v>
      </c>
      <c r="AP324">
        <v>158.82904537804015</v>
      </c>
      <c r="AQ324">
        <v>146.23567221605407</v>
      </c>
      <c r="AR324">
        <v>25.005776570608877</v>
      </c>
      <c r="AS324">
        <v>121.22361497885214</v>
      </c>
      <c r="AT324">
        <v>18.711971214860885</v>
      </c>
      <c r="AU324">
        <v>38.646992828736465</v>
      </c>
      <c r="AV324"/>
      <c r="AW324"/>
      <c r="FY324" s="211">
        <v>319</v>
      </c>
      <c r="FZ324">
        <v>5.4680078507136294</v>
      </c>
      <c r="GA324">
        <v>13.56342315848682</v>
      </c>
      <c r="GB324">
        <v>12.279411112351296</v>
      </c>
      <c r="GC324">
        <v>11.782671570643732</v>
      </c>
      <c r="GD324">
        <v>10.826547033544632</v>
      </c>
      <c r="GE324">
        <v>24.662820230386707</v>
      </c>
      <c r="GF324">
        <v>34.255010989796645</v>
      </c>
      <c r="GG324">
        <v>24.209842905159299</v>
      </c>
      <c r="GH324">
        <v>22.240755070260597</v>
      </c>
      <c r="GI324">
        <v>20.481063059478174</v>
      </c>
      <c r="GJ324"/>
      <c r="GK324"/>
      <c r="GL324"/>
      <c r="GM324"/>
    </row>
    <row r="325" spans="1:195" s="7" customFormat="1">
      <c r="A325" s="1"/>
      <c r="B325">
        <v>0.98605655530456615</v>
      </c>
      <c r="C325">
        <v>8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77.311419118057373</v>
      </c>
      <c r="AO325">
        <v>29.070623468813</v>
      </c>
      <c r="AP325">
        <v>177.88274680554687</v>
      </c>
      <c r="AQ325">
        <v>154.20338527619842</v>
      </c>
      <c r="AR325">
        <v>25.910326371107775</v>
      </c>
      <c r="AS325">
        <v>126.78575891026405</v>
      </c>
      <c r="AT325" t="e">
        <v>#DIV/0!</v>
      </c>
      <c r="AU325" t="e">
        <v>#DIV/0!</v>
      </c>
      <c r="AV325"/>
      <c r="AW325"/>
      <c r="FY325" s="211">
        <v>320</v>
      </c>
      <c r="FZ325">
        <v>3.8280787612115841</v>
      </c>
      <c r="GA325">
        <v>16.676233465690579</v>
      </c>
      <c r="GB325">
        <v>14.91823754335614</v>
      </c>
      <c r="GC325">
        <v>13.004952396275442</v>
      </c>
      <c r="GD325">
        <v>15.088974806192626</v>
      </c>
      <c r="GE325">
        <v>30.510500977263018</v>
      </c>
      <c r="GF325">
        <v>31.210397942926122</v>
      </c>
      <c r="GG325">
        <v>16.881181209503112</v>
      </c>
      <c r="GH325">
        <v>11.605991780097821</v>
      </c>
      <c r="GI325">
        <v>21.122507758742447</v>
      </c>
      <c r="GJ325"/>
      <c r="GK325"/>
      <c r="GL325"/>
      <c r="GM325"/>
    </row>
    <row r="326" spans="1:195" s="7" customFormat="1">
      <c r="A326" s="1"/>
      <c r="B326">
        <v>0.75485569772119243</v>
      </c>
      <c r="C326">
        <v>7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79.695835032568183</v>
      </c>
      <c r="AO326">
        <v>30.407925939613222</v>
      </c>
      <c r="AP326">
        <v>192.26589704762068</v>
      </c>
      <c r="AQ326">
        <v>165.14450209154523</v>
      </c>
      <c r="AR326">
        <v>27.883135408570137</v>
      </c>
      <c r="AS326">
        <v>133.95724330383285</v>
      </c>
      <c r="AT326">
        <v>20.810528205336208</v>
      </c>
      <c r="AU326">
        <v>37.826091066138893</v>
      </c>
      <c r="AV326"/>
      <c r="AW326"/>
      <c r="FY326" s="211">
        <v>321</v>
      </c>
      <c r="FZ326">
        <v>6.2747867027782807</v>
      </c>
      <c r="GA326">
        <v>15.083882075376323</v>
      </c>
      <c r="GB326">
        <v>21.440972326786152</v>
      </c>
      <c r="GC326">
        <v>16.979958893306787</v>
      </c>
      <c r="GD326">
        <v>9.6282337903363988</v>
      </c>
      <c r="GE326">
        <v>14.162694494182988</v>
      </c>
      <c r="GF326">
        <v>15.29630763289428</v>
      </c>
      <c r="GG326">
        <v>16.995051522919887</v>
      </c>
      <c r="GH326">
        <v>19.380299301218617</v>
      </c>
      <c r="GI326">
        <v>18.045302542654841</v>
      </c>
      <c r="GJ326"/>
      <c r="GK326"/>
      <c r="GL326"/>
      <c r="GM326"/>
    </row>
    <row r="327" spans="1:195" s="7" customFormat="1">
      <c r="A327" s="1"/>
      <c r="B327">
        <v>0.18845571238777947</v>
      </c>
      <c r="C327">
        <v>8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77.698623887978002</v>
      </c>
      <c r="AO327">
        <v>27.314394700707844</v>
      </c>
      <c r="AP327">
        <v>175.96978053016375</v>
      </c>
      <c r="AQ327">
        <v>151.7172424255692</v>
      </c>
      <c r="AR327">
        <v>24.559088988791945</v>
      </c>
      <c r="AS327">
        <v>120.10769389763638</v>
      </c>
      <c r="AT327" t="e">
        <v>#DIV/0!</v>
      </c>
      <c r="AU327" t="e">
        <v>#DIV/0!</v>
      </c>
      <c r="AV327"/>
      <c r="AW327"/>
      <c r="FY327" s="211">
        <v>322</v>
      </c>
      <c r="FZ327">
        <v>4.6827540827561318</v>
      </c>
      <c r="GA327">
        <v>12.570902327957988</v>
      </c>
      <c r="GB327">
        <v>15.92303409084121</v>
      </c>
      <c r="GC327">
        <v>13.497121632720244</v>
      </c>
      <c r="GD327">
        <v>14.054607837704122</v>
      </c>
      <c r="GE327">
        <v>28.726436851873896</v>
      </c>
      <c r="GF327">
        <v>23.317475891811693</v>
      </c>
      <c r="GG327">
        <v>8.5528944084486671</v>
      </c>
      <c r="GH327">
        <v>6.9167460230138396</v>
      </c>
      <c r="GI327">
        <v>18.660511101649053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85.039323855208835</v>
      </c>
      <c r="AO328">
        <v>31.250577221820333</v>
      </c>
      <c r="AP328">
        <v>231.54131971301783</v>
      </c>
      <c r="AQ328">
        <v>187.95296636423413</v>
      </c>
      <c r="AR328">
        <v>28.568544783976478</v>
      </c>
      <c r="AS328">
        <v>139.7477495914801</v>
      </c>
      <c r="AT328">
        <v>21.038619091822628</v>
      </c>
      <c r="AU328">
        <v>26.760372391436395</v>
      </c>
      <c r="AV328"/>
      <c r="AW328"/>
      <c r="FY328" s="211">
        <v>323</v>
      </c>
      <c r="FZ328">
        <v>1.7944376710000856</v>
      </c>
      <c r="GA328">
        <v>5.6618271255050399</v>
      </c>
      <c r="GB328">
        <v>34.16553591710862</v>
      </c>
      <c r="GC328">
        <v>23.735247727309442</v>
      </c>
      <c r="GD328">
        <v>14.335912630410347</v>
      </c>
      <c r="GE328">
        <v>34.28114534819116</v>
      </c>
      <c r="GF328">
        <v>33.846138975349618</v>
      </c>
      <c r="GG328">
        <v>13.391470600917255</v>
      </c>
      <c r="GH328">
        <v>6.5222635163330764</v>
      </c>
      <c r="GI328">
        <v>25.005022721842792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105.95215684920979</v>
      </c>
      <c r="AO329">
        <v>39.375951673203232</v>
      </c>
      <c r="AP329">
        <v>250.67847208040297</v>
      </c>
      <c r="AQ329">
        <v>211.46648292783584</v>
      </c>
      <c r="AR329">
        <v>35.831280338882905</v>
      </c>
      <c r="AS329">
        <v>162.63704805360345</v>
      </c>
      <c r="AT329" t="e">
        <v>#DIV/0!</v>
      </c>
      <c r="AU329" t="e">
        <v>#DIV/0!</v>
      </c>
      <c r="AV329"/>
      <c r="AW329"/>
      <c r="FY329" s="211">
        <v>324</v>
      </c>
      <c r="FZ329">
        <v>1.1552525899028754</v>
      </c>
      <c r="GA329">
        <v>14.738633788033418</v>
      </c>
      <c r="GB329">
        <v>20.90835315764474</v>
      </c>
      <c r="GC329">
        <v>15.130054909173708</v>
      </c>
      <c r="GD329">
        <v>10.155181265576568</v>
      </c>
      <c r="GE329">
        <v>17.66165275648973</v>
      </c>
      <c r="GF329">
        <v>22.425053702706986</v>
      </c>
      <c r="GG329">
        <v>14.768186672566852</v>
      </c>
      <c r="GH329">
        <v>9.5439443325175333</v>
      </c>
      <c r="GI329">
        <v>17.31212060347044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69.315350394124692</v>
      </c>
      <c r="AO330">
        <v>32.127305844067465</v>
      </c>
      <c r="AP330">
        <v>219.82283741048695</v>
      </c>
      <c r="AQ330">
        <v>189.14893338895226</v>
      </c>
      <c r="AR330">
        <v>29.297644111206051</v>
      </c>
      <c r="AS330">
        <v>135.59634270992834</v>
      </c>
      <c r="AT330">
        <v>23.055808698208342</v>
      </c>
      <c r="AU330">
        <v>35.668463592160549</v>
      </c>
      <c r="AV330"/>
      <c r="AW330"/>
      <c r="FY330" s="211">
        <v>325</v>
      </c>
      <c r="FZ330">
        <v>4.1015957413776629</v>
      </c>
      <c r="GA330">
        <v>11.282418666782451</v>
      </c>
      <c r="GB330">
        <v>14.229141001363772</v>
      </c>
      <c r="GC330">
        <v>16.395795121052743</v>
      </c>
      <c r="GD330">
        <v>12.113939482739749</v>
      </c>
      <c r="GE330">
        <v>14.971420889260655</v>
      </c>
      <c r="GF330">
        <v>33.750201361708839</v>
      </c>
      <c r="GG330">
        <v>28.217124808559415</v>
      </c>
      <c r="GH330">
        <v>11.236459381562403</v>
      </c>
      <c r="GI330">
        <v>19.626389384824144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83.595092408863223</v>
      </c>
      <c r="AO331">
        <v>33.611226390138555</v>
      </c>
      <c r="AP331">
        <v>233.80136283556405</v>
      </c>
      <c r="AQ331">
        <v>200.40047175728313</v>
      </c>
      <c r="AR331">
        <v>31.093089873198299</v>
      </c>
      <c r="AS331">
        <v>152.19909392628526</v>
      </c>
      <c r="AT331">
        <v>22.928829793867123</v>
      </c>
      <c r="AU331">
        <v>30.737965668607316</v>
      </c>
      <c r="AV331"/>
      <c r="AW331"/>
      <c r="FY331" s="211">
        <v>326</v>
      </c>
      <c r="FZ331">
        <v>2.1455130586373397</v>
      </c>
      <c r="GA331">
        <v>15.448440468664927</v>
      </c>
      <c r="GB331">
        <v>26.697937317661019</v>
      </c>
      <c r="GC331">
        <v>15.385127310387798</v>
      </c>
      <c r="GD331">
        <v>9.2322722696861419</v>
      </c>
      <c r="GE331">
        <v>22.626515530524323</v>
      </c>
      <c r="GF331">
        <v>20.685424088590903</v>
      </c>
      <c r="GG331">
        <v>5.6953292088460792</v>
      </c>
      <c r="GH331">
        <v>8.6007640701759343</v>
      </c>
      <c r="GI331">
        <v>17.842313542543259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73.659495311707119</v>
      </c>
      <c r="AO332">
        <v>27.830566847558202</v>
      </c>
      <c r="AP332">
        <v>174.43581246471203</v>
      </c>
      <c r="AQ332">
        <v>151.08869401034761</v>
      </c>
      <c r="AR332">
        <v>25.349723725429367</v>
      </c>
      <c r="AS332">
        <v>119.12402538293236</v>
      </c>
      <c r="AT332" t="e">
        <v>#DIV/0!</v>
      </c>
      <c r="AU332" t="e">
        <v>#DIV/0!</v>
      </c>
      <c r="AV332"/>
      <c r="AW332"/>
      <c r="FY332" s="211">
        <v>327</v>
      </c>
      <c r="FZ332">
        <v>9.9509527227728949</v>
      </c>
      <c r="GA332">
        <v>30.663780597561278</v>
      </c>
      <c r="GB332">
        <v>15.845356302697036</v>
      </c>
      <c r="GC332">
        <v>9.958267960839061</v>
      </c>
      <c r="GD332">
        <v>14.086403280439029</v>
      </c>
      <c r="GE332">
        <v>28.049522802093058</v>
      </c>
      <c r="GF332">
        <v>30.714772151458192</v>
      </c>
      <c r="GG332">
        <v>21.867608174798143</v>
      </c>
      <c r="GH332">
        <v>12.124018878302167</v>
      </c>
      <c r="GI332">
        <v>21.653333189316314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68.032403506135395</v>
      </c>
      <c r="AO333">
        <v>27.584865608012983</v>
      </c>
      <c r="AP333">
        <v>177.26091238530344</v>
      </c>
      <c r="AQ333">
        <v>150.74131703034166</v>
      </c>
      <c r="AR333">
        <v>25.129267751920988</v>
      </c>
      <c r="AS333">
        <v>118.50012682325003</v>
      </c>
      <c r="AT333" t="e">
        <v>#DIV/0!</v>
      </c>
      <c r="AU333" t="e">
        <v>#DIV/0!</v>
      </c>
      <c r="AV333"/>
      <c r="AW333"/>
      <c r="FY333" s="211">
        <v>328</v>
      </c>
      <c r="FZ333">
        <v>2.550678069098212</v>
      </c>
      <c r="GA333">
        <v>12.98405087483113</v>
      </c>
      <c r="GB333">
        <v>19.034317728734575</v>
      </c>
      <c r="GC333">
        <v>16.130391727868499</v>
      </c>
      <c r="GD333">
        <v>13.685443034073144</v>
      </c>
      <c r="GE333">
        <v>21.078526471330584</v>
      </c>
      <c r="GF333">
        <v>22.119436580398421</v>
      </c>
      <c r="GG333">
        <v>19.078825203258681</v>
      </c>
      <c r="GH333">
        <v>14.467386853153206</v>
      </c>
      <c r="GI333">
        <v>19.833766075284494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81.119642270325969</v>
      </c>
      <c r="AO334">
        <v>28.619768381498016</v>
      </c>
      <c r="AP334">
        <v>174.18380781230798</v>
      </c>
      <c r="AQ334">
        <v>154.69636629960411</v>
      </c>
      <c r="AR334">
        <v>26.52992897130521</v>
      </c>
      <c r="AS334">
        <v>128.53929476812152</v>
      </c>
      <c r="AT334">
        <v>19.689128483082964</v>
      </c>
      <c r="AU334">
        <v>32.86627024837339</v>
      </c>
      <c r="AV334"/>
      <c r="AW334"/>
      <c r="FY334" s="211">
        <v>329</v>
      </c>
      <c r="FZ334">
        <v>4.5052885771713891</v>
      </c>
      <c r="GA334">
        <v>12.008399253421345</v>
      </c>
      <c r="GB334">
        <v>40.97760939600613</v>
      </c>
      <c r="GC334">
        <v>27.030336084113735</v>
      </c>
      <c r="GD334">
        <v>11.928566988238103</v>
      </c>
      <c r="GE334">
        <v>22.491359649796376</v>
      </c>
      <c r="GF334">
        <v>20.900404518250504</v>
      </c>
      <c r="GG334">
        <v>19.603884779788793</v>
      </c>
      <c r="GH334">
        <v>20.703162766995035</v>
      </c>
      <c r="GI334">
        <v>25.3857953657512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76.704444517836791</v>
      </c>
      <c r="AO335">
        <v>30.827669533312807</v>
      </c>
      <c r="AP335">
        <v>210.48785635652223</v>
      </c>
      <c r="AQ335">
        <v>179.76955298082154</v>
      </c>
      <c r="AR335">
        <v>27.835343515427436</v>
      </c>
      <c r="AS335">
        <v>128.50700068587938</v>
      </c>
      <c r="AT335">
        <v>21.274182674531691</v>
      </c>
      <c r="AU335">
        <v>37.595064141187521</v>
      </c>
      <c r="AV335"/>
      <c r="AW335"/>
      <c r="FY335" s="211">
        <v>330</v>
      </c>
      <c r="FZ335">
        <v>3.0683006598554217</v>
      </c>
      <c r="GA335">
        <v>10.543434842751751</v>
      </c>
      <c r="GB335">
        <v>17.453262744388844</v>
      </c>
      <c r="GC335">
        <v>16.643566125478308</v>
      </c>
      <c r="GD335">
        <v>13.880158236033243</v>
      </c>
      <c r="GE335">
        <v>24.277688362797715</v>
      </c>
      <c r="GF335">
        <v>24.373914847891577</v>
      </c>
      <c r="GG335">
        <v>9.262208220729498</v>
      </c>
      <c r="GH335">
        <v>4.6171718852195829</v>
      </c>
      <c r="GI335">
        <v>18.538595736680765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79.050900772011687</v>
      </c>
      <c r="AO336">
        <v>32.034734105328383</v>
      </c>
      <c r="AP336">
        <v>195.04867582336064</v>
      </c>
      <c r="AQ336">
        <v>174.84705664125886</v>
      </c>
      <c r="AR336">
        <v>28.814825789096634</v>
      </c>
      <c r="AS336">
        <v>132.58805953618935</v>
      </c>
      <c r="AT336">
        <v>22.728982927259164</v>
      </c>
      <c r="AU336">
        <v>52.642110860352233</v>
      </c>
      <c r="AV336"/>
      <c r="AW336"/>
      <c r="FY336" s="211">
        <v>331</v>
      </c>
      <c r="FZ336">
        <v>1.9994705649596267</v>
      </c>
      <c r="GA336">
        <v>14.645208824396832</v>
      </c>
      <c r="GB336">
        <v>24.292214558468558</v>
      </c>
      <c r="GC336">
        <v>16.466592185688572</v>
      </c>
      <c r="GD336">
        <v>9.6961523955470685</v>
      </c>
      <c r="GE336">
        <v>20.27928711190906</v>
      </c>
      <c r="GF336">
        <v>26.322514894630686</v>
      </c>
      <c r="GG336">
        <v>16.026550692050982</v>
      </c>
      <c r="GH336">
        <v>14.012740702801219</v>
      </c>
      <c r="GI336">
        <v>19.367854686919578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85.142574873530407</v>
      </c>
      <c r="AO337">
        <v>27.195263230425262</v>
      </c>
      <c r="AP337">
        <v>180.79490901774682</v>
      </c>
      <c r="AQ337">
        <v>153.28748928245457</v>
      </c>
      <c r="AR337">
        <v>24.928836687207433</v>
      </c>
      <c r="AS337">
        <v>126.33217867329128</v>
      </c>
      <c r="AT337">
        <v>17.929601183590155</v>
      </c>
      <c r="AU337">
        <v>29.643171763594289</v>
      </c>
      <c r="AV337"/>
      <c r="AW337"/>
      <c r="FY337" s="211">
        <v>332</v>
      </c>
      <c r="FZ337">
        <v>3.3736754147229471</v>
      </c>
      <c r="GA337">
        <v>18.743816756893018</v>
      </c>
      <c r="GB337">
        <v>16.074533377516506</v>
      </c>
      <c r="GC337">
        <v>14.593456845892403</v>
      </c>
      <c r="GD337">
        <v>15.199419158184117</v>
      </c>
      <c r="GE337">
        <v>16.753905639424012</v>
      </c>
      <c r="GF337">
        <v>14.385680129024658</v>
      </c>
      <c r="GG337">
        <v>27.397685036329136</v>
      </c>
      <c r="GH337">
        <v>25.436826558286903</v>
      </c>
      <c r="GI337">
        <v>20.42469213072301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71.028002084017089</v>
      </c>
      <c r="AO338">
        <v>28.193574122050649</v>
      </c>
      <c r="AP338">
        <v>160.22816907484943</v>
      </c>
      <c r="AQ338">
        <v>146.90248424877686</v>
      </c>
      <c r="AR338">
        <v>25.464585715786747</v>
      </c>
      <c r="AS338">
        <v>117.71918614250207</v>
      </c>
      <c r="AT338">
        <v>19.833801293512824</v>
      </c>
      <c r="AU338">
        <v>56.428035002737616</v>
      </c>
      <c r="AV338"/>
      <c r="AW338"/>
      <c r="FY338" s="211">
        <v>333</v>
      </c>
      <c r="FZ338">
        <v>2.04175033699154</v>
      </c>
      <c r="GA338">
        <v>4.2726442943416716</v>
      </c>
      <c r="GB338">
        <v>31.001105425029813</v>
      </c>
      <c r="GC338">
        <v>24.246961641499233</v>
      </c>
      <c r="GD338">
        <v>16.581547862222919</v>
      </c>
      <c r="GE338">
        <v>31.163843492053406</v>
      </c>
      <c r="GF338">
        <v>26.993073504912282</v>
      </c>
      <c r="GG338">
        <v>25.225344048139284</v>
      </c>
      <c r="GH338">
        <v>25.26804381327506</v>
      </c>
      <c r="GI338">
        <v>27.255898692799626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84.3555698706366</v>
      </c>
      <c r="AO339">
        <v>38.253287307150245</v>
      </c>
      <c r="AP339">
        <v>225.17551483116998</v>
      </c>
      <c r="AQ339">
        <v>192.73900223396743</v>
      </c>
      <c r="AR339">
        <v>34.271803368984905</v>
      </c>
      <c r="AS339">
        <v>158.28497787861818</v>
      </c>
      <c r="AT339" t="e">
        <v>#DIV/0!</v>
      </c>
      <c r="AU339" t="e">
        <v>#DIV/0!</v>
      </c>
      <c r="AV339"/>
      <c r="AW339"/>
      <c r="FY339" s="211">
        <v>334</v>
      </c>
      <c r="FZ339">
        <v>2.6898009195461641</v>
      </c>
      <c r="GA339">
        <v>22.282294722269761</v>
      </c>
      <c r="GB339">
        <v>24.275232862777472</v>
      </c>
      <c r="GC339">
        <v>12.522139232278818</v>
      </c>
      <c r="GD339">
        <v>10.801389962276208</v>
      </c>
      <c r="GE339">
        <v>23.719399288888855</v>
      </c>
      <c r="GF339">
        <v>26.278865131463775</v>
      </c>
      <c r="GG339">
        <v>15.895216040486243</v>
      </c>
      <c r="GH339">
        <v>9.3313677504489068</v>
      </c>
      <c r="GI339">
        <v>19.407164629589914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66.319509400432295</v>
      </c>
      <c r="AO340">
        <v>26.490777472331722</v>
      </c>
      <c r="AP340">
        <v>170.67749083478103</v>
      </c>
      <c r="AQ340">
        <v>143.79843377808288</v>
      </c>
      <c r="AR340">
        <v>23.85911377728079</v>
      </c>
      <c r="AS340">
        <v>112.15827262151882</v>
      </c>
      <c r="AT340" t="e">
        <v>#DIV/0!</v>
      </c>
      <c r="AU340" t="e">
        <v>#DIV/0!</v>
      </c>
      <c r="AV340"/>
      <c r="AW340"/>
      <c r="FY340" s="211">
        <v>335</v>
      </c>
      <c r="FZ340">
        <v>2.6556318082158006</v>
      </c>
      <c r="GA340">
        <v>4.6658973368996968</v>
      </c>
      <c r="GB340">
        <v>7.1562983858645515</v>
      </c>
      <c r="GC340">
        <v>11.104381474511255</v>
      </c>
      <c r="GD340">
        <v>15.220052008639126</v>
      </c>
      <c r="GE340">
        <v>24.974982535540743</v>
      </c>
      <c r="GF340">
        <v>27.105733554176904</v>
      </c>
      <c r="GG340">
        <v>32.113847300070397</v>
      </c>
      <c r="GH340">
        <v>27.140312531511537</v>
      </c>
      <c r="GI340">
        <v>20.832361211858991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75.717054310071859</v>
      </c>
      <c r="AO341">
        <v>29.861044867481088</v>
      </c>
      <c r="AP341">
        <v>194.46404425169828</v>
      </c>
      <c r="AQ341">
        <v>165.92448583923183</v>
      </c>
      <c r="AR341">
        <v>27.202925956080666</v>
      </c>
      <c r="AS341">
        <v>129.53032872018827</v>
      </c>
      <c r="AT341" t="e">
        <v>#DIV/0!</v>
      </c>
      <c r="AU341" t="e">
        <v>#DIV/0!</v>
      </c>
      <c r="AV341"/>
      <c r="AW341"/>
      <c r="FY341" s="211">
        <v>336</v>
      </c>
      <c r="FZ341">
        <v>4.4997334220633105</v>
      </c>
      <c r="GA341">
        <v>16.34522130651775</v>
      </c>
      <c r="GB341">
        <v>13.393572006610878</v>
      </c>
      <c r="GC341">
        <v>14.133663017033614</v>
      </c>
      <c r="GD341">
        <v>12.856200245181995</v>
      </c>
      <c r="GE341">
        <v>19.766048816394868</v>
      </c>
      <c r="GF341">
        <v>27.466931328245654</v>
      </c>
      <c r="GG341">
        <v>24.59168933616397</v>
      </c>
      <c r="GH341">
        <v>20.912409422401385</v>
      </c>
      <c r="GI341">
        <v>20.286203149401121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69.588424920733388</v>
      </c>
      <c r="AO342">
        <v>26.696146097676216</v>
      </c>
      <c r="AP342">
        <v>171.44872508446483</v>
      </c>
      <c r="AQ342">
        <v>144.35963686571773</v>
      </c>
      <c r="AR342">
        <v>24.311278134521029</v>
      </c>
      <c r="AS342">
        <v>116.47180183809991</v>
      </c>
      <c r="AT342">
        <v>18.41258766518343</v>
      </c>
      <c r="AU342">
        <v>36.716188594874318</v>
      </c>
      <c r="AV342"/>
      <c r="AW342"/>
      <c r="FY342" s="211">
        <v>337</v>
      </c>
      <c r="FZ342">
        <v>1.9534548397587197</v>
      </c>
      <c r="GA342">
        <v>14.838920253601259</v>
      </c>
      <c r="GB342">
        <v>11.555144781914025</v>
      </c>
      <c r="GC342">
        <v>11.712197195393523</v>
      </c>
      <c r="GD342">
        <v>11.981667920416733</v>
      </c>
      <c r="GE342">
        <v>21.24103614566727</v>
      </c>
      <c r="GF342">
        <v>30.562795504771838</v>
      </c>
      <c r="GG342">
        <v>18.968480567034561</v>
      </c>
      <c r="GH342">
        <v>11.663890545867382</v>
      </c>
      <c r="GI342">
        <v>18.034814218832125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106.47010560244465</v>
      </c>
      <c r="AO343">
        <v>32.86432003472801</v>
      </c>
      <c r="AP343">
        <v>221.82185104462275</v>
      </c>
      <c r="AQ343">
        <v>194.91401606027716</v>
      </c>
      <c r="AR343">
        <v>29.736399954339991</v>
      </c>
      <c r="AS343">
        <v>147.50330187035735</v>
      </c>
      <c r="AT343" t="e">
        <v>#DIV/0!</v>
      </c>
      <c r="AU343" t="e">
        <v>#DIV/0!</v>
      </c>
      <c r="AV343"/>
      <c r="AW343"/>
      <c r="FY343" s="211">
        <v>338</v>
      </c>
      <c r="FZ343">
        <v>5.0419295611986712</v>
      </c>
      <c r="GA343">
        <v>27.289809673363191</v>
      </c>
      <c r="GB343">
        <v>25.072095714020975</v>
      </c>
      <c r="GC343">
        <v>14.143643567206324</v>
      </c>
      <c r="GD343">
        <v>11.552086221094385</v>
      </c>
      <c r="GE343">
        <v>21.753774938628361</v>
      </c>
      <c r="GF343">
        <v>29.330948166488657</v>
      </c>
      <c r="GG343">
        <v>24.4804435881695</v>
      </c>
      <c r="GH343">
        <v>15.363884203385251</v>
      </c>
      <c r="GI343">
        <v>22.024221653651797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78.184275129827796</v>
      </c>
      <c r="AO344">
        <v>29.980090916166102</v>
      </c>
      <c r="AP344">
        <v>183.81679623411802</v>
      </c>
      <c r="AQ344">
        <v>160.96282261803097</v>
      </c>
      <c r="AR344">
        <v>27.478234122462641</v>
      </c>
      <c r="AS344">
        <v>132.39052891793864</v>
      </c>
      <c r="AT344">
        <v>20.24337282393677</v>
      </c>
      <c r="AU344">
        <v>39.437966639422861</v>
      </c>
      <c r="AV344"/>
      <c r="AW344"/>
      <c r="FY344" s="211">
        <v>339</v>
      </c>
      <c r="FZ344">
        <v>2.159205067629542</v>
      </c>
      <c r="GA344">
        <v>8.188653056647631</v>
      </c>
      <c r="GB344">
        <v>22.498659992606157</v>
      </c>
      <c r="GC344">
        <v>16.449831480512639</v>
      </c>
      <c r="GD344">
        <v>10.514282090406164</v>
      </c>
      <c r="GE344">
        <v>20.885988125305399</v>
      </c>
      <c r="GF344">
        <v>31.698387633384336</v>
      </c>
      <c r="GG344">
        <v>20.784090864415933</v>
      </c>
      <c r="GH344">
        <v>8.0358450154667036</v>
      </c>
      <c r="GI344">
        <v>19.559767510337338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97.440856260727969</v>
      </c>
      <c r="AO345">
        <v>38.597938295844656</v>
      </c>
      <c r="AP345">
        <v>249.71603404116709</v>
      </c>
      <c r="AQ345">
        <v>205.53480737953259</v>
      </c>
      <c r="AR345">
        <v>35.277789896328649</v>
      </c>
      <c r="AS345">
        <v>171.7514722037682</v>
      </c>
      <c r="AT345">
        <v>25.613741913241636</v>
      </c>
      <c r="AU345">
        <v>37.570747144980615</v>
      </c>
      <c r="AV345"/>
      <c r="AW345"/>
      <c r="FY345" s="211">
        <v>340</v>
      </c>
      <c r="FZ345">
        <v>5.7434735169503774</v>
      </c>
      <c r="GA345">
        <v>16.709840133598835</v>
      </c>
      <c r="GB345">
        <v>23.178409235935614</v>
      </c>
      <c r="GC345">
        <v>16.036805121408896</v>
      </c>
      <c r="GD345">
        <v>8.5664042390407538</v>
      </c>
      <c r="GE345">
        <v>11.309868195654687</v>
      </c>
      <c r="GF345">
        <v>18.437080001554509</v>
      </c>
      <c r="GG345">
        <v>24.042876661784867</v>
      </c>
      <c r="GH345">
        <v>19.335566160148428</v>
      </c>
      <c r="GI345">
        <v>18.383706767618854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71.047512862877809</v>
      </c>
      <c r="AO346">
        <v>28.097334506728998</v>
      </c>
      <c r="AP346">
        <v>157.65540289904121</v>
      </c>
      <c r="AQ346">
        <v>142.6583016618267</v>
      </c>
      <c r="AR346">
        <v>25.365379720730484</v>
      </c>
      <c r="AS346">
        <v>126.39497428305344</v>
      </c>
      <c r="AT346">
        <v>19.662926039322638</v>
      </c>
      <c r="AU346">
        <v>52.365349473273454</v>
      </c>
      <c r="AV346"/>
      <c r="AW346"/>
      <c r="FY346" s="211">
        <v>341</v>
      </c>
      <c r="FZ346">
        <v>3.3785422569453347</v>
      </c>
      <c r="GA346">
        <v>17.3036034947689</v>
      </c>
      <c r="GB346">
        <v>15.683332973927051</v>
      </c>
      <c r="GC346">
        <v>13.083807925814614</v>
      </c>
      <c r="GD346">
        <v>12.675262883547777</v>
      </c>
      <c r="GE346">
        <v>20.740891540921588</v>
      </c>
      <c r="GF346">
        <v>21.670640189966893</v>
      </c>
      <c r="GG346">
        <v>11.724541310866275</v>
      </c>
      <c r="GH346">
        <v>9.3030877156412917</v>
      </c>
      <c r="GI346">
        <v>17.585136435964539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77.652475425114432</v>
      </c>
      <c r="AO347">
        <v>29.219093526238687</v>
      </c>
      <c r="AP347">
        <v>195.56336178710282</v>
      </c>
      <c r="AQ347">
        <v>163.10858661737217</v>
      </c>
      <c r="AR347">
        <v>26.469072621368888</v>
      </c>
      <c r="AS347">
        <v>177.78299402010069</v>
      </c>
      <c r="AT347">
        <v>19.813167235003903</v>
      </c>
      <c r="AU347">
        <v>22.119618252450813</v>
      </c>
      <c r="AV347"/>
      <c r="AW347"/>
      <c r="FY347" s="211">
        <v>342</v>
      </c>
      <c r="FZ347">
        <v>4.6274996356432982</v>
      </c>
      <c r="GA347">
        <v>16.61729578082312</v>
      </c>
      <c r="GB347">
        <v>11.799492804545462</v>
      </c>
      <c r="GC347">
        <v>10.649412600586739</v>
      </c>
      <c r="GD347">
        <v>13.941516847905978</v>
      </c>
      <c r="GE347">
        <v>25.299831406811879</v>
      </c>
      <c r="GF347">
        <v>29.155294464121251</v>
      </c>
      <c r="GG347">
        <v>26.936569417295463</v>
      </c>
      <c r="GH347">
        <v>18.545030643418407</v>
      </c>
      <c r="GI347">
        <v>20.481855919295782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71.433396114823054</v>
      </c>
      <c r="AO348">
        <v>30.871089729805174</v>
      </c>
      <c r="AP348">
        <v>196.31986823742562</v>
      </c>
      <c r="AQ348">
        <v>172.38369104699672</v>
      </c>
      <c r="AR348">
        <v>28.775142237145747</v>
      </c>
      <c r="AS348">
        <v>177.88931009465401</v>
      </c>
      <c r="AT348">
        <v>21.751455848370814</v>
      </c>
      <c r="AU348">
        <v>-20.695099680216416</v>
      </c>
      <c r="AV348"/>
      <c r="AW348"/>
      <c r="FY348" s="211">
        <v>343</v>
      </c>
      <c r="FZ348">
        <v>5.2922084600826906</v>
      </c>
      <c r="GA348">
        <v>14.057917575502421</v>
      </c>
      <c r="GB348">
        <v>18.610595596618282</v>
      </c>
      <c r="GC348">
        <v>13.726527009312994</v>
      </c>
      <c r="GD348">
        <v>11.008086849448485</v>
      </c>
      <c r="GE348">
        <v>23.467113114267306</v>
      </c>
      <c r="GF348">
        <v>23.729081783645647</v>
      </c>
      <c r="GG348">
        <v>33.187864664221998</v>
      </c>
      <c r="GH348">
        <v>37.894897654408879</v>
      </c>
      <c r="GI348">
        <v>22.62891574136378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97.338604345684402</v>
      </c>
      <c r="AO349">
        <v>41.250379221267721</v>
      </c>
      <c r="AP349">
        <v>248.23181886580534</v>
      </c>
      <c r="AQ349">
        <v>214.05021311126484</v>
      </c>
      <c r="AR349">
        <v>37.878986081980905</v>
      </c>
      <c r="AS349">
        <v>184.73104351169604</v>
      </c>
      <c r="AT349">
        <v>27.70165394313177</v>
      </c>
      <c r="AU349">
        <v>39.596760673023674</v>
      </c>
      <c r="AV349"/>
      <c r="AW349"/>
      <c r="FY349" s="211">
        <v>344</v>
      </c>
      <c r="FZ349">
        <v>3.4075556268047054</v>
      </c>
      <c r="GA349">
        <v>13.40323636591679</v>
      </c>
      <c r="GB349">
        <v>14.092296020832784</v>
      </c>
      <c r="GC349">
        <v>12.989648374766578</v>
      </c>
      <c r="GD349">
        <v>13.551592878081772</v>
      </c>
      <c r="GE349">
        <v>27.70558593151225</v>
      </c>
      <c r="GF349">
        <v>51.728149111658752</v>
      </c>
      <c r="GG349">
        <v>42.887234012835208</v>
      </c>
      <c r="GH349">
        <v>21.808906772633431</v>
      </c>
      <c r="GI349">
        <v>25.41107116378188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82.256843741829812</v>
      </c>
      <c r="AO350">
        <v>29.313617354541812</v>
      </c>
      <c r="AP350">
        <v>198.77281845538309</v>
      </c>
      <c r="AQ350">
        <v>167.20287054002611</v>
      </c>
      <c r="AR350">
        <v>26.633471843876478</v>
      </c>
      <c r="AS350">
        <v>135.70404677941357</v>
      </c>
      <c r="AT350">
        <v>19.901848418515328</v>
      </c>
      <c r="AU350">
        <v>25.211143699466962</v>
      </c>
      <c r="AV350"/>
      <c r="AW350"/>
      <c r="FY350" s="211">
        <v>345</v>
      </c>
      <c r="FZ350">
        <v>1.0805032381164461</v>
      </c>
      <c r="GA350">
        <v>14.030399184143615</v>
      </c>
      <c r="GB350">
        <v>37.472215516533367</v>
      </c>
      <c r="GC350">
        <v>24.11135548094088</v>
      </c>
      <c r="GD350">
        <v>9.9252628311011186</v>
      </c>
      <c r="GE350">
        <v>25.688824818698219</v>
      </c>
      <c r="GF350">
        <v>38.265464235215958</v>
      </c>
      <c r="GG350">
        <v>18.706240180057456</v>
      </c>
      <c r="GH350">
        <v>13.152521936855665</v>
      </c>
      <c r="GI350">
        <v>24.849284107116659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63.510762617012617</v>
      </c>
      <c r="AO351">
        <v>31.370871232586534</v>
      </c>
      <c r="AP351">
        <v>192.97825454828805</v>
      </c>
      <c r="AQ351">
        <v>172.96949814728902</v>
      </c>
      <c r="AR351">
        <v>29.056363687652517</v>
      </c>
      <c r="AS351">
        <v>129.25370951338175</v>
      </c>
      <c r="AT351">
        <v>22.419192390145497</v>
      </c>
      <c r="AU351">
        <v>15.653774954819127</v>
      </c>
      <c r="AV351"/>
      <c r="AW351"/>
      <c r="FY351" s="211">
        <v>346</v>
      </c>
      <c r="FZ351">
        <v>3.1340386466386265</v>
      </c>
      <c r="GA351">
        <v>10.570672506197404</v>
      </c>
      <c r="GB351">
        <v>26.668249463152495</v>
      </c>
      <c r="GC351">
        <v>21.279700340643355</v>
      </c>
      <c r="GD351">
        <v>14.356565865854087</v>
      </c>
      <c r="GE351">
        <v>28.560349655794138</v>
      </c>
      <c r="GF351">
        <v>25.119339995750334</v>
      </c>
      <c r="GG351">
        <v>19.232096453471499</v>
      </c>
      <c r="GH351">
        <v>21.119623007120239</v>
      </c>
      <c r="GI351">
        <v>23.918853942532479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77.201795302479013</v>
      </c>
      <c r="AO352">
        <v>30.63629792699917</v>
      </c>
      <c r="AP352">
        <v>201.34756795440137</v>
      </c>
      <c r="AQ352">
        <v>174.25167205001458</v>
      </c>
      <c r="AR352">
        <v>27.980904630366854</v>
      </c>
      <c r="AS352">
        <v>133.43315999301248</v>
      </c>
      <c r="AT352">
        <v>21.153073995172186</v>
      </c>
      <c r="AU352">
        <v>43.676561412288109</v>
      </c>
      <c r="AV352"/>
      <c r="AW352"/>
      <c r="FY352" s="211">
        <v>347</v>
      </c>
      <c r="FZ352">
        <v>1.5213201044710929</v>
      </c>
      <c r="GA352">
        <v>11.989123109587506</v>
      </c>
      <c r="GB352">
        <v>21.926290148215831</v>
      </c>
      <c r="GC352">
        <v>16.009798727747341</v>
      </c>
      <c r="GD352">
        <v>11.745731780882778</v>
      </c>
      <c r="GE352">
        <v>16.332806153146695</v>
      </c>
      <c r="GF352">
        <v>18.318866177910241</v>
      </c>
      <c r="GG352">
        <v>13.857468654931616</v>
      </c>
      <c r="GH352">
        <v>6.8002541169415531</v>
      </c>
      <c r="GI352">
        <v>17.319913041773468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64.781497277364195</v>
      </c>
      <c r="AO353">
        <v>27.288319536896573</v>
      </c>
      <c r="AP353">
        <v>175.11592309327412</v>
      </c>
      <c r="AQ353">
        <v>152.51240197325745</v>
      </c>
      <c r="AR353">
        <v>24.604865435980393</v>
      </c>
      <c r="AS353">
        <v>123.13930906776721</v>
      </c>
      <c r="AT353">
        <v>19.283602687262654</v>
      </c>
      <c r="AU353">
        <v>-1.8278430996691102</v>
      </c>
      <c r="AV353"/>
      <c r="AW353"/>
      <c r="FY353" s="211">
        <v>348</v>
      </c>
      <c r="FZ353">
        <v>2.0483782531296786</v>
      </c>
      <c r="GA353">
        <v>12.476273045905895</v>
      </c>
      <c r="GB353">
        <v>20.545292759433185</v>
      </c>
      <c r="GC353">
        <v>15.993702920202004</v>
      </c>
      <c r="GD353">
        <v>11.472088003024096</v>
      </c>
      <c r="GE353">
        <v>20.83451042237412</v>
      </c>
      <c r="GF353">
        <v>23.789043009853287</v>
      </c>
      <c r="GG353">
        <v>23.447368980361514</v>
      </c>
      <c r="GH353">
        <v>23.322488271767057</v>
      </c>
      <c r="GI353">
        <v>20.600720001687971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86.655155743682542</v>
      </c>
      <c r="AO354">
        <v>33.509796819031443</v>
      </c>
      <c r="AP354">
        <v>237.52539114765176</v>
      </c>
      <c r="AQ354">
        <v>196.05283728720713</v>
      </c>
      <c r="AR354">
        <v>30.493529021356849</v>
      </c>
      <c r="AS354">
        <v>140.6190093118179</v>
      </c>
      <c r="AT354" t="e">
        <v>#DIV/0!</v>
      </c>
      <c r="AU354" t="e">
        <v>#DIV/0!</v>
      </c>
      <c r="AV354"/>
      <c r="AW354"/>
      <c r="FY354" s="211">
        <v>349</v>
      </c>
      <c r="FZ354">
        <v>2.3004472469550397</v>
      </c>
      <c r="GA354">
        <v>11.991156816783082</v>
      </c>
      <c r="GB354">
        <v>16.191782326692159</v>
      </c>
      <c r="GC354">
        <v>18.852842194405977</v>
      </c>
      <c r="GD354">
        <v>15.377744924758655</v>
      </c>
      <c r="GE354">
        <v>26.029197957987449</v>
      </c>
      <c r="GF354">
        <v>31.705318199425133</v>
      </c>
      <c r="GG354">
        <v>17.578171251460489</v>
      </c>
      <c r="GH354">
        <v>16.102128881175723</v>
      </c>
      <c r="GI354">
        <v>22.201277938128662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77.367579858118972</v>
      </c>
      <c r="AO355">
        <v>29.676651430217373</v>
      </c>
      <c r="AP355">
        <v>191.4918277154442</v>
      </c>
      <c r="AQ355">
        <v>160.77471083671182</v>
      </c>
      <c r="AR355">
        <v>26.908705149598337</v>
      </c>
      <c r="AS355">
        <v>126.25420565567372</v>
      </c>
      <c r="AT355" t="e">
        <v>#DIV/0!</v>
      </c>
      <c r="AU355" t="e">
        <v>#DIV/0!</v>
      </c>
      <c r="AV355"/>
      <c r="AW355"/>
      <c r="FY355" s="211">
        <v>350</v>
      </c>
      <c r="FZ355">
        <v>5.1900637766498479</v>
      </c>
      <c r="GA355">
        <v>19.206325510170839</v>
      </c>
      <c r="GB355">
        <v>18.496720213257891</v>
      </c>
      <c r="GC355">
        <v>14.004147412749059</v>
      </c>
      <c r="GD355">
        <v>11.990006478077639</v>
      </c>
      <c r="GE355">
        <v>25.324581556369754</v>
      </c>
      <c r="GF355">
        <v>34.973576730712644</v>
      </c>
      <c r="GG355">
        <v>17.268755973404517</v>
      </c>
      <c r="GH355">
        <v>8.4632761797716842</v>
      </c>
      <c r="GI355">
        <v>20.622822401277297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82.381379747862638</v>
      </c>
      <c r="AO356">
        <v>27.835113405143403</v>
      </c>
      <c r="AP356">
        <v>197.68136264346995</v>
      </c>
      <c r="AQ356">
        <v>161.74403003369582</v>
      </c>
      <c r="AR356">
        <v>25.716195073292067</v>
      </c>
      <c r="AS356">
        <v>124.18962494759688</v>
      </c>
      <c r="AT356">
        <v>18.270718854864406</v>
      </c>
      <c r="AU356">
        <v>27.227770930368536</v>
      </c>
      <c r="AV356"/>
      <c r="AW356"/>
      <c r="FY356" s="211">
        <v>351</v>
      </c>
      <c r="FZ356">
        <v>5.3580569612543769</v>
      </c>
      <c r="GA356">
        <v>21.096245211297592</v>
      </c>
      <c r="GB356">
        <v>23.690828404065954</v>
      </c>
      <c r="GC356">
        <v>18.590593081566158</v>
      </c>
      <c r="GD356">
        <v>14.552861941787191</v>
      </c>
      <c r="GE356">
        <v>26.011261820088183</v>
      </c>
      <c r="GF356">
        <v>29.652620077406297</v>
      </c>
      <c r="GG356">
        <v>13.517749297865494</v>
      </c>
      <c r="GH356">
        <v>6.9167460230138396</v>
      </c>
      <c r="GI356">
        <v>22.236902501220737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73.726549120951177</v>
      </c>
      <c r="AO357">
        <v>26.236025771736109</v>
      </c>
      <c r="AP357">
        <v>160.25010520417712</v>
      </c>
      <c r="AQ357">
        <v>143.14884672836425</v>
      </c>
      <c r="AR357">
        <v>24.124596346744827</v>
      </c>
      <c r="AS357">
        <v>121.80993286181159</v>
      </c>
      <c r="AT357">
        <v>18.566349700778279</v>
      </c>
      <c r="AU357">
        <v>33.989425936435865</v>
      </c>
      <c r="AV357"/>
      <c r="AW357"/>
      <c r="FY357" s="211">
        <v>352</v>
      </c>
      <c r="FZ357">
        <v>4.5377581569259053</v>
      </c>
      <c r="GA357">
        <v>18.914168392747541</v>
      </c>
      <c r="GB357">
        <v>23.011947432267402</v>
      </c>
      <c r="GC357">
        <v>14.937959331187953</v>
      </c>
      <c r="GD357">
        <v>9.2504374203493249</v>
      </c>
      <c r="GE357">
        <v>17.653045511262611</v>
      </c>
      <c r="GF357">
        <v>21.976273151067755</v>
      </c>
      <c r="GG357">
        <v>9.8641438182792882</v>
      </c>
      <c r="GH357">
        <v>5.3702158662559931</v>
      </c>
      <c r="GI357">
        <v>16.999460448396082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89.083323351537658</v>
      </c>
      <c r="AO358">
        <v>31.104954783198259</v>
      </c>
      <c r="AP358">
        <v>201.38807982872518</v>
      </c>
      <c r="AQ358">
        <v>178.0537995204474</v>
      </c>
      <c r="AR358">
        <v>28.22341931642249</v>
      </c>
      <c r="AS358">
        <v>141.93508368828498</v>
      </c>
      <c r="AT358" t="e">
        <v>#DIV/0!</v>
      </c>
      <c r="AU358" t="e">
        <v>#DIV/0!</v>
      </c>
      <c r="AV358"/>
      <c r="AW358"/>
      <c r="FY358" s="211">
        <v>353</v>
      </c>
      <c r="FZ358">
        <v>8.5050702829739233</v>
      </c>
      <c r="GA358">
        <v>24.549149174608836</v>
      </c>
      <c r="GB358">
        <v>20.442991129865234</v>
      </c>
      <c r="GC358">
        <v>15.836023946702065</v>
      </c>
      <c r="GD358">
        <v>14.357875113585429</v>
      </c>
      <c r="GE358">
        <v>22.298363917888839</v>
      </c>
      <c r="GF358">
        <v>24.171892260890555</v>
      </c>
      <c r="GG358">
        <v>13.536186008753027</v>
      </c>
      <c r="GH358">
        <v>5.912694620201786</v>
      </c>
      <c r="GI358">
        <v>20.549604214159576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83.202369001129767</v>
      </c>
      <c r="AO359">
        <v>34.45051191934057</v>
      </c>
      <c r="AP359">
        <v>242.3570669825931</v>
      </c>
      <c r="AQ359">
        <v>203.60320844887249</v>
      </c>
      <c r="AR359">
        <v>31.294757811479361</v>
      </c>
      <c r="AS359">
        <v>149.84171388464901</v>
      </c>
      <c r="AT359">
        <v>23.298424652776642</v>
      </c>
      <c r="AU359">
        <v>29.869391043699743</v>
      </c>
      <c r="AV359"/>
      <c r="AW359"/>
      <c r="FY359" s="211">
        <v>354</v>
      </c>
      <c r="FZ359">
        <v>5.4323298016372812</v>
      </c>
      <c r="GA359">
        <v>15.880371487662597</v>
      </c>
      <c r="GB359">
        <v>19.468410181457706</v>
      </c>
      <c r="GC359">
        <v>14.70449934044038</v>
      </c>
      <c r="GD359">
        <v>13.516357345944192</v>
      </c>
      <c r="GE359">
        <v>29.459427125132919</v>
      </c>
      <c r="GF359">
        <v>33.777136428732177</v>
      </c>
      <c r="GG359">
        <v>16.75204717990739</v>
      </c>
      <c r="GH359">
        <v>10.62689048543111</v>
      </c>
      <c r="GI359">
        <v>21.899828985309462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87.893740043768872</v>
      </c>
      <c r="AO360">
        <v>38.574545838612224</v>
      </c>
      <c r="AP360">
        <v>269.21098385557389</v>
      </c>
      <c r="AQ360">
        <v>226.98527625882417</v>
      </c>
      <c r="AR360">
        <v>34.911981295874291</v>
      </c>
      <c r="AS360">
        <v>163.15410379201745</v>
      </c>
      <c r="AT360">
        <v>27.992444573700027</v>
      </c>
      <c r="AU360">
        <v>51.838423949531489</v>
      </c>
      <c r="AV360"/>
      <c r="AW360"/>
      <c r="FY360" s="211">
        <v>355</v>
      </c>
      <c r="FZ360">
        <v>6.1707704310412073</v>
      </c>
      <c r="GA360">
        <v>20.13586250501676</v>
      </c>
      <c r="GB360">
        <v>27.256146694970209</v>
      </c>
      <c r="GC360">
        <v>17.949975527492381</v>
      </c>
      <c r="GD360">
        <v>10.072916101256471</v>
      </c>
      <c r="GE360">
        <v>19.628562150575014</v>
      </c>
      <c r="GF360">
        <v>30.097697671472726</v>
      </c>
      <c r="GG360">
        <v>15.217996732254697</v>
      </c>
      <c r="GH360">
        <v>4.209208646977145</v>
      </c>
      <c r="GI360">
        <v>20.158007532591338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90.462903034302812</v>
      </c>
      <c r="AO361">
        <v>37.858547799184656</v>
      </c>
      <c r="AP361">
        <v>256.08607131555431</v>
      </c>
      <c r="AQ361">
        <v>207.2820715287794</v>
      </c>
      <c r="AR361">
        <v>33.836467025887259</v>
      </c>
      <c r="AS361">
        <v>160.2975687950518</v>
      </c>
      <c r="AT361">
        <v>25.687006079950866</v>
      </c>
      <c r="AU361">
        <v>34.926259154670923</v>
      </c>
      <c r="AV361"/>
      <c r="AW361"/>
      <c r="FY361" s="211">
        <v>356</v>
      </c>
      <c r="FZ361">
        <v>2.6665147615232567</v>
      </c>
      <c r="GA361">
        <v>9.3398931299167387</v>
      </c>
      <c r="GB361">
        <v>20.442807240888317</v>
      </c>
      <c r="GC361">
        <v>17.49007722529683</v>
      </c>
      <c r="GD361">
        <v>15.631711014290387</v>
      </c>
      <c r="GE361">
        <v>31.518707810472872</v>
      </c>
      <c r="GF361">
        <v>32.019334400852706</v>
      </c>
      <c r="GG361">
        <v>20.107786806539764</v>
      </c>
      <c r="GH361">
        <v>16.261594505024419</v>
      </c>
      <c r="GI361">
        <v>23.658715534751998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88.192974939913157</v>
      </c>
      <c r="AO362">
        <v>36.522546696627124</v>
      </c>
      <c r="AP362">
        <v>223.12479062282847</v>
      </c>
      <c r="AQ362">
        <v>193.95948987715465</v>
      </c>
      <c r="AR362">
        <v>32.825443108513163</v>
      </c>
      <c r="AS362">
        <v>160.64912236579201</v>
      </c>
      <c r="AT362" t="e">
        <v>#DIV/0!</v>
      </c>
      <c r="AU362" t="e">
        <v>#DIV/0!</v>
      </c>
      <c r="AV362"/>
      <c r="AW362"/>
      <c r="FY362" s="211">
        <v>357</v>
      </c>
      <c r="FZ362">
        <v>2.8734949276319597</v>
      </c>
      <c r="GA362">
        <v>11.931520061727159</v>
      </c>
      <c r="GB362">
        <v>28.379909671657856</v>
      </c>
      <c r="GC362">
        <v>20.453911656435423</v>
      </c>
      <c r="GD362">
        <v>11.727062859546079</v>
      </c>
      <c r="GE362">
        <v>20.676695716653384</v>
      </c>
      <c r="GF362">
        <v>36.046098057146622</v>
      </c>
      <c r="GG362">
        <v>29.172727326290921</v>
      </c>
      <c r="GH362">
        <v>18.105583188453288</v>
      </c>
      <c r="GI362">
        <v>24.286821250425703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65.557429977510239</v>
      </c>
      <c r="AO363">
        <v>26.017135677392467</v>
      </c>
      <c r="AP363">
        <v>158.02731731568448</v>
      </c>
      <c r="AQ363">
        <v>135.82157201560813</v>
      </c>
      <c r="AR363">
        <v>24.195387122553239</v>
      </c>
      <c r="AS363">
        <v>114.67496094866083</v>
      </c>
      <c r="AT363">
        <v>17.824723562456885</v>
      </c>
      <c r="AU363">
        <v>31.960967070711618</v>
      </c>
      <c r="AV363"/>
      <c r="AW363"/>
      <c r="FY363" s="211">
        <v>358</v>
      </c>
      <c r="FZ363">
        <v>1.9409057714974578</v>
      </c>
      <c r="GA363">
        <v>8.5179190334672317</v>
      </c>
      <c r="GB363">
        <v>25.829011378784958</v>
      </c>
      <c r="GC363">
        <v>16.64160556229346</v>
      </c>
      <c r="GD363">
        <v>6.9821291532921306</v>
      </c>
      <c r="GE363">
        <v>16.715014369244901</v>
      </c>
      <c r="GF363">
        <v>27.429360802482648</v>
      </c>
      <c r="GG363">
        <v>17.946961373593027</v>
      </c>
      <c r="GH363">
        <v>10.795673230442953</v>
      </c>
      <c r="GI363">
        <v>17.866381460544865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75.837986123419597</v>
      </c>
      <c r="AO364">
        <v>31.2851300233622</v>
      </c>
      <c r="AP364">
        <v>206.54365678340719</v>
      </c>
      <c r="AQ364">
        <v>174.52986566773879</v>
      </c>
      <c r="AR364">
        <v>28.423293140116439</v>
      </c>
      <c r="AS364">
        <v>130.89462169099707</v>
      </c>
      <c r="AT364">
        <v>20.879490859195581</v>
      </c>
      <c r="AU364">
        <v>24.559189760551348</v>
      </c>
      <c r="AV364"/>
      <c r="AW364"/>
      <c r="FY364" s="211">
        <v>359</v>
      </c>
      <c r="FZ364">
        <v>0.61121827908532622</v>
      </c>
      <c r="GA364">
        <v>7.5102692679392735</v>
      </c>
      <c r="GB364">
        <v>11.48868350986197</v>
      </c>
      <c r="GC364">
        <v>9.1735205109923541</v>
      </c>
      <c r="GD364">
        <v>7.373204030717357</v>
      </c>
      <c r="GE364">
        <v>11.072740935738512</v>
      </c>
      <c r="GF364">
        <v>11.62823152779742</v>
      </c>
      <c r="GG364">
        <v>14.079577725483778</v>
      </c>
      <c r="GH364">
        <v>13.458792572271758</v>
      </c>
      <c r="GI364">
        <v>11.740014058967381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80.015293291265863</v>
      </c>
      <c r="AO365">
        <v>33.586114803753702</v>
      </c>
      <c r="AP365">
        <v>200.7374346126397</v>
      </c>
      <c r="AQ365">
        <v>178.3300677377724</v>
      </c>
      <c r="AR365">
        <v>30.243122889645569</v>
      </c>
      <c r="AS365">
        <v>141.83304400177755</v>
      </c>
      <c r="AT365">
        <v>23.282299629992355</v>
      </c>
      <c r="AU365">
        <v>52.020644637768619</v>
      </c>
      <c r="AV365"/>
      <c r="AW365"/>
      <c r="FY365" s="211">
        <v>360</v>
      </c>
      <c r="FZ365">
        <v>6.0064254640831951</v>
      </c>
      <c r="GA365">
        <v>13.195819669433732</v>
      </c>
      <c r="GB365">
        <v>15.816072099739671</v>
      </c>
      <c r="GC365">
        <v>15.889967514471667</v>
      </c>
      <c r="GD365">
        <v>14.888121450584872</v>
      </c>
      <c r="GE365">
        <v>27.132160942139301</v>
      </c>
      <c r="GF365">
        <v>25.576305936765365</v>
      </c>
      <c r="GG365">
        <v>20.325712629501005</v>
      </c>
      <c r="GH365">
        <v>20.141341831733907</v>
      </c>
      <c r="GI365">
        <v>21.879769699111439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78.923146137763069</v>
      </c>
      <c r="AO366">
        <v>31.247897206247199</v>
      </c>
      <c r="AP366">
        <v>205.5955062866139</v>
      </c>
      <c r="AQ366">
        <v>175.54027623244119</v>
      </c>
      <c r="AR366">
        <v>28.119131212704101</v>
      </c>
      <c r="AS366">
        <v>133.12136927155413</v>
      </c>
      <c r="AT366">
        <v>21.505861737247489</v>
      </c>
      <c r="AU366">
        <v>52.5396157908473</v>
      </c>
      <c r="AV366"/>
      <c r="AW366"/>
      <c r="FY366" s="211">
        <v>361</v>
      </c>
      <c r="FZ366">
        <v>5.2286599818779136</v>
      </c>
      <c r="GA366">
        <v>14.378487039834482</v>
      </c>
      <c r="GB366">
        <v>23.895291369871178</v>
      </c>
      <c r="GC366">
        <v>17.291313759007743</v>
      </c>
      <c r="GD366">
        <v>11.76804716733718</v>
      </c>
      <c r="GE366">
        <v>19.163159663127658</v>
      </c>
      <c r="GF366">
        <v>20.659479647444901</v>
      </c>
      <c r="GG366">
        <v>24.118928873353592</v>
      </c>
      <c r="GH366">
        <v>20.232063510380474</v>
      </c>
      <c r="GI366">
        <v>21.038613821472733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91.656652003199895</v>
      </c>
      <c r="AO367">
        <v>33.772966239648859</v>
      </c>
      <c r="AP367">
        <v>208.95613678985063</v>
      </c>
      <c r="AQ367">
        <v>181.62386531956582</v>
      </c>
      <c r="AR367">
        <v>30.517364330747373</v>
      </c>
      <c r="AS367">
        <v>140.49668531108492</v>
      </c>
      <c r="AT367">
        <v>23.066041042917735</v>
      </c>
      <c r="AU367">
        <v>66.515968543982268</v>
      </c>
      <c r="AV367"/>
      <c r="AW367"/>
      <c r="FY367" s="211">
        <v>362</v>
      </c>
      <c r="FZ367">
        <v>1.4832953696084974</v>
      </c>
      <c r="GA367">
        <v>6.0255648570890763</v>
      </c>
      <c r="GB367">
        <v>17.970132369668796</v>
      </c>
      <c r="GC367">
        <v>15.628060346949249</v>
      </c>
      <c r="GD367">
        <v>14.451173158165352</v>
      </c>
      <c r="GE367">
        <v>28.935780795212178</v>
      </c>
      <c r="GF367">
        <v>30.885151300379412</v>
      </c>
      <c r="GG367">
        <v>12.466104631984368</v>
      </c>
      <c r="GH367">
        <v>2.3041170158636515</v>
      </c>
      <c r="GI367">
        <v>19.68256663013506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70.461321253862607</v>
      </c>
      <c r="AO368">
        <v>25.773180772530274</v>
      </c>
      <c r="AP368">
        <v>169.98837563070583</v>
      </c>
      <c r="AQ368">
        <v>142.51540952873987</v>
      </c>
      <c r="AR368">
        <v>23.369472874441659</v>
      </c>
      <c r="AS368">
        <v>118.47627868098667</v>
      </c>
      <c r="AT368">
        <v>17.133675813006548</v>
      </c>
      <c r="AU368">
        <v>37.02287059605078</v>
      </c>
      <c r="AV368"/>
      <c r="AW368"/>
      <c r="FY368" s="211">
        <v>363</v>
      </c>
      <c r="FZ368">
        <v>4.2420830799472977</v>
      </c>
      <c r="GA368">
        <v>13.636790070033253</v>
      </c>
      <c r="GB368">
        <v>19.443650724924776</v>
      </c>
      <c r="GC368">
        <v>18.049214006292758</v>
      </c>
      <c r="GD368">
        <v>15.975130507914217</v>
      </c>
      <c r="GE368">
        <v>23.549609447935339</v>
      </c>
      <c r="GF368">
        <v>24.071044118120795</v>
      </c>
      <c r="GG368">
        <v>25.284051443055283</v>
      </c>
      <c r="GH368">
        <v>18.545030643418404</v>
      </c>
      <c r="GI368">
        <v>22.676481656487148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91.57622353279956</v>
      </c>
      <c r="AO369">
        <v>30.918336603355499</v>
      </c>
      <c r="AP369">
        <v>192.9195187202177</v>
      </c>
      <c r="AQ369">
        <v>170.15985066962926</v>
      </c>
      <c r="AR369">
        <v>28.446359931001567</v>
      </c>
      <c r="AS369">
        <v>145.56624158163697</v>
      </c>
      <c r="AT369">
        <v>21.453787878671502</v>
      </c>
      <c r="AU369">
        <v>55.539939307098749</v>
      </c>
      <c r="AV369"/>
      <c r="AW369"/>
      <c r="FY369" s="211">
        <v>364</v>
      </c>
      <c r="FZ369">
        <v>2.7608667045287456</v>
      </c>
      <c r="GA369">
        <v>11.350333760712903</v>
      </c>
      <c r="GB369">
        <v>25.91281774838464</v>
      </c>
      <c r="GC369">
        <v>18.309380313760833</v>
      </c>
      <c r="GD369">
        <v>10.101514185389178</v>
      </c>
      <c r="GE369">
        <v>12.770613058422914</v>
      </c>
      <c r="GF369">
        <v>10.751907111990228</v>
      </c>
      <c r="GG369">
        <v>7.8703400187382417</v>
      </c>
      <c r="GH369">
        <v>4.7382066693612641</v>
      </c>
      <c r="GI369">
        <v>15.771966904819873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89.214129897268407</v>
      </c>
      <c r="AO370">
        <v>32.915262729863358</v>
      </c>
      <c r="AP370">
        <v>207.89310953502439</v>
      </c>
      <c r="AQ370">
        <v>181.51729836165518</v>
      </c>
      <c r="AR370">
        <v>29.849057917632543</v>
      </c>
      <c r="AS370">
        <v>151.23984490008658</v>
      </c>
      <c r="AT370">
        <v>22.6728319426316</v>
      </c>
      <c r="AU370">
        <v>42.151962507324825</v>
      </c>
      <c r="AV370"/>
      <c r="AW370"/>
      <c r="FY370" s="211">
        <v>365</v>
      </c>
      <c r="FZ370">
        <v>0.98351429615459585</v>
      </c>
      <c r="GA370">
        <v>7.7964788123954527</v>
      </c>
      <c r="GB370">
        <v>27.470124495530065</v>
      </c>
      <c r="GC370">
        <v>19.550066364751029</v>
      </c>
      <c r="GD370">
        <v>8.9144483218514523</v>
      </c>
      <c r="GE370">
        <v>15.111456125896435</v>
      </c>
      <c r="GF370">
        <v>17.81860092457616</v>
      </c>
      <c r="GG370">
        <v>12.03716180456037</v>
      </c>
      <c r="GH370">
        <v>10.193977139043332</v>
      </c>
      <c r="GI370">
        <v>17.40075498599569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87.72116115374142</v>
      </c>
      <c r="AO371">
        <v>30.589379273889865</v>
      </c>
      <c r="AP371">
        <v>205.89883331717121</v>
      </c>
      <c r="AQ371">
        <v>170.89714399364797</v>
      </c>
      <c r="AR371">
        <v>27.653582095163216</v>
      </c>
      <c r="AS371">
        <v>139.21191913535338</v>
      </c>
      <c r="AT371" t="e">
        <v>#DIV/0!</v>
      </c>
      <c r="AU371" t="e">
        <v>#DIV/0!</v>
      </c>
      <c r="AV371"/>
      <c r="AW371"/>
      <c r="FY371" s="211">
        <v>366</v>
      </c>
      <c r="FZ371">
        <v>5.4485886298849637</v>
      </c>
      <c r="GA371">
        <v>17.321957195426403</v>
      </c>
      <c r="GB371">
        <v>15.802278771312364</v>
      </c>
      <c r="GC371">
        <v>15.187015266590667</v>
      </c>
      <c r="GD371">
        <v>12.836139559845389</v>
      </c>
      <c r="GE371">
        <v>19.320500484551808</v>
      </c>
      <c r="GF371">
        <v>28.082154997576616</v>
      </c>
      <c r="GG371">
        <v>13.46063037890297</v>
      </c>
      <c r="GH371">
        <v>3.7206745349875368</v>
      </c>
      <c r="GI371">
        <v>18.412518313638827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1.5417974037186632E-3</v>
      </c>
      <c r="H372" s="59">
        <f t="shared" ref="H372:AK372" si="361">+H36</f>
        <v>9.8559040000000004E-3</v>
      </c>
      <c r="I372" s="59">
        <f t="shared" si="361"/>
        <v>6.3003636809172647E-2</v>
      </c>
      <c r="J372" s="59">
        <f t="shared" si="361"/>
        <v>0.18648841712151018</v>
      </c>
      <c r="K372" s="59">
        <f t="shared" si="361"/>
        <v>0.40274928116001696</v>
      </c>
      <c r="L372" s="59">
        <f t="shared" si="361"/>
        <v>0.73181669019902384</v>
      </c>
      <c r="M372" s="59">
        <f t="shared" si="361"/>
        <v>1.192122863761774</v>
      </c>
      <c r="N372" s="59">
        <f t="shared" si="361"/>
        <v>1.8009254338148488</v>
      </c>
      <c r="O372" s="59">
        <f t="shared" si="361"/>
        <v>2.5745654011403789</v>
      </c>
      <c r="P372" s="59">
        <f t="shared" si="361"/>
        <v>3.5286392522173879</v>
      </c>
      <c r="Q372" s="59">
        <f t="shared" si="361"/>
        <v>4.6781211505499796</v>
      </c>
      <c r="R372" s="59">
        <f t="shared" si="361"/>
        <v>6.037453688078223</v>
      </c>
      <c r="S372" s="59">
        <f t="shared" si="361"/>
        <v>7.6206176460685535</v>
      </c>
      <c r="T372" s="59">
        <f t="shared" si="361"/>
        <v>9.4411870972436702</v>
      </c>
      <c r="U372" s="59">
        <f t="shared" si="361"/>
        <v>11.512373898170313</v>
      </c>
      <c r="V372" s="59">
        <f t="shared" si="361"/>
        <v>13.847064275211956</v>
      </c>
      <c r="W372" s="59">
        <f t="shared" si="361"/>
        <v>16.457849373828154</v>
      </c>
      <c r="X372" s="59">
        <f t="shared" si="361"/>
        <v>19.357051103261675</v>
      </c>
      <c r="Y372" s="59">
        <f t="shared" si="361"/>
        <v>22.556744249669517</v>
      </c>
      <c r="Z372" s="59">
        <f t="shared" si="361"/>
        <v>26.068775584022323</v>
      </c>
      <c r="AA372" s="59">
        <f t="shared" si="361"/>
        <v>29.904780517196563</v>
      </c>
      <c r="AB372" s="59">
        <f t="shared" si="361"/>
        <v>34.076197729401613</v>
      </c>
      <c r="AC372" s="59">
        <f t="shared" si="361"/>
        <v>38.59428210906686</v>
      </c>
      <c r="AD372" s="59">
        <f t="shared" si="361"/>
        <v>43.470116267561686</v>
      </c>
      <c r="AE372" s="59">
        <f t="shared" si="361"/>
        <v>48.714620843960667</v>
      </c>
      <c r="AF372" s="59">
        <f t="shared" si="361"/>
        <v>54.338563773942411</v>
      </c>
      <c r="AG372" s="59">
        <f t="shared" si="361"/>
        <v>60.352568665663441</v>
      </c>
      <c r="AH372" s="59">
        <f t="shared" si="361"/>
        <v>66.767122400832051</v>
      </c>
      <c r="AI372" s="59">
        <f t="shared" si="361"/>
        <v>73.592582059618479</v>
      </c>
      <c r="AJ372" s="59">
        <f t="shared" si="361"/>
        <v>80.83918125229961</v>
      </c>
      <c r="AK372" s="59">
        <f t="shared" si="361"/>
        <v>88.517035927777229</v>
      </c>
      <c r="AL372" s="78"/>
      <c r="AM372" s="43">
        <v>356</v>
      </c>
      <c r="AN372">
        <v>81.093453209759147</v>
      </c>
      <c r="AO372">
        <v>35.749158260100764</v>
      </c>
      <c r="AP372">
        <v>214.52650860784081</v>
      </c>
      <c r="AQ372">
        <v>189.13714242955729</v>
      </c>
      <c r="AR372">
        <v>32.47062241223837</v>
      </c>
      <c r="AS372">
        <v>146.84604136945529</v>
      </c>
      <c r="AT372">
        <v>24.927539543745453</v>
      </c>
      <c r="AU372">
        <v>34.392022208752316</v>
      </c>
      <c r="AV372"/>
      <c r="AW372"/>
      <c r="FY372" s="211">
        <v>367</v>
      </c>
      <c r="FZ372">
        <v>2.7156072340052111</v>
      </c>
      <c r="GA372">
        <v>11.455062016912024</v>
      </c>
      <c r="GB372">
        <v>25.092334607392495</v>
      </c>
      <c r="GC372">
        <v>18.161520302600859</v>
      </c>
      <c r="GD372">
        <v>10.701818107914431</v>
      </c>
      <c r="GE372">
        <v>25.957475593870342</v>
      </c>
      <c r="GF372">
        <v>38.508617672450498</v>
      </c>
      <c r="GG372">
        <v>28.301457928724378</v>
      </c>
      <c r="GH372">
        <v>21.067332168180688</v>
      </c>
      <c r="GI372">
        <v>23.779969758144006</v>
      </c>
      <c r="GJ372"/>
      <c r="GK372"/>
      <c r="GL372"/>
      <c r="GM372"/>
    </row>
    <row r="373" spans="1:195" s="7" customFormat="1">
      <c r="A373" s="95"/>
      <c r="B373" s="71">
        <f t="shared" ref="B373:B378" si="362">+C4</f>
        <v>39646</v>
      </c>
      <c r="C373" s="18">
        <f t="shared" ref="C373:C382" si="363">+D70</f>
        <v>14.583333333333332</v>
      </c>
      <c r="D373" s="18">
        <f t="shared" ref="D373:D382" si="364">SUM(G373:AK373)</f>
        <v>1.9805081753968228</v>
      </c>
      <c r="E373" s="19">
        <f t="shared" ref="E373:E382" si="365">IF(C373&lt;1, 0.000001, D373/C373)</f>
        <v>0.13580627488435357</v>
      </c>
      <c r="F373" s="19"/>
      <c r="G373" s="18">
        <f>AVERAGE(E228:E237)*G$372</f>
        <v>0</v>
      </c>
      <c r="H373" s="18">
        <f t="shared" ref="H373:AK373" si="366">AVERAGE(F228:F237)*H$372</f>
        <v>0</v>
      </c>
      <c r="I373" s="18">
        <f t="shared" si="366"/>
        <v>0.72191667177176988</v>
      </c>
      <c r="J373" s="18">
        <f t="shared" si="366"/>
        <v>0</v>
      </c>
      <c r="K373" s="18">
        <f t="shared" si="366"/>
        <v>1.258591503625053</v>
      </c>
      <c r="L373" s="18">
        <f t="shared" si="366"/>
        <v>0</v>
      </c>
      <c r="M373" s="18">
        <f t="shared" si="366"/>
        <v>0</v>
      </c>
      <c r="N373" s="18">
        <f t="shared" si="366"/>
        <v>0</v>
      </c>
      <c r="O373" s="18">
        <f t="shared" si="366"/>
        <v>0</v>
      </c>
      <c r="P373" s="18">
        <f t="shared" si="366"/>
        <v>0</v>
      </c>
      <c r="Q373" s="18">
        <f t="shared" si="366"/>
        <v>0</v>
      </c>
      <c r="R373" s="18">
        <f t="shared" si="366"/>
        <v>0</v>
      </c>
      <c r="S373" s="18">
        <f t="shared" si="366"/>
        <v>0</v>
      </c>
      <c r="T373" s="18">
        <f t="shared" si="366"/>
        <v>0</v>
      </c>
      <c r="U373" s="18">
        <f t="shared" si="366"/>
        <v>0</v>
      </c>
      <c r="V373" s="18">
        <f t="shared" si="366"/>
        <v>0</v>
      </c>
      <c r="W373" s="18">
        <f t="shared" si="366"/>
        <v>0</v>
      </c>
      <c r="X373" s="18">
        <f t="shared" si="366"/>
        <v>0</v>
      </c>
      <c r="Y373" s="18">
        <f t="shared" si="366"/>
        <v>0</v>
      </c>
      <c r="Z373" s="18">
        <f t="shared" si="366"/>
        <v>0</v>
      </c>
      <c r="AA373" s="18">
        <f t="shared" si="366"/>
        <v>0</v>
      </c>
      <c r="AB373" s="18">
        <f t="shared" si="366"/>
        <v>0</v>
      </c>
      <c r="AC373" s="18">
        <f t="shared" si="366"/>
        <v>0</v>
      </c>
      <c r="AD373" s="18">
        <f t="shared" si="366"/>
        <v>0</v>
      </c>
      <c r="AE373" s="18">
        <f t="shared" si="366"/>
        <v>0</v>
      </c>
      <c r="AF373" s="18">
        <f t="shared" si="366"/>
        <v>0</v>
      </c>
      <c r="AG373" s="18">
        <f t="shared" si="366"/>
        <v>0</v>
      </c>
      <c r="AH373" s="18">
        <f t="shared" si="366"/>
        <v>0</v>
      </c>
      <c r="AI373" s="18">
        <f t="shared" si="366"/>
        <v>0</v>
      </c>
      <c r="AJ373" s="18">
        <f t="shared" si="366"/>
        <v>0</v>
      </c>
      <c r="AK373" s="18">
        <f t="shared" si="366"/>
        <v>0</v>
      </c>
      <c r="AL373" s="78"/>
      <c r="AM373" s="43">
        <v>357</v>
      </c>
      <c r="AN373">
        <v>87.577216999741296</v>
      </c>
      <c r="AO373">
        <v>36.502310407411393</v>
      </c>
      <c r="AP373">
        <v>247.92788066264745</v>
      </c>
      <c r="AQ373">
        <v>203.6538247159684</v>
      </c>
      <c r="AR373">
        <v>33.707594488456976</v>
      </c>
      <c r="AS373">
        <v>159.95126988503881</v>
      </c>
      <c r="AT373">
        <v>25.111971224510118</v>
      </c>
      <c r="AU373">
        <v>27.497100164932544</v>
      </c>
      <c r="AV373"/>
      <c r="AW373"/>
      <c r="FY373" s="211">
        <v>368</v>
      </c>
      <c r="FZ373">
        <v>5.9037093102848823</v>
      </c>
      <c r="GA373">
        <v>14.97851261450322</v>
      </c>
      <c r="GB373">
        <v>9.8148723380311704</v>
      </c>
      <c r="GC373">
        <v>15.360054329130522</v>
      </c>
      <c r="GD373">
        <v>13.330017337912514</v>
      </c>
      <c r="GE373">
        <v>22.111205334574489</v>
      </c>
      <c r="GF373">
        <v>38.029234436855653</v>
      </c>
      <c r="GG373">
        <v>30.209156015096085</v>
      </c>
      <c r="GH373">
        <v>24.024811917232409</v>
      </c>
      <c r="GI373">
        <v>22.363779867957504</v>
      </c>
      <c r="GJ373"/>
      <c r="GK373"/>
      <c r="GL373"/>
      <c r="GM373"/>
    </row>
    <row r="374" spans="1:195" s="7" customFormat="1">
      <c r="A374" s="95"/>
      <c r="B374" s="71">
        <f t="shared" si="362"/>
        <v>39673</v>
      </c>
      <c r="C374" s="18">
        <f t="shared" si="363"/>
        <v>5.208333333333333</v>
      </c>
      <c r="D374" s="18">
        <f t="shared" si="364"/>
        <v>2.6804756645323602</v>
      </c>
      <c r="E374" s="19">
        <f t="shared" si="365"/>
        <v>0.51465132759021315</v>
      </c>
      <c r="F374" s="19">
        <f>IF(F388&lt;0,0,F388)</f>
        <v>4.9342970989022919E-2</v>
      </c>
      <c r="G374" s="18">
        <f>AVERAGE(E238:E247)*G$372</f>
        <v>0</v>
      </c>
      <c r="H374" s="18">
        <f t="shared" ref="H374:AK374" si="367">AVERAGE(F238:F247)*H$372</f>
        <v>0</v>
      </c>
      <c r="I374" s="18">
        <f t="shared" si="367"/>
        <v>0.19688636502866452</v>
      </c>
      <c r="J374" s="18">
        <f t="shared" si="367"/>
        <v>0</v>
      </c>
      <c r="K374" s="18">
        <f t="shared" si="367"/>
        <v>0</v>
      </c>
      <c r="L374" s="18">
        <f t="shared" si="367"/>
        <v>0</v>
      </c>
      <c r="M374" s="18">
        <f t="shared" si="367"/>
        <v>2.4835892995036954</v>
      </c>
      <c r="N374" s="18">
        <f t="shared" si="367"/>
        <v>0</v>
      </c>
      <c r="O374" s="18">
        <f t="shared" si="367"/>
        <v>0</v>
      </c>
      <c r="P374" s="18">
        <f t="shared" si="367"/>
        <v>0</v>
      </c>
      <c r="Q374" s="18">
        <f t="shared" si="367"/>
        <v>0</v>
      </c>
      <c r="R374" s="18">
        <f t="shared" si="367"/>
        <v>0</v>
      </c>
      <c r="S374" s="18">
        <f t="shared" si="367"/>
        <v>0</v>
      </c>
      <c r="T374" s="18">
        <f t="shared" si="367"/>
        <v>0</v>
      </c>
      <c r="U374" s="18">
        <f t="shared" si="367"/>
        <v>0</v>
      </c>
      <c r="V374" s="18">
        <f t="shared" si="367"/>
        <v>0</v>
      </c>
      <c r="W374" s="18">
        <f t="shared" si="367"/>
        <v>0</v>
      </c>
      <c r="X374" s="18">
        <f t="shared" si="367"/>
        <v>0</v>
      </c>
      <c r="Y374" s="18">
        <f t="shared" si="367"/>
        <v>0</v>
      </c>
      <c r="Z374" s="18">
        <f t="shared" si="367"/>
        <v>0</v>
      </c>
      <c r="AA374" s="18">
        <f t="shared" si="367"/>
        <v>0</v>
      </c>
      <c r="AB374" s="18">
        <f t="shared" si="367"/>
        <v>0</v>
      </c>
      <c r="AC374" s="18">
        <f t="shared" si="367"/>
        <v>0</v>
      </c>
      <c r="AD374" s="18">
        <f t="shared" si="367"/>
        <v>0</v>
      </c>
      <c r="AE374" s="18">
        <f t="shared" si="367"/>
        <v>0</v>
      </c>
      <c r="AF374" s="18">
        <f t="shared" si="367"/>
        <v>0</v>
      </c>
      <c r="AG374" s="18">
        <f t="shared" si="367"/>
        <v>0</v>
      </c>
      <c r="AH374" s="18">
        <f t="shared" si="367"/>
        <v>0</v>
      </c>
      <c r="AI374" s="18">
        <f t="shared" si="367"/>
        <v>0</v>
      </c>
      <c r="AJ374" s="18">
        <f t="shared" si="367"/>
        <v>0</v>
      </c>
      <c r="AK374" s="18">
        <f t="shared" si="367"/>
        <v>0</v>
      </c>
      <c r="AL374" s="78"/>
      <c r="AM374" s="43">
        <v>358</v>
      </c>
      <c r="AN374">
        <v>67.618752056315287</v>
      </c>
      <c r="AO374">
        <v>27.187654299512822</v>
      </c>
      <c r="AP374">
        <v>187.29713182865245</v>
      </c>
      <c r="AQ374">
        <v>150.66496213564363</v>
      </c>
      <c r="AR374">
        <v>24.521326033055061</v>
      </c>
      <c r="AS374">
        <v>114.88566929325165</v>
      </c>
      <c r="AT374" t="e">
        <v>#DIV/0!</v>
      </c>
      <c r="AU374" t="e">
        <v>#DIV/0!</v>
      </c>
      <c r="AV374"/>
      <c r="AW374"/>
      <c r="FY374" s="211">
        <v>369</v>
      </c>
      <c r="FZ374">
        <v>2.5245552482864775</v>
      </c>
      <c r="GA374">
        <v>11.275577732196069</v>
      </c>
      <c r="GB374">
        <v>19.145969446454647</v>
      </c>
      <c r="GC374">
        <v>17.112085789332099</v>
      </c>
      <c r="GD374">
        <v>14.708581152031194</v>
      </c>
      <c r="GE374">
        <v>28.502027314888817</v>
      </c>
      <c r="GF374">
        <v>36.680826847883829</v>
      </c>
      <c r="GG374">
        <v>15.689554919929563</v>
      </c>
      <c r="GH374">
        <v>2.8613950730553861</v>
      </c>
      <c r="GI374">
        <v>21.435524468348255</v>
      </c>
      <c r="GJ374"/>
      <c r="GK374"/>
      <c r="GL374"/>
      <c r="GM374"/>
    </row>
    <row r="375" spans="1:195" s="7" customFormat="1">
      <c r="A375" s="95"/>
      <c r="B375" s="71">
        <f t="shared" si="362"/>
        <v>39714</v>
      </c>
      <c r="C375" s="18">
        <f t="shared" si="363"/>
        <v>33.333333333333329</v>
      </c>
      <c r="D375" s="18">
        <f t="shared" si="364"/>
        <v>9.5842334095355106</v>
      </c>
      <c r="E375" s="19">
        <f t="shared" si="365"/>
        <v>0.28752700228606537</v>
      </c>
      <c r="F375" s="19">
        <f>IF(F389&lt;0,0,F389)</f>
        <v>0</v>
      </c>
      <c r="G375" s="18">
        <f>AVERAGE(E248:E257)*G$372</f>
        <v>0</v>
      </c>
      <c r="H375" s="18">
        <f t="shared" ref="H375:AK375" si="368">AVERAGE(F248:F257)*H$372</f>
        <v>0</v>
      </c>
      <c r="I375" s="18">
        <f t="shared" si="368"/>
        <v>6.562878834288817E-2</v>
      </c>
      <c r="J375" s="18">
        <f t="shared" si="368"/>
        <v>3.3023990531934091</v>
      </c>
      <c r="K375" s="18">
        <f t="shared" si="368"/>
        <v>5.4538965157085624</v>
      </c>
      <c r="L375" s="18">
        <f t="shared" si="368"/>
        <v>0.76230905229064971</v>
      </c>
      <c r="M375" s="18">
        <f t="shared" si="368"/>
        <v>0</v>
      </c>
      <c r="N375" s="18">
        <f t="shared" si="368"/>
        <v>0</v>
      </c>
      <c r="O375" s="18">
        <f t="shared" si="368"/>
        <v>0</v>
      </c>
      <c r="P375" s="18">
        <f t="shared" si="368"/>
        <v>0</v>
      </c>
      <c r="Q375" s="18">
        <f t="shared" si="368"/>
        <v>0</v>
      </c>
      <c r="R375" s="18">
        <f t="shared" si="368"/>
        <v>0</v>
      </c>
      <c r="S375" s="18">
        <f t="shared" si="368"/>
        <v>0</v>
      </c>
      <c r="T375" s="18">
        <f t="shared" si="368"/>
        <v>0</v>
      </c>
      <c r="U375" s="18">
        <f t="shared" si="368"/>
        <v>0</v>
      </c>
      <c r="V375" s="18">
        <f t="shared" si="368"/>
        <v>0</v>
      </c>
      <c r="W375" s="18">
        <f t="shared" si="368"/>
        <v>0</v>
      </c>
      <c r="X375" s="18">
        <f t="shared" si="368"/>
        <v>0</v>
      </c>
      <c r="Y375" s="18">
        <f t="shared" si="368"/>
        <v>0</v>
      </c>
      <c r="Z375" s="18">
        <f t="shared" si="368"/>
        <v>0</v>
      </c>
      <c r="AA375" s="18">
        <f t="shared" si="368"/>
        <v>0</v>
      </c>
      <c r="AB375" s="18">
        <f t="shared" si="368"/>
        <v>0</v>
      </c>
      <c r="AC375" s="18">
        <f t="shared" si="368"/>
        <v>0</v>
      </c>
      <c r="AD375" s="18">
        <f t="shared" si="368"/>
        <v>0</v>
      </c>
      <c r="AE375" s="18">
        <f t="shared" si="368"/>
        <v>0</v>
      </c>
      <c r="AF375" s="18">
        <f t="shared" si="368"/>
        <v>0</v>
      </c>
      <c r="AG375" s="18">
        <f t="shared" si="368"/>
        <v>0</v>
      </c>
      <c r="AH375" s="18">
        <f t="shared" si="368"/>
        <v>0</v>
      </c>
      <c r="AI375" s="18">
        <f t="shared" si="368"/>
        <v>0</v>
      </c>
      <c r="AJ375" s="18">
        <f t="shared" si="368"/>
        <v>0</v>
      </c>
      <c r="AK375" s="18">
        <f t="shared" si="368"/>
        <v>0</v>
      </c>
      <c r="AL375" s="78"/>
      <c r="AM375" s="43">
        <v>359</v>
      </c>
      <c r="AN375">
        <v>46.265624319694091</v>
      </c>
      <c r="AO375">
        <v>17.773214379775659</v>
      </c>
      <c r="AP375">
        <v>114.96418442937176</v>
      </c>
      <c r="AQ375">
        <v>98.136252418855122</v>
      </c>
      <c r="AR375">
        <v>16.34309704167298</v>
      </c>
      <c r="AS375">
        <v>82.236056226772661</v>
      </c>
      <c r="AT375">
        <v>11.885307659169762</v>
      </c>
      <c r="AU375">
        <v>14.628012886682773</v>
      </c>
      <c r="AV375"/>
      <c r="AW375"/>
      <c r="FY375" s="211">
        <v>370</v>
      </c>
      <c r="FZ375">
        <v>0.83639904144682342</v>
      </c>
      <c r="GA375">
        <v>16.715435342722632</v>
      </c>
      <c r="GB375">
        <v>13.647474020381956</v>
      </c>
      <c r="GC375">
        <v>8.3050418668837551</v>
      </c>
      <c r="GD375">
        <v>9.1434003845222591</v>
      </c>
      <c r="GE375">
        <v>16.517748694130219</v>
      </c>
      <c r="GF375">
        <v>18.395068915999865</v>
      </c>
      <c r="GG375">
        <v>30.58168729471895</v>
      </c>
      <c r="GH375">
        <v>33.734649919709014</v>
      </c>
      <c r="GI375">
        <v>17.903651950506941</v>
      </c>
      <c r="GJ375"/>
      <c r="GK375"/>
      <c r="GL375"/>
      <c r="GM375"/>
    </row>
    <row r="376" spans="1:195" s="7" customFormat="1">
      <c r="A376" s="95"/>
      <c r="B376" s="71">
        <f t="shared" si="362"/>
        <v>39747</v>
      </c>
      <c r="C376" s="18">
        <f t="shared" si="363"/>
        <v>218.92524381748521</v>
      </c>
      <c r="D376" s="18">
        <f t="shared" si="364"/>
        <v>78.445982292120249</v>
      </c>
      <c r="E376" s="19">
        <f t="shared" si="365"/>
        <v>0.35832314686158129</v>
      </c>
      <c r="F376" s="19">
        <f>IF(F390&lt;0,0,F390)</f>
        <v>6.6702559789225662E-3</v>
      </c>
      <c r="G376" s="18">
        <f>AVERAGE(E258:E267)*G$372</f>
        <v>0</v>
      </c>
      <c r="H376" s="18">
        <f t="shared" ref="H376:AK376" si="369">AVERAGE(F258:F267)*H$372</f>
        <v>0</v>
      </c>
      <c r="I376" s="18">
        <f t="shared" si="369"/>
        <v>3.7851420821167321</v>
      </c>
      <c r="J376" s="18">
        <f t="shared" si="369"/>
        <v>3.7026898475198826</v>
      </c>
      <c r="K376" s="18">
        <f t="shared" si="369"/>
        <v>44.461027129626089</v>
      </c>
      <c r="L376" s="18">
        <f t="shared" si="369"/>
        <v>17.117303265071865</v>
      </c>
      <c r="M376" s="18">
        <f t="shared" si="369"/>
        <v>0</v>
      </c>
      <c r="N376" s="18">
        <f t="shared" si="369"/>
        <v>9.3798199677856715</v>
      </c>
      <c r="O376" s="18">
        <f t="shared" si="369"/>
        <v>0</v>
      </c>
      <c r="P376" s="18">
        <f t="shared" si="369"/>
        <v>0</v>
      </c>
      <c r="Q376" s="18">
        <f t="shared" si="369"/>
        <v>0</v>
      </c>
      <c r="R376" s="18">
        <f t="shared" si="369"/>
        <v>0</v>
      </c>
      <c r="S376" s="18">
        <f t="shared" si="369"/>
        <v>0</v>
      </c>
      <c r="T376" s="18">
        <f t="shared" si="369"/>
        <v>0</v>
      </c>
      <c r="U376" s="18">
        <f t="shared" si="369"/>
        <v>0</v>
      </c>
      <c r="V376" s="18">
        <f t="shared" si="369"/>
        <v>0</v>
      </c>
      <c r="W376" s="18">
        <f t="shared" si="369"/>
        <v>0</v>
      </c>
      <c r="X376" s="18">
        <f t="shared" si="369"/>
        <v>0</v>
      </c>
      <c r="Y376" s="18">
        <f t="shared" si="369"/>
        <v>0</v>
      </c>
      <c r="Z376" s="18">
        <f t="shared" si="369"/>
        <v>0</v>
      </c>
      <c r="AA376" s="18">
        <f t="shared" si="369"/>
        <v>0</v>
      </c>
      <c r="AB376" s="18">
        <f t="shared" si="369"/>
        <v>0</v>
      </c>
      <c r="AC376" s="18">
        <f t="shared" si="369"/>
        <v>0</v>
      </c>
      <c r="AD376" s="18">
        <f t="shared" si="369"/>
        <v>0</v>
      </c>
      <c r="AE376" s="18">
        <f t="shared" si="369"/>
        <v>0</v>
      </c>
      <c r="AF376" s="18">
        <f t="shared" si="369"/>
        <v>0</v>
      </c>
      <c r="AG376" s="18">
        <f t="shared" si="369"/>
        <v>0</v>
      </c>
      <c r="AH376" s="18">
        <f t="shared" si="369"/>
        <v>0</v>
      </c>
      <c r="AI376" s="18">
        <f t="shared" si="369"/>
        <v>0</v>
      </c>
      <c r="AJ376" s="18">
        <f t="shared" si="369"/>
        <v>0</v>
      </c>
      <c r="AK376" s="18">
        <f t="shared" si="369"/>
        <v>0</v>
      </c>
      <c r="AL376" s="78"/>
      <c r="AM376" s="43">
        <v>360</v>
      </c>
      <c r="AN376">
        <v>83.217195989511723</v>
      </c>
      <c r="AO376">
        <v>33.2122260927299</v>
      </c>
      <c r="AP376">
        <v>203.21970187911012</v>
      </c>
      <c r="AQ376">
        <v>180.85169723756417</v>
      </c>
      <c r="AR376">
        <v>30.086146968993425</v>
      </c>
      <c r="AS376">
        <v>136.78514470877337</v>
      </c>
      <c r="AT376">
        <v>23.471488694761629</v>
      </c>
      <c r="AU376">
        <v>52.600161344032529</v>
      </c>
      <c r="AV376"/>
      <c r="AW376"/>
      <c r="FY376" s="211">
        <v>371</v>
      </c>
      <c r="FZ376">
        <v>4.1146347866415045</v>
      </c>
      <c r="GA376">
        <v>16.710021674271246</v>
      </c>
      <c r="GB376">
        <v>30.433691386593427</v>
      </c>
      <c r="GC376">
        <v>22.382571193109008</v>
      </c>
      <c r="GD376">
        <v>13.897395537610874</v>
      </c>
      <c r="GE376">
        <v>22.435245424316218</v>
      </c>
      <c r="GF376">
        <v>31.856066822125658</v>
      </c>
      <c r="GG376">
        <v>34.942408615666224</v>
      </c>
      <c r="GH376">
        <v>25.969154507333297</v>
      </c>
      <c r="GI376">
        <v>26.782743305683127</v>
      </c>
      <c r="GJ376"/>
      <c r="GK376"/>
      <c r="GL376"/>
      <c r="GM376"/>
    </row>
    <row r="377" spans="1:195" s="7" customFormat="1">
      <c r="A377" s="95"/>
      <c r="B377" s="71">
        <f t="shared" si="362"/>
        <v>39775</v>
      </c>
      <c r="C377" s="18">
        <f t="shared" si="363"/>
        <v>63.888888888888893</v>
      </c>
      <c r="D377" s="18">
        <f t="shared" si="364"/>
        <v>26.056630241766484</v>
      </c>
      <c r="E377" s="19">
        <f t="shared" si="365"/>
        <v>0.40784290813199714</v>
      </c>
      <c r="F377" s="19">
        <f>IF(F391&lt;0,0,F391)</f>
        <v>4.6231016802367377E-3</v>
      </c>
      <c r="G377" s="18">
        <f>AVERAGE(E268:E277)*G$372</f>
        <v>0</v>
      </c>
      <c r="H377" s="18">
        <f t="shared" ref="H377:AK377" si="370">AVERAGE(F268:F277)*H$372</f>
        <v>0</v>
      </c>
      <c r="I377" s="18">
        <f t="shared" si="370"/>
        <v>0.85317424845754619</v>
      </c>
      <c r="J377" s="18">
        <f t="shared" si="370"/>
        <v>0.77703507133962568</v>
      </c>
      <c r="K377" s="18">
        <f t="shared" si="370"/>
        <v>11.467167033028261</v>
      </c>
      <c r="L377" s="18">
        <f t="shared" si="370"/>
        <v>12.959253888941049</v>
      </c>
      <c r="M377" s="18">
        <f t="shared" si="370"/>
        <v>0</v>
      </c>
      <c r="N377" s="18">
        <f t="shared" si="370"/>
        <v>0</v>
      </c>
      <c r="O377" s="18">
        <f t="shared" si="370"/>
        <v>0</v>
      </c>
      <c r="P377" s="18">
        <f t="shared" si="370"/>
        <v>0</v>
      </c>
      <c r="Q377" s="18">
        <f t="shared" si="370"/>
        <v>0</v>
      </c>
      <c r="R377" s="18">
        <f t="shared" si="370"/>
        <v>0</v>
      </c>
      <c r="S377" s="18">
        <f t="shared" si="370"/>
        <v>0</v>
      </c>
      <c r="T377" s="18">
        <f t="shared" si="370"/>
        <v>0</v>
      </c>
      <c r="U377" s="18">
        <f t="shared" si="370"/>
        <v>0</v>
      </c>
      <c r="V377" s="18">
        <f t="shared" si="370"/>
        <v>0</v>
      </c>
      <c r="W377" s="18">
        <f t="shared" si="370"/>
        <v>0</v>
      </c>
      <c r="X377" s="18">
        <f t="shared" si="370"/>
        <v>0</v>
      </c>
      <c r="Y377" s="18">
        <f t="shared" si="370"/>
        <v>0</v>
      </c>
      <c r="Z377" s="18">
        <f t="shared" si="370"/>
        <v>0</v>
      </c>
      <c r="AA377" s="18">
        <f t="shared" si="370"/>
        <v>0</v>
      </c>
      <c r="AB377" s="18">
        <f t="shared" si="370"/>
        <v>0</v>
      </c>
      <c r="AC377" s="18">
        <f t="shared" si="370"/>
        <v>0</v>
      </c>
      <c r="AD377" s="18">
        <f t="shared" si="370"/>
        <v>0</v>
      </c>
      <c r="AE377" s="18">
        <f t="shared" si="370"/>
        <v>0</v>
      </c>
      <c r="AF377" s="18">
        <f t="shared" si="370"/>
        <v>0</v>
      </c>
      <c r="AG377" s="18">
        <f t="shared" si="370"/>
        <v>0</v>
      </c>
      <c r="AH377" s="18">
        <f t="shared" si="370"/>
        <v>0</v>
      </c>
      <c r="AI377" s="18">
        <f t="shared" si="370"/>
        <v>0</v>
      </c>
      <c r="AJ377" s="18">
        <f t="shared" si="370"/>
        <v>0</v>
      </c>
      <c r="AK377" s="18">
        <f t="shared" si="370"/>
        <v>0</v>
      </c>
      <c r="AL377" s="78"/>
      <c r="AM377" s="43">
        <v>361</v>
      </c>
      <c r="AN377">
        <v>77.995661684603888</v>
      </c>
      <c r="AO377">
        <v>31.978362717679552</v>
      </c>
      <c r="AP377">
        <v>210.86126157479799</v>
      </c>
      <c r="AQ377">
        <v>177.77404483370782</v>
      </c>
      <c r="AR377">
        <v>29.321489837753763</v>
      </c>
      <c r="AS377">
        <v>138.33908566218227</v>
      </c>
      <c r="AT377" t="e">
        <v>#DIV/0!</v>
      </c>
      <c r="AU377" t="e">
        <v>#DIV/0!</v>
      </c>
      <c r="AV377"/>
      <c r="AW377"/>
      <c r="FY377" s="211">
        <v>372</v>
      </c>
      <c r="FZ377">
        <v>0.92163193290362355</v>
      </c>
      <c r="GA377">
        <v>20.601993882224875</v>
      </c>
      <c r="GB377">
        <v>25.637928675143488</v>
      </c>
      <c r="GC377">
        <v>15.56196377679704</v>
      </c>
      <c r="GD377">
        <v>11.332459059521408</v>
      </c>
      <c r="GE377">
        <v>24.390025648140863</v>
      </c>
      <c r="GF377">
        <v>38.456210677844979</v>
      </c>
      <c r="GG377">
        <v>27.071441132396561</v>
      </c>
      <c r="GH377">
        <v>15.373909263537449</v>
      </c>
      <c r="GI377">
        <v>23.072897047204993</v>
      </c>
      <c r="GJ377"/>
      <c r="GK377"/>
      <c r="GL377"/>
      <c r="GM377"/>
    </row>
    <row r="378" spans="1:195" s="7" customFormat="1">
      <c r="A378" s="95"/>
      <c r="B378" s="71">
        <f t="shared" si="362"/>
        <v>39799</v>
      </c>
      <c r="C378" s="18">
        <f t="shared" si="363"/>
        <v>120.17045454545453</v>
      </c>
      <c r="D378" s="18">
        <f t="shared" si="364"/>
        <v>62.719176632585146</v>
      </c>
      <c r="E378" s="19">
        <f t="shared" si="365"/>
        <v>0.52191844384562591</v>
      </c>
      <c r="F378" s="19">
        <f t="shared" ref="F378:F382" si="371">IF(F392&lt;0,0,F392)</f>
        <v>1.0276219444142453E-2</v>
      </c>
      <c r="G378" s="18">
        <f>AVERAGE(E278:E287)*G$372</f>
        <v>0</v>
      </c>
      <c r="H378" s="18">
        <f t="shared" ref="H378:AK378" si="372">AVERAGE(F278:F287)*H$372</f>
        <v>0</v>
      </c>
      <c r="I378" s="18">
        <f t="shared" si="372"/>
        <v>0.59065909508599357</v>
      </c>
      <c r="J378" s="18">
        <f t="shared" si="372"/>
        <v>0.19425876783490642</v>
      </c>
      <c r="K378" s="18">
        <f t="shared" si="372"/>
        <v>22.502090519357004</v>
      </c>
      <c r="L378" s="18">
        <f t="shared" si="372"/>
        <v>39.432168250307242</v>
      </c>
      <c r="M378" s="18">
        <f t="shared" si="372"/>
        <v>0</v>
      </c>
      <c r="N378" s="18">
        <f t="shared" si="372"/>
        <v>0</v>
      </c>
      <c r="O378" s="18">
        <f t="shared" si="372"/>
        <v>0</v>
      </c>
      <c r="P378" s="18">
        <f t="shared" si="372"/>
        <v>0</v>
      </c>
      <c r="Q378" s="18">
        <f t="shared" si="372"/>
        <v>0</v>
      </c>
      <c r="R378" s="18">
        <f t="shared" si="372"/>
        <v>0</v>
      </c>
      <c r="S378" s="18">
        <f t="shared" si="372"/>
        <v>0</v>
      </c>
      <c r="T378" s="18">
        <f t="shared" si="372"/>
        <v>0</v>
      </c>
      <c r="U378" s="18">
        <f t="shared" si="372"/>
        <v>0</v>
      </c>
      <c r="V378" s="18">
        <f t="shared" si="372"/>
        <v>0</v>
      </c>
      <c r="W378" s="18">
        <f t="shared" si="372"/>
        <v>0</v>
      </c>
      <c r="X378" s="18">
        <f t="shared" si="372"/>
        <v>0</v>
      </c>
      <c r="Y378" s="18">
        <f t="shared" si="372"/>
        <v>0</v>
      </c>
      <c r="Z378" s="18">
        <f t="shared" si="372"/>
        <v>0</v>
      </c>
      <c r="AA378" s="18">
        <f t="shared" si="372"/>
        <v>0</v>
      </c>
      <c r="AB378" s="18">
        <f t="shared" si="372"/>
        <v>0</v>
      </c>
      <c r="AC378" s="18">
        <f t="shared" si="372"/>
        <v>0</v>
      </c>
      <c r="AD378" s="18">
        <f t="shared" si="372"/>
        <v>0</v>
      </c>
      <c r="AE378" s="18">
        <f t="shared" si="372"/>
        <v>0</v>
      </c>
      <c r="AF378" s="18">
        <f t="shared" si="372"/>
        <v>0</v>
      </c>
      <c r="AG378" s="18">
        <f t="shared" si="372"/>
        <v>0</v>
      </c>
      <c r="AH378" s="18">
        <f t="shared" si="372"/>
        <v>0</v>
      </c>
      <c r="AI378" s="18">
        <f t="shared" si="372"/>
        <v>0</v>
      </c>
      <c r="AJ378" s="18">
        <f t="shared" si="372"/>
        <v>0</v>
      </c>
      <c r="AK378" s="18">
        <f t="shared" si="372"/>
        <v>0</v>
      </c>
      <c r="AL378" s="78"/>
      <c r="AM378" s="43">
        <v>362</v>
      </c>
      <c r="AN378">
        <v>66.299971768521175</v>
      </c>
      <c r="AO378">
        <v>29.847928389813127</v>
      </c>
      <c r="AP378">
        <v>166.54477780023541</v>
      </c>
      <c r="AQ378">
        <v>149.83194647505564</v>
      </c>
      <c r="AR378">
        <v>26.987203420746045</v>
      </c>
      <c r="AS378">
        <v>123.54940624114809</v>
      </c>
      <c r="AT378">
        <v>21.129307499369563</v>
      </c>
      <c r="AU378">
        <v>34.128707256005704</v>
      </c>
      <c r="AV378"/>
      <c r="AW378"/>
      <c r="FY378" s="211">
        <v>373</v>
      </c>
      <c r="FZ378">
        <v>4.7422195805199774</v>
      </c>
      <c r="GA378">
        <v>14.589426624672285</v>
      </c>
      <c r="GB378">
        <v>14.768219673874086</v>
      </c>
      <c r="GC378">
        <v>13.017203652068453</v>
      </c>
      <c r="GD378">
        <v>10.382240338553448</v>
      </c>
      <c r="GE378">
        <v>15.476115967001626</v>
      </c>
      <c r="GF378">
        <v>15.894348738991532</v>
      </c>
      <c r="GG378">
        <v>13.741097497375087</v>
      </c>
      <c r="GH378">
        <v>10.897240088522089</v>
      </c>
      <c r="GI378">
        <v>15.372168336775697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73">+C10</f>
        <v>39847</v>
      </c>
      <c r="C379" s="18">
        <f t="shared" si="363"/>
        <v>70.3125</v>
      </c>
      <c r="D379" s="18">
        <f t="shared" si="364"/>
        <v>36.971950843689157</v>
      </c>
      <c r="E379" s="19">
        <f t="shared" si="365"/>
        <v>0.52582330088802354</v>
      </c>
      <c r="F379" s="19">
        <f t="shared" si="371"/>
        <v>1.5528934577805408E-4</v>
      </c>
      <c r="G379" s="18">
        <f>AVERAGE(E288:E297)*G$372</f>
        <v>0</v>
      </c>
      <c r="H379" s="18">
        <f t="shared" ref="H379:AK379" si="374">AVERAGE(F288:F297)*H$372</f>
        <v>0</v>
      </c>
      <c r="I379" s="18">
        <f t="shared" si="374"/>
        <v>0</v>
      </c>
      <c r="J379" s="18">
        <f t="shared" si="374"/>
        <v>0</v>
      </c>
      <c r="K379" s="18">
        <f t="shared" si="374"/>
        <v>19.92769880739667</v>
      </c>
      <c r="L379" s="18">
        <f t="shared" si="374"/>
        <v>12.387522099723059</v>
      </c>
      <c r="M379" s="18">
        <f t="shared" si="374"/>
        <v>4.6567299365694295</v>
      </c>
      <c r="N379" s="18">
        <f t="shared" si="374"/>
        <v>0</v>
      </c>
      <c r="O379" s="18">
        <f t="shared" si="374"/>
        <v>0</v>
      </c>
      <c r="P379" s="18">
        <f t="shared" si="374"/>
        <v>0</v>
      </c>
      <c r="Q379" s="18">
        <f t="shared" si="374"/>
        <v>0</v>
      </c>
      <c r="R379" s="18">
        <f t="shared" si="374"/>
        <v>0</v>
      </c>
      <c r="S379" s="18">
        <f t="shared" si="374"/>
        <v>0</v>
      </c>
      <c r="T379" s="18">
        <f t="shared" si="374"/>
        <v>0</v>
      </c>
      <c r="U379" s="18">
        <f t="shared" si="374"/>
        <v>0</v>
      </c>
      <c r="V379" s="18">
        <f t="shared" si="374"/>
        <v>0</v>
      </c>
      <c r="W379" s="18">
        <f t="shared" si="374"/>
        <v>0</v>
      </c>
      <c r="X379" s="18">
        <f t="shared" si="374"/>
        <v>0</v>
      </c>
      <c r="Y379" s="18">
        <f t="shared" si="374"/>
        <v>0</v>
      </c>
      <c r="Z379" s="18">
        <f t="shared" si="374"/>
        <v>0</v>
      </c>
      <c r="AA379" s="18">
        <f t="shared" si="374"/>
        <v>0</v>
      </c>
      <c r="AB379" s="18">
        <f t="shared" si="374"/>
        <v>0</v>
      </c>
      <c r="AC379" s="18">
        <f t="shared" si="374"/>
        <v>0</v>
      </c>
      <c r="AD379" s="18">
        <f t="shared" si="374"/>
        <v>0</v>
      </c>
      <c r="AE379" s="18">
        <f t="shared" si="374"/>
        <v>0</v>
      </c>
      <c r="AF379" s="18">
        <f t="shared" si="374"/>
        <v>0</v>
      </c>
      <c r="AG379" s="18">
        <f t="shared" si="374"/>
        <v>0</v>
      </c>
      <c r="AH379" s="18">
        <f t="shared" si="374"/>
        <v>0</v>
      </c>
      <c r="AI379" s="18">
        <f t="shared" si="374"/>
        <v>0</v>
      </c>
      <c r="AJ379" s="18">
        <f t="shared" si="374"/>
        <v>0</v>
      </c>
      <c r="AK379" s="18">
        <f t="shared" si="374"/>
        <v>0</v>
      </c>
      <c r="AL379" s="78"/>
      <c r="AM379" s="43">
        <v>363</v>
      </c>
      <c r="AN379">
        <v>84.706130235050892</v>
      </c>
      <c r="AO379">
        <v>34.570040981862846</v>
      </c>
      <c r="AP379">
        <v>210.28275400400915</v>
      </c>
      <c r="AQ379">
        <v>185.47308569812927</v>
      </c>
      <c r="AR379">
        <v>31.588707189895135</v>
      </c>
      <c r="AS379">
        <v>149.11598758779886</v>
      </c>
      <c r="AT379" t="e">
        <v>#DIV/0!</v>
      </c>
      <c r="AU379" t="e">
        <v>#DIV/0!</v>
      </c>
      <c r="AV379"/>
      <c r="AW379"/>
      <c r="FY379" s="211">
        <v>374</v>
      </c>
      <c r="FZ379">
        <v>5.5318389000352708</v>
      </c>
      <c r="GA379">
        <v>10.774624166526509</v>
      </c>
      <c r="GB379">
        <v>17.555190886955458</v>
      </c>
      <c r="GC379">
        <v>16.793309581759605</v>
      </c>
      <c r="GD379">
        <v>16.662110676766869</v>
      </c>
      <c r="GE379">
        <v>28.052284276232417</v>
      </c>
      <c r="GF379">
        <v>25.996880469088254</v>
      </c>
      <c r="GG379">
        <v>23.731523399986671</v>
      </c>
      <c r="GH379">
        <v>17.100193089486908</v>
      </c>
      <c r="GI379">
        <v>22.893323131419287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73"/>
        <v>39910</v>
      </c>
      <c r="C380" s="18">
        <f t="shared" si="363"/>
        <v>54.535984848484851</v>
      </c>
      <c r="D380" s="18">
        <f t="shared" si="364"/>
        <v>34.753381810458968</v>
      </c>
      <c r="E380" s="19">
        <f t="shared" si="365"/>
        <v>0.63725596790839845</v>
      </c>
      <c r="F380" s="19">
        <f t="shared" si="371"/>
        <v>3.0508917758721448E-3</v>
      </c>
      <c r="G380" s="18">
        <f>AVERAGE(E298:E307)*G$372</f>
        <v>0</v>
      </c>
      <c r="H380" s="18">
        <f t="shared" ref="H380:AK380" si="375">AVERAGE(F298:F307)*H$372</f>
        <v>0</v>
      </c>
      <c r="I380" s="18">
        <f t="shared" si="375"/>
        <v>0</v>
      </c>
      <c r="J380" s="18">
        <f t="shared" si="375"/>
        <v>0.19425876783490642</v>
      </c>
      <c r="K380" s="18">
        <f t="shared" si="375"/>
        <v>8.390610024167021</v>
      </c>
      <c r="L380" s="18">
        <f t="shared" si="375"/>
        <v>20.298211037811942</v>
      </c>
      <c r="M380" s="18">
        <f t="shared" si="375"/>
        <v>5.8703019806450989</v>
      </c>
      <c r="N380" s="18">
        <f t="shared" si="375"/>
        <v>0</v>
      </c>
      <c r="O380" s="18">
        <f t="shared" si="375"/>
        <v>0</v>
      </c>
      <c r="P380" s="18">
        <f t="shared" si="375"/>
        <v>0</v>
      </c>
      <c r="Q380" s="18">
        <f t="shared" si="375"/>
        <v>0</v>
      </c>
      <c r="R380" s="18">
        <f t="shared" si="375"/>
        <v>0</v>
      </c>
      <c r="S380" s="18">
        <f t="shared" si="375"/>
        <v>0</v>
      </c>
      <c r="T380" s="18">
        <f t="shared" si="375"/>
        <v>0</v>
      </c>
      <c r="U380" s="18">
        <f t="shared" si="375"/>
        <v>0</v>
      </c>
      <c r="V380" s="18">
        <f t="shared" si="375"/>
        <v>0</v>
      </c>
      <c r="W380" s="18">
        <f t="shared" si="375"/>
        <v>0</v>
      </c>
      <c r="X380" s="18">
        <f t="shared" si="375"/>
        <v>0</v>
      </c>
      <c r="Y380" s="18">
        <f t="shared" si="375"/>
        <v>0</v>
      </c>
      <c r="Z380" s="18">
        <f t="shared" si="375"/>
        <v>0</v>
      </c>
      <c r="AA380" s="18">
        <f t="shared" si="375"/>
        <v>0</v>
      </c>
      <c r="AB380" s="18">
        <f t="shared" si="375"/>
        <v>0</v>
      </c>
      <c r="AC380" s="18">
        <f t="shared" si="375"/>
        <v>0</v>
      </c>
      <c r="AD380" s="18">
        <f t="shared" si="375"/>
        <v>0</v>
      </c>
      <c r="AE380" s="18">
        <f t="shared" si="375"/>
        <v>0</v>
      </c>
      <c r="AF380" s="18">
        <f t="shared" si="375"/>
        <v>0</v>
      </c>
      <c r="AG380" s="18">
        <f t="shared" si="375"/>
        <v>0</v>
      </c>
      <c r="AH380" s="18">
        <f t="shared" si="375"/>
        <v>0</v>
      </c>
      <c r="AI380" s="18">
        <f t="shared" si="375"/>
        <v>0</v>
      </c>
      <c r="AJ380" s="18">
        <f t="shared" si="375"/>
        <v>0</v>
      </c>
      <c r="AK380" s="18">
        <f t="shared" si="375"/>
        <v>0</v>
      </c>
      <c r="AL380" s="78"/>
      <c r="AM380" s="43">
        <v>364</v>
      </c>
      <c r="AN380">
        <v>61.220298690055664</v>
      </c>
      <c r="AO380">
        <v>23.837082601305209</v>
      </c>
      <c r="AP380">
        <v>141.76040493449398</v>
      </c>
      <c r="AQ380">
        <v>120.33794647610884</v>
      </c>
      <c r="AR380">
        <v>22.110447666614579</v>
      </c>
      <c r="AS380">
        <v>105.70289528034229</v>
      </c>
      <c r="AT380">
        <v>16.055201336040195</v>
      </c>
      <c r="AU380">
        <v>34.673011134537134</v>
      </c>
      <c r="AV380"/>
      <c r="AW380"/>
      <c r="FY380" s="211">
        <v>375</v>
      </c>
      <c r="FZ380">
        <v>1.82362309758784</v>
      </c>
      <c r="GA380">
        <v>10.219010823088318</v>
      </c>
      <c r="GB380">
        <v>34.323584259474963</v>
      </c>
      <c r="GC380">
        <v>22.20411000074472</v>
      </c>
      <c r="GD380">
        <v>7.7567913117664551</v>
      </c>
      <c r="GE380">
        <v>20.358722004277961</v>
      </c>
      <c r="GF380">
        <v>42.654994487548826</v>
      </c>
      <c r="GG380">
        <v>31.724662681010614</v>
      </c>
      <c r="GH380">
        <v>19.860021304463153</v>
      </c>
      <c r="GI380">
        <v>24.83757680654498</v>
      </c>
      <c r="GJ380"/>
      <c r="GK380"/>
      <c r="GL380"/>
      <c r="GM380"/>
    </row>
    <row r="381" spans="1:195" s="7" customFormat="1">
      <c r="A381" s="1"/>
      <c r="B381" s="71">
        <f t="shared" si="373"/>
        <v>39949</v>
      </c>
      <c r="C381" s="18">
        <f t="shared" si="363"/>
        <v>101.56040829986614</v>
      </c>
      <c r="D381" s="18">
        <f t="shared" si="364"/>
        <v>27.629313642277531</v>
      </c>
      <c r="E381" s="19">
        <f t="shared" si="365"/>
        <v>0.27204807567038847</v>
      </c>
      <c r="F381" s="19">
        <f t="shared" si="371"/>
        <v>0</v>
      </c>
      <c r="G381" s="18">
        <f>AVERAGE(E308:E317)*G$372</f>
        <v>0</v>
      </c>
      <c r="H381" s="18">
        <f t="shared" ref="H381:AK381" si="376">AVERAGE(F308:F317)*H$372</f>
        <v>0</v>
      </c>
      <c r="I381" s="18">
        <f t="shared" si="376"/>
        <v>2.2421851503331314</v>
      </c>
      <c r="J381" s="18">
        <f t="shared" si="376"/>
        <v>6.2810334933286418</v>
      </c>
      <c r="K381" s="18">
        <f t="shared" si="376"/>
        <v>6.7124880193336161</v>
      </c>
      <c r="L381" s="18">
        <f t="shared" si="376"/>
        <v>9.9100176797784467</v>
      </c>
      <c r="M381" s="18">
        <f t="shared" si="376"/>
        <v>2.4835892995036954</v>
      </c>
      <c r="N381" s="18">
        <f t="shared" si="376"/>
        <v>0</v>
      </c>
      <c r="O381" s="18">
        <f t="shared" si="376"/>
        <v>0</v>
      </c>
      <c r="P381" s="18">
        <f t="shared" si="376"/>
        <v>0</v>
      </c>
      <c r="Q381" s="18">
        <f t="shared" si="376"/>
        <v>0</v>
      </c>
      <c r="R381" s="18">
        <f t="shared" si="376"/>
        <v>0</v>
      </c>
      <c r="S381" s="18">
        <f t="shared" si="376"/>
        <v>0</v>
      </c>
      <c r="T381" s="18">
        <f t="shared" si="376"/>
        <v>0</v>
      </c>
      <c r="U381" s="18">
        <f t="shared" si="376"/>
        <v>0</v>
      </c>
      <c r="V381" s="18">
        <f t="shared" si="376"/>
        <v>0</v>
      </c>
      <c r="W381" s="18">
        <f t="shared" si="376"/>
        <v>0</v>
      </c>
      <c r="X381" s="18">
        <f t="shared" si="376"/>
        <v>0</v>
      </c>
      <c r="Y381" s="18">
        <f t="shared" si="376"/>
        <v>0</v>
      </c>
      <c r="Z381" s="18">
        <f t="shared" si="376"/>
        <v>0</v>
      </c>
      <c r="AA381" s="18">
        <f t="shared" si="376"/>
        <v>0</v>
      </c>
      <c r="AB381" s="18">
        <f t="shared" si="376"/>
        <v>0</v>
      </c>
      <c r="AC381" s="18">
        <f t="shared" si="376"/>
        <v>0</v>
      </c>
      <c r="AD381" s="18">
        <f t="shared" si="376"/>
        <v>0</v>
      </c>
      <c r="AE381" s="18">
        <f t="shared" si="376"/>
        <v>0</v>
      </c>
      <c r="AF381" s="18">
        <f t="shared" si="376"/>
        <v>0</v>
      </c>
      <c r="AG381" s="18">
        <f t="shared" si="376"/>
        <v>0</v>
      </c>
      <c r="AH381" s="18">
        <f t="shared" si="376"/>
        <v>0</v>
      </c>
      <c r="AI381" s="18">
        <f t="shared" si="376"/>
        <v>0</v>
      </c>
      <c r="AJ381" s="18">
        <f t="shared" si="376"/>
        <v>0</v>
      </c>
      <c r="AK381" s="18">
        <f t="shared" si="376"/>
        <v>0</v>
      </c>
      <c r="AL381" s="78"/>
      <c r="AM381" s="43">
        <v>365</v>
      </c>
      <c r="AN381">
        <v>63.797175343494828</v>
      </c>
      <c r="AO381">
        <v>26.422737690497581</v>
      </c>
      <c r="AP381">
        <v>166.18406373337675</v>
      </c>
      <c r="AQ381">
        <v>137.2765832707546</v>
      </c>
      <c r="AR381">
        <v>24.083646573686242</v>
      </c>
      <c r="AS381">
        <v>113.78513888850989</v>
      </c>
      <c r="AT381">
        <v>17.934158258799538</v>
      </c>
      <c r="AU381">
        <v>41.375105884870386</v>
      </c>
      <c r="AV381"/>
      <c r="AW381"/>
      <c r="FY381" s="211">
        <v>376</v>
      </c>
      <c r="FZ381">
        <v>3.9224307042170725</v>
      </c>
      <c r="GA381">
        <v>17.897924713350776</v>
      </c>
      <c r="GB381">
        <v>15.425281130815252</v>
      </c>
      <c r="GC381">
        <v>14.518904902910837</v>
      </c>
      <c r="GD381">
        <v>11.225104764945122</v>
      </c>
      <c r="GE381">
        <v>23.327417498505103</v>
      </c>
      <c r="GF381">
        <v>41.107197276036452</v>
      </c>
      <c r="GG381">
        <v>18.444472875808806</v>
      </c>
      <c r="GH381">
        <v>5.8438249302524534</v>
      </c>
      <c r="GI381">
        <v>19.888760086954473</v>
      </c>
      <c r="GJ381"/>
      <c r="GK381"/>
      <c r="GL381"/>
      <c r="GM381"/>
    </row>
    <row r="382" spans="1:195" s="7" customFormat="1">
      <c r="A382" s="1"/>
      <c r="B382" s="71">
        <f t="shared" si="373"/>
        <v>39987</v>
      </c>
      <c r="C382" s="18">
        <f t="shared" si="363"/>
        <v>14.022435897435898</v>
      </c>
      <c r="D382" s="18">
        <f t="shared" si="364"/>
        <v>5.6475259778047251</v>
      </c>
      <c r="E382" s="19">
        <f t="shared" si="365"/>
        <v>0.40274928116001696</v>
      </c>
      <c r="F382" s="19">
        <f t="shared" si="371"/>
        <v>1.0324616783165026E-2</v>
      </c>
      <c r="G382" s="18">
        <f>AVERAGE(E318:E327)*G$372</f>
        <v>0</v>
      </c>
      <c r="H382" s="18">
        <f t="shared" ref="H382:AK382" si="377">AVERAGE(F318:F327)*H$372</f>
        <v>0</v>
      </c>
      <c r="I382" s="18">
        <f t="shared" si="377"/>
        <v>0</v>
      </c>
      <c r="J382" s="18">
        <f t="shared" si="377"/>
        <v>0</v>
      </c>
      <c r="K382" s="18">
        <f t="shared" si="377"/>
        <v>5.6475259778047251</v>
      </c>
      <c r="L382" s="18">
        <f t="shared" si="377"/>
        <v>0</v>
      </c>
      <c r="M382" s="18">
        <f t="shared" si="377"/>
        <v>0</v>
      </c>
      <c r="N382" s="18">
        <f t="shared" si="377"/>
        <v>0</v>
      </c>
      <c r="O382" s="18">
        <f t="shared" si="377"/>
        <v>0</v>
      </c>
      <c r="P382" s="18">
        <f t="shared" si="377"/>
        <v>0</v>
      </c>
      <c r="Q382" s="18">
        <f t="shared" si="377"/>
        <v>0</v>
      </c>
      <c r="R382" s="18">
        <f t="shared" si="377"/>
        <v>0</v>
      </c>
      <c r="S382" s="18">
        <f t="shared" si="377"/>
        <v>0</v>
      </c>
      <c r="T382" s="18">
        <f t="shared" si="377"/>
        <v>0</v>
      </c>
      <c r="U382" s="18">
        <f t="shared" si="377"/>
        <v>0</v>
      </c>
      <c r="V382" s="18">
        <f t="shared" si="377"/>
        <v>0</v>
      </c>
      <c r="W382" s="18">
        <f t="shared" si="377"/>
        <v>0</v>
      </c>
      <c r="X382" s="18">
        <f t="shared" si="377"/>
        <v>0</v>
      </c>
      <c r="Y382" s="18">
        <f t="shared" si="377"/>
        <v>0</v>
      </c>
      <c r="Z382" s="18">
        <f t="shared" si="377"/>
        <v>0</v>
      </c>
      <c r="AA382" s="18">
        <f t="shared" si="377"/>
        <v>0</v>
      </c>
      <c r="AB382" s="18">
        <f t="shared" si="377"/>
        <v>0</v>
      </c>
      <c r="AC382" s="18">
        <f t="shared" si="377"/>
        <v>0</v>
      </c>
      <c r="AD382" s="18">
        <f t="shared" si="377"/>
        <v>0</v>
      </c>
      <c r="AE382" s="18">
        <f t="shared" si="377"/>
        <v>0</v>
      </c>
      <c r="AF382" s="18">
        <f t="shared" si="377"/>
        <v>0</v>
      </c>
      <c r="AG382" s="18">
        <f t="shared" si="377"/>
        <v>0</v>
      </c>
      <c r="AH382" s="18">
        <f t="shared" si="377"/>
        <v>0</v>
      </c>
      <c r="AI382" s="18">
        <f t="shared" si="377"/>
        <v>0</v>
      </c>
      <c r="AJ382" s="18">
        <f t="shared" si="377"/>
        <v>0</v>
      </c>
      <c r="AK382" s="18">
        <f t="shared" si="377"/>
        <v>0</v>
      </c>
      <c r="AL382" s="78"/>
      <c r="AM382" s="43">
        <v>366</v>
      </c>
      <c r="AN382">
        <v>74.935774141677186</v>
      </c>
      <c r="AO382">
        <v>27.700295881811712</v>
      </c>
      <c r="AP382">
        <v>170.55086470371546</v>
      </c>
      <c r="AQ382">
        <v>149.59245813271755</v>
      </c>
      <c r="AR382">
        <v>25.337234227431995</v>
      </c>
      <c r="AS382">
        <v>128.01490712418004</v>
      </c>
      <c r="AT382">
        <v>18.982072836705218</v>
      </c>
      <c r="AU382">
        <v>37.682299992109741</v>
      </c>
      <c r="AV382"/>
      <c r="AW382"/>
      <c r="FY382" s="211">
        <v>377</v>
      </c>
      <c r="FZ382">
        <v>6.4568626726511207</v>
      </c>
      <c r="GA382">
        <v>16.565649458273793</v>
      </c>
      <c r="GB382">
        <v>17.855262857576566</v>
      </c>
      <c r="GC382">
        <v>13.201346875556618</v>
      </c>
      <c r="GD382">
        <v>10.399990266533027</v>
      </c>
      <c r="GE382">
        <v>22.4832185744444</v>
      </c>
      <c r="GF382">
        <v>29.593471125888236</v>
      </c>
      <c r="GG382">
        <v>30.165279832139575</v>
      </c>
      <c r="GH382">
        <v>28.681234761439384</v>
      </c>
      <c r="GI382">
        <v>21.84576472156624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88.888077573600341</v>
      </c>
      <c r="AO383">
        <v>36.260436740287751</v>
      </c>
      <c r="AP383">
        <v>248.62778293400294</v>
      </c>
      <c r="AQ383">
        <v>205.74119539019492</v>
      </c>
      <c r="AR383">
        <v>32.511337018780402</v>
      </c>
      <c r="AS383">
        <v>148.7269566007551</v>
      </c>
      <c r="AT383" t="e">
        <v>#DIV/0!</v>
      </c>
      <c r="AU383" t="e">
        <v>#DIV/0!</v>
      </c>
      <c r="AV383"/>
      <c r="AW383"/>
      <c r="FY383" s="211">
        <v>378</v>
      </c>
      <c r="FZ383">
        <v>5.645913104623058</v>
      </c>
      <c r="GA383">
        <v>20.281888829029779</v>
      </c>
      <c r="GB383">
        <v>25.905790901529201</v>
      </c>
      <c r="GC383">
        <v>16.648582500153353</v>
      </c>
      <c r="GD383">
        <v>11.768513597437153</v>
      </c>
      <c r="GE383">
        <v>27.904523222771477</v>
      </c>
      <c r="GF383">
        <v>29.441375342202722</v>
      </c>
      <c r="GG383">
        <v>14.208888634716068</v>
      </c>
      <c r="GH383">
        <v>12.410947332402923</v>
      </c>
      <c r="GI383">
        <v>21.921190076743805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86.909646430493538</v>
      </c>
      <c r="AO384">
        <v>33.909767046693183</v>
      </c>
      <c r="AP384">
        <v>226.34199588184725</v>
      </c>
      <c r="AQ384">
        <v>196.12535350157845</v>
      </c>
      <c r="AR384">
        <v>30.463123183859089</v>
      </c>
      <c r="AS384">
        <v>141.34998053838399</v>
      </c>
      <c r="AT384">
        <v>23.747825731151455</v>
      </c>
      <c r="AU384">
        <v>35.4547026339824</v>
      </c>
      <c r="AV384"/>
      <c r="AW384"/>
      <c r="FY384" s="211">
        <v>379</v>
      </c>
      <c r="FZ384">
        <v>5.1751821641073654</v>
      </c>
      <c r="GA384">
        <v>12.458060093031724</v>
      </c>
      <c r="GB384">
        <v>20.065859564059892</v>
      </c>
      <c r="GC384">
        <v>14.123832196449822</v>
      </c>
      <c r="GD384">
        <v>9.4443577643314995</v>
      </c>
      <c r="GE384">
        <v>25.349977075166954</v>
      </c>
      <c r="GF384">
        <v>28.630592225842491</v>
      </c>
      <c r="GG384">
        <v>31.249207863578754</v>
      </c>
      <c r="GH384">
        <v>34.746574127252742</v>
      </c>
      <c r="GI384">
        <v>22.480920863830523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74.12314750003604</v>
      </c>
      <c r="AO385">
        <v>32.589259415691309</v>
      </c>
      <c r="AP385">
        <v>192.1778946082691</v>
      </c>
      <c r="AQ385">
        <v>169.93609799240633</v>
      </c>
      <c r="AR385">
        <v>29.246281319729285</v>
      </c>
      <c r="AS385">
        <v>129.63432726153556</v>
      </c>
      <c r="AT385" t="e">
        <v>#DIV/0!</v>
      </c>
      <c r="AU385" t="e">
        <v>#DIV/0!</v>
      </c>
      <c r="AV385"/>
      <c r="AW385"/>
      <c r="FY385" s="211">
        <v>380</v>
      </c>
      <c r="FZ385">
        <v>11.494512417419408</v>
      </c>
      <c r="GA385">
        <v>16.681069180707766</v>
      </c>
      <c r="GB385">
        <v>19.579852478968714</v>
      </c>
      <c r="GC385">
        <v>14.745434931645004</v>
      </c>
      <c r="GD385">
        <v>9.2373780469061089</v>
      </c>
      <c r="GE385">
        <v>13.478164446328659</v>
      </c>
      <c r="GF385">
        <v>22.227306343015421</v>
      </c>
      <c r="GG385">
        <v>36.1471671938816</v>
      </c>
      <c r="GH385">
        <v>30.126072315370884</v>
      </c>
      <c r="GI385">
        <v>21.173598223082486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64.848998323966669</v>
      </c>
      <c r="AO386">
        <v>27.066585153609658</v>
      </c>
      <c r="AP386">
        <v>199.90040678579388</v>
      </c>
      <c r="AQ386">
        <v>165.78055743102243</v>
      </c>
      <c r="AR386">
        <v>24.899655415359867</v>
      </c>
      <c r="AS386">
        <v>110.89005668728619</v>
      </c>
      <c r="AT386">
        <v>18.705009980148514</v>
      </c>
      <c r="AU386">
        <v>18.694743631855268</v>
      </c>
      <c r="AV386"/>
      <c r="AW386"/>
      <c r="FY386" s="211">
        <v>381</v>
      </c>
      <c r="FZ386">
        <v>4.1815270278176584</v>
      </c>
      <c r="GA386">
        <v>8.1219525488076574</v>
      </c>
      <c r="GB386">
        <v>30.796530196291918</v>
      </c>
      <c r="GC386">
        <v>20.911368255345579</v>
      </c>
      <c r="GD386">
        <v>8.5456467413339396</v>
      </c>
      <c r="GE386">
        <v>20.104410968053717</v>
      </c>
      <c r="GF386">
        <v>27.238533542612167</v>
      </c>
      <c r="GG386">
        <v>22.393007033821789</v>
      </c>
      <c r="GH386">
        <v>21.276578823587037</v>
      </c>
      <c r="GI386">
        <v>22.051123037430717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96.492489895402485</v>
      </c>
      <c r="AO387">
        <v>40.926397949661904</v>
      </c>
      <c r="AP387">
        <v>276.56039953375773</v>
      </c>
      <c r="AQ387">
        <v>229.52393325335055</v>
      </c>
      <c r="AR387">
        <v>37.296303998000369</v>
      </c>
      <c r="AS387">
        <v>157.99529165667857</v>
      </c>
      <c r="AT387" t="e">
        <v>#DIV/0!</v>
      </c>
      <c r="AU387" t="e">
        <v>#DIV/0!</v>
      </c>
      <c r="AV387"/>
      <c r="AW387"/>
      <c r="FY387" s="211">
        <v>382</v>
      </c>
      <c r="FZ387">
        <v>0.95288288808226917</v>
      </c>
      <c r="GA387">
        <v>12.279162320163174</v>
      </c>
      <c r="GB387">
        <v>31.10720186294153</v>
      </c>
      <c r="GC387">
        <v>23.492658943283125</v>
      </c>
      <c r="GD387">
        <v>12.131137834517743</v>
      </c>
      <c r="GE387">
        <v>18.335599597135111</v>
      </c>
      <c r="GF387">
        <v>23.323552308086331</v>
      </c>
      <c r="GG387">
        <v>32.780217605020106</v>
      </c>
      <c r="GH387">
        <v>34.131642233771686</v>
      </c>
      <c r="GI387">
        <v>25.150954779674599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8">IF(C374&lt;1,0,LN(E374/E373)/E21)</f>
        <v>4.9342970989022919E-2</v>
      </c>
      <c r="G388" s="13"/>
      <c r="H388" s="19">
        <f>IF(G406&lt;0,0,G406)</f>
        <v>2.0596498508579614E-2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92.276578180792214</v>
      </c>
      <c r="AO388">
        <v>35.000656290521732</v>
      </c>
      <c r="AP388">
        <v>244.81570636006143</v>
      </c>
      <c r="AQ388">
        <v>202.4204610957153</v>
      </c>
      <c r="AR388">
        <v>31.582732258080355</v>
      </c>
      <c r="AS388">
        <v>212.55504316896364</v>
      </c>
      <c r="AT388">
        <v>24.349944629882675</v>
      </c>
      <c r="AU388">
        <v>28.060490008945226</v>
      </c>
      <c r="AV388"/>
      <c r="AW388"/>
      <c r="FY388" s="211">
        <v>383</v>
      </c>
      <c r="FZ388">
        <v>4.7645307643177865</v>
      </c>
      <c r="GA388">
        <v>14.724333339346583</v>
      </c>
      <c r="GB388">
        <v>25.250505831417968</v>
      </c>
      <c r="GC388">
        <v>14.832775149051873</v>
      </c>
      <c r="GD388">
        <v>10.72675036389281</v>
      </c>
      <c r="GE388">
        <v>22.349807212978437</v>
      </c>
      <c r="GF388">
        <v>17.269700643941828</v>
      </c>
      <c r="GG388">
        <v>21.68137096352606</v>
      </c>
      <c r="GH388">
        <v>23.903777133090728</v>
      </c>
      <c r="GI388">
        <v>20.63382447285337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8"/>
        <v>-1.4199338066959166E-2</v>
      </c>
      <c r="G389" s="13"/>
      <c r="H389" s="19">
        <f t="shared" ref="H389:H398" si="379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66.691722510595213</v>
      </c>
      <c r="AO389">
        <v>23.444148171097474</v>
      </c>
      <c r="AP389">
        <v>146.67688847058224</v>
      </c>
      <c r="AQ389">
        <v>128.8802804983543</v>
      </c>
      <c r="AR389">
        <v>21.252710781516544</v>
      </c>
      <c r="AS389">
        <v>101.1138130928635</v>
      </c>
      <c r="AT389" t="e">
        <v>#DIV/0!</v>
      </c>
      <c r="AU389" t="e">
        <v>#DIV/0!</v>
      </c>
      <c r="AV389"/>
      <c r="AW389"/>
      <c r="FY389" s="211">
        <v>384</v>
      </c>
      <c r="FZ389">
        <v>5.5890406192972675</v>
      </c>
      <c r="GA389">
        <v>21.962450636436934</v>
      </c>
      <c r="GB389">
        <v>16.321252521314602</v>
      </c>
      <c r="GC389">
        <v>12.196181421005456</v>
      </c>
      <c r="GD389">
        <v>9.700411577433556</v>
      </c>
      <c r="GE389">
        <v>21.110571706376053</v>
      </c>
      <c r="GF389">
        <v>35.679787589724008</v>
      </c>
      <c r="GG389">
        <v>19.35537727377848</v>
      </c>
      <c r="GH389">
        <v>9.9126566117725812</v>
      </c>
      <c r="GI389">
        <v>19.059531509379802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8"/>
        <v>6.6702559789225662E-3</v>
      </c>
      <c r="G390" s="13"/>
      <c r="H390" s="19">
        <f t="shared" si="379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90.496754303327563</v>
      </c>
      <c r="AO390">
        <v>34.714980184510452</v>
      </c>
      <c r="AP390">
        <v>205.22650080372046</v>
      </c>
      <c r="AQ390">
        <v>185.09127857825723</v>
      </c>
      <c r="AR390">
        <v>31.763034056871938</v>
      </c>
      <c r="AS390">
        <v>148.65236822972062</v>
      </c>
      <c r="AT390">
        <v>23.980499176791728</v>
      </c>
      <c r="AU390">
        <v>38.995671142086685</v>
      </c>
      <c r="AV390"/>
      <c r="AW390"/>
      <c r="FY390" s="211">
        <v>385</v>
      </c>
      <c r="FZ390">
        <v>3.319321671911788</v>
      </c>
      <c r="GA390">
        <v>14.273625600434732</v>
      </c>
      <c r="GB390">
        <v>32.775460236959489</v>
      </c>
      <c r="GC390">
        <v>21.830449753743913</v>
      </c>
      <c r="GD390">
        <v>9.9098473490185324</v>
      </c>
      <c r="GE390">
        <v>23.045568276343573</v>
      </c>
      <c r="GF390">
        <v>34.177930010958434</v>
      </c>
      <c r="GG390">
        <v>30.110335064927423</v>
      </c>
      <c r="GH390">
        <v>26.977748788214743</v>
      </c>
      <c r="GI390">
        <v>25.453129989076626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8"/>
        <v>4.6231016802367377E-3</v>
      </c>
      <c r="G391" s="13"/>
      <c r="H391" s="19">
        <f t="shared" si="379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89.877466094621937</v>
      </c>
      <c r="AO391">
        <v>37.886856500989282</v>
      </c>
      <c r="AP391">
        <v>274.43519580712092</v>
      </c>
      <c r="AQ391">
        <v>215.76309677650781</v>
      </c>
      <c r="AR391">
        <v>34.154078906427884</v>
      </c>
      <c r="AS391">
        <v>156.86106471160429</v>
      </c>
      <c r="AT391">
        <v>25.11251030064096</v>
      </c>
      <c r="AU391">
        <v>32.699005825882111</v>
      </c>
      <c r="AV391"/>
      <c r="AW391"/>
      <c r="FY391" s="211">
        <v>386</v>
      </c>
      <c r="FZ391">
        <v>4.6775983412851394</v>
      </c>
      <c r="GA391">
        <v>14.655548411424547</v>
      </c>
      <c r="GB391">
        <v>18.381830243964526</v>
      </c>
      <c r="GC391">
        <v>14.43861334243373</v>
      </c>
      <c r="GD391">
        <v>10.524219614398525</v>
      </c>
      <c r="GE391">
        <v>17.383566453291909</v>
      </c>
      <c r="GF391">
        <v>29.10691052124568</v>
      </c>
      <c r="GG391">
        <v>23.742875491014264</v>
      </c>
      <c r="GH391">
        <v>12.813302643815355</v>
      </c>
      <c r="GI391">
        <v>19.197369872827696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8"/>
        <v>1.0276219444142453E-2</v>
      </c>
      <c r="G392" s="13"/>
      <c r="H392" s="19">
        <f t="shared" si="379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82.780030351970339</v>
      </c>
      <c r="AO392">
        <v>30.306348421252249</v>
      </c>
      <c r="AP392">
        <v>200.85543594405397</v>
      </c>
      <c r="AQ392">
        <v>171.60131888379635</v>
      </c>
      <c r="AR392">
        <v>26.80700342470459</v>
      </c>
      <c r="AS392">
        <v>139.47059789030021</v>
      </c>
      <c r="AT392" t="e">
        <v>#DIV/0!</v>
      </c>
      <c r="AU392" t="e">
        <v>#DIV/0!</v>
      </c>
      <c r="AV392"/>
      <c r="AW392"/>
      <c r="FY392" s="211">
        <v>387</v>
      </c>
      <c r="FZ392">
        <v>2.2168323937111967</v>
      </c>
      <c r="GA392">
        <v>15.00894655598087</v>
      </c>
      <c r="GB392">
        <v>19.658524425803591</v>
      </c>
      <c r="GC392">
        <v>13.332688032159307</v>
      </c>
      <c r="GD392">
        <v>10.347314689762609</v>
      </c>
      <c r="GE392">
        <v>17.382555775001158</v>
      </c>
      <c r="GF392">
        <v>35.568694360662185</v>
      </c>
      <c r="GG392">
        <v>32.808680110706433</v>
      </c>
      <c r="GH392">
        <v>17.838437767277377</v>
      </c>
      <c r="GI392">
        <v>21.05113546369989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8"/>
        <v>1.5528934577805408E-4</v>
      </c>
      <c r="G393" s="13"/>
      <c r="H393" s="19">
        <f t="shared" si="379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84.547063189338957</v>
      </c>
      <c r="AO393">
        <v>33.035349906446569</v>
      </c>
      <c r="AP393">
        <v>235.03073212645813</v>
      </c>
      <c r="AQ393">
        <v>197.24808114606896</v>
      </c>
      <c r="AR393">
        <v>30.063951007102684</v>
      </c>
      <c r="AS393">
        <v>145.71331134444682</v>
      </c>
      <c r="AT393">
        <v>23.06586628356192</v>
      </c>
      <c r="AU393">
        <v>40.553873897142978</v>
      </c>
      <c r="AV393"/>
      <c r="AW393"/>
      <c r="FY393" s="211">
        <v>388</v>
      </c>
      <c r="FZ393">
        <v>5.587740501358506</v>
      </c>
      <c r="GA393">
        <v>16.180121857177191</v>
      </c>
      <c r="GB393">
        <v>19.643440914222293</v>
      </c>
      <c r="GC393">
        <v>15.215894830322164</v>
      </c>
      <c r="GD393">
        <v>13.197816051995799</v>
      </c>
      <c r="GE393">
        <v>31.356103832775975</v>
      </c>
      <c r="GF393">
        <v>33.637985974577056</v>
      </c>
      <c r="GG393">
        <v>18.364737259949354</v>
      </c>
      <c r="GH393">
        <v>16.013917009911051</v>
      </c>
      <c r="GI393">
        <v>22.62666284439166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8"/>
        <v>3.0508917758721448E-3</v>
      </c>
      <c r="G394" s="13"/>
      <c r="H394" s="19">
        <f t="shared" si="379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98.231186551496236</v>
      </c>
      <c r="AO394">
        <v>33.178710225474539</v>
      </c>
      <c r="AP394">
        <v>218.03470647570805</v>
      </c>
      <c r="AQ394">
        <v>186.13761354160954</v>
      </c>
      <c r="AR394">
        <v>29.792092737549293</v>
      </c>
      <c r="AS394">
        <v>152.27486330858622</v>
      </c>
      <c r="AT394">
        <v>22.555216316617692</v>
      </c>
      <c r="AU394">
        <v>53.371483306962659</v>
      </c>
      <c r="AV394"/>
      <c r="AW394"/>
      <c r="FY394" s="211">
        <v>389</v>
      </c>
      <c r="FZ394">
        <v>5.9165734709773226</v>
      </c>
      <c r="GA394">
        <v>18.957812486137463</v>
      </c>
      <c r="GB394">
        <v>13.6926743829976</v>
      </c>
      <c r="GC394">
        <v>9.7511872431654609</v>
      </c>
      <c r="GD394">
        <v>13.34091193589664</v>
      </c>
      <c r="GE394">
        <v>23.653677628691316</v>
      </c>
      <c r="GF394">
        <v>22.626275530339061</v>
      </c>
      <c r="GG394">
        <v>19.186265648084778</v>
      </c>
      <c r="GH394">
        <v>10.029148517844867</v>
      </c>
      <c r="GI394">
        <v>18.225561309159694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8"/>
        <v>-2.1825451508818851E-2</v>
      </c>
      <c r="G395" s="13"/>
      <c r="H395" s="19">
        <f t="shared" si="379"/>
        <v>1.713163201884009E-2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84.934706015809681</v>
      </c>
      <c r="AO395">
        <v>34.424630575332422</v>
      </c>
      <c r="AP395">
        <v>244.72635303718673</v>
      </c>
      <c r="AQ395">
        <v>203.72456393765179</v>
      </c>
      <c r="AR395">
        <v>30.792039158704668</v>
      </c>
      <c r="AS395">
        <v>152.42351642032912</v>
      </c>
      <c r="AT395" t="e">
        <v>#DIV/0!</v>
      </c>
      <c r="AU395" t="e">
        <v>#DIV/0!</v>
      </c>
      <c r="AV395"/>
      <c r="AW395"/>
      <c r="FY395" s="211">
        <v>390</v>
      </c>
      <c r="FZ395">
        <v>0.97688638001645745</v>
      </c>
      <c r="GA395">
        <v>17.315964463502198</v>
      </c>
      <c r="GB395">
        <v>15.973956352247967</v>
      </c>
      <c r="GC395">
        <v>10.450704178385319</v>
      </c>
      <c r="GD395">
        <v>11.928347533282352</v>
      </c>
      <c r="GE395">
        <v>19.611382928288585</v>
      </c>
      <c r="GF395">
        <v>17.620902750725023</v>
      </c>
      <c r="GG395">
        <v>25.008304522136857</v>
      </c>
      <c r="GH395">
        <v>24.024811917232416</v>
      </c>
      <c r="GI395">
        <v>18.483550607224036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8"/>
        <v>1.0324616783165026E-2</v>
      </c>
      <c r="G396" s="13"/>
      <c r="H396" s="19">
        <f t="shared" si="379"/>
        <v>1.9791983443847437E-2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93.762361854140181</v>
      </c>
      <c r="AO396">
        <v>32.032665009545305</v>
      </c>
      <c r="AP396">
        <v>235.89109110608635</v>
      </c>
      <c r="AQ396">
        <v>194.89055557732604</v>
      </c>
      <c r="AR396">
        <v>29.754862434922412</v>
      </c>
      <c r="AS396">
        <v>143.7061681927197</v>
      </c>
      <c r="AT396">
        <v>21.738460911349694</v>
      </c>
      <c r="AU396">
        <v>38.449738212996408</v>
      </c>
      <c r="AV396"/>
      <c r="AW396"/>
      <c r="FY396" s="211">
        <v>391</v>
      </c>
      <c r="FZ396">
        <v>9.2419616399442646</v>
      </c>
      <c r="GA396">
        <v>17.088755642289961</v>
      </c>
      <c r="GB396">
        <v>20.887983871009858</v>
      </c>
      <c r="GC396">
        <v>13.272403136120817</v>
      </c>
      <c r="GD396">
        <v>9.569269269619479</v>
      </c>
      <c r="GE396">
        <v>19.406980023263884</v>
      </c>
      <c r="GF396">
        <v>35.098311063673265</v>
      </c>
      <c r="GG396">
        <v>28.149173326127148</v>
      </c>
      <c r="GH396">
        <v>11.732634491069508</v>
      </c>
      <c r="GI396">
        <v>20.846211623742239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8"/>
        <v>0</v>
      </c>
      <c r="G397" s="13"/>
      <c r="H397" s="19">
        <f t="shared" si="379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82.114945034848375</v>
      </c>
      <c r="AO397">
        <v>33.469824619379878</v>
      </c>
      <c r="AP397">
        <v>228.59058173993276</v>
      </c>
      <c r="AQ397">
        <v>185.6206781751022</v>
      </c>
      <c r="AR397">
        <v>30.429291770512229</v>
      </c>
      <c r="AS397">
        <v>137.59782083930989</v>
      </c>
      <c r="AT397">
        <v>22.274843835567509</v>
      </c>
      <c r="AU397">
        <v>21.393226511917565</v>
      </c>
      <c r="AV397"/>
      <c r="AW397"/>
      <c r="FY397" s="211">
        <v>392</v>
      </c>
      <c r="FZ397">
        <v>1.3329716455788936</v>
      </c>
      <c r="GA397">
        <v>17.071153051048682</v>
      </c>
      <c r="GB397">
        <v>31.235667953092932</v>
      </c>
      <c r="GC397">
        <v>20.840029297288115</v>
      </c>
      <c r="GD397">
        <v>10.513902240623386</v>
      </c>
      <c r="GE397">
        <v>13.660401011256496</v>
      </c>
      <c r="GF397">
        <v>30.376998471945615</v>
      </c>
      <c r="GG397">
        <v>30.433263389045386</v>
      </c>
      <c r="GH397">
        <v>14.577891564724624</v>
      </c>
      <c r="GI397">
        <v>22.401256611253054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8"/>
        <v>0</v>
      </c>
      <c r="G398" s="13"/>
      <c r="H398" s="19">
        <f t="shared" si="379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87.437431954619456</v>
      </c>
      <c r="AO398">
        <v>38.444117093054459</v>
      </c>
      <c r="AP398">
        <v>260.42561149568439</v>
      </c>
      <c r="AQ398">
        <v>213.68501037267569</v>
      </c>
      <c r="AR398">
        <v>35.04590008583336</v>
      </c>
      <c r="AS398">
        <v>159.55647603514529</v>
      </c>
      <c r="AT398">
        <v>25.808564376575031</v>
      </c>
      <c r="AU398">
        <v>18.988546569920832</v>
      </c>
      <c r="AV398"/>
      <c r="AW398"/>
      <c r="FY398" s="211">
        <v>393</v>
      </c>
      <c r="FZ398">
        <v>1.827306664391688</v>
      </c>
      <c r="GA398">
        <v>19.393936693034629</v>
      </c>
      <c r="GB398">
        <v>12.710217194553563</v>
      </c>
      <c r="GC398">
        <v>9.7626475723706463</v>
      </c>
      <c r="GD398">
        <v>11.672757665708662</v>
      </c>
      <c r="GE398">
        <v>18.018003079145338</v>
      </c>
      <c r="GF398">
        <v>14.249550897225701</v>
      </c>
      <c r="GG398">
        <v>11.277992903179596</v>
      </c>
      <c r="GH398">
        <v>11.76545740394652</v>
      </c>
      <c r="GI398">
        <v>15.01675414275206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77.250493815972462</v>
      </c>
      <c r="AO399">
        <v>31.258061543162722</v>
      </c>
      <c r="AP399">
        <v>209.87343947710858</v>
      </c>
      <c r="AQ399">
        <v>176.13737587441744</v>
      </c>
      <c r="AR399">
        <v>28.711598992453251</v>
      </c>
      <c r="AS399">
        <v>130.07902133550772</v>
      </c>
      <c r="AT399">
        <v>21.244900256747709</v>
      </c>
      <c r="AU399">
        <v>32.227658303820107</v>
      </c>
      <c r="AV399"/>
      <c r="AW399"/>
      <c r="FY399" s="211">
        <v>394</v>
      </c>
      <c r="FZ399">
        <v>2.7555389063293685</v>
      </c>
      <c r="GA399">
        <v>18.249192684937253</v>
      </c>
      <c r="GB399">
        <v>23.619953989279491</v>
      </c>
      <c r="GC399">
        <v>14.822874239002235</v>
      </c>
      <c r="GD399">
        <v>11.905011748477744</v>
      </c>
      <c r="GE399">
        <v>22.154277905808218</v>
      </c>
      <c r="GF399">
        <v>22.297424416769946</v>
      </c>
      <c r="GG399">
        <v>16.712226883034521</v>
      </c>
      <c r="GH399">
        <v>11.396745124691469</v>
      </c>
      <c r="GI399">
        <v>19.585823176469688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85.551474285293779</v>
      </c>
      <c r="AO400">
        <v>28.851332190163998</v>
      </c>
      <c r="AP400">
        <v>203.11283546766236</v>
      </c>
      <c r="AQ400">
        <v>170.88726146651874</v>
      </c>
      <c r="AR400">
        <v>25.822456127515771</v>
      </c>
      <c r="AS400">
        <v>128.09888805106448</v>
      </c>
      <c r="AT400">
        <v>19.574367873132584</v>
      </c>
      <c r="AU400">
        <v>42.208621116222275</v>
      </c>
      <c r="AV400"/>
      <c r="AW400"/>
      <c r="FY400" s="211">
        <v>395</v>
      </c>
      <c r="FZ400">
        <v>3.6245180419191882</v>
      </c>
      <c r="GA400">
        <v>11.687954968666926</v>
      </c>
      <c r="GB400">
        <v>19.908401760417114</v>
      </c>
      <c r="GC400">
        <v>15.687348634666035</v>
      </c>
      <c r="GD400">
        <v>11.665680320509408</v>
      </c>
      <c r="GE400">
        <v>24.546849475831216</v>
      </c>
      <c r="GF400">
        <v>31.03894364373167</v>
      </c>
      <c r="GG400">
        <v>22.514247765660372</v>
      </c>
      <c r="GH400">
        <v>19.181708463129738</v>
      </c>
      <c r="GI400">
        <v>21.434362502547199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90.95089414903893</v>
      </c>
      <c r="AO401">
        <v>38.940050788825559</v>
      </c>
      <c r="AP401">
        <v>274.55266512072973</v>
      </c>
      <c r="AQ401">
        <v>221.87341674158924</v>
      </c>
      <c r="AR401">
        <v>35.024125236482227</v>
      </c>
      <c r="AS401">
        <v>162.99837877111887</v>
      </c>
      <c r="AT401" t="e">
        <v>#DIV/0!</v>
      </c>
      <c r="AU401" t="e">
        <v>#DIV/0!</v>
      </c>
      <c r="AV401"/>
      <c r="AW401"/>
      <c r="FY401" s="211">
        <v>396</v>
      </c>
      <c r="FZ401">
        <v>5.7778500341664554</v>
      </c>
      <c r="GA401">
        <v>18.406435439762063</v>
      </c>
      <c r="GB401">
        <v>15.54360966953978</v>
      </c>
      <c r="GC401">
        <v>16.97740368706684</v>
      </c>
      <c r="GD401">
        <v>13.323419142610351</v>
      </c>
      <c r="GE401">
        <v>19.148239726022766</v>
      </c>
      <c r="GF401">
        <v>26.057375591958788</v>
      </c>
      <c r="GG401">
        <v>21.625630742942725</v>
      </c>
      <c r="GH401">
        <v>21.877650717835557</v>
      </c>
      <c r="GI401">
        <v>21.2000374127222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74.661228243127553</v>
      </c>
      <c r="AO402">
        <v>29.070648283849078</v>
      </c>
      <c r="AP402">
        <v>197.3218161305478</v>
      </c>
      <c r="AQ402">
        <v>164.92183493570136</v>
      </c>
      <c r="AR402">
        <v>26.60201298260289</v>
      </c>
      <c r="AS402">
        <v>128.17269621315651</v>
      </c>
      <c r="AT402">
        <v>19.86567474118598</v>
      </c>
      <c r="AU402">
        <v>31.516186958356911</v>
      </c>
      <c r="AV402"/>
      <c r="AW402"/>
      <c r="FY402" s="211">
        <v>397</v>
      </c>
      <c r="FZ402">
        <v>1.9628918115816036</v>
      </c>
      <c r="GA402">
        <v>4.8512958764794956</v>
      </c>
      <c r="GB402">
        <v>15.993232562812404</v>
      </c>
      <c r="GC402">
        <v>11.424605479883274</v>
      </c>
      <c r="GD402">
        <v>10.27955821518171</v>
      </c>
      <c r="GE402">
        <v>26.022526751056237</v>
      </c>
      <c r="GF402">
        <v>26.657141883458898</v>
      </c>
      <c r="GG402">
        <v>36.272209386063942</v>
      </c>
      <c r="GH402">
        <v>39.127158626271758</v>
      </c>
      <c r="GI402">
        <v>21.792063236996032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75.880790840491869</v>
      </c>
      <c r="AO403">
        <v>31.624238706404771</v>
      </c>
      <c r="AP403">
        <v>226.62574891923848</v>
      </c>
      <c r="AQ403">
        <v>185.21380957476464</v>
      </c>
      <c r="AR403">
        <v>29.303406821011226</v>
      </c>
      <c r="AS403">
        <v>129.23207656807531</v>
      </c>
      <c r="AT403">
        <v>21.975603997369635</v>
      </c>
      <c r="AU403">
        <v>20.866827870907429</v>
      </c>
      <c r="AV403"/>
      <c r="AW403"/>
      <c r="FY403" s="211">
        <v>398</v>
      </c>
      <c r="FZ403">
        <v>2.880840177681379</v>
      </c>
      <c r="GA403">
        <v>14.663964195998933</v>
      </c>
      <c r="GB403">
        <v>29.450025488226903</v>
      </c>
      <c r="GC403">
        <v>19.946778555156079</v>
      </c>
      <c r="GD403">
        <v>9.9586377072304444</v>
      </c>
      <c r="GE403">
        <v>17.671570965573945</v>
      </c>
      <c r="GF403">
        <v>32.838072380245698</v>
      </c>
      <c r="GG403">
        <v>21.847679791947751</v>
      </c>
      <c r="GH403">
        <v>9.3313677504489068</v>
      </c>
      <c r="GI403">
        <v>21.494235525017274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89.300640717681858</v>
      </c>
      <c r="AO404">
        <v>34.407506660750236</v>
      </c>
      <c r="AP404">
        <v>220.72119765853353</v>
      </c>
      <c r="AQ404">
        <v>191.82442107668103</v>
      </c>
      <c r="AR404">
        <v>30.742567586972225</v>
      </c>
      <c r="AS404">
        <v>141.66793722551847</v>
      </c>
      <c r="AT404">
        <v>23.876768299981407</v>
      </c>
      <c r="AU404">
        <v>55.882669727218726</v>
      </c>
      <c r="AV404"/>
      <c r="AW404"/>
      <c r="FY404" s="211">
        <v>399</v>
      </c>
      <c r="FZ404">
        <v>5.5710822594737373</v>
      </c>
      <c r="GA404">
        <v>14.729276354522016</v>
      </c>
      <c r="GB404">
        <v>10.654116378527299</v>
      </c>
      <c r="GC404">
        <v>11.688844449879635</v>
      </c>
      <c r="GD404">
        <v>12.118902918783464</v>
      </c>
      <c r="GE404">
        <v>20.777978755089951</v>
      </c>
      <c r="GF404">
        <v>30.468201010635052</v>
      </c>
      <c r="GG404">
        <v>31.741556232540269</v>
      </c>
      <c r="GH404">
        <v>27.906837244109624</v>
      </c>
      <c r="GI404">
        <v>20.963401615067266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80">+C4</f>
        <v>39646</v>
      </c>
      <c r="C405" s="61">
        <v>0</v>
      </c>
      <c r="D405" s="61">
        <f t="shared" ref="D405:D414" si="381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2.4285714285714288</v>
      </c>
      <c r="E405" s="108">
        <f t="shared" ref="E405:E414" si="382">IF(D405=0,0.00000001,(1-$A$43/100)*($A$39*(D405^($A$41))))</f>
        <v>0.10593511192338192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75.267434867760898</v>
      </c>
      <c r="AO405">
        <v>27.724326964111686</v>
      </c>
      <c r="AP405">
        <v>175.08135802455749</v>
      </c>
      <c r="AQ405">
        <v>155.38008815329422</v>
      </c>
      <c r="AR405">
        <v>25.336988551298056</v>
      </c>
      <c r="AS405">
        <v>128.19026519033076</v>
      </c>
      <c r="AT405" t="e">
        <v>#DIV/0!</v>
      </c>
      <c r="AU405" t="e">
        <v>#DIV/0!</v>
      </c>
      <c r="AV405"/>
      <c r="AW405"/>
      <c r="FY405" s="211">
        <v>400</v>
      </c>
      <c r="FZ405">
        <v>4.2838175747963136</v>
      </c>
      <c r="GA405">
        <v>20.629606868579422</v>
      </c>
      <c r="GB405">
        <v>26.051562263748622</v>
      </c>
      <c r="GC405">
        <v>19.470196201024258</v>
      </c>
      <c r="GD405">
        <v>14.052985831906661</v>
      </c>
      <c r="GE405">
        <v>21.091719341068433</v>
      </c>
      <c r="GF405">
        <v>20.660029989999792</v>
      </c>
      <c r="GG405">
        <v>7.7543866124158294</v>
      </c>
      <c r="GH405">
        <v>2.062047447580289</v>
      </c>
      <c r="GI405">
        <v>19.903814854065413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80"/>
        <v>39673</v>
      </c>
      <c r="C406" s="61">
        <f>B406-B405</f>
        <v>27</v>
      </c>
      <c r="D406" s="61">
        <f t="shared" si="381"/>
        <v>3.6</v>
      </c>
      <c r="E406" s="108">
        <f t="shared" si="382"/>
        <v>0.30378796883798009</v>
      </c>
      <c r="F406" s="19">
        <f t="shared" ref="F406:F414" si="383">IF(C374&lt;1,0,LN(E406/E405)/E21)</f>
        <v>3.9018638226962617E-2</v>
      </c>
      <c r="G406" s="19">
        <f t="shared" ref="G406:G414" si="384">IF(D406=0, 0, 0.051-(0.068*LN(D406))+(0.006*A406))</f>
        <v>2.0596498508579614E-2</v>
      </c>
      <c r="H406" s="19">
        <f t="shared" ref="H406:H414" si="385">+IF((G406&gt;0),G406,0)</f>
        <v>2.0596498508579614E-2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69.62260838826397</v>
      </c>
      <c r="AO406">
        <v>28.043612190075795</v>
      </c>
      <c r="AP406">
        <v>187.77509381052425</v>
      </c>
      <c r="AQ406">
        <v>161.3948116330412</v>
      </c>
      <c r="AR406">
        <v>25.757180204492382</v>
      </c>
      <c r="AS406">
        <v>119.74685140010531</v>
      </c>
      <c r="AT406">
        <v>18.993601601347287</v>
      </c>
      <c r="AU406">
        <v>37.107118542025695</v>
      </c>
      <c r="AV406"/>
      <c r="AW406"/>
      <c r="FY406" s="211">
        <v>401</v>
      </c>
      <c r="FZ406">
        <v>4.1347826550434608</v>
      </c>
      <c r="GA406">
        <v>17.331081202533142</v>
      </c>
      <c r="GB406">
        <v>14.617812358289296</v>
      </c>
      <c r="GC406">
        <v>11.235702021015626</v>
      </c>
      <c r="GD406">
        <v>12.556118664346684</v>
      </c>
      <c r="GE406">
        <v>22.000428278559326</v>
      </c>
      <c r="GF406">
        <v>20.447823144957674</v>
      </c>
      <c r="GG406">
        <v>13.217560317507504</v>
      </c>
      <c r="GH406">
        <v>7.934278157387566</v>
      </c>
      <c r="GI406">
        <v>16.98429055485159</v>
      </c>
      <c r="GJ406"/>
      <c r="GK406"/>
      <c r="GL406"/>
      <c r="GM406"/>
    </row>
    <row r="407" spans="1:195" s="7" customFormat="1">
      <c r="A407" s="189">
        <v>4.03</v>
      </c>
      <c r="B407" s="71">
        <f t="shared" si="380"/>
        <v>39714</v>
      </c>
      <c r="C407" s="61">
        <f>B407-$B$405</f>
        <v>68</v>
      </c>
      <c r="D407" s="61">
        <f t="shared" si="381"/>
        <v>3.4375000000000004</v>
      </c>
      <c r="E407" s="108">
        <f t="shared" si="382"/>
        <v>0.26846213468604496</v>
      </c>
      <c r="F407" s="19">
        <f t="shared" si="383"/>
        <v>-3.0151245977188337E-3</v>
      </c>
      <c r="G407" s="19">
        <f t="shared" si="384"/>
        <v>-8.7826234835029181E-3</v>
      </c>
      <c r="H407" s="19">
        <f t="shared" si="385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90.725035031164737</v>
      </c>
      <c r="AO407">
        <v>31.251661175091272</v>
      </c>
      <c r="AP407">
        <v>224.28029753321334</v>
      </c>
      <c r="AQ407">
        <v>185.29368408686045</v>
      </c>
      <c r="AR407">
        <v>28.908059613236603</v>
      </c>
      <c r="AS407">
        <v>144.17865108670463</v>
      </c>
      <c r="AT407">
        <v>21.736245809289056</v>
      </c>
      <c r="AU407">
        <v>29.537855875606013</v>
      </c>
      <c r="AV407"/>
      <c r="AW407"/>
      <c r="FY407" s="211">
        <v>402</v>
      </c>
      <c r="FZ407">
        <v>1.0703376187202709</v>
      </c>
      <c r="GA407">
        <v>7.4928004146888378</v>
      </c>
      <c r="GB407">
        <v>26.816203011189781</v>
      </c>
      <c r="GC407">
        <v>20.685428273660804</v>
      </c>
      <c r="GD407">
        <v>14.371953904681618</v>
      </c>
      <c r="GE407">
        <v>26.949825812335185</v>
      </c>
      <c r="GF407">
        <v>27.500094241402124</v>
      </c>
      <c r="GG407">
        <v>29.271658488344318</v>
      </c>
      <c r="GH407">
        <v>27.346461067469793</v>
      </c>
      <c r="GI407">
        <v>25.173100308170632</v>
      </c>
      <c r="GJ407"/>
      <c r="GK407"/>
      <c r="GL407"/>
      <c r="GM407"/>
    </row>
    <row r="408" spans="1:195" s="7" customFormat="1">
      <c r="A408" s="189">
        <v>0.78</v>
      </c>
      <c r="B408" s="71">
        <f t="shared" si="380"/>
        <v>39747</v>
      </c>
      <c r="C408" s="61">
        <f t="shared" ref="C408:C414" si="386">B408-$B$405</f>
        <v>101</v>
      </c>
      <c r="D408" s="61">
        <f t="shared" si="381"/>
        <v>3.5386737996629063</v>
      </c>
      <c r="E408" s="108">
        <f t="shared" si="382"/>
        <v>0.29013461065494051</v>
      </c>
      <c r="F408" s="19">
        <f t="shared" si="383"/>
        <v>2.3525791312407037E-3</v>
      </c>
      <c r="G408" s="19">
        <f t="shared" si="384"/>
        <v>-3.0255137638097892E-2</v>
      </c>
      <c r="H408" s="19">
        <f t="shared" si="385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87.07227834535432</v>
      </c>
      <c r="AO408">
        <v>34.177244070414361</v>
      </c>
      <c r="AP408">
        <v>238.61641126159014</v>
      </c>
      <c r="AQ408">
        <v>192.44353523585718</v>
      </c>
      <c r="AR408">
        <v>31.309114285757897</v>
      </c>
      <c r="AS408">
        <v>148.14549419432541</v>
      </c>
      <c r="AT408" t="e">
        <v>#DIV/0!</v>
      </c>
      <c r="AU408" t="e">
        <v>#DIV/0!</v>
      </c>
      <c r="AV408"/>
      <c r="AW408"/>
      <c r="FY408" s="211">
        <v>403</v>
      </c>
      <c r="FZ408">
        <v>2.914267175839397</v>
      </c>
      <c r="GA408">
        <v>16.182102614655982</v>
      </c>
      <c r="GB408">
        <v>17.911833163933366</v>
      </c>
      <c r="GC408">
        <v>16.690728584119874</v>
      </c>
      <c r="GD408">
        <v>13.525326657067344</v>
      </c>
      <c r="GE408">
        <v>22.088507454966656</v>
      </c>
      <c r="GF408">
        <v>32.749888914439126</v>
      </c>
      <c r="GG408">
        <v>21.219162176450158</v>
      </c>
      <c r="GH408">
        <v>10.348899884822634</v>
      </c>
      <c r="GI408">
        <v>20.875197122709761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80"/>
        <v>39775</v>
      </c>
      <c r="C409" s="61">
        <f t="shared" si="386"/>
        <v>129</v>
      </c>
      <c r="D409" s="61">
        <f t="shared" si="381"/>
        <v>3.7880434782608696</v>
      </c>
      <c r="E409" s="108">
        <f t="shared" si="382"/>
        <v>0.3481382886220758</v>
      </c>
      <c r="F409" s="19">
        <f t="shared" si="383"/>
        <v>6.5090997135873333E-3</v>
      </c>
      <c r="G409" s="19">
        <f t="shared" si="384"/>
        <v>-3.8725776414304608E-2</v>
      </c>
      <c r="H409" s="19">
        <f t="shared" si="385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62.838632564544675</v>
      </c>
      <c r="AO409">
        <v>22.630323936848932</v>
      </c>
      <c r="AP409">
        <v>139.65183838226974</v>
      </c>
      <c r="AQ409">
        <v>125.6946242163084</v>
      </c>
      <c r="AR409">
        <v>20.658709528175766</v>
      </c>
      <c r="AS409">
        <v>100.47396280595508</v>
      </c>
      <c r="AT409">
        <v>15.610876970317369</v>
      </c>
      <c r="AU409">
        <v>34.005510698590243</v>
      </c>
      <c r="AV409"/>
      <c r="AW409"/>
      <c r="FY409" s="211">
        <v>404</v>
      </c>
      <c r="FZ409">
        <v>2.5870847657478508</v>
      </c>
      <c r="GA409">
        <v>16.830249737574011</v>
      </c>
      <c r="GB409">
        <v>14.828797662355633</v>
      </c>
      <c r="GC409">
        <v>10.515628691800039</v>
      </c>
      <c r="GD409">
        <v>11.453254943004103</v>
      </c>
      <c r="GE409">
        <v>27.178455462697887</v>
      </c>
      <c r="GF409">
        <v>41.129381318576279</v>
      </c>
      <c r="GG409">
        <v>22.580780387490115</v>
      </c>
      <c r="GH409">
        <v>10.646358411493654</v>
      </c>
      <c r="GI409">
        <v>20.432032417068982</v>
      </c>
      <c r="GJ409"/>
      <c r="GK409"/>
      <c r="GL409"/>
      <c r="GM409"/>
    </row>
    <row r="410" spans="1:195" s="7" customFormat="1">
      <c r="A410" s="189">
        <v>0.21</v>
      </c>
      <c r="B410" s="71">
        <f t="shared" si="380"/>
        <v>39799</v>
      </c>
      <c r="C410" s="61">
        <f t="shared" si="386"/>
        <v>153</v>
      </c>
      <c r="D410" s="61">
        <f t="shared" si="381"/>
        <v>4.2836879432624118</v>
      </c>
      <c r="E410" s="108">
        <f t="shared" si="382"/>
        <v>0.48381340661998445</v>
      </c>
      <c r="F410" s="19">
        <f t="shared" si="383"/>
        <v>1.3712480288894685E-2</v>
      </c>
      <c r="G410" s="19">
        <f t="shared" si="384"/>
        <v>-4.6667372913852E-2</v>
      </c>
      <c r="H410" s="19">
        <f t="shared" si="385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74.346698771667121</v>
      </c>
      <c r="AO410">
        <v>29.863312079329695</v>
      </c>
      <c r="AP410">
        <v>193.06515688482295</v>
      </c>
      <c r="AQ410">
        <v>163.49906907479993</v>
      </c>
      <c r="AR410">
        <v>27.13449002116127</v>
      </c>
      <c r="AS410">
        <v>129.00183004296002</v>
      </c>
      <c r="AT410" t="e">
        <v>#DIV/0!</v>
      </c>
      <c r="AU410" t="e">
        <v>#DIV/0!</v>
      </c>
      <c r="AV410"/>
      <c r="AW410"/>
      <c r="FY410" s="211">
        <v>405</v>
      </c>
      <c r="FZ410">
        <v>5.6356016216810705</v>
      </c>
      <c r="GA410">
        <v>9.7080113177248837</v>
      </c>
      <c r="GB410">
        <v>20.360365625615568</v>
      </c>
      <c r="GC410">
        <v>20.877313792263251</v>
      </c>
      <c r="GD410">
        <v>13.030717750124717</v>
      </c>
      <c r="GE410">
        <v>18.649895727780123</v>
      </c>
      <c r="GF410">
        <v>31.754043993431353</v>
      </c>
      <c r="GG410">
        <v>27.340168850029166</v>
      </c>
      <c r="GH410">
        <v>19.283275321208876</v>
      </c>
      <c r="GI410">
        <v>22.869245640463717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6"/>
        <v>201</v>
      </c>
      <c r="D411" s="61">
        <f t="shared" si="381"/>
        <v>4.3518518518518512</v>
      </c>
      <c r="E411" s="108">
        <f t="shared" si="382"/>
        <v>0.50469367914240337</v>
      </c>
      <c r="F411" s="19">
        <f t="shared" si="383"/>
        <v>8.8025750848318011E-4</v>
      </c>
      <c r="G411" s="19">
        <f t="shared" si="384"/>
        <v>-4.1320899795432145E-2</v>
      </c>
      <c r="H411" s="19">
        <f t="shared" si="385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84.382853849715246</v>
      </c>
      <c r="AO411">
        <v>32.343816128570211</v>
      </c>
      <c r="AP411">
        <v>212.65625111098356</v>
      </c>
      <c r="AQ411">
        <v>181.29001557707889</v>
      </c>
      <c r="AR411">
        <v>29.341882439998802</v>
      </c>
      <c r="AS411">
        <v>145.26140356455647</v>
      </c>
      <c r="AT411">
        <v>22.456365819906647</v>
      </c>
      <c r="AU411">
        <v>45.771720674732649</v>
      </c>
      <c r="AV411"/>
      <c r="AW411"/>
      <c r="FY411" s="211">
        <v>406</v>
      </c>
      <c r="FZ411">
        <v>5.4905391679806721</v>
      </c>
      <c r="GA411">
        <v>19.72008597200761</v>
      </c>
      <c r="GB411">
        <v>16.207043694715054</v>
      </c>
      <c r="GC411">
        <v>18.264777703779128</v>
      </c>
      <c r="GD411">
        <v>14.970166237121319</v>
      </c>
      <c r="GE411">
        <v>14.103254604552475</v>
      </c>
      <c r="GF411">
        <v>17.486605223612408</v>
      </c>
      <c r="GG411">
        <v>32.207500331720851</v>
      </c>
      <c r="GH411">
        <v>34.073743468002114</v>
      </c>
      <c r="GI411">
        <v>22.670420010749705</v>
      </c>
      <c r="GJ411"/>
      <c r="GK411"/>
      <c r="GL411"/>
      <c r="GM411"/>
    </row>
    <row r="412" spans="1:195" s="7" customFormat="1">
      <c r="A412" s="189">
        <v>4</v>
      </c>
      <c r="B412" s="71">
        <f t="shared" si="380"/>
        <v>39910</v>
      </c>
      <c r="C412" s="61">
        <f t="shared" si="386"/>
        <v>264</v>
      </c>
      <c r="D412" s="61">
        <f t="shared" si="381"/>
        <v>4.6700816113908665</v>
      </c>
      <c r="E412" s="108">
        <f t="shared" si="382"/>
        <v>0.60962075334751242</v>
      </c>
      <c r="F412" s="19">
        <f t="shared" si="383"/>
        <v>2.9981806146044758E-3</v>
      </c>
      <c r="G412" s="19">
        <f t="shared" si="384"/>
        <v>-2.9800005209645611E-2</v>
      </c>
      <c r="H412" s="19">
        <f t="shared" si="385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77.843678537247769</v>
      </c>
      <c r="AO412">
        <v>31.913354209019371</v>
      </c>
      <c r="AP412">
        <v>207.57447193262985</v>
      </c>
      <c r="AQ412">
        <v>179.93765216462754</v>
      </c>
      <c r="AR412">
        <v>29.108165434387587</v>
      </c>
      <c r="AS412">
        <v>138.3467873647769</v>
      </c>
      <c r="AT412">
        <v>22.517290705145459</v>
      </c>
      <c r="AU412">
        <v>37.305369484707427</v>
      </c>
      <c r="AV412"/>
      <c r="AW412"/>
      <c r="FY412" s="211">
        <v>407</v>
      </c>
      <c r="FZ412">
        <v>6.3480900730801384</v>
      </c>
      <c r="GA412">
        <v>24.642453151012976</v>
      </c>
      <c r="GB412">
        <v>25.869150282592418</v>
      </c>
      <c r="GC412">
        <v>16.388414269915973</v>
      </c>
      <c r="GD412">
        <v>10.028614827062757</v>
      </c>
      <c r="GE412">
        <v>24.118616549958983</v>
      </c>
      <c r="GF412">
        <v>40.556091523190609</v>
      </c>
      <c r="GG412">
        <v>19.375276778196735</v>
      </c>
      <c r="GH412">
        <v>6.7074993676074879</v>
      </c>
      <c r="GI412">
        <v>22.193857733156587</v>
      </c>
      <c r="GJ412"/>
      <c r="GK412"/>
      <c r="GL412"/>
      <c r="GM412"/>
    </row>
    <row r="413" spans="1:195" s="7" customFormat="1">
      <c r="A413" s="190">
        <v>7.33</v>
      </c>
      <c r="B413" s="71">
        <f t="shared" si="380"/>
        <v>39949</v>
      </c>
      <c r="C413" s="61">
        <f t="shared" si="386"/>
        <v>303</v>
      </c>
      <c r="D413" s="61">
        <f t="shared" si="381"/>
        <v>3.1419038596202165</v>
      </c>
      <c r="E413" s="108">
        <f t="shared" si="382"/>
        <v>0.21104306732294856</v>
      </c>
      <c r="F413" s="19">
        <f t="shared" si="383"/>
        <v>-2.7199354482424002E-2</v>
      </c>
      <c r="G413" s="19">
        <f t="shared" si="384"/>
        <v>1.713163201884009E-2</v>
      </c>
      <c r="H413" s="19">
        <f t="shared" si="385"/>
        <v>1.713163201884009E-2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74.741396052805939</v>
      </c>
      <c r="AO413">
        <v>33.168915566646447</v>
      </c>
      <c r="AP413">
        <v>230.79094940301684</v>
      </c>
      <c r="AQ413">
        <v>194.38268382978532</v>
      </c>
      <c r="AR413">
        <v>30.06241654559507</v>
      </c>
      <c r="AS413">
        <v>138.61802066389598</v>
      </c>
      <c r="AT413">
        <v>22.221623212600466</v>
      </c>
      <c r="AU413">
        <v>13.053118354127619</v>
      </c>
      <c r="AV413"/>
      <c r="AW413"/>
      <c r="FY413" s="211">
        <v>408</v>
      </c>
      <c r="FZ413">
        <v>3.8295247426961563</v>
      </c>
      <c r="GA413">
        <v>14.605949592439508</v>
      </c>
      <c r="GB413">
        <v>13.211242426757513</v>
      </c>
      <c r="GC413">
        <v>7.4055590932292557</v>
      </c>
      <c r="GD413">
        <v>6.2813609240706914</v>
      </c>
      <c r="GE413">
        <v>17.428011512964368</v>
      </c>
      <c r="GF413">
        <v>28.49486272722865</v>
      </c>
      <c r="GG413">
        <v>17.03653206541204</v>
      </c>
      <c r="GH413">
        <v>9.2298008923697701</v>
      </c>
      <c r="GI413">
        <v>14.547269721731951</v>
      </c>
      <c r="GJ413"/>
      <c r="GK413"/>
      <c r="GL413"/>
      <c r="GM413"/>
    </row>
    <row r="414" spans="1:195" s="7" customFormat="1">
      <c r="A414" s="189">
        <v>10.51</v>
      </c>
      <c r="B414" s="71">
        <f t="shared" si="380"/>
        <v>39987</v>
      </c>
      <c r="C414" s="61">
        <f t="shared" si="386"/>
        <v>341</v>
      </c>
      <c r="D414" s="61">
        <f t="shared" si="381"/>
        <v>4</v>
      </c>
      <c r="E414" s="108">
        <f t="shared" si="382"/>
        <v>0.40274928116001696</v>
      </c>
      <c r="F414" s="19">
        <f t="shared" si="383"/>
        <v>1.700663194848916E-2</v>
      </c>
      <c r="G414" s="19">
        <f t="shared" si="384"/>
        <v>1.9791983443847437E-2</v>
      </c>
      <c r="H414" s="19">
        <f t="shared" si="385"/>
        <v>1.9791983443847437E-2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82.7410826256029</v>
      </c>
      <c r="AO414">
        <v>32.51077925251748</v>
      </c>
      <c r="AP414">
        <v>221.16058221695158</v>
      </c>
      <c r="AQ414">
        <v>180.08317253752733</v>
      </c>
      <c r="AR414">
        <v>29.674106711991779</v>
      </c>
      <c r="AS414">
        <v>145.6394102007412</v>
      </c>
      <c r="AT414">
        <v>22.196382239985649</v>
      </c>
      <c r="AU414">
        <v>30.037513281368661</v>
      </c>
      <c r="AV414"/>
      <c r="AW414"/>
      <c r="FY414" s="211">
        <v>409</v>
      </c>
      <c r="FZ414">
        <v>3.1540760006521018</v>
      </c>
      <c r="GA414">
        <v>14.858043724061584</v>
      </c>
      <c r="GB414">
        <v>15.947100828796483</v>
      </c>
      <c r="GC414">
        <v>11.485372961806508</v>
      </c>
      <c r="GD414">
        <v>12.631581165150255</v>
      </c>
      <c r="GE414">
        <v>28.698588805810274</v>
      </c>
      <c r="GF414">
        <v>31.940960930182381</v>
      </c>
      <c r="GG414">
        <v>19.442809110081662</v>
      </c>
      <c r="GH414">
        <v>14.020613507532889</v>
      </c>
      <c r="GI414">
        <v>20.301528428901317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87.78003179394895</v>
      </c>
      <c r="AO415">
        <v>31.495968033252986</v>
      </c>
      <c r="AP415">
        <v>217.22008487911128</v>
      </c>
      <c r="AQ415">
        <v>186.62019721862831</v>
      </c>
      <c r="AR415">
        <v>28.919507994027107</v>
      </c>
      <c r="AS415">
        <v>135.43620784293813</v>
      </c>
      <c r="AT415">
        <v>21.804307662544115</v>
      </c>
      <c r="AU415">
        <v>44.09184027153897</v>
      </c>
      <c r="AV415"/>
      <c r="AW415"/>
      <c r="FY415" s="211">
        <v>410</v>
      </c>
      <c r="FZ415">
        <v>7.8295599985899642</v>
      </c>
      <c r="GA415">
        <v>21.783049744579039</v>
      </c>
      <c r="GB415">
        <v>22.839007740884796</v>
      </c>
      <c r="GC415">
        <v>17.106909650552783</v>
      </c>
      <c r="GD415">
        <v>12.012586192017617</v>
      </c>
      <c r="GE415">
        <v>17.525172587116334</v>
      </c>
      <c r="GF415">
        <v>17.195689914354098</v>
      </c>
      <c r="GG415">
        <v>17.107610303320083</v>
      </c>
      <c r="GH415">
        <v>16.013917009911051</v>
      </c>
      <c r="GI415">
        <v>19.920008605688828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80.22302777980056</v>
      </c>
      <c r="AO416">
        <v>30.236864249377703</v>
      </c>
      <c r="AP416">
        <v>179.15914854417741</v>
      </c>
      <c r="AQ416">
        <v>155.96016698518503</v>
      </c>
      <c r="AR416">
        <v>27.578583907311906</v>
      </c>
      <c r="AS416">
        <v>132.52937762693915</v>
      </c>
      <c r="AT416">
        <v>20.361305320215486</v>
      </c>
      <c r="AU416">
        <v>76.705340250865362</v>
      </c>
      <c r="AV416"/>
      <c r="AW416"/>
      <c r="FY416" s="211">
        <v>411</v>
      </c>
      <c r="FZ416">
        <v>6.9451412456912465</v>
      </c>
      <c r="GA416">
        <v>17.884649815653336</v>
      </c>
      <c r="GB416">
        <v>27.833964328918341</v>
      </c>
      <c r="GC416">
        <v>16.125611295247118</v>
      </c>
      <c r="GD416">
        <v>9.7953894493895888</v>
      </c>
      <c r="GE416">
        <v>26.964167424631743</v>
      </c>
      <c r="GF416">
        <v>45.237928727625402</v>
      </c>
      <c r="GG416">
        <v>36.702903614295799</v>
      </c>
      <c r="GH416">
        <v>21.400943534390994</v>
      </c>
      <c r="GI416">
        <v>25.886724860705755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70.406543492268582</v>
      </c>
      <c r="AO417">
        <v>25.771363186976895</v>
      </c>
      <c r="AP417">
        <v>157.62454714642624</v>
      </c>
      <c r="AQ417">
        <v>140.45987735449185</v>
      </c>
      <c r="AR417">
        <v>23.416106319578645</v>
      </c>
      <c r="AS417">
        <v>113.26641099602479</v>
      </c>
      <c r="AT417" t="e">
        <v>#DIV/0!</v>
      </c>
      <c r="AU417" t="e">
        <v>#DIV/0!</v>
      </c>
      <c r="AV417"/>
      <c r="AW417"/>
      <c r="FY417" s="211">
        <v>412</v>
      </c>
      <c r="FZ417">
        <v>5.9181561600329484</v>
      </c>
      <c r="GA417">
        <v>25.845626041537258</v>
      </c>
      <c r="GB417">
        <v>16.389763828362927</v>
      </c>
      <c r="GC417">
        <v>13.468548998526526</v>
      </c>
      <c r="GD417">
        <v>11.303484037320919</v>
      </c>
      <c r="GE417">
        <v>16.383228366600115</v>
      </c>
      <c r="GF417">
        <v>30.611237157470931</v>
      </c>
      <c r="GG417">
        <v>27.949147272071524</v>
      </c>
      <c r="GH417">
        <v>19.37481711913582</v>
      </c>
      <c r="GI417">
        <v>20.640578105130256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84.398642587538902</v>
      </c>
      <c r="AO418">
        <v>38.396664804701516</v>
      </c>
      <c r="AP418">
        <v>243.6655188907848</v>
      </c>
      <c r="AQ418">
        <v>206.67786314066336</v>
      </c>
      <c r="AR418">
        <v>34.936978160695276</v>
      </c>
      <c r="AS418">
        <v>155.5006478057295</v>
      </c>
      <c r="AT418">
        <v>26.217871913181952</v>
      </c>
      <c r="AU418">
        <v>32.41803723545182</v>
      </c>
      <c r="AV418"/>
      <c r="AW418"/>
      <c r="FY418" s="211">
        <v>413</v>
      </c>
      <c r="FZ418">
        <v>7.4047003336508759</v>
      </c>
      <c r="GA418">
        <v>14.042641650580979</v>
      </c>
      <c r="GB418">
        <v>15.948456107135845</v>
      </c>
      <c r="GC418">
        <v>15.111203752307755</v>
      </c>
      <c r="GD418">
        <v>12.887744917446819</v>
      </c>
      <c r="GE418">
        <v>25.117719185167584</v>
      </c>
      <c r="GF418">
        <v>36.409770205908892</v>
      </c>
      <c r="GG418">
        <v>34.444302984077162</v>
      </c>
      <c r="GH418">
        <v>26.082316486743302</v>
      </c>
      <c r="GI418">
        <v>23.946908857260517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86.543319081725613</v>
      </c>
      <c r="AO419">
        <v>31.760634505445211</v>
      </c>
      <c r="AP419">
        <v>201.06645823888778</v>
      </c>
      <c r="AQ419">
        <v>174.50591374900429</v>
      </c>
      <c r="AR419">
        <v>28.584925591539541</v>
      </c>
      <c r="AS419">
        <v>140.82305824745418</v>
      </c>
      <c r="AT419" t="e">
        <v>#DIV/0!</v>
      </c>
      <c r="AU419" t="e">
        <v>#DIV/0!</v>
      </c>
      <c r="AV419"/>
      <c r="AW419"/>
      <c r="FY419" s="211">
        <v>414</v>
      </c>
      <c r="FZ419">
        <v>3.3287324505520992</v>
      </c>
      <c r="GA419">
        <v>21.510047228966929</v>
      </c>
      <c r="GB419">
        <v>27.981564190233509</v>
      </c>
      <c r="GC419">
        <v>16.399650877619166</v>
      </c>
      <c r="GD419">
        <v>9.8004431100350491</v>
      </c>
      <c r="GE419">
        <v>21.115589292388623</v>
      </c>
      <c r="GF419">
        <v>30.070138269254752</v>
      </c>
      <c r="GG419">
        <v>20.870077200881973</v>
      </c>
      <c r="GH419">
        <v>14.137105413605173</v>
      </c>
      <c r="GI419">
        <v>21.371046243106033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77.880876187775499</v>
      </c>
      <c r="AO420">
        <v>30.809643552080892</v>
      </c>
      <c r="AP420">
        <v>209.48229758911785</v>
      </c>
      <c r="AQ420">
        <v>178.18202379780854</v>
      </c>
      <c r="AR420">
        <v>27.745002492801795</v>
      </c>
      <c r="AS420">
        <v>128.51069301626305</v>
      </c>
      <c r="AT420">
        <v>21.374669915763789</v>
      </c>
      <c r="AU420">
        <v>40.285492723598999</v>
      </c>
      <c r="AV420"/>
      <c r="AW420"/>
      <c r="FY420" s="211">
        <v>415</v>
      </c>
      <c r="FZ420">
        <v>4.7206329540729168</v>
      </c>
      <c r="GA420">
        <v>14.434591528014774</v>
      </c>
      <c r="GB420">
        <v>11.77877573147793</v>
      </c>
      <c r="GC420">
        <v>8.2526216663688459</v>
      </c>
      <c r="GD420">
        <v>11.393498930972086</v>
      </c>
      <c r="GE420">
        <v>25.995059668749668</v>
      </c>
      <c r="GF420">
        <v>20.256362406589403</v>
      </c>
      <c r="GG420">
        <v>15.257732030925567</v>
      </c>
      <c r="GH420">
        <v>16.716240655376406</v>
      </c>
      <c r="GI420">
        <v>16.997081357714094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88.687680623358077</v>
      </c>
      <c r="AO421">
        <v>34.578207877396359</v>
      </c>
      <c r="AP421">
        <v>222.62432377763821</v>
      </c>
      <c r="AQ421">
        <v>189.50863964032271</v>
      </c>
      <c r="AR421">
        <v>31.647143407096799</v>
      </c>
      <c r="AS421">
        <v>159.84117288820877</v>
      </c>
      <c r="AT421">
        <v>23.816850913202369</v>
      </c>
      <c r="AU421">
        <v>28.286135885563532</v>
      </c>
      <c r="AV421"/>
      <c r="AW421"/>
      <c r="FY421" s="211">
        <v>416</v>
      </c>
      <c r="FZ421">
        <v>5.4201467303910631</v>
      </c>
      <c r="GA421">
        <v>24.963927391965289</v>
      </c>
      <c r="GB421">
        <v>21.775586658980284</v>
      </c>
      <c r="GC421">
        <v>18.474656545892163</v>
      </c>
      <c r="GD421">
        <v>15.622929753668842</v>
      </c>
      <c r="GE421">
        <v>20.828799426499824</v>
      </c>
      <c r="GF421">
        <v>29.836732346834548</v>
      </c>
      <c r="GG421">
        <v>25.96649752009726</v>
      </c>
      <c r="GH421">
        <v>17.430474529034935</v>
      </c>
      <c r="GI421">
        <v>24.043896901567287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1.5417974037186632E-3</v>
      </c>
      <c r="H422" s="44">
        <f t="shared" ref="H422:AK422" si="387">H372</f>
        <v>9.8559040000000004E-3</v>
      </c>
      <c r="I422" s="44">
        <f t="shared" si="387"/>
        <v>6.3003636809172647E-2</v>
      </c>
      <c r="J422" s="44">
        <f t="shared" si="387"/>
        <v>0.18648841712151018</v>
      </c>
      <c r="K422" s="44">
        <f t="shared" si="387"/>
        <v>0.40274928116001696</v>
      </c>
      <c r="L422" s="44">
        <f t="shared" si="387"/>
        <v>0.73181669019902384</v>
      </c>
      <c r="M422" s="44">
        <f t="shared" si="387"/>
        <v>1.192122863761774</v>
      </c>
      <c r="N422" s="44">
        <f t="shared" si="387"/>
        <v>1.8009254338148488</v>
      </c>
      <c r="O422" s="44">
        <f t="shared" si="387"/>
        <v>2.5745654011403789</v>
      </c>
      <c r="P422" s="44">
        <f t="shared" si="387"/>
        <v>3.5286392522173879</v>
      </c>
      <c r="Q422" s="44">
        <f t="shared" si="387"/>
        <v>4.6781211505499796</v>
      </c>
      <c r="R422" s="44">
        <f t="shared" si="387"/>
        <v>6.037453688078223</v>
      </c>
      <c r="S422" s="44">
        <f t="shared" si="387"/>
        <v>7.6206176460685535</v>
      </c>
      <c r="T422" s="44">
        <f t="shared" si="387"/>
        <v>9.4411870972436702</v>
      </c>
      <c r="U422" s="44">
        <f t="shared" si="387"/>
        <v>11.512373898170313</v>
      </c>
      <c r="V422" s="44">
        <f t="shared" si="387"/>
        <v>13.847064275211956</v>
      </c>
      <c r="W422" s="44">
        <f t="shared" si="387"/>
        <v>16.457849373828154</v>
      </c>
      <c r="X422" s="44">
        <f t="shared" si="387"/>
        <v>19.357051103261675</v>
      </c>
      <c r="Y422" s="44">
        <f t="shared" si="387"/>
        <v>22.556744249669517</v>
      </c>
      <c r="Z422" s="44">
        <f t="shared" si="387"/>
        <v>26.068775584022323</v>
      </c>
      <c r="AA422" s="44">
        <f t="shared" si="387"/>
        <v>29.904780517196563</v>
      </c>
      <c r="AB422" s="44">
        <f t="shared" si="387"/>
        <v>34.076197729401613</v>
      </c>
      <c r="AC422" s="44">
        <f t="shared" si="387"/>
        <v>38.59428210906686</v>
      </c>
      <c r="AD422" s="44">
        <f t="shared" si="387"/>
        <v>43.470116267561686</v>
      </c>
      <c r="AE422" s="44">
        <f t="shared" si="387"/>
        <v>48.714620843960667</v>
      </c>
      <c r="AF422" s="44">
        <f t="shared" si="387"/>
        <v>54.338563773942411</v>
      </c>
      <c r="AG422" s="44">
        <f t="shared" si="387"/>
        <v>60.352568665663441</v>
      </c>
      <c r="AH422" s="44">
        <f t="shared" si="387"/>
        <v>66.767122400832051</v>
      </c>
      <c r="AI422" s="44">
        <f t="shared" si="387"/>
        <v>73.592582059618479</v>
      </c>
      <c r="AJ422" s="44">
        <f t="shared" si="387"/>
        <v>80.83918125229961</v>
      </c>
      <c r="AK422" s="44">
        <f t="shared" si="387"/>
        <v>88.517035927777229</v>
      </c>
      <c r="AL422" s="4"/>
      <c r="AM422" s="43">
        <v>406</v>
      </c>
      <c r="AN422">
        <v>87.531685945602106</v>
      </c>
      <c r="AO422">
        <v>34.250402964366231</v>
      </c>
      <c r="AP422">
        <v>226.28958447716775</v>
      </c>
      <c r="AQ422">
        <v>195.19413641424134</v>
      </c>
      <c r="AR422">
        <v>31.724259193004574</v>
      </c>
      <c r="AS422">
        <v>151.4700588573707</v>
      </c>
      <c r="AT422">
        <v>23.101722368282839</v>
      </c>
      <c r="AU422">
        <v>21.37506573285664</v>
      </c>
      <c r="AV422"/>
      <c r="AW422"/>
      <c r="FY422" s="211">
        <v>417</v>
      </c>
      <c r="FZ422">
        <v>2.5285461654682546</v>
      </c>
      <c r="GA422">
        <v>13.493803881786022</v>
      </c>
      <c r="GB422">
        <v>18.337036089683885</v>
      </c>
      <c r="GC422">
        <v>13.249020914856203</v>
      </c>
      <c r="GD422">
        <v>10.996572857698791</v>
      </c>
      <c r="GE422">
        <v>18.7084067291444</v>
      </c>
      <c r="GF422">
        <v>14.339980157749045</v>
      </c>
      <c r="GG422">
        <v>13.596097980309295</v>
      </c>
      <c r="GH422">
        <v>16.906019384720214</v>
      </c>
      <c r="GI422">
        <v>16.941428436397644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8">SUM(G423:AK423)</f>
        <v>2.2519389724220744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9">(($A$453+$A$455*(H$422)+($A$457*$D423))*($E21*H37))</f>
        <v>0</v>
      </c>
      <c r="I423" s="107">
        <f t="shared" si="389"/>
        <v>0.46016590748243102</v>
      </c>
      <c r="J423" s="107">
        <f t="shared" si="389"/>
        <v>0</v>
      </c>
      <c r="K423" s="107">
        <f t="shared" si="389"/>
        <v>0.61943662633233987</v>
      </c>
      <c r="L423" s="107">
        <f t="shared" si="389"/>
        <v>0</v>
      </c>
      <c r="M423" s="107">
        <f t="shared" si="389"/>
        <v>1.1723364386073032</v>
      </c>
      <c r="N423" s="107">
        <f t="shared" si="389"/>
        <v>0</v>
      </c>
      <c r="O423" s="107">
        <f t="shared" si="389"/>
        <v>0</v>
      </c>
      <c r="P423" s="107">
        <f t="shared" si="389"/>
        <v>0</v>
      </c>
      <c r="Q423" s="107">
        <f t="shared" si="389"/>
        <v>0</v>
      </c>
      <c r="R423" s="107">
        <f t="shared" si="389"/>
        <v>0</v>
      </c>
      <c r="S423" s="107">
        <f t="shared" si="389"/>
        <v>0</v>
      </c>
      <c r="T423" s="107">
        <f t="shared" si="389"/>
        <v>0</v>
      </c>
      <c r="U423" s="107">
        <f t="shared" si="389"/>
        <v>0</v>
      </c>
      <c r="V423" s="107">
        <f t="shared" si="389"/>
        <v>0</v>
      </c>
      <c r="W423" s="107">
        <f t="shared" si="389"/>
        <v>0</v>
      </c>
      <c r="X423" s="107">
        <f t="shared" si="389"/>
        <v>0</v>
      </c>
      <c r="Y423" s="107">
        <f t="shared" si="389"/>
        <v>0</v>
      </c>
      <c r="Z423" s="107">
        <f t="shared" si="389"/>
        <v>0</v>
      </c>
      <c r="AA423" s="107">
        <f t="shared" si="389"/>
        <v>0</v>
      </c>
      <c r="AB423" s="107">
        <f t="shared" si="389"/>
        <v>0</v>
      </c>
      <c r="AC423" s="107">
        <f t="shared" si="389"/>
        <v>0</v>
      </c>
      <c r="AD423" s="107">
        <f t="shared" si="389"/>
        <v>0</v>
      </c>
      <c r="AE423" s="107">
        <f t="shared" si="389"/>
        <v>0</v>
      </c>
      <c r="AF423" s="107">
        <f t="shared" si="389"/>
        <v>0</v>
      </c>
      <c r="AG423" s="107">
        <f t="shared" si="389"/>
        <v>0</v>
      </c>
      <c r="AH423" s="107">
        <f t="shared" si="389"/>
        <v>0</v>
      </c>
      <c r="AI423" s="107">
        <f t="shared" si="389"/>
        <v>0</v>
      </c>
      <c r="AJ423" s="107">
        <f t="shared" si="389"/>
        <v>0</v>
      </c>
      <c r="AK423" s="107">
        <f t="shared" si="389"/>
        <v>0</v>
      </c>
      <c r="AL423" s="4"/>
      <c r="AM423" s="43">
        <v>407</v>
      </c>
      <c r="AN423">
        <v>97.418774194651888</v>
      </c>
      <c r="AO423">
        <v>33.777399551758343</v>
      </c>
      <c r="AP423">
        <v>237.92691031197867</v>
      </c>
      <c r="AQ423">
        <v>196.22806455577467</v>
      </c>
      <c r="AR423">
        <v>30.139026453592333</v>
      </c>
      <c r="AS423">
        <v>154.78930291658435</v>
      </c>
      <c r="AT423" t="e">
        <v>#DIV/0!</v>
      </c>
      <c r="AU423" t="e">
        <v>#DIV/0!</v>
      </c>
      <c r="AV423"/>
      <c r="AW423"/>
      <c r="FY423" s="211">
        <v>418</v>
      </c>
      <c r="FZ423">
        <v>2.5866853521107647</v>
      </c>
      <c r="GA423">
        <v>13.862241719617877</v>
      </c>
      <c r="GB423">
        <v>25.985066258330829</v>
      </c>
      <c r="GC423">
        <v>15.259907366619792</v>
      </c>
      <c r="GD423">
        <v>7.0823440859938334</v>
      </c>
      <c r="GE423">
        <v>19.346093085785956</v>
      </c>
      <c r="GF423">
        <v>25.242336684538504</v>
      </c>
      <c r="GG423">
        <v>19.020169505837458</v>
      </c>
      <c r="GH423">
        <v>19.093496591865065</v>
      </c>
      <c r="GI423">
        <v>18.952867109046622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8"/>
        <v>7.0483338960779465</v>
      </c>
      <c r="D424" s="191">
        <f>$A$406</f>
        <v>9.4499999999999993</v>
      </c>
      <c r="E424" s="8"/>
      <c r="F424" s="124"/>
      <c r="G424" s="107">
        <f t="shared" ref="G424:V432" si="390">(($A$453+$A$455*(G$422)+($A$457*$D424))*($E22*G38))</f>
        <v>0</v>
      </c>
      <c r="H424" s="107">
        <f t="shared" si="390"/>
        <v>0</v>
      </c>
      <c r="I424" s="107">
        <f t="shared" si="390"/>
        <v>0.15548481554368543</v>
      </c>
      <c r="J424" s="107">
        <f t="shared" si="390"/>
        <v>1.9401801494213833</v>
      </c>
      <c r="K424" s="107">
        <f t="shared" si="390"/>
        <v>3.1585169764830394</v>
      </c>
      <c r="L424" s="107">
        <f t="shared" si="390"/>
        <v>0.4317606804629433</v>
      </c>
      <c r="M424" s="107">
        <f t="shared" si="390"/>
        <v>1.3623912741668951</v>
      </c>
      <c r="N424" s="107">
        <f t="shared" si="390"/>
        <v>0</v>
      </c>
      <c r="O424" s="107">
        <f t="shared" si="390"/>
        <v>0</v>
      </c>
      <c r="P424" s="107">
        <f t="shared" si="390"/>
        <v>0</v>
      </c>
      <c r="Q424" s="107">
        <f t="shared" si="390"/>
        <v>0</v>
      </c>
      <c r="R424" s="107">
        <f t="shared" si="390"/>
        <v>0</v>
      </c>
      <c r="S424" s="107">
        <f t="shared" si="390"/>
        <v>0</v>
      </c>
      <c r="T424" s="107">
        <f t="shared" si="390"/>
        <v>0</v>
      </c>
      <c r="U424" s="107">
        <f t="shared" si="390"/>
        <v>0</v>
      </c>
      <c r="V424" s="107">
        <f t="shared" si="390"/>
        <v>0</v>
      </c>
      <c r="W424" s="107">
        <f t="shared" si="389"/>
        <v>0</v>
      </c>
      <c r="X424" s="107">
        <f t="shared" si="389"/>
        <v>0</v>
      </c>
      <c r="Y424" s="107">
        <f t="shared" si="389"/>
        <v>0</v>
      </c>
      <c r="Z424" s="107">
        <f t="shared" si="389"/>
        <v>0</v>
      </c>
      <c r="AA424" s="107">
        <f t="shared" si="389"/>
        <v>0</v>
      </c>
      <c r="AB424" s="107">
        <f t="shared" si="389"/>
        <v>0</v>
      </c>
      <c r="AC424" s="107">
        <f t="shared" si="389"/>
        <v>0</v>
      </c>
      <c r="AD424" s="107">
        <f t="shared" si="389"/>
        <v>0</v>
      </c>
      <c r="AE424" s="107">
        <f t="shared" si="389"/>
        <v>0</v>
      </c>
      <c r="AF424" s="107">
        <f t="shared" si="389"/>
        <v>0</v>
      </c>
      <c r="AG424" s="107">
        <f t="shared" si="389"/>
        <v>0</v>
      </c>
      <c r="AH424" s="107">
        <f t="shared" si="389"/>
        <v>0</v>
      </c>
      <c r="AI424" s="107">
        <f t="shared" si="389"/>
        <v>0</v>
      </c>
      <c r="AJ424" s="107">
        <f t="shared" si="389"/>
        <v>0</v>
      </c>
      <c r="AK424" s="107">
        <f t="shared" si="389"/>
        <v>0</v>
      </c>
      <c r="AL424" s="4"/>
      <c r="AM424" s="43">
        <v>408</v>
      </c>
      <c r="AN424">
        <v>57.719382787447991</v>
      </c>
      <c r="AO424">
        <v>21.962759547979104</v>
      </c>
      <c r="AP424">
        <v>160.8054492508908</v>
      </c>
      <c r="AQ424">
        <v>132.07011369889992</v>
      </c>
      <c r="AR424">
        <v>19.78594924436905</v>
      </c>
      <c r="AS424">
        <v>97.158811269958676</v>
      </c>
      <c r="AT424">
        <v>15.253383972756373</v>
      </c>
      <c r="AU424">
        <v>37.500309698724422</v>
      </c>
      <c r="AV424"/>
      <c r="AW424"/>
      <c r="FY424" s="211">
        <v>419</v>
      </c>
      <c r="FZ424">
        <v>6.42784930279175</v>
      </c>
      <c r="GA424">
        <v>15.739539484649065</v>
      </c>
      <c r="GB424">
        <v>17.194706640943796</v>
      </c>
      <c r="GC424">
        <v>14.014283137823963</v>
      </c>
      <c r="GD424">
        <v>12.626221828527749</v>
      </c>
      <c r="GE424">
        <v>25.878697992844984</v>
      </c>
      <c r="GF424">
        <v>31.391397483992847</v>
      </c>
      <c r="GG424">
        <v>14.408755274136958</v>
      </c>
      <c r="GH424">
        <v>6.0979304714761975</v>
      </c>
      <c r="GI424">
        <v>19.791811553476769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8"/>
        <v>25.29192621142376</v>
      </c>
      <c r="D425" s="191">
        <f>A$407</f>
        <v>4.03</v>
      </c>
      <c r="E425" s="8"/>
      <c r="F425" s="124"/>
      <c r="G425" s="107">
        <f t="shared" si="390"/>
        <v>0</v>
      </c>
      <c r="H425" s="107">
        <f t="shared" si="389"/>
        <v>0</v>
      </c>
      <c r="I425" s="107">
        <f t="shared" si="389"/>
        <v>1.1692040981501168</v>
      </c>
      <c r="J425" s="107">
        <f t="shared" si="389"/>
        <v>2.0999794923276958</v>
      </c>
      <c r="K425" s="107">
        <f t="shared" si="389"/>
        <v>14.626946330554668</v>
      </c>
      <c r="L425" s="107">
        <f t="shared" si="389"/>
        <v>5.0559855337480357</v>
      </c>
      <c r="M425" s="107">
        <f t="shared" si="389"/>
        <v>0</v>
      </c>
      <c r="N425" s="107">
        <f t="shared" si="389"/>
        <v>2.3398107566432427</v>
      </c>
      <c r="O425" s="107">
        <f t="shared" si="389"/>
        <v>0</v>
      </c>
      <c r="P425" s="107">
        <f t="shared" si="389"/>
        <v>0</v>
      </c>
      <c r="Q425" s="107">
        <f t="shared" si="389"/>
        <v>0</v>
      </c>
      <c r="R425" s="107">
        <f t="shared" si="389"/>
        <v>0</v>
      </c>
      <c r="S425" s="107">
        <f t="shared" si="389"/>
        <v>0</v>
      </c>
      <c r="T425" s="107">
        <f t="shared" si="389"/>
        <v>0</v>
      </c>
      <c r="U425" s="107">
        <f t="shared" si="389"/>
        <v>0</v>
      </c>
      <c r="V425" s="107">
        <f t="shared" si="389"/>
        <v>0</v>
      </c>
      <c r="W425" s="107">
        <f t="shared" si="389"/>
        <v>0</v>
      </c>
      <c r="X425" s="107">
        <f t="shared" si="389"/>
        <v>0</v>
      </c>
      <c r="Y425" s="107">
        <f t="shared" si="389"/>
        <v>0</v>
      </c>
      <c r="Z425" s="107">
        <f t="shared" si="389"/>
        <v>0</v>
      </c>
      <c r="AA425" s="107">
        <f t="shared" si="389"/>
        <v>0</v>
      </c>
      <c r="AB425" s="107">
        <f t="shared" si="389"/>
        <v>0</v>
      </c>
      <c r="AC425" s="107">
        <f t="shared" si="389"/>
        <v>0</v>
      </c>
      <c r="AD425" s="107">
        <f t="shared" si="389"/>
        <v>0</v>
      </c>
      <c r="AE425" s="107">
        <f t="shared" si="389"/>
        <v>0</v>
      </c>
      <c r="AF425" s="107">
        <f t="shared" si="389"/>
        <v>0</v>
      </c>
      <c r="AG425" s="107">
        <f t="shared" si="389"/>
        <v>0</v>
      </c>
      <c r="AH425" s="107">
        <f t="shared" si="389"/>
        <v>0</v>
      </c>
      <c r="AI425" s="107">
        <f t="shared" si="389"/>
        <v>0</v>
      </c>
      <c r="AJ425" s="107">
        <f t="shared" si="389"/>
        <v>0</v>
      </c>
      <c r="AK425" s="107">
        <f t="shared" si="389"/>
        <v>0</v>
      </c>
      <c r="AL425" s="4"/>
      <c r="AM425" s="43">
        <v>409</v>
      </c>
      <c r="AN425">
        <v>74.865385235611839</v>
      </c>
      <c r="AO425">
        <v>30.648732204666736</v>
      </c>
      <c r="AP425">
        <v>197.21838484990823</v>
      </c>
      <c r="AQ425">
        <v>172.48067546297546</v>
      </c>
      <c r="AR425">
        <v>27.629587577163733</v>
      </c>
      <c r="AS425">
        <v>136.7881811013882</v>
      </c>
      <c r="AT425">
        <v>21.282945035193286</v>
      </c>
      <c r="AU425">
        <v>22.263455013749823</v>
      </c>
      <c r="AV425"/>
      <c r="AW425"/>
      <c r="FY425" s="211">
        <v>420</v>
      </c>
      <c r="FZ425">
        <v>6.5545689485242509</v>
      </c>
      <c r="GA425">
        <v>15.791727927742217</v>
      </c>
      <c r="GB425">
        <v>22.629222867442603</v>
      </c>
      <c r="GC425">
        <v>15.779314493698507</v>
      </c>
      <c r="GD425">
        <v>14.587113768491461</v>
      </c>
      <c r="GE425">
        <v>31.04502523564738</v>
      </c>
      <c r="GF425">
        <v>35.07518253540038</v>
      </c>
      <c r="GG425">
        <v>23.967100277255305</v>
      </c>
      <c r="GH425">
        <v>15.142495512571553</v>
      </c>
      <c r="GI425">
        <v>24.499533065100813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8"/>
        <v>16.238900552642193</v>
      </c>
      <c r="D426" s="191">
        <f>A$408</f>
        <v>0.78</v>
      </c>
      <c r="E426" s="8"/>
      <c r="F426" s="124"/>
      <c r="G426" s="107">
        <f t="shared" si="390"/>
        <v>0</v>
      </c>
      <c r="H426" s="107">
        <f t="shared" si="389"/>
        <v>0</v>
      </c>
      <c r="I426" s="107">
        <f t="shared" si="389"/>
        <v>0.78646828428812288</v>
      </c>
      <c r="J426" s="107">
        <f t="shared" si="389"/>
        <v>0.74494601821694872</v>
      </c>
      <c r="K426" s="107">
        <f t="shared" si="389"/>
        <v>8.9805389595785314</v>
      </c>
      <c r="L426" s="107">
        <f t="shared" si="389"/>
        <v>4.5676895056429663</v>
      </c>
      <c r="M426" s="107">
        <f t="shared" si="389"/>
        <v>0</v>
      </c>
      <c r="N426" s="107">
        <f t="shared" si="389"/>
        <v>1.1592577849156231</v>
      </c>
      <c r="O426" s="107">
        <f t="shared" si="389"/>
        <v>0</v>
      </c>
      <c r="P426" s="107">
        <f t="shared" si="389"/>
        <v>0</v>
      </c>
      <c r="Q426" s="107">
        <f t="shared" si="389"/>
        <v>0</v>
      </c>
      <c r="R426" s="107">
        <f t="shared" si="389"/>
        <v>0</v>
      </c>
      <c r="S426" s="107">
        <f t="shared" si="389"/>
        <v>0</v>
      </c>
      <c r="T426" s="107">
        <f t="shared" si="389"/>
        <v>0</v>
      </c>
      <c r="U426" s="107">
        <f t="shared" si="389"/>
        <v>0</v>
      </c>
      <c r="V426" s="107">
        <f t="shared" si="389"/>
        <v>0</v>
      </c>
      <c r="W426" s="107">
        <f t="shared" si="389"/>
        <v>0</v>
      </c>
      <c r="X426" s="107">
        <f t="shared" si="389"/>
        <v>0</v>
      </c>
      <c r="Y426" s="107">
        <f t="shared" si="389"/>
        <v>0</v>
      </c>
      <c r="Z426" s="107">
        <f t="shared" si="389"/>
        <v>0</v>
      </c>
      <c r="AA426" s="107">
        <f t="shared" si="389"/>
        <v>0</v>
      </c>
      <c r="AB426" s="107">
        <f t="shared" si="389"/>
        <v>0</v>
      </c>
      <c r="AC426" s="107">
        <f t="shared" si="389"/>
        <v>0</v>
      </c>
      <c r="AD426" s="107">
        <f t="shared" si="389"/>
        <v>0</v>
      </c>
      <c r="AE426" s="107">
        <f t="shared" si="389"/>
        <v>0</v>
      </c>
      <c r="AF426" s="107">
        <f t="shared" si="389"/>
        <v>0</v>
      </c>
      <c r="AG426" s="107">
        <f t="shared" si="389"/>
        <v>0</v>
      </c>
      <c r="AH426" s="107">
        <f t="shared" si="389"/>
        <v>0</v>
      </c>
      <c r="AI426" s="107">
        <f t="shared" si="389"/>
        <v>0</v>
      </c>
      <c r="AJ426" s="107">
        <f t="shared" si="389"/>
        <v>0</v>
      </c>
      <c r="AK426" s="107">
        <f t="shared" si="389"/>
        <v>0</v>
      </c>
      <c r="AL426" s="4"/>
      <c r="AM426" s="43">
        <v>410</v>
      </c>
      <c r="AN426">
        <v>91.829664356372149</v>
      </c>
      <c r="AO426">
        <v>30.144406218721212</v>
      </c>
      <c r="AP426">
        <v>197.6353752361471</v>
      </c>
      <c r="AQ426">
        <v>169.33351174701457</v>
      </c>
      <c r="AR426">
        <v>27.669565940698991</v>
      </c>
      <c r="AS426">
        <v>139.92488241814627</v>
      </c>
      <c r="AT426">
        <v>20.096205656722727</v>
      </c>
      <c r="AU426">
        <v>40.556769708003415</v>
      </c>
      <c r="AV426"/>
      <c r="AW426"/>
      <c r="FY426" s="211">
        <v>421</v>
      </c>
      <c r="FZ426">
        <v>1.536813522066645</v>
      </c>
      <c r="GA426">
        <v>17.649639763844803</v>
      </c>
      <c r="GB426">
        <v>14.687381409480022</v>
      </c>
      <c r="GC426">
        <v>8.9004120206535156</v>
      </c>
      <c r="GD426">
        <v>10.341968431497069</v>
      </c>
      <c r="GE426">
        <v>16.979405927677675</v>
      </c>
      <c r="GF426">
        <v>23.080160196990452</v>
      </c>
      <c r="GG426">
        <v>18.483682902931616</v>
      </c>
      <c r="GH426">
        <v>5.9215067289468575</v>
      </c>
      <c r="GI426">
        <v>15.404434359850864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8"/>
        <v>10.52394126529288</v>
      </c>
      <c r="D427" s="191">
        <f>A$409</f>
        <v>0.14000000000000001</v>
      </c>
      <c r="E427" s="8"/>
      <c r="F427" s="124"/>
      <c r="G427" s="107">
        <f t="shared" si="390"/>
        <v>0</v>
      </c>
      <c r="H427" s="107">
        <f t="shared" si="389"/>
        <v>0</v>
      </c>
      <c r="I427" s="107">
        <f t="shared" si="389"/>
        <v>0.18837931396138807</v>
      </c>
      <c r="J427" s="107">
        <f t="shared" si="389"/>
        <v>0.12400707482506715</v>
      </c>
      <c r="K427" s="107">
        <f t="shared" si="389"/>
        <v>4.1703741378219314</v>
      </c>
      <c r="L427" s="107">
        <f t="shared" si="389"/>
        <v>6.041180738684492</v>
      </c>
      <c r="M427" s="107">
        <f t="shared" si="389"/>
        <v>0</v>
      </c>
      <c r="N427" s="107">
        <f t="shared" si="389"/>
        <v>0</v>
      </c>
      <c r="O427" s="107">
        <f t="shared" si="389"/>
        <v>0</v>
      </c>
      <c r="P427" s="107">
        <f t="shared" si="389"/>
        <v>0</v>
      </c>
      <c r="Q427" s="107">
        <f t="shared" si="389"/>
        <v>0</v>
      </c>
      <c r="R427" s="107">
        <f t="shared" si="389"/>
        <v>0</v>
      </c>
      <c r="S427" s="107">
        <f t="shared" si="389"/>
        <v>0</v>
      </c>
      <c r="T427" s="107">
        <f t="shared" si="389"/>
        <v>0</v>
      </c>
      <c r="U427" s="107">
        <f t="shared" si="389"/>
        <v>0</v>
      </c>
      <c r="V427" s="107">
        <f t="shared" si="389"/>
        <v>0</v>
      </c>
      <c r="W427" s="107">
        <f t="shared" si="389"/>
        <v>0</v>
      </c>
      <c r="X427" s="107">
        <f t="shared" si="389"/>
        <v>0</v>
      </c>
      <c r="Y427" s="107">
        <f t="shared" si="389"/>
        <v>0</v>
      </c>
      <c r="Z427" s="107">
        <f t="shared" si="389"/>
        <v>0</v>
      </c>
      <c r="AA427" s="107">
        <f t="shared" si="389"/>
        <v>0</v>
      </c>
      <c r="AB427" s="107">
        <f t="shared" si="389"/>
        <v>0</v>
      </c>
      <c r="AC427" s="107">
        <f t="shared" si="389"/>
        <v>0</v>
      </c>
      <c r="AD427" s="107">
        <f t="shared" si="389"/>
        <v>0</v>
      </c>
      <c r="AE427" s="107">
        <f t="shared" si="389"/>
        <v>0</v>
      </c>
      <c r="AF427" s="107">
        <f t="shared" si="389"/>
        <v>0</v>
      </c>
      <c r="AG427" s="107">
        <f t="shared" si="389"/>
        <v>0</v>
      </c>
      <c r="AH427" s="107">
        <f t="shared" si="389"/>
        <v>0</v>
      </c>
      <c r="AI427" s="107">
        <f t="shared" si="389"/>
        <v>0</v>
      </c>
      <c r="AJ427" s="107">
        <f t="shared" si="389"/>
        <v>0</v>
      </c>
      <c r="AK427" s="107">
        <f t="shared" si="389"/>
        <v>0</v>
      </c>
      <c r="AL427" s="4"/>
      <c r="AM427" s="43">
        <v>411</v>
      </c>
      <c r="AN427">
        <v>103.6348372857494</v>
      </c>
      <c r="AO427">
        <v>39.480007675031757</v>
      </c>
      <c r="AP427">
        <v>289.437109297039</v>
      </c>
      <c r="AQ427">
        <v>234.7774242965493</v>
      </c>
      <c r="AR427">
        <v>35.623242200089535</v>
      </c>
      <c r="AS427">
        <v>170.282506429595</v>
      </c>
      <c r="AT427" t="e">
        <v>#DIV/0!</v>
      </c>
      <c r="AU427" t="e">
        <v>#DIV/0!</v>
      </c>
      <c r="AV427"/>
      <c r="AW427"/>
      <c r="FY427" s="211">
        <v>422</v>
      </c>
      <c r="FZ427">
        <v>1.1938487951309411</v>
      </c>
      <c r="GA427">
        <v>27.600274694355207</v>
      </c>
      <c r="GB427">
        <v>29.596507322741452</v>
      </c>
      <c r="GC427">
        <v>15.807105686866773</v>
      </c>
      <c r="GD427">
        <v>11.549445818349996</v>
      </c>
      <c r="GE427">
        <v>21.915460420456682</v>
      </c>
      <c r="GF427">
        <v>31.414428812646015</v>
      </c>
      <c r="GG427">
        <v>24.755157808836117</v>
      </c>
      <c r="GH427">
        <v>16.868653593773807</v>
      </c>
      <c r="GI427">
        <v>23.118993601608324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8"/>
        <v>23.873260579526828</v>
      </c>
      <c r="D428" s="191">
        <f>A$410</f>
        <v>0.21</v>
      </c>
      <c r="E428" s="8"/>
      <c r="F428" s="124"/>
      <c r="G428" s="107">
        <f t="shared" si="390"/>
        <v>0</v>
      </c>
      <c r="H428" s="107">
        <f t="shared" si="389"/>
        <v>0</v>
      </c>
      <c r="I428" s="107">
        <f t="shared" si="389"/>
        <v>0.15604914034471748</v>
      </c>
      <c r="J428" s="107">
        <f t="shared" si="389"/>
        <v>5.0234489509869563E-2</v>
      </c>
      <c r="K428" s="107">
        <f t="shared" si="389"/>
        <v>10.5560979009005</v>
      </c>
      <c r="L428" s="107">
        <f t="shared" si="389"/>
        <v>12.119009288383021</v>
      </c>
      <c r="M428" s="107">
        <f t="shared" si="389"/>
        <v>0.99186976038871866</v>
      </c>
      <c r="N428" s="107">
        <f t="shared" si="389"/>
        <v>0</v>
      </c>
      <c r="O428" s="107">
        <f t="shared" si="389"/>
        <v>0</v>
      </c>
      <c r="P428" s="107">
        <f t="shared" si="389"/>
        <v>0</v>
      </c>
      <c r="Q428" s="107">
        <f t="shared" si="389"/>
        <v>0</v>
      </c>
      <c r="R428" s="107">
        <f t="shared" si="389"/>
        <v>0</v>
      </c>
      <c r="S428" s="107">
        <f t="shared" si="389"/>
        <v>0</v>
      </c>
      <c r="T428" s="107">
        <f t="shared" si="389"/>
        <v>0</v>
      </c>
      <c r="U428" s="107">
        <f t="shared" si="389"/>
        <v>0</v>
      </c>
      <c r="V428" s="107">
        <f t="shared" si="389"/>
        <v>0</v>
      </c>
      <c r="W428" s="107">
        <f t="shared" si="389"/>
        <v>0</v>
      </c>
      <c r="X428" s="107">
        <f t="shared" si="389"/>
        <v>0</v>
      </c>
      <c r="Y428" s="107">
        <f t="shared" si="389"/>
        <v>0</v>
      </c>
      <c r="Z428" s="107">
        <f t="shared" si="389"/>
        <v>0</v>
      </c>
      <c r="AA428" s="107">
        <f t="shared" si="389"/>
        <v>0</v>
      </c>
      <c r="AB428" s="107">
        <f t="shared" si="389"/>
        <v>0</v>
      </c>
      <c r="AC428" s="107">
        <f t="shared" si="389"/>
        <v>0</v>
      </c>
      <c r="AD428" s="107">
        <f t="shared" si="389"/>
        <v>0</v>
      </c>
      <c r="AE428" s="107">
        <f t="shared" si="389"/>
        <v>0</v>
      </c>
      <c r="AF428" s="107">
        <f t="shared" si="389"/>
        <v>0</v>
      </c>
      <c r="AG428" s="107">
        <f t="shared" si="389"/>
        <v>0</v>
      </c>
      <c r="AH428" s="107">
        <f t="shared" si="389"/>
        <v>0</v>
      </c>
      <c r="AI428" s="107">
        <f t="shared" si="389"/>
        <v>0</v>
      </c>
      <c r="AJ428" s="107">
        <f t="shared" si="389"/>
        <v>0</v>
      </c>
      <c r="AK428" s="107">
        <f t="shared" si="389"/>
        <v>0</v>
      </c>
      <c r="AL428" s="4"/>
      <c r="AM428" s="43">
        <v>412</v>
      </c>
      <c r="AN428">
        <v>87.89130943354732</v>
      </c>
      <c r="AO428">
        <v>31.297183017342718</v>
      </c>
      <c r="AP428">
        <v>224.37990107278839</v>
      </c>
      <c r="AQ428">
        <v>187.88458708618921</v>
      </c>
      <c r="AR428">
        <v>28.48083925988028</v>
      </c>
      <c r="AS428">
        <v>137.29283246757063</v>
      </c>
      <c r="AT428">
        <v>21.706340129122129</v>
      </c>
      <c r="AU428">
        <v>56.187815427512561</v>
      </c>
      <c r="AV428"/>
      <c r="AW428"/>
      <c r="FY428" s="211">
        <v>423</v>
      </c>
      <c r="FZ428">
        <v>3.1372457020389488</v>
      </c>
      <c r="GA428">
        <v>6.2346433948326965</v>
      </c>
      <c r="GB428">
        <v>20.751384855610322</v>
      </c>
      <c r="GC428">
        <v>18.562801652446112</v>
      </c>
      <c r="GD428">
        <v>11.513451663612724</v>
      </c>
      <c r="GE428">
        <v>17.890870498705866</v>
      </c>
      <c r="GF428">
        <v>28.367480642138865</v>
      </c>
      <c r="GG428">
        <v>22.155187382456997</v>
      </c>
      <c r="GH428">
        <v>14.10882537879756</v>
      </c>
      <c r="GI428">
        <v>20.203411806184768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8"/>
        <v>26.967872766594958</v>
      </c>
      <c r="D429" s="191">
        <f>A$411</f>
        <v>1.28</v>
      </c>
      <c r="E429" s="8"/>
      <c r="F429" s="124"/>
      <c r="G429" s="107">
        <f t="shared" si="390"/>
        <v>0</v>
      </c>
      <c r="H429" s="107">
        <f t="shared" si="389"/>
        <v>0</v>
      </c>
      <c r="I429" s="107">
        <f t="shared" si="389"/>
        <v>0</v>
      </c>
      <c r="J429" s="107">
        <f t="shared" si="389"/>
        <v>7.8605437802297867E-2</v>
      </c>
      <c r="K429" s="107">
        <f t="shared" si="389"/>
        <v>11.094337823115847</v>
      </c>
      <c r="L429" s="107">
        <f t="shared" si="389"/>
        <v>12.165265097969593</v>
      </c>
      <c r="M429" s="107">
        <f t="shared" si="389"/>
        <v>3.6296644077072222</v>
      </c>
      <c r="N429" s="107">
        <f t="shared" si="389"/>
        <v>0</v>
      </c>
      <c r="O429" s="107">
        <f t="shared" si="389"/>
        <v>0</v>
      </c>
      <c r="P429" s="107">
        <f t="shared" si="389"/>
        <v>0</v>
      </c>
      <c r="Q429" s="107">
        <f t="shared" si="389"/>
        <v>0</v>
      </c>
      <c r="R429" s="107">
        <f t="shared" si="389"/>
        <v>0</v>
      </c>
      <c r="S429" s="107">
        <f t="shared" si="389"/>
        <v>0</v>
      </c>
      <c r="T429" s="107">
        <f t="shared" si="389"/>
        <v>0</v>
      </c>
      <c r="U429" s="107">
        <f t="shared" si="389"/>
        <v>0</v>
      </c>
      <c r="V429" s="107">
        <f t="shared" si="389"/>
        <v>0</v>
      </c>
      <c r="W429" s="107">
        <f t="shared" si="389"/>
        <v>0</v>
      </c>
      <c r="X429" s="107">
        <f t="shared" si="389"/>
        <v>0</v>
      </c>
      <c r="Y429" s="107">
        <f t="shared" si="389"/>
        <v>0</v>
      </c>
      <c r="Z429" s="107">
        <f t="shared" si="389"/>
        <v>0</v>
      </c>
      <c r="AA429" s="107">
        <f t="shared" si="389"/>
        <v>0</v>
      </c>
      <c r="AB429" s="107">
        <f t="shared" si="389"/>
        <v>0</v>
      </c>
      <c r="AC429" s="107">
        <f t="shared" si="389"/>
        <v>0</v>
      </c>
      <c r="AD429" s="107">
        <f t="shared" si="389"/>
        <v>0</v>
      </c>
      <c r="AE429" s="107">
        <f t="shared" si="389"/>
        <v>0</v>
      </c>
      <c r="AF429" s="107">
        <f t="shared" si="389"/>
        <v>0</v>
      </c>
      <c r="AG429" s="107">
        <f t="shared" si="389"/>
        <v>0</v>
      </c>
      <c r="AH429" s="107">
        <f t="shared" si="389"/>
        <v>0</v>
      </c>
      <c r="AI429" s="107">
        <f t="shared" si="389"/>
        <v>0</v>
      </c>
      <c r="AJ429" s="107">
        <f t="shared" si="389"/>
        <v>0</v>
      </c>
      <c r="AK429" s="107">
        <f t="shared" si="389"/>
        <v>0</v>
      </c>
      <c r="AL429" s="4"/>
      <c r="AM429" s="43">
        <v>413</v>
      </c>
      <c r="AN429">
        <v>90.448244426224079</v>
      </c>
      <c r="AO429">
        <v>36.487941444510547</v>
      </c>
      <c r="AP429">
        <v>249.13260648714322</v>
      </c>
      <c r="AQ429">
        <v>211.39576448027975</v>
      </c>
      <c r="AR429">
        <v>33.069045036438837</v>
      </c>
      <c r="AS429">
        <v>154.31450245023831</v>
      </c>
      <c r="AT429">
        <v>25.696110754980182</v>
      </c>
      <c r="AU429">
        <v>41.481636702987601</v>
      </c>
      <c r="AV429"/>
      <c r="AW429"/>
      <c r="FY429" s="211">
        <v>424</v>
      </c>
      <c r="FZ429">
        <v>2.5726641091823574</v>
      </c>
      <c r="GA429">
        <v>6.8714799190646723</v>
      </c>
      <c r="GB429">
        <v>9.9996865256728746</v>
      </c>
      <c r="GC429">
        <v>10.332816832075046</v>
      </c>
      <c r="GD429">
        <v>10.32638781053474</v>
      </c>
      <c r="GE429">
        <v>16.051201670749183</v>
      </c>
      <c r="GF429">
        <v>25.063000525318525</v>
      </c>
      <c r="GG429">
        <v>24.379996932831222</v>
      </c>
      <c r="GH429">
        <v>11.856999201873462</v>
      </c>
      <c r="GI429">
        <v>15.765810537853444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8"/>
        <v>21.00404780299629</v>
      </c>
      <c r="D430" s="191">
        <f>A$412</f>
        <v>4</v>
      </c>
      <c r="E430" s="8"/>
      <c r="F430" s="124"/>
      <c r="G430" s="107">
        <f t="shared" si="390"/>
        <v>0</v>
      </c>
      <c r="H430" s="107">
        <f t="shared" si="389"/>
        <v>0</v>
      </c>
      <c r="I430" s="107">
        <f t="shared" si="389"/>
        <v>0.8020330161375373</v>
      </c>
      <c r="J430" s="107">
        <f t="shared" si="389"/>
        <v>2.2867634807390149</v>
      </c>
      <c r="K430" s="107">
        <f t="shared" si="389"/>
        <v>5.2133602214317865</v>
      </c>
      <c r="L430" s="107">
        <f t="shared" si="389"/>
        <v>10.061199031765415</v>
      </c>
      <c r="M430" s="107">
        <f t="shared" si="389"/>
        <v>2.6406920529225335</v>
      </c>
      <c r="N430" s="107">
        <f t="shared" si="389"/>
        <v>0</v>
      </c>
      <c r="O430" s="107">
        <f t="shared" si="389"/>
        <v>0</v>
      </c>
      <c r="P430" s="107">
        <f t="shared" si="389"/>
        <v>0</v>
      </c>
      <c r="Q430" s="107">
        <f t="shared" si="389"/>
        <v>0</v>
      </c>
      <c r="R430" s="107">
        <f t="shared" si="389"/>
        <v>0</v>
      </c>
      <c r="S430" s="107">
        <f t="shared" si="389"/>
        <v>0</v>
      </c>
      <c r="T430" s="107">
        <f t="shared" si="389"/>
        <v>0</v>
      </c>
      <c r="U430" s="107">
        <f t="shared" si="389"/>
        <v>0</v>
      </c>
      <c r="V430" s="107">
        <f t="shared" si="389"/>
        <v>0</v>
      </c>
      <c r="W430" s="107">
        <f t="shared" si="389"/>
        <v>0</v>
      </c>
      <c r="X430" s="107">
        <f t="shared" si="389"/>
        <v>0</v>
      </c>
      <c r="Y430" s="107">
        <f t="shared" si="389"/>
        <v>0</v>
      </c>
      <c r="Z430" s="107">
        <f t="shared" si="389"/>
        <v>0</v>
      </c>
      <c r="AA430" s="107">
        <f t="shared" si="389"/>
        <v>0</v>
      </c>
      <c r="AB430" s="107">
        <f t="shared" si="389"/>
        <v>0</v>
      </c>
      <c r="AC430" s="107">
        <f t="shared" si="389"/>
        <v>0</v>
      </c>
      <c r="AD430" s="107">
        <f t="shared" si="389"/>
        <v>0</v>
      </c>
      <c r="AE430" s="107">
        <f t="shared" si="389"/>
        <v>0</v>
      </c>
      <c r="AF430" s="107">
        <f t="shared" si="389"/>
        <v>0</v>
      </c>
      <c r="AG430" s="107">
        <f t="shared" si="389"/>
        <v>0</v>
      </c>
      <c r="AH430" s="107">
        <f t="shared" si="389"/>
        <v>0</v>
      </c>
      <c r="AI430" s="107">
        <f t="shared" si="389"/>
        <v>0</v>
      </c>
      <c r="AJ430" s="107">
        <f t="shared" si="389"/>
        <v>0</v>
      </c>
      <c r="AK430" s="107">
        <f t="shared" si="389"/>
        <v>0</v>
      </c>
      <c r="AL430" s="4"/>
      <c r="AM430" s="43">
        <v>414</v>
      </c>
      <c r="AN430">
        <v>81.728602413500212</v>
      </c>
      <c r="AO430">
        <v>32.548081897826407</v>
      </c>
      <c r="AP430">
        <v>228.59601981071728</v>
      </c>
      <c r="AQ430">
        <v>186.58439427664331</v>
      </c>
      <c r="AR430">
        <v>29.378451875786197</v>
      </c>
      <c r="AS430">
        <v>133.87091010021157</v>
      </c>
      <c r="AT430" t="e">
        <v>#DIV/0!</v>
      </c>
      <c r="AU430" t="e">
        <v>#DIV/0!</v>
      </c>
      <c r="AV430"/>
      <c r="AW430"/>
      <c r="FY430" s="211">
        <v>425</v>
      </c>
      <c r="FZ430">
        <v>2.6951287177455412</v>
      </c>
      <c r="GA430">
        <v>18.386898328565955</v>
      </c>
      <c r="GB430">
        <v>19.44930085919983</v>
      </c>
      <c r="GC430">
        <v>12.788249778303289</v>
      </c>
      <c r="GD430">
        <v>10.371168908520019</v>
      </c>
      <c r="GE430">
        <v>24.450470183186386</v>
      </c>
      <c r="GF430">
        <v>33.622032981832461</v>
      </c>
      <c r="GG430">
        <v>27.036484566982026</v>
      </c>
      <c r="GH430">
        <v>23.903777133090731</v>
      </c>
      <c r="GI430">
        <v>21.699100955239263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8"/>
        <v>15.155850499386023</v>
      </c>
      <c r="D431" s="191">
        <f>A$413</f>
        <v>7.33</v>
      </c>
      <c r="E431" s="8"/>
      <c r="F431" s="124"/>
      <c r="G431" s="107">
        <f t="shared" si="390"/>
        <v>0</v>
      </c>
      <c r="H431" s="107">
        <f t="shared" si="389"/>
        <v>0</v>
      </c>
      <c r="I431" s="107">
        <f t="shared" si="389"/>
        <v>1.0560440089161882</v>
      </c>
      <c r="J431" s="107">
        <f t="shared" si="389"/>
        <v>2.9304542785509708</v>
      </c>
      <c r="K431" s="107">
        <f t="shared" si="389"/>
        <v>5.6706880856935316</v>
      </c>
      <c r="L431" s="107">
        <f t="shared" si="389"/>
        <v>4.4295854584134418</v>
      </c>
      <c r="M431" s="107">
        <f t="shared" si="389"/>
        <v>1.0690786678118902</v>
      </c>
      <c r="N431" s="107">
        <f t="shared" si="389"/>
        <v>0</v>
      </c>
      <c r="O431" s="107">
        <f t="shared" si="389"/>
        <v>0</v>
      </c>
      <c r="P431" s="107">
        <f t="shared" si="389"/>
        <v>0</v>
      </c>
      <c r="Q431" s="107">
        <f t="shared" si="389"/>
        <v>0</v>
      </c>
      <c r="R431" s="107">
        <f t="shared" si="389"/>
        <v>0</v>
      </c>
      <c r="S431" s="107">
        <f t="shared" si="389"/>
        <v>0</v>
      </c>
      <c r="T431" s="107">
        <f t="shared" si="389"/>
        <v>0</v>
      </c>
      <c r="U431" s="107">
        <f t="shared" si="389"/>
        <v>0</v>
      </c>
      <c r="V431" s="107">
        <f t="shared" si="389"/>
        <v>0</v>
      </c>
      <c r="W431" s="107">
        <f t="shared" si="389"/>
        <v>0</v>
      </c>
      <c r="X431" s="107">
        <f t="shared" si="389"/>
        <v>0</v>
      </c>
      <c r="Y431" s="107">
        <f t="shared" si="389"/>
        <v>0</v>
      </c>
      <c r="Z431" s="107">
        <f t="shared" si="389"/>
        <v>0</v>
      </c>
      <c r="AA431" s="107">
        <f t="shared" si="389"/>
        <v>0</v>
      </c>
      <c r="AB431" s="107">
        <f t="shared" si="389"/>
        <v>0</v>
      </c>
      <c r="AC431" s="107">
        <f t="shared" si="389"/>
        <v>0</v>
      </c>
      <c r="AD431" s="107">
        <f t="shared" si="389"/>
        <v>0</v>
      </c>
      <c r="AE431" s="107">
        <f t="shared" si="389"/>
        <v>0</v>
      </c>
      <c r="AF431" s="107">
        <f t="shared" si="389"/>
        <v>0</v>
      </c>
      <c r="AG431" s="107">
        <f t="shared" si="389"/>
        <v>0</v>
      </c>
      <c r="AH431" s="107">
        <f t="shared" si="389"/>
        <v>0</v>
      </c>
      <c r="AI431" s="107">
        <f t="shared" si="389"/>
        <v>0</v>
      </c>
      <c r="AJ431" s="107">
        <f t="shared" si="389"/>
        <v>0</v>
      </c>
      <c r="AK431" s="107">
        <f t="shared" si="389"/>
        <v>0</v>
      </c>
      <c r="AL431" s="4"/>
      <c r="AM431" s="43">
        <v>415</v>
      </c>
      <c r="AN431">
        <v>67.162721372520039</v>
      </c>
      <c r="AO431">
        <v>25.704468971221569</v>
      </c>
      <c r="AP431">
        <v>163.04497857114757</v>
      </c>
      <c r="AQ431">
        <v>145.8025969302617</v>
      </c>
      <c r="AR431">
        <v>23.234309818122689</v>
      </c>
      <c r="AS431">
        <v>109.94561344055059</v>
      </c>
      <c r="AT431">
        <v>17.740602651755271</v>
      </c>
      <c r="AU431">
        <v>41.682959086397886</v>
      </c>
      <c r="AV431"/>
      <c r="AW431"/>
      <c r="FY431" s="211">
        <v>426</v>
      </c>
      <c r="FZ431">
        <v>4.8380876847109189</v>
      </c>
      <c r="GA431">
        <v>18.36924014388341</v>
      </c>
      <c r="GB431">
        <v>27.064295618336693</v>
      </c>
      <c r="GC431">
        <v>18.980066842686806</v>
      </c>
      <c r="GD431">
        <v>14.657039983527303</v>
      </c>
      <c r="GE431">
        <v>24.568127075276173</v>
      </c>
      <c r="GF431">
        <v>24.97894439390906</v>
      </c>
      <c r="GG431">
        <v>19.048358005372439</v>
      </c>
      <c r="GH431">
        <v>10.751255196235066</v>
      </c>
      <c r="GI431">
        <v>22.743763551114029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8"/>
        <v>20.577203700150712</v>
      </c>
      <c r="D432" s="191">
        <f>A$414</f>
        <v>10.51</v>
      </c>
      <c r="E432" s="8"/>
      <c r="F432" s="124"/>
      <c r="G432" s="107">
        <f t="shared" si="390"/>
        <v>0</v>
      </c>
      <c r="H432" s="107">
        <f t="shared" ref="H432:AK432" si="391">(($A$453+$A$455*(H$422)+($A$457*$D432))*($E30*H46))</f>
        <v>0</v>
      </c>
      <c r="I432" s="107">
        <f t="shared" si="391"/>
        <v>0.62795502077241294</v>
      </c>
      <c r="J432" s="107">
        <f t="shared" si="391"/>
        <v>1.0651626401715757</v>
      </c>
      <c r="K432" s="107">
        <f t="shared" si="391"/>
        <v>9.150281027908866</v>
      </c>
      <c r="L432" s="107">
        <f t="shared" si="391"/>
        <v>8.0397766167102986</v>
      </c>
      <c r="M432" s="107">
        <f t="shared" si="391"/>
        <v>1.0713512991813188</v>
      </c>
      <c r="N432" s="107">
        <f t="shared" si="391"/>
        <v>0.62267709540623883</v>
      </c>
      <c r="O432" s="107">
        <f t="shared" si="391"/>
        <v>0</v>
      </c>
      <c r="P432" s="107">
        <f t="shared" si="391"/>
        <v>0</v>
      </c>
      <c r="Q432" s="107">
        <f t="shared" si="391"/>
        <v>0</v>
      </c>
      <c r="R432" s="107">
        <f t="shared" si="391"/>
        <v>0</v>
      </c>
      <c r="S432" s="107">
        <f t="shared" si="391"/>
        <v>0</v>
      </c>
      <c r="T432" s="107">
        <f t="shared" si="391"/>
        <v>0</v>
      </c>
      <c r="U432" s="107">
        <f t="shared" si="391"/>
        <v>0</v>
      </c>
      <c r="V432" s="107">
        <f t="shared" si="391"/>
        <v>0</v>
      </c>
      <c r="W432" s="107">
        <f t="shared" si="391"/>
        <v>0</v>
      </c>
      <c r="X432" s="107">
        <f t="shared" si="391"/>
        <v>0</v>
      </c>
      <c r="Y432" s="107">
        <f t="shared" si="391"/>
        <v>0</v>
      </c>
      <c r="Z432" s="107">
        <f t="shared" si="391"/>
        <v>0</v>
      </c>
      <c r="AA432" s="107">
        <f t="shared" si="391"/>
        <v>0</v>
      </c>
      <c r="AB432" s="107">
        <f t="shared" si="391"/>
        <v>0</v>
      </c>
      <c r="AC432" s="107">
        <f t="shared" si="391"/>
        <v>0</v>
      </c>
      <c r="AD432" s="107">
        <f t="shared" si="391"/>
        <v>0</v>
      </c>
      <c r="AE432" s="107">
        <f t="shared" si="391"/>
        <v>0</v>
      </c>
      <c r="AF432" s="107">
        <f t="shared" si="391"/>
        <v>0</v>
      </c>
      <c r="AG432" s="107">
        <f t="shared" si="391"/>
        <v>0</v>
      </c>
      <c r="AH432" s="107">
        <f t="shared" si="391"/>
        <v>0</v>
      </c>
      <c r="AI432" s="107">
        <f t="shared" si="391"/>
        <v>0</v>
      </c>
      <c r="AJ432" s="107">
        <f t="shared" si="391"/>
        <v>0</v>
      </c>
      <c r="AK432" s="107">
        <f t="shared" si="391"/>
        <v>0</v>
      </c>
      <c r="AL432" s="4"/>
      <c r="AM432" s="43">
        <v>416</v>
      </c>
      <c r="AN432">
        <v>96.710351506309479</v>
      </c>
      <c r="AO432">
        <v>36.211290729663759</v>
      </c>
      <c r="AP432">
        <v>237.63131376115234</v>
      </c>
      <c r="AQ432">
        <v>204.36364780493147</v>
      </c>
      <c r="AR432">
        <v>33.325221740803507</v>
      </c>
      <c r="AS432">
        <v>172.95939398996401</v>
      </c>
      <c r="AT432">
        <v>24.943551209398539</v>
      </c>
      <c r="AU432">
        <v>48.994864254311778</v>
      </c>
      <c r="AV432"/>
      <c r="AW432"/>
      <c r="FY432" s="211">
        <v>427</v>
      </c>
      <c r="FZ432">
        <v>8.731297613182905</v>
      </c>
      <c r="GA432">
        <v>18.935563437259511</v>
      </c>
      <c r="GB432">
        <v>27.385265281911625</v>
      </c>
      <c r="GC432">
        <v>19.419465498499981</v>
      </c>
      <c r="GD432">
        <v>10.996950694301738</v>
      </c>
      <c r="GE432">
        <v>18.852410537555979</v>
      </c>
      <c r="GF432">
        <v>17.650050928897965</v>
      </c>
      <c r="GG432">
        <v>17.371690126975984</v>
      </c>
      <c r="GH432">
        <v>20.266919493944982</v>
      </c>
      <c r="GI432">
        <v>21.352613423770496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67.291330796358892</v>
      </c>
      <c r="AO433">
        <v>25.374913293623809</v>
      </c>
      <c r="AP433">
        <v>159.56303519420888</v>
      </c>
      <c r="AQ433">
        <v>139.09691259781374</v>
      </c>
      <c r="AR433">
        <v>23.382410610411252</v>
      </c>
      <c r="AS433">
        <v>113.84109024559217</v>
      </c>
      <c r="AT433">
        <v>17.303960057658667</v>
      </c>
      <c r="AU433">
        <v>21.487195171964821</v>
      </c>
      <c r="AV433"/>
      <c r="AW433"/>
      <c r="FY433" s="211">
        <v>428</v>
      </c>
      <c r="FZ433">
        <v>2.1272367785396149</v>
      </c>
      <c r="GA433">
        <v>4.0688297833813989</v>
      </c>
      <c r="GB433">
        <v>19.825516917557572</v>
      </c>
      <c r="GC433">
        <v>15.260884306407164</v>
      </c>
      <c r="GD433">
        <v>10.051602899605502</v>
      </c>
      <c r="GE433">
        <v>22.334846477930789</v>
      </c>
      <c r="GF433">
        <v>28.817958025237797</v>
      </c>
      <c r="GG433">
        <v>29.38391313457765</v>
      </c>
      <c r="GH433">
        <v>29.662614056273824</v>
      </c>
      <c r="GI433">
        <v>21.543890263937261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71.095491080779212</v>
      </c>
      <c r="AO434">
        <v>28.830262066227892</v>
      </c>
      <c r="AP434">
        <v>206.12463365755769</v>
      </c>
      <c r="AQ434">
        <v>166.43120775974668</v>
      </c>
      <c r="AR434">
        <v>25.927927253248583</v>
      </c>
      <c r="AS434">
        <v>120.71370515891424</v>
      </c>
      <c r="AT434">
        <v>19.31694472020715</v>
      </c>
      <c r="AU434">
        <v>17.740328436544992</v>
      </c>
      <c r="AV434"/>
      <c r="AW434"/>
      <c r="FY434" s="211">
        <v>429</v>
      </c>
      <c r="FZ434">
        <v>7.892089516051338</v>
      </c>
      <c r="GA434">
        <v>16.038660845457859</v>
      </c>
      <c r="GB434">
        <v>27.257209295971457</v>
      </c>
      <c r="GC434">
        <v>18.374818228210842</v>
      </c>
      <c r="GD434">
        <v>7.7341714651118316</v>
      </c>
      <c r="GE434">
        <v>16.42669188010424</v>
      </c>
      <c r="GF434">
        <v>35.214641847317459</v>
      </c>
      <c r="GG434">
        <v>32.227742782523116</v>
      </c>
      <c r="GH434">
        <v>19.331023282079034</v>
      </c>
      <c r="GI434">
        <v>22.423696383480358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168.93327624651366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85.415089806773253</v>
      </c>
      <c r="AO435">
        <v>29.899182443106366</v>
      </c>
      <c r="AP435">
        <v>186.90660381898292</v>
      </c>
      <c r="AQ435">
        <v>163.57119317066406</v>
      </c>
      <c r="AR435">
        <v>27.093775379659853</v>
      </c>
      <c r="AS435">
        <v>138.90970016507524</v>
      </c>
      <c r="AT435">
        <v>20.330156411168474</v>
      </c>
      <c r="AU435">
        <v>44.344673021311877</v>
      </c>
      <c r="AV435"/>
      <c r="AW435"/>
      <c r="FY435" s="211">
        <v>430</v>
      </c>
      <c r="FZ435">
        <v>3.0551801212286893</v>
      </c>
      <c r="GA435">
        <v>8.5863732882431378</v>
      </c>
      <c r="GB435">
        <v>16.014133308640496</v>
      </c>
      <c r="GC435">
        <v>14.846011699241192</v>
      </c>
      <c r="GD435">
        <v>12.010337291443705</v>
      </c>
      <c r="GE435">
        <v>21.773625455352921</v>
      </c>
      <c r="GF435">
        <v>30.940829487066029</v>
      </c>
      <c r="GG435">
        <v>22.720538794483261</v>
      </c>
      <c r="GH435">
        <v>13.687002141322582</v>
      </c>
      <c r="GI435">
        <v>19.693212418039082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96.187242001985467</v>
      </c>
      <c r="AO436">
        <v>36.893955438882116</v>
      </c>
      <c r="AP436">
        <v>237.68293839269785</v>
      </c>
      <c r="AQ436">
        <v>205.07128463187448</v>
      </c>
      <c r="AR436">
        <v>33.8154148517742</v>
      </c>
      <c r="AS436">
        <v>170.16046574396552</v>
      </c>
      <c r="AT436">
        <v>25.648853745229356</v>
      </c>
      <c r="AU436">
        <v>48.14239680919853</v>
      </c>
      <c r="AV436"/>
      <c r="AW436"/>
      <c r="FY436" s="211">
        <v>431</v>
      </c>
      <c r="FZ436">
        <v>8.4076819273749877</v>
      </c>
      <c r="GA436">
        <v>13.613692818493124</v>
      </c>
      <c r="GB436">
        <v>8.5762633119937419</v>
      </c>
      <c r="GC436">
        <v>15.063315005084021</v>
      </c>
      <c r="GD436">
        <v>15.874585603955992</v>
      </c>
      <c r="GE436">
        <v>23.517470561140232</v>
      </c>
      <c r="GF436">
        <v>22.343483360769532</v>
      </c>
      <c r="GG436">
        <v>18.9874791031807</v>
      </c>
      <c r="GH436">
        <v>18.229822154510032</v>
      </c>
      <c r="GI436">
        <v>20.111542166885563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62.61701013136426</v>
      </c>
      <c r="AO437">
        <v>23.363662794424481</v>
      </c>
      <c r="AP437">
        <v>154.72252916100595</v>
      </c>
      <c r="AQ437">
        <v>132.9854052639395</v>
      </c>
      <c r="AR437">
        <v>21.36448292021776</v>
      </c>
      <c r="AS437">
        <v>135.71310479331476</v>
      </c>
      <c r="AT437" t="e">
        <v>#DIV/0!</v>
      </c>
      <c r="AU437" t="e">
        <v>#DIV/0!</v>
      </c>
      <c r="AV437"/>
      <c r="AW437"/>
      <c r="FY437" s="211">
        <v>432</v>
      </c>
      <c r="FZ437">
        <v>5.9775551299266194</v>
      </c>
      <c r="GA437">
        <v>19.323025558310952</v>
      </c>
      <c r="GB437">
        <v>14.975888160508042</v>
      </c>
      <c r="GC437">
        <v>13.221465986654602</v>
      </c>
      <c r="GD437">
        <v>13.630105035905482</v>
      </c>
      <c r="GE437">
        <v>27.985748690031546</v>
      </c>
      <c r="GF437">
        <v>32.466241483468892</v>
      </c>
      <c r="GG437">
        <v>12.671982318421303</v>
      </c>
      <c r="GH437">
        <v>5.5001885038899534</v>
      </c>
      <c r="GI437">
        <v>19.860074389118239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90.650247396763632</v>
      </c>
      <c r="AO438">
        <v>34.937607160511746</v>
      </c>
      <c r="AP438">
        <v>249.14387459755523</v>
      </c>
      <c r="AQ438">
        <v>203.8198765547653</v>
      </c>
      <c r="AR438">
        <v>31.931472141553147</v>
      </c>
      <c r="AS438">
        <v>151.47131292496366</v>
      </c>
      <c r="AT438">
        <v>24.131589792257021</v>
      </c>
      <c r="AU438">
        <v>54.510885942828892</v>
      </c>
      <c r="AV438"/>
      <c r="AW438"/>
      <c r="FY438" s="211">
        <v>433</v>
      </c>
      <c r="FZ438">
        <v>6.7310969867284793</v>
      </c>
      <c r="GA438">
        <v>22.254244187879227</v>
      </c>
      <c r="GB438">
        <v>23.970728949545069</v>
      </c>
      <c r="GC438">
        <v>16.460776098047162</v>
      </c>
      <c r="GD438">
        <v>12.542957752043305</v>
      </c>
      <c r="GE438">
        <v>24.361935477880881</v>
      </c>
      <c r="GF438">
        <v>42.558388337802931</v>
      </c>
      <c r="GG438">
        <v>28.82690804680848</v>
      </c>
      <c r="GH438">
        <v>9.7228778824287723</v>
      </c>
      <c r="GI438">
        <v>24.142330864620291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70.837078730096295</v>
      </c>
      <c r="AO439">
        <v>30.402744990160819</v>
      </c>
      <c r="AP439">
        <v>192.75461260849869</v>
      </c>
      <c r="AQ439">
        <v>162.92530297682484</v>
      </c>
      <c r="AR439">
        <v>27.991000468585607</v>
      </c>
      <c r="AS439">
        <v>126.84458184549979</v>
      </c>
      <c r="AT439">
        <v>20.715143389885647</v>
      </c>
      <c r="AU439">
        <v>18.323448387108623</v>
      </c>
      <c r="AV439"/>
      <c r="AW439"/>
      <c r="FY439" s="211">
        <v>434</v>
      </c>
      <c r="FZ439">
        <v>2.8532451822025</v>
      </c>
      <c r="GA439">
        <v>6.1444399541387913</v>
      </c>
      <c r="GB439">
        <v>10.519105356695608</v>
      </c>
      <c r="GC439">
        <v>10.209557382102972</v>
      </c>
      <c r="GD439">
        <v>10.767018846293702</v>
      </c>
      <c r="GE439">
        <v>18.783322984738312</v>
      </c>
      <c r="GF439">
        <v>13.036261363288752</v>
      </c>
      <c r="GG439">
        <v>16.502565242339443</v>
      </c>
      <c r="GH439">
        <v>19.399767227281163</v>
      </c>
      <c r="GI439">
        <v>15.095326193025677</v>
      </c>
      <c r="GJ439"/>
      <c r="GK439"/>
      <c r="GL439"/>
      <c r="GM439"/>
    </row>
    <row r="440" spans="1:195" s="7" customFormat="1">
      <c r="A440" s="1">
        <v>7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55.80087166260482</v>
      </c>
      <c r="AO440">
        <v>24.033716812258376</v>
      </c>
      <c r="AP440">
        <v>154.69035509245367</v>
      </c>
      <c r="AQ440">
        <v>133.22004406515552</v>
      </c>
      <c r="AR440">
        <v>21.992975964337877</v>
      </c>
      <c r="AS440">
        <v>102.5852114706058</v>
      </c>
      <c r="AT440" t="e">
        <v>#DIV/0!</v>
      </c>
      <c r="AU440" t="e">
        <v>#DIV/0!</v>
      </c>
      <c r="AV440"/>
      <c r="AW440"/>
      <c r="FY440" s="211">
        <v>435</v>
      </c>
      <c r="FZ440">
        <v>5.2264704732994876</v>
      </c>
      <c r="GA440">
        <v>17.443343483724874</v>
      </c>
      <c r="GB440">
        <v>18.265941228647989</v>
      </c>
      <c r="GC440">
        <v>11.291275320824534</v>
      </c>
      <c r="GD440">
        <v>10.649436323567002</v>
      </c>
      <c r="GE440">
        <v>18.177969976249003</v>
      </c>
      <c r="GF440">
        <v>15.989650706288515</v>
      </c>
      <c r="GG440">
        <v>30.908679430405947</v>
      </c>
      <c r="GH440">
        <v>30.037860444106215</v>
      </c>
      <c r="GI440">
        <v>19.58950736427586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92">SUM(G441:AK441)</f>
        <v>2.2519389724220744</v>
      </c>
      <c r="D441" s="191">
        <f>$A$405</f>
        <v>13.69</v>
      </c>
      <c r="E441" s="8"/>
      <c r="F441" s="124"/>
      <c r="G441" s="107" t="str">
        <f t="shared" ref="G441:G450" si="393">IF(G423&lt;=0, "0.000", G423)</f>
        <v>0.000</v>
      </c>
      <c r="H441" s="107" t="str">
        <f t="shared" ref="H441:AK441" si="394">IF(H423&lt;=0, "0.000", H423)</f>
        <v>0.000</v>
      </c>
      <c r="I441" s="107">
        <f t="shared" si="394"/>
        <v>0.46016590748243102</v>
      </c>
      <c r="J441" s="107" t="str">
        <f t="shared" si="394"/>
        <v>0.000</v>
      </c>
      <c r="K441" s="107">
        <f t="shared" si="394"/>
        <v>0.61943662633233987</v>
      </c>
      <c r="L441" s="107" t="str">
        <f t="shared" si="394"/>
        <v>0.000</v>
      </c>
      <c r="M441" s="107">
        <f t="shared" si="394"/>
        <v>1.1723364386073032</v>
      </c>
      <c r="N441" s="107" t="str">
        <f t="shared" si="394"/>
        <v>0.000</v>
      </c>
      <c r="O441" s="107" t="str">
        <f t="shared" si="394"/>
        <v>0.000</v>
      </c>
      <c r="P441" s="107" t="str">
        <f t="shared" si="394"/>
        <v>0.000</v>
      </c>
      <c r="Q441" s="107" t="str">
        <f t="shared" si="394"/>
        <v>0.000</v>
      </c>
      <c r="R441" s="107" t="str">
        <f t="shared" si="394"/>
        <v>0.000</v>
      </c>
      <c r="S441" s="107" t="str">
        <f t="shared" si="394"/>
        <v>0.000</v>
      </c>
      <c r="T441" s="107" t="str">
        <f t="shared" si="394"/>
        <v>0.000</v>
      </c>
      <c r="U441" s="107" t="str">
        <f t="shared" si="394"/>
        <v>0.000</v>
      </c>
      <c r="V441" s="107" t="str">
        <f t="shared" si="394"/>
        <v>0.000</v>
      </c>
      <c r="W441" s="107" t="str">
        <f t="shared" si="394"/>
        <v>0.000</v>
      </c>
      <c r="X441" s="107" t="str">
        <f t="shared" si="394"/>
        <v>0.000</v>
      </c>
      <c r="Y441" s="107" t="str">
        <f t="shared" si="394"/>
        <v>0.000</v>
      </c>
      <c r="Z441" s="107" t="str">
        <f t="shared" si="394"/>
        <v>0.000</v>
      </c>
      <c r="AA441" s="107" t="str">
        <f t="shared" si="394"/>
        <v>0.000</v>
      </c>
      <c r="AB441" s="107" t="str">
        <f t="shared" si="394"/>
        <v>0.000</v>
      </c>
      <c r="AC441" s="107" t="str">
        <f t="shared" si="394"/>
        <v>0.000</v>
      </c>
      <c r="AD441" s="107" t="str">
        <f t="shared" si="394"/>
        <v>0.000</v>
      </c>
      <c r="AE441" s="107" t="str">
        <f t="shared" si="394"/>
        <v>0.000</v>
      </c>
      <c r="AF441" s="107" t="str">
        <f t="shared" si="394"/>
        <v>0.000</v>
      </c>
      <c r="AG441" s="107" t="str">
        <f t="shared" si="394"/>
        <v>0.000</v>
      </c>
      <c r="AH441" s="107" t="str">
        <f t="shared" si="394"/>
        <v>0.000</v>
      </c>
      <c r="AI441" s="107" t="str">
        <f t="shared" si="394"/>
        <v>0.000</v>
      </c>
      <c r="AJ441" s="107" t="str">
        <f t="shared" si="394"/>
        <v>0.000</v>
      </c>
      <c r="AK441" s="107" t="str">
        <f t="shared" si="394"/>
        <v>0.000</v>
      </c>
      <c r="AL441" s="4"/>
      <c r="AM441" s="43">
        <v>425</v>
      </c>
      <c r="AN441">
        <v>74.38983049251469</v>
      </c>
      <c r="AO441">
        <v>32.96806024871001</v>
      </c>
      <c r="AP441">
        <v>234.33907568749012</v>
      </c>
      <c r="AQ441">
        <v>194.40261241266549</v>
      </c>
      <c r="AR441">
        <v>29.648377845473757</v>
      </c>
      <c r="AS441">
        <v>130.61270127209838</v>
      </c>
      <c r="AT441">
        <v>22.87732497056108</v>
      </c>
      <c r="AU441">
        <v>29.81941472126887</v>
      </c>
      <c r="AV441"/>
      <c r="AW441"/>
      <c r="FY441" s="211">
        <v>436</v>
      </c>
      <c r="FZ441">
        <v>3.7543759772726411</v>
      </c>
      <c r="GA441">
        <v>13.30024065059259</v>
      </c>
      <c r="GB441">
        <v>20.962157282936818</v>
      </c>
      <c r="GC441">
        <v>16.401449621644943</v>
      </c>
      <c r="GD441">
        <v>11.990580930177341</v>
      </c>
      <c r="GE441">
        <v>18.957327768873206</v>
      </c>
      <c r="GF441">
        <v>26.431510268071666</v>
      </c>
      <c r="GG441">
        <v>43.657613462456631</v>
      </c>
      <c r="GH441">
        <v>40.935226277375513</v>
      </c>
      <c r="GI441">
        <v>24.521287296888698</v>
      </c>
      <c r="GJ441"/>
      <c r="GK441"/>
      <c r="GL441"/>
      <c r="GM441"/>
    </row>
    <row r="442" spans="1:195" s="7" customFormat="1">
      <c r="A442" s="1">
        <v>365</v>
      </c>
      <c r="B442" s="48" t="s">
        <v>39</v>
      </c>
      <c r="C442" s="107">
        <f t="shared" si="392"/>
        <v>7.0483338960779465</v>
      </c>
      <c r="D442" s="191">
        <f>$A$406</f>
        <v>9.4499999999999993</v>
      </c>
      <c r="E442" s="8"/>
      <c r="F442" s="124"/>
      <c r="G442" s="173" t="str">
        <f t="shared" si="393"/>
        <v>0.000</v>
      </c>
      <c r="H442" s="173" t="str">
        <f t="shared" ref="H442:V442" si="395">IF(H424&lt;=0, "0.000", H424)</f>
        <v>0.000</v>
      </c>
      <c r="I442" s="173">
        <f t="shared" si="395"/>
        <v>0.15548481554368543</v>
      </c>
      <c r="J442" s="173">
        <f t="shared" si="395"/>
        <v>1.9401801494213833</v>
      </c>
      <c r="K442" s="173">
        <f t="shared" si="395"/>
        <v>3.1585169764830394</v>
      </c>
      <c r="L442" s="173">
        <f t="shared" si="395"/>
        <v>0.4317606804629433</v>
      </c>
      <c r="M442" s="173">
        <f t="shared" si="395"/>
        <v>1.3623912741668951</v>
      </c>
      <c r="N442" s="173" t="str">
        <f t="shared" si="395"/>
        <v>0.000</v>
      </c>
      <c r="O442" s="173" t="str">
        <f t="shared" si="395"/>
        <v>0.000</v>
      </c>
      <c r="P442" s="173" t="str">
        <f t="shared" si="395"/>
        <v>0.000</v>
      </c>
      <c r="Q442" s="173" t="str">
        <f t="shared" si="395"/>
        <v>0.000</v>
      </c>
      <c r="R442" s="173" t="str">
        <f t="shared" si="395"/>
        <v>0.000</v>
      </c>
      <c r="S442" s="173" t="str">
        <f t="shared" si="395"/>
        <v>0.000</v>
      </c>
      <c r="T442" s="173" t="str">
        <f t="shared" si="395"/>
        <v>0.000</v>
      </c>
      <c r="U442" s="173" t="str">
        <f t="shared" si="395"/>
        <v>0.000</v>
      </c>
      <c r="V442" s="173" t="str">
        <f t="shared" si="395"/>
        <v>0.000</v>
      </c>
      <c r="W442" s="173" t="str">
        <f t="shared" ref="W442:AK442" si="396">IF(W424&lt;=0, "0.000", W424)</f>
        <v>0.000</v>
      </c>
      <c r="X442" s="173" t="str">
        <f t="shared" si="396"/>
        <v>0.000</v>
      </c>
      <c r="Y442" s="173" t="str">
        <f t="shared" si="396"/>
        <v>0.000</v>
      </c>
      <c r="Z442" s="173" t="str">
        <f t="shared" si="396"/>
        <v>0.000</v>
      </c>
      <c r="AA442" s="173" t="str">
        <f t="shared" si="396"/>
        <v>0.000</v>
      </c>
      <c r="AB442" s="173" t="str">
        <f t="shared" si="396"/>
        <v>0.000</v>
      </c>
      <c r="AC442" s="173" t="str">
        <f t="shared" si="396"/>
        <v>0.000</v>
      </c>
      <c r="AD442" s="173" t="str">
        <f t="shared" si="396"/>
        <v>0.000</v>
      </c>
      <c r="AE442" s="173" t="str">
        <f t="shared" si="396"/>
        <v>0.000</v>
      </c>
      <c r="AF442" s="173" t="str">
        <f t="shared" si="396"/>
        <v>0.000</v>
      </c>
      <c r="AG442" s="173" t="str">
        <f t="shared" si="396"/>
        <v>0.000</v>
      </c>
      <c r="AH442" s="173" t="str">
        <f t="shared" si="396"/>
        <v>0.000</v>
      </c>
      <c r="AI442" s="173" t="str">
        <f t="shared" si="396"/>
        <v>0.000</v>
      </c>
      <c r="AJ442" s="173" t="str">
        <f t="shared" si="396"/>
        <v>0.000</v>
      </c>
      <c r="AK442" s="173" t="str">
        <f t="shared" si="396"/>
        <v>0.000</v>
      </c>
      <c r="AL442" s="4"/>
      <c r="AM442" s="43">
        <v>426</v>
      </c>
      <c r="AN442">
        <v>92.155032417713102</v>
      </c>
      <c r="AO442">
        <v>34.548450899638333</v>
      </c>
      <c r="AP442">
        <v>215.49173369131751</v>
      </c>
      <c r="AQ442">
        <v>185.99917849505192</v>
      </c>
      <c r="AR442">
        <v>31.56128192808502</v>
      </c>
      <c r="AS442">
        <v>153.31206515808631</v>
      </c>
      <c r="AT442" t="e">
        <v>#DIV/0!</v>
      </c>
      <c r="AU442" t="e">
        <v>#DIV/0!</v>
      </c>
      <c r="AV442"/>
      <c r="AW442"/>
      <c r="FY442" s="211">
        <v>437</v>
      </c>
      <c r="FZ442">
        <v>2.5538163587191622</v>
      </c>
      <c r="GA442">
        <v>10.253919448032113</v>
      </c>
      <c r="GB442">
        <v>13.132307914982716</v>
      </c>
      <c r="GC442">
        <v>12.568108175496754</v>
      </c>
      <c r="GD442">
        <v>13.654833290791622</v>
      </c>
      <c r="GE442">
        <v>23.754290612797909</v>
      </c>
      <c r="GF442">
        <v>18.06071803372302</v>
      </c>
      <c r="GG442">
        <v>22.097815640534694</v>
      </c>
      <c r="GH442">
        <v>22.97242379929418</v>
      </c>
      <c r="GI442">
        <v>18.96352423974928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92"/>
        <v>25.29192621142376</v>
      </c>
      <c r="D443" s="191">
        <f>A$407</f>
        <v>4.03</v>
      </c>
      <c r="E443" s="8"/>
      <c r="F443" s="124"/>
      <c r="G443" s="173" t="str">
        <f t="shared" si="393"/>
        <v>0.000</v>
      </c>
      <c r="H443" s="173" t="str">
        <f t="shared" ref="H443:V443" si="397">IF(H425&lt;=0, "0.000", H425)</f>
        <v>0.000</v>
      </c>
      <c r="I443" s="173">
        <f t="shared" si="397"/>
        <v>1.1692040981501168</v>
      </c>
      <c r="J443" s="173">
        <f t="shared" si="397"/>
        <v>2.0999794923276958</v>
      </c>
      <c r="K443" s="173">
        <f t="shared" si="397"/>
        <v>14.626946330554668</v>
      </c>
      <c r="L443" s="173">
        <f t="shared" si="397"/>
        <v>5.0559855337480357</v>
      </c>
      <c r="M443" s="173" t="str">
        <f t="shared" si="397"/>
        <v>0.000</v>
      </c>
      <c r="N443" s="173">
        <f t="shared" si="397"/>
        <v>2.3398107566432427</v>
      </c>
      <c r="O443" s="173" t="str">
        <f t="shared" si="397"/>
        <v>0.000</v>
      </c>
      <c r="P443" s="173" t="str">
        <f t="shared" si="397"/>
        <v>0.000</v>
      </c>
      <c r="Q443" s="173" t="str">
        <f t="shared" si="397"/>
        <v>0.000</v>
      </c>
      <c r="R443" s="173" t="str">
        <f t="shared" si="397"/>
        <v>0.000</v>
      </c>
      <c r="S443" s="173" t="str">
        <f t="shared" si="397"/>
        <v>0.000</v>
      </c>
      <c r="T443" s="173" t="str">
        <f t="shared" si="397"/>
        <v>0.000</v>
      </c>
      <c r="U443" s="173" t="str">
        <f t="shared" si="397"/>
        <v>0.000</v>
      </c>
      <c r="V443" s="173" t="str">
        <f t="shared" si="397"/>
        <v>0.000</v>
      </c>
      <c r="W443" s="173" t="str">
        <f t="shared" ref="W443:AK443" si="398">IF(W425&lt;=0, "0.000", W425)</f>
        <v>0.000</v>
      </c>
      <c r="X443" s="173" t="str">
        <f t="shared" si="398"/>
        <v>0.000</v>
      </c>
      <c r="Y443" s="173" t="str">
        <f t="shared" si="398"/>
        <v>0.000</v>
      </c>
      <c r="Z443" s="173" t="str">
        <f t="shared" si="398"/>
        <v>0.000</v>
      </c>
      <c r="AA443" s="173" t="str">
        <f t="shared" si="398"/>
        <v>0.000</v>
      </c>
      <c r="AB443" s="173" t="str">
        <f t="shared" si="398"/>
        <v>0.000</v>
      </c>
      <c r="AC443" s="173" t="str">
        <f t="shared" si="398"/>
        <v>0.000</v>
      </c>
      <c r="AD443" s="173" t="str">
        <f t="shared" si="398"/>
        <v>0.000</v>
      </c>
      <c r="AE443" s="173" t="str">
        <f t="shared" si="398"/>
        <v>0.000</v>
      </c>
      <c r="AF443" s="173" t="str">
        <f t="shared" si="398"/>
        <v>0.000</v>
      </c>
      <c r="AG443" s="173" t="str">
        <f t="shared" si="398"/>
        <v>0.000</v>
      </c>
      <c r="AH443" s="173" t="str">
        <f t="shared" si="398"/>
        <v>0.000</v>
      </c>
      <c r="AI443" s="173" t="str">
        <f t="shared" si="398"/>
        <v>0.000</v>
      </c>
      <c r="AJ443" s="173" t="str">
        <f t="shared" si="398"/>
        <v>0.000</v>
      </c>
      <c r="AK443" s="173" t="str">
        <f t="shared" si="398"/>
        <v>0.000</v>
      </c>
      <c r="AL443" s="4"/>
      <c r="AM443" s="43">
        <v>427</v>
      </c>
      <c r="AN443">
        <v>89.859774951292223</v>
      </c>
      <c r="AO443">
        <v>32.211684708326985</v>
      </c>
      <c r="AP443">
        <v>214.5322853139096</v>
      </c>
      <c r="AQ443">
        <v>180.96222703630116</v>
      </c>
      <c r="AR443">
        <v>29.605189629920812</v>
      </c>
      <c r="AS443">
        <v>145.54479406607669</v>
      </c>
      <c r="AT443">
        <v>22.103930195211614</v>
      </c>
      <c r="AU443">
        <v>44.582374548341264</v>
      </c>
      <c r="AV443"/>
      <c r="AW443"/>
      <c r="FY443" s="211">
        <v>438</v>
      </c>
      <c r="FZ443">
        <v>3.8938167479947889</v>
      </c>
      <c r="GA443">
        <v>8.5686805528104983</v>
      </c>
      <c r="GB443">
        <v>17.327026916927391</v>
      </c>
      <c r="GC443">
        <v>15.666867151795767</v>
      </c>
      <c r="GD443">
        <v>10.799704954073418</v>
      </c>
      <c r="GE443">
        <v>14.948893462134958</v>
      </c>
      <c r="GF443">
        <v>17.583724990865022</v>
      </c>
      <c r="GG443">
        <v>16.388023431040239</v>
      </c>
      <c r="GH443">
        <v>11.426238110906208</v>
      </c>
      <c r="GI443">
        <v>16.580294662113733</v>
      </c>
      <c r="GJ443"/>
      <c r="GK443"/>
      <c r="GL443"/>
      <c r="GM443"/>
    </row>
    <row r="444" spans="1:195" s="7" customFormat="1">
      <c r="A444" s="1">
        <v>325</v>
      </c>
      <c r="B444" s="48" t="s">
        <v>41</v>
      </c>
      <c r="C444" s="107">
        <f t="shared" si="392"/>
        <v>16.238900552642193</v>
      </c>
      <c r="D444" s="191">
        <f>A$408</f>
        <v>0.78</v>
      </c>
      <c r="E444" s="8"/>
      <c r="F444" s="124"/>
      <c r="G444" s="173" t="str">
        <f t="shared" si="393"/>
        <v>0.000</v>
      </c>
      <c r="H444" s="173" t="str">
        <f t="shared" ref="H444:V444" si="399">IF(H426&lt;=0, "0.000", H426)</f>
        <v>0.000</v>
      </c>
      <c r="I444" s="173">
        <f t="shared" si="399"/>
        <v>0.78646828428812288</v>
      </c>
      <c r="J444" s="173">
        <f t="shared" si="399"/>
        <v>0.74494601821694872</v>
      </c>
      <c r="K444" s="173">
        <f t="shared" si="399"/>
        <v>8.9805389595785314</v>
      </c>
      <c r="L444" s="173">
        <f t="shared" si="399"/>
        <v>4.5676895056429663</v>
      </c>
      <c r="M444" s="173" t="str">
        <f t="shared" si="399"/>
        <v>0.000</v>
      </c>
      <c r="N444" s="173">
        <f t="shared" si="399"/>
        <v>1.1592577849156231</v>
      </c>
      <c r="O444" s="173" t="str">
        <f t="shared" si="399"/>
        <v>0.000</v>
      </c>
      <c r="P444" s="173" t="str">
        <f t="shared" si="399"/>
        <v>0.000</v>
      </c>
      <c r="Q444" s="173" t="str">
        <f t="shared" si="399"/>
        <v>0.000</v>
      </c>
      <c r="R444" s="173" t="str">
        <f t="shared" si="399"/>
        <v>0.000</v>
      </c>
      <c r="S444" s="173" t="str">
        <f t="shared" si="399"/>
        <v>0.000</v>
      </c>
      <c r="T444" s="173" t="str">
        <f t="shared" si="399"/>
        <v>0.000</v>
      </c>
      <c r="U444" s="173" t="str">
        <f t="shared" si="399"/>
        <v>0.000</v>
      </c>
      <c r="V444" s="173" t="str">
        <f t="shared" si="399"/>
        <v>0.000</v>
      </c>
      <c r="W444" s="173" t="str">
        <f t="shared" ref="W444:AK444" si="400">IF(W426&lt;=0, "0.000", W426)</f>
        <v>0.000</v>
      </c>
      <c r="X444" s="173" t="str">
        <f t="shared" si="400"/>
        <v>0.000</v>
      </c>
      <c r="Y444" s="173" t="str">
        <f t="shared" si="400"/>
        <v>0.000</v>
      </c>
      <c r="Z444" s="173" t="str">
        <f t="shared" si="400"/>
        <v>0.000</v>
      </c>
      <c r="AA444" s="173" t="str">
        <f t="shared" si="400"/>
        <v>0.000</v>
      </c>
      <c r="AB444" s="173" t="str">
        <f t="shared" si="400"/>
        <v>0.000</v>
      </c>
      <c r="AC444" s="173" t="str">
        <f t="shared" si="400"/>
        <v>0.000</v>
      </c>
      <c r="AD444" s="173" t="str">
        <f t="shared" si="400"/>
        <v>0.000</v>
      </c>
      <c r="AE444" s="173" t="str">
        <f t="shared" si="400"/>
        <v>0.000</v>
      </c>
      <c r="AF444" s="173" t="str">
        <f t="shared" si="400"/>
        <v>0.000</v>
      </c>
      <c r="AG444" s="173" t="str">
        <f t="shared" si="400"/>
        <v>0.000</v>
      </c>
      <c r="AH444" s="173" t="str">
        <f t="shared" si="400"/>
        <v>0.000</v>
      </c>
      <c r="AI444" s="173" t="str">
        <f t="shared" si="400"/>
        <v>0.000</v>
      </c>
      <c r="AJ444" s="173" t="str">
        <f t="shared" si="400"/>
        <v>0.000</v>
      </c>
      <c r="AK444" s="173" t="str">
        <f t="shared" si="400"/>
        <v>0.000</v>
      </c>
      <c r="AL444" s="4"/>
      <c r="AM444" s="43">
        <v>428</v>
      </c>
      <c r="AN444">
        <v>71.100882605126543</v>
      </c>
      <c r="AO444">
        <v>32.334408969466168</v>
      </c>
      <c r="AP444">
        <v>220.3220809459423</v>
      </c>
      <c r="AQ444">
        <v>183.07729264344857</v>
      </c>
      <c r="AR444">
        <v>29.769970250789576</v>
      </c>
      <c r="AS444">
        <v>135.532928150315</v>
      </c>
      <c r="AT444">
        <v>22.966819316471994</v>
      </c>
      <c r="AU444">
        <v>28.865854132564991</v>
      </c>
      <c r="AV444"/>
      <c r="AW444"/>
      <c r="FY444" s="211">
        <v>439</v>
      </c>
      <c r="FZ444">
        <v>6.8293045532662013</v>
      </c>
      <c r="GA444">
        <v>20.415425406317365</v>
      </c>
      <c r="GB444">
        <v>30.023265953632759</v>
      </c>
      <c r="GC444">
        <v>18.736201192069213</v>
      </c>
      <c r="GD444">
        <v>12.772524783830963</v>
      </c>
      <c r="GE444">
        <v>23.640968997219225</v>
      </c>
      <c r="GF444">
        <v>30.415162707484772</v>
      </c>
      <c r="GG444">
        <v>24.832702914383454</v>
      </c>
      <c r="GH444">
        <v>11.517779908833152</v>
      </c>
      <c r="GI444">
        <v>23.878165925259879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92"/>
        <v>10.52394126529288</v>
      </c>
      <c r="D445" s="191">
        <f>A$409</f>
        <v>0.14000000000000001</v>
      </c>
      <c r="E445" s="8"/>
      <c r="F445" s="124"/>
      <c r="G445" s="173" t="str">
        <f t="shared" si="393"/>
        <v>0.000</v>
      </c>
      <c r="H445" s="173" t="str">
        <f t="shared" ref="H445:V445" si="401">IF(H427&lt;=0, "0.000", H427)</f>
        <v>0.000</v>
      </c>
      <c r="I445" s="173">
        <f t="shared" si="401"/>
        <v>0.18837931396138807</v>
      </c>
      <c r="J445" s="173">
        <f t="shared" si="401"/>
        <v>0.12400707482506715</v>
      </c>
      <c r="K445" s="173">
        <f t="shared" si="401"/>
        <v>4.1703741378219314</v>
      </c>
      <c r="L445" s="173">
        <f t="shared" si="401"/>
        <v>6.041180738684492</v>
      </c>
      <c r="M445" s="173" t="str">
        <f t="shared" si="401"/>
        <v>0.000</v>
      </c>
      <c r="N445" s="173" t="str">
        <f t="shared" si="401"/>
        <v>0.000</v>
      </c>
      <c r="O445" s="173" t="str">
        <f t="shared" si="401"/>
        <v>0.000</v>
      </c>
      <c r="P445" s="173" t="str">
        <f t="shared" si="401"/>
        <v>0.000</v>
      </c>
      <c r="Q445" s="173" t="str">
        <f t="shared" si="401"/>
        <v>0.000</v>
      </c>
      <c r="R445" s="173" t="str">
        <f t="shared" si="401"/>
        <v>0.000</v>
      </c>
      <c r="S445" s="173" t="str">
        <f t="shared" si="401"/>
        <v>0.000</v>
      </c>
      <c r="T445" s="173" t="str">
        <f t="shared" si="401"/>
        <v>0.000</v>
      </c>
      <c r="U445" s="173" t="str">
        <f t="shared" si="401"/>
        <v>0.000</v>
      </c>
      <c r="V445" s="173" t="str">
        <f t="shared" si="401"/>
        <v>0.000</v>
      </c>
      <c r="W445" s="173" t="str">
        <f t="shared" ref="W445:AK445" si="402">IF(W427&lt;=0, "0.000", W427)</f>
        <v>0.000</v>
      </c>
      <c r="X445" s="173" t="str">
        <f t="shared" si="402"/>
        <v>0.000</v>
      </c>
      <c r="Y445" s="173" t="str">
        <f t="shared" si="402"/>
        <v>0.000</v>
      </c>
      <c r="Z445" s="173" t="str">
        <f t="shared" si="402"/>
        <v>0.000</v>
      </c>
      <c r="AA445" s="173" t="str">
        <f t="shared" si="402"/>
        <v>0.000</v>
      </c>
      <c r="AB445" s="173" t="str">
        <f t="shared" si="402"/>
        <v>0.000</v>
      </c>
      <c r="AC445" s="173" t="str">
        <f t="shared" si="402"/>
        <v>0.000</v>
      </c>
      <c r="AD445" s="173" t="str">
        <f t="shared" si="402"/>
        <v>0.000</v>
      </c>
      <c r="AE445" s="173" t="str">
        <f t="shared" si="402"/>
        <v>0.000</v>
      </c>
      <c r="AF445" s="173" t="str">
        <f t="shared" si="402"/>
        <v>0.000</v>
      </c>
      <c r="AG445" s="173" t="str">
        <f t="shared" si="402"/>
        <v>0.000</v>
      </c>
      <c r="AH445" s="173" t="str">
        <f t="shared" si="402"/>
        <v>0.000</v>
      </c>
      <c r="AI445" s="173" t="str">
        <f t="shared" si="402"/>
        <v>0.000</v>
      </c>
      <c r="AJ445" s="173" t="str">
        <f t="shared" si="402"/>
        <v>0.000</v>
      </c>
      <c r="AK445" s="173" t="str">
        <f t="shared" si="402"/>
        <v>0.000</v>
      </c>
      <c r="AL445" s="4"/>
      <c r="AM445" s="43">
        <v>429</v>
      </c>
      <c r="AN445">
        <v>95.319731043964197</v>
      </c>
      <c r="AO445">
        <v>34.287431172489846</v>
      </c>
      <c r="AP445">
        <v>253.5812088447839</v>
      </c>
      <c r="AQ445">
        <v>202.92074552630751</v>
      </c>
      <c r="AR445">
        <v>31.061538863976939</v>
      </c>
      <c r="AS445">
        <v>155.36967392077094</v>
      </c>
      <c r="AT445" t="e">
        <v>#DIV/0!</v>
      </c>
      <c r="AU445" t="e">
        <v>#DIV/0!</v>
      </c>
      <c r="AV445"/>
      <c r="AW445"/>
      <c r="FY445" s="211">
        <v>440</v>
      </c>
      <c r="FZ445">
        <v>4.2133232601792017</v>
      </c>
      <c r="GA445">
        <v>20.479301146361557</v>
      </c>
      <c r="GB445">
        <v>25.110281955000314</v>
      </c>
      <c r="GC445">
        <v>13.776945608425203</v>
      </c>
      <c r="GD445">
        <v>9.6856247330134622</v>
      </c>
      <c r="GE445">
        <v>27.364431053137217</v>
      </c>
      <c r="GF445">
        <v>40.556885910156758</v>
      </c>
      <c r="GG445">
        <v>28.963998375515121</v>
      </c>
      <c r="GH445">
        <v>21.998685501977242</v>
      </c>
      <c r="GI445">
        <v>23.920013906033923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92"/>
        <v>23.873260579526828</v>
      </c>
      <c r="D446" s="191">
        <f>A$410</f>
        <v>0.21</v>
      </c>
      <c r="E446" s="8"/>
      <c r="F446" s="124"/>
      <c r="G446" s="173" t="str">
        <f t="shared" si="393"/>
        <v>0.000</v>
      </c>
      <c r="H446" s="173" t="str">
        <f t="shared" ref="H446:V446" si="403">IF(H428&lt;=0, "0.000", H428)</f>
        <v>0.000</v>
      </c>
      <c r="I446" s="173">
        <f t="shared" si="403"/>
        <v>0.15604914034471748</v>
      </c>
      <c r="J446" s="173">
        <f t="shared" si="403"/>
        <v>5.0234489509869563E-2</v>
      </c>
      <c r="K446" s="173">
        <f t="shared" si="403"/>
        <v>10.5560979009005</v>
      </c>
      <c r="L446" s="173">
        <f t="shared" si="403"/>
        <v>12.119009288383021</v>
      </c>
      <c r="M446" s="173">
        <f t="shared" si="403"/>
        <v>0.99186976038871866</v>
      </c>
      <c r="N446" s="173" t="str">
        <f t="shared" si="403"/>
        <v>0.000</v>
      </c>
      <c r="O446" s="173" t="str">
        <f t="shared" si="403"/>
        <v>0.000</v>
      </c>
      <c r="P446" s="173" t="str">
        <f t="shared" si="403"/>
        <v>0.000</v>
      </c>
      <c r="Q446" s="173" t="str">
        <f t="shared" si="403"/>
        <v>0.000</v>
      </c>
      <c r="R446" s="173" t="str">
        <f t="shared" si="403"/>
        <v>0.000</v>
      </c>
      <c r="S446" s="173" t="str">
        <f t="shared" si="403"/>
        <v>0.000</v>
      </c>
      <c r="T446" s="173" t="str">
        <f t="shared" si="403"/>
        <v>0.000</v>
      </c>
      <c r="U446" s="173" t="str">
        <f t="shared" si="403"/>
        <v>0.000</v>
      </c>
      <c r="V446" s="173" t="str">
        <f t="shared" si="403"/>
        <v>0.000</v>
      </c>
      <c r="W446" s="173" t="str">
        <f t="shared" ref="W446:AK446" si="404">IF(W428&lt;=0, "0.000", W428)</f>
        <v>0.000</v>
      </c>
      <c r="X446" s="173" t="str">
        <f t="shared" si="404"/>
        <v>0.000</v>
      </c>
      <c r="Y446" s="173" t="str">
        <f t="shared" si="404"/>
        <v>0.000</v>
      </c>
      <c r="Z446" s="173" t="str">
        <f t="shared" si="404"/>
        <v>0.000</v>
      </c>
      <c r="AA446" s="173" t="str">
        <f t="shared" si="404"/>
        <v>0.000</v>
      </c>
      <c r="AB446" s="173" t="str">
        <f t="shared" si="404"/>
        <v>0.000</v>
      </c>
      <c r="AC446" s="173" t="str">
        <f t="shared" si="404"/>
        <v>0.000</v>
      </c>
      <c r="AD446" s="173" t="str">
        <f t="shared" si="404"/>
        <v>0.000</v>
      </c>
      <c r="AE446" s="173" t="str">
        <f t="shared" si="404"/>
        <v>0.000</v>
      </c>
      <c r="AF446" s="173" t="str">
        <f t="shared" si="404"/>
        <v>0.000</v>
      </c>
      <c r="AG446" s="173" t="str">
        <f t="shared" si="404"/>
        <v>0.000</v>
      </c>
      <c r="AH446" s="173" t="str">
        <f t="shared" si="404"/>
        <v>0.000</v>
      </c>
      <c r="AI446" s="173" t="str">
        <f t="shared" si="404"/>
        <v>0.000</v>
      </c>
      <c r="AJ446" s="173" t="str">
        <f t="shared" si="404"/>
        <v>0.000</v>
      </c>
      <c r="AK446" s="173" t="str">
        <f t="shared" si="404"/>
        <v>0.000</v>
      </c>
      <c r="AL446" s="4"/>
      <c r="AM446" s="43">
        <v>430</v>
      </c>
      <c r="AN446">
        <v>79.97245105030666</v>
      </c>
      <c r="AO446">
        <v>29.657634363618889</v>
      </c>
      <c r="AP446">
        <v>188.14860295952741</v>
      </c>
      <c r="AQ446">
        <v>163.32724400506106</v>
      </c>
      <c r="AR446">
        <v>27.036989575159083</v>
      </c>
      <c r="AS446">
        <v>131.70072457427736</v>
      </c>
      <c r="AT446">
        <v>20.820428872473737</v>
      </c>
      <c r="AU446">
        <v>16.575336428887418</v>
      </c>
      <c r="AV446"/>
      <c r="AW446"/>
      <c r="FY446" s="211">
        <v>441</v>
      </c>
      <c r="FZ446">
        <v>4.3565828913547424</v>
      </c>
      <c r="GA446">
        <v>11.173538287345803</v>
      </c>
      <c r="GB446">
        <v>12.055070447176925</v>
      </c>
      <c r="GC446">
        <v>9.5406962361672036</v>
      </c>
      <c r="GD446">
        <v>9.513774144602051</v>
      </c>
      <c r="GE446">
        <v>17.266437858477286</v>
      </c>
      <c r="GF446">
        <v>17.796276851648809</v>
      </c>
      <c r="GG446">
        <v>21.207450325318277</v>
      </c>
      <c r="GH446">
        <v>18.258227934064859</v>
      </c>
      <c r="GI446">
        <v>15.696575036833869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92"/>
        <v>26.967872766594958</v>
      </c>
      <c r="D447" s="191">
        <f>A$411</f>
        <v>1.28</v>
      </c>
      <c r="E447" s="8"/>
      <c r="F447" s="124"/>
      <c r="G447" s="173" t="str">
        <f t="shared" si="393"/>
        <v>0.000</v>
      </c>
      <c r="H447" s="173" t="str">
        <f t="shared" ref="H447:V447" si="405">IF(H429&lt;=0, "0.000", H429)</f>
        <v>0.000</v>
      </c>
      <c r="I447" s="173" t="str">
        <f t="shared" si="405"/>
        <v>0.000</v>
      </c>
      <c r="J447" s="173">
        <f t="shared" si="405"/>
        <v>7.8605437802297867E-2</v>
      </c>
      <c r="K447" s="173">
        <f t="shared" si="405"/>
        <v>11.094337823115847</v>
      </c>
      <c r="L447" s="173">
        <f t="shared" si="405"/>
        <v>12.165265097969593</v>
      </c>
      <c r="M447" s="173">
        <f t="shared" si="405"/>
        <v>3.6296644077072222</v>
      </c>
      <c r="N447" s="173" t="str">
        <f t="shared" si="405"/>
        <v>0.000</v>
      </c>
      <c r="O447" s="173" t="str">
        <f t="shared" si="405"/>
        <v>0.000</v>
      </c>
      <c r="P447" s="173" t="str">
        <f t="shared" si="405"/>
        <v>0.000</v>
      </c>
      <c r="Q447" s="173" t="str">
        <f t="shared" si="405"/>
        <v>0.000</v>
      </c>
      <c r="R447" s="173" t="str">
        <f t="shared" si="405"/>
        <v>0.000</v>
      </c>
      <c r="S447" s="173" t="str">
        <f t="shared" si="405"/>
        <v>0.000</v>
      </c>
      <c r="T447" s="173" t="str">
        <f t="shared" si="405"/>
        <v>0.000</v>
      </c>
      <c r="U447" s="173" t="str">
        <f t="shared" si="405"/>
        <v>0.000</v>
      </c>
      <c r="V447" s="173" t="str">
        <f t="shared" si="405"/>
        <v>0.000</v>
      </c>
      <c r="W447" s="173" t="str">
        <f t="shared" ref="W447:AK447" si="406">IF(W429&lt;=0, "0.000", W429)</f>
        <v>0.000</v>
      </c>
      <c r="X447" s="173" t="str">
        <f t="shared" si="406"/>
        <v>0.000</v>
      </c>
      <c r="Y447" s="173" t="str">
        <f t="shared" si="406"/>
        <v>0.000</v>
      </c>
      <c r="Z447" s="173" t="str">
        <f t="shared" si="406"/>
        <v>0.000</v>
      </c>
      <c r="AA447" s="173" t="str">
        <f t="shared" si="406"/>
        <v>0.000</v>
      </c>
      <c r="AB447" s="173" t="str">
        <f t="shared" si="406"/>
        <v>0.000</v>
      </c>
      <c r="AC447" s="173" t="str">
        <f t="shared" si="406"/>
        <v>0.000</v>
      </c>
      <c r="AD447" s="173" t="str">
        <f t="shared" si="406"/>
        <v>0.000</v>
      </c>
      <c r="AE447" s="173" t="str">
        <f t="shared" si="406"/>
        <v>0.000</v>
      </c>
      <c r="AF447" s="173" t="str">
        <f t="shared" si="406"/>
        <v>0.000</v>
      </c>
      <c r="AG447" s="173" t="str">
        <f t="shared" si="406"/>
        <v>0.000</v>
      </c>
      <c r="AH447" s="173" t="str">
        <f t="shared" si="406"/>
        <v>0.000</v>
      </c>
      <c r="AI447" s="173" t="str">
        <f t="shared" si="406"/>
        <v>0.000</v>
      </c>
      <c r="AJ447" s="173" t="str">
        <f t="shared" si="406"/>
        <v>0.000</v>
      </c>
      <c r="AK447" s="173" t="str">
        <f t="shared" si="406"/>
        <v>0.000</v>
      </c>
      <c r="AL447" s="4"/>
      <c r="AM447" s="43">
        <v>431</v>
      </c>
      <c r="AN447">
        <v>84.543997695393998</v>
      </c>
      <c r="AO447">
        <v>30.456802108177055</v>
      </c>
      <c r="AP447">
        <v>177.04753312111814</v>
      </c>
      <c r="AQ447">
        <v>164.72533601338793</v>
      </c>
      <c r="AR447">
        <v>27.687948950483708</v>
      </c>
      <c r="AS447">
        <v>133.96150790658467</v>
      </c>
      <c r="AT447">
        <v>21.220116775412183</v>
      </c>
      <c r="AU447">
        <v>41.350398766760847</v>
      </c>
      <c r="AV447"/>
      <c r="AW447"/>
      <c r="FY447" s="211">
        <v>442</v>
      </c>
      <c r="FZ447">
        <v>1.4199040686115407</v>
      </c>
      <c r="GA447">
        <v>18.782439912837361</v>
      </c>
      <c r="GB447">
        <v>17.323917256471692</v>
      </c>
      <c r="GC447">
        <v>11.658167916801375</v>
      </c>
      <c r="GD447">
        <v>11.743595334733982</v>
      </c>
      <c r="GE447">
        <v>23.047871312335307</v>
      </c>
      <c r="GF447">
        <v>18.100704500364124</v>
      </c>
      <c r="GG447">
        <v>10.6782432264256</v>
      </c>
      <c r="GH447">
        <v>12.86559348275491</v>
      </c>
      <c r="GI447">
        <v>17.049215086610843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92"/>
        <v>21.00404780299629</v>
      </c>
      <c r="D448" s="191">
        <f>A$412</f>
        <v>4</v>
      </c>
      <c r="E448" s="8"/>
      <c r="F448" s="124"/>
      <c r="G448" s="173" t="str">
        <f t="shared" si="393"/>
        <v>0.000</v>
      </c>
      <c r="H448" s="173" t="str">
        <f t="shared" ref="H448:V448" si="407">IF(H430&lt;=0, "0.000", H430)</f>
        <v>0.000</v>
      </c>
      <c r="I448" s="173">
        <f t="shared" si="407"/>
        <v>0.8020330161375373</v>
      </c>
      <c r="J448" s="173">
        <f t="shared" si="407"/>
        <v>2.2867634807390149</v>
      </c>
      <c r="K448" s="173">
        <f t="shared" si="407"/>
        <v>5.2133602214317865</v>
      </c>
      <c r="L448" s="173">
        <f t="shared" si="407"/>
        <v>10.061199031765415</v>
      </c>
      <c r="M448" s="173">
        <f t="shared" si="407"/>
        <v>2.6406920529225335</v>
      </c>
      <c r="N448" s="173" t="str">
        <f t="shared" si="407"/>
        <v>0.000</v>
      </c>
      <c r="O448" s="173" t="str">
        <f t="shared" si="407"/>
        <v>0.000</v>
      </c>
      <c r="P448" s="173" t="str">
        <f t="shared" si="407"/>
        <v>0.000</v>
      </c>
      <c r="Q448" s="173" t="str">
        <f t="shared" si="407"/>
        <v>0.000</v>
      </c>
      <c r="R448" s="173" t="str">
        <f t="shared" si="407"/>
        <v>0.000</v>
      </c>
      <c r="S448" s="173" t="str">
        <f t="shared" si="407"/>
        <v>0.000</v>
      </c>
      <c r="T448" s="173" t="str">
        <f t="shared" si="407"/>
        <v>0.000</v>
      </c>
      <c r="U448" s="173" t="str">
        <f t="shared" si="407"/>
        <v>0.000</v>
      </c>
      <c r="V448" s="173" t="str">
        <f t="shared" si="407"/>
        <v>0.000</v>
      </c>
      <c r="W448" s="173" t="str">
        <f t="shared" ref="W448:AK448" si="408">IF(W430&lt;=0, "0.000", W430)</f>
        <v>0.000</v>
      </c>
      <c r="X448" s="173" t="str">
        <f t="shared" si="408"/>
        <v>0.000</v>
      </c>
      <c r="Y448" s="173" t="str">
        <f t="shared" si="408"/>
        <v>0.000</v>
      </c>
      <c r="Z448" s="173" t="str">
        <f t="shared" si="408"/>
        <v>0.000</v>
      </c>
      <c r="AA448" s="173" t="str">
        <f t="shared" si="408"/>
        <v>0.000</v>
      </c>
      <c r="AB448" s="173" t="str">
        <f t="shared" si="408"/>
        <v>0.000</v>
      </c>
      <c r="AC448" s="173" t="str">
        <f t="shared" si="408"/>
        <v>0.000</v>
      </c>
      <c r="AD448" s="173" t="str">
        <f t="shared" si="408"/>
        <v>0.000</v>
      </c>
      <c r="AE448" s="173" t="str">
        <f t="shared" si="408"/>
        <v>0.000</v>
      </c>
      <c r="AF448" s="173" t="str">
        <f t="shared" si="408"/>
        <v>0.000</v>
      </c>
      <c r="AG448" s="173" t="str">
        <f t="shared" si="408"/>
        <v>0.000</v>
      </c>
      <c r="AH448" s="173" t="str">
        <f t="shared" si="408"/>
        <v>0.000</v>
      </c>
      <c r="AI448" s="173" t="str">
        <f t="shared" si="408"/>
        <v>0.000</v>
      </c>
      <c r="AJ448" s="173" t="str">
        <f t="shared" si="408"/>
        <v>0.000</v>
      </c>
      <c r="AK448" s="173" t="str">
        <f t="shared" si="408"/>
        <v>0.000</v>
      </c>
      <c r="AL448" s="4"/>
      <c r="AM448" s="43">
        <v>432</v>
      </c>
      <c r="AN448">
        <v>75.689017673180246</v>
      </c>
      <c r="AO448">
        <v>30.174317309408259</v>
      </c>
      <c r="AP448">
        <v>186.05394184737514</v>
      </c>
      <c r="AQ448">
        <v>165.61227525623562</v>
      </c>
      <c r="AR448">
        <v>26.941427600196235</v>
      </c>
      <c r="AS448">
        <v>128.44386466473682</v>
      </c>
      <c r="AT448" t="e">
        <v>#DIV/0!</v>
      </c>
      <c r="AU448" t="e">
        <v>#DIV/0!</v>
      </c>
      <c r="AV448"/>
      <c r="AW448"/>
      <c r="FY448" s="211">
        <v>443</v>
      </c>
      <c r="FZ448">
        <v>5.4042185500010946</v>
      </c>
      <c r="GA448">
        <v>27.909516235372031</v>
      </c>
      <c r="GB448">
        <v>24.959393407757752</v>
      </c>
      <c r="GC448">
        <v>13.528575410700244</v>
      </c>
      <c r="GD448">
        <v>10.408251084250063</v>
      </c>
      <c r="GE448">
        <v>20.204179543218903</v>
      </c>
      <c r="GF448">
        <v>19.606157688839616</v>
      </c>
      <c r="GG448">
        <v>15.743924255629425</v>
      </c>
      <c r="GH448">
        <v>15.489461865596329</v>
      </c>
      <c r="GI448">
        <v>19.486445715818949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92"/>
        <v>15.155850499386023</v>
      </c>
      <c r="D449" s="191">
        <f>A$413</f>
        <v>7.33</v>
      </c>
      <c r="E449" s="8"/>
      <c r="F449" s="124"/>
      <c r="G449" s="173" t="str">
        <f t="shared" si="393"/>
        <v>0.000</v>
      </c>
      <c r="H449" s="173" t="str">
        <f t="shared" ref="H449:V449" si="409">IF(H431&lt;=0, "0.000", H431)</f>
        <v>0.000</v>
      </c>
      <c r="I449" s="173">
        <f t="shared" si="409"/>
        <v>1.0560440089161882</v>
      </c>
      <c r="J449" s="173">
        <f t="shared" si="409"/>
        <v>2.9304542785509708</v>
      </c>
      <c r="K449" s="173">
        <f t="shared" si="409"/>
        <v>5.6706880856935316</v>
      </c>
      <c r="L449" s="173">
        <f t="shared" si="409"/>
        <v>4.4295854584134418</v>
      </c>
      <c r="M449" s="173">
        <f t="shared" si="409"/>
        <v>1.0690786678118902</v>
      </c>
      <c r="N449" s="173" t="str">
        <f t="shared" si="409"/>
        <v>0.000</v>
      </c>
      <c r="O449" s="173" t="str">
        <f t="shared" si="409"/>
        <v>0.000</v>
      </c>
      <c r="P449" s="173" t="str">
        <f t="shared" si="409"/>
        <v>0.000</v>
      </c>
      <c r="Q449" s="173" t="str">
        <f t="shared" si="409"/>
        <v>0.000</v>
      </c>
      <c r="R449" s="173" t="str">
        <f t="shared" si="409"/>
        <v>0.000</v>
      </c>
      <c r="S449" s="173" t="str">
        <f t="shared" si="409"/>
        <v>0.000</v>
      </c>
      <c r="T449" s="173" t="str">
        <f t="shared" si="409"/>
        <v>0.000</v>
      </c>
      <c r="U449" s="173" t="str">
        <f t="shared" si="409"/>
        <v>0.000</v>
      </c>
      <c r="V449" s="173" t="str">
        <f t="shared" si="409"/>
        <v>0.000</v>
      </c>
      <c r="W449" s="173" t="str">
        <f t="shared" ref="W449:AK449" si="410">IF(W431&lt;=0, "0.000", W431)</f>
        <v>0.000</v>
      </c>
      <c r="X449" s="173" t="str">
        <f t="shared" si="410"/>
        <v>0.000</v>
      </c>
      <c r="Y449" s="173" t="str">
        <f t="shared" si="410"/>
        <v>0.000</v>
      </c>
      <c r="Z449" s="173" t="str">
        <f t="shared" si="410"/>
        <v>0.000</v>
      </c>
      <c r="AA449" s="173" t="str">
        <f t="shared" si="410"/>
        <v>0.000</v>
      </c>
      <c r="AB449" s="173" t="str">
        <f t="shared" si="410"/>
        <v>0.000</v>
      </c>
      <c r="AC449" s="173" t="str">
        <f t="shared" si="410"/>
        <v>0.000</v>
      </c>
      <c r="AD449" s="173" t="str">
        <f t="shared" si="410"/>
        <v>0.000</v>
      </c>
      <c r="AE449" s="173" t="str">
        <f t="shared" si="410"/>
        <v>0.000</v>
      </c>
      <c r="AF449" s="173" t="str">
        <f t="shared" si="410"/>
        <v>0.000</v>
      </c>
      <c r="AG449" s="173" t="str">
        <f t="shared" si="410"/>
        <v>0.000</v>
      </c>
      <c r="AH449" s="173" t="str">
        <f t="shared" si="410"/>
        <v>0.000</v>
      </c>
      <c r="AI449" s="173" t="str">
        <f t="shared" si="410"/>
        <v>0.000</v>
      </c>
      <c r="AJ449" s="173" t="str">
        <f t="shared" si="410"/>
        <v>0.000</v>
      </c>
      <c r="AK449" s="173" t="str">
        <f t="shared" si="410"/>
        <v>0.000</v>
      </c>
      <c r="AL449" s="4"/>
      <c r="AM449" s="43">
        <v>433</v>
      </c>
      <c r="AN449">
        <v>98.623316922726985</v>
      </c>
      <c r="AO449">
        <v>36.619027774721175</v>
      </c>
      <c r="AP449">
        <v>253.58410681322653</v>
      </c>
      <c r="AQ449">
        <v>211.5722445837846</v>
      </c>
      <c r="AR449">
        <v>33.205154851603943</v>
      </c>
      <c r="AS449">
        <v>165.46285392782556</v>
      </c>
      <c r="AT449" t="e">
        <v>#DIV/0!</v>
      </c>
      <c r="AU449" t="e">
        <v>#DIV/0!</v>
      </c>
      <c r="AV449"/>
      <c r="AW449"/>
      <c r="FY449" s="211">
        <v>444</v>
      </c>
      <c r="FZ449">
        <v>2.24307347096466</v>
      </c>
      <c r="GA449">
        <v>8.9170034928212552</v>
      </c>
      <c r="GB449">
        <v>23.072550335334803</v>
      </c>
      <c r="GC449">
        <v>17.573188812477564</v>
      </c>
      <c r="GD449">
        <v>12.15899826077529</v>
      </c>
      <c r="GE449">
        <v>21.044872756827399</v>
      </c>
      <c r="GF449">
        <v>22.506733376882174</v>
      </c>
      <c r="GG449">
        <v>17.345395889078226</v>
      </c>
      <c r="GH449">
        <v>12.007526972229883</v>
      </c>
      <c r="GI449">
        <v>19.593326008415946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92"/>
        <v>20.577203700150712</v>
      </c>
      <c r="D450" s="191">
        <f>A$414</f>
        <v>10.51</v>
      </c>
      <c r="E450" s="8"/>
      <c r="F450" s="124"/>
      <c r="G450" s="173" t="str">
        <f t="shared" si="393"/>
        <v>0.000</v>
      </c>
      <c r="H450" s="173" t="str">
        <f t="shared" ref="H450:V450" si="411">IF(H432&lt;=0, "0.000", H432)</f>
        <v>0.000</v>
      </c>
      <c r="I450" s="173">
        <f t="shared" si="411"/>
        <v>0.62795502077241294</v>
      </c>
      <c r="J450" s="173">
        <f t="shared" si="411"/>
        <v>1.0651626401715757</v>
      </c>
      <c r="K450" s="173">
        <f t="shared" si="411"/>
        <v>9.150281027908866</v>
      </c>
      <c r="L450" s="173">
        <f t="shared" si="411"/>
        <v>8.0397766167102986</v>
      </c>
      <c r="M450" s="173">
        <f t="shared" si="411"/>
        <v>1.0713512991813188</v>
      </c>
      <c r="N450" s="173">
        <f t="shared" si="411"/>
        <v>0.62267709540623883</v>
      </c>
      <c r="O450" s="173" t="str">
        <f t="shared" si="411"/>
        <v>0.000</v>
      </c>
      <c r="P450" s="173" t="str">
        <f t="shared" si="411"/>
        <v>0.000</v>
      </c>
      <c r="Q450" s="173" t="str">
        <f t="shared" si="411"/>
        <v>0.000</v>
      </c>
      <c r="R450" s="173" t="str">
        <f t="shared" si="411"/>
        <v>0.000</v>
      </c>
      <c r="S450" s="173" t="str">
        <f t="shared" si="411"/>
        <v>0.000</v>
      </c>
      <c r="T450" s="173" t="str">
        <f t="shared" si="411"/>
        <v>0.000</v>
      </c>
      <c r="U450" s="173" t="str">
        <f t="shared" si="411"/>
        <v>0.000</v>
      </c>
      <c r="V450" s="173" t="str">
        <f t="shared" si="411"/>
        <v>0.000</v>
      </c>
      <c r="W450" s="173" t="str">
        <f t="shared" ref="W450:AK450" si="412">IF(W432&lt;=0, "0.000", W432)</f>
        <v>0.000</v>
      </c>
      <c r="X450" s="173" t="str">
        <f t="shared" si="412"/>
        <v>0.000</v>
      </c>
      <c r="Y450" s="173" t="str">
        <f t="shared" si="412"/>
        <v>0.000</v>
      </c>
      <c r="Z450" s="173" t="str">
        <f t="shared" si="412"/>
        <v>0.000</v>
      </c>
      <c r="AA450" s="173" t="str">
        <f t="shared" si="412"/>
        <v>0.000</v>
      </c>
      <c r="AB450" s="173" t="str">
        <f t="shared" si="412"/>
        <v>0.000</v>
      </c>
      <c r="AC450" s="173" t="str">
        <f t="shared" si="412"/>
        <v>0.000</v>
      </c>
      <c r="AD450" s="173" t="str">
        <f t="shared" si="412"/>
        <v>0.000</v>
      </c>
      <c r="AE450" s="173" t="str">
        <f t="shared" si="412"/>
        <v>0.000</v>
      </c>
      <c r="AF450" s="173" t="str">
        <f t="shared" si="412"/>
        <v>0.000</v>
      </c>
      <c r="AG450" s="173" t="str">
        <f t="shared" si="412"/>
        <v>0.000</v>
      </c>
      <c r="AH450" s="173" t="str">
        <f t="shared" si="412"/>
        <v>0.000</v>
      </c>
      <c r="AI450" s="173" t="str">
        <f t="shared" si="412"/>
        <v>0.000</v>
      </c>
      <c r="AJ450" s="173" t="str">
        <f t="shared" si="412"/>
        <v>0.000</v>
      </c>
      <c r="AK450" s="173" t="str">
        <f t="shared" si="412"/>
        <v>0.000</v>
      </c>
      <c r="AL450" s="4"/>
      <c r="AM450" s="43">
        <v>434</v>
      </c>
      <c r="AN450">
        <v>56.643048987594639</v>
      </c>
      <c r="AO450">
        <v>22.75882349379928</v>
      </c>
      <c r="AP450">
        <v>137.26604767750374</v>
      </c>
      <c r="AQ450">
        <v>123.31060973210691</v>
      </c>
      <c r="AR450">
        <v>20.915823994598806</v>
      </c>
      <c r="AS450">
        <v>98.193201080873834</v>
      </c>
      <c r="AT450">
        <v>15.38611801393</v>
      </c>
      <c r="AU450">
        <v>20.605470569073599</v>
      </c>
      <c r="AV450"/>
      <c r="AW450"/>
      <c r="FY450" s="211">
        <v>445</v>
      </c>
      <c r="FZ450">
        <v>1.9028810366348623</v>
      </c>
      <c r="GA450">
        <v>6.447279597858147</v>
      </c>
      <c r="GB450">
        <v>26.012021050144746</v>
      </c>
      <c r="GC450">
        <v>19.577184984964852</v>
      </c>
      <c r="GD450">
        <v>11.081019242095294</v>
      </c>
      <c r="GE450">
        <v>19.702856317693424</v>
      </c>
      <c r="GF450">
        <v>21.758305115870417</v>
      </c>
      <c r="GG450">
        <v>14.689845010428277</v>
      </c>
      <c r="GH450">
        <v>9.5883623667254181</v>
      </c>
      <c r="GI450">
        <v>19.159885130602429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74.731437421827408</v>
      </c>
      <c r="AO451">
        <v>29.868011588523892</v>
      </c>
      <c r="AP451">
        <v>211.06637299886702</v>
      </c>
      <c r="AQ451">
        <v>177.58013475138938</v>
      </c>
      <c r="AR451">
        <v>27.484302630468353</v>
      </c>
      <c r="AS451">
        <v>125.34523617449902</v>
      </c>
      <c r="AT451" t="e">
        <v>#DIV/0!</v>
      </c>
      <c r="AU451" t="e">
        <v>#DIV/0!</v>
      </c>
      <c r="AV451"/>
      <c r="AW451"/>
      <c r="FY451" s="211">
        <v>446</v>
      </c>
      <c r="FZ451">
        <v>0.86515886121491892</v>
      </c>
      <c r="GA451">
        <v>10.719428647311657</v>
      </c>
      <c r="GB451">
        <v>8.6847186345987222</v>
      </c>
      <c r="GC451">
        <v>9.3560027994968529</v>
      </c>
      <c r="GD451">
        <v>11.256147647779883</v>
      </c>
      <c r="GE451">
        <v>20.770154722086595</v>
      </c>
      <c r="GF451">
        <v>23.36736535480431</v>
      </c>
      <c r="GG451">
        <v>15.287367299683142</v>
      </c>
      <c r="GH451">
        <v>12.251481708554225</v>
      </c>
      <c r="GI451">
        <v>15.446385019155658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91.669586362781843</v>
      </c>
      <c r="AO452">
        <v>37.30400387094663</v>
      </c>
      <c r="AP452">
        <v>265.86117688410013</v>
      </c>
      <c r="AQ452">
        <v>220.91176953629002</v>
      </c>
      <c r="AR452">
        <v>34.255463265279147</v>
      </c>
      <c r="AS452">
        <v>157.42880987528068</v>
      </c>
      <c r="AT452">
        <v>25.103055321748631</v>
      </c>
      <c r="AU452">
        <v>26.328784002039363</v>
      </c>
      <c r="AV452"/>
      <c r="AW452"/>
      <c r="FY452" s="211">
        <v>447</v>
      </c>
      <c r="FZ452">
        <v>4.6180888570029879</v>
      </c>
      <c r="GA452">
        <v>17.924574928633223</v>
      </c>
      <c r="GB452">
        <v>19.428926183695552</v>
      </c>
      <c r="GC452">
        <v>14.749647771958632</v>
      </c>
      <c r="GD452">
        <v>13.585807847332052</v>
      </c>
      <c r="GE452">
        <v>27.860819585224803</v>
      </c>
      <c r="GF452">
        <v>35.277517843261073</v>
      </c>
      <c r="GG452">
        <v>24.103154933568472</v>
      </c>
      <c r="GH452">
        <v>16.747618809632126</v>
      </c>
      <c r="GI452">
        <v>23.090597320850126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168.93327624651366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70.229675844534015</v>
      </c>
      <c r="AO453">
        <v>28.945161972087437</v>
      </c>
      <c r="AP453">
        <v>176.14041149180352</v>
      </c>
      <c r="AQ453">
        <v>158.01175751412146</v>
      </c>
      <c r="AR453">
        <v>26.245453595224092</v>
      </c>
      <c r="AS453">
        <v>123.2513461119253</v>
      </c>
      <c r="AT453" t="e">
        <v>#DIV/0!</v>
      </c>
      <c r="AU453" t="e">
        <v>#DIV/0!</v>
      </c>
      <c r="AV453"/>
      <c r="AW453"/>
      <c r="FY453" s="211">
        <v>448</v>
      </c>
      <c r="FZ453">
        <v>2.6375013916638865</v>
      </c>
      <c r="GA453">
        <v>15.635961022701178</v>
      </c>
      <c r="GB453">
        <v>14.293677604821752</v>
      </c>
      <c r="GC453">
        <v>8.8401932885515357</v>
      </c>
      <c r="GD453">
        <v>9.0516871433821429</v>
      </c>
      <c r="GE453">
        <v>25.827614205740204</v>
      </c>
      <c r="GF453">
        <v>31.986365686831462</v>
      </c>
      <c r="GG453">
        <v>22.742836556327195</v>
      </c>
      <c r="GH453">
        <v>23.570165766880425</v>
      </c>
      <c r="GI453">
        <v>19.188672451739397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73.80923403152994</v>
      </c>
      <c r="AO454">
        <v>25.101653195015949</v>
      </c>
      <c r="AP454">
        <v>153.48673701067881</v>
      </c>
      <c r="AQ454">
        <v>133.18327098066203</v>
      </c>
      <c r="AR454">
        <v>23.087480644022452</v>
      </c>
      <c r="AS454">
        <v>114.53036273917414</v>
      </c>
      <c r="AT454">
        <v>16.581406060865341</v>
      </c>
      <c r="AU454">
        <v>15.376556721282396</v>
      </c>
      <c r="AV454"/>
      <c r="AW454"/>
      <c r="FY454" s="211">
        <v>449</v>
      </c>
      <c r="FZ454">
        <v>1.7746892162352155</v>
      </c>
      <c r="GA454">
        <v>10.639137963110993</v>
      </c>
      <c r="GB454">
        <v>9.1299953625545154</v>
      </c>
      <c r="GC454">
        <v>5.9018095560031982</v>
      </c>
      <c r="GD454">
        <v>6.8855906896027337</v>
      </c>
      <c r="GE454">
        <v>22.720275265057325</v>
      </c>
      <c r="GF454">
        <v>29.366519047258553</v>
      </c>
      <c r="GG454">
        <v>10.196150658647165</v>
      </c>
      <c r="GH454">
        <v>6.8972780969512941</v>
      </c>
      <c r="GI454">
        <v>13.369373284291832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9"/>
      <c r="P455" s="229"/>
      <c r="Q455" s="229"/>
      <c r="R455" s="22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103.62958774801064</v>
      </c>
      <c r="AO455">
        <v>36.381396285807128</v>
      </c>
      <c r="AP455">
        <v>243.91179739969041</v>
      </c>
      <c r="AQ455">
        <v>203.06150234229696</v>
      </c>
      <c r="AR455">
        <v>33.259254404156238</v>
      </c>
      <c r="AS455">
        <v>158.66227950247969</v>
      </c>
      <c r="AT455" t="e">
        <v>#DIV/0!</v>
      </c>
      <c r="AU455" t="e">
        <v>#DIV/0!</v>
      </c>
      <c r="AV455"/>
      <c r="AW455"/>
      <c r="FY455" s="211">
        <v>450</v>
      </c>
      <c r="FZ455">
        <v>3.5758992529977425</v>
      </c>
      <c r="GA455">
        <v>16.101302191698966</v>
      </c>
      <c r="GB455">
        <v>24.727895858951257</v>
      </c>
      <c r="GC455">
        <v>17.355062446257122</v>
      </c>
      <c r="GD455">
        <v>9.3774047395692666</v>
      </c>
      <c r="GE455">
        <v>15.319553493737001</v>
      </c>
      <c r="GF455">
        <v>20.578536470006366</v>
      </c>
      <c r="GG455">
        <v>17.955808527166528</v>
      </c>
      <c r="GH455">
        <v>16.595205871234725</v>
      </c>
      <c r="GI455">
        <v>18.916257652609975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90.254457245582429</v>
      </c>
      <c r="AO456">
        <v>36.163606755751438</v>
      </c>
      <c r="AP456">
        <v>264.28786474474208</v>
      </c>
      <c r="AQ456">
        <v>216.06949144979998</v>
      </c>
      <c r="AR456">
        <v>32.635063644778839</v>
      </c>
      <c r="AS456">
        <v>153.5103250994496</v>
      </c>
      <c r="AT456">
        <v>24.852001508399699</v>
      </c>
      <c r="AU456">
        <v>38.453648742569015</v>
      </c>
      <c r="AV456"/>
      <c r="AW456"/>
      <c r="FY456" s="211">
        <v>451</v>
      </c>
      <c r="FZ456">
        <v>6.156031854201518</v>
      </c>
      <c r="GA456">
        <v>15.068839576859544</v>
      </c>
      <c r="GB456">
        <v>9.7387434126759445</v>
      </c>
      <c r="GC456">
        <v>13.539566548290253</v>
      </c>
      <c r="GD456">
        <v>15.419833437000745</v>
      </c>
      <c r="GE456">
        <v>17.388581276753179</v>
      </c>
      <c r="GF456">
        <v>10.780167299011731</v>
      </c>
      <c r="GG456">
        <v>26.709664539742093</v>
      </c>
      <c r="GH456">
        <v>29.480582386914481</v>
      </c>
      <c r="GI456">
        <v>19.341435521252624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1.5417974037186632E-3</v>
      </c>
      <c r="F457" s="102">
        <f>+D457-D459</f>
        <v>0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62.100337814723595</v>
      </c>
      <c r="AO457">
        <v>23.880033776810023</v>
      </c>
      <c r="AP457">
        <v>158.68245210488536</v>
      </c>
      <c r="AQ457">
        <v>136.86463001298983</v>
      </c>
      <c r="AR457">
        <v>21.789217640400299</v>
      </c>
      <c r="AS457">
        <v>100.27111597891293</v>
      </c>
      <c r="AT457" t="e">
        <v>#DIV/0!</v>
      </c>
      <c r="AU457" t="e">
        <v>#DIV/0!</v>
      </c>
      <c r="AV457"/>
      <c r="AW457"/>
      <c r="FY457" s="211">
        <v>452</v>
      </c>
      <c r="FZ457">
        <v>2.4929048794707458</v>
      </c>
      <c r="GA457">
        <v>15.604789861870477</v>
      </c>
      <c r="GB457">
        <v>25.281215074609584</v>
      </c>
      <c r="GC457">
        <v>19.262109645679679</v>
      </c>
      <c r="GD457">
        <v>13.290214846267443</v>
      </c>
      <c r="GE457">
        <v>15.921060766243233</v>
      </c>
      <c r="GF457">
        <v>17.028065629617839</v>
      </c>
      <c r="GG457">
        <v>20.91784829116072</v>
      </c>
      <c r="GH457">
        <v>16.320187645327145</v>
      </c>
      <c r="GI457">
        <v>20.525784070777913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3.8981799853906682E-3</v>
      </c>
      <c r="I458" s="101">
        <f>+H458*F457</f>
        <v>0</v>
      </c>
      <c r="J458" s="101">
        <f>+I458*$A$440</f>
        <v>0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68.334413603666562</v>
      </c>
      <c r="AO458">
        <v>25.876475626952772</v>
      </c>
      <c r="AP458">
        <v>161.32737755971738</v>
      </c>
      <c r="AQ458">
        <v>142.66965209794674</v>
      </c>
      <c r="AR458">
        <v>23.227952053791231</v>
      </c>
      <c r="AS458">
        <v>117.3683174992324</v>
      </c>
      <c r="AT458" t="e">
        <v>#DIV/0!</v>
      </c>
      <c r="AU458" t="e">
        <v>#DIV/0!</v>
      </c>
      <c r="AV458"/>
      <c r="AW458"/>
      <c r="FY458" s="211">
        <v>453</v>
      </c>
      <c r="FZ458">
        <v>4.6018781054961551</v>
      </c>
      <c r="GA458">
        <v>16.444729630906082</v>
      </c>
      <c r="GB458">
        <v>21.207008591820486</v>
      </c>
      <c r="GC458">
        <v>14.187673790207342</v>
      </c>
      <c r="GD458">
        <v>14.12640035361766</v>
      </c>
      <c r="GE458">
        <v>28.027597022662089</v>
      </c>
      <c r="GF458">
        <v>29.663774356016997</v>
      </c>
      <c r="GG458">
        <v>21.285824407207969</v>
      </c>
      <c r="GH458">
        <v>10.538678614166441</v>
      </c>
      <c r="GI458">
        <v>21.813917524641806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0</v>
      </c>
      <c r="E459" s="97">
        <f>+H36</f>
        <v>9.8559040000000004E-3</v>
      </c>
      <c r="F459" s="102">
        <f>+D459-D461</f>
        <v>-13.694694383273822</v>
      </c>
      <c r="G459" s="101">
        <f>+D459*E459</f>
        <v>0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89.661416840988565</v>
      </c>
      <c r="AO459">
        <v>29.499627804230393</v>
      </c>
      <c r="AP459">
        <v>205.94106304347801</v>
      </c>
      <c r="AQ459">
        <v>172.74012375718442</v>
      </c>
      <c r="AR459">
        <v>26.847783274599713</v>
      </c>
      <c r="AS459">
        <v>138.26749005110992</v>
      </c>
      <c r="AT459">
        <v>19.704844894570883</v>
      </c>
      <c r="AU459">
        <v>47.581838849495014</v>
      </c>
      <c r="AV459"/>
      <c r="AW459"/>
      <c r="FY459" s="211">
        <v>454</v>
      </c>
      <c r="FZ459">
        <v>7.8716124137131782</v>
      </c>
      <c r="GA459">
        <v>28.220458146486536</v>
      </c>
      <c r="GB459">
        <v>37.216855103673261</v>
      </c>
      <c r="GC459">
        <v>19.820091228648089</v>
      </c>
      <c r="GD459">
        <v>11.598092323542842</v>
      </c>
      <c r="GE459">
        <v>22.890415862809924</v>
      </c>
      <c r="GF459">
        <v>24.700078066252082</v>
      </c>
      <c r="GG459">
        <v>18.93720761708888</v>
      </c>
      <c r="GH459">
        <v>10.431503829257299</v>
      </c>
      <c r="GI459">
        <v>23.828251779335311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2.4919024781119986E-2</v>
      </c>
      <c r="I460" s="101">
        <f>+H460*F459</f>
        <v>-0.34125842870666506</v>
      </c>
      <c r="J460" s="101">
        <f>+I460*$A$440</f>
        <v>-2.3888090009466554</v>
      </c>
      <c r="K460" s="61">
        <f>IF(AND(J460&lt;0, J458&lt;0), 0, J460)</f>
        <v>-2.3888090009466554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76.943778055519189</v>
      </c>
      <c r="AO460">
        <v>29.640759229761869</v>
      </c>
      <c r="AP460">
        <v>181.54132319372749</v>
      </c>
      <c r="AQ460">
        <v>156.4626693758072</v>
      </c>
      <c r="AR460">
        <v>27.109799731633899</v>
      </c>
      <c r="AS460">
        <v>130.91504116276116</v>
      </c>
      <c r="AT460">
        <v>19.868737109555731</v>
      </c>
      <c r="AU460">
        <v>24.074502385099741</v>
      </c>
      <c r="AV460"/>
      <c r="AW460"/>
      <c r="FY460" s="211">
        <v>455</v>
      </c>
      <c r="FZ460">
        <v>1.2343646654040867</v>
      </c>
      <c r="GA460">
        <v>14.124738076744343</v>
      </c>
      <c r="GB460">
        <v>28.142654997355415</v>
      </c>
      <c r="GC460">
        <v>19.639337406274976</v>
      </c>
      <c r="GD460">
        <v>14.068269429511481</v>
      </c>
      <c r="GE460">
        <v>21.69821013442375</v>
      </c>
      <c r="GF460">
        <v>17.587398753610561</v>
      </c>
      <c r="GG460">
        <v>19.576791695716835</v>
      </c>
      <c r="GH460">
        <v>21.127264004637741</v>
      </c>
      <c r="GI460">
        <v>22.441163685548077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13.694694383273822</v>
      </c>
      <c r="E461" s="97">
        <f>+I36</f>
        <v>6.3003636809172647E-2</v>
      </c>
      <c r="F461" s="102">
        <f>+D461-D463</f>
        <v>5.7871753150404688</v>
      </c>
      <c r="G461" s="101">
        <f>+D461*E461</f>
        <v>0.8628155511364004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69.036139712616333</v>
      </c>
      <c r="AO461">
        <v>29.228377265116741</v>
      </c>
      <c r="AP461">
        <v>177.72647129681414</v>
      </c>
      <c r="AQ461">
        <v>149.91963985301786</v>
      </c>
      <c r="AR461">
        <v>26.560465889531098</v>
      </c>
      <c r="AS461">
        <v>128.34654458655837</v>
      </c>
      <c r="AT461" t="e">
        <v>#DIV/0!</v>
      </c>
      <c r="AU461" t="e">
        <v>#DIV/0!</v>
      </c>
      <c r="AV461"/>
      <c r="AW461"/>
      <c r="FY461" s="211">
        <v>456</v>
      </c>
      <c r="FZ461">
        <v>1.4592918776743091</v>
      </c>
      <c r="GA461">
        <v>6.1119544260461769</v>
      </c>
      <c r="GB461">
        <v>24.997650281293073</v>
      </c>
      <c r="GC461">
        <v>19.155347918843386</v>
      </c>
      <c r="GD461">
        <v>9.7446624311251906</v>
      </c>
      <c r="GE461">
        <v>19.859835831772834</v>
      </c>
      <c r="GF461">
        <v>27.403280772293137</v>
      </c>
      <c r="GG461">
        <v>18.771563276818185</v>
      </c>
      <c r="GH461">
        <v>13.210294957878022</v>
      </c>
      <c r="GI461">
        <v>19.645777962418272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0.10839487304038473</v>
      </c>
      <c r="I462" s="101">
        <f>+H462*F461</f>
        <v>0.62730013353626013</v>
      </c>
      <c r="J462" s="101">
        <f>+I462*$A$440</f>
        <v>4.3911009347538208</v>
      </c>
      <c r="K462" s="61">
        <f>IF(AND(J462&lt;0, J460&lt;0), 0, J462)</f>
        <v>4.3911009347538208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51.372663859073739</v>
      </c>
      <c r="AO462">
        <v>23.431395913397399</v>
      </c>
      <c r="AP462">
        <v>143.9601698472419</v>
      </c>
      <c r="AQ462">
        <v>128.00421069468598</v>
      </c>
      <c r="AR462">
        <v>21.118574370707954</v>
      </c>
      <c r="AS462">
        <v>133.16058693727547</v>
      </c>
      <c r="AT462">
        <v>16.920681391515519</v>
      </c>
      <c r="AU462">
        <v>34.12059250878815</v>
      </c>
      <c r="AV462"/>
      <c r="AW462"/>
      <c r="FY462" s="211">
        <v>457</v>
      </c>
      <c r="FZ462">
        <v>4.3608379285240595</v>
      </c>
      <c r="GA462">
        <v>12.062660359668666</v>
      </c>
      <c r="GB462">
        <v>28.45730920918275</v>
      </c>
      <c r="GC462">
        <v>22.862449528101077</v>
      </c>
      <c r="GD462">
        <v>13.369409088160484</v>
      </c>
      <c r="GE462">
        <v>18.710122369427111</v>
      </c>
      <c r="GF462">
        <v>16.850901375039722</v>
      </c>
      <c r="GG462">
        <v>14.939033363941023</v>
      </c>
      <c r="GH462">
        <v>13.390048627069632</v>
      </c>
      <c r="GI462">
        <v>21.151239834596826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7.9075190682333529</v>
      </c>
      <c r="E463" s="97">
        <f>+J36</f>
        <v>0.18648841712151018</v>
      </c>
      <c r="F463" s="102">
        <f>+D463-D465</f>
        <v>-22.960815525470714</v>
      </c>
      <c r="G463" s="101">
        <f>+D463*E463</f>
        <v>1.4746607143929971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87.117399087822463</v>
      </c>
      <c r="AO463">
        <v>34.958155851641457</v>
      </c>
      <c r="AP463">
        <v>231.1592502744183</v>
      </c>
      <c r="AQ463">
        <v>197.38675408115904</v>
      </c>
      <c r="AR463">
        <v>31.709486281069236</v>
      </c>
      <c r="AS463">
        <v>141.22261517002511</v>
      </c>
      <c r="AT463">
        <v>24.357480912289869</v>
      </c>
      <c r="AU463">
        <v>58.735497054817792</v>
      </c>
      <c r="AV463"/>
      <c r="AW463"/>
      <c r="FY463" s="211">
        <v>458</v>
      </c>
      <c r="FZ463">
        <v>10.659731414185542</v>
      </c>
      <c r="GA463">
        <v>17.90442796499854</v>
      </c>
      <c r="GB463">
        <v>22.582548497638864</v>
      </c>
      <c r="GC463">
        <v>16.162684494437233</v>
      </c>
      <c r="GD463">
        <v>10.654346546613299</v>
      </c>
      <c r="GE463">
        <v>25.898124169312048</v>
      </c>
      <c r="GF463">
        <v>42.278030610086972</v>
      </c>
      <c r="GG463">
        <v>30.550128816943907</v>
      </c>
      <c r="GH463">
        <v>16.167774706929748</v>
      </c>
      <c r="GI463">
        <v>24.199673188179567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0.27405852648724072</v>
      </c>
      <c r="I464" s="101">
        <f>+H464*F463</f>
        <v>-6.2926072698558633</v>
      </c>
      <c r="J464" s="101">
        <f>+I464*$A$440</f>
        <v>-44.048250888991042</v>
      </c>
      <c r="K464" s="61">
        <f>IF(AND(J464&lt;0, J462&lt;0), 0, J464)</f>
        <v>-44.048250888991042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79.23560321885644</v>
      </c>
      <c r="AO464">
        <v>28.847544115860625</v>
      </c>
      <c r="AP464">
        <v>205.92132429717907</v>
      </c>
      <c r="AQ464">
        <v>173.77467511863918</v>
      </c>
      <c r="AR464">
        <v>25.878420363652648</v>
      </c>
      <c r="AS464">
        <v>122.46401552876449</v>
      </c>
      <c r="AT464">
        <v>19.684344222315183</v>
      </c>
      <c r="AU464">
        <v>30.466408195164639</v>
      </c>
      <c r="AV464"/>
      <c r="AW464"/>
      <c r="FY464" s="211">
        <v>459</v>
      </c>
      <c r="FZ464">
        <v>4.8649405670174524</v>
      </c>
      <c r="GA464">
        <v>14.744735028204557</v>
      </c>
      <c r="GB464">
        <v>21.850584445396091</v>
      </c>
      <c r="GC464">
        <v>20.828099912610696</v>
      </c>
      <c r="GD464">
        <v>12.997463559599971</v>
      </c>
      <c r="GE464">
        <v>19.801928409159824</v>
      </c>
      <c r="GF464">
        <v>27.660152645973366</v>
      </c>
      <c r="GG464">
        <v>17.324171753518517</v>
      </c>
      <c r="GH464">
        <v>13.152521936855665</v>
      </c>
      <c r="GI464">
        <v>21.336349523055485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30.868334593704066</v>
      </c>
      <c r="E465" s="97">
        <f>+K36</f>
        <v>0.40274928116001696</v>
      </c>
      <c r="F465" s="102">
        <f>+D465-D467</f>
        <v>15.476211835509877</v>
      </c>
      <c r="G465" s="101">
        <f>+D465*E465</f>
        <v>12.432199568221197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53.121069594360748</v>
      </c>
      <c r="AO465">
        <v>20.21003813933925</v>
      </c>
      <c r="AP465">
        <v>136.39416250530599</v>
      </c>
      <c r="AQ465">
        <v>116.88081913971283</v>
      </c>
      <c r="AR465">
        <v>17.75264949859633</v>
      </c>
      <c r="AS465">
        <v>82.60179494371792</v>
      </c>
      <c r="AT465">
        <v>13.990295563485263</v>
      </c>
      <c r="AU465">
        <v>32.057287514515004</v>
      </c>
      <c r="AV465"/>
      <c r="AW465"/>
      <c r="FY465" s="211">
        <v>460</v>
      </c>
      <c r="FZ465">
        <v>2.8274438532737221</v>
      </c>
      <c r="GA465">
        <v>16.271901141689597</v>
      </c>
      <c r="GB465">
        <v>18.291052544790656</v>
      </c>
      <c r="GC465">
        <v>15.631079250786978</v>
      </c>
      <c r="GD465">
        <v>12.14426881356561</v>
      </c>
      <c r="GE465">
        <v>17.450939524041416</v>
      </c>
      <c r="GF465">
        <v>25.996285318523192</v>
      </c>
      <c r="GG465">
        <v>17.08246689812928</v>
      </c>
      <c r="GH465">
        <v>5.940974655009402</v>
      </c>
      <c r="GI465">
        <v>18.199980361195617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0.54289837531398055</v>
      </c>
      <c r="I466" s="101">
        <f>+H466*F465</f>
        <v>8.4020102615133094</v>
      </c>
      <c r="J466" s="101">
        <f>+I466*$A$440</f>
        <v>58.814071830593164</v>
      </c>
      <c r="K466" s="61">
        <f>IF(AND(J466&lt;0, J464&lt;0), 0, J466)</f>
        <v>58.814071830593164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73.584362564403918</v>
      </c>
      <c r="AO466">
        <v>28.645508761068601</v>
      </c>
      <c r="AP466">
        <v>194.76829299279581</v>
      </c>
      <c r="AQ466">
        <v>160.50292650422895</v>
      </c>
      <c r="AR466">
        <v>26.151014822461782</v>
      </c>
      <c r="AS466">
        <v>114.92914907205335</v>
      </c>
      <c r="AT466">
        <v>19.048204311380221</v>
      </c>
      <c r="AU466">
        <v>10.778796760186165</v>
      </c>
      <c r="AV466"/>
      <c r="AW466"/>
      <c r="FY466" s="211">
        <v>461</v>
      </c>
      <c r="FZ466">
        <v>4.805364554865128</v>
      </c>
      <c r="GA466">
        <v>19.287902712723167</v>
      </c>
      <c r="GB466">
        <v>16.966110001642768</v>
      </c>
      <c r="GC466">
        <v>12.267621657906904</v>
      </c>
      <c r="GD466">
        <v>11.319229302970493</v>
      </c>
      <c r="GE466">
        <v>23.032006945652228</v>
      </c>
      <c r="GF466">
        <v>28.743236490673404</v>
      </c>
      <c r="GG466">
        <v>24.267321584226114</v>
      </c>
      <c r="GH466">
        <v>20.518866219734022</v>
      </c>
      <c r="GI466">
        <v>20.41528651188127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15.392122758194189</v>
      </c>
      <c r="E467" s="97">
        <f>L36</f>
        <v>0.73181669019902384</v>
      </c>
      <c r="F467" s="102">
        <f>+D467-D469</f>
        <v>14.145601422387138</v>
      </c>
      <c r="G467" s="101">
        <f>+D467*E467</f>
        <v>11.264212332038742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77.985360884805374</v>
      </c>
      <c r="AO467">
        <v>29.302243586839801</v>
      </c>
      <c r="AP467">
        <v>179.66406486466474</v>
      </c>
      <c r="AQ467">
        <v>163.62344585270213</v>
      </c>
      <c r="AR467">
        <v>27.191838361964258</v>
      </c>
      <c r="AS467">
        <v>133.22247287536922</v>
      </c>
      <c r="AT467">
        <v>20.071904917102618</v>
      </c>
      <c r="AU467">
        <v>16.665237785380249</v>
      </c>
      <c r="AV467"/>
      <c r="AW467"/>
      <c r="FY467" s="211">
        <v>462</v>
      </c>
      <c r="FZ467">
        <v>1.6039974903344221</v>
      </c>
      <c r="GA467">
        <v>5.3769040994005257</v>
      </c>
      <c r="GB467">
        <v>15.3258863957205</v>
      </c>
      <c r="GC467">
        <v>14.854521240002573</v>
      </c>
      <c r="GD467">
        <v>11.340402877069907</v>
      </c>
      <c r="GE467">
        <v>16.479865278518623</v>
      </c>
      <c r="GF467">
        <v>19.034393076409931</v>
      </c>
      <c r="GG467">
        <v>18.812830481854395</v>
      </c>
      <c r="GH467">
        <v>13.370580701007089</v>
      </c>
      <c r="GI467">
        <v>16.637257909067163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0.93403180270733999</v>
      </c>
      <c r="I468" s="101">
        <f>+H468*F467</f>
        <v>13.212441596931772</v>
      </c>
      <c r="J468" s="101">
        <f>+I468*$A$440</f>
        <v>92.487091178522405</v>
      </c>
      <c r="K468" s="61">
        <f>IF(AND(J468&lt;0, J466&lt;0), 0, J468)</f>
        <v>92.487091178522405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79.632502117377314</v>
      </c>
      <c r="AO468">
        <v>31.076091521070406</v>
      </c>
      <c r="AP468">
        <v>195.78305503224743</v>
      </c>
      <c r="AQ468">
        <v>166.64418071102477</v>
      </c>
      <c r="AR468">
        <v>28.79774620338328</v>
      </c>
      <c r="AS468">
        <v>135.05701205843451</v>
      </c>
      <c r="AT468">
        <v>20.577629726594097</v>
      </c>
      <c r="AU468">
        <v>31.262982864916847</v>
      </c>
      <c r="AV468"/>
      <c r="AW468"/>
      <c r="FY468" s="211">
        <v>463</v>
      </c>
      <c r="FZ468">
        <v>4.7549741221316646</v>
      </c>
      <c r="GA468">
        <v>22.559025845982092</v>
      </c>
      <c r="GB468">
        <v>46.28017242112503</v>
      </c>
      <c r="GC468">
        <v>25.437660537167943</v>
      </c>
      <c r="GD468">
        <v>11.524133550096067</v>
      </c>
      <c r="GE468">
        <v>27.525046537655694</v>
      </c>
      <c r="GF468">
        <v>36.816916700626471</v>
      </c>
      <c r="GG468">
        <v>19.242206402740411</v>
      </c>
      <c r="GH468">
        <v>7.2170294639290624</v>
      </c>
      <c r="GI468">
        <v>27.33569684942454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1.2465213358070502</v>
      </c>
      <c r="E469" s="97">
        <f>M36</f>
        <v>1.192122863761774</v>
      </c>
      <c r="F469" s="102">
        <f>+D469-D471</f>
        <v>0.71505875077303649</v>
      </c>
      <c r="G469" s="101">
        <f>+D469*E469</f>
        <v>1.4860065845824526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84.122884353221167</v>
      </c>
      <c r="AO469">
        <v>33.134923937892012</v>
      </c>
      <c r="AP469">
        <v>208.97607338443629</v>
      </c>
      <c r="AQ469">
        <v>181.89748239674299</v>
      </c>
      <c r="AR469">
        <v>30.187358783659811</v>
      </c>
      <c r="AS469">
        <v>138.88266947309958</v>
      </c>
      <c r="AT469">
        <v>22.919420064003248</v>
      </c>
      <c r="AU469">
        <v>31.346422916806475</v>
      </c>
      <c r="AV469"/>
      <c r="AW469"/>
      <c r="FY469" s="211">
        <v>464</v>
      </c>
      <c r="FZ469">
        <v>2.5465688954747048</v>
      </c>
      <c r="GA469">
        <v>11.480979843902739</v>
      </c>
      <c r="GB469">
        <v>19.4959034294837</v>
      </c>
      <c r="GC469">
        <v>15.108076173593492</v>
      </c>
      <c r="GD469">
        <v>9.8853791295396221</v>
      </c>
      <c r="GE469">
        <v>20.129047057246105</v>
      </c>
      <c r="GF469">
        <v>33.912876944284164</v>
      </c>
      <c r="GG469">
        <v>18.405711720024964</v>
      </c>
      <c r="GH469">
        <v>6.0620094391510833</v>
      </c>
      <c r="GI469">
        <v>18.5716986517733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1.4652386787075931</v>
      </c>
      <c r="I470" s="101">
        <f>+H470*F469</f>
        <v>1.0477317391809862</v>
      </c>
      <c r="J470" s="101">
        <f>+I470*$A$440</f>
        <v>7.3341221742669029</v>
      </c>
      <c r="K470" s="61">
        <f>IF(AND(J470&lt;0, J468&lt;0), 0, J470)</f>
        <v>7.3341221742669029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107.90817877601835</v>
      </c>
      <c r="AO470">
        <v>36.330338907622476</v>
      </c>
      <c r="AP470">
        <v>250.47064135083266</v>
      </c>
      <c r="AQ470">
        <v>205.51456637080742</v>
      </c>
      <c r="AR470">
        <v>33.171472805355592</v>
      </c>
      <c r="AS470">
        <v>170.88157739371252</v>
      </c>
      <c r="AT470" t="e">
        <v>#DIV/0!</v>
      </c>
      <c r="AU470" t="e">
        <v>#DIV/0!</v>
      </c>
      <c r="AV470"/>
      <c r="AW470"/>
      <c r="FY470" s="211">
        <v>465</v>
      </c>
      <c r="FZ470">
        <v>7.6872286788201816</v>
      </c>
      <c r="GA470">
        <v>17.777313154853825</v>
      </c>
      <c r="GB470">
        <v>12.380047500691912</v>
      </c>
      <c r="GC470">
        <v>8.4170056892816092</v>
      </c>
      <c r="GD470">
        <v>9.9402300856411649</v>
      </c>
      <c r="GE470">
        <v>24.825222845011488</v>
      </c>
      <c r="GF470">
        <v>29.517384542615403</v>
      </c>
      <c r="GG470">
        <v>18.85030291381236</v>
      </c>
      <c r="GH470">
        <v>13.113270977868277</v>
      </c>
      <c r="GI470">
        <v>17.900988932633105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0.53146258503401367</v>
      </c>
      <c r="E471" s="97">
        <f>+N36</f>
        <v>1.8009254338148488</v>
      </c>
      <c r="F471" s="102">
        <f>+D471-D473</f>
        <v>0.53146258503401367</v>
      </c>
      <c r="G471" s="101">
        <f>+D471*E471</f>
        <v>0.95712448650874205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77.773374883839921</v>
      </c>
      <c r="AO471">
        <v>33.765274857179897</v>
      </c>
      <c r="AP471">
        <v>211.4422022377735</v>
      </c>
      <c r="AQ471">
        <v>179.64019284922725</v>
      </c>
      <c r="AR471">
        <v>31.414524429361371</v>
      </c>
      <c r="AS471">
        <v>147.36091638875558</v>
      </c>
      <c r="AT471">
        <v>23.556413689304989</v>
      </c>
      <c r="AU471">
        <v>26.30882627560797</v>
      </c>
      <c r="AV471"/>
      <c r="AW471"/>
      <c r="FY471" s="211">
        <v>466</v>
      </c>
      <c r="FZ471">
        <v>3.4812584107436479</v>
      </c>
      <c r="GA471">
        <v>15.451159083628479</v>
      </c>
      <c r="GB471">
        <v>20.44587041108645</v>
      </c>
      <c r="GC471">
        <v>13.621162400966806</v>
      </c>
      <c r="GD471">
        <v>11.774638500628491</v>
      </c>
      <c r="GE471">
        <v>22.78065563484094</v>
      </c>
      <c r="GF471">
        <v>22.114724999527514</v>
      </c>
      <c r="GG471">
        <v>17.143692972509058</v>
      </c>
      <c r="GH471">
        <v>13.515626289280709</v>
      </c>
      <c r="GI471">
        <v>19.059984711843097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2.1532766454716024</v>
      </c>
      <c r="I472" s="101">
        <f>+H472*F471</f>
        <v>1.1443859722957073</v>
      </c>
      <c r="J472" s="101">
        <f>+I472*$A$440</f>
        <v>8.0107018060699513</v>
      </c>
      <c r="K472" s="61">
        <f>IF(AND(J472&lt;0, J470&lt;0), 0, J472)</f>
        <v>8.0107018060699513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78.653116289734754</v>
      </c>
      <c r="AO472">
        <v>30.005231110730563</v>
      </c>
      <c r="AP472">
        <v>192.57109294766482</v>
      </c>
      <c r="AQ472">
        <v>160.35965973616257</v>
      </c>
      <c r="AR472">
        <v>26.964945469349843</v>
      </c>
      <c r="AS472">
        <v>127.91044324514806</v>
      </c>
      <c r="AT472" t="e">
        <v>#DIV/0!</v>
      </c>
      <c r="AU472" t="e">
        <v>#DIV/0!</v>
      </c>
      <c r="AV472"/>
      <c r="AW472"/>
      <c r="FY472" s="211">
        <v>467</v>
      </c>
      <c r="FZ472">
        <v>5.2308975671971885</v>
      </c>
      <c r="GA472">
        <v>14.522664795738837</v>
      </c>
      <c r="GB472">
        <v>27.807968379874403</v>
      </c>
      <c r="GC472">
        <v>18.831518855546388</v>
      </c>
      <c r="GD472">
        <v>8.7051534279206155</v>
      </c>
      <c r="GE472">
        <v>21.212210964592799</v>
      </c>
      <c r="GF472">
        <v>46.272211381856579</v>
      </c>
      <c r="GG472">
        <v>27.386424615203019</v>
      </c>
      <c r="GH472">
        <v>11.820846362334176</v>
      </c>
      <c r="GI472">
        <v>23.570112554188817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2.5745654011403789</v>
      </c>
      <c r="F473" s="102">
        <f>+D473-D475</f>
        <v>0</v>
      </c>
      <c r="G473" s="101">
        <f>+D473*E473</f>
        <v>0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82.808578937027207</v>
      </c>
      <c r="AO473">
        <v>32.175186341975248</v>
      </c>
      <c r="AP473">
        <v>193.19482604132642</v>
      </c>
      <c r="AQ473">
        <v>166.15401168371136</v>
      </c>
      <c r="AR473">
        <v>29.430545146187931</v>
      </c>
      <c r="AS473">
        <v>150.69685270911629</v>
      </c>
      <c r="AT473" t="e">
        <v>#DIV/0!</v>
      </c>
      <c r="AU473" t="e">
        <v>#DIV/0!</v>
      </c>
      <c r="AV473"/>
      <c r="AW473"/>
      <c r="FY473" s="211">
        <v>468</v>
      </c>
      <c r="FZ473">
        <v>3.2614869399444193</v>
      </c>
      <c r="GA473">
        <v>12.381595476536049</v>
      </c>
      <c r="GB473">
        <v>14.263147874509762</v>
      </c>
      <c r="GC473">
        <v>11.490477118885767</v>
      </c>
      <c r="GD473">
        <v>10.676910652472873</v>
      </c>
      <c r="GE473">
        <v>21.29163741662007</v>
      </c>
      <c r="GF473">
        <v>22.535213406592646</v>
      </c>
      <c r="GG473">
        <v>11.603168857197604</v>
      </c>
      <c r="GH473">
        <v>9.1133089862974845</v>
      </c>
      <c r="GI473">
        <v>16.208626993091148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3.0140856875451876</v>
      </c>
      <c r="I474" s="101">
        <f>+H474*F473</f>
        <v>0</v>
      </c>
      <c r="J474" s="101">
        <f>+I474*$A$440</f>
        <v>0</v>
      </c>
      <c r="K474" s="61">
        <f>IF(AND(J474&lt;0, J472&lt;0), 0, J474)</f>
        <v>0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112.59509387679918</v>
      </c>
      <c r="AO474">
        <v>36.769183581646182</v>
      </c>
      <c r="AP474">
        <v>259.61414438872691</v>
      </c>
      <c r="AQ474">
        <v>217.0574704093257</v>
      </c>
      <c r="AR474">
        <v>33.1274700921755</v>
      </c>
      <c r="AS474">
        <v>161.18304811500195</v>
      </c>
      <c r="AT474" t="e">
        <v>#DIV/0!</v>
      </c>
      <c r="AU474" t="e">
        <v>#DIV/0!</v>
      </c>
      <c r="AV474"/>
      <c r="AW474"/>
      <c r="FY474" s="211">
        <v>469</v>
      </c>
      <c r="FZ474">
        <v>9.2110661118843975</v>
      </c>
      <c r="GA474">
        <v>29.749372537714486</v>
      </c>
      <c r="GB474">
        <v>27.930505172593342</v>
      </c>
      <c r="GC474">
        <v>15.863405245181543</v>
      </c>
      <c r="GD474">
        <v>9.9617109853412398</v>
      </c>
      <c r="GE474">
        <v>15.40818396790041</v>
      </c>
      <c r="GF474">
        <v>16.269699865365656</v>
      </c>
      <c r="GG474">
        <v>24.618204195035108</v>
      </c>
      <c r="GH474">
        <v>24.54926706154713</v>
      </c>
      <c r="GI474">
        <v>21.337295881532455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3.5286392522173879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84.874884448936854</v>
      </c>
      <c r="AO475">
        <v>32.406017456168406</v>
      </c>
      <c r="AP475">
        <v>202.08121897009076</v>
      </c>
      <c r="AQ475">
        <v>174.5609477813916</v>
      </c>
      <c r="AR475">
        <v>29.262161040556261</v>
      </c>
      <c r="AS475">
        <v>145.42749703601126</v>
      </c>
      <c r="AT475">
        <v>22.578436896056601</v>
      </c>
      <c r="AU475">
        <v>53.302662267753107</v>
      </c>
      <c r="AV475"/>
      <c r="AW475"/>
      <c r="FY475" s="211">
        <v>470</v>
      </c>
      <c r="FZ475">
        <v>5.235764409419577</v>
      </c>
      <c r="GA475">
        <v>15.312311223644942</v>
      </c>
      <c r="GB475">
        <v>15.460690314802672</v>
      </c>
      <c r="GC475">
        <v>15.093165602350957</v>
      </c>
      <c r="GD475">
        <v>11.774817991292538</v>
      </c>
      <c r="GE475">
        <v>17.761851019121323</v>
      </c>
      <c r="GF475">
        <v>28.122129993057978</v>
      </c>
      <c r="GG475">
        <v>17.973505655114153</v>
      </c>
      <c r="GH475">
        <v>6.3682800745671759</v>
      </c>
      <c r="GI475">
        <v>18.073233417165838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4.0629302133385243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71.563871985242955</v>
      </c>
      <c r="AO476">
        <v>27.75831452373605</v>
      </c>
      <c r="AP476">
        <v>174.30519958489396</v>
      </c>
      <c r="AQ476">
        <v>149.83639236100549</v>
      </c>
      <c r="AR476">
        <v>25.170733287040392</v>
      </c>
      <c r="AS476">
        <v>127.36510908995128</v>
      </c>
      <c r="AT476" t="e">
        <v>#DIV/0!</v>
      </c>
      <c r="AU476" t="e">
        <v>#DIV/0!</v>
      </c>
      <c r="AV476"/>
      <c r="AW476"/>
      <c r="FY476" s="211">
        <v>471</v>
      </c>
      <c r="FZ476">
        <v>2.4365776713278526</v>
      </c>
      <c r="GA476">
        <v>12.495863700749481</v>
      </c>
      <c r="GB476">
        <v>18.34870800371981</v>
      </c>
      <c r="GC476">
        <v>17.195358021782237</v>
      </c>
      <c r="GD476">
        <v>16.181346873251279</v>
      </c>
      <c r="GE476">
        <v>27.073944545945317</v>
      </c>
      <c r="GF476">
        <v>26.193946878066022</v>
      </c>
      <c r="GG476">
        <v>30.610425966613033</v>
      </c>
      <c r="GH476">
        <v>29.897042627039696</v>
      </c>
      <c r="GI476">
        <v>24.442202687978508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4.6781211505499796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89.525406480677233</v>
      </c>
      <c r="AO477">
        <v>30.869410786890228</v>
      </c>
      <c r="AP477">
        <v>212.35315280501251</v>
      </c>
      <c r="AQ477">
        <v>181.6229459822755</v>
      </c>
      <c r="AR477">
        <v>27.858211504240796</v>
      </c>
      <c r="AS477">
        <v>143.8998341111446</v>
      </c>
      <c r="AT477" t="e">
        <v>#DIV/0!</v>
      </c>
      <c r="AU477" t="e">
        <v>#DIV/0!</v>
      </c>
      <c r="AV477"/>
      <c r="AW477"/>
      <c r="FY477" s="211">
        <v>472</v>
      </c>
      <c r="FZ477">
        <v>7.3993725354515005</v>
      </c>
      <c r="GA477">
        <v>14.93280543602962</v>
      </c>
      <c r="GB477">
        <v>13.745338168807645</v>
      </c>
      <c r="GC477">
        <v>10.937178739182642</v>
      </c>
      <c r="GD477">
        <v>11.851822053142355</v>
      </c>
      <c r="GE477">
        <v>24.546901725755905</v>
      </c>
      <c r="GF477">
        <v>19.838191905070783</v>
      </c>
      <c r="GG477">
        <v>14.436238924341914</v>
      </c>
      <c r="GH477">
        <v>16.349806376289092</v>
      </c>
      <c r="GI477">
        <v>18.035660546428389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5.3145027795330693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64.007924216532373</v>
      </c>
      <c r="AO478">
        <v>25.330210387343705</v>
      </c>
      <c r="AP478">
        <v>151.86832545128183</v>
      </c>
      <c r="AQ478">
        <v>132.83663954938513</v>
      </c>
      <c r="AR478">
        <v>23.121799694250278</v>
      </c>
      <c r="AS478">
        <v>110.2858212470672</v>
      </c>
      <c r="AT478" t="e">
        <v>#DIV/0!</v>
      </c>
      <c r="AU478" t="e">
        <v>#DIV/0!</v>
      </c>
      <c r="AV478"/>
      <c r="AW478"/>
      <c r="FY478" s="211">
        <v>473</v>
      </c>
      <c r="FZ478">
        <v>7.105059118751555</v>
      </c>
      <c r="GA478">
        <v>29.035917789150599</v>
      </c>
      <c r="GB478">
        <v>20.896565685270851</v>
      </c>
      <c r="GC478">
        <v>9.3902874490049388</v>
      </c>
      <c r="GD478">
        <v>10.981425721071384</v>
      </c>
      <c r="GE478">
        <v>24.864334456619396</v>
      </c>
      <c r="GF478">
        <v>31.160638977352555</v>
      </c>
      <c r="GG478">
        <v>32.231077261392386</v>
      </c>
      <c r="GH478">
        <v>23.374779110706609</v>
      </c>
      <c r="GI478">
        <v>22.482544948535015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6.037453688078223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114.4313418998795</v>
      </c>
      <c r="AO479">
        <v>41.493528096862448</v>
      </c>
      <c r="AP479">
        <v>282.71691606014991</v>
      </c>
      <c r="AQ479">
        <v>228.69286243087899</v>
      </c>
      <c r="AR479">
        <v>37.671756111966538</v>
      </c>
      <c r="AS479">
        <v>187.51480824665404</v>
      </c>
      <c r="AT479">
        <v>27.821341197863962</v>
      </c>
      <c r="AU479">
        <v>34.713675247644787</v>
      </c>
      <c r="AV479"/>
      <c r="AW479"/>
      <c r="FY479" s="211">
        <v>474</v>
      </c>
      <c r="FZ479">
        <v>3.668889535724567</v>
      </c>
      <c r="GA479">
        <v>15.736557297739246</v>
      </c>
      <c r="GB479">
        <v>10.235322143290718</v>
      </c>
      <c r="GC479">
        <v>9.3682758292070929</v>
      </c>
      <c r="GD479">
        <v>12.275207665111614</v>
      </c>
      <c r="GE479">
        <v>19.270504906910919</v>
      </c>
      <c r="GF479">
        <v>29.105860680199616</v>
      </c>
      <c r="GG479">
        <v>27.597053517123939</v>
      </c>
      <c r="GH479">
        <v>14.225317284869844</v>
      </c>
      <c r="GI479">
        <v>18.235869336545488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6.7830027357130396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70.326062772024585</v>
      </c>
      <c r="AO480">
        <v>28.214316958663623</v>
      </c>
      <c r="AP480">
        <v>185.34126990966081</v>
      </c>
      <c r="AQ480">
        <v>155.59825128447383</v>
      </c>
      <c r="AR480">
        <v>25.344016629341812</v>
      </c>
      <c r="AS480">
        <v>121.23521114995049</v>
      </c>
      <c r="AT480" t="e">
        <v>#DIV/0!</v>
      </c>
      <c r="AU480" t="e">
        <v>#DIV/0!</v>
      </c>
      <c r="AV480"/>
      <c r="AW480"/>
      <c r="FY480" s="211">
        <v>475</v>
      </c>
      <c r="FZ480">
        <v>3.4260039636308139</v>
      </c>
      <c r="GA480">
        <v>8.3311894552948136</v>
      </c>
      <c r="GB480">
        <v>14.565541447885595</v>
      </c>
      <c r="GC480">
        <v>12.132634277605479</v>
      </c>
      <c r="GD480">
        <v>10.546401816117168</v>
      </c>
      <c r="GE480">
        <v>22.970585670639586</v>
      </c>
      <c r="GF480">
        <v>20.01106913502813</v>
      </c>
      <c r="GG480">
        <v>13.610359269403871</v>
      </c>
      <c r="GH480">
        <v>14.156573339667718</v>
      </c>
      <c r="GI480">
        <v>16.532161489598018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7.6206176460685535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84.085298267082877</v>
      </c>
      <c r="AO481">
        <v>27.046605629994577</v>
      </c>
      <c r="AP481">
        <v>184.84720688693122</v>
      </c>
      <c r="AQ481">
        <v>160.40899532122933</v>
      </c>
      <c r="AR481">
        <v>24.343860696269221</v>
      </c>
      <c r="AS481">
        <v>123.92340039852715</v>
      </c>
      <c r="AT481">
        <v>18.62475529626974</v>
      </c>
      <c r="AU481">
        <v>42.940941862480408</v>
      </c>
      <c r="AV481"/>
      <c r="AW481"/>
      <c r="FY481" s="211">
        <v>476</v>
      </c>
      <c r="FZ481">
        <v>1.8289247026046447</v>
      </c>
      <c r="GA481">
        <v>10.992829755001157</v>
      </c>
      <c r="GB481">
        <v>14.795819722702063</v>
      </c>
      <c r="GC481">
        <v>15.162428277484107</v>
      </c>
      <c r="GD481">
        <v>15.202256746142965</v>
      </c>
      <c r="GE481">
        <v>26.94990376342383</v>
      </c>
      <c r="GF481">
        <v>23.875330633408463</v>
      </c>
      <c r="GG481">
        <v>13.494397020594707</v>
      </c>
      <c r="GH481">
        <v>12.813302643815355</v>
      </c>
      <c r="GI481">
        <v>19.676692285034704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8.4821976511450057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79.528281624667159</v>
      </c>
      <c r="AO482">
        <v>28.858029337227642</v>
      </c>
      <c r="AP482">
        <v>184.75605377521202</v>
      </c>
      <c r="AQ482">
        <v>159.3887734150552</v>
      </c>
      <c r="AR482">
        <v>26.309031928474774</v>
      </c>
      <c r="AS482">
        <v>128.7032090861679</v>
      </c>
      <c r="AT482">
        <v>19.493565108921398</v>
      </c>
      <c r="AU482">
        <v>41.531086358878667</v>
      </c>
      <c r="AV482"/>
      <c r="AW482"/>
      <c r="FY482" s="211">
        <v>477</v>
      </c>
      <c r="FZ482">
        <v>2.45986382935076</v>
      </c>
      <c r="GA482">
        <v>16.414291663892453</v>
      </c>
      <c r="GB482">
        <v>31.510434537780082</v>
      </c>
      <c r="GC482">
        <v>24.23373232154745</v>
      </c>
      <c r="GD482">
        <v>14.238604040678547</v>
      </c>
      <c r="GE482">
        <v>19.829120109654859</v>
      </c>
      <c r="GF482">
        <v>31.794041430827022</v>
      </c>
      <c r="GG482">
        <v>32.10287413948155</v>
      </c>
      <c r="GH482">
        <v>23.9919890043554</v>
      </c>
      <c r="GI482">
        <v>26.670597301365181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9.4411870972436702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86.594084294879949</v>
      </c>
      <c r="AO483">
        <v>35.424554140433898</v>
      </c>
      <c r="AP483">
        <v>254.71365658109147</v>
      </c>
      <c r="AQ483">
        <v>205.36000890445285</v>
      </c>
      <c r="AR483">
        <v>32.24701583107295</v>
      </c>
      <c r="AS483">
        <v>145.75107944091391</v>
      </c>
      <c r="AT483">
        <v>24.804162306504228</v>
      </c>
      <c r="AU483">
        <v>40.166865380716409</v>
      </c>
      <c r="AV483"/>
      <c r="AW483"/>
      <c r="FY483" s="211">
        <v>478</v>
      </c>
      <c r="FZ483">
        <v>3.6469034956404207</v>
      </c>
      <c r="GA483">
        <v>11.381203755222948</v>
      </c>
      <c r="GB483">
        <v>20.645565560111358</v>
      </c>
      <c r="GC483">
        <v>17.195575779844678</v>
      </c>
      <c r="GD483">
        <v>10.492849239446988</v>
      </c>
      <c r="GE483">
        <v>24.972131420098759</v>
      </c>
      <c r="GF483">
        <v>38.191571311535817</v>
      </c>
      <c r="GG483">
        <v>21.05193934118584</v>
      </c>
      <c r="GH483">
        <v>14.277608123809399</v>
      </c>
      <c r="GI483">
        <v>21.49619689535233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10.425472454812319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65.238879940942638</v>
      </c>
      <c r="AO484">
        <v>24.364946949034486</v>
      </c>
      <c r="AP484">
        <v>150.65775899356018</v>
      </c>
      <c r="AQ484">
        <v>132.82557372214782</v>
      </c>
      <c r="AR484">
        <v>22.146474256949631</v>
      </c>
      <c r="AS484">
        <v>106.38266503042149</v>
      </c>
      <c r="AT484">
        <v>16.827147669878105</v>
      </c>
      <c r="AU484">
        <v>38.426408050825515</v>
      </c>
      <c r="AV484"/>
      <c r="AW484"/>
      <c r="FY484" s="211">
        <v>479</v>
      </c>
      <c r="FZ484">
        <v>2.1323925200106082</v>
      </c>
      <c r="GA484">
        <v>11.658843847900723</v>
      </c>
      <c r="GB484">
        <v>20.457031406196609</v>
      </c>
      <c r="GC484">
        <v>16.217971246350238</v>
      </c>
      <c r="GD484">
        <v>13.257627202123865</v>
      </c>
      <c r="GE484">
        <v>19.12781132690677</v>
      </c>
      <c r="GF484">
        <v>20.550395755290754</v>
      </c>
      <c r="GG484">
        <v>14.248706271606517</v>
      </c>
      <c r="GH484">
        <v>3.6279197856534715</v>
      </c>
      <c r="GI484">
        <v>17.892999406236346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11.512373898170313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97.458031558405253</v>
      </c>
      <c r="AO485">
        <v>32.313760758717173</v>
      </c>
      <c r="AP485">
        <v>237.17543246438751</v>
      </c>
      <c r="AQ485">
        <v>194.8987110240958</v>
      </c>
      <c r="AR485">
        <v>29.819039362826839</v>
      </c>
      <c r="AS485">
        <v>153.5152472188696</v>
      </c>
      <c r="AT485">
        <v>21.81623699133516</v>
      </c>
      <c r="AU485">
        <v>43.050395309834443</v>
      </c>
      <c r="AV485"/>
      <c r="AW485"/>
      <c r="FY485" s="211">
        <v>480</v>
      </c>
      <c r="FZ485">
        <v>3.8258411758923092</v>
      </c>
      <c r="GA485">
        <v>16.61997184141358</v>
      </c>
      <c r="GB485">
        <v>31.172137723071085</v>
      </c>
      <c r="GC485">
        <v>18.682779744812329</v>
      </c>
      <c r="GD485">
        <v>9.582432422220684</v>
      </c>
      <c r="GE485">
        <v>24.060434419021277</v>
      </c>
      <c r="GF485">
        <v>37.4958886823161</v>
      </c>
      <c r="GG485">
        <v>24.164506581369967</v>
      </c>
      <c r="GH485">
        <v>14.161116217737113</v>
      </c>
      <c r="GI485">
        <v>23.45631454052161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12.625869527610236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80.770608787092669</v>
      </c>
      <c r="AO486">
        <v>27.518259737291409</v>
      </c>
      <c r="AP486">
        <v>174.19126601000517</v>
      </c>
      <c r="AQ486">
        <v>151.17574970053715</v>
      </c>
      <c r="AR486">
        <v>24.881144336014628</v>
      </c>
      <c r="AS486">
        <v>126.90508301032128</v>
      </c>
      <c r="AT486" t="e">
        <v>#DIV/0!</v>
      </c>
      <c r="AU486" t="e">
        <v>#DIV/0!</v>
      </c>
      <c r="AV486"/>
      <c r="AW486"/>
      <c r="FY486" s="211">
        <v>481</v>
      </c>
      <c r="FZ486">
        <v>3.8059206643990544</v>
      </c>
      <c r="GA486">
        <v>8.4844660327630024</v>
      </c>
      <c r="GB486">
        <v>19.018371214602482</v>
      </c>
      <c r="GC486">
        <v>16.902281151386312</v>
      </c>
      <c r="GD486">
        <v>12.497888567730151</v>
      </c>
      <c r="GE486">
        <v>24.982461225200943</v>
      </c>
      <c r="GF486">
        <v>40.039214044320545</v>
      </c>
      <c r="GG486">
        <v>31.379418992184519</v>
      </c>
      <c r="GH486">
        <v>18.754277298824757</v>
      </c>
      <c r="GI486">
        <v>23.452477490968196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13.847064275211956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85.444317437511927</v>
      </c>
      <c r="AO487">
        <v>37.227192054093919</v>
      </c>
      <c r="AP487">
        <v>234.52295418931487</v>
      </c>
      <c r="AQ487">
        <v>204.87541697647322</v>
      </c>
      <c r="AR487">
        <v>33.833801569323249</v>
      </c>
      <c r="AS487">
        <v>161.09215166443877</v>
      </c>
      <c r="AT487" t="e">
        <v>#DIV/0!</v>
      </c>
      <c r="AU487" t="e">
        <v>#DIV/0!</v>
      </c>
      <c r="AV487"/>
      <c r="AW487"/>
      <c r="FY487" s="211">
        <v>482</v>
      </c>
      <c r="FZ487">
        <v>4.7062122975074239</v>
      </c>
      <c r="GA487">
        <v>20.731936702881054</v>
      </c>
      <c r="GB487">
        <v>16.451496214660121</v>
      </c>
      <c r="GC487">
        <v>12.764537432749719</v>
      </c>
      <c r="GD487">
        <v>10.808395709104833</v>
      </c>
      <c r="GE487">
        <v>19.68001272432247</v>
      </c>
      <c r="GF487">
        <v>25.140622098331455</v>
      </c>
      <c r="GG487">
        <v>27.361602700534831</v>
      </c>
      <c r="GH487">
        <v>30.801180974789233</v>
      </c>
      <c r="GI487">
        <v>20.978207136387613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15.096121956024179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84.656201919674515</v>
      </c>
      <c r="AO488">
        <v>26.992964053309823</v>
      </c>
      <c r="AP488">
        <v>169.9019642749148</v>
      </c>
      <c r="AQ488">
        <v>152.07331641049984</v>
      </c>
      <c r="AR488">
        <v>24.760931765690621</v>
      </c>
      <c r="AS488">
        <v>124.19391394454844</v>
      </c>
      <c r="AT488">
        <v>18.527482278883745</v>
      </c>
      <c r="AU488">
        <v>44.178452577494511</v>
      </c>
      <c r="AV488"/>
      <c r="AW488"/>
      <c r="FY488" s="211">
        <v>483</v>
      </c>
      <c r="FZ488">
        <v>3.3257789452430506</v>
      </c>
      <c r="GA488">
        <v>18.063526168202696</v>
      </c>
      <c r="GB488">
        <v>20.210838346232819</v>
      </c>
      <c r="GC488">
        <v>12.439625582131672</v>
      </c>
      <c r="GD488">
        <v>9.0003671247756429</v>
      </c>
      <c r="GE488">
        <v>17.905660421641119</v>
      </c>
      <c r="GF488">
        <v>22.128465098556905</v>
      </c>
      <c r="GG488">
        <v>13.670317456403669</v>
      </c>
      <c r="GH488">
        <v>9.8603657728330241</v>
      </c>
      <c r="GI488">
        <v>16.735366881778287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16.457849373828154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98.154082443876305</v>
      </c>
      <c r="AO489">
        <v>34.178250364543018</v>
      </c>
      <c r="AP489">
        <v>254.3932849158613</v>
      </c>
      <c r="AQ489">
        <v>211.5226305178553</v>
      </c>
      <c r="AR489">
        <v>31.073044204995295</v>
      </c>
      <c r="AS489">
        <v>155.87496877995989</v>
      </c>
      <c r="AT489" t="e">
        <v>#DIV/0!</v>
      </c>
      <c r="AU489" t="e">
        <v>#DIV/0!</v>
      </c>
      <c r="AV489"/>
      <c r="AW489"/>
      <c r="FY489" s="211">
        <v>484</v>
      </c>
      <c r="FZ489">
        <v>3.4863036378261607</v>
      </c>
      <c r="GA489">
        <v>7.8320242368047364</v>
      </c>
      <c r="GB489">
        <v>10.500804050742143</v>
      </c>
      <c r="GC489">
        <v>12.161953537105568</v>
      </c>
      <c r="GD489">
        <v>12.290740856709743</v>
      </c>
      <c r="GE489">
        <v>25.038679410038664</v>
      </c>
      <c r="GF489">
        <v>27.711100702607364</v>
      </c>
      <c r="GG489">
        <v>18.05935267935433</v>
      </c>
      <c r="GH489">
        <v>14.597359490787166</v>
      </c>
      <c r="GI489">
        <v>18.117960643234035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17.84868150253611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69.501177388173346</v>
      </c>
      <c r="AO490">
        <v>27.646750875258043</v>
      </c>
      <c r="AP490">
        <v>184.50495010254903</v>
      </c>
      <c r="AQ490">
        <v>159.71885819672303</v>
      </c>
      <c r="AR490">
        <v>25.380342826509786</v>
      </c>
      <c r="AS490">
        <v>125.03614317771429</v>
      </c>
      <c r="AT490">
        <v>19.234502376193994</v>
      </c>
      <c r="AU490">
        <v>30.701294786097481</v>
      </c>
      <c r="AV490"/>
      <c r="AW490"/>
      <c r="FY490" s="211">
        <v>485</v>
      </c>
      <c r="FZ490">
        <v>10.546213800442663</v>
      </c>
      <c r="GA490">
        <v>17.26161868225654</v>
      </c>
      <c r="GB490">
        <v>12.752457497417193</v>
      </c>
      <c r="GC490">
        <v>14.67023954423334</v>
      </c>
      <c r="GD490">
        <v>14.29087096055159</v>
      </c>
      <c r="GE490">
        <v>27.900214057189825</v>
      </c>
      <c r="GF490">
        <v>28.589135850475298</v>
      </c>
      <c r="GG490">
        <v>13.296160844875736</v>
      </c>
      <c r="GH490">
        <v>10.558146540228986</v>
      </c>
      <c r="GI490">
        <v>20.480108368371059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19.357051103261675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67.287065192726274</v>
      </c>
      <c r="AO491">
        <v>25.181052806972986</v>
      </c>
      <c r="AP491">
        <v>153.77788172276229</v>
      </c>
      <c r="AQ491">
        <v>136.28251986487118</v>
      </c>
      <c r="AR491">
        <v>22.572577488385878</v>
      </c>
      <c r="AS491">
        <v>109.43534904985653</v>
      </c>
      <c r="AT491" t="e">
        <v>#DIV/0!</v>
      </c>
      <c r="AU491" t="e">
        <v>#DIV/0!</v>
      </c>
      <c r="AV491"/>
      <c r="AW491"/>
      <c r="FY491" s="211">
        <v>486</v>
      </c>
      <c r="FZ491">
        <v>4.5434853687623695</v>
      </c>
      <c r="GA491">
        <v>11.378804824131141</v>
      </c>
      <c r="GB491">
        <v>15.621089319974182</v>
      </c>
      <c r="GC491">
        <v>13.815224231245661</v>
      </c>
      <c r="GD491">
        <v>10.917983660947117</v>
      </c>
      <c r="GE491">
        <v>17.762706415897778</v>
      </c>
      <c r="GF491">
        <v>17.475100938177743</v>
      </c>
      <c r="GG491">
        <v>16.221429299182812</v>
      </c>
      <c r="GH491">
        <v>15.892882225769371</v>
      </c>
      <c r="GI491">
        <v>16.973201030985518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20.895742417154189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72.744691603625796</v>
      </c>
      <c r="AO492">
        <v>29.758402947834707</v>
      </c>
      <c r="AP492">
        <v>169.20853930793928</v>
      </c>
      <c r="AQ492">
        <v>154.79188555021199</v>
      </c>
      <c r="AR492">
        <v>26.887047278969767</v>
      </c>
      <c r="AS492">
        <v>166.56098856235369</v>
      </c>
      <c r="AT492">
        <v>21.028034612133446</v>
      </c>
      <c r="AU492">
        <v>50.694111537014621</v>
      </c>
      <c r="AV492"/>
      <c r="AW492"/>
      <c r="FY492" s="211">
        <v>487</v>
      </c>
      <c r="FZ492">
        <v>3.6609247385688279</v>
      </c>
      <c r="GA492">
        <v>11.097686008225216</v>
      </c>
      <c r="GB492">
        <v>17.585738087736999</v>
      </c>
      <c r="GC492">
        <v>14.623799533973664</v>
      </c>
      <c r="GD492">
        <v>10.285317672473946</v>
      </c>
      <c r="GE492">
        <v>23.019144301138688</v>
      </c>
      <c r="GF492">
        <v>29.216241327146609</v>
      </c>
      <c r="GG492">
        <v>17.921121397184073</v>
      </c>
      <c r="GH492">
        <v>15.873099192844526</v>
      </c>
      <c r="GI492">
        <v>19.173366086947631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22.556744249669517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93.091080524573982</v>
      </c>
      <c r="AO493">
        <v>40.407334043715977</v>
      </c>
      <c r="AP493">
        <v>269.78644326049942</v>
      </c>
      <c r="AQ493">
        <v>223.24554837893328</v>
      </c>
      <c r="AR493">
        <v>37.16210627825518</v>
      </c>
      <c r="AS493">
        <v>171.82510795996109</v>
      </c>
      <c r="AT493">
        <v>27.935840065369543</v>
      </c>
      <c r="AU493">
        <v>49.295594818324304</v>
      </c>
      <c r="AV493"/>
      <c r="AW493"/>
      <c r="FY493" s="211">
        <v>488</v>
      </c>
      <c r="FZ493">
        <v>2.6371834713896911</v>
      </c>
      <c r="GA493">
        <v>10.446766299574684</v>
      </c>
      <c r="GB493">
        <v>12.948564364424469</v>
      </c>
      <c r="GC493">
        <v>14.192098977475862</v>
      </c>
      <c r="GD493">
        <v>11.707099636647071</v>
      </c>
      <c r="GE493">
        <v>21.022407944685749</v>
      </c>
      <c r="GF493">
        <v>36.953569791585011</v>
      </c>
      <c r="GG493">
        <v>22.350338954827343</v>
      </c>
      <c r="GH493">
        <v>11.368465089883854</v>
      </c>
      <c r="GI493">
        <v>19.445873733253574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24.249261921774458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83.791823047369434</v>
      </c>
      <c r="AO494">
        <v>32.752576205453785</v>
      </c>
      <c r="AP494">
        <v>218.28782308254978</v>
      </c>
      <c r="AQ494">
        <v>183.35154492224854</v>
      </c>
      <c r="AR494">
        <v>29.09022161576846</v>
      </c>
      <c r="AS494">
        <v>143.35454574114357</v>
      </c>
      <c r="AT494" t="e">
        <v>#DIV/0!</v>
      </c>
      <c r="AU494" t="e">
        <v>#DIV/0!</v>
      </c>
      <c r="AV494"/>
      <c r="AW494"/>
      <c r="FY494" s="211">
        <v>489</v>
      </c>
      <c r="FZ494">
        <v>3.2703524414018332</v>
      </c>
      <c r="GA494">
        <v>15.517594431760989</v>
      </c>
      <c r="GB494">
        <v>14.927967116966821</v>
      </c>
      <c r="GC494">
        <v>13.564215791455878</v>
      </c>
      <c r="GD494">
        <v>10.196485509675203</v>
      </c>
      <c r="GE494">
        <v>16.209828129419709</v>
      </c>
      <c r="GF494">
        <v>24.008028154323281</v>
      </c>
      <c r="GG494">
        <v>35.609551296571496</v>
      </c>
      <c r="GH494">
        <v>38.909099862120343</v>
      </c>
      <c r="GI494">
        <v>21.14110543787746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26.068775584022323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66.54046107646181</v>
      </c>
      <c r="AO495">
        <v>27.216315510230846</v>
      </c>
      <c r="AP495">
        <v>158.39308890469678</v>
      </c>
      <c r="AQ495">
        <v>139.17169876827592</v>
      </c>
      <c r="AR495">
        <v>24.970847707304376</v>
      </c>
      <c r="AS495">
        <v>116.97184359903628</v>
      </c>
      <c r="AT495" t="e">
        <v>#DIV/0!</v>
      </c>
      <c r="AU495" t="e">
        <v>#DIV/0!</v>
      </c>
      <c r="AV495"/>
      <c r="AW495"/>
      <c r="FY495" s="211">
        <v>490</v>
      </c>
      <c r="FZ495">
        <v>8.5774361858952659</v>
      </c>
      <c r="GA495">
        <v>23.502040757031747</v>
      </c>
      <c r="GB495">
        <v>13.655991903483377</v>
      </c>
      <c r="GC495">
        <v>14.192700208307281</v>
      </c>
      <c r="GD495">
        <v>14.170830845834073</v>
      </c>
      <c r="GE495">
        <v>21.173668431247044</v>
      </c>
      <c r="GF495">
        <v>20.353604745222501</v>
      </c>
      <c r="GG495">
        <v>13.61759217469392</v>
      </c>
      <c r="GH495">
        <v>12.871201409584916</v>
      </c>
      <c r="GI495">
        <v>19.094142553676122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27.920977994909851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91.92465110876222</v>
      </c>
      <c r="AO496">
        <v>35.56731391114959</v>
      </c>
      <c r="AP496">
        <v>249.82489956950891</v>
      </c>
      <c r="AQ496">
        <v>203.22142334837605</v>
      </c>
      <c r="AR496">
        <v>32.136970402261618</v>
      </c>
      <c r="AS496">
        <v>152.51596187198183</v>
      </c>
      <c r="AT496">
        <v>24.342161912744242</v>
      </c>
      <c r="AU496">
        <v>46.345232490017878</v>
      </c>
      <c r="AV496"/>
      <c r="AW496"/>
      <c r="FY496" s="211">
        <v>491</v>
      </c>
      <c r="FZ496">
        <v>1.112072113569287</v>
      </c>
      <c r="GA496">
        <v>14.595965200016103</v>
      </c>
      <c r="GB496">
        <v>13.185550687446533</v>
      </c>
      <c r="GC496">
        <v>9.5773430253198075</v>
      </c>
      <c r="GD496">
        <v>9.6440905490410103</v>
      </c>
      <c r="GE496">
        <v>17.388719612826673</v>
      </c>
      <c r="GF496">
        <v>24.665696320619183</v>
      </c>
      <c r="GG496">
        <v>26.840992987520799</v>
      </c>
      <c r="GH496">
        <v>21.929941556775113</v>
      </c>
      <c r="GI496">
        <v>17.388888362573883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29.904780517196563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85.306874684118128</v>
      </c>
      <c r="AO497">
        <v>35.614921572910156</v>
      </c>
      <c r="AP497">
        <v>235.98934795573894</v>
      </c>
      <c r="AQ497">
        <v>199.31677668237995</v>
      </c>
      <c r="AR497">
        <v>32.276349269022823</v>
      </c>
      <c r="AS497">
        <v>155.83587825148521</v>
      </c>
      <c r="AT497">
        <v>24.421886542495937</v>
      </c>
      <c r="AU497">
        <v>23.469127308634139</v>
      </c>
      <c r="AV497"/>
      <c r="AW497"/>
      <c r="FY497" s="211">
        <v>492</v>
      </c>
      <c r="FZ497">
        <v>3.6087682463893449</v>
      </c>
      <c r="GA497">
        <v>12.862602315809687</v>
      </c>
      <c r="GB497">
        <v>17.878614289690358</v>
      </c>
      <c r="GC497">
        <v>14.971423462741939</v>
      </c>
      <c r="GD497">
        <v>14.350348917410066</v>
      </c>
      <c r="GE497">
        <v>21.528150149111561</v>
      </c>
      <c r="GF497">
        <v>22.090044357814225</v>
      </c>
      <c r="GG497">
        <v>24.073686868362344</v>
      </c>
      <c r="GH497">
        <v>19.492521976615226</v>
      </c>
      <c r="GI497">
        <v>20.887624518893386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31.922424938565477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77.885645797610124</v>
      </c>
      <c r="AO498">
        <v>31.532360459751523</v>
      </c>
      <c r="AP498">
        <v>225.45239227351368</v>
      </c>
      <c r="AQ498">
        <v>189.42420399126874</v>
      </c>
      <c r="AR498">
        <v>28.855384528142686</v>
      </c>
      <c r="AS498">
        <v>133.44973118607172</v>
      </c>
      <c r="AT498">
        <v>22.613635511684674</v>
      </c>
      <c r="AU498">
        <v>34.845690454918255</v>
      </c>
      <c r="AV498"/>
      <c r="AW498"/>
      <c r="FY498" s="211">
        <v>493</v>
      </c>
      <c r="FZ498">
        <v>3.6178901257810501</v>
      </c>
      <c r="GA498">
        <v>15.195552671858653</v>
      </c>
      <c r="GB498">
        <v>22.901335983626836</v>
      </c>
      <c r="GC498">
        <v>16.199367762501549</v>
      </c>
      <c r="GD498">
        <v>12.883550109311997</v>
      </c>
      <c r="GE498">
        <v>25.881300553906669</v>
      </c>
      <c r="GF498">
        <v>24.161526716705428</v>
      </c>
      <c r="GG498">
        <v>21.271181399459373</v>
      </c>
      <c r="GH498">
        <v>21.469687479593119</v>
      </c>
      <c r="GI498">
        <v>22.00663564948135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34.076197729401613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73.092552216993937</v>
      </c>
      <c r="AO499">
        <v>25.193339749027579</v>
      </c>
      <c r="AP499">
        <v>170.96631760953127</v>
      </c>
      <c r="AQ499">
        <v>143.34031179779888</v>
      </c>
      <c r="AR499">
        <v>22.988357388579249</v>
      </c>
      <c r="AS499">
        <v>113.14116602865758</v>
      </c>
      <c r="AT499">
        <v>17.19418722441501</v>
      </c>
      <c r="AU499">
        <v>29.076156895928449</v>
      </c>
      <c r="AV499"/>
      <c r="AW499"/>
      <c r="FY499" s="211">
        <v>494</v>
      </c>
      <c r="FZ499">
        <v>3.8858519508390499</v>
      </c>
      <c r="GA499">
        <v>16.938278162438468</v>
      </c>
      <c r="GB499">
        <v>11.366031361510938</v>
      </c>
      <c r="GC499">
        <v>11.438379539071942</v>
      </c>
      <c r="GD499">
        <v>11.862323986360176</v>
      </c>
      <c r="GE499">
        <v>27.867436563216359</v>
      </c>
      <c r="GF499">
        <v>36.215775490035739</v>
      </c>
      <c r="GG499">
        <v>26.447827279004205</v>
      </c>
      <c r="GH499">
        <v>26.983356715044746</v>
      </c>
      <c r="GI499">
        <v>21.743008809392823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36.264947102854975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62.852052599723265</v>
      </c>
      <c r="AO500">
        <v>27.578904006341737</v>
      </c>
      <c r="AP500">
        <v>167.74009868347503</v>
      </c>
      <c r="AQ500">
        <v>149.79627924520992</v>
      </c>
      <c r="AR500">
        <v>24.672213334854401</v>
      </c>
      <c r="AS500">
        <v>115.43456855774635</v>
      </c>
      <c r="AT500" t="e">
        <v>#DIV/0!</v>
      </c>
      <c r="AU500" t="e">
        <v>#DIV/0!</v>
      </c>
      <c r="AV500"/>
      <c r="AW500"/>
      <c r="FY500" s="211">
        <v>495</v>
      </c>
      <c r="FZ500">
        <v>6.4276772460633671</v>
      </c>
      <c r="GA500">
        <v>12.192768049666554</v>
      </c>
      <c r="GB500">
        <v>27.787072733936604</v>
      </c>
      <c r="GC500">
        <v>21.220300107853713</v>
      </c>
      <c r="GD500">
        <v>12.687737290912215</v>
      </c>
      <c r="GE500">
        <v>22.630866294719002</v>
      </c>
      <c r="GF500">
        <v>27.251655229737921</v>
      </c>
      <c r="GG500">
        <v>30.060301319113911</v>
      </c>
      <c r="GH500">
        <v>27.173135444388549</v>
      </c>
      <c r="GI500">
        <v>25.08537642843315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38.59428210906686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92.569845782703467</v>
      </c>
      <c r="AO501">
        <v>30.990579293175575</v>
      </c>
      <c r="AP501">
        <v>186.6302481369658</v>
      </c>
      <c r="AQ501">
        <v>170.34516614604223</v>
      </c>
      <c r="AR501">
        <v>27.851816289199213</v>
      </c>
      <c r="AS501">
        <v>142.41595174307628</v>
      </c>
      <c r="AT501">
        <v>21.425598680120288</v>
      </c>
      <c r="AU501">
        <v>60.820287948804136</v>
      </c>
      <c r="AV501"/>
      <c r="AW501"/>
      <c r="FY501" s="211">
        <v>496</v>
      </c>
      <c r="FZ501">
        <v>3.6712362215108136</v>
      </c>
      <c r="GA501">
        <v>9.8842193429287786</v>
      </c>
      <c r="GB501">
        <v>14.738148603973812</v>
      </c>
      <c r="GC501">
        <v>13.029017418792369</v>
      </c>
      <c r="GD501">
        <v>10.908913504874056</v>
      </c>
      <c r="GE501">
        <v>21.909169608469725</v>
      </c>
      <c r="GF501">
        <v>23.240201998746272</v>
      </c>
      <c r="GG501">
        <v>10.67771314096758</v>
      </c>
      <c r="GH501">
        <v>6.0620094391510833</v>
      </c>
      <c r="GI501">
        <v>16.197485913565941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40.959711065194448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72.407582213388636</v>
      </c>
      <c r="AO502">
        <v>25.591890098718316</v>
      </c>
      <c r="AP502">
        <v>160.33384771288601</v>
      </c>
      <c r="AQ502">
        <v>140.6019073150737</v>
      </c>
      <c r="AR502">
        <v>23.416432020310229</v>
      </c>
      <c r="AS502">
        <v>114.0730058440495</v>
      </c>
      <c r="AT502">
        <v>17.35287279925522</v>
      </c>
      <c r="AU502">
        <v>37.967824682135699</v>
      </c>
      <c r="AV502"/>
      <c r="AW502"/>
      <c r="FY502" s="211">
        <v>497</v>
      </c>
      <c r="FZ502">
        <v>7.8754312741665702</v>
      </c>
      <c r="GA502">
        <v>14.532777966154381</v>
      </c>
      <c r="GB502">
        <v>8.3247602792707855</v>
      </c>
      <c r="GC502">
        <v>9.2506976072949687</v>
      </c>
      <c r="GD502">
        <v>9.9152662746254361</v>
      </c>
      <c r="GE502">
        <v>23.68997238149289</v>
      </c>
      <c r="GF502">
        <v>30.813877269307898</v>
      </c>
      <c r="GG502">
        <v>24.791440848073663</v>
      </c>
      <c r="GH502">
        <v>23.903777133090728</v>
      </c>
      <c r="GI502">
        <v>18.801123293259387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43.470116267561686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78.043641007914829</v>
      </c>
      <c r="AO503">
        <v>29.090366726483531</v>
      </c>
      <c r="AP503">
        <v>190.10312934222699</v>
      </c>
      <c r="AQ503">
        <v>162.45643834624019</v>
      </c>
      <c r="AR503">
        <v>26.058566988133091</v>
      </c>
      <c r="AS503">
        <v>125.68125971850286</v>
      </c>
      <c r="AT503">
        <v>19.454438950987203</v>
      </c>
      <c r="AU503">
        <v>38.086227516525355</v>
      </c>
      <c r="AV503"/>
      <c r="AW503"/>
      <c r="FY503" s="211">
        <v>498</v>
      </c>
      <c r="FZ503">
        <v>4.6262810110674284</v>
      </c>
      <c r="GA503">
        <v>21.396280016434353</v>
      </c>
      <c r="GB503">
        <v>28.978841824674657</v>
      </c>
      <c r="GC503">
        <v>17.538509116266425</v>
      </c>
      <c r="GD503">
        <v>11.96415573118564</v>
      </c>
      <c r="GE503">
        <v>23.070281839790191</v>
      </c>
      <c r="GF503">
        <v>27.768392965320945</v>
      </c>
      <c r="GG503">
        <v>20.492401804831115</v>
      </c>
      <c r="GH503">
        <v>12.099068770156824</v>
      </c>
      <c r="GI503">
        <v>22.360690378224056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46.017716501551376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69.562092614627701</v>
      </c>
      <c r="AO504">
        <v>29.29005557875103</v>
      </c>
      <c r="AP504">
        <v>189.85197151320619</v>
      </c>
      <c r="AQ504">
        <v>163.07236826374728</v>
      </c>
      <c r="AR504">
        <v>26.520167716648064</v>
      </c>
      <c r="AS504">
        <v>122.54303958749369</v>
      </c>
      <c r="AT504">
        <v>20.490690891999197</v>
      </c>
      <c r="AU504">
        <v>31.402421363926258</v>
      </c>
      <c r="AV504"/>
      <c r="AW504"/>
      <c r="FY504" s="211">
        <v>499</v>
      </c>
      <c r="FZ504">
        <v>2.3375712775159596</v>
      </c>
      <c r="GA504">
        <v>23.229377641641268</v>
      </c>
      <c r="GB504">
        <v>16.034407542632998</v>
      </c>
      <c r="GC504">
        <v>12.804526801853539</v>
      </c>
      <c r="GD504">
        <v>12.703165931321129</v>
      </c>
      <c r="GE504">
        <v>18.738598486202889</v>
      </c>
      <c r="GF504">
        <v>23.900139164716236</v>
      </c>
      <c r="GG504">
        <v>13.605854384345765</v>
      </c>
      <c r="GH504">
        <v>7.3575321741332864</v>
      </c>
      <c r="GI504">
        <v>17.705190179870542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48.714620843960667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77.260957937225982</v>
      </c>
      <c r="AO505">
        <v>32.080063745901029</v>
      </c>
      <c r="AP505">
        <v>232.81554830411105</v>
      </c>
      <c r="AQ505">
        <v>193.35422817157303</v>
      </c>
      <c r="AR505">
        <v>29.28366943573889</v>
      </c>
      <c r="AS505">
        <v>136.82413132097759</v>
      </c>
      <c r="AT505">
        <v>21.937232990175882</v>
      </c>
      <c r="AU505">
        <v>16.047485093783411</v>
      </c>
      <c r="AV505"/>
      <c r="AW505"/>
      <c r="FY505" s="211">
        <v>500</v>
      </c>
      <c r="FZ505">
        <v>9.1499825759075968</v>
      </c>
      <c r="GA505">
        <v>12.216139955643158</v>
      </c>
      <c r="GB505">
        <v>16.199517958559621</v>
      </c>
      <c r="GC505">
        <v>13.131879825817791</v>
      </c>
      <c r="GD505">
        <v>11.006076937737381</v>
      </c>
      <c r="GE505">
        <v>24.242268505591717</v>
      </c>
      <c r="GF505">
        <v>35.855067519394034</v>
      </c>
      <c r="GG505">
        <v>36.224632409658689</v>
      </c>
      <c r="GH505">
        <v>25.808868764204224</v>
      </c>
      <c r="GI505">
        <v>22.893134415902097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51.44980594183987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87.969219204507311</v>
      </c>
      <c r="AO506">
        <v>28.798019293740577</v>
      </c>
      <c r="AP506">
        <v>178.08958721132979</v>
      </c>
      <c r="AQ506">
        <v>161.20920921497628</v>
      </c>
      <c r="AR506">
        <v>26.186764988567077</v>
      </c>
      <c r="AS506">
        <v>134.91170951145108</v>
      </c>
      <c r="AT506">
        <v>19.928111230663209</v>
      </c>
      <c r="AU506">
        <v>46.848617650325941</v>
      </c>
      <c r="AV506"/>
      <c r="AW506"/>
      <c r="FY506" s="211">
        <v>501</v>
      </c>
      <c r="FZ506">
        <v>4.8757130059364275</v>
      </c>
      <c r="GA506">
        <v>24.252507712181171</v>
      </c>
      <c r="GB506">
        <v>32.921748055023698</v>
      </c>
      <c r="GC506">
        <v>18.622208887984009</v>
      </c>
      <c r="GD506">
        <v>15.415721465071551</v>
      </c>
      <c r="GE506">
        <v>29.572177368529864</v>
      </c>
      <c r="GF506">
        <v>21.636485488089484</v>
      </c>
      <c r="GG506">
        <v>16.896663835229226</v>
      </c>
      <c r="GH506">
        <v>13.458792572271758</v>
      </c>
      <c r="GI506">
        <v>24.546120524733563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54.338563773942411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63.404019884356686</v>
      </c>
      <c r="AO507">
        <v>26.400681498175924</v>
      </c>
      <c r="AP507">
        <v>185.67987746980148</v>
      </c>
      <c r="AQ507">
        <v>156.32926041570838</v>
      </c>
      <c r="AR507">
        <v>24.030585426223304</v>
      </c>
      <c r="AS507">
        <v>113.09545560844641</v>
      </c>
      <c r="AT507">
        <v>18.334405829780103</v>
      </c>
      <c r="AU507">
        <v>31.196889047193523</v>
      </c>
      <c r="AV507"/>
      <c r="AW507"/>
      <c r="FY507" s="211">
        <v>502</v>
      </c>
      <c r="FZ507">
        <v>4.2515200517701812</v>
      </c>
      <c r="GA507">
        <v>18.289185028638816</v>
      </c>
      <c r="GB507">
        <v>28.552560097838281</v>
      </c>
      <c r="GC507">
        <v>16.086405052640309</v>
      </c>
      <c r="GD507">
        <v>12.935878888564028</v>
      </c>
      <c r="GE507">
        <v>31.972487731770773</v>
      </c>
      <c r="GF507">
        <v>26.26923675364861</v>
      </c>
      <c r="GG507">
        <v>20.573103665659833</v>
      </c>
      <c r="GH507">
        <v>20.998588222978562</v>
      </c>
      <c r="GI507">
        <v>23.876882766490255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57.266673566398033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75.823698382692044</v>
      </c>
      <c r="AO508">
        <v>31.298800205619461</v>
      </c>
      <c r="AP508">
        <v>195.91820812086917</v>
      </c>
      <c r="AQ508">
        <v>171.7437851028381</v>
      </c>
      <c r="AR508">
        <v>29.164199149833838</v>
      </c>
      <c r="AS508">
        <v>138.86182740733074</v>
      </c>
      <c r="AT508">
        <v>21.685183831248434</v>
      </c>
      <c r="AU508">
        <v>20.060053290821912</v>
      </c>
      <c r="AV508"/>
      <c r="AW508"/>
      <c r="FY508" s="211">
        <v>503</v>
      </c>
      <c r="FZ508">
        <v>1.3089681536447051</v>
      </c>
      <c r="GA508">
        <v>12.975056522664556</v>
      </c>
      <c r="GB508">
        <v>19.632209693191403</v>
      </c>
      <c r="GC508">
        <v>17.458770229978281</v>
      </c>
      <c r="GD508">
        <v>14.583749808685605</v>
      </c>
      <c r="GE508">
        <v>25.573610986106942</v>
      </c>
      <c r="GF508">
        <v>28.921410155075129</v>
      </c>
      <c r="GG508">
        <v>25.554040339363592</v>
      </c>
      <c r="GH508">
        <v>22.817501053514874</v>
      </c>
      <c r="GI508">
        <v>23.003001944626725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60.352568665663441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88.510030771617579</v>
      </c>
      <c r="AO509">
        <v>33.38020545794852</v>
      </c>
      <c r="AP509">
        <v>215.63302249522471</v>
      </c>
      <c r="AQ509">
        <v>185.58802845222601</v>
      </c>
      <c r="AR509">
        <v>30.297405361629206</v>
      </c>
      <c r="AS509">
        <v>151.33521972911146</v>
      </c>
      <c r="AT509">
        <v>22.668241317404966</v>
      </c>
      <c r="AU509">
        <v>43.920136422160468</v>
      </c>
      <c r="AV509"/>
      <c r="AW509"/>
      <c r="FY509" s="211">
        <v>504</v>
      </c>
      <c r="FZ509">
        <v>2.9617288825248762</v>
      </c>
      <c r="GA509">
        <v>12.924283801183602</v>
      </c>
      <c r="GB509">
        <v>13.909125476093024</v>
      </c>
      <c r="GC509">
        <v>10.906935228669354</v>
      </c>
      <c r="GD509">
        <v>9.5258850915584112</v>
      </c>
      <c r="GE509">
        <v>20.411481822018004</v>
      </c>
      <c r="GF509">
        <v>26.293133363875612</v>
      </c>
      <c r="GG509">
        <v>19.760076407313136</v>
      </c>
      <c r="GH509">
        <v>15.223066386318727</v>
      </c>
      <c r="GI509">
        <v>17.062204339824209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63.478873172930314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77.358121759148574</v>
      </c>
      <c r="AO510">
        <v>33.065772361271414</v>
      </c>
      <c r="AP510">
        <v>226.62980366635927</v>
      </c>
      <c r="AQ510">
        <v>194.74826985691445</v>
      </c>
      <c r="AR510">
        <v>29.37957495611618</v>
      </c>
      <c r="AS510">
        <v>139.4148838366242</v>
      </c>
      <c r="AT510">
        <v>23.192770874549215</v>
      </c>
      <c r="AU510">
        <v>36.222031858037376</v>
      </c>
      <c r="AV510"/>
      <c r="AW510"/>
      <c r="FY510" s="211">
        <v>505</v>
      </c>
      <c r="FZ510">
        <v>8.3489712703670058</v>
      </c>
      <c r="GA510">
        <v>12.847021541416719</v>
      </c>
      <c r="GB510">
        <v>9.9377822218950023</v>
      </c>
      <c r="GC510">
        <v>10.384559105929398</v>
      </c>
      <c r="GD510">
        <v>9.2162435429077405</v>
      </c>
      <c r="GE510">
        <v>17.520491312529547</v>
      </c>
      <c r="GF510">
        <v>29.295177988806735</v>
      </c>
      <c r="GG510">
        <v>23.829305314463799</v>
      </c>
      <c r="GH510">
        <v>13.612650269290452</v>
      </c>
      <c r="GI510">
        <v>16.947984849938411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66.767122400832051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96.366160915925917</v>
      </c>
      <c r="AO511">
        <v>38.054696741819143</v>
      </c>
      <c r="AP511">
        <v>253.56383129591902</v>
      </c>
      <c r="AQ511">
        <v>212.51689014482497</v>
      </c>
      <c r="AR511">
        <v>34.896265675794147</v>
      </c>
      <c r="AS511">
        <v>163.87446218737699</v>
      </c>
      <c r="AT511">
        <v>25.50804484714914</v>
      </c>
      <c r="AU511">
        <v>30.84879805662052</v>
      </c>
      <c r="AV511"/>
      <c r="AW511"/>
      <c r="FY511" s="211">
        <v>506</v>
      </c>
      <c r="FZ511">
        <v>3.9018906456174989</v>
      </c>
      <c r="GA511">
        <v>9.0856577766826554</v>
      </c>
      <c r="GB511">
        <v>9.9592368892367702</v>
      </c>
      <c r="GC511">
        <v>7.1609764638245732</v>
      </c>
      <c r="GD511">
        <v>7.2450442208288779</v>
      </c>
      <c r="GE511">
        <v>21.089295110475728</v>
      </c>
      <c r="GF511">
        <v>27.104594105285514</v>
      </c>
      <c r="GG511">
        <v>20.493214422611729</v>
      </c>
      <c r="GH511">
        <v>19.928765249665279</v>
      </c>
      <c r="GI511">
        <v>15.786378843011537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70.096825421468438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64.10966243186347</v>
      </c>
      <c r="AO512">
        <v>24.700820522889646</v>
      </c>
      <c r="AP512">
        <v>146.6819457647594</v>
      </c>
      <c r="AQ512">
        <v>130.31811519298043</v>
      </c>
      <c r="AR512">
        <v>22.112388901678013</v>
      </c>
      <c r="AS512">
        <v>108.28867776697585</v>
      </c>
      <c r="AT512" t="e">
        <v>#DIV/0!</v>
      </c>
      <c r="AU512" t="e">
        <v>#DIV/0!</v>
      </c>
      <c r="AV512"/>
      <c r="AW512"/>
      <c r="FY512" s="211">
        <v>507</v>
      </c>
      <c r="FZ512">
        <v>5.4478599823116722</v>
      </c>
      <c r="GA512">
        <v>16.317293809153455</v>
      </c>
      <c r="GB512">
        <v>28.082512841312905</v>
      </c>
      <c r="GC512">
        <v>18.617166204050044</v>
      </c>
      <c r="GD512">
        <v>11.030605530998134</v>
      </c>
      <c r="GE512">
        <v>25.328006500105822</v>
      </c>
      <c r="GF512">
        <v>36.754833753424933</v>
      </c>
      <c r="GG512">
        <v>34.881849793621001</v>
      </c>
      <c r="GH512">
        <v>31.019239738940655</v>
      </c>
      <c r="GI512">
        <v>26.403009679215202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73.592582059618479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86.096489342631912</v>
      </c>
      <c r="AO513">
        <v>28.415044812949173</v>
      </c>
      <c r="AP513">
        <v>198.06717026436542</v>
      </c>
      <c r="AQ513">
        <v>171.89912432673671</v>
      </c>
      <c r="AR513">
        <v>25.437891778988863</v>
      </c>
      <c r="AS513">
        <v>135.72662040369229</v>
      </c>
      <c r="AT513">
        <v>19.583618741073124</v>
      </c>
      <c r="AU513">
        <v>39.543600025480828</v>
      </c>
      <c r="AV513"/>
      <c r="AW513"/>
      <c r="FY513" s="211">
        <v>508</v>
      </c>
      <c r="FZ513">
        <v>3.5758992529977425</v>
      </c>
      <c r="GA513">
        <v>14.639459948069012</v>
      </c>
      <c r="GB513">
        <v>30.616832925961514</v>
      </c>
      <c r="GC513">
        <v>17.976860037292258</v>
      </c>
      <c r="GD513">
        <v>9.8345423933566778</v>
      </c>
      <c r="GE513">
        <v>24.601045619027158</v>
      </c>
      <c r="GF513">
        <v>28.573274365758742</v>
      </c>
      <c r="GG513">
        <v>11.331368013247605</v>
      </c>
      <c r="GH513">
        <v>5.2626618136759866</v>
      </c>
      <c r="GI513">
        <v>20.361222689439991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77.130824447442748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85.144881916432581</v>
      </c>
      <c r="AO514">
        <v>34.052218484243681</v>
      </c>
      <c r="AP514">
        <v>228.54615752234321</v>
      </c>
      <c r="AQ514">
        <v>190.29490345795165</v>
      </c>
      <c r="AR514">
        <v>30.951693040930728</v>
      </c>
      <c r="AS514">
        <v>138.68089016801082</v>
      </c>
      <c r="AT514" t="e">
        <v>#DIV/0!</v>
      </c>
      <c r="AU514" t="e">
        <v>#DIV/0!</v>
      </c>
      <c r="AV514"/>
      <c r="AW514"/>
      <c r="FY514" s="211">
        <v>509</v>
      </c>
      <c r="FZ514">
        <v>3.6219992994045569</v>
      </c>
      <c r="GA514">
        <v>14.134015027602594</v>
      </c>
      <c r="GB514">
        <v>15.52731214998968</v>
      </c>
      <c r="GC514">
        <v>16.581313732979037</v>
      </c>
      <c r="GD514">
        <v>10.847756317869893</v>
      </c>
      <c r="GE514">
        <v>15.423774449577778</v>
      </c>
      <c r="GF514">
        <v>26.703917284975731</v>
      </c>
      <c r="GG514">
        <v>24.09035291591745</v>
      </c>
      <c r="GH514">
        <v>23.652769711315091</v>
      </c>
      <c r="GI514">
        <v>19.808029612709486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80.83918125229961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70.352004998197955</v>
      </c>
      <c r="AO515">
        <v>26.751385923081635</v>
      </c>
      <c r="AP515">
        <v>170.62406784093588</v>
      </c>
      <c r="AQ515">
        <v>148.41636358423364</v>
      </c>
      <c r="AR515">
        <v>24.327235142628311</v>
      </c>
      <c r="AS515">
        <v>118.80861755021208</v>
      </c>
      <c r="AT515">
        <v>18.490775269565763</v>
      </c>
      <c r="AU515">
        <v>41.963187233365232</v>
      </c>
      <c r="AV515"/>
      <c r="AW515"/>
      <c r="FY515" s="211">
        <v>510</v>
      </c>
      <c r="FZ515">
        <v>3.553624313664991</v>
      </c>
      <c r="GA515">
        <v>12.280863117382323</v>
      </c>
      <c r="GB515">
        <v>18.400211189390756</v>
      </c>
      <c r="GC515">
        <v>18.088555221183736</v>
      </c>
      <c r="GD515">
        <v>14.03261953355455</v>
      </c>
      <c r="GE515">
        <v>19.892074744102004</v>
      </c>
      <c r="GF515">
        <v>22.327823877202064</v>
      </c>
      <c r="GG515">
        <v>23.962198829870331</v>
      </c>
      <c r="GH515">
        <v>24.827257662155617</v>
      </c>
      <c r="GI515">
        <v>21.743992248932905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84.591043918856442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98.163139770692197</v>
      </c>
      <c r="AO516">
        <v>34.724430114646161</v>
      </c>
      <c r="AP516">
        <v>244.31560430764659</v>
      </c>
      <c r="AQ516">
        <v>206.72756886841628</v>
      </c>
      <c r="AR516">
        <v>31.55654741692021</v>
      </c>
      <c r="AS516">
        <v>156.87324117232455</v>
      </c>
      <c r="AT516" t="e">
        <v>#DIV/0!</v>
      </c>
      <c r="AU516" t="e">
        <v>#DIV/0!</v>
      </c>
      <c r="AV516"/>
      <c r="AW516"/>
      <c r="FY516" s="211">
        <v>511</v>
      </c>
      <c r="FZ516">
        <v>1.7226432384442125</v>
      </c>
      <c r="GA516">
        <v>7.0274163949869344</v>
      </c>
      <c r="GB516">
        <v>10.088622406499749</v>
      </c>
      <c r="GC516">
        <v>14.012516438380512</v>
      </c>
      <c r="GD516">
        <v>14.893340648204848</v>
      </c>
      <c r="GE516">
        <v>19.767878673786395</v>
      </c>
      <c r="GF516">
        <v>25.375370132250424</v>
      </c>
      <c r="GG516">
        <v>29.383216582591306</v>
      </c>
      <c r="GH516">
        <v>22.362854903162887</v>
      </c>
      <c r="GI516">
        <v>20.107061663152109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88.517035927777229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95.347110757008551</v>
      </c>
      <c r="AO517">
        <v>37.297906296597318</v>
      </c>
      <c r="AP517">
        <v>236.1375427041034</v>
      </c>
      <c r="AQ517">
        <v>202.19813891505075</v>
      </c>
      <c r="AR517">
        <v>34.169279427667099</v>
      </c>
      <c r="AS517">
        <v>169.07444363223664</v>
      </c>
      <c r="AT517">
        <v>25.441347677827398</v>
      </c>
      <c r="AU517">
        <v>60.414592420876744</v>
      </c>
      <c r="AV517"/>
      <c r="AW517"/>
      <c r="FY517" s="211">
        <v>512</v>
      </c>
      <c r="FZ517">
        <v>2.848529189056193</v>
      </c>
      <c r="GA517">
        <v>17.420329366583616</v>
      </c>
      <c r="GB517">
        <v>29.182367697949672</v>
      </c>
      <c r="GC517">
        <v>18.998580560307506</v>
      </c>
      <c r="GD517">
        <v>14.307770760937235</v>
      </c>
      <c r="GE517">
        <v>27.839997241068268</v>
      </c>
      <c r="GF517">
        <v>32.475839506616012</v>
      </c>
      <c r="GG517">
        <v>40.036122434744534</v>
      </c>
      <c r="GH517">
        <v>35.300522257782205</v>
      </c>
      <c r="GI517">
        <v>28.124241003024522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88.517035927777229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96.995648201866558</v>
      </c>
      <c r="AO518">
        <v>36.391522866371275</v>
      </c>
      <c r="AP518">
        <v>239.42770586035039</v>
      </c>
      <c r="AQ518">
        <v>203.80584825999961</v>
      </c>
      <c r="AR518">
        <v>32.77838754012064</v>
      </c>
      <c r="AS518">
        <v>163.08982592830449</v>
      </c>
      <c r="AT518" t="e">
        <v>#DIV/0!</v>
      </c>
      <c r="AU518" t="e">
        <v>#DIV/0!</v>
      </c>
      <c r="AV518"/>
      <c r="AW518"/>
      <c r="FY518" s="211">
        <v>513</v>
      </c>
      <c r="FZ518">
        <v>4.2710964498066675</v>
      </c>
      <c r="GA518">
        <v>15.208410459927613</v>
      </c>
      <c r="GB518">
        <v>14.270339699967199</v>
      </c>
      <c r="GC518">
        <v>14.629343691114492</v>
      </c>
      <c r="GD518">
        <v>13.2983523160639</v>
      </c>
      <c r="GE518">
        <v>16.400625525332252</v>
      </c>
      <c r="GF518">
        <v>21.79185646530588</v>
      </c>
      <c r="GG518">
        <v>24.434629521893584</v>
      </c>
      <c r="GH518">
        <v>20.054342911876361</v>
      </c>
      <c r="GI518">
        <v>19.527455685850597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80.668317315403641</v>
      </c>
      <c r="AO519">
        <v>35.085263671067644</v>
      </c>
      <c r="AP519">
        <v>221.81999489114614</v>
      </c>
      <c r="AQ519">
        <v>191.8283188868518</v>
      </c>
      <c r="AR519">
        <v>31.710293456714499</v>
      </c>
      <c r="AS519">
        <v>141.7502129590053</v>
      </c>
      <c r="AT519">
        <v>23.962587910990298</v>
      </c>
      <c r="AU519">
        <v>-2.3457951194869349</v>
      </c>
      <c r="AV519"/>
      <c r="AW519"/>
      <c r="FY519" s="211">
        <v>514</v>
      </c>
      <c r="FZ519">
        <v>1.9559735822733511</v>
      </c>
      <c r="GA519">
        <v>16.595445962154255</v>
      </c>
      <c r="GB519">
        <v>20.218387595216115</v>
      </c>
      <c r="GC519">
        <v>15.732221666214405</v>
      </c>
      <c r="GD519">
        <v>14.027972225500447</v>
      </c>
      <c r="GE519">
        <v>25.878520670857409</v>
      </c>
      <c r="GF519">
        <v>29.193200863365306</v>
      </c>
      <c r="GG519">
        <v>15.667360699919533</v>
      </c>
      <c r="GH519">
        <v>8.8711136732669136</v>
      </c>
      <c r="GI519">
        <v>20.777257431784307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28.47701923688053</v>
      </c>
      <c r="H520" s="63" t="s">
        <v>30</v>
      </c>
      <c r="I520" s="101">
        <f>SUM(K458:K518)</f>
        <v>124.60002803426855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67.332382162750633</v>
      </c>
      <c r="AO520">
        <v>26.033697498466449</v>
      </c>
      <c r="AP520">
        <v>175.14529378695448</v>
      </c>
      <c r="AQ520">
        <v>148.97792079937895</v>
      </c>
      <c r="AR520">
        <v>23.321053681217563</v>
      </c>
      <c r="AS520">
        <v>110.77734311180384</v>
      </c>
      <c r="AT520" t="e">
        <v>#DIV/0!</v>
      </c>
      <c r="AU520" t="e">
        <v>#DIV/0!</v>
      </c>
      <c r="AV520"/>
      <c r="AW520"/>
      <c r="FY520" s="211">
        <v>515</v>
      </c>
      <c r="FZ520">
        <v>4.8415438946060654</v>
      </c>
      <c r="GA520">
        <v>12.045777083802911</v>
      </c>
      <c r="GB520">
        <v>10.881663337704065</v>
      </c>
      <c r="GC520">
        <v>10.540352649147259</v>
      </c>
      <c r="GD520">
        <v>11.008023874778154</v>
      </c>
      <c r="GE520">
        <v>16.649339021746165</v>
      </c>
      <c r="GF520">
        <v>23.274930191754599</v>
      </c>
      <c r="GG520">
        <v>17.70816319978659</v>
      </c>
      <c r="GH520">
        <v>6.1502213104157537</v>
      </c>
      <c r="GI520">
        <v>15.480768717398085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78.944469115674906</v>
      </c>
      <c r="AO521">
        <v>25.647597626316099</v>
      </c>
      <c r="AP521">
        <v>176.56694262521773</v>
      </c>
      <c r="AQ521">
        <v>151.94018741754482</v>
      </c>
      <c r="AR521">
        <v>23.221464273864971</v>
      </c>
      <c r="AS521">
        <v>122.74947511560515</v>
      </c>
      <c r="AT521" t="e">
        <v>#DIV/0!</v>
      </c>
      <c r="AU521" t="e">
        <v>#DIV/0!</v>
      </c>
      <c r="AV521"/>
      <c r="AW521"/>
      <c r="FY521" s="211">
        <v>516</v>
      </c>
      <c r="FZ521">
        <v>0.64819644610043514</v>
      </c>
      <c r="GA521">
        <v>14.474649611331994</v>
      </c>
      <c r="GB521">
        <v>19.163322840244088</v>
      </c>
      <c r="GC521">
        <v>12.179447882485572</v>
      </c>
      <c r="GD521">
        <v>8.887580490342792</v>
      </c>
      <c r="GE521">
        <v>15.736261494092362</v>
      </c>
      <c r="GF521">
        <v>25.81972828361441</v>
      </c>
      <c r="GG521">
        <v>23.169026271116842</v>
      </c>
      <c r="GH521">
        <v>13.70086214055512</v>
      </c>
      <c r="GI521">
        <v>17.303548063403046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4.3754589269968012</v>
      </c>
      <c r="G522" s="63"/>
      <c r="H522" s="63" t="s">
        <v>101</v>
      </c>
      <c r="I522">
        <v>334.82888793945312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62.436753835986998</v>
      </c>
      <c r="AO522">
        <v>23.748536920698886</v>
      </c>
      <c r="AP522">
        <v>168.42453695029798</v>
      </c>
      <c r="AQ522">
        <v>141.75505372724015</v>
      </c>
      <c r="AR522">
        <v>21.438524762321865</v>
      </c>
      <c r="AS522">
        <v>107.04416951386784</v>
      </c>
      <c r="AT522">
        <v>16.246543673717742</v>
      </c>
      <c r="AU522">
        <v>24.782256341436838</v>
      </c>
      <c r="AV522"/>
      <c r="AW522"/>
      <c r="FY522" s="211">
        <v>517</v>
      </c>
      <c r="FZ522">
        <v>2.867665838767993</v>
      </c>
      <c r="GA522">
        <v>3.9274638758521347</v>
      </c>
      <c r="GB522">
        <v>11.230665285764559</v>
      </c>
      <c r="GC522">
        <v>13.746829482140924</v>
      </c>
      <c r="GD522">
        <v>12.314475158507076</v>
      </c>
      <c r="GE522">
        <v>23.631843939625675</v>
      </c>
      <c r="GF522">
        <v>36.679920969008954</v>
      </c>
      <c r="GG522">
        <v>26.743150739818311</v>
      </c>
      <c r="GH522">
        <v>14.258140197746854</v>
      </c>
      <c r="GI522">
        <v>19.881943923093321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4.7697273618834952</v>
      </c>
      <c r="G523" s="63"/>
      <c r="H523" s="63" t="s">
        <v>103</v>
      </c>
      <c r="I523" s="123">
        <f>+I520*(365/I522)</f>
        <v>135.82761783903172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94.471826550864677</v>
      </c>
      <c r="AO523">
        <v>39.983742675671309</v>
      </c>
      <c r="AP523">
        <v>285.89390557513974</v>
      </c>
      <c r="AQ523">
        <v>233.88237783313383</v>
      </c>
      <c r="AR523">
        <v>36.387093444182639</v>
      </c>
      <c r="AS523">
        <v>171.42066230559524</v>
      </c>
      <c r="AT523">
        <v>27.538788854639083</v>
      </c>
      <c r="AU523">
        <v>38.081152795702202</v>
      </c>
      <c r="AV523"/>
      <c r="AW523"/>
      <c r="FY523" s="211">
        <v>518</v>
      </c>
      <c r="FZ523">
        <v>2.7086486700093584</v>
      </c>
      <c r="GA523">
        <v>19.374259601708694</v>
      </c>
      <c r="GB523">
        <v>30.343599943514146</v>
      </c>
      <c r="GC523">
        <v>18.653224626100183</v>
      </c>
      <c r="GD523">
        <v>15.158261687468427</v>
      </c>
      <c r="GE523">
        <v>30.691943602268708</v>
      </c>
      <c r="GF523">
        <v>21.552207862900264</v>
      </c>
      <c r="GG523">
        <v>19.833463709004743</v>
      </c>
      <c r="GH523">
        <v>24.917979340802184</v>
      </c>
      <c r="GI523">
        <v>25.157097110326294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81.488736026055292</v>
      </c>
      <c r="AO524">
        <v>30.837536905161915</v>
      </c>
      <c r="AP524">
        <v>200.77344306701025</v>
      </c>
      <c r="AQ524">
        <v>166.77316705882669</v>
      </c>
      <c r="AR524">
        <v>27.866381683338567</v>
      </c>
      <c r="AS524">
        <v>132.71070262862253</v>
      </c>
      <c r="AT524">
        <v>20.664616236800338</v>
      </c>
      <c r="AU524">
        <v>33.187208338091438</v>
      </c>
      <c r="AV524"/>
      <c r="AW524"/>
      <c r="FY524" s="211">
        <v>519</v>
      </c>
      <c r="FZ524">
        <v>2.411409355104448</v>
      </c>
      <c r="GA524">
        <v>13.887341206470699</v>
      </c>
      <c r="GB524">
        <v>13.858471300762082</v>
      </c>
      <c r="GC524">
        <v>9.7316303565054803</v>
      </c>
      <c r="GD524">
        <v>9.2483135512119876</v>
      </c>
      <c r="GE524">
        <v>23.366342465964976</v>
      </c>
      <c r="GF524">
        <v>32.337742820118429</v>
      </c>
      <c r="GG524">
        <v>14.596021274065961</v>
      </c>
      <c r="GH524">
        <v>6.3040790074344457</v>
      </c>
      <c r="GI524">
        <v>16.482977117750515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71.889290686700292</v>
      </c>
      <c r="AO525">
        <v>29.921155530838075</v>
      </c>
      <c r="AP525">
        <v>202.58359290445142</v>
      </c>
      <c r="AQ525">
        <v>170.3912405023413</v>
      </c>
      <c r="AR525">
        <v>27.215349479752334</v>
      </c>
      <c r="AS525">
        <v>125.79269284925211</v>
      </c>
      <c r="AT525">
        <v>20.731887226270086</v>
      </c>
      <c r="AU525">
        <v>22.158225291565664</v>
      </c>
      <c r="AV525"/>
      <c r="AW525"/>
      <c r="FY525" s="211">
        <v>520</v>
      </c>
      <c r="FZ525">
        <v>7.0749991810446975</v>
      </c>
      <c r="GA525">
        <v>16.325171981503097</v>
      </c>
      <c r="GB525">
        <v>21.260354064457619</v>
      </c>
      <c r="GC525">
        <v>17.6899343948735</v>
      </c>
      <c r="GD525">
        <v>10.838457289191226</v>
      </c>
      <c r="GE525">
        <v>12.917538771558107</v>
      </c>
      <c r="GF525">
        <v>15.836199111587529</v>
      </c>
      <c r="GG525">
        <v>24.603725314870534</v>
      </c>
      <c r="GH525">
        <v>24.024811917232409</v>
      </c>
      <c r="GI525">
        <v>19.743725425962385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82.076368022329845</v>
      </c>
      <c r="AO526">
        <v>32.696745952532368</v>
      </c>
      <c r="AP526">
        <v>206.26487943093278</v>
      </c>
      <c r="AQ526">
        <v>179.10922073743927</v>
      </c>
      <c r="AR526">
        <v>30.158027608370134</v>
      </c>
      <c r="AS526">
        <v>143.76857259062368</v>
      </c>
      <c r="AT526">
        <v>22.707074944031532</v>
      </c>
      <c r="AU526">
        <v>38.245889600500441</v>
      </c>
      <c r="AV526"/>
      <c r="AW526"/>
      <c r="FY526" s="211">
        <v>521</v>
      </c>
      <c r="FZ526">
        <v>1.8141861257649561</v>
      </c>
      <c r="GA526">
        <v>15.890834536984947</v>
      </c>
      <c r="GB526">
        <v>35.208954741426702</v>
      </c>
      <c r="GC526">
        <v>25.873795589277471</v>
      </c>
      <c r="GD526">
        <v>14.32318187340382</v>
      </c>
      <c r="GE526">
        <v>22.424048308498687</v>
      </c>
      <c r="GF526">
        <v>22.041082936685342</v>
      </c>
      <c r="GG526">
        <v>14.079577725483778</v>
      </c>
      <c r="GH526">
        <v>13.458792572271758</v>
      </c>
      <c r="GI526">
        <v>24.020131130673796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70.333249685284571</v>
      </c>
      <c r="AO527">
        <v>30.290652824636538</v>
      </c>
      <c r="AP527">
        <v>184.81641660448079</v>
      </c>
      <c r="AQ527">
        <v>164.74092108145936</v>
      </c>
      <c r="AR527">
        <v>28.028879800095709</v>
      </c>
      <c r="AS527">
        <v>173.9402781993723</v>
      </c>
      <c r="AT527">
        <v>21.147624687447664</v>
      </c>
      <c r="AU527">
        <v>22.74904658187026</v>
      </c>
      <c r="AV527"/>
      <c r="AW527"/>
      <c r="FY527" s="211">
        <v>522</v>
      </c>
      <c r="FZ527">
        <v>3.5773452344823147</v>
      </c>
      <c r="GA527">
        <v>15.658408982476612</v>
      </c>
      <c r="GB527">
        <v>19.036463739646855</v>
      </c>
      <c r="GC527">
        <v>13.704807209035417</v>
      </c>
      <c r="GD527">
        <v>11.420407213294425</v>
      </c>
      <c r="GE527">
        <v>24.622342637518503</v>
      </c>
      <c r="GF527">
        <v>29.246058608493129</v>
      </c>
      <c r="GG527">
        <v>28.772915230102829</v>
      </c>
      <c r="GH527">
        <v>30.27218295240511</v>
      </c>
      <c r="GI527">
        <v>22.590541323521297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102.94029697532126</v>
      </c>
      <c r="AO528">
        <v>42.880637177428909</v>
      </c>
      <c r="AP528">
        <v>296.1154834830968</v>
      </c>
      <c r="AQ528">
        <v>246.53430001806976</v>
      </c>
      <c r="AR528">
        <v>39.106359788265706</v>
      </c>
      <c r="AS528">
        <v>184.0917184670769</v>
      </c>
      <c r="AT528">
        <v>29.246928530246649</v>
      </c>
      <c r="AU528">
        <v>44.556629848388837</v>
      </c>
      <c r="AV528"/>
      <c r="AW528"/>
      <c r="FY528" s="211">
        <v>523</v>
      </c>
      <c r="FZ528">
        <v>6.7384903135187493</v>
      </c>
      <c r="GA528">
        <v>16.116543233359526</v>
      </c>
      <c r="GB528">
        <v>20.598174003149119</v>
      </c>
      <c r="GC528">
        <v>18.51517999857305</v>
      </c>
      <c r="GD528">
        <v>15.102571179623935</v>
      </c>
      <c r="GE528">
        <v>24.951553102742917</v>
      </c>
      <c r="GF528">
        <v>25.956280079113647</v>
      </c>
      <c r="GG528">
        <v>20.775216187408724</v>
      </c>
      <c r="GH528">
        <v>17.022511290792501</v>
      </c>
      <c r="GI528">
        <v>22.899569798172767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81.748740952907355</v>
      </c>
      <c r="AO529">
        <v>29.245647532091546</v>
      </c>
      <c r="AP529">
        <v>188.2820859836765</v>
      </c>
      <c r="AQ529">
        <v>163.88645272713853</v>
      </c>
      <c r="AR529">
        <v>27.223007950133692</v>
      </c>
      <c r="AS529">
        <v>132.63047238970867</v>
      </c>
      <c r="AT529">
        <v>19.917117480622611</v>
      </c>
      <c r="AU529">
        <v>30.548496651183619</v>
      </c>
      <c r="AV529"/>
      <c r="AW529"/>
      <c r="FY529" s="211">
        <v>524</v>
      </c>
      <c r="FZ529">
        <v>4.7016421679069271</v>
      </c>
      <c r="GA529">
        <v>22.832498589601755</v>
      </c>
      <c r="GB529">
        <v>40.665138971027524</v>
      </c>
      <c r="GC529">
        <v>25.874969937247613</v>
      </c>
      <c r="GD529">
        <v>11.976907748474821</v>
      </c>
      <c r="GE529">
        <v>17.820730407983035</v>
      </c>
      <c r="GF529">
        <v>20.790516386162523</v>
      </c>
      <c r="GG529">
        <v>16.514337751513136</v>
      </c>
      <c r="GH529">
        <v>11.925743147075588</v>
      </c>
      <c r="GI529">
        <v>23.919160227713306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79.522865114402208</v>
      </c>
      <c r="AO530">
        <v>31.535628279524342</v>
      </c>
      <c r="AP530">
        <v>193.78584688139361</v>
      </c>
      <c r="AQ530">
        <v>168.91745437055204</v>
      </c>
      <c r="AR530">
        <v>28.507077123892358</v>
      </c>
      <c r="AS530">
        <v>141.6476248009501</v>
      </c>
      <c r="AT530">
        <v>21.768079615249647</v>
      </c>
      <c r="AU530">
        <v>37.225796922971426</v>
      </c>
      <c r="AV530"/>
      <c r="AW530"/>
      <c r="FY530" s="211">
        <v>525</v>
      </c>
      <c r="FZ530">
        <v>4.7720961478364394</v>
      </c>
      <c r="GA530">
        <v>15.899143021401088</v>
      </c>
      <c r="GB530">
        <v>31.320548568927311</v>
      </c>
      <c r="GC530">
        <v>21.316868230998047</v>
      </c>
      <c r="GD530">
        <v>11.355994805111365</v>
      </c>
      <c r="GE530">
        <v>24.516111793294588</v>
      </c>
      <c r="GF530">
        <v>31.975646309753071</v>
      </c>
      <c r="GG530">
        <v>13.11030467445978</v>
      </c>
      <c r="GH530">
        <v>7.5473109034770944</v>
      </c>
      <c r="GI530">
        <v>22.651749200087725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14.583333333333332</v>
      </c>
      <c r="E531" s="108">
        <f>E405</f>
        <v>0.10593511192338192</v>
      </c>
      <c r="F531" s="102"/>
      <c r="G531" s="101">
        <f>D531*E531</f>
        <v>1.5448870488826529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56.316577992408057</v>
      </c>
      <c r="AO531">
        <v>23.439842532411419</v>
      </c>
      <c r="AP531">
        <v>146.64089366369279</v>
      </c>
      <c r="AQ531">
        <v>128.58078328113965</v>
      </c>
      <c r="AR531">
        <v>21.572706563414112</v>
      </c>
      <c r="AS531">
        <v>99.749209854174211</v>
      </c>
      <c r="AT531">
        <v>16.668321759442875</v>
      </c>
      <c r="AU531">
        <v>28.494227550012901</v>
      </c>
      <c r="AV531"/>
      <c r="AW531"/>
      <c r="FY531" s="211">
        <v>526</v>
      </c>
      <c r="FZ531">
        <v>4.2106862612228397</v>
      </c>
      <c r="GA531">
        <v>21.349720456267072</v>
      </c>
      <c r="GB531">
        <v>32.132155732859772</v>
      </c>
      <c r="GC531">
        <v>21.195281907255701</v>
      </c>
      <c r="GD531">
        <v>12.188335300044074</v>
      </c>
      <c r="GE531">
        <v>24.255446396910955</v>
      </c>
      <c r="GF531">
        <v>42.08081581596673</v>
      </c>
      <c r="GG531">
        <v>31.33251285415686</v>
      </c>
      <c r="GH531">
        <v>18.007220512289216</v>
      </c>
      <c r="GI531">
        <v>26.778299523193798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0.19785285691459817</v>
      </c>
      <c r="I532" s="101">
        <f>AVERAGE(D531:D533)</f>
        <v>9.8958333333333321</v>
      </c>
      <c r="J532" s="101">
        <f>I532*H532</f>
        <v>1.9579188965507108</v>
      </c>
      <c r="K532" s="61">
        <f>J532/(C533-C531)</f>
        <v>7.2515514687063368E-2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67.554156833026013</v>
      </c>
      <c r="AO532">
        <v>26.274650401081139</v>
      </c>
      <c r="AP532">
        <v>184.32236023714293</v>
      </c>
      <c r="AQ532">
        <v>151.08262352328668</v>
      </c>
      <c r="AR532">
        <v>23.996586400788019</v>
      </c>
      <c r="AS532">
        <v>121.72081711177593</v>
      </c>
      <c r="AT532">
        <v>17.69195362220719</v>
      </c>
      <c r="AU532">
        <v>22.436278704112336</v>
      </c>
      <c r="AV532"/>
      <c r="AW532"/>
      <c r="FY532" s="211">
        <v>527</v>
      </c>
      <c r="FZ532">
        <v>0.36285904524638557</v>
      </c>
      <c r="GA532">
        <v>18.461899530062368</v>
      </c>
      <c r="GB532">
        <v>20.6068536442327</v>
      </c>
      <c r="GC532">
        <v>13.93620669013653</v>
      </c>
      <c r="GD532">
        <v>10.396084594406366</v>
      </c>
      <c r="GE532">
        <v>16.761197223875655</v>
      </c>
      <c r="GF532">
        <v>25.489720761509503</v>
      </c>
      <c r="GG532">
        <v>28.627917331751668</v>
      </c>
      <c r="GH532">
        <v>22.914525033524622</v>
      </c>
      <c r="GI532">
        <v>19.873322534211344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5.208333333333333</v>
      </c>
      <c r="E533" s="108">
        <f>E406</f>
        <v>0.30378796883798009</v>
      </c>
      <c r="F533" s="102"/>
      <c r="G533" s="101">
        <f>D533*E533</f>
        <v>1.5822290043644796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71.230998657152014</v>
      </c>
      <c r="AO533">
        <v>30.21779351413651</v>
      </c>
      <c r="AP533">
        <v>189.87935881104994</v>
      </c>
      <c r="AQ533">
        <v>165.2820994103258</v>
      </c>
      <c r="AR533">
        <v>27.236177128948981</v>
      </c>
      <c r="AS533">
        <v>135.90207149863247</v>
      </c>
      <c r="AT533" t="e">
        <v>#DIV/0!</v>
      </c>
      <c r="AU533" t="e">
        <v>#DIV/0!</v>
      </c>
      <c r="AV533"/>
      <c r="AW533"/>
      <c r="FY533" s="211">
        <v>528</v>
      </c>
      <c r="FZ533">
        <v>1.6996863143575109</v>
      </c>
      <c r="GA533">
        <v>19.93036712605052</v>
      </c>
      <c r="GB533">
        <v>28.146732573434342</v>
      </c>
      <c r="GC533">
        <v>16.074867814146067</v>
      </c>
      <c r="GD533">
        <v>10.585976846054701</v>
      </c>
      <c r="GE533">
        <v>29.106057003873072</v>
      </c>
      <c r="GF533">
        <v>40.405792933172847</v>
      </c>
      <c r="GG533">
        <v>25.866657336053514</v>
      </c>
      <c r="GH533">
        <v>19.860021304463153</v>
      </c>
      <c r="GI533">
        <v>24.472203628879022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-3.5325834151935132E-2</v>
      </c>
      <c r="I534" s="101">
        <f>AVERAGE(D533:D535)</f>
        <v>19.270833333333332</v>
      </c>
      <c r="J534" s="101">
        <f>I534*H534</f>
        <v>-0.68075826230291658</v>
      </c>
      <c r="K534" s="61">
        <f>J534/(C535-C533)</f>
        <v>-1.6603860056168696E-2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92.701540836827931</v>
      </c>
      <c r="AO534">
        <v>37.970558104049729</v>
      </c>
      <c r="AP534">
        <v>242.04930968262721</v>
      </c>
      <c r="AQ534">
        <v>208.39068615410304</v>
      </c>
      <c r="AR534">
        <v>34.70674719603317</v>
      </c>
      <c r="AS534">
        <v>161.88744904449447</v>
      </c>
      <c r="AT534">
        <v>26.060069482812533</v>
      </c>
      <c r="AU534">
        <v>40.360332249768845</v>
      </c>
      <c r="AV534"/>
      <c r="AW534"/>
      <c r="FY534" s="211">
        <v>529</v>
      </c>
      <c r="FZ534">
        <v>2.2038577186302755</v>
      </c>
      <c r="GA534">
        <v>14.604501971822938</v>
      </c>
      <c r="GB534">
        <v>42.877231405872486</v>
      </c>
      <c r="GC534">
        <v>27.995927360839122</v>
      </c>
      <c r="GD534">
        <v>12.739513051474754</v>
      </c>
      <c r="GE534">
        <v>22.897412124590524</v>
      </c>
      <c r="GF534">
        <v>29.433995739264034</v>
      </c>
      <c r="GG534">
        <v>20.420506045818222</v>
      </c>
      <c r="GH534">
        <v>13.579827356413439</v>
      </c>
      <c r="GI534">
        <v>26.532378313804237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33.333333333333329</v>
      </c>
      <c r="E535" s="108">
        <f>E407</f>
        <v>0.26846213468604496</v>
      </c>
      <c r="F535" s="102"/>
      <c r="G535" s="101">
        <f>D535*E535</f>
        <v>8.9487378228681642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66.116511443966232</v>
      </c>
      <c r="AO535">
        <v>25.000264713844341</v>
      </c>
      <c r="AP535">
        <v>165.73322154274851</v>
      </c>
      <c r="AQ535">
        <v>142.22432845538904</v>
      </c>
      <c r="AR535">
        <v>22.182091091117631</v>
      </c>
      <c r="AS535">
        <v>107.83915963415058</v>
      </c>
      <c r="AT535" t="e">
        <v>#DIV/0!</v>
      </c>
      <c r="AU535" t="e">
        <v>#DIV/0!</v>
      </c>
      <c r="AV535"/>
      <c r="AW535"/>
      <c r="FY535" s="211">
        <v>530</v>
      </c>
      <c r="FZ535">
        <v>2.3815767743062937</v>
      </c>
      <c r="GA535">
        <v>14.605089419986141</v>
      </c>
      <c r="GB535">
        <v>22.308878489928162</v>
      </c>
      <c r="GC535">
        <v>19.31695706026883</v>
      </c>
      <c r="GD535">
        <v>16.435635318694672</v>
      </c>
      <c r="GE535">
        <v>25.963197236716333</v>
      </c>
      <c r="GF535">
        <v>31.254362262579161</v>
      </c>
      <c r="GG535">
        <v>24.231770004403206</v>
      </c>
      <c r="GH535">
        <v>15.126357513171286</v>
      </c>
      <c r="GI535">
        <v>24.187268891757476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2.1672475968895544E-2</v>
      </c>
      <c r="I536" s="101">
        <f>AVERAGE(D535:D537)</f>
        <v>126.12928857540928</v>
      </c>
      <c r="J536" s="101">
        <f>I536*H536</f>
        <v>2.7335339756244488</v>
      </c>
      <c r="K536" s="61">
        <f>J536/(C537-C535)</f>
        <v>8.2834362897710567E-2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79.804498671957973</v>
      </c>
      <c r="AO536">
        <v>29.926187807749791</v>
      </c>
      <c r="AP536">
        <v>202.43292052043142</v>
      </c>
      <c r="AQ536">
        <v>170.31491745228112</v>
      </c>
      <c r="AR536">
        <v>27.643820273666453</v>
      </c>
      <c r="AS536">
        <v>128.71547230642236</v>
      </c>
      <c r="AT536">
        <v>20.25843470640314</v>
      </c>
      <c r="AU536">
        <v>24.833831333965691</v>
      </c>
      <c r="AV536"/>
      <c r="AW536"/>
      <c r="FY536" s="211">
        <v>531</v>
      </c>
      <c r="FZ536">
        <v>5.7927733953180471</v>
      </c>
      <c r="GA536">
        <v>13.233213661951677</v>
      </c>
      <c r="GB536">
        <v>25.397588120032399</v>
      </c>
      <c r="GC536">
        <v>19.456278593950934</v>
      </c>
      <c r="GD536">
        <v>11.296457898668461</v>
      </c>
      <c r="GE536">
        <v>18.70531271344386</v>
      </c>
      <c r="GF536">
        <v>22.064790058891425</v>
      </c>
      <c r="GG536">
        <v>29.402223938648795</v>
      </c>
      <c r="GH536">
        <v>28.516406140240917</v>
      </c>
      <c r="GI536">
        <v>22.762731963517439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218.92524381748521</v>
      </c>
      <c r="E537" s="108">
        <f>E408</f>
        <v>0.29013461065494051</v>
      </c>
      <c r="F537" s="102"/>
      <c r="G537" s="101">
        <f>D537*E537</f>
        <v>63.517790377523994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88.687729204412676</v>
      </c>
      <c r="AO537">
        <v>36.527874821489874</v>
      </c>
      <c r="AP537">
        <v>223.47844924501175</v>
      </c>
      <c r="AQ537">
        <v>189.13458554047128</v>
      </c>
      <c r="AR537">
        <v>33.233571850677777</v>
      </c>
      <c r="AS537">
        <v>163.95077184682395</v>
      </c>
      <c r="AT537">
        <v>24.65784857425373</v>
      </c>
      <c r="AU537">
        <v>49.021031224982835</v>
      </c>
      <c r="AV537"/>
      <c r="AW537"/>
      <c r="FY537" s="211">
        <v>532</v>
      </c>
      <c r="FZ537">
        <v>6.6540766330007335</v>
      </c>
      <c r="GA537">
        <v>21.221667595599847</v>
      </c>
      <c r="GB537">
        <v>21.541103998524459</v>
      </c>
      <c r="GC537">
        <v>16.190652882076627</v>
      </c>
      <c r="GD537">
        <v>13.64373758763305</v>
      </c>
      <c r="GE537">
        <v>17.742888276420132</v>
      </c>
      <c r="GF537">
        <v>11.555309022527211</v>
      </c>
      <c r="GG537">
        <v>18.513727241229262</v>
      </c>
      <c r="GH537">
        <v>17.312769671555529</v>
      </c>
      <c r="GI537">
        <v>19.529869773037131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5.8003677967135292E-2</v>
      </c>
      <c r="I538" s="101">
        <f>AVERAGE(D537:D539)</f>
        <v>141.40706635318705</v>
      </c>
      <c r="J538" s="101">
        <f>I538*H538</f>
        <v>8.2021299390275946</v>
      </c>
      <c r="K538" s="61">
        <f>J538/(C539-C537)</f>
        <v>0.29293321210812839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74.774666588839949</v>
      </c>
      <c r="AO538">
        <v>34.128772859960222</v>
      </c>
      <c r="AP538">
        <v>237.45275379135828</v>
      </c>
      <c r="AQ538">
        <v>198.90147313097651</v>
      </c>
      <c r="AR538">
        <v>31.055299519388573</v>
      </c>
      <c r="AS538">
        <v>137.39001241987913</v>
      </c>
      <c r="AT538">
        <v>24.310621795505313</v>
      </c>
      <c r="AU538">
        <v>-0.2427200750084344</v>
      </c>
      <c r="AV538"/>
      <c r="AW538"/>
      <c r="FY538" s="211">
        <v>533</v>
      </c>
      <c r="FZ538">
        <v>7.2206069119279963</v>
      </c>
      <c r="GA538">
        <v>24.134658650757036</v>
      </c>
      <c r="GB538">
        <v>20.554337906114661</v>
      </c>
      <c r="GC538">
        <v>14.044951126708476</v>
      </c>
      <c r="GD538">
        <v>10.851545292157853</v>
      </c>
      <c r="GE538">
        <v>22.009010592106087</v>
      </c>
      <c r="GF538">
        <v>31.758720134162104</v>
      </c>
      <c r="GG538">
        <v>18.90546631422378</v>
      </c>
      <c r="GH538">
        <v>12.931007501294761</v>
      </c>
      <c r="GI538">
        <v>20.823067556612198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63.888888888888893</v>
      </c>
      <c r="E539" s="108">
        <f>E409</f>
        <v>0.3481382886220758</v>
      </c>
      <c r="F539" s="102"/>
      <c r="G539" s="101">
        <f>D539*E539</f>
        <v>22.242168439743732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92.427469027302834</v>
      </c>
      <c r="AO539">
        <v>34.739513133508879</v>
      </c>
      <c r="AP539">
        <v>215.37351508844552</v>
      </c>
      <c r="AQ539">
        <v>188.67608918645493</v>
      </c>
      <c r="AR539">
        <v>31.660128642267033</v>
      </c>
      <c r="AS539">
        <v>149.93173827880111</v>
      </c>
      <c r="AT539">
        <v>23.452676173743878</v>
      </c>
      <c r="AU539">
        <v>42.412502372480418</v>
      </c>
      <c r="AV539"/>
      <c r="AW539"/>
      <c r="FY539" s="211">
        <v>534</v>
      </c>
      <c r="FZ539">
        <v>5.1006402182066504</v>
      </c>
      <c r="GA539">
        <v>16.08990968940779</v>
      </c>
      <c r="GB539">
        <v>9.2984938700692084</v>
      </c>
      <c r="GC539">
        <v>7.224142993737706</v>
      </c>
      <c r="GD539">
        <v>8.920595293931278</v>
      </c>
      <c r="GE539">
        <v>17.046923893213577</v>
      </c>
      <c r="GF539">
        <v>28.871206638108582</v>
      </c>
      <c r="GG539">
        <v>27.443508052444187</v>
      </c>
      <c r="GH539">
        <v>16.430377250036262</v>
      </c>
      <c r="GI539">
        <v>16.509446886333187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0.13567511799790866</v>
      </c>
      <c r="I540" s="101">
        <f>AVERAGE(D539:D541)</f>
        <v>92.029671717171709</v>
      </c>
      <c r="J540" s="101">
        <f>I540*H540</f>
        <v>12.486136569536068</v>
      </c>
      <c r="K540" s="61">
        <f>J540/(C541-C539)</f>
        <v>0.52025569039733621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106.72011069893264</v>
      </c>
      <c r="AO540">
        <v>36.380466206280474</v>
      </c>
      <c r="AP540">
        <v>240.16739907802599</v>
      </c>
      <c r="AQ540">
        <v>197.02164533470619</v>
      </c>
      <c r="AR540">
        <v>33.300357455001254</v>
      </c>
      <c r="AS540">
        <v>160.59566111069887</v>
      </c>
      <c r="AT540">
        <v>24.053631237776827</v>
      </c>
      <c r="AU540">
        <v>61.552963197140478</v>
      </c>
      <c r="AV540"/>
      <c r="AW540"/>
      <c r="FY540" s="211">
        <v>535</v>
      </c>
      <c r="FZ540">
        <v>10.117788825141456</v>
      </c>
      <c r="GA540">
        <v>27.845231814590754</v>
      </c>
      <c r="GB540">
        <v>20.730998950631399</v>
      </c>
      <c r="GC540">
        <v>13.53790215292149</v>
      </c>
      <c r="GD540">
        <v>10.585582367526269</v>
      </c>
      <c r="GE540">
        <v>20.892070568055573</v>
      </c>
      <c r="GF540">
        <v>40.580243033713913</v>
      </c>
      <c r="GG540">
        <v>29.790482531988964</v>
      </c>
      <c r="GH540">
        <v>10.872289980376747</v>
      </c>
      <c r="GI540">
        <v>22.451564738998226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120.17045454545453</v>
      </c>
      <c r="E541" s="108">
        <f>E410</f>
        <v>0.48381340661998445</v>
      </c>
      <c r="F541" s="102"/>
      <c r="G541" s="101">
        <f>D541*E541</f>
        <v>58.140076988708351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90.863655574180072</v>
      </c>
      <c r="AO541">
        <v>34.149746264373441</v>
      </c>
      <c r="AP541">
        <v>220.67341338711813</v>
      </c>
      <c r="AQ541">
        <v>184.46577365534648</v>
      </c>
      <c r="AR541">
        <v>30.957678824750335</v>
      </c>
      <c r="AS541">
        <v>149.69324216109729</v>
      </c>
      <c r="AT541">
        <v>23.471999926805449</v>
      </c>
      <c r="AU541">
        <v>44.769021887648108</v>
      </c>
      <c r="AV541"/>
      <c r="AW541"/>
      <c r="FY541" s="211">
        <v>536</v>
      </c>
      <c r="FZ541">
        <v>2.0187934129048379</v>
      </c>
      <c r="GA541">
        <v>14.736354907858253</v>
      </c>
      <c r="GB541">
        <v>27.47347762768409</v>
      </c>
      <c r="GC541">
        <v>17.672623559822298</v>
      </c>
      <c r="GD541">
        <v>12.922661215016248</v>
      </c>
      <c r="GE541">
        <v>24.680138891583166</v>
      </c>
      <c r="GF541">
        <v>20.918371828787382</v>
      </c>
      <c r="GG541">
        <v>17.315917110171448</v>
      </c>
      <c r="GH541">
        <v>15.452096074649921</v>
      </c>
      <c r="GI541">
        <v>21.426109933908315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2.0880272522418919E-2</v>
      </c>
      <c r="I542" s="101">
        <f>AVERAGE(D541:D543)</f>
        <v>95.241477272727266</v>
      </c>
      <c r="J542" s="101">
        <f>I542*H542</f>
        <v>1.988668000892313</v>
      </c>
      <c r="K542" s="61">
        <f>J542/(C543-C541)</f>
        <v>4.1430583351923185E-2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103.05856083653666</v>
      </c>
      <c r="AO542">
        <v>40.654828885307658</v>
      </c>
      <c r="AP542">
        <v>285.31284173180592</v>
      </c>
      <c r="AQ542">
        <v>233.53047476016704</v>
      </c>
      <c r="AR542">
        <v>36.860182910269771</v>
      </c>
      <c r="AS542">
        <v>172.82952491824665</v>
      </c>
      <c r="AT542">
        <v>27.986887865990592</v>
      </c>
      <c r="AU542">
        <v>55.80198208830663</v>
      </c>
      <c r="AV542"/>
      <c r="AW542"/>
      <c r="FY542" s="211">
        <v>537</v>
      </c>
      <c r="FZ542">
        <v>1.5503334743304631</v>
      </c>
      <c r="GA542">
        <v>9.3198895577898675</v>
      </c>
      <c r="GB542">
        <v>19.774868224918485</v>
      </c>
      <c r="GC542">
        <v>13.393788115771448</v>
      </c>
      <c r="GD542">
        <v>11.678129783907519</v>
      </c>
      <c r="GE542">
        <v>22.791560335007503</v>
      </c>
      <c r="GF542">
        <v>18.510053023756729</v>
      </c>
      <c r="GG542">
        <v>20.178272156156943</v>
      </c>
      <c r="GH542">
        <v>19.737921471560863</v>
      </c>
      <c r="GI542">
        <v>18.882162844232912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70.3125</v>
      </c>
      <c r="E543" s="108">
        <f>E411</f>
        <v>0.50469367914240337</v>
      </c>
      <c r="F543" s="102"/>
      <c r="G543" s="101">
        <f>D543*E543</f>
        <v>35.486274314700239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77.505119778820017</v>
      </c>
      <c r="AO543">
        <v>30.343807894850563</v>
      </c>
      <c r="AP543">
        <v>214.46465843030867</v>
      </c>
      <c r="AQ543">
        <v>177.43058638895715</v>
      </c>
      <c r="AR543">
        <v>27.514021927388072</v>
      </c>
      <c r="AS543">
        <v>129.79510647949024</v>
      </c>
      <c r="AT543" t="e">
        <v>#DIV/0!</v>
      </c>
      <c r="AU543" t="e">
        <v>#DIV/0!</v>
      </c>
      <c r="AV543"/>
      <c r="AW543"/>
      <c r="FY543" s="211">
        <v>538</v>
      </c>
      <c r="FZ543">
        <v>6.7610478239683642</v>
      </c>
      <c r="GA543">
        <v>20.824031266056718</v>
      </c>
      <c r="GB543">
        <v>14.629666800755922</v>
      </c>
      <c r="GC543">
        <v>11.509465470543596</v>
      </c>
      <c r="GD543">
        <v>10.079161274369653</v>
      </c>
      <c r="GE543">
        <v>14.791056555595041</v>
      </c>
      <c r="GF543">
        <v>33.109224118550621</v>
      </c>
      <c r="GG543">
        <v>27.876462519774044</v>
      </c>
      <c r="GH543">
        <v>11.018400617410977</v>
      </c>
      <c r="GI543">
        <v>18.696468074214707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0.10492707420510905</v>
      </c>
      <c r="I544" s="101">
        <f>AVERAGE(D543:D545)</f>
        <v>62.424242424242422</v>
      </c>
      <c r="J544" s="101">
        <f>I544*H544</f>
        <v>6.5499931170462009</v>
      </c>
      <c r="K544" s="61">
        <f>J544/(C545-C543)</f>
        <v>0.10396814471501906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87.020459353706002</v>
      </c>
      <c r="AO544">
        <v>37.226519712255218</v>
      </c>
      <c r="AP544">
        <v>263.76646344330635</v>
      </c>
      <c r="AQ544">
        <v>216.14836288048474</v>
      </c>
      <c r="AR544">
        <v>33.293050950114647</v>
      </c>
      <c r="AS544">
        <v>161.47168374289564</v>
      </c>
      <c r="AT544">
        <v>25.682875829605468</v>
      </c>
      <c r="AU544">
        <v>44.140102281971231</v>
      </c>
      <c r="AV544"/>
      <c r="AW544"/>
      <c r="FY544" s="211">
        <v>539</v>
      </c>
      <c r="FZ544">
        <v>5.3079582556125358</v>
      </c>
      <c r="GA544">
        <v>19.476010205728301</v>
      </c>
      <c r="GB544">
        <v>17.212972516326204</v>
      </c>
      <c r="GC544">
        <v>11.79092184185779</v>
      </c>
      <c r="GD544">
        <v>12.981167982222194</v>
      </c>
      <c r="GE544">
        <v>25.646417200497357</v>
      </c>
      <c r="GF544">
        <v>35.45778098198096</v>
      </c>
      <c r="GG544">
        <v>32.958144815578095</v>
      </c>
      <c r="GH544">
        <v>19.286605247871147</v>
      </c>
      <c r="GI544">
        <v>22.635256808440786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54.535984848484851</v>
      </c>
      <c r="E545" s="108">
        <f>E412</f>
        <v>0.60962075334751242</v>
      </c>
      <c r="F545" s="102"/>
      <c r="G545" s="101">
        <f>D545*E545</f>
        <v>33.246268167881858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98.049555865326141</v>
      </c>
      <c r="AO545">
        <v>40.351991386700888</v>
      </c>
      <c r="AP545">
        <v>262.38413334988542</v>
      </c>
      <c r="AQ545">
        <v>213.28515108853</v>
      </c>
      <c r="AR545">
        <v>36.844182923548622</v>
      </c>
      <c r="AS545">
        <v>183.33938861355117</v>
      </c>
      <c r="AT545">
        <v>26.957165196565878</v>
      </c>
      <c r="AU545">
        <v>54.202548222097874</v>
      </c>
      <c r="AV545"/>
      <c r="AW545"/>
      <c r="FY545" s="211">
        <v>540</v>
      </c>
      <c r="FZ545">
        <v>2.7172252722181676</v>
      </c>
      <c r="GA545">
        <v>23.627160782091444</v>
      </c>
      <c r="GB545">
        <v>18.776798169921854</v>
      </c>
      <c r="GC545">
        <v>12.953972604506154</v>
      </c>
      <c r="GD545">
        <v>13.922019866523101</v>
      </c>
      <c r="GE545">
        <v>25.378712904443049</v>
      </c>
      <c r="GF545">
        <v>24.043413759804064</v>
      </c>
      <c r="GG545">
        <v>14.9680187575409</v>
      </c>
      <c r="GH545">
        <v>12.046777931217269</v>
      </c>
      <c r="GI545">
        <v>19.960493550729382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-0.39857768602456389</v>
      </c>
      <c r="I546" s="101">
        <f>AVERAGE(D545:D547)</f>
        <v>78.048196574175492</v>
      </c>
      <c r="J546" s="101">
        <f>I546*H546</f>
        <v>-31.108269588925161</v>
      </c>
      <c r="K546" s="61">
        <f>J546/(C547-C545)</f>
        <v>-0.79764793817756818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85.252718664533887</v>
      </c>
      <c r="AO546">
        <v>36.631737220953632</v>
      </c>
      <c r="AP546">
        <v>225.10623342212878</v>
      </c>
      <c r="AQ546">
        <v>195.81109297181155</v>
      </c>
      <c r="AR546">
        <v>33.472442182236485</v>
      </c>
      <c r="AS546">
        <v>149.71506272008816</v>
      </c>
      <c r="AT546">
        <v>25.660078634598438</v>
      </c>
      <c r="AU546">
        <v>49.015348529718032</v>
      </c>
      <c r="AV546"/>
      <c r="AW546"/>
      <c r="FY546" s="211">
        <v>541</v>
      </c>
      <c r="FZ546">
        <v>6.1466210755612058</v>
      </c>
      <c r="GA546">
        <v>10.877944491873119</v>
      </c>
      <c r="GB546">
        <v>7.7940181624863794</v>
      </c>
      <c r="GC546">
        <v>13.066346273395244</v>
      </c>
      <c r="GD546">
        <v>18.358027132130978</v>
      </c>
      <c r="GE546">
        <v>28.837560690446566</v>
      </c>
      <c r="GF546">
        <v>23.104052104278171</v>
      </c>
      <c r="GG546">
        <v>29.040189175067329</v>
      </c>
      <c r="GH546">
        <v>24.659456666256251</v>
      </c>
      <c r="GI546">
        <v>22.277197386039717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101.56040829986614</v>
      </c>
      <c r="E547" s="108">
        <f>E413</f>
        <v>0.21104306732294856</v>
      </c>
      <c r="F547" s="102"/>
      <c r="G547" s="101">
        <f>D547*E547</f>
        <v>21.433620086174795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86.430636538477842</v>
      </c>
      <c r="AO547">
        <v>34.755059132955118</v>
      </c>
      <c r="AP547">
        <v>235.94636647967019</v>
      </c>
      <c r="AQ547">
        <v>196.62777648466397</v>
      </c>
      <c r="AR547">
        <v>31.745506164216433</v>
      </c>
      <c r="AS547">
        <v>141.87289702110218</v>
      </c>
      <c r="AT547">
        <v>23.517678237039835</v>
      </c>
      <c r="AU547">
        <v>38.372294699397301</v>
      </c>
      <c r="AV547"/>
      <c r="AW547"/>
      <c r="FY547" s="211">
        <v>542</v>
      </c>
      <c r="FZ547">
        <v>4.8043583217052417</v>
      </c>
      <c r="GA547">
        <v>15.213304123800768</v>
      </c>
      <c r="GB547">
        <v>19.625081174902562</v>
      </c>
      <c r="GC547">
        <v>13.217547682410034</v>
      </c>
      <c r="GD547">
        <v>8.0315289977576665</v>
      </c>
      <c r="GE547">
        <v>18.978190273126529</v>
      </c>
      <c r="GF547">
        <v>34.653027871000646</v>
      </c>
      <c r="GG547">
        <v>21.729370416895463</v>
      </c>
      <c r="GH547">
        <v>9.7916218276308999</v>
      </c>
      <c r="GI547">
        <v>18.579553970709824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0.1917062138370684</v>
      </c>
      <c r="I548" s="101">
        <f>AVERAGE(D547:D549)</f>
        <v>57.791422098651019</v>
      </c>
      <c r="J548" s="101">
        <f>I548*H548</f>
        <v>11.078974722792273</v>
      </c>
      <c r="K548" s="61">
        <f>J548/(C549-C547)</f>
        <v>0.29155196638927033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81.609040554644679</v>
      </c>
      <c r="AO548">
        <v>29.743451892995392</v>
      </c>
      <c r="AP548">
        <v>187.56004782195481</v>
      </c>
      <c r="AQ548">
        <v>163.905802681604</v>
      </c>
      <c r="AR548">
        <v>27.415050939837553</v>
      </c>
      <c r="AS548">
        <v>134.63852896318937</v>
      </c>
      <c r="AT548" t="e">
        <v>#DIV/0!</v>
      </c>
      <c r="AU548" t="e">
        <v>#DIV/0!</v>
      </c>
      <c r="AV548"/>
      <c r="AW548"/>
      <c r="FY548" s="211">
        <v>543</v>
      </c>
      <c r="FZ548">
        <v>3.4260039636308139</v>
      </c>
      <c r="GA548">
        <v>19.344553088524076</v>
      </c>
      <c r="GB548">
        <v>15.299074073266112</v>
      </c>
      <c r="GC548">
        <v>16.291499898252876</v>
      </c>
      <c r="GD548">
        <v>14.087297240185254</v>
      </c>
      <c r="GE548">
        <v>21.742691024547266</v>
      </c>
      <c r="GF548">
        <v>28.0435397325897</v>
      </c>
      <c r="GG548">
        <v>24.424975987127759</v>
      </c>
      <c r="GH548">
        <v>22.914525033524622</v>
      </c>
      <c r="GI548">
        <v>21.785924361798223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14.022435897435898</v>
      </c>
      <c r="E549" s="108">
        <f>E414</f>
        <v>0.40274928116001696</v>
      </c>
      <c r="F549" s="102"/>
      <c r="G549" s="101">
        <f>D549*E549</f>
        <v>5.6475259778047251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96.98691976558213</v>
      </c>
      <c r="AO549">
        <v>31.294563438205763</v>
      </c>
      <c r="AP549">
        <v>217.75569444545067</v>
      </c>
      <c r="AQ549">
        <v>183.23337198606495</v>
      </c>
      <c r="AR549">
        <v>28.509858646028412</v>
      </c>
      <c r="AS549">
        <v>155.45573946237187</v>
      </c>
      <c r="AT549">
        <v>21.408266523842283</v>
      </c>
      <c r="AU549">
        <v>41.336362649417097</v>
      </c>
      <c r="AV549"/>
      <c r="AW549"/>
      <c r="FY549" s="211">
        <v>544</v>
      </c>
      <c r="FZ549">
        <v>10.545774052117975</v>
      </c>
      <c r="GA549">
        <v>18.856567700301902</v>
      </c>
      <c r="GB549">
        <v>25.439749454748323</v>
      </c>
      <c r="GC549">
        <v>17.224655352115551</v>
      </c>
      <c r="GD549">
        <v>11.348315574394398</v>
      </c>
      <c r="GE549">
        <v>22.261812698581888</v>
      </c>
      <c r="GF549">
        <v>27.824099731560114</v>
      </c>
      <c r="GG549">
        <v>23.67127615363318</v>
      </c>
      <c r="GH549">
        <v>17.769693822075247</v>
      </c>
      <c r="GI549">
        <v>22.912045192221306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-0.40274928116001696</v>
      </c>
      <c r="I550" s="101">
        <f>AVERAGE(D549:D551)</f>
        <v>7.0112179487179489</v>
      </c>
      <c r="J550" s="101">
        <f>I550*H550</f>
        <v>-2.8237629889023625</v>
      </c>
      <c r="K550" s="61">
        <f>J550/(C551-C549)</f>
        <v>7.0617025255767182E-5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69.184446582151651</v>
      </c>
      <c r="AO550">
        <v>25.060061123479706</v>
      </c>
      <c r="AP550">
        <v>181.27805190084877</v>
      </c>
      <c r="AQ550">
        <v>152.93524478548844</v>
      </c>
      <c r="AR550">
        <v>22.771265192043604</v>
      </c>
      <c r="AS550">
        <v>108.5909354924667</v>
      </c>
      <c r="AT550" t="e">
        <v>#DIV/0!</v>
      </c>
      <c r="AU550" t="e">
        <v>#DIV/0!</v>
      </c>
      <c r="AV550"/>
      <c r="AW550"/>
      <c r="FY550" s="211">
        <v>545</v>
      </c>
      <c r="FZ550">
        <v>3.3168029293971566</v>
      </c>
      <c r="GA550">
        <v>15.99840257439533</v>
      </c>
      <c r="GB550">
        <v>26.548088315312501</v>
      </c>
      <c r="GC550">
        <v>17.22154551331095</v>
      </c>
      <c r="GD550">
        <v>10.760157890572211</v>
      </c>
      <c r="GE550">
        <v>16.687636858111919</v>
      </c>
      <c r="GF550">
        <v>25.118222308942258</v>
      </c>
      <c r="GG550">
        <v>23.699862839201902</v>
      </c>
      <c r="GH550">
        <v>14.229860162939241</v>
      </c>
      <c r="GI550">
        <v>20.611415261512349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105.44024759765371</v>
      </c>
      <c r="AO551">
        <v>34.170607637939135</v>
      </c>
      <c r="AP551">
        <v>250.50528170981011</v>
      </c>
      <c r="AQ551">
        <v>207.40415496394479</v>
      </c>
      <c r="AR551">
        <v>30.913161425888578</v>
      </c>
      <c r="AS551">
        <v>159.62770541728915</v>
      </c>
      <c r="AT551" t="e">
        <v>#DIV/0!</v>
      </c>
      <c r="AU551" t="e">
        <v>#DIV/0!</v>
      </c>
      <c r="AV551"/>
      <c r="AW551"/>
      <c r="FY551" s="211">
        <v>546</v>
      </c>
      <c r="FZ551">
        <v>8.3709573104511534</v>
      </c>
      <c r="GA551">
        <v>17.682465459812551</v>
      </c>
      <c r="GB551">
        <v>20.902812362460569</v>
      </c>
      <c r="GC551">
        <v>17.545950076335011</v>
      </c>
      <c r="GD551">
        <v>11.889386433677462</v>
      </c>
      <c r="GE551">
        <v>14.738878423671444</v>
      </c>
      <c r="GF551">
        <v>18.673894203312035</v>
      </c>
      <c r="GG551">
        <v>10.968138316789762</v>
      </c>
      <c r="GH551">
        <v>1.6586270874072477</v>
      </c>
      <c r="GI551">
        <v>17.410479706021899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73.282848880047169</v>
      </c>
      <c r="AO552">
        <v>32.672555588364183</v>
      </c>
      <c r="AP552">
        <v>205.72657987597816</v>
      </c>
      <c r="AQ552">
        <v>174.61654456238597</v>
      </c>
      <c r="AR552">
        <v>29.785433816068419</v>
      </c>
      <c r="AS552">
        <v>138.06556003236639</v>
      </c>
      <c r="AT552">
        <v>22.558133718386316</v>
      </c>
      <c r="AU552">
        <v>39.857126935091713</v>
      </c>
      <c r="AV552"/>
      <c r="AW552"/>
      <c r="FY552" s="211">
        <v>547</v>
      </c>
      <c r="FZ552">
        <v>3.3456732635537332</v>
      </c>
      <c r="GA552">
        <v>26.097385688735407</v>
      </c>
      <c r="GB552">
        <v>23.836160450770027</v>
      </c>
      <c r="GC552">
        <v>17.68054166486818</v>
      </c>
      <c r="GD552">
        <v>15.00747168339584</v>
      </c>
      <c r="GE552">
        <v>21.030059461859729</v>
      </c>
      <c r="GF552">
        <v>32.764220727629571</v>
      </c>
      <c r="GG552">
        <v>33.8870408191639</v>
      </c>
      <c r="GH552">
        <v>21.260440824186766</v>
      </c>
      <c r="GI552">
        <v>25.110231224220545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68.92221286703591</v>
      </c>
      <c r="AO553">
        <v>28.653364714378927</v>
      </c>
      <c r="AP553">
        <v>181.12821216801177</v>
      </c>
      <c r="AQ553">
        <v>155.81697898743272</v>
      </c>
      <c r="AR553">
        <v>26.23800908033088</v>
      </c>
      <c r="AS553">
        <v>126.18651575210234</v>
      </c>
      <c r="AT553">
        <v>19.538009528471399</v>
      </c>
      <c r="AU553">
        <v>31.629215333386778</v>
      </c>
      <c r="AV553"/>
      <c r="AW553"/>
      <c r="FY553" s="211">
        <v>548</v>
      </c>
      <c r="FZ553">
        <v>3.0868304900444214</v>
      </c>
      <c r="GA553">
        <v>19.927527557702554</v>
      </c>
      <c r="GB553">
        <v>22.692049534984669</v>
      </c>
      <c r="GC553">
        <v>20.092189444528231</v>
      </c>
      <c r="GD553">
        <v>18.543587517567659</v>
      </c>
      <c r="GE553">
        <v>23.005422498350608</v>
      </c>
      <c r="GF553">
        <v>17.179080516099738</v>
      </c>
      <c r="GG553">
        <v>22.805943875845095</v>
      </c>
      <c r="GH553">
        <v>19.126319504742082</v>
      </c>
      <c r="GI553">
        <v>23.659524883975966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85.494754857286438</v>
      </c>
      <c r="AO554">
        <v>28.15693814755182</v>
      </c>
      <c r="AP554">
        <v>202.63088771728067</v>
      </c>
      <c r="AQ554">
        <v>169.29498452123966</v>
      </c>
      <c r="AR554">
        <v>25.891053622557958</v>
      </c>
      <c r="AS554">
        <v>136.60012253550926</v>
      </c>
      <c r="AT554">
        <v>19.233768002565395</v>
      </c>
      <c r="AU554">
        <v>41.786390860585065</v>
      </c>
      <c r="AV554"/>
      <c r="AW554"/>
      <c r="FY554" s="211">
        <v>549</v>
      </c>
      <c r="FZ554">
        <v>8.2067582070389538</v>
      </c>
      <c r="GA554">
        <v>30.512223810209626</v>
      </c>
      <c r="GB554">
        <v>33.661201677927238</v>
      </c>
      <c r="GC554">
        <v>17.683498024007356</v>
      </c>
      <c r="GD554">
        <v>11.161226899895793</v>
      </c>
      <c r="GE554">
        <v>20.089724607092396</v>
      </c>
      <c r="GF554">
        <v>17.60406880684242</v>
      </c>
      <c r="GG554">
        <v>15.82744602240698</v>
      </c>
      <c r="GH554">
        <v>13.458792572271758</v>
      </c>
      <c r="GI554">
        <v>21.850578715426906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97.432259854394829</v>
      </c>
      <c r="AO555">
        <v>34.440738106643892</v>
      </c>
      <c r="AP555">
        <v>237.7287998773289</v>
      </c>
      <c r="AQ555">
        <v>202.75323585611534</v>
      </c>
      <c r="AR555">
        <v>31.250799404173019</v>
      </c>
      <c r="AS555">
        <v>158.93248588133915</v>
      </c>
      <c r="AT555" t="e">
        <v>#DIV/0!</v>
      </c>
      <c r="AU555" t="e">
        <v>#DIV/0!</v>
      </c>
      <c r="AV555"/>
      <c r="AW555"/>
      <c r="FY555" s="211">
        <v>550</v>
      </c>
      <c r="FZ555">
        <v>1.4893518153811658</v>
      </c>
      <c r="GA555">
        <v>17.015850231675586</v>
      </c>
      <c r="GB555">
        <v>22.369145791336287</v>
      </c>
      <c r="GC555">
        <v>13.795830827875362</v>
      </c>
      <c r="GD555">
        <v>9.094559348746742</v>
      </c>
      <c r="GE555">
        <v>19.954048137918353</v>
      </c>
      <c r="GF555">
        <v>33.105966718353365</v>
      </c>
      <c r="GG555">
        <v>17.209636280524126</v>
      </c>
      <c r="GH555">
        <v>5.3836965978176679</v>
      </c>
      <c r="GI555">
        <v>18.462392787825685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20.982464852387746</v>
      </c>
      <c r="H556" s="63" t="s">
        <v>103</v>
      </c>
      <c r="I556" s="123">
        <f>SUM(J532:J552)+G531</f>
        <v>11.929451430221823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79.479783616956496</v>
      </c>
      <c r="AO556">
        <v>30.278721910498639</v>
      </c>
      <c r="AP556">
        <v>191.54208938498806</v>
      </c>
      <c r="AQ556">
        <v>168.39459359899539</v>
      </c>
      <c r="AR556">
        <v>27.389718942457726</v>
      </c>
      <c r="AS556">
        <v>137.54290626071597</v>
      </c>
      <c r="AT556">
        <v>20.923850460357581</v>
      </c>
      <c r="AU556">
        <v>50.345705936687274</v>
      </c>
      <c r="AV556"/>
      <c r="AW556"/>
      <c r="FY556" s="211">
        <v>551</v>
      </c>
      <c r="FZ556">
        <v>8.4826848292526922</v>
      </c>
      <c r="GA556">
        <v>21.293393149889109</v>
      </c>
      <c r="GB556">
        <v>40.800775533820719</v>
      </c>
      <c r="GC556">
        <v>23.753109645959711</v>
      </c>
      <c r="GD556">
        <v>9.2523424954857312</v>
      </c>
      <c r="GE556">
        <v>16.58776530211026</v>
      </c>
      <c r="GF556">
        <v>20.593811222426584</v>
      </c>
      <c r="GG556">
        <v>25.739845034548726</v>
      </c>
      <c r="GH556">
        <v>21.279908750249312</v>
      </c>
      <c r="GI556">
        <v>24.318455329158017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82.67775946714525</v>
      </c>
      <c r="AO557">
        <v>34.065698599051693</v>
      </c>
      <c r="AP557">
        <v>198.5089025224425</v>
      </c>
      <c r="AQ557">
        <v>184.16141315753495</v>
      </c>
      <c r="AR557">
        <v>31.052801475999527</v>
      </c>
      <c r="AS557">
        <v>146.1110874093533</v>
      </c>
      <c r="AT557" t="e">
        <v>#DIV/0!</v>
      </c>
      <c r="AU557" t="e">
        <v>#DIV/0!</v>
      </c>
      <c r="AV557"/>
      <c r="AW557"/>
      <c r="FY557" s="211">
        <v>552</v>
      </c>
      <c r="FZ557">
        <v>5.0677344617362099</v>
      </c>
      <c r="GA557">
        <v>22.84203479053927</v>
      </c>
      <c r="GB557">
        <v>21.340431445290761</v>
      </c>
      <c r="GC557">
        <v>18.532655886103463</v>
      </c>
      <c r="GD557">
        <v>16.855639615985005</v>
      </c>
      <c r="GE557">
        <v>23.316419854132192</v>
      </c>
      <c r="GF557">
        <v>22.033651213930082</v>
      </c>
      <c r="GG557">
        <v>14.5512043088185</v>
      </c>
      <c r="GH557">
        <v>9.536071527785861</v>
      </c>
      <c r="GI557">
        <v>21.890035536267252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80.211785398403862</v>
      </c>
      <c r="AO558">
        <v>28.182277091138427</v>
      </c>
      <c r="AP558">
        <v>200.02891412805715</v>
      </c>
      <c r="AQ558">
        <v>164.62358465993964</v>
      </c>
      <c r="AR558">
        <v>25.387231349961173</v>
      </c>
      <c r="AS558">
        <v>130.01949154493971</v>
      </c>
      <c r="AT558">
        <v>19.107205692089796</v>
      </c>
      <c r="AU558">
        <v>28.278298925184853</v>
      </c>
      <c r="AV558"/>
      <c r="AW558"/>
      <c r="FY558" s="211">
        <v>553</v>
      </c>
      <c r="FZ558">
        <v>2.0050257200677057</v>
      </c>
      <c r="GA558">
        <v>12.968584410388901</v>
      </c>
      <c r="GB558">
        <v>35.334221927013253</v>
      </c>
      <c r="GC558">
        <v>22.935635907551593</v>
      </c>
      <c r="GD558">
        <v>8.7268689207136561</v>
      </c>
      <c r="GE558">
        <v>15.228154730241801</v>
      </c>
      <c r="GF558">
        <v>18.83186994796916</v>
      </c>
      <c r="GG558">
        <v>12.811694518549139</v>
      </c>
      <c r="GH558">
        <v>11.115424597420722</v>
      </c>
      <c r="GI558">
        <v>19.748426274541909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0.56854385383918726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84.294608770993264</v>
      </c>
      <c r="AO559">
        <v>33.217766896605468</v>
      </c>
      <c r="AP559">
        <v>215.65621905074195</v>
      </c>
      <c r="AQ559">
        <v>187.36008440344671</v>
      </c>
      <c r="AR559">
        <v>29.849189390535553</v>
      </c>
      <c r="AS559">
        <v>152.02913295239242</v>
      </c>
      <c r="AT559" t="e">
        <v>#DIV/0!</v>
      </c>
      <c r="AU559" t="e">
        <v>#DIV/0!</v>
      </c>
      <c r="AV559"/>
      <c r="AW559"/>
      <c r="FY559" s="211">
        <v>554</v>
      </c>
      <c r="FZ559">
        <v>3.9887139681831743</v>
      </c>
      <c r="GA559">
        <v>10.288251009803428</v>
      </c>
      <c r="GB559">
        <v>17.669124671657027</v>
      </c>
      <c r="GC559">
        <v>13.953744334275154</v>
      </c>
      <c r="GD559">
        <v>11.081312990681242</v>
      </c>
      <c r="GE559">
        <v>23.848686895391836</v>
      </c>
      <c r="GF559">
        <v>22.026590104286662</v>
      </c>
      <c r="GG559">
        <v>6.6283197098276956</v>
      </c>
      <c r="GH559">
        <v>6.679219332799871</v>
      </c>
      <c r="GI559">
        <v>16.923896001983451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94.703363197943261</v>
      </c>
      <c r="AO560">
        <v>34.513927267240248</v>
      </c>
      <c r="AP560">
        <v>236.46802643809804</v>
      </c>
      <c r="AQ560">
        <v>197.85398973174992</v>
      </c>
      <c r="AR560">
        <v>31.793753706541768</v>
      </c>
      <c r="AS560">
        <v>161.53413193851824</v>
      </c>
      <c r="AT560">
        <v>23.719366409529698</v>
      </c>
      <c r="AU560">
        <v>45.722479398577732</v>
      </c>
      <c r="AV560"/>
      <c r="AW560"/>
      <c r="FY560" s="211">
        <v>555</v>
      </c>
      <c r="FZ560">
        <v>2.1970839389463257</v>
      </c>
      <c r="GA560">
        <v>8.6939870785413031</v>
      </c>
      <c r="GB560">
        <v>15.802224226477639</v>
      </c>
      <c r="GC560">
        <v>11.080842252821544</v>
      </c>
      <c r="GD560">
        <v>9.8718033841032184</v>
      </c>
      <c r="GE560">
        <v>19.015745903819521</v>
      </c>
      <c r="GF560">
        <v>24.505153205225465</v>
      </c>
      <c r="GG560">
        <v>29.711410321205509</v>
      </c>
      <c r="GH560">
        <v>25.078265083931253</v>
      </c>
      <c r="GI560">
        <v>18.862721016262562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77.988095287216495</v>
      </c>
      <c r="AO561">
        <v>31.109100564751838</v>
      </c>
      <c r="AP561">
        <v>211.66907657533571</v>
      </c>
      <c r="AQ561">
        <v>174.19199465369582</v>
      </c>
      <c r="AR561">
        <v>28.817695527917671</v>
      </c>
      <c r="AS561">
        <v>131.48865065879099</v>
      </c>
      <c r="AT561">
        <v>20.875985707328081</v>
      </c>
      <c r="AU561">
        <v>13.070888755712048</v>
      </c>
      <c r="AV561"/>
      <c r="AW561"/>
      <c r="FY561" s="211">
        <v>556</v>
      </c>
      <c r="FZ561">
        <v>6.1613596524008951</v>
      </c>
      <c r="GA561">
        <v>18.737832583382009</v>
      </c>
      <c r="GB561">
        <v>20.684360463548554</v>
      </c>
      <c r="GC561">
        <v>13.368664155159509</v>
      </c>
      <c r="GD561">
        <v>10.528777328286623</v>
      </c>
      <c r="GE561">
        <v>28.474136199429715</v>
      </c>
      <c r="GF561">
        <v>36.768604324994698</v>
      </c>
      <c r="GG561">
        <v>20.777591914144228</v>
      </c>
      <c r="GH561">
        <v>15.452096074649921</v>
      </c>
      <c r="GI561">
        <v>21.847254966112818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88.553158606558156</v>
      </c>
      <c r="AO562">
        <v>26.247856827619852</v>
      </c>
      <c r="AP562">
        <v>159.67056831996155</v>
      </c>
      <c r="AQ562">
        <v>139.84158937993914</v>
      </c>
      <c r="AR562">
        <v>24.250942801678487</v>
      </c>
      <c r="AS562">
        <v>125.78027248663649</v>
      </c>
      <c r="AT562">
        <v>17.45122062882098</v>
      </c>
      <c r="AU562">
        <v>40.164871617784542</v>
      </c>
      <c r="AV562"/>
      <c r="AW562"/>
      <c r="FY562" s="211">
        <v>557</v>
      </c>
      <c r="FZ562">
        <v>1.7067136441327355</v>
      </c>
      <c r="GA562">
        <v>15.069170759199995</v>
      </c>
      <c r="GB562">
        <v>15.029347100091906</v>
      </c>
      <c r="GC562">
        <v>10.950622233600878</v>
      </c>
      <c r="GD562">
        <v>8.2094777717531677</v>
      </c>
      <c r="GE562">
        <v>16.201380853833196</v>
      </c>
      <c r="GF562">
        <v>28.102593748830888</v>
      </c>
      <c r="GG562">
        <v>32.533341656494613</v>
      </c>
      <c r="GH562">
        <v>29.169768873428993</v>
      </c>
      <c r="GI562">
        <v>18.949599492104973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95.817434777364213</v>
      </c>
      <c r="AO563">
        <v>38.296668217497697</v>
      </c>
      <c r="AP563">
        <v>262.04754026477906</v>
      </c>
      <c r="AQ563">
        <v>220.01922580838371</v>
      </c>
      <c r="AR563">
        <v>34.950369592006332</v>
      </c>
      <c r="AS563">
        <v>164.10984135056742</v>
      </c>
      <c r="AT563" t="e">
        <v>#DIV/0!</v>
      </c>
      <c r="AU563" t="e">
        <v>#DIV/0!</v>
      </c>
      <c r="AV563"/>
      <c r="AW563"/>
      <c r="FY563" s="211">
        <v>558</v>
      </c>
      <c r="FZ563">
        <v>5.5739728085213738</v>
      </c>
      <c r="GA563">
        <v>10.228147793816747</v>
      </c>
      <c r="GB563">
        <v>15.653874794574458</v>
      </c>
      <c r="GC563">
        <v>10.549776323260499</v>
      </c>
      <c r="GD563">
        <v>8.3071265519845117</v>
      </c>
      <c r="GE563">
        <v>18.304732232931745</v>
      </c>
      <c r="GF563">
        <v>27.12320712950304</v>
      </c>
      <c r="GG563">
        <v>20.89338132111547</v>
      </c>
      <c r="GH563">
        <v>8.617133876790378</v>
      </c>
      <c r="GI563">
        <v>16.222325381595326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87.579762868679012</v>
      </c>
      <c r="AO564">
        <v>36.097318762094282</v>
      </c>
      <c r="AP564">
        <v>212.99008228220973</v>
      </c>
      <c r="AQ564">
        <v>190.11847582384101</v>
      </c>
      <c r="AR564">
        <v>33.161122060782468</v>
      </c>
      <c r="AS564">
        <v>206.97543141383494</v>
      </c>
      <c r="AT564" t="e">
        <v>#DIV/0!</v>
      </c>
      <c r="AU564" t="e">
        <v>#DIV/0!</v>
      </c>
      <c r="AV564"/>
      <c r="AW564"/>
      <c r="FY564" s="211">
        <v>559</v>
      </c>
      <c r="FZ564">
        <v>9.2350696038185855</v>
      </c>
      <c r="GA564">
        <v>22.829930383959748</v>
      </c>
      <c r="GB564">
        <v>35.477344395476841</v>
      </c>
      <c r="GC564">
        <v>23.103191691069988</v>
      </c>
      <c r="GD564">
        <v>14.020000463418448</v>
      </c>
      <c r="GE564">
        <v>24.00595585798251</v>
      </c>
      <c r="GF564">
        <v>20.298447549340082</v>
      </c>
      <c r="GG564">
        <v>28.01342713026704</v>
      </c>
      <c r="GH564">
        <v>30.558985661758662</v>
      </c>
      <c r="GI564">
        <v>27.432257580738028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102.71547543660236</v>
      </c>
      <c r="AO565">
        <v>33.082369220809305</v>
      </c>
      <c r="AP565">
        <v>229.77843810600356</v>
      </c>
      <c r="AQ565">
        <v>190.05551934311941</v>
      </c>
      <c r="AR565">
        <v>30.435973861251895</v>
      </c>
      <c r="AS565">
        <v>155.64167077791112</v>
      </c>
      <c r="AT565">
        <v>22.152625114827455</v>
      </c>
      <c r="AU565">
        <v>59.544649757202883</v>
      </c>
      <c r="AV565"/>
      <c r="AW565"/>
      <c r="FY565" s="211">
        <v>560</v>
      </c>
      <c r="FZ565">
        <v>4.2184790016501941</v>
      </c>
      <c r="GA565">
        <v>10.721988255399975</v>
      </c>
      <c r="GB565">
        <v>13.708427369425095</v>
      </c>
      <c r="GC565">
        <v>14.72994193015038</v>
      </c>
      <c r="GD565">
        <v>13.556729933706276</v>
      </c>
      <c r="GE565">
        <v>21.472672129303149</v>
      </c>
      <c r="GF565">
        <v>20.898471341828575</v>
      </c>
      <c r="GG565">
        <v>23.798888363941458</v>
      </c>
      <c r="GH565">
        <v>23.903777133090731</v>
      </c>
      <c r="GI565">
        <v>20.009360877455826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66.203557188077482</v>
      </c>
      <c r="AO566">
        <v>28.058974897652263</v>
      </c>
      <c r="AP566">
        <v>192.78031493469555</v>
      </c>
      <c r="AQ566">
        <v>157.88047853745434</v>
      </c>
      <c r="AR566">
        <v>25.297657523266942</v>
      </c>
      <c r="AS566">
        <v>114.37256109357185</v>
      </c>
      <c r="AT566">
        <v>19.415165799959766</v>
      </c>
      <c r="AU566">
        <v>38.643478554932983</v>
      </c>
      <c r="AV566"/>
      <c r="AW566"/>
      <c r="FY566" s="211">
        <v>561</v>
      </c>
      <c r="FZ566">
        <v>5.378851983866733</v>
      </c>
      <c r="GA566">
        <v>17.364886567080692</v>
      </c>
      <c r="GB566">
        <v>20.76964544529655</v>
      </c>
      <c r="GC566">
        <v>15.234561264148743</v>
      </c>
      <c r="GD566">
        <v>11.648466507225962</v>
      </c>
      <c r="GE566">
        <v>22.169437614216367</v>
      </c>
      <c r="GF566">
        <v>32.27865501280521</v>
      </c>
      <c r="GG566">
        <v>41.944687795752564</v>
      </c>
      <c r="GH566">
        <v>37.734611911279814</v>
      </c>
      <c r="GI566">
        <v>25.111131597171312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103.55917459075162</v>
      </c>
      <c r="AO567">
        <v>37.117882841526118</v>
      </c>
      <c r="AP567">
        <v>264.80511239418934</v>
      </c>
      <c r="AQ567">
        <v>212.10209129290087</v>
      </c>
      <c r="AR567">
        <v>34.04508845875587</v>
      </c>
      <c r="AS567">
        <v>162.35115078490938</v>
      </c>
      <c r="AT567" t="e">
        <v>#DIV/0!</v>
      </c>
      <c r="AU567" t="e">
        <v>#DIV/0!</v>
      </c>
      <c r="AV567"/>
      <c r="AW567"/>
      <c r="FY567" s="211">
        <v>562</v>
      </c>
      <c r="FZ567">
        <v>5.124325789866643</v>
      </c>
      <c r="GA567">
        <v>14.512169066444912</v>
      </c>
      <c r="GB567">
        <v>11.75895114775378</v>
      </c>
      <c r="GC567">
        <v>11.167731735631213</v>
      </c>
      <c r="GD567">
        <v>13.004909956189323</v>
      </c>
      <c r="GE567">
        <v>25.449594932934396</v>
      </c>
      <c r="GF567">
        <v>30.096406728166556</v>
      </c>
      <c r="GG567">
        <v>27.289376644658422</v>
      </c>
      <c r="GH567">
        <v>21.279908750249309</v>
      </c>
      <c r="GI567">
        <v>20.623781434933779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85.599983417605046</v>
      </c>
      <c r="AO568">
        <v>33.080203659508719</v>
      </c>
      <c r="AP568">
        <v>196.26367758185938</v>
      </c>
      <c r="AQ568">
        <v>175.96587864058861</v>
      </c>
      <c r="AR568">
        <v>30.308704856205097</v>
      </c>
      <c r="AS568">
        <v>152.51312453205736</v>
      </c>
      <c r="AT568">
        <v>23.273002917982623</v>
      </c>
      <c r="AU568">
        <v>50.349847082531021</v>
      </c>
      <c r="AV568"/>
      <c r="AW568"/>
      <c r="FY568" s="211">
        <v>563</v>
      </c>
      <c r="FZ568">
        <v>3.4352688787253145</v>
      </c>
      <c r="GA568">
        <v>13.320998411002895</v>
      </c>
      <c r="GB568">
        <v>10.194672791928014</v>
      </c>
      <c r="GC568">
        <v>11.869323093314719</v>
      </c>
      <c r="GD568">
        <v>13.320652808592067</v>
      </c>
      <c r="GE568">
        <v>22.490523976941891</v>
      </c>
      <c r="GF568">
        <v>30.925833784328486</v>
      </c>
      <c r="GG568">
        <v>24.810676567221797</v>
      </c>
      <c r="GH568">
        <v>21.535227242880179</v>
      </c>
      <c r="GI568">
        <v>20.331465499072003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77.184570291111925</v>
      </c>
      <c r="AO569">
        <v>30.094637072666711</v>
      </c>
      <c r="AP569">
        <v>197.52432046105733</v>
      </c>
      <c r="AQ569">
        <v>159.70590695445782</v>
      </c>
      <c r="AR569">
        <v>27.30479425986141</v>
      </c>
      <c r="AS569">
        <v>131.84099317832909</v>
      </c>
      <c r="AT569" t="e">
        <v>#DIV/0!</v>
      </c>
      <c r="AU569" t="e">
        <v>#DIV/0!</v>
      </c>
      <c r="AV569"/>
      <c r="AW569"/>
      <c r="FY569" s="211">
        <v>564</v>
      </c>
      <c r="FZ569">
        <v>2.965584506057108</v>
      </c>
      <c r="GA569">
        <v>11.23624785813908</v>
      </c>
      <c r="GB569">
        <v>10.43381024747417</v>
      </c>
      <c r="GC569">
        <v>13.665714671314944</v>
      </c>
      <c r="GD569">
        <v>12.16707466769415</v>
      </c>
      <c r="GE569">
        <v>16.829239392134632</v>
      </c>
      <c r="GF569">
        <v>37.421806557715499</v>
      </c>
      <c r="GG569">
        <v>26.232505290802919</v>
      </c>
      <c r="GH569">
        <v>6.954111813960246</v>
      </c>
      <c r="GI569">
        <v>18.510421785652053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66.931888038818983</v>
      </c>
      <c r="AO570">
        <v>25.403148041479916</v>
      </c>
      <c r="AP570">
        <v>149.68409571211771</v>
      </c>
      <c r="AQ570">
        <v>133.08785901888956</v>
      </c>
      <c r="AR570">
        <v>23.02194181225337</v>
      </c>
      <c r="AS570">
        <v>110.65129715348591</v>
      </c>
      <c r="AT570">
        <v>17.564815809375911</v>
      </c>
      <c r="AU570">
        <v>46.755840148558818</v>
      </c>
      <c r="AV570"/>
      <c r="AW570"/>
      <c r="FY570" s="211">
        <v>565</v>
      </c>
      <c r="FZ570">
        <v>3.3878071720398348</v>
      </c>
      <c r="GA570">
        <v>17.211465049483984</v>
      </c>
      <c r="GB570">
        <v>23.905280508160054</v>
      </c>
      <c r="GC570">
        <v>15.772629389800688</v>
      </c>
      <c r="GD570">
        <v>10.433081765308188</v>
      </c>
      <c r="GE570">
        <v>23.364561764336678</v>
      </c>
      <c r="GF570">
        <v>50.929299765532008</v>
      </c>
      <c r="GG570">
        <v>33.796748698518172</v>
      </c>
      <c r="GH570">
        <v>8.3750643085070138</v>
      </c>
      <c r="GI570">
        <v>23.719060662737867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65.173175211439229</v>
      </c>
      <c r="AO571">
        <v>28.458207838793033</v>
      </c>
      <c r="AP571">
        <v>196.83395701490176</v>
      </c>
      <c r="AQ571">
        <v>164.81923641133432</v>
      </c>
      <c r="AR571">
        <v>26.26950013163496</v>
      </c>
      <c r="AS571">
        <v>120.37748351239296</v>
      </c>
      <c r="AT571">
        <v>19.569930141658904</v>
      </c>
      <c r="AU571">
        <v>21.475032347292597</v>
      </c>
      <c r="AV571"/>
      <c r="AW571"/>
      <c r="FY571" s="211">
        <v>566</v>
      </c>
      <c r="FZ571">
        <v>8.8675299145832245</v>
      </c>
      <c r="GA571">
        <v>20.022767306351213</v>
      </c>
      <c r="GB571">
        <v>21.199045356964973</v>
      </c>
      <c r="GC571">
        <v>13.834044611060383</v>
      </c>
      <c r="GD571">
        <v>10.297065716664591</v>
      </c>
      <c r="GE571">
        <v>19.760328234314887</v>
      </c>
      <c r="GF571">
        <v>27.646208666091894</v>
      </c>
      <c r="GG571">
        <v>17.201218889916859</v>
      </c>
      <c r="GH571">
        <v>4.8024077364939934</v>
      </c>
      <c r="GI571">
        <v>18.850558791923198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89.635826342399611</v>
      </c>
      <c r="AO572">
        <v>33.180667910283844</v>
      </c>
      <c r="AP572">
        <v>229.04040450145044</v>
      </c>
      <c r="AQ572">
        <v>192.80067766210897</v>
      </c>
      <c r="AR572">
        <v>29.663805807758994</v>
      </c>
      <c r="AS572">
        <v>145.53820895409731</v>
      </c>
      <c r="AT572">
        <v>22.84541058891995</v>
      </c>
      <c r="AU572">
        <v>52.651405569883075</v>
      </c>
      <c r="AV572"/>
      <c r="AW572"/>
      <c r="FY572" s="211">
        <v>567</v>
      </c>
      <c r="FZ572">
        <v>10.674152070751033</v>
      </c>
      <c r="GA572">
        <v>24.741976096938224</v>
      </c>
      <c r="GB572">
        <v>28.966303264858599</v>
      </c>
      <c r="GC572">
        <v>18.866912384574043</v>
      </c>
      <c r="GD572">
        <v>10.667283296819015</v>
      </c>
      <c r="GE572">
        <v>18.268970473487119</v>
      </c>
      <c r="GF572">
        <v>29.528471804043502</v>
      </c>
      <c r="GG572">
        <v>18.318785314856761</v>
      </c>
      <c r="GH572">
        <v>6.5581845486581898</v>
      </c>
      <c r="GI572">
        <v>21.891058296841866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65.039347589962489</v>
      </c>
      <c r="AO573">
        <v>28.910100536143055</v>
      </c>
      <c r="AP573">
        <v>215.81092943886125</v>
      </c>
      <c r="AQ573">
        <v>175.92201613347135</v>
      </c>
      <c r="AR573">
        <v>26.097367491084459</v>
      </c>
      <c r="AS573">
        <v>119.05777275253621</v>
      </c>
      <c r="AT573" t="e">
        <v>#DIV/0!</v>
      </c>
      <c r="AU573" t="e">
        <v>#DIV/0!</v>
      </c>
      <c r="AV573"/>
      <c r="AW573"/>
      <c r="FY573" s="211">
        <v>568</v>
      </c>
      <c r="FZ573">
        <v>2.7296157493501001</v>
      </c>
      <c r="GA573">
        <v>4.2568001270176996</v>
      </c>
      <c r="GB573">
        <v>21.582047047754152</v>
      </c>
      <c r="GC573">
        <v>20.217757018751744</v>
      </c>
      <c r="GD573">
        <v>12.181437559889563</v>
      </c>
      <c r="GE573">
        <v>20.059884476714419</v>
      </c>
      <c r="GF573">
        <v>33.554540776143703</v>
      </c>
      <c r="GG573">
        <v>21.66489730814509</v>
      </c>
      <c r="GH573">
        <v>7.9148102313250215</v>
      </c>
      <c r="GI573">
        <v>20.727263249555008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71.474795942081073</v>
      </c>
      <c r="AO574">
        <v>24.626752362288393</v>
      </c>
      <c r="AP574">
        <v>167.49711805667962</v>
      </c>
      <c r="AQ574">
        <v>141.47367821409352</v>
      </c>
      <c r="AR574">
        <v>22.380911437530795</v>
      </c>
      <c r="AS574">
        <v>119.04575474174676</v>
      </c>
      <c r="AT574" t="e">
        <v>#DIV/0!</v>
      </c>
      <c r="AU574" t="e">
        <v>#DIV/0!</v>
      </c>
      <c r="AV574"/>
      <c r="AW574"/>
      <c r="FY574" s="211">
        <v>569</v>
      </c>
      <c r="FZ574">
        <v>6.2034935608869972</v>
      </c>
      <c r="GA574">
        <v>17.080624293337738</v>
      </c>
      <c r="GB574">
        <v>13.370826528897554</v>
      </c>
      <c r="GC574">
        <v>10.314100193603517</v>
      </c>
      <c r="GD574">
        <v>11.337505609525762</v>
      </c>
      <c r="GE574">
        <v>25.861037232554175</v>
      </c>
      <c r="GF574">
        <v>36.215256716348264</v>
      </c>
      <c r="GG574">
        <v>18.746532696340136</v>
      </c>
      <c r="GH574">
        <v>7.6683456876187757</v>
      </c>
      <c r="GI574">
        <v>19.152575182818246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117.00893589153597</v>
      </c>
      <c r="AO575">
        <v>41.512325924337652</v>
      </c>
      <c r="AP575">
        <v>280.93666273515856</v>
      </c>
      <c r="AQ575">
        <v>234.97461031782993</v>
      </c>
      <c r="AR575">
        <v>38.305262758606311</v>
      </c>
      <c r="AS575">
        <v>184.64192274638592</v>
      </c>
      <c r="AT575">
        <v>27.723724244017461</v>
      </c>
      <c r="AU575">
        <v>40.068602579902233</v>
      </c>
      <c r="AV575"/>
      <c r="AW575"/>
      <c r="FY575" s="211">
        <v>570</v>
      </c>
      <c r="FZ575">
        <v>4.3004277399402326</v>
      </c>
      <c r="GA575">
        <v>6.0503498329321488</v>
      </c>
      <c r="GB575">
        <v>24.337530262751542</v>
      </c>
      <c r="GC575">
        <v>18.744415448198168</v>
      </c>
      <c r="GD575">
        <v>11.454675193133902</v>
      </c>
      <c r="GE575">
        <v>28.507151660788711</v>
      </c>
      <c r="GF575">
        <v>38.214672545164156</v>
      </c>
      <c r="GG575">
        <v>29.506861583695276</v>
      </c>
      <c r="GH575">
        <v>24.089012984365144</v>
      </c>
      <c r="GI575">
        <v>24.754465933349124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76.657202754727066</v>
      </c>
      <c r="AO576">
        <v>30.35469623545303</v>
      </c>
      <c r="AP576">
        <v>189.18757892585515</v>
      </c>
      <c r="AQ576">
        <v>167.01873633595167</v>
      </c>
      <c r="AR576">
        <v>27.700557365443544</v>
      </c>
      <c r="AS576">
        <v>132.0905370478543</v>
      </c>
      <c r="AT576">
        <v>20.684151251618385</v>
      </c>
      <c r="AU576">
        <v>35.843600963500904</v>
      </c>
      <c r="AV576"/>
      <c r="AW576"/>
      <c r="FY576" s="211">
        <v>571</v>
      </c>
      <c r="FZ576">
        <v>3.7975564536062292</v>
      </c>
      <c r="GA576">
        <v>17.556351311445354</v>
      </c>
      <c r="GB576">
        <v>31.579399014791498</v>
      </c>
      <c r="GC576">
        <v>17.441145083429831</v>
      </c>
      <c r="GD576">
        <v>8.4706918123339303</v>
      </c>
      <c r="GE576">
        <v>19.197378961510879</v>
      </c>
      <c r="GF576">
        <v>26.018825130124888</v>
      </c>
      <c r="GG576">
        <v>28.135473359098846</v>
      </c>
      <c r="GH576">
        <v>24.145846701374094</v>
      </c>
      <c r="GI576">
        <v>22.338119491040079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100.50079618237221</v>
      </c>
      <c r="AO577">
        <v>38.166613119217182</v>
      </c>
      <c r="AP577">
        <v>276.59182385929535</v>
      </c>
      <c r="AQ577">
        <v>229.63493569884395</v>
      </c>
      <c r="AR577">
        <v>34.795194917184908</v>
      </c>
      <c r="AS577">
        <v>170.72172742936215</v>
      </c>
      <c r="AT577">
        <v>25.883607969513122</v>
      </c>
      <c r="AU577">
        <v>38.109974275757232</v>
      </c>
      <c r="AV577"/>
      <c r="AW577"/>
      <c r="FY577" s="211">
        <v>572</v>
      </c>
      <c r="FZ577">
        <v>4.4354414167646787</v>
      </c>
      <c r="GA577">
        <v>13.349873026497226</v>
      </c>
      <c r="GB577">
        <v>20.122557896341309</v>
      </c>
      <c r="GC577">
        <v>15.795867001246316</v>
      </c>
      <c r="GD577">
        <v>9.685102097197392</v>
      </c>
      <c r="GE577">
        <v>17.872866125890404</v>
      </c>
      <c r="GF577">
        <v>25.27583525269911</v>
      </c>
      <c r="GG577">
        <v>21.166906655551283</v>
      </c>
      <c r="GH577">
        <v>19.743529398390866</v>
      </c>
      <c r="GI577">
        <v>19.442897623594785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73.867084773807164</v>
      </c>
      <c r="AO578">
        <v>31.414203381896858</v>
      </c>
      <c r="AP578">
        <v>206.91441331466646</v>
      </c>
      <c r="AQ578">
        <v>180.30715618682837</v>
      </c>
      <c r="AR578">
        <v>28.36370429312122</v>
      </c>
      <c r="AS578">
        <v>130.74112110107484</v>
      </c>
      <c r="AT578" t="e">
        <v>#DIV/0!</v>
      </c>
      <c r="AU578" t="e">
        <v>#DIV/0!</v>
      </c>
      <c r="AV578"/>
      <c r="AW578"/>
      <c r="FY578" s="211">
        <v>573</v>
      </c>
      <c r="FZ578">
        <v>1.8592749534816146</v>
      </c>
      <c r="GA578">
        <v>19.895544937589065</v>
      </c>
      <c r="GB578">
        <v>16.17553769465253</v>
      </c>
      <c r="GC578">
        <v>15.245236657735152</v>
      </c>
      <c r="GD578">
        <v>15.206522955278256</v>
      </c>
      <c r="GE578">
        <v>24.006211225105179</v>
      </c>
      <c r="GF578">
        <v>24.803446724839802</v>
      </c>
      <c r="GG578">
        <v>14.586149060517865</v>
      </c>
      <c r="GH578">
        <v>12.813302643815355</v>
      </c>
      <c r="GI578">
        <v>20.19668159792419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74.100019432033449</v>
      </c>
      <c r="AO579">
        <v>30.198114472605688</v>
      </c>
      <c r="AP579">
        <v>196.46728177809166</v>
      </c>
      <c r="AQ579">
        <v>172.23464305400739</v>
      </c>
      <c r="AR579">
        <v>27.948333830314695</v>
      </c>
      <c r="AS579">
        <v>134.75512677356889</v>
      </c>
      <c r="AT579">
        <v>21.97513636867464</v>
      </c>
      <c r="AU579">
        <v>33.537615327444222</v>
      </c>
      <c r="AV579"/>
      <c r="AW579"/>
      <c r="FY579" s="211">
        <v>574</v>
      </c>
      <c r="FZ579">
        <v>2.1323925200106082</v>
      </c>
      <c r="GA579">
        <v>4.4042413916757184</v>
      </c>
      <c r="GB579">
        <v>26.615641172009521</v>
      </c>
      <c r="GC579">
        <v>22.070282579898411</v>
      </c>
      <c r="GD579">
        <v>14.4571533964812</v>
      </c>
      <c r="GE579">
        <v>27.004119594612767</v>
      </c>
      <c r="GF579">
        <v>32.909924391998388</v>
      </c>
      <c r="GG579">
        <v>35.4901870255433</v>
      </c>
      <c r="GH579">
        <v>29.169768873428993</v>
      </c>
      <c r="GI579">
        <v>26.543297091296999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77.898832794336784</v>
      </c>
      <c r="AO580">
        <v>28.014603902265598</v>
      </c>
      <c r="AP580">
        <v>180.72299123893296</v>
      </c>
      <c r="AQ580">
        <v>156.4165167909448</v>
      </c>
      <c r="AR580">
        <v>25.48636288859646</v>
      </c>
      <c r="AS580">
        <v>126.33001882983291</v>
      </c>
      <c r="AT580">
        <v>19.274369926087953</v>
      </c>
      <c r="AU580">
        <v>20.040946302205743</v>
      </c>
      <c r="AV580"/>
      <c r="AW580"/>
      <c r="FY580" s="211">
        <v>575</v>
      </c>
      <c r="FZ580">
        <v>7.8466714543984732</v>
      </c>
      <c r="GA580">
        <v>15.266154255571289</v>
      </c>
      <c r="GB580">
        <v>22.052487807521931</v>
      </c>
      <c r="GC580">
        <v>16.803544104385018</v>
      </c>
      <c r="GD580">
        <v>13.916898621197689</v>
      </c>
      <c r="GE580">
        <v>25.053523834750859</v>
      </c>
      <c r="GF580">
        <v>18.775595558551352</v>
      </c>
      <c r="GG580">
        <v>20.388955390117111</v>
      </c>
      <c r="GH580">
        <v>20.703162766995035</v>
      </c>
      <c r="GI580">
        <v>21.964417817966567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93.400408224279872</v>
      </c>
      <c r="AO581">
        <v>36.133393289570442</v>
      </c>
      <c r="AP581">
        <v>258.98642523628649</v>
      </c>
      <c r="AQ581">
        <v>210.89499908442446</v>
      </c>
      <c r="AR581">
        <v>32.532742083075973</v>
      </c>
      <c r="AS581">
        <v>156.12252712153028</v>
      </c>
      <c r="AT581" t="e">
        <v>#DIV/0!</v>
      </c>
      <c r="AU581" t="e">
        <v>#DIV/0!</v>
      </c>
      <c r="AV581"/>
      <c r="AW581"/>
      <c r="FY581" s="211">
        <v>576</v>
      </c>
      <c r="FZ581">
        <v>3.1471224221865191</v>
      </c>
      <c r="GA581">
        <v>10.736480390933618</v>
      </c>
      <c r="GB581">
        <v>26.369629002827143</v>
      </c>
      <c r="GC581">
        <v>16.049681423652238</v>
      </c>
      <c r="GD581">
        <v>10.699855720041928</v>
      </c>
      <c r="GE581">
        <v>30.490162473998158</v>
      </c>
      <c r="GF581">
        <v>37.825396816669681</v>
      </c>
      <c r="GG581">
        <v>15.407514701393087</v>
      </c>
      <c r="GH581">
        <v>6.5387166225956452</v>
      </c>
      <c r="GI581">
        <v>21.677502426353769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85.889912938965352</v>
      </c>
      <c r="AO582">
        <v>28.561773018468568</v>
      </c>
      <c r="AP582">
        <v>192.96563665991877</v>
      </c>
      <c r="AQ582">
        <v>162.48117522436522</v>
      </c>
      <c r="AR582">
        <v>26.126465145554743</v>
      </c>
      <c r="AS582">
        <v>134.31006189077524</v>
      </c>
      <c r="AT582">
        <v>19.412092303738735</v>
      </c>
      <c r="AU582">
        <v>40.934820018635797</v>
      </c>
      <c r="AV582"/>
      <c r="AW582"/>
      <c r="FY582" s="211">
        <v>577</v>
      </c>
      <c r="FZ582">
        <v>7.8434997481554811</v>
      </c>
      <c r="GA582">
        <v>16.340999477496361</v>
      </c>
      <c r="GB582">
        <v>17.619191996734244</v>
      </c>
      <c r="GC582">
        <v>15.058786358251485</v>
      </c>
      <c r="GD582">
        <v>12.362953832642459</v>
      </c>
      <c r="GE582">
        <v>23.455371602464648</v>
      </c>
      <c r="GF582">
        <v>27.179390243634682</v>
      </c>
      <c r="GG582">
        <v>17.309442997833294</v>
      </c>
      <c r="GH582">
        <v>11.32467125282707</v>
      </c>
      <c r="GI582">
        <v>19.943743791734832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105.20314543722596</v>
      </c>
      <c r="AO583">
        <v>32.925115386636307</v>
      </c>
      <c r="AP583">
        <v>227.55002685650217</v>
      </c>
      <c r="AQ583">
        <v>188.48209755182839</v>
      </c>
      <c r="AR583">
        <v>30.336110359047044</v>
      </c>
      <c r="AS583">
        <v>152.46751568938606</v>
      </c>
      <c r="AT583">
        <v>22.444495374849158</v>
      </c>
      <c r="AU583">
        <v>61.913768313579389</v>
      </c>
      <c r="AV583"/>
      <c r="AW583"/>
      <c r="FY583" s="211">
        <v>578</v>
      </c>
      <c r="FZ583">
        <v>3.3668938929857481</v>
      </c>
      <c r="GA583">
        <v>15.356397612206251</v>
      </c>
      <c r="GB583">
        <v>26.496579895645411</v>
      </c>
      <c r="GC583">
        <v>17.575108023588363</v>
      </c>
      <c r="GD583">
        <v>12.357028742130138</v>
      </c>
      <c r="GE583">
        <v>20.188869813300673</v>
      </c>
      <c r="GF583">
        <v>22.91195516884768</v>
      </c>
      <c r="GG583">
        <v>22.79202068361656</v>
      </c>
      <c r="GH583">
        <v>14.845036985900535</v>
      </c>
      <c r="GI583">
        <v>21.294726639273811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80.925503794577068</v>
      </c>
      <c r="AO584">
        <v>31.491749925845589</v>
      </c>
      <c r="AP584">
        <v>192.49949122025407</v>
      </c>
      <c r="AQ584">
        <v>164.88905354464652</v>
      </c>
      <c r="AR584">
        <v>28.539459447981166</v>
      </c>
      <c r="AS584">
        <v>136.43426254615386</v>
      </c>
      <c r="AT584" t="e">
        <v>#DIV/0!</v>
      </c>
      <c r="AU584" t="e">
        <v>#DIV/0!</v>
      </c>
      <c r="AV584"/>
      <c r="AW584"/>
      <c r="FY584" s="211">
        <v>579</v>
      </c>
      <c r="FZ584">
        <v>3.6729987093480729</v>
      </c>
      <c r="GA584">
        <v>9.9964496676014409</v>
      </c>
      <c r="GB584">
        <v>25.293267213598526</v>
      </c>
      <c r="GC584">
        <v>21.445733991808343</v>
      </c>
      <c r="GD584">
        <v>11.792751439210985</v>
      </c>
      <c r="GE584">
        <v>20.805612463828126</v>
      </c>
      <c r="GF584">
        <v>37.604706367070136</v>
      </c>
      <c r="GG584">
        <v>26.172857860845969</v>
      </c>
      <c r="GH584">
        <v>13.919046649453751</v>
      </c>
      <c r="GI584">
        <v>23.255763311031608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83.382769999024475</v>
      </c>
      <c r="AO585">
        <v>28.812796697440586</v>
      </c>
      <c r="AP585">
        <v>191.12985209571082</v>
      </c>
      <c r="AQ585">
        <v>165.95029770193116</v>
      </c>
      <c r="AR585">
        <v>26.050798655177765</v>
      </c>
      <c r="AS585">
        <v>126.66167356418607</v>
      </c>
      <c r="AT585">
        <v>20.037646906681061</v>
      </c>
      <c r="AU585">
        <v>28.163516623172772</v>
      </c>
      <c r="AV585"/>
      <c r="AW585"/>
      <c r="FY585" s="211">
        <v>580</v>
      </c>
      <c r="FZ585">
        <v>3.305011529734776</v>
      </c>
      <c r="GA585">
        <v>8.3556314325017613</v>
      </c>
      <c r="GB585">
        <v>10.777318073187377</v>
      </c>
      <c r="GC585">
        <v>13.804001445796873</v>
      </c>
      <c r="GD585">
        <v>11.194377230563214</v>
      </c>
      <c r="GE585">
        <v>23.974418662566123</v>
      </c>
      <c r="GF585">
        <v>32.856946902771703</v>
      </c>
      <c r="GG585">
        <v>21.201692531118109</v>
      </c>
      <c r="GH585">
        <v>21.998685501977235</v>
      </c>
      <c r="GI585">
        <v>19.600336753890698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90.274570028813969</v>
      </c>
      <c r="AO586">
        <v>37.644246333847285</v>
      </c>
      <c r="AP586">
        <v>251.46904044142991</v>
      </c>
      <c r="AQ586">
        <v>209.95956318431843</v>
      </c>
      <c r="AR586">
        <v>33.922273723260858</v>
      </c>
      <c r="AS586">
        <v>147.98283139995468</v>
      </c>
      <c r="AT586">
        <v>25.474879122347371</v>
      </c>
      <c r="AU586">
        <v>28.052637088736006</v>
      </c>
      <c r="AV586"/>
      <c r="AW586"/>
      <c r="FY586" s="211">
        <v>581</v>
      </c>
      <c r="FZ586">
        <v>1.5065815276314045</v>
      </c>
      <c r="GA586">
        <v>15.174166992553872</v>
      </c>
      <c r="GB586">
        <v>21.061339873480993</v>
      </c>
      <c r="GC586">
        <v>13.259561898206616</v>
      </c>
      <c r="GD586">
        <v>11.354264554741997</v>
      </c>
      <c r="GE586">
        <v>22.088985024338118</v>
      </c>
      <c r="GF586">
        <v>20.684929135135437</v>
      </c>
      <c r="GG586">
        <v>15.54546345531973</v>
      </c>
      <c r="GH586">
        <v>12.391479406340379</v>
      </c>
      <c r="GI586">
        <v>18.267166914368588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93.684045752566277</v>
      </c>
      <c r="AO587">
        <v>33.958570297933655</v>
      </c>
      <c r="AP587">
        <v>247.35488731467382</v>
      </c>
      <c r="AQ587">
        <v>198.68078731875565</v>
      </c>
      <c r="AR587">
        <v>30.986769390851048</v>
      </c>
      <c r="AS587">
        <v>150.71892041281694</v>
      </c>
      <c r="AT587">
        <v>22.37681168807806</v>
      </c>
      <c r="AU587">
        <v>29.801707301566498</v>
      </c>
      <c r="AV587"/>
      <c r="AW587"/>
      <c r="FY587" s="211">
        <v>582</v>
      </c>
      <c r="FZ587">
        <v>2.1965124685808561</v>
      </c>
      <c r="GA587">
        <v>15.217785049405901</v>
      </c>
      <c r="GB587">
        <v>18.488596593316551</v>
      </c>
      <c r="GC587">
        <v>9.4350273658508801</v>
      </c>
      <c r="GD587">
        <v>8.3240270153980376</v>
      </c>
      <c r="GE587">
        <v>21.138757393587614</v>
      </c>
      <c r="GF587">
        <v>17.945050041276211</v>
      </c>
      <c r="GG587">
        <v>7.2803040791806737</v>
      </c>
      <c r="GH587">
        <v>7.0183128810929754</v>
      </c>
      <c r="GI587">
        <v>14.4277638060819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76.029296649019244</v>
      </c>
      <c r="AO588">
        <v>29.285232668187451</v>
      </c>
      <c r="AP588">
        <v>199.19392236964367</v>
      </c>
      <c r="AQ588">
        <v>166.89087649417337</v>
      </c>
      <c r="AR588">
        <v>26.720760670358018</v>
      </c>
      <c r="AS588">
        <v>131.94604511716085</v>
      </c>
      <c r="AT588">
        <v>19.829279985671537</v>
      </c>
      <c r="AU588">
        <v>29.038697433838433</v>
      </c>
      <c r="AV588"/>
      <c r="AW588"/>
      <c r="FY588" s="211">
        <v>583</v>
      </c>
      <c r="FZ588">
        <v>2.1102606163806512</v>
      </c>
      <c r="GA588">
        <v>15.333001753333576</v>
      </c>
      <c r="GB588">
        <v>22.22330930053964</v>
      </c>
      <c r="GC588">
        <v>15.372117972132941</v>
      </c>
      <c r="GD588">
        <v>12.482284538074515</v>
      </c>
      <c r="GE588">
        <v>22.13254809820123</v>
      </c>
      <c r="GF588">
        <v>29.817249991387168</v>
      </c>
      <c r="GG588">
        <v>23.038185767754825</v>
      </c>
      <c r="GH588">
        <v>12.091195965425156</v>
      </c>
      <c r="GI588">
        <v>20.930839925390707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75.05281107196916</v>
      </c>
      <c r="AO589">
        <v>30.551213412893439</v>
      </c>
      <c r="AP589">
        <v>184.47862972655446</v>
      </c>
      <c r="AQ589">
        <v>164.787908450939</v>
      </c>
      <c r="AR589">
        <v>27.635401900476886</v>
      </c>
      <c r="AS589">
        <v>133.72032779668703</v>
      </c>
      <c r="AT589">
        <v>21.39428349533048</v>
      </c>
      <c r="AU589">
        <v>51.446995156329379</v>
      </c>
      <c r="AV589"/>
      <c r="AW589"/>
      <c r="FY589" s="211">
        <v>584</v>
      </c>
      <c r="FZ589">
        <v>5.0490339887403337</v>
      </c>
      <c r="GA589">
        <v>11.568446670566221</v>
      </c>
      <c r="GB589">
        <v>25.286672807881509</v>
      </c>
      <c r="GC589">
        <v>17.74463640344009</v>
      </c>
      <c r="GD589">
        <v>10.496026418276301</v>
      </c>
      <c r="GE589">
        <v>21.589622846393464</v>
      </c>
      <c r="GF589">
        <v>32.006340220788601</v>
      </c>
      <c r="GG589">
        <v>27.992614174664777</v>
      </c>
      <c r="GH589">
        <v>18.045651351996234</v>
      </c>
      <c r="GI589">
        <v>22.334080089553378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93.441994689370887</v>
      </c>
      <c r="AO590">
        <v>40.540684187496353</v>
      </c>
      <c r="AP590">
        <v>260.80446580765062</v>
      </c>
      <c r="AQ590">
        <v>220.7970080369559</v>
      </c>
      <c r="AR590">
        <v>36.797001405102549</v>
      </c>
      <c r="AS590">
        <v>177.33919595926946</v>
      </c>
      <c r="AT590" t="e">
        <v>#DIV/0!</v>
      </c>
      <c r="AU590" t="e">
        <v>#DIV/0!</v>
      </c>
      <c r="AV590"/>
      <c r="AW590"/>
      <c r="FY590" s="211">
        <v>585</v>
      </c>
      <c r="FZ590">
        <v>1.9375882017086541</v>
      </c>
      <c r="GA590">
        <v>9.1445863092062218</v>
      </c>
      <c r="GB590">
        <v>17.336162267149177</v>
      </c>
      <c r="GC590">
        <v>11.157765158695289</v>
      </c>
      <c r="GD590">
        <v>9.7440910241900855</v>
      </c>
      <c r="GE590">
        <v>23.148278451631665</v>
      </c>
      <c r="GF590">
        <v>32.620242477275823</v>
      </c>
      <c r="GG590">
        <v>25.66776320687962</v>
      </c>
      <c r="GH590">
        <v>15.98109409703404</v>
      </c>
      <c r="GI590">
        <v>19.18190473156454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91.140614250346928</v>
      </c>
      <c r="AO591">
        <v>33.342820296390478</v>
      </c>
      <c r="AP591">
        <v>208.92903591584147</v>
      </c>
      <c r="AQ591">
        <v>182.77141161145533</v>
      </c>
      <c r="AR591">
        <v>30.540623610496404</v>
      </c>
      <c r="AS591">
        <v>147.86996528662496</v>
      </c>
      <c r="AT591">
        <v>22.825489945938838</v>
      </c>
      <c r="AU591">
        <v>43.515054178102481</v>
      </c>
      <c r="AV591"/>
      <c r="AW591"/>
      <c r="FY591" s="211">
        <v>586</v>
      </c>
      <c r="FZ591">
        <v>1.630664174407545</v>
      </c>
      <c r="GA591">
        <v>13.400770927555817</v>
      </c>
      <c r="GB591">
        <v>20.077812977659306</v>
      </c>
      <c r="GC591">
        <v>13.07460827383222</v>
      </c>
      <c r="GD591">
        <v>12.433474328915093</v>
      </c>
      <c r="GE591">
        <v>23.956500188299589</v>
      </c>
      <c r="GF591">
        <v>30.280221010045249</v>
      </c>
      <c r="GG591">
        <v>28.004986751658425</v>
      </c>
      <c r="GH591">
        <v>19.952776053797219</v>
      </c>
      <c r="GI591">
        <v>21.654702812784311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89.629920889295889</v>
      </c>
      <c r="AO592">
        <v>32.699198044424257</v>
      </c>
      <c r="AP592">
        <v>211.62897004458094</v>
      </c>
      <c r="AQ592">
        <v>178.94206200065179</v>
      </c>
      <c r="AR592">
        <v>29.406203083523643</v>
      </c>
      <c r="AS592">
        <v>143.08287108131887</v>
      </c>
      <c r="AT592">
        <v>22.544794215183909</v>
      </c>
      <c r="AU592">
        <v>23.965143289032287</v>
      </c>
      <c r="AV592"/>
      <c r="AW592"/>
      <c r="FY592" s="211">
        <v>587</v>
      </c>
      <c r="FZ592">
        <v>3.7468105937539886</v>
      </c>
      <c r="GA592">
        <v>12.069633483625177</v>
      </c>
      <c r="GB592">
        <v>33.847148648343101</v>
      </c>
      <c r="GC592">
        <v>23.245690989020616</v>
      </c>
      <c r="GD592">
        <v>11.411850168499612</v>
      </c>
      <c r="GE592">
        <v>19.512928156285817</v>
      </c>
      <c r="GF592">
        <v>21.126145752975944</v>
      </c>
      <c r="GG592">
        <v>16.861447649615762</v>
      </c>
      <c r="GH592">
        <v>12.731077967051556</v>
      </c>
      <c r="GI592">
        <v>21.971880060346102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88.093769752938584</v>
      </c>
      <c r="AO593">
        <v>30.21164624742881</v>
      </c>
      <c r="AP593">
        <v>192.20510050587296</v>
      </c>
      <c r="AQ593">
        <v>168.43805130177458</v>
      </c>
      <c r="AR593">
        <v>27.359577951212209</v>
      </c>
      <c r="AS593">
        <v>128.98522646890845</v>
      </c>
      <c r="AT593">
        <v>20.716673462644163</v>
      </c>
      <c r="AU593">
        <v>44.864626527861667</v>
      </c>
      <c r="AV593"/>
      <c r="AW593"/>
      <c r="FY593" s="211">
        <v>588</v>
      </c>
      <c r="FZ593">
        <v>6.4662734512914319</v>
      </c>
      <c r="GA593">
        <v>18.253797023343566</v>
      </c>
      <c r="GB593">
        <v>20.875790863692245</v>
      </c>
      <c r="GC593">
        <v>15.054199848406533</v>
      </c>
      <c r="GD593">
        <v>9.8307859092121141</v>
      </c>
      <c r="GE593">
        <v>21.445430970224091</v>
      </c>
      <c r="GF593">
        <v>25.696677092794491</v>
      </c>
      <c r="GG593">
        <v>24.476266203902327</v>
      </c>
      <c r="GH593">
        <v>25.969154507333297</v>
      </c>
      <c r="GI593">
        <v>21.148767522685809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88.244061609686597</v>
      </c>
      <c r="AO594">
        <v>32.298134494116809</v>
      </c>
      <c r="AP594">
        <v>210.0984416986725</v>
      </c>
      <c r="AQ594">
        <v>177.18461745749519</v>
      </c>
      <c r="AR594">
        <v>29.727047144888257</v>
      </c>
      <c r="AS594">
        <v>154.61034008650952</v>
      </c>
      <c r="AT594">
        <v>21.594328988312984</v>
      </c>
      <c r="AU594">
        <v>30.832114627786879</v>
      </c>
      <c r="AV594"/>
      <c r="AW594"/>
      <c r="FY594" s="211">
        <v>589</v>
      </c>
      <c r="FZ594">
        <v>1.9628918115816036</v>
      </c>
      <c r="GA594">
        <v>10.126562059138848</v>
      </c>
      <c r="GB594">
        <v>9.5227206120277881</v>
      </c>
      <c r="GC594">
        <v>7.9073751628529028</v>
      </c>
      <c r="GD594">
        <v>7.2425540764042413</v>
      </c>
      <c r="GE594">
        <v>21.282220572493568</v>
      </c>
      <c r="GF594">
        <v>33.864908812195921</v>
      </c>
      <c r="GG594">
        <v>17.263673061666523</v>
      </c>
      <c r="GH594">
        <v>13.221265882057791</v>
      </c>
      <c r="GI594">
        <v>15.516906922256327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86.176942508956515</v>
      </c>
      <c r="AO595">
        <v>35.311876271111274</v>
      </c>
      <c r="AP595">
        <v>232.06127264176502</v>
      </c>
      <c r="AQ595">
        <v>193.95918767379695</v>
      </c>
      <c r="AR595">
        <v>31.979906513961289</v>
      </c>
      <c r="AS595">
        <v>149.63096147360369</v>
      </c>
      <c r="AT595">
        <v>24.63625686593997</v>
      </c>
      <c r="AU595">
        <v>51.825932622774836</v>
      </c>
      <c r="AV595"/>
      <c r="AW595"/>
      <c r="FY595" s="211">
        <v>590</v>
      </c>
      <c r="FZ595">
        <v>1.8310164243781089</v>
      </c>
      <c r="GA595">
        <v>13.491705394957251</v>
      </c>
      <c r="GB595">
        <v>17.460061033418427</v>
      </c>
      <c r="GC595">
        <v>15.321826055545106</v>
      </c>
      <c r="GD595">
        <v>13.314804131461722</v>
      </c>
      <c r="GE595">
        <v>19.498448785242569</v>
      </c>
      <c r="GF595">
        <v>26.758493401102388</v>
      </c>
      <c r="GG595">
        <v>37.982833919704468</v>
      </c>
      <c r="GH595">
        <v>32.560161968868492</v>
      </c>
      <c r="GI595">
        <v>22.91552409013665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72.394237617265958</v>
      </c>
      <c r="AO596">
        <v>29.546687671206541</v>
      </c>
      <c r="AP596">
        <v>191.16981774200906</v>
      </c>
      <c r="AQ596">
        <v>167.06842006410787</v>
      </c>
      <c r="AR596">
        <v>26.413216483594571</v>
      </c>
      <c r="AS596">
        <v>125.81167476820605</v>
      </c>
      <c r="AT596">
        <v>20.747750509059916</v>
      </c>
      <c r="AU596">
        <v>24.922155975611137</v>
      </c>
      <c r="AV596"/>
      <c r="AW596"/>
      <c r="FY596" s="211">
        <v>591</v>
      </c>
      <c r="FZ596">
        <v>5.138629603911915</v>
      </c>
      <c r="GA596">
        <v>18.953111232563629</v>
      </c>
      <c r="GB596">
        <v>23.473459759465776</v>
      </c>
      <c r="GC596">
        <v>13.120269997444556</v>
      </c>
      <c r="GD596">
        <v>13.586208954219497</v>
      </c>
      <c r="GE596">
        <v>28.082094985659008</v>
      </c>
      <c r="GF596">
        <v>19.441016428827346</v>
      </c>
      <c r="GG596">
        <v>17.691609475323297</v>
      </c>
      <c r="GH596">
        <v>13.511083411211313</v>
      </c>
      <c r="GI596">
        <v>20.71389226124057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71.307578741449717</v>
      </c>
      <c r="AO597">
        <v>27.691360965460071</v>
      </c>
      <c r="AP597">
        <v>176.21786913875152</v>
      </c>
      <c r="AQ597">
        <v>151.33393878211712</v>
      </c>
      <c r="AR597">
        <v>25.216467582670347</v>
      </c>
      <c r="AS597">
        <v>153.87192402218767</v>
      </c>
      <c r="AT597">
        <v>19.052861923463571</v>
      </c>
      <c r="AU597">
        <v>13.809420685930066</v>
      </c>
      <c r="AV597"/>
      <c r="AW597"/>
      <c r="FY597" s="211">
        <v>592</v>
      </c>
      <c r="FZ597">
        <v>0.45631028395019912</v>
      </c>
      <c r="GA597">
        <v>5.9589056267743628</v>
      </c>
      <c r="GB597">
        <v>13.187096341514179</v>
      </c>
      <c r="GC597">
        <v>12.279029285288059</v>
      </c>
      <c r="GD597">
        <v>10.256893014690096</v>
      </c>
      <c r="GE597">
        <v>17.377389435674718</v>
      </c>
      <c r="GF597">
        <v>17.166104560108323</v>
      </c>
      <c r="GG597">
        <v>10.87270760271555</v>
      </c>
      <c r="GH597">
        <v>11.054321649736092</v>
      </c>
      <c r="GI597">
        <v>14.552094484960099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62.228426571003332</v>
      </c>
      <c r="AO598">
        <v>21.786437083659326</v>
      </c>
      <c r="AP598">
        <v>141.60157254491313</v>
      </c>
      <c r="AQ598">
        <v>121.47213669377159</v>
      </c>
      <c r="AR598">
        <v>19.640086574520222</v>
      </c>
      <c r="AS598">
        <v>97.162885342970554</v>
      </c>
      <c r="AT598">
        <v>14.794867456532309</v>
      </c>
      <c r="AU598">
        <v>26.075100444360917</v>
      </c>
      <c r="AV598"/>
      <c r="AW598"/>
      <c r="FY598" s="211">
        <v>593</v>
      </c>
      <c r="FZ598">
        <v>2.7313923786923859</v>
      </c>
      <c r="GA598">
        <v>8.051530455973646</v>
      </c>
      <c r="GB598">
        <v>7.0282663477344025</v>
      </c>
      <c r="GC598">
        <v>8.5053259935009393</v>
      </c>
      <c r="GD598">
        <v>6.801573240529982</v>
      </c>
      <c r="GE598">
        <v>11.707109257121013</v>
      </c>
      <c r="GF598">
        <v>19.229935966807343</v>
      </c>
      <c r="GG598">
        <v>19.884434718746071</v>
      </c>
      <c r="GH598">
        <v>20.170834817948641</v>
      </c>
      <c r="GI598">
        <v>13.14372844910379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79.04235737051394</v>
      </c>
      <c r="AO599">
        <v>31.702306649583043</v>
      </c>
      <c r="AP599">
        <v>207.18111843588454</v>
      </c>
      <c r="AQ599">
        <v>175.5309939286204</v>
      </c>
      <c r="AR599">
        <v>28.982404295610799</v>
      </c>
      <c r="AS599">
        <v>141.30880113824156</v>
      </c>
      <c r="AT599">
        <v>21.580469477423065</v>
      </c>
      <c r="AU599">
        <v>26.986242142787958</v>
      </c>
      <c r="AV599"/>
      <c r="AW599"/>
      <c r="FY599" s="211">
        <v>594</v>
      </c>
      <c r="FZ599">
        <v>3.977685151329907</v>
      </c>
      <c r="GA599">
        <v>11.64235868876607</v>
      </c>
      <c r="GB599">
        <v>19.308371383837788</v>
      </c>
      <c r="GC599">
        <v>11.998005012067798</v>
      </c>
      <c r="GD599">
        <v>7.8616642068978413</v>
      </c>
      <c r="GE599">
        <v>16.890479000178395</v>
      </c>
      <c r="GF599">
        <v>29.019455633269683</v>
      </c>
      <c r="GG599">
        <v>26.586639572298274</v>
      </c>
      <c r="GH599">
        <v>15.961626170971495</v>
      </c>
      <c r="GI599">
        <v>18.197370964815253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94.214965827938215</v>
      </c>
      <c r="AO600">
        <v>33.938427951657275</v>
      </c>
      <c r="AP600">
        <v>231.19558838023895</v>
      </c>
      <c r="AQ600">
        <v>192.11312497230091</v>
      </c>
      <c r="AR600">
        <v>30.883277373310236</v>
      </c>
      <c r="AS600">
        <v>156.05154336430215</v>
      </c>
      <c r="AT600">
        <v>22.790730766535663</v>
      </c>
      <c r="AU600">
        <v>30.24842909015608</v>
      </c>
      <c r="AV600"/>
      <c r="AW600"/>
      <c r="FY600" s="211">
        <v>595</v>
      </c>
      <c r="FZ600">
        <v>2.7043936328400413</v>
      </c>
      <c r="GA600">
        <v>16.709425499032545</v>
      </c>
      <c r="GB600">
        <v>14.312728917957347</v>
      </c>
      <c r="GC600">
        <v>9.2188428630476711</v>
      </c>
      <c r="GD600">
        <v>9.6981741542009914</v>
      </c>
      <c r="GE600">
        <v>17.703051411967092</v>
      </c>
      <c r="GF600">
        <v>26.391198947952862</v>
      </c>
      <c r="GG600">
        <v>22.873476689640654</v>
      </c>
      <c r="GH600">
        <v>13.055372212098717</v>
      </c>
      <c r="GI600">
        <v>16.922288021841609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63.978077391845432</v>
      </c>
      <c r="AO601">
        <v>29.013816159020376</v>
      </c>
      <c r="AP601">
        <v>198.04297428397842</v>
      </c>
      <c r="AQ601">
        <v>165.91947592533512</v>
      </c>
      <c r="AR601">
        <v>26.436397645217813</v>
      </c>
      <c r="AS601">
        <v>118.02331732560219</v>
      </c>
      <c r="AT601">
        <v>20.666578499701782</v>
      </c>
      <c r="AU601">
        <v>31.716799950061962</v>
      </c>
      <c r="AV601"/>
      <c r="AW601"/>
      <c r="FY601" s="211">
        <v>596</v>
      </c>
      <c r="FZ601">
        <v>8.3263046594504182</v>
      </c>
      <c r="GA601">
        <v>20.060836841429943</v>
      </c>
      <c r="GB601">
        <v>34.987040655243426</v>
      </c>
      <c r="GC601">
        <v>25.909707195168835</v>
      </c>
      <c r="GD601">
        <v>12.409051931969381</v>
      </c>
      <c r="GE601">
        <v>23.80337467667756</v>
      </c>
      <c r="GF601">
        <v>29.042130430860546</v>
      </c>
      <c r="GG601">
        <v>15.087189206787054</v>
      </c>
      <c r="GH601">
        <v>14.219014983506675</v>
      </c>
      <c r="GI601">
        <v>25.247266475584045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81.310877401682092</v>
      </c>
      <c r="AO602">
        <v>32.548302704665822</v>
      </c>
      <c r="AP602">
        <v>218.74582940565685</v>
      </c>
      <c r="AQ602">
        <v>184.46651749895477</v>
      </c>
      <c r="AR602">
        <v>30.065245093090802</v>
      </c>
      <c r="AS602">
        <v>133.37652388590979</v>
      </c>
      <c r="AT602">
        <v>22.518653952846034</v>
      </c>
      <c r="AU602">
        <v>41.267883782499176</v>
      </c>
      <c r="AV602"/>
      <c r="AW602"/>
      <c r="FY602" s="211">
        <v>597</v>
      </c>
      <c r="FZ602">
        <v>8.8485802870925241</v>
      </c>
      <c r="GA602">
        <v>25.948654436833039</v>
      </c>
      <c r="GB602">
        <v>15.943576663763963</v>
      </c>
      <c r="GC602">
        <v>10.453184086584209</v>
      </c>
      <c r="GD602">
        <v>13.299112922202859</v>
      </c>
      <c r="GE602">
        <v>25.769449201072071</v>
      </c>
      <c r="GF602">
        <v>32.09994269444271</v>
      </c>
      <c r="GG602">
        <v>18.538242842720059</v>
      </c>
      <c r="GH602">
        <v>4.0687059367729201</v>
      </c>
      <c r="GI602">
        <v>20.018460410608586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82.063545692091608</v>
      </c>
      <c r="AO603">
        <v>33.562117834099517</v>
      </c>
      <c r="AP603">
        <v>213.68752386414195</v>
      </c>
      <c r="AQ603">
        <v>176.52461346951767</v>
      </c>
      <c r="AR603">
        <v>30.598746029779669</v>
      </c>
      <c r="AS603">
        <v>135.97822769463247</v>
      </c>
      <c r="AT603" t="e">
        <v>#DIV/0!</v>
      </c>
      <c r="AU603" t="e">
        <v>#DIV/0!</v>
      </c>
      <c r="AV603"/>
      <c r="AW603"/>
      <c r="FY603" s="211">
        <v>598</v>
      </c>
      <c r="FZ603">
        <v>4.0157098861925027</v>
      </c>
      <c r="GA603">
        <v>16.525880996754438</v>
      </c>
      <c r="GB603">
        <v>13.632836058440343</v>
      </c>
      <c r="GC603">
        <v>11.933940078259484</v>
      </c>
      <c r="GD603">
        <v>16.293548397038983</v>
      </c>
      <c r="GE603">
        <v>27.911670891511942</v>
      </c>
      <c r="GF603">
        <v>31.073044346089503</v>
      </c>
      <c r="GG603">
        <v>20.439510402289958</v>
      </c>
      <c r="GH603">
        <v>5.2626618136759866</v>
      </c>
      <c r="GI603">
        <v>20.510396167130033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81.434694770774783</v>
      </c>
      <c r="AO604">
        <v>32.271343314029401</v>
      </c>
      <c r="AP604">
        <v>226.6973566985348</v>
      </c>
      <c r="AQ604">
        <v>189.21714339288587</v>
      </c>
      <c r="AR604">
        <v>29.009075904818491</v>
      </c>
      <c r="AS604">
        <v>143.67479084492174</v>
      </c>
      <c r="AT604" t="e">
        <v>#DIV/0!</v>
      </c>
      <c r="AU604" t="e">
        <v>#DIV/0!</v>
      </c>
      <c r="AV604"/>
      <c r="AW604"/>
      <c r="FY604" s="211">
        <v>599</v>
      </c>
      <c r="FZ604">
        <v>5.7724053934468573</v>
      </c>
      <c r="GA604">
        <v>7.9728205755901849</v>
      </c>
      <c r="GB604">
        <v>16.964326434082722</v>
      </c>
      <c r="GC604">
        <v>17.121480486264542</v>
      </c>
      <c r="GD604">
        <v>13.597271599799425</v>
      </c>
      <c r="GE604">
        <v>22.499156356506063</v>
      </c>
      <c r="GF604">
        <v>22.944827570316903</v>
      </c>
      <c r="GG604">
        <v>31.16257525364389</v>
      </c>
      <c r="GH604">
        <v>31.333383179088418</v>
      </c>
      <c r="GI604">
        <v>22.691238923628706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60.042021446677303</v>
      </c>
      <c r="AO605">
        <v>23.288310423902189</v>
      </c>
      <c r="AP605">
        <v>163.5917289669716</v>
      </c>
      <c r="AQ605">
        <v>137.91107897267551</v>
      </c>
      <c r="AR605">
        <v>20.733816079867164</v>
      </c>
      <c r="AS605">
        <v>96.895246051008414</v>
      </c>
      <c r="AT605">
        <v>15.982943248652346</v>
      </c>
      <c r="AU605">
        <v>24.864902593984883</v>
      </c>
      <c r="AV605"/>
      <c r="AW605"/>
      <c r="FY605" s="211">
        <v>600</v>
      </c>
      <c r="FZ605">
        <v>4.1248004060376795</v>
      </c>
      <c r="GA605">
        <v>12.351293000976025</v>
      </c>
      <c r="GB605">
        <v>11.593421226433673</v>
      </c>
      <c r="GC605">
        <v>10.623441553347373</v>
      </c>
      <c r="GD605">
        <v>11.763711610523153</v>
      </c>
      <c r="GE605">
        <v>24.722608571452554</v>
      </c>
      <c r="GF605">
        <v>41.114581464042075</v>
      </c>
      <c r="GG605">
        <v>31.100869818566881</v>
      </c>
      <c r="GH605">
        <v>13.612650269290452</v>
      </c>
      <c r="GI605">
        <v>20.542731688306763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81.512822671607751</v>
      </c>
      <c r="AO606">
        <v>34.918816455373943</v>
      </c>
      <c r="AP606">
        <v>238.55329072494851</v>
      </c>
      <c r="AQ606">
        <v>201.13487520481516</v>
      </c>
      <c r="AR606">
        <v>32.007214782100107</v>
      </c>
      <c r="AS606">
        <v>157.75726681259442</v>
      </c>
      <c r="AT606">
        <v>23.770161043298277</v>
      </c>
      <c r="AU606">
        <v>28.209579872892906</v>
      </c>
      <c r="AV606"/>
      <c r="AW606"/>
      <c r="FY606" s="211">
        <v>601</v>
      </c>
      <c r="FZ606">
        <v>5.0024326516689301</v>
      </c>
      <c r="GA606">
        <v>10.848932727009958</v>
      </c>
      <c r="GB606">
        <v>27.161083349092177</v>
      </c>
      <c r="GC606">
        <v>17.969644488799208</v>
      </c>
      <c r="GD606">
        <v>10.22893270773457</v>
      </c>
      <c r="GE606">
        <v>22.711896302140705</v>
      </c>
      <c r="GF606">
        <v>35.580594281335365</v>
      </c>
      <c r="GG606">
        <v>33.535287932195502</v>
      </c>
      <c r="GH606">
        <v>24.637478932811806</v>
      </c>
      <c r="GI606">
        <v>24.378530152352017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88.516623513171396</v>
      </c>
      <c r="AO607">
        <v>31.660212635391751</v>
      </c>
      <c r="AP607">
        <v>199.79339965070619</v>
      </c>
      <c r="AQ607">
        <v>173.7113761098669</v>
      </c>
      <c r="AR607">
        <v>28.839812899690983</v>
      </c>
      <c r="AS607">
        <v>139.11434016012305</v>
      </c>
      <c r="AT607" t="e">
        <v>#DIV/0!</v>
      </c>
      <c r="AU607" t="e">
        <v>#DIV/0!</v>
      </c>
      <c r="AV607"/>
      <c r="AW607"/>
      <c r="FY607" s="211">
        <v>602</v>
      </c>
      <c r="FZ607">
        <v>4.9243027738322853</v>
      </c>
      <c r="GA607">
        <v>19.192629180977914</v>
      </c>
      <c r="GB607">
        <v>31.36473590315185</v>
      </c>
      <c r="GC607">
        <v>21.361472665942188</v>
      </c>
      <c r="GD607">
        <v>9.8781150635626584</v>
      </c>
      <c r="GE607">
        <v>10.150911145484898</v>
      </c>
      <c r="GF607">
        <v>24.596623935689863</v>
      </c>
      <c r="GG607">
        <v>27.212510093609726</v>
      </c>
      <c r="GH607">
        <v>14.787138220130974</v>
      </c>
      <c r="GI607">
        <v>21.522594289708017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52.655866156512708</v>
      </c>
      <c r="AO608">
        <v>21.755561135983779</v>
      </c>
      <c r="AP608">
        <v>127.18514583363675</v>
      </c>
      <c r="AQ608">
        <v>113.16085228541168</v>
      </c>
      <c r="AR608">
        <v>20.029591606938887</v>
      </c>
      <c r="AS608">
        <v>97.552907032812641</v>
      </c>
      <c r="AT608" t="e">
        <v>#DIV/0!</v>
      </c>
      <c r="AU608" t="e">
        <v>#DIV/0!</v>
      </c>
      <c r="AV608"/>
      <c r="AW608"/>
      <c r="FY608" s="211">
        <v>603</v>
      </c>
      <c r="FZ608">
        <v>1.2203434224756795</v>
      </c>
      <c r="GA608">
        <v>3.0944436871255681</v>
      </c>
      <c r="GB608">
        <v>11.865955932097442</v>
      </c>
      <c r="GC608">
        <v>16.108841164021051</v>
      </c>
      <c r="GD608">
        <v>13.344006718938141</v>
      </c>
      <c r="GE608">
        <v>21.585688313497791</v>
      </c>
      <c r="GF608">
        <v>21.526943813574622</v>
      </c>
      <c r="GG608">
        <v>14.696439564391294</v>
      </c>
      <c r="GH608">
        <v>16.849185667711264</v>
      </c>
      <c r="GI608">
        <v>17.953515196599959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52.833849837690195</v>
      </c>
      <c r="AO609">
        <v>19.819383236394721</v>
      </c>
      <c r="AP609">
        <v>138.99096149204161</v>
      </c>
      <c r="AQ609">
        <v>117.25413162615821</v>
      </c>
      <c r="AR609">
        <v>18.05588021210793</v>
      </c>
      <c r="AS609">
        <v>85.339206697986327</v>
      </c>
      <c r="AT609">
        <v>13.313801836704938</v>
      </c>
      <c r="AU609">
        <v>6.50756816754211</v>
      </c>
      <c r="AV609"/>
      <c r="AW609"/>
      <c r="FY609" s="211">
        <v>604</v>
      </c>
      <c r="FZ609">
        <v>1.5499340606933769</v>
      </c>
      <c r="GA609">
        <v>14.610076317270833</v>
      </c>
      <c r="GB609">
        <v>10.450899374624232</v>
      </c>
      <c r="GC609">
        <v>9.0086329566227477</v>
      </c>
      <c r="GD609">
        <v>10.806014531568945</v>
      </c>
      <c r="GE609">
        <v>19.443655968337371</v>
      </c>
      <c r="GF609">
        <v>20.424876059752258</v>
      </c>
      <c r="GG609">
        <v>8.6020790803108458</v>
      </c>
      <c r="GH609">
        <v>4.6171718852195829</v>
      </c>
      <c r="GI609">
        <v>13.928820388259073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71.368972073982846</v>
      </c>
      <c r="AO610">
        <v>27.497086596493215</v>
      </c>
      <c r="AP610">
        <v>197.64342953630972</v>
      </c>
      <c r="AQ610">
        <v>161.44365578443254</v>
      </c>
      <c r="AR610">
        <v>25.27162581094359</v>
      </c>
      <c r="AS610">
        <v>123.52954378024006</v>
      </c>
      <c r="AT610">
        <v>18.680680984023784</v>
      </c>
      <c r="AU610">
        <v>14.96948724638554</v>
      </c>
      <c r="AV610"/>
      <c r="AW610"/>
      <c r="FY610" s="211">
        <v>605</v>
      </c>
      <c r="FZ610">
        <v>3.9174208262918917</v>
      </c>
      <c r="GA610">
        <v>16.057977782180785</v>
      </c>
      <c r="GB610">
        <v>19.096458596902707</v>
      </c>
      <c r="GC610">
        <v>13.004782361335256</v>
      </c>
      <c r="GD610">
        <v>13.165403510058745</v>
      </c>
      <c r="GE610">
        <v>23.878716382830625</v>
      </c>
      <c r="GF610">
        <v>20.715952938937207</v>
      </c>
      <c r="GG610">
        <v>15.148776441019104</v>
      </c>
      <c r="GH610">
        <v>9.4718704606531325</v>
      </c>
      <c r="GI610">
        <v>18.727351417678488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64.185487366216236</v>
      </c>
      <c r="AO611">
        <v>25.614270666790663</v>
      </c>
      <c r="AP611">
        <v>178.78764955475236</v>
      </c>
      <c r="AQ611">
        <v>149.58895235057952</v>
      </c>
      <c r="AR611">
        <v>23.458136687383377</v>
      </c>
      <c r="AS611">
        <v>101.95444079246629</v>
      </c>
      <c r="AT611">
        <v>17.392903364677952</v>
      </c>
      <c r="AU611">
        <v>3.7993604154254648</v>
      </c>
      <c r="AV611"/>
      <c r="AW611"/>
      <c r="FY611" s="211">
        <v>606</v>
      </c>
      <c r="FZ611">
        <v>4.8320715736258508</v>
      </c>
      <c r="GA611">
        <v>13.339783204694099</v>
      </c>
      <c r="GB611">
        <v>13.601847251229426</v>
      </c>
      <c r="GC611">
        <v>11.973508668403079</v>
      </c>
      <c r="GD611">
        <v>10.458959099985766</v>
      </c>
      <c r="GE611">
        <v>20.903640036907387</v>
      </c>
      <c r="GF611">
        <v>42.780379144762236</v>
      </c>
      <c r="GG611">
        <v>43.571266871698938</v>
      </c>
      <c r="GH611">
        <v>28.056152063058924</v>
      </c>
      <c r="GI611">
        <v>22.957889861932856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103.72280684223779</v>
      </c>
      <c r="AO612">
        <v>38.3361886565649</v>
      </c>
      <c r="AP612">
        <v>249.42367731054884</v>
      </c>
      <c r="AQ612">
        <v>209.09191705667789</v>
      </c>
      <c r="AR612">
        <v>34.584839082564798</v>
      </c>
      <c r="AS612">
        <v>172.08753836718432</v>
      </c>
      <c r="AT612">
        <v>26.383648294425413</v>
      </c>
      <c r="AU612">
        <v>65.559441549105244</v>
      </c>
      <c r="AV612"/>
      <c r="AW612"/>
      <c r="FY612" s="211">
        <v>607</v>
      </c>
      <c r="FZ612">
        <v>7.2312072941185868</v>
      </c>
      <c r="GA612">
        <v>24.993200124190718</v>
      </c>
      <c r="GB612">
        <v>17.233677600729827</v>
      </c>
      <c r="GC612">
        <v>12.748570598992254</v>
      </c>
      <c r="GD612">
        <v>13.695748320539206</v>
      </c>
      <c r="GE612">
        <v>29.820791288142921</v>
      </c>
      <c r="GF612">
        <v>40.412875925837135</v>
      </c>
      <c r="GG612">
        <v>29.012859788113492</v>
      </c>
      <c r="GH612">
        <v>20.562344949928505</v>
      </c>
      <c r="GI612">
        <v>24.518960866159251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93.077410858302088</v>
      </c>
      <c r="AO613">
        <v>30.253364450931677</v>
      </c>
      <c r="AP613">
        <v>199.29293576251035</v>
      </c>
      <c r="AQ613">
        <v>174.98790948209293</v>
      </c>
      <c r="AR613">
        <v>27.486379994545231</v>
      </c>
      <c r="AS613">
        <v>142.6030015207555</v>
      </c>
      <c r="AT613" t="e">
        <v>#DIV/0!</v>
      </c>
      <c r="AU613" t="e">
        <v>#DIV/0!</v>
      </c>
      <c r="AV613"/>
      <c r="AW613"/>
      <c r="FY613" s="211">
        <v>608</v>
      </c>
      <c r="FZ613">
        <v>3.2859513878555964</v>
      </c>
      <c r="GA613">
        <v>13.380435745967015</v>
      </c>
      <c r="GB613">
        <v>22.063333778063239</v>
      </c>
      <c r="GC613">
        <v>12.946010823684105</v>
      </c>
      <c r="GD613">
        <v>10.602536577771717</v>
      </c>
      <c r="GE613">
        <v>22.738864647115896</v>
      </c>
      <c r="GF613">
        <v>40.713893350955836</v>
      </c>
      <c r="GG613">
        <v>48.924130648306203</v>
      </c>
      <c r="GH613">
        <v>32.152198730626054</v>
      </c>
      <c r="GI613">
        <v>25.264469093190225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78.153626755189265</v>
      </c>
      <c r="AO614">
        <v>31.094858990076638</v>
      </c>
      <c r="AP614">
        <v>184.70401126286905</v>
      </c>
      <c r="AQ614">
        <v>167.59919903738316</v>
      </c>
      <c r="AR614">
        <v>28.422198866867632</v>
      </c>
      <c r="AS614">
        <v>136.9395863710003</v>
      </c>
      <c r="AT614">
        <v>21.903361251515605</v>
      </c>
      <c r="AU614">
        <v>53.619623762776278</v>
      </c>
      <c r="AV614"/>
      <c r="AW614"/>
      <c r="FY614" s="211">
        <v>609</v>
      </c>
      <c r="FZ614">
        <v>6.111088890030671</v>
      </c>
      <c r="GA614">
        <v>15.998469805117004</v>
      </c>
      <c r="GB614">
        <v>29.931953190727437</v>
      </c>
      <c r="GC614">
        <v>16.730448302179269</v>
      </c>
      <c r="GD614">
        <v>5.344672762414576</v>
      </c>
      <c r="GE614">
        <v>20.090195683235255</v>
      </c>
      <c r="GF614">
        <v>29.619994438912769</v>
      </c>
      <c r="GG614">
        <v>11.586307612694</v>
      </c>
      <c r="GH614">
        <v>8.4632761797716842</v>
      </c>
      <c r="GI614">
        <v>18.601964246411054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83.778648229801561</v>
      </c>
      <c r="AO615">
        <v>34.524160201380006</v>
      </c>
      <c r="AP615">
        <v>221.88351760596126</v>
      </c>
      <c r="AQ615">
        <v>192.05948577236771</v>
      </c>
      <c r="AR615">
        <v>31.563457035864474</v>
      </c>
      <c r="AS615">
        <v>157.59288026181025</v>
      </c>
      <c r="AT615">
        <v>23.804831966113181</v>
      </c>
      <c r="AU615">
        <v>20.972695000019144</v>
      </c>
      <c r="AV615"/>
      <c r="AW615"/>
      <c r="FY615" s="211">
        <v>610</v>
      </c>
      <c r="FZ615">
        <v>4.0547055050576546</v>
      </c>
      <c r="GA615">
        <v>15.616379520201484</v>
      </c>
      <c r="GB615">
        <v>22.440407992828568</v>
      </c>
      <c r="GC615">
        <v>15.806225882486117</v>
      </c>
      <c r="GD615">
        <v>12.518307464344176</v>
      </c>
      <c r="GE615">
        <v>25.23982047924865</v>
      </c>
      <c r="GF615">
        <v>28.112717080101515</v>
      </c>
      <c r="GG615">
        <v>19.504118956445168</v>
      </c>
      <c r="GH615">
        <v>14.806606146193516</v>
      </c>
      <c r="GI615">
        <v>21.43933337304242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82.019671519943316</v>
      </c>
      <c r="AO616">
        <v>31.336343325323913</v>
      </c>
      <c r="AP616">
        <v>212.32831995866579</v>
      </c>
      <c r="AQ616">
        <v>181.55010960897661</v>
      </c>
      <c r="AR616">
        <v>28.18965480186521</v>
      </c>
      <c r="AS616">
        <v>136.44472878879063</v>
      </c>
      <c r="AT616" t="e">
        <v>#DIV/0!</v>
      </c>
      <c r="AU616" t="e">
        <v>#DIV/0!</v>
      </c>
      <c r="AV616"/>
      <c r="AW616"/>
      <c r="FY616" s="211">
        <v>611</v>
      </c>
      <c r="FZ616">
        <v>3.0578157062635425</v>
      </c>
      <c r="GA616">
        <v>14.728501624720497</v>
      </c>
      <c r="GB616">
        <v>15.714164642508726</v>
      </c>
      <c r="GC616">
        <v>12.507695502397436</v>
      </c>
      <c r="GD616">
        <v>14.989386996747363</v>
      </c>
      <c r="GE616">
        <v>26.035051550103834</v>
      </c>
      <c r="GF616">
        <v>20.379261552276127</v>
      </c>
      <c r="GG616">
        <v>11.38310348373227</v>
      </c>
      <c r="GH616">
        <v>7.4262761193354132</v>
      </c>
      <c r="GI616">
        <v>18.432821681902382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83.882724827742862</v>
      </c>
      <c r="AO617">
        <v>36.883214909378573</v>
      </c>
      <c r="AP617">
        <v>259.91954943819422</v>
      </c>
      <c r="AQ617">
        <v>212.05481352514025</v>
      </c>
      <c r="AR617">
        <v>33.797492616541518</v>
      </c>
      <c r="AS617">
        <v>153.71382972669363</v>
      </c>
      <c r="AT617">
        <v>25.94689333996952</v>
      </c>
      <c r="AU617">
        <v>43.164561919646225</v>
      </c>
      <c r="AV617"/>
      <c r="AW617"/>
      <c r="FY617" s="211">
        <v>612</v>
      </c>
      <c r="FZ617">
        <v>7.069271969208236</v>
      </c>
      <c r="GA617">
        <v>21.385799572328793</v>
      </c>
      <c r="GB617">
        <v>22.307808794900637</v>
      </c>
      <c r="GC617">
        <v>18.021303151754061</v>
      </c>
      <c r="GD617">
        <v>13.096449050273153</v>
      </c>
      <c r="GE617">
        <v>20.845883500759751</v>
      </c>
      <c r="GF617">
        <v>24.526996999519199</v>
      </c>
      <c r="GG617">
        <v>34.335446672025633</v>
      </c>
      <c r="GH617">
        <v>34.86760891139442</v>
      </c>
      <c r="GI617">
        <v>24.710112916770537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91.229970107505181</v>
      </c>
      <c r="AO618">
        <v>32.599521735031615</v>
      </c>
      <c r="AP618">
        <v>230.11452302783653</v>
      </c>
      <c r="AQ618">
        <v>184.99103327209039</v>
      </c>
      <c r="AR618">
        <v>30.235631337784309</v>
      </c>
      <c r="AS618">
        <v>150.80848426912357</v>
      </c>
      <c r="AT618">
        <v>21.524480297775543</v>
      </c>
      <c r="AU618">
        <v>32.088704732450061</v>
      </c>
      <c r="AV618"/>
      <c r="AW618"/>
      <c r="FY618" s="211">
        <v>613</v>
      </c>
      <c r="FZ618">
        <v>1.9080367781058554</v>
      </c>
      <c r="GA618">
        <v>15.015282880471894</v>
      </c>
      <c r="GB618">
        <v>23.486028811020162</v>
      </c>
      <c r="GC618">
        <v>14.215492822428976</v>
      </c>
      <c r="GD618">
        <v>11.031211877422646</v>
      </c>
      <c r="GE618">
        <v>22.239428610761959</v>
      </c>
      <c r="GF618">
        <v>23.944241009497045</v>
      </c>
      <c r="GG618">
        <v>17.786265561599166</v>
      </c>
      <c r="GH618">
        <v>14.032208628863764</v>
      </c>
      <c r="GI618">
        <v>19.557051579214143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63.155689514211794</v>
      </c>
      <c r="AO619">
        <v>27.058283414928258</v>
      </c>
      <c r="AP619">
        <v>151.44355083164888</v>
      </c>
      <c r="AQ619">
        <v>138.24536348043281</v>
      </c>
      <c r="AR619">
        <v>24.563498407073819</v>
      </c>
      <c r="AS619">
        <v>121.7465206865165</v>
      </c>
      <c r="AT619" t="e">
        <v>#DIV/0!</v>
      </c>
      <c r="AU619" t="e">
        <v>#DIV/0!</v>
      </c>
      <c r="AV619"/>
      <c r="AW619"/>
      <c r="FY619" s="211">
        <v>614</v>
      </c>
      <c r="FZ619">
        <v>5.505633171939138</v>
      </c>
      <c r="GA619">
        <v>7.6379247795289062</v>
      </c>
      <c r="GB619">
        <v>21.969535258014421</v>
      </c>
      <c r="GC619">
        <v>16.332701950346777</v>
      </c>
      <c r="GD619">
        <v>10.292859467762176</v>
      </c>
      <c r="GE619">
        <v>23.477694803119821</v>
      </c>
      <c r="GF619">
        <v>30.081953331205472</v>
      </c>
      <c r="GG619">
        <v>15.858143704864109</v>
      </c>
      <c r="GH619">
        <v>7.3575321741332864</v>
      </c>
      <c r="GI619">
        <v>19.409401709585349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54.99082421441075</v>
      </c>
      <c r="AO620">
        <v>21.013293591542258</v>
      </c>
      <c r="AP620">
        <v>125.98250059366667</v>
      </c>
      <c r="AQ620">
        <v>113.44216062265924</v>
      </c>
      <c r="AR620">
        <v>18.980206127322163</v>
      </c>
      <c r="AS620">
        <v>89.947883616834176</v>
      </c>
      <c r="AT620">
        <v>14.552456508263328</v>
      </c>
      <c r="AU620">
        <v>0.25420018486457496</v>
      </c>
      <c r="AV620"/>
      <c r="AW620"/>
      <c r="FY620" s="211">
        <v>615</v>
      </c>
      <c r="FZ620">
        <v>4.9797292776735027</v>
      </c>
      <c r="GA620">
        <v>17.826163067711953</v>
      </c>
      <c r="GB620">
        <v>17.31036739061917</v>
      </c>
      <c r="GC620">
        <v>11.534329823353135</v>
      </c>
      <c r="GD620">
        <v>10.678051150887409</v>
      </c>
      <c r="GE620">
        <v>25.887195207413527</v>
      </c>
      <c r="GF620">
        <v>31.445706739436126</v>
      </c>
      <c r="GG620">
        <v>13.327883073029319</v>
      </c>
      <c r="GH620">
        <v>5.7422580721733159</v>
      </c>
      <c r="GI620">
        <v>18.348873840888682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75.012527792718245</v>
      </c>
      <c r="AO621">
        <v>28.396464260983596</v>
      </c>
      <c r="AP621">
        <v>173.99737447412028</v>
      </c>
      <c r="AQ621">
        <v>153.18471071788792</v>
      </c>
      <c r="AR621">
        <v>25.998295083699634</v>
      </c>
      <c r="AS621">
        <v>130.83416636409507</v>
      </c>
      <c r="AT621">
        <v>19.375357576184648</v>
      </c>
      <c r="AU621">
        <v>44.6218915549588</v>
      </c>
      <c r="AV621"/>
      <c r="AW621"/>
      <c r="FY621" s="211">
        <v>616</v>
      </c>
      <c r="FZ621">
        <v>6.4138280598633424</v>
      </c>
      <c r="GA621">
        <v>13.438116632756016</v>
      </c>
      <c r="GB621">
        <v>21.605124607000072</v>
      </c>
      <c r="GC621">
        <v>16.934131706949156</v>
      </c>
      <c r="GD621">
        <v>13.088107223985663</v>
      </c>
      <c r="GE621">
        <v>25.39511476772643</v>
      </c>
      <c r="GF621">
        <v>37.157039852530303</v>
      </c>
      <c r="GG621">
        <v>30.309216475709988</v>
      </c>
      <c r="GH621">
        <v>16.780441722509138</v>
      </c>
      <c r="GI621">
        <v>23.949703350743821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91.260498757253472</v>
      </c>
      <c r="AO622">
        <v>34.945827858870828</v>
      </c>
      <c r="AP622">
        <v>256.78145978487265</v>
      </c>
      <c r="AQ622">
        <v>212.47549777629854</v>
      </c>
      <c r="AR622">
        <v>31.710856713806944</v>
      </c>
      <c r="AS622">
        <v>148.91767078009548</v>
      </c>
      <c r="AT622">
        <v>23.84417256050358</v>
      </c>
      <c r="AU622">
        <v>29.997454782489964</v>
      </c>
      <c r="AV622"/>
      <c r="AW622"/>
      <c r="FY622" s="211">
        <v>617</v>
      </c>
      <c r="FZ622">
        <v>3.3982907117102048</v>
      </c>
      <c r="GA622">
        <v>14.566673474893292</v>
      </c>
      <c r="GB622">
        <v>11.973703336232269</v>
      </c>
      <c r="GC622">
        <v>8.4071812174540241</v>
      </c>
      <c r="GD622">
        <v>7.9800019174948273</v>
      </c>
      <c r="GE622">
        <v>16.861840538960593</v>
      </c>
      <c r="GF622">
        <v>19.003744643017878</v>
      </c>
      <c r="GG622">
        <v>6.343504709132703</v>
      </c>
      <c r="GH622">
        <v>2.0948703604573007</v>
      </c>
      <c r="GI622">
        <v>12.250956143060556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98.757688865972682</v>
      </c>
      <c r="AO623">
        <v>37.136098663663802</v>
      </c>
      <c r="AP623">
        <v>257.09639443103833</v>
      </c>
      <c r="AQ623">
        <v>220.23023675675191</v>
      </c>
      <c r="AR623">
        <v>33.454249298027605</v>
      </c>
      <c r="AS623">
        <v>165.94568767412784</v>
      </c>
      <c r="AT623">
        <v>25.826813825289108</v>
      </c>
      <c r="AU623">
        <v>52.999672632132544</v>
      </c>
      <c r="AV623"/>
      <c r="AW623"/>
      <c r="FY623" s="211">
        <v>618</v>
      </c>
      <c r="FZ623">
        <v>2.3350157719224893</v>
      </c>
      <c r="GA623">
        <v>21.967648665145433</v>
      </c>
      <c r="GB623">
        <v>29.170698965868567</v>
      </c>
      <c r="GC623">
        <v>16.320528148812009</v>
      </c>
      <c r="GD623">
        <v>12.760163551963124</v>
      </c>
      <c r="GE623">
        <v>26.458513358156889</v>
      </c>
      <c r="GF623">
        <v>36.714645784017243</v>
      </c>
      <c r="GG623">
        <v>21.109714753920173</v>
      </c>
      <c r="GH623">
        <v>5.2626618136759866</v>
      </c>
      <c r="GI623">
        <v>23.085647682280825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87.858283984322625</v>
      </c>
      <c r="AO624">
        <v>38.510000838463974</v>
      </c>
      <c r="AP624">
        <v>286.74762476307217</v>
      </c>
      <c r="AQ624">
        <v>232.07182478353587</v>
      </c>
      <c r="AR624">
        <v>35.278235516780398</v>
      </c>
      <c r="AS624">
        <v>160.0903455748078</v>
      </c>
      <c r="AT624" t="e">
        <v>#DIV/0!</v>
      </c>
      <c r="AU624" t="e">
        <v>#DIV/0!</v>
      </c>
      <c r="AV624"/>
      <c r="AW624"/>
      <c r="FY624" s="211">
        <v>619</v>
      </c>
      <c r="FZ624">
        <v>4.4644547866240485</v>
      </c>
      <c r="GA624">
        <v>11.273547623414991</v>
      </c>
      <c r="GB624">
        <v>15.917216876269373</v>
      </c>
      <c r="GC624">
        <v>15.94694685338475</v>
      </c>
      <c r="GD624">
        <v>14.068224787396947</v>
      </c>
      <c r="GE624">
        <v>18.643012136962035</v>
      </c>
      <c r="GF624">
        <v>19.533583577311127</v>
      </c>
      <c r="GG624">
        <v>15.172624982121661</v>
      </c>
      <c r="GH624">
        <v>6.0620094391510833</v>
      </c>
      <c r="GI624">
        <v>17.772457606818875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78.739036747787424</v>
      </c>
      <c r="AO625">
        <v>28.236198466946774</v>
      </c>
      <c r="AP625">
        <v>203.81195407369145</v>
      </c>
      <c r="AQ625">
        <v>162.47837111149374</v>
      </c>
      <c r="AR625">
        <v>25.201754543328512</v>
      </c>
      <c r="AS625">
        <v>125.93920999614313</v>
      </c>
      <c r="AT625">
        <v>19.221509352019591</v>
      </c>
      <c r="AU625">
        <v>56.405615305070626</v>
      </c>
      <c r="AV625"/>
      <c r="AW625"/>
      <c r="FY625" s="211">
        <v>620</v>
      </c>
      <c r="FZ625">
        <v>1.4277230022214682</v>
      </c>
      <c r="GA625">
        <v>10.249883352028332</v>
      </c>
      <c r="GB625">
        <v>14.631281700066864</v>
      </c>
      <c r="GC625">
        <v>10.468184525655143</v>
      </c>
      <c r="GD625">
        <v>9.9798078102503105</v>
      </c>
      <c r="GE625">
        <v>19.358267149082284</v>
      </c>
      <c r="GF625">
        <v>19.576083081885194</v>
      </c>
      <c r="GG625">
        <v>12.721489832964931</v>
      </c>
      <c r="GH625">
        <v>8.1808906037403251</v>
      </c>
      <c r="GI625">
        <v>14.915607063133278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79.529964961895928</v>
      </c>
      <c r="AO626">
        <v>32.467900386471925</v>
      </c>
      <c r="AP626">
        <v>209.93492826726836</v>
      </c>
      <c r="AQ626">
        <v>179.5386223999493</v>
      </c>
      <c r="AR626">
        <v>29.487283637963831</v>
      </c>
      <c r="AS626">
        <v>142.5768237059562</v>
      </c>
      <c r="AT626">
        <v>22.798813325929412</v>
      </c>
      <c r="AU626">
        <v>46.92224141102718</v>
      </c>
      <c r="AV626"/>
      <c r="AW626"/>
      <c r="FY626" s="211">
        <v>621</v>
      </c>
      <c r="FZ626">
        <v>11.325011708990404</v>
      </c>
      <c r="GA626">
        <v>18.012497014089778</v>
      </c>
      <c r="GB626">
        <v>21.804960436000982</v>
      </c>
      <c r="GC626">
        <v>14.402213173798291</v>
      </c>
      <c r="GD626">
        <v>9.1617101428251928</v>
      </c>
      <c r="GE626">
        <v>22.035622095709787</v>
      </c>
      <c r="GF626">
        <v>18.341679113880918</v>
      </c>
      <c r="GG626">
        <v>17.472521073743376</v>
      </c>
      <c r="GH626">
        <v>21.279908750249312</v>
      </c>
      <c r="GI626">
        <v>19.527988002275574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72.118417658864672</v>
      </c>
      <c r="AO627">
        <v>27.650065689068196</v>
      </c>
      <c r="AP627">
        <v>157.10650355776446</v>
      </c>
      <c r="AQ627">
        <v>144.65407885998761</v>
      </c>
      <c r="AR627">
        <v>25.446491893447483</v>
      </c>
      <c r="AS627">
        <v>165.51190907039043</v>
      </c>
      <c r="AT627">
        <v>19.338456795745525</v>
      </c>
      <c r="AU627">
        <v>30.290565561760577</v>
      </c>
      <c r="AV627"/>
      <c r="AW627"/>
      <c r="FY627" s="211">
        <v>622</v>
      </c>
      <c r="FZ627">
        <v>5.2080511574989679</v>
      </c>
      <c r="GA627">
        <v>19.240028276099657</v>
      </c>
      <c r="GB627">
        <v>21.690437922066277</v>
      </c>
      <c r="GC627">
        <v>12.920821401027338</v>
      </c>
      <c r="GD627">
        <v>11.799248131160409</v>
      </c>
      <c r="GE627">
        <v>19.525432487338129</v>
      </c>
      <c r="GF627">
        <v>15.533401769379477</v>
      </c>
      <c r="GG627">
        <v>13.594987755269376</v>
      </c>
      <c r="GH627">
        <v>7.2364973899916052</v>
      </c>
      <c r="GI627">
        <v>17.401956693596361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93.531075166133888</v>
      </c>
      <c r="AO628">
        <v>37.759209253960549</v>
      </c>
      <c r="AP628">
        <v>262.27640463118627</v>
      </c>
      <c r="AQ628">
        <v>221.16668153893443</v>
      </c>
      <c r="AR628">
        <v>34.309665926188671</v>
      </c>
      <c r="AS628">
        <v>162.68597369008631</v>
      </c>
      <c r="AT628" t="e">
        <v>#DIV/0!</v>
      </c>
      <c r="AU628" t="e">
        <v>#DIV/0!</v>
      </c>
      <c r="AV628"/>
      <c r="AW628"/>
      <c r="FY628" s="211">
        <v>623</v>
      </c>
      <c r="FZ628">
        <v>5.9971605489886954</v>
      </c>
      <c r="GA628">
        <v>14.19052542327368</v>
      </c>
      <c r="GB628">
        <v>14.250938782697476</v>
      </c>
      <c r="GC628">
        <v>12.644721241931959</v>
      </c>
      <c r="GD628">
        <v>11.84707226486327</v>
      </c>
      <c r="GE628">
        <v>22.048401996468556</v>
      </c>
      <c r="GF628">
        <v>23.294385628937917</v>
      </c>
      <c r="GG628">
        <v>20.935970747142299</v>
      </c>
      <c r="GH628">
        <v>19.335566160148428</v>
      </c>
      <c r="GI628">
        <v>19.087047909043594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74.082433966333753</v>
      </c>
      <c r="AO629">
        <v>29.436563131314823</v>
      </c>
      <c r="AP629">
        <v>193.88724334870787</v>
      </c>
      <c r="AQ629">
        <v>163.21524855938563</v>
      </c>
      <c r="AR629">
        <v>27.016141727364673</v>
      </c>
      <c r="AS629">
        <v>132.6977639857686</v>
      </c>
      <c r="AT629">
        <v>20.209695529405021</v>
      </c>
      <c r="AU629">
        <v>35.870206232091405</v>
      </c>
      <c r="AV629"/>
      <c r="AW629"/>
      <c r="FY629" s="211">
        <v>624</v>
      </c>
      <c r="FZ629">
        <v>3.4732936135879093</v>
      </c>
      <c r="GA629">
        <v>12.052019181051895</v>
      </c>
      <c r="GB629">
        <v>17.486642263877297</v>
      </c>
      <c r="GC629">
        <v>13.867846119623422</v>
      </c>
      <c r="GD629">
        <v>12.123398778153229</v>
      </c>
      <c r="GE629">
        <v>21.751215016397637</v>
      </c>
      <c r="GF629">
        <v>27.269006949500458</v>
      </c>
      <c r="GG629">
        <v>23.911034195095688</v>
      </c>
      <c r="GH629">
        <v>14.577891564724622</v>
      </c>
      <c r="GI629">
        <v>19.658901601057085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74.015335665075625</v>
      </c>
      <c r="AO630">
        <v>29.37903450407477</v>
      </c>
      <c r="AP630">
        <v>185.94601781778283</v>
      </c>
      <c r="AQ630">
        <v>157.92338035049949</v>
      </c>
      <c r="AR630">
        <v>26.636996660358584</v>
      </c>
      <c r="AS630">
        <v>128.8064188630421</v>
      </c>
      <c r="AT630">
        <v>19.980668318619994</v>
      </c>
      <c r="AU630">
        <v>30.113684716066842</v>
      </c>
      <c r="AV630"/>
      <c r="AW630"/>
      <c r="FY630" s="211">
        <v>625</v>
      </c>
      <c r="FZ630">
        <v>7.6278374509797597</v>
      </c>
      <c r="GA630">
        <v>21.136770523199075</v>
      </c>
      <c r="GB630">
        <v>27.331637696003924</v>
      </c>
      <c r="GC630">
        <v>20.032127891117359</v>
      </c>
      <c r="GD630">
        <v>14.166621197773207</v>
      </c>
      <c r="GE630">
        <v>20.016632795697074</v>
      </c>
      <c r="GF630">
        <v>22.146013281797487</v>
      </c>
      <c r="GG630">
        <v>17.099716078288427</v>
      </c>
      <c r="GH630">
        <v>5.5375542948363607</v>
      </c>
      <c r="GI630">
        <v>21.611775957000937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76.723717833627433</v>
      </c>
      <c r="AO631">
        <v>27.873081602537034</v>
      </c>
      <c r="AP631">
        <v>182.17351153320078</v>
      </c>
      <c r="AQ631">
        <v>157.08055764318613</v>
      </c>
      <c r="AR631">
        <v>24.862278317572862</v>
      </c>
      <c r="AS631">
        <v>119.77828612310816</v>
      </c>
      <c r="AT631" t="e">
        <v>#DIV/0!</v>
      </c>
      <c r="AU631" t="e">
        <v>#DIV/0!</v>
      </c>
      <c r="AV631"/>
      <c r="AW631"/>
      <c r="FY631" s="211">
        <v>626</v>
      </c>
      <c r="FZ631">
        <v>1.6338024640284954</v>
      </c>
      <c r="GA631">
        <v>12.908367997929467</v>
      </c>
      <c r="GB631">
        <v>42.570709612938806</v>
      </c>
      <c r="GC631">
        <v>24.16894874650108</v>
      </c>
      <c r="GD631">
        <v>6.4104528470292355</v>
      </c>
      <c r="GE631">
        <v>16.339184499237316</v>
      </c>
      <c r="GF631">
        <v>29.326528259168459</v>
      </c>
      <c r="GG631">
        <v>12.582318890096651</v>
      </c>
      <c r="GH631">
        <v>3.3575701825624926</v>
      </c>
      <c r="GI631">
        <v>20.873327111713834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92.442536954478683</v>
      </c>
      <c r="AO632">
        <v>36.373298779161601</v>
      </c>
      <c r="AP632">
        <v>242.02138841321585</v>
      </c>
      <c r="AQ632">
        <v>205.0708243997739</v>
      </c>
      <c r="AR632">
        <v>33.12719983014513</v>
      </c>
      <c r="AS632">
        <v>160.23736977553529</v>
      </c>
      <c r="AT632">
        <v>24.967615304655979</v>
      </c>
      <c r="AU632">
        <v>35.929545435460788</v>
      </c>
      <c r="AV632"/>
      <c r="AW632"/>
      <c r="FY632" s="211">
        <v>627</v>
      </c>
      <c r="FZ632">
        <v>5.7408365179940164</v>
      </c>
      <c r="GA632">
        <v>11.462879151185518</v>
      </c>
      <c r="GB632">
        <v>19.152282396983377</v>
      </c>
      <c r="GC632">
        <v>17.241328579508142</v>
      </c>
      <c r="GD632">
        <v>12.121601902436247</v>
      </c>
      <c r="GE632">
        <v>16.868789294415066</v>
      </c>
      <c r="GF632">
        <v>21.71597160523682</v>
      </c>
      <c r="GG632">
        <v>22.797188055054367</v>
      </c>
      <c r="GH632">
        <v>15.178648352110841</v>
      </c>
      <c r="GI632">
        <v>19.422028950390366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52.972064333178764</v>
      </c>
      <c r="AO633">
        <v>18.577338566020828</v>
      </c>
      <c r="AP633">
        <v>117.28068603722032</v>
      </c>
      <c r="AQ633">
        <v>102.88076705241366</v>
      </c>
      <c r="AR633">
        <v>16.590589315707494</v>
      </c>
      <c r="AS633">
        <v>80.089968423438791</v>
      </c>
      <c r="AT633" t="e">
        <v>#DIV/0!</v>
      </c>
      <c r="AU633" t="e">
        <v>#DIV/0!</v>
      </c>
      <c r="AV633"/>
      <c r="AW633"/>
      <c r="FY633" s="211">
        <v>628</v>
      </c>
      <c r="FZ633">
        <v>7.3619546201117041</v>
      </c>
      <c r="GA633">
        <v>20.377149441354341</v>
      </c>
      <c r="GB633">
        <v>14.764891140287528</v>
      </c>
      <c r="GC633">
        <v>14.304657031679117</v>
      </c>
      <c r="GD633">
        <v>12.489150165639364</v>
      </c>
      <c r="GE633">
        <v>12.140169833125325</v>
      </c>
      <c r="GF633">
        <v>16.160528793764936</v>
      </c>
      <c r="GG633">
        <v>20.186940686678074</v>
      </c>
      <c r="GH633">
        <v>14.040081433595432</v>
      </c>
      <c r="GI633">
        <v>17.561465538910888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88.355684529524524</v>
      </c>
      <c r="AO634">
        <v>34.943810780332512</v>
      </c>
      <c r="AP634">
        <v>234.36723565275048</v>
      </c>
      <c r="AQ634">
        <v>195.18523849576275</v>
      </c>
      <c r="AR634">
        <v>31.816970618182438</v>
      </c>
      <c r="AS634">
        <v>156.01219361338696</v>
      </c>
      <c r="AT634">
        <v>24.240931881878851</v>
      </c>
      <c r="AU634">
        <v>56.028351907738092</v>
      </c>
      <c r="AV634"/>
      <c r="AW634"/>
      <c r="FY634" s="211">
        <v>629</v>
      </c>
      <c r="FZ634">
        <v>6.1379014376496048</v>
      </c>
      <c r="GA634">
        <v>15.59137498404321</v>
      </c>
      <c r="GB634">
        <v>27.580611937856609</v>
      </c>
      <c r="GC634">
        <v>17.334964654012317</v>
      </c>
      <c r="GD634">
        <v>7.9995025270358395</v>
      </c>
      <c r="GE634">
        <v>17.876650734425084</v>
      </c>
      <c r="GF634">
        <v>23.80040566201588</v>
      </c>
      <c r="GG634">
        <v>15.611436874271138</v>
      </c>
      <c r="GH634">
        <v>16.259084697642518</v>
      </c>
      <c r="GI634">
        <v>19.756051255376388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73.544110934003498</v>
      </c>
      <c r="AO635">
        <v>26.984848985768384</v>
      </c>
      <c r="AP635">
        <v>153.46214262674687</v>
      </c>
      <c r="AQ635">
        <v>138.85407866945491</v>
      </c>
      <c r="AR635">
        <v>24.776511700674703</v>
      </c>
      <c r="AS635">
        <v>123.3602769925979</v>
      </c>
      <c r="AT635" t="e">
        <v>#DIV/0!</v>
      </c>
      <c r="AU635" t="e">
        <v>#DIV/0!</v>
      </c>
      <c r="AV635"/>
      <c r="AW635"/>
      <c r="FY635" s="211">
        <v>630</v>
      </c>
      <c r="FZ635">
        <v>3.339180641065139</v>
      </c>
      <c r="GA635">
        <v>13.325216828646294</v>
      </c>
      <c r="GB635">
        <v>19.719088183675765</v>
      </c>
      <c r="GC635">
        <v>14.821678965365084</v>
      </c>
      <c r="GD635">
        <v>9.7158159658213066</v>
      </c>
      <c r="GE635">
        <v>17.176006713916305</v>
      </c>
      <c r="GF635">
        <v>20.360995421480595</v>
      </c>
      <c r="GG635">
        <v>9.4064004076119971</v>
      </c>
      <c r="GH635">
        <v>4.0881738628354638</v>
      </c>
      <c r="GI635">
        <v>15.782343087388774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55.760958358348134</v>
      </c>
      <c r="AO636">
        <v>22.580697266744028</v>
      </c>
      <c r="AP636">
        <v>139.24327349741884</v>
      </c>
      <c r="AQ636">
        <v>121.50921812102813</v>
      </c>
      <c r="AR636">
        <v>20.550325971688949</v>
      </c>
      <c r="AS636">
        <v>101.55132611098486</v>
      </c>
      <c r="AT636">
        <v>15.558216933079521</v>
      </c>
      <c r="AU636">
        <v>20.847478878865207</v>
      </c>
      <c r="AV636"/>
      <c r="AW636"/>
      <c r="FY636" s="211">
        <v>631</v>
      </c>
      <c r="FZ636">
        <v>6.1563207534501245</v>
      </c>
      <c r="GA636">
        <v>15.747143938878043</v>
      </c>
      <c r="GB636">
        <v>20.994168839828632</v>
      </c>
      <c r="GC636">
        <v>13.687452951235947</v>
      </c>
      <c r="GD636">
        <v>10.762834829966762</v>
      </c>
      <c r="GE636">
        <v>21.215188149141802</v>
      </c>
      <c r="GF636">
        <v>18.92725206287431</v>
      </c>
      <c r="GG636">
        <v>17.697380501837984</v>
      </c>
      <c r="GH636">
        <v>19.697225753952182</v>
      </c>
      <c r="GI636">
        <v>19.366602333573958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92.863617266298704</v>
      </c>
      <c r="AO637">
        <v>29.662632677926126</v>
      </c>
      <c r="AP637">
        <v>203.45703999701078</v>
      </c>
      <c r="AQ637">
        <v>173.36411151156364</v>
      </c>
      <c r="AR637">
        <v>26.820093929825092</v>
      </c>
      <c r="AS637">
        <v>131.01883230041534</v>
      </c>
      <c r="AT637" t="e">
        <v>#DIV/0!</v>
      </c>
      <c r="AU637" t="e">
        <v>#DIV/0!</v>
      </c>
      <c r="AV637"/>
      <c r="AW637"/>
      <c r="FY637" s="211">
        <v>632</v>
      </c>
      <c r="FZ637">
        <v>1.6863937190023952</v>
      </c>
      <c r="GA637">
        <v>8.1089498206101727</v>
      </c>
      <c r="GB637">
        <v>11.246006532858654</v>
      </c>
      <c r="GC637">
        <v>8.7615795879486686</v>
      </c>
      <c r="GD637">
        <v>8.5572573235590497</v>
      </c>
      <c r="GE637">
        <v>15.299569587719468</v>
      </c>
      <c r="GF637">
        <v>21.88283212946795</v>
      </c>
      <c r="GG637">
        <v>15.545007585034501</v>
      </c>
      <c r="GH637">
        <v>6.7807861908790095</v>
      </c>
      <c r="GI637">
        <v>13.445641242979733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78.21657705749368</v>
      </c>
      <c r="AO638">
        <v>26.339357790301868</v>
      </c>
      <c r="AP638">
        <v>165.8919166245648</v>
      </c>
      <c r="AQ638">
        <v>144.1508629834276</v>
      </c>
      <c r="AR638">
        <v>24.350822805012282</v>
      </c>
      <c r="AS638">
        <v>125.28986515258649</v>
      </c>
      <c r="AT638">
        <v>17.868707052617324</v>
      </c>
      <c r="AU638">
        <v>42.018841948368639</v>
      </c>
      <c r="AV638"/>
      <c r="AW638"/>
      <c r="FY638" s="211">
        <v>633</v>
      </c>
      <c r="FZ638">
        <v>2.1052507384554691</v>
      </c>
      <c r="GA638">
        <v>11.73873735168609</v>
      </c>
      <c r="GB638">
        <v>14.791548361286054</v>
      </c>
      <c r="GC638">
        <v>12.815079378191855</v>
      </c>
      <c r="GD638">
        <v>14.035672111684903</v>
      </c>
      <c r="GE638">
        <v>26.90946453580672</v>
      </c>
      <c r="GF638">
        <v>35.735033239763325</v>
      </c>
      <c r="GG638">
        <v>24.768571154229196</v>
      </c>
      <c r="GH638">
        <v>12.148029682434107</v>
      </c>
      <c r="GI638">
        <v>21.160881963674967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78.598112420522028</v>
      </c>
      <c r="AO639">
        <v>28.856110988445863</v>
      </c>
      <c r="AP639">
        <v>187.253888553774</v>
      </c>
      <c r="AQ639">
        <v>163.63179070349588</v>
      </c>
      <c r="AR639">
        <v>26.253904250671152</v>
      </c>
      <c r="AS639">
        <v>131.1801856019334</v>
      </c>
      <c r="AT639">
        <v>20.084403870059909</v>
      </c>
      <c r="AU639">
        <v>38.537803970726962</v>
      </c>
      <c r="AV639"/>
      <c r="AW639"/>
      <c r="FY639" s="211">
        <v>634</v>
      </c>
      <c r="FZ639">
        <v>8.4409503344036754</v>
      </c>
      <c r="GA639">
        <v>28.47829221635072</v>
      </c>
      <c r="GB639">
        <v>19.156652019749863</v>
      </c>
      <c r="GC639">
        <v>11.363868538310498</v>
      </c>
      <c r="GD639">
        <v>13.249395788274636</v>
      </c>
      <c r="GE639">
        <v>29.055809373107312</v>
      </c>
      <c r="GF639">
        <v>22.983476067482403</v>
      </c>
      <c r="GG639">
        <v>5.8517236523607199</v>
      </c>
      <c r="GH639">
        <v>5.5689324490920793</v>
      </c>
      <c r="GI639">
        <v>19.230133319292044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85.095939165747623</v>
      </c>
      <c r="AO640">
        <v>29.884035579663283</v>
      </c>
      <c r="AP640">
        <v>192.22565049234566</v>
      </c>
      <c r="AQ640">
        <v>166.17124928306924</v>
      </c>
      <c r="AR640">
        <v>27.171161285492033</v>
      </c>
      <c r="AS640">
        <v>130.00361012269428</v>
      </c>
      <c r="AT640" t="e">
        <v>#DIV/0!</v>
      </c>
      <c r="AU640" t="e">
        <v>#DIV/0!</v>
      </c>
      <c r="AV640"/>
      <c r="AW640"/>
      <c r="FY640" s="211">
        <v>635</v>
      </c>
      <c r="FZ640">
        <v>4.7446364460071049</v>
      </c>
      <c r="GA640">
        <v>15.665510884425263</v>
      </c>
      <c r="GB640">
        <v>35.503997933424671</v>
      </c>
      <c r="GC640">
        <v>23.723767944863809</v>
      </c>
      <c r="GD640">
        <v>10.881924836455152</v>
      </c>
      <c r="GE640">
        <v>19.379222050738267</v>
      </c>
      <c r="GF640">
        <v>30.270128751282215</v>
      </c>
      <c r="GG640">
        <v>22.636949118948714</v>
      </c>
      <c r="GH640">
        <v>12.220103554298506</v>
      </c>
      <c r="GI640">
        <v>23.868434454579859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94.48917592371177</v>
      </c>
      <c r="AO641">
        <v>32.968262929502053</v>
      </c>
      <c r="AP641">
        <v>205.20414888785351</v>
      </c>
      <c r="AQ641">
        <v>176.7066871666936</v>
      </c>
      <c r="AR641">
        <v>30.225638938981078</v>
      </c>
      <c r="AS641">
        <v>145.58634296189166</v>
      </c>
      <c r="AT641" t="e">
        <v>#DIV/0!</v>
      </c>
      <c r="AU641" t="e">
        <v>#DIV/0!</v>
      </c>
      <c r="AV641"/>
      <c r="AW641"/>
      <c r="FY641" s="211">
        <v>636</v>
      </c>
      <c r="FZ641">
        <v>10.128418228357637</v>
      </c>
      <c r="GA641">
        <v>24.628012722196313</v>
      </c>
      <c r="GB641">
        <v>15.494912134338572</v>
      </c>
      <c r="GC641">
        <v>10.047214679475511</v>
      </c>
      <c r="GD641">
        <v>12.299677962405591</v>
      </c>
      <c r="GE641">
        <v>28.729956061145057</v>
      </c>
      <c r="GF641">
        <v>27.294303899827643</v>
      </c>
      <c r="GG641">
        <v>24.745842657454311</v>
      </c>
      <c r="GH641">
        <v>27.906837244109624</v>
      </c>
      <c r="GI641">
        <v>22.413975903948764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78.928638333649104</v>
      </c>
      <c r="AO642">
        <v>31.690596413585219</v>
      </c>
      <c r="AP642">
        <v>220.02612778166815</v>
      </c>
      <c r="AQ642">
        <v>170.17121061120582</v>
      </c>
      <c r="AR642">
        <v>28.837626342760299</v>
      </c>
      <c r="AS642">
        <v>139.34115811908958</v>
      </c>
      <c r="AT642">
        <v>21.023638450664738</v>
      </c>
      <c r="AU642">
        <v>39.453550318304728</v>
      </c>
      <c r="AV642"/>
      <c r="AW642"/>
      <c r="FY642" s="211">
        <v>637</v>
      </c>
      <c r="FZ642">
        <v>9.1167141688789091</v>
      </c>
      <c r="GA642">
        <v>22.966610476599058</v>
      </c>
      <c r="GB642">
        <v>16.563636528795108</v>
      </c>
      <c r="GC642">
        <v>11.150663493770118</v>
      </c>
      <c r="GD642">
        <v>9.417895115119709</v>
      </c>
      <c r="GE642">
        <v>19.250922795894819</v>
      </c>
      <c r="GF642">
        <v>31.146845317717702</v>
      </c>
      <c r="GG642">
        <v>30.745978048599639</v>
      </c>
      <c r="GH642">
        <v>26.092467291642709</v>
      </c>
      <c r="GI642">
        <v>21.236392409313879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83.032172598950936</v>
      </c>
      <c r="AO643">
        <v>29.50796329801069</v>
      </c>
      <c r="AP643">
        <v>186.8005158281338</v>
      </c>
      <c r="AQ643">
        <v>161.70155480531474</v>
      </c>
      <c r="AR643">
        <v>27.030768802828568</v>
      </c>
      <c r="AS643">
        <v>133.71094124237422</v>
      </c>
      <c r="AT643" t="e">
        <v>#DIV/0!</v>
      </c>
      <c r="AU643" t="e">
        <v>#DIV/0!</v>
      </c>
      <c r="AV643"/>
      <c r="AW643"/>
      <c r="FY643" s="211">
        <v>638</v>
      </c>
      <c r="FZ643">
        <v>5.4130840514585072</v>
      </c>
      <c r="GA643">
        <v>18.293255675392693</v>
      </c>
      <c r="GB643">
        <v>17.882563474398673</v>
      </c>
      <c r="GC643">
        <v>14.001148670251304</v>
      </c>
      <c r="GD643">
        <v>13.432343439728248</v>
      </c>
      <c r="GE643">
        <v>24.675636228011417</v>
      </c>
      <c r="GF643">
        <v>26.081717969800827</v>
      </c>
      <c r="GG643">
        <v>28.35370973893334</v>
      </c>
      <c r="GH643">
        <v>24.461055190282462</v>
      </c>
      <c r="GI643">
        <v>22.214421262300686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75.491720709234244</v>
      </c>
      <c r="AO644">
        <v>26.415495526095519</v>
      </c>
      <c r="AP644">
        <v>171.04324118267107</v>
      </c>
      <c r="AQ644">
        <v>149.38698868514669</v>
      </c>
      <c r="AR644">
        <v>24.625356443480648</v>
      </c>
      <c r="AS644">
        <v>118.07453820399891</v>
      </c>
      <c r="AT644">
        <v>18.64196335092451</v>
      </c>
      <c r="AU644">
        <v>44.454033640837267</v>
      </c>
      <c r="AV644"/>
      <c r="AW644"/>
      <c r="FY644" s="211">
        <v>639</v>
      </c>
      <c r="FZ644">
        <v>2.6585499643675181</v>
      </c>
      <c r="GA644">
        <v>9.0292338174939175</v>
      </c>
      <c r="GB644">
        <v>13.577747350528826</v>
      </c>
      <c r="GC644">
        <v>13.143027708997895</v>
      </c>
      <c r="GD644">
        <v>11.774417564301988</v>
      </c>
      <c r="GE644">
        <v>23.069037675757627</v>
      </c>
      <c r="GF644">
        <v>32.486910098565389</v>
      </c>
      <c r="GG644">
        <v>25.542211939258607</v>
      </c>
      <c r="GH644">
        <v>20.049800033806964</v>
      </c>
      <c r="GI644">
        <v>20.145889672616477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83.793300719716868</v>
      </c>
      <c r="AO645">
        <v>29.534468149801693</v>
      </c>
      <c r="AP645">
        <v>206.79791795464746</v>
      </c>
      <c r="AQ645">
        <v>167.9479847643286</v>
      </c>
      <c r="AR645">
        <v>27.238122992877297</v>
      </c>
      <c r="AS645">
        <v>133.40365136933255</v>
      </c>
      <c r="AT645">
        <v>20.090266492123398</v>
      </c>
      <c r="AU645">
        <v>36.962507960988084</v>
      </c>
      <c r="AV645"/>
      <c r="AW645"/>
      <c r="FY645" s="211">
        <v>640</v>
      </c>
      <c r="FZ645">
        <v>7.3028445494666379</v>
      </c>
      <c r="GA645">
        <v>18.332126879278615</v>
      </c>
      <c r="GB645">
        <v>19.152242365571333</v>
      </c>
      <c r="GC645">
        <v>13.622965679754582</v>
      </c>
      <c r="GD645">
        <v>11.587896194922152</v>
      </c>
      <c r="GE645">
        <v>23.121853519869255</v>
      </c>
      <c r="GF645">
        <v>29.497388458921446</v>
      </c>
      <c r="GG645">
        <v>23.645294946118042</v>
      </c>
      <c r="GH645">
        <v>20.385689400185001</v>
      </c>
      <c r="GI645">
        <v>21.717921597380954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64.470692347935795</v>
      </c>
      <c r="AO646">
        <v>23.994124513121243</v>
      </c>
      <c r="AP646">
        <v>147.83544884512477</v>
      </c>
      <c r="AQ646">
        <v>127.73490007780671</v>
      </c>
      <c r="AR646">
        <v>21.647763219165029</v>
      </c>
      <c r="AS646">
        <v>108.36134891862447</v>
      </c>
      <c r="AT646" t="e">
        <v>#DIV/0!</v>
      </c>
      <c r="AU646" t="e">
        <v>#DIV/0!</v>
      </c>
      <c r="AV646"/>
      <c r="AW646"/>
      <c r="FY646" s="211">
        <v>641</v>
      </c>
      <c r="FZ646">
        <v>1.2608868998529066</v>
      </c>
      <c r="GA646">
        <v>10.348941673953311</v>
      </c>
      <c r="GB646">
        <v>19.460927001473081</v>
      </c>
      <c r="GC646">
        <v>15.062088095015351</v>
      </c>
      <c r="GD646">
        <v>10.221605370154943</v>
      </c>
      <c r="GE646">
        <v>23.73020744655614</v>
      </c>
      <c r="GF646">
        <v>28.088682331494699</v>
      </c>
      <c r="GG646">
        <v>22.320813955839757</v>
      </c>
      <c r="GH646">
        <v>23.374779110706609</v>
      </c>
      <c r="GI646">
        <v>20.263799192765138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76.426001648494321</v>
      </c>
      <c r="AO647">
        <v>29.028944968231222</v>
      </c>
      <c r="AP647">
        <v>193.63206052525021</v>
      </c>
      <c r="AQ647">
        <v>164.25157011473974</v>
      </c>
      <c r="AR647">
        <v>26.879788047220476</v>
      </c>
      <c r="AS647">
        <v>128.20088555623656</v>
      </c>
      <c r="AT647">
        <v>19.838052136183283</v>
      </c>
      <c r="AU647">
        <v>39.101848311454489</v>
      </c>
      <c r="AV647"/>
      <c r="AW647"/>
      <c r="FY647" s="211">
        <v>642</v>
      </c>
      <c r="FZ647">
        <v>7.5035962130742888</v>
      </c>
      <c r="GA647">
        <v>29.627063593376377</v>
      </c>
      <c r="GB647">
        <v>20.641866961962954</v>
      </c>
      <c r="GC647">
        <v>12.636189735059045</v>
      </c>
      <c r="GD647">
        <v>13.330924705947471</v>
      </c>
      <c r="GE647">
        <v>22.906275513337025</v>
      </c>
      <c r="GF647">
        <v>21.540719585486038</v>
      </c>
      <c r="GG647">
        <v>11.158778169672473</v>
      </c>
      <c r="GH647">
        <v>5.3836965978176679</v>
      </c>
      <c r="GI647">
        <v>19.209579642412738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53.887803523185518</v>
      </c>
      <c r="AO648">
        <v>20.152343564462576</v>
      </c>
      <c r="AP648">
        <v>129.22891159537596</v>
      </c>
      <c r="AQ648">
        <v>111.31402372005959</v>
      </c>
      <c r="AR648">
        <v>18.604942032381324</v>
      </c>
      <c r="AS648">
        <v>89.55122616770133</v>
      </c>
      <c r="AT648">
        <v>14.009450387691276</v>
      </c>
      <c r="AU648">
        <v>13.268212712452264</v>
      </c>
      <c r="AV648"/>
      <c r="AW648"/>
      <c r="FY648" s="211">
        <v>643</v>
      </c>
      <c r="FZ648">
        <v>8.3709573104511534</v>
      </c>
      <c r="GA648">
        <v>20.550550578181845</v>
      </c>
      <c r="GB648">
        <v>11.493486742796986</v>
      </c>
      <c r="GC648">
        <v>10.025821255692167</v>
      </c>
      <c r="GD648">
        <v>11.184790018056388</v>
      </c>
      <c r="GE648">
        <v>24.424548887376275</v>
      </c>
      <c r="GF648">
        <v>47.110418868262038</v>
      </c>
      <c r="GG648">
        <v>40.565666905432508</v>
      </c>
      <c r="GH648">
        <v>23.641924531882523</v>
      </c>
      <c r="GI648">
        <v>23.509352544282351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76.98303042570106</v>
      </c>
      <c r="AO649">
        <v>31.987615634182355</v>
      </c>
      <c r="AP649">
        <v>201.91931035088751</v>
      </c>
      <c r="AQ649">
        <v>176.20826851721267</v>
      </c>
      <c r="AR649">
        <v>29.069346849545624</v>
      </c>
      <c r="AS649">
        <v>133.56199291786325</v>
      </c>
      <c r="AT649">
        <v>22.362038445946922</v>
      </c>
      <c r="AU649">
        <v>39.270163068006354</v>
      </c>
      <c r="AV649"/>
      <c r="AW649"/>
      <c r="FY649" s="211">
        <v>644</v>
      </c>
      <c r="FZ649">
        <v>2.6993837549148587</v>
      </c>
      <c r="GA649">
        <v>15.261367891856384</v>
      </c>
      <c r="GB649">
        <v>33.033999108373074</v>
      </c>
      <c r="GC649">
        <v>21.923333111924592</v>
      </c>
      <c r="GD649">
        <v>12.748493154315881</v>
      </c>
      <c r="GE649">
        <v>24.473489478368244</v>
      </c>
      <c r="GF649">
        <v>29.414718982422841</v>
      </c>
      <c r="GG649">
        <v>13.538376373414275</v>
      </c>
      <c r="GH649">
        <v>4.9234425206356756</v>
      </c>
      <c r="GI649">
        <v>22.768901501774593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89.713688732489146</v>
      </c>
      <c r="AO650">
        <v>28.986369014573672</v>
      </c>
      <c r="AP650">
        <v>182.79005643854538</v>
      </c>
      <c r="AQ650">
        <v>163.37923375842396</v>
      </c>
      <c r="AR650">
        <v>26.128305824043544</v>
      </c>
      <c r="AS650">
        <v>132.3483562431083</v>
      </c>
      <c r="AT650">
        <v>20.118035236503687</v>
      </c>
      <c r="AU650">
        <v>62.427308864065672</v>
      </c>
      <c r="AV650"/>
      <c r="AW650"/>
      <c r="FY650" s="211">
        <v>645</v>
      </c>
      <c r="FZ650">
        <v>1.8975532384354854</v>
      </c>
      <c r="GA650">
        <v>10.068997754373797</v>
      </c>
      <c r="GB650">
        <v>27.259681863395844</v>
      </c>
      <c r="GC650">
        <v>21.014215349217992</v>
      </c>
      <c r="GD650">
        <v>13.199806613275889</v>
      </c>
      <c r="GE650">
        <v>22.087764390736385</v>
      </c>
      <c r="GF650">
        <v>32.613145638369105</v>
      </c>
      <c r="GG650">
        <v>26.902568264104691</v>
      </c>
      <c r="GH650">
        <v>14.597359490787166</v>
      </c>
      <c r="GI650">
        <v>23.549571408451904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92.507952012441677</v>
      </c>
      <c r="AO651">
        <v>36.379140185153972</v>
      </c>
      <c r="AP651">
        <v>244.53902547953587</v>
      </c>
      <c r="AQ651">
        <v>198.89467597502357</v>
      </c>
      <c r="AR651">
        <v>33.111066059910989</v>
      </c>
      <c r="AS651">
        <v>164.27723247055795</v>
      </c>
      <c r="AT651" t="e">
        <v>#DIV/0!</v>
      </c>
      <c r="AU651" t="e">
        <v>#DIV/0!</v>
      </c>
      <c r="AV651"/>
      <c r="AW651"/>
      <c r="FY651" s="211">
        <v>646</v>
      </c>
      <c r="FZ651">
        <v>4.3355343186511108</v>
      </c>
      <c r="GA651">
        <v>16.023362081118325</v>
      </c>
      <c r="GB651">
        <v>13.18918183704036</v>
      </c>
      <c r="GC651">
        <v>10.620440422438939</v>
      </c>
      <c r="GD651">
        <v>9.7897866440064867</v>
      </c>
      <c r="GE651">
        <v>23.628376333066853</v>
      </c>
      <c r="GF651">
        <v>29.916992583032084</v>
      </c>
      <c r="GG651">
        <v>16.520071888415018</v>
      </c>
      <c r="GH651">
        <v>13.632118195352994</v>
      </c>
      <c r="GI651">
        <v>17.675793970871752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100.29201873871297</v>
      </c>
      <c r="AO652">
        <v>33.68549292025719</v>
      </c>
      <c r="AP652">
        <v>235.96196682539076</v>
      </c>
      <c r="AQ652">
        <v>203.68915149325903</v>
      </c>
      <c r="AR652">
        <v>30.728178490538745</v>
      </c>
      <c r="AS652">
        <v>144.81059813066565</v>
      </c>
      <c r="AT652">
        <v>23.554008825246033</v>
      </c>
      <c r="AU652">
        <v>53.979224921234795</v>
      </c>
      <c r="AV652"/>
      <c r="AW652"/>
      <c r="FY652" s="211">
        <v>647</v>
      </c>
      <c r="FZ652">
        <v>1.2162342488521729</v>
      </c>
      <c r="GA652">
        <v>12.395131341595757</v>
      </c>
      <c r="GB652">
        <v>17.222181288839899</v>
      </c>
      <c r="GC652">
        <v>14.328010166347905</v>
      </c>
      <c r="GD652">
        <v>10.186867294210712</v>
      </c>
      <c r="GE652">
        <v>12.144879577714631</v>
      </c>
      <c r="GF652">
        <v>27.526808357189111</v>
      </c>
      <c r="GG652">
        <v>46.190781818003487</v>
      </c>
      <c r="GH652">
        <v>38.661422367006963</v>
      </c>
      <c r="GI652">
        <v>22.01561025386717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93.773398765877914</v>
      </c>
      <c r="AO653">
        <v>31.804543821040738</v>
      </c>
      <c r="AP653">
        <v>238.42573038345949</v>
      </c>
      <c r="AQ653">
        <v>197.68812564633166</v>
      </c>
      <c r="AR653">
        <v>29.266207730114406</v>
      </c>
      <c r="AS653">
        <v>145.85446224798227</v>
      </c>
      <c r="AT653">
        <v>21.942780921170975</v>
      </c>
      <c r="AU653">
        <v>32.256421952737902</v>
      </c>
      <c r="AV653"/>
      <c r="AW653"/>
      <c r="FY653" s="211">
        <v>648</v>
      </c>
      <c r="FZ653">
        <v>5.1322905870223829</v>
      </c>
      <c r="GA653">
        <v>16.171129826577282</v>
      </c>
      <c r="GB653">
        <v>11.10331441414227</v>
      </c>
      <c r="GC653">
        <v>11.651129927389055</v>
      </c>
      <c r="GD653">
        <v>14.089141273595551</v>
      </c>
      <c r="GE653">
        <v>25.071251980254928</v>
      </c>
      <c r="GF653">
        <v>37.659049798225283</v>
      </c>
      <c r="GG653">
        <v>34.046006688695925</v>
      </c>
      <c r="GH653">
        <v>21.590722263734797</v>
      </c>
      <c r="GI653">
        <v>22.615062115717421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89.782974053752326</v>
      </c>
      <c r="AO654">
        <v>33.909693217074086</v>
      </c>
      <c r="AP654">
        <v>225.32203642821773</v>
      </c>
      <c r="AQ654">
        <v>194.80893570055812</v>
      </c>
      <c r="AR654">
        <v>30.713179608351336</v>
      </c>
      <c r="AS654">
        <v>150.21053887651337</v>
      </c>
      <c r="AT654" t="e">
        <v>#DIV/0!</v>
      </c>
      <c r="AU654" t="e">
        <v>#DIV/0!</v>
      </c>
      <c r="AV654"/>
      <c r="AW654"/>
      <c r="FY654" s="211">
        <v>649</v>
      </c>
      <c r="FZ654">
        <v>1.1668641907836232</v>
      </c>
      <c r="GA654">
        <v>23.48456147458959</v>
      </c>
      <c r="GB654">
        <v>28.315343135422129</v>
      </c>
      <c r="GC654">
        <v>17.019171303128655</v>
      </c>
      <c r="GD654">
        <v>11.539482245976476</v>
      </c>
      <c r="GE654">
        <v>19.099382333838467</v>
      </c>
      <c r="GF654">
        <v>19.600014199001105</v>
      </c>
      <c r="GG654">
        <v>15.715777927453402</v>
      </c>
      <c r="GH654">
        <v>12.322735461138254</v>
      </c>
      <c r="GI654">
        <v>19.848152332656692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74.239560215270004</v>
      </c>
      <c r="AO655">
        <v>30.26466649005912</v>
      </c>
      <c r="AP655">
        <v>198.55772484441499</v>
      </c>
      <c r="AQ655">
        <v>171.47682582569522</v>
      </c>
      <c r="AR655">
        <v>27.543751652129835</v>
      </c>
      <c r="AS655">
        <v>130.18832947874324</v>
      </c>
      <c r="AT655">
        <v>20.969355379086306</v>
      </c>
      <c r="AU655">
        <v>20.765462326994484</v>
      </c>
      <c r="AV655"/>
      <c r="AW655"/>
      <c r="FY655" s="211">
        <v>650</v>
      </c>
      <c r="FZ655">
        <v>0.84260135076530296</v>
      </c>
      <c r="GA655">
        <v>8.0656166840164936</v>
      </c>
      <c r="GB655">
        <v>17.096526767557979</v>
      </c>
      <c r="GC655">
        <v>15.11739170080368</v>
      </c>
      <c r="GD655">
        <v>12.524242754900957</v>
      </c>
      <c r="GE655">
        <v>26.079419272330394</v>
      </c>
      <c r="GF655">
        <v>27.981613372407544</v>
      </c>
      <c r="GG655">
        <v>17.873017017019663</v>
      </c>
      <c r="GH655">
        <v>15.299683136252524</v>
      </c>
      <c r="GI655">
        <v>19.679080103946248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88.84410976459921</v>
      </c>
      <c r="AO656">
        <v>32.40904258957881</v>
      </c>
      <c r="AP656">
        <v>222.38296140646716</v>
      </c>
      <c r="AQ656">
        <v>188.36622359146804</v>
      </c>
      <c r="AR656">
        <v>29.957745556814064</v>
      </c>
      <c r="AS656">
        <v>148.70358356741039</v>
      </c>
      <c r="AT656">
        <v>22.539567121866824</v>
      </c>
      <c r="AU656">
        <v>33.905206487614414</v>
      </c>
      <c r="AV656"/>
      <c r="AW656"/>
      <c r="FY656" s="211">
        <v>651</v>
      </c>
      <c r="FZ656">
        <v>8.3052193236679468</v>
      </c>
      <c r="GA656">
        <v>16.323220305581373</v>
      </c>
      <c r="GB656">
        <v>33.630673855247146</v>
      </c>
      <c r="GC656">
        <v>24.543519677477775</v>
      </c>
      <c r="GD656">
        <v>11.410399625194486</v>
      </c>
      <c r="GE656">
        <v>16.136722649142531</v>
      </c>
      <c r="GF656">
        <v>22.876214744886465</v>
      </c>
      <c r="GG656">
        <v>21.058922370955237</v>
      </c>
      <c r="GH656">
        <v>13.943996757599095</v>
      </c>
      <c r="GI656">
        <v>23.095325910196443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72.258333526201994</v>
      </c>
      <c r="AO657">
        <v>30.948418587827597</v>
      </c>
      <c r="AP657">
        <v>206.57598749843555</v>
      </c>
      <c r="AQ657">
        <v>174.13273107781194</v>
      </c>
      <c r="AR657">
        <v>27.593066579162155</v>
      </c>
      <c r="AS657">
        <v>127.02187283616811</v>
      </c>
      <c r="AT657" t="e">
        <v>#DIV/0!</v>
      </c>
      <c r="AU657" t="e">
        <v>#DIV/0!</v>
      </c>
      <c r="AV657"/>
      <c r="AW657"/>
      <c r="FY657" s="211">
        <v>652</v>
      </c>
      <c r="FZ657">
        <v>5.8988071189051627</v>
      </c>
      <c r="GA657">
        <v>25.997823820699601</v>
      </c>
      <c r="GB657">
        <v>26.786017078544909</v>
      </c>
      <c r="GC657">
        <v>17.510292633756844</v>
      </c>
      <c r="GD657">
        <v>10.757148118578792</v>
      </c>
      <c r="GE657">
        <v>20.616813098066011</v>
      </c>
      <c r="GF657">
        <v>29.547311315145755</v>
      </c>
      <c r="GG657">
        <v>18.294364579244451</v>
      </c>
      <c r="GH657">
        <v>12.623523914471548</v>
      </c>
      <c r="GI657">
        <v>21.665698935529893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86.435033048587684</v>
      </c>
      <c r="AO658">
        <v>28.927363608510809</v>
      </c>
      <c r="AP658">
        <v>187.25022629339986</v>
      </c>
      <c r="AQ658">
        <v>163.93869071814606</v>
      </c>
      <c r="AR658">
        <v>26.480987508971662</v>
      </c>
      <c r="AS658">
        <v>130.32908513613665</v>
      </c>
      <c r="AT658">
        <v>20.120450289624337</v>
      </c>
      <c r="AU658">
        <v>62.677605527537139</v>
      </c>
      <c r="AV658"/>
      <c r="AW658"/>
      <c r="FY658" s="211">
        <v>653</v>
      </c>
      <c r="FZ658">
        <v>3.7712062758857936</v>
      </c>
      <c r="GA658">
        <v>14.568509123581268</v>
      </c>
      <c r="GB658">
        <v>10.431647158311247</v>
      </c>
      <c r="GC658">
        <v>12.740219050950026</v>
      </c>
      <c r="GD658">
        <v>13.142963726762318</v>
      </c>
      <c r="GE658">
        <v>14.997079483367461</v>
      </c>
      <c r="GF658">
        <v>12.259988989660755</v>
      </c>
      <c r="GG658">
        <v>14.009403593939609</v>
      </c>
      <c r="GH658">
        <v>12.692267859673674</v>
      </c>
      <c r="GI658">
        <v>15.366581421624012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98.057925389029023</v>
      </c>
      <c r="AO659">
        <v>35.656507122640868</v>
      </c>
      <c r="AP659">
        <v>263.49873925463675</v>
      </c>
      <c r="AQ659">
        <v>220.87751764241426</v>
      </c>
      <c r="AR659">
        <v>32.245937983786526</v>
      </c>
      <c r="AS659">
        <v>157.21478335285843</v>
      </c>
      <c r="AT659">
        <v>24.820234037503244</v>
      </c>
      <c r="AU659">
        <v>53.147562597940954</v>
      </c>
      <c r="AV659"/>
      <c r="AW659"/>
      <c r="FY659" s="211">
        <v>654</v>
      </c>
      <c r="FZ659">
        <v>3.3826514305688415</v>
      </c>
      <c r="GA659">
        <v>14.625023711597551</v>
      </c>
      <c r="GB659">
        <v>19.211359422448318</v>
      </c>
      <c r="GC659">
        <v>16.574214719813085</v>
      </c>
      <c r="GD659">
        <v>13.157219166308499</v>
      </c>
      <c r="GE659">
        <v>21.497177448665692</v>
      </c>
      <c r="GF659">
        <v>24.481914557209205</v>
      </c>
      <c r="GG659">
        <v>27.375363136924939</v>
      </c>
      <c r="GH659">
        <v>25.348614687022227</v>
      </c>
      <c r="GI659">
        <v>21.927882548575926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84.077663527247779</v>
      </c>
      <c r="AO660">
        <v>34.546637900990518</v>
      </c>
      <c r="AP660">
        <v>216.34946465819388</v>
      </c>
      <c r="AQ660">
        <v>180.78550587800044</v>
      </c>
      <c r="AR660">
        <v>31.418694773761878</v>
      </c>
      <c r="AS660">
        <v>149.6575727099528</v>
      </c>
      <c r="AT660">
        <v>23.547759292349554</v>
      </c>
      <c r="AU660">
        <v>50.551313925190115</v>
      </c>
      <c r="AV660"/>
      <c r="AW660"/>
      <c r="FY660" s="211">
        <v>655</v>
      </c>
      <c r="FZ660">
        <v>6.2546388343763253</v>
      </c>
      <c r="GA660">
        <v>16.845809469275817</v>
      </c>
      <c r="GB660">
        <v>22.464410999371264</v>
      </c>
      <c r="GC660">
        <v>16.942689462292162</v>
      </c>
      <c r="GD660">
        <v>12.770857873826021</v>
      </c>
      <c r="GE660">
        <v>19.577964247127799</v>
      </c>
      <c r="GF660">
        <v>17.746328454435591</v>
      </c>
      <c r="GG660">
        <v>16.415946175538377</v>
      </c>
      <c r="GH660">
        <v>12.934337427957036</v>
      </c>
      <c r="GI660">
        <v>19.644706976284859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83.698638174402191</v>
      </c>
      <c r="AO661">
        <v>35.871276825336551</v>
      </c>
      <c r="AP661">
        <v>230.4819654235578</v>
      </c>
      <c r="AQ661">
        <v>193.19066401114824</v>
      </c>
      <c r="AR661">
        <v>32.653094276364982</v>
      </c>
      <c r="AS661">
        <v>156.37315180034372</v>
      </c>
      <c r="AT661" t="e">
        <v>#DIV/0!</v>
      </c>
      <c r="AU661" t="e">
        <v>#DIV/0!</v>
      </c>
      <c r="AV661"/>
      <c r="AW661"/>
      <c r="FY661" s="211">
        <v>656</v>
      </c>
      <c r="FZ661">
        <v>4.0729817851553793</v>
      </c>
      <c r="GA661">
        <v>10.133828830429202</v>
      </c>
      <c r="GB661">
        <v>19.526392425033507</v>
      </c>
      <c r="GC661">
        <v>14.85087201473662</v>
      </c>
      <c r="GD661">
        <v>11.549341146680007</v>
      </c>
      <c r="GE661">
        <v>30.141867733970997</v>
      </c>
      <c r="GF661">
        <v>30.594867205276056</v>
      </c>
      <c r="GG661">
        <v>17.510179738381307</v>
      </c>
      <c r="GH661">
        <v>18.200329168295294</v>
      </c>
      <c r="GI661">
        <v>21.171107856143852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70.810038672750011</v>
      </c>
      <c r="AO662">
        <v>26.906720525863648</v>
      </c>
      <c r="AP662">
        <v>180.8356289101028</v>
      </c>
      <c r="AQ662">
        <v>155.33165827399392</v>
      </c>
      <c r="AR662">
        <v>23.862758649350276</v>
      </c>
      <c r="AS662">
        <v>114.44020732587221</v>
      </c>
      <c r="AT662" t="e">
        <v>#DIV/0!</v>
      </c>
      <c r="AU662" t="e">
        <v>#DIV/0!</v>
      </c>
      <c r="AV662"/>
      <c r="AW662"/>
      <c r="FY662" s="211">
        <v>657</v>
      </c>
      <c r="FZ662">
        <v>1.2516219847584069</v>
      </c>
      <c r="GA662">
        <v>7.5137801865028226</v>
      </c>
      <c r="GB662">
        <v>12.223505387363407</v>
      </c>
      <c r="GC662">
        <v>14.765597211597754</v>
      </c>
      <c r="GD662">
        <v>10.900495873181479</v>
      </c>
      <c r="GE662">
        <v>13.374837112364489</v>
      </c>
      <c r="GF662">
        <v>16.086110129115205</v>
      </c>
      <c r="GG662">
        <v>8.5648711259963122</v>
      </c>
      <c r="GH662">
        <v>10.464094934920139</v>
      </c>
      <c r="GI662">
        <v>14.511858341636398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75.110353602683617</v>
      </c>
      <c r="AO663">
        <v>33.519465029195182</v>
      </c>
      <c r="AP663">
        <v>248.66203751159401</v>
      </c>
      <c r="AQ663">
        <v>201.88792671362782</v>
      </c>
      <c r="AR663">
        <v>30.957118304243188</v>
      </c>
      <c r="AS663">
        <v>152.04817991945146</v>
      </c>
      <c r="AT663">
        <v>23.118710816411195</v>
      </c>
      <c r="AU663">
        <v>30.521693556949131</v>
      </c>
      <c r="AV663"/>
      <c r="AW663"/>
      <c r="FY663" s="211">
        <v>658</v>
      </c>
      <c r="FZ663">
        <v>4.4967523096501809</v>
      </c>
      <c r="GA663">
        <v>16.662725958735443</v>
      </c>
      <c r="GB663">
        <v>20.436790518689104</v>
      </c>
      <c r="GC663">
        <v>15.252293593680644</v>
      </c>
      <c r="GD663">
        <v>15.469886254183644</v>
      </c>
      <c r="GE663">
        <v>31.155578862076577</v>
      </c>
      <c r="GF663">
        <v>30.449695770129303</v>
      </c>
      <c r="GG663">
        <v>15.484126894757193</v>
      </c>
      <c r="GH663">
        <v>7.720636526558331</v>
      </c>
      <c r="GI663">
        <v>22.113488054314494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81.852151087682188</v>
      </c>
      <c r="AO664">
        <v>34.304598923385718</v>
      </c>
      <c r="AP664">
        <v>231.14522004262503</v>
      </c>
      <c r="AQ664">
        <v>199.12909887535488</v>
      </c>
      <c r="AR664">
        <v>31.237411887122104</v>
      </c>
      <c r="AS664">
        <v>143.74371337641955</v>
      </c>
      <c r="AT664">
        <v>23.660246850477176</v>
      </c>
      <c r="AU664">
        <v>38.153223789165587</v>
      </c>
      <c r="AV664"/>
      <c r="AW664"/>
      <c r="FY664" s="211">
        <v>659</v>
      </c>
      <c r="FZ664">
        <v>5.5119799308819211</v>
      </c>
      <c r="GA664">
        <v>19.418944318413082</v>
      </c>
      <c r="GB664">
        <v>22.466156360154464</v>
      </c>
      <c r="GC664">
        <v>14.515837501938988</v>
      </c>
      <c r="GD664">
        <v>8.8296678861526505</v>
      </c>
      <c r="GE664">
        <v>15.358280734728694</v>
      </c>
      <c r="GF664">
        <v>18.865807749308768</v>
      </c>
      <c r="GG664">
        <v>13.64132710002292</v>
      </c>
      <c r="GH664">
        <v>13.551547321605826</v>
      </c>
      <c r="GI664">
        <v>17.477033635538586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88.455242289373231</v>
      </c>
      <c r="AO665">
        <v>30.232716318871855</v>
      </c>
      <c r="AP665">
        <v>200.46772256968322</v>
      </c>
      <c r="AQ665">
        <v>168.11148460398837</v>
      </c>
      <c r="AR665">
        <v>27.411532250423509</v>
      </c>
      <c r="AS665">
        <v>137.87779391378959</v>
      </c>
      <c r="AT665" t="e">
        <v>#DIV/0!</v>
      </c>
      <c r="AU665" t="e">
        <v>#DIV/0!</v>
      </c>
      <c r="AV665"/>
      <c r="AW665"/>
      <c r="FY665" s="211">
        <v>660</v>
      </c>
      <c r="FZ665">
        <v>5.215140029614096</v>
      </c>
      <c r="GA665">
        <v>15.93254247845784</v>
      </c>
      <c r="GB665">
        <v>33.117621514642124</v>
      </c>
      <c r="GC665">
        <v>24.798512227948571</v>
      </c>
      <c r="GD665">
        <v>14.854028723253595</v>
      </c>
      <c r="GE665">
        <v>26.224451161872505</v>
      </c>
      <c r="GF665">
        <v>25.995082996495043</v>
      </c>
      <c r="GG665">
        <v>20.96861441508516</v>
      </c>
      <c r="GH665">
        <v>19.612343809349785</v>
      </c>
      <c r="GI665">
        <v>26.122704266906037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67.329132108444838</v>
      </c>
      <c r="AO666">
        <v>30.052534199242238</v>
      </c>
      <c r="AP666">
        <v>183.47405860801882</v>
      </c>
      <c r="AQ666">
        <v>160.5591921600008</v>
      </c>
      <c r="AR666">
        <v>26.830135103737234</v>
      </c>
      <c r="AS666">
        <v>124.5196548525758</v>
      </c>
      <c r="AT666" t="e">
        <v>#DIV/0!</v>
      </c>
      <c r="AU666" t="e">
        <v>#DIV/0!</v>
      </c>
      <c r="AV666"/>
      <c r="AW666"/>
      <c r="FY666" s="211">
        <v>661</v>
      </c>
      <c r="FZ666">
        <v>4.4677389397908112</v>
      </c>
      <c r="GA666">
        <v>19.916909906713464</v>
      </c>
      <c r="GB666">
        <v>17.160490105037859</v>
      </c>
      <c r="GC666">
        <v>13.322863230855454</v>
      </c>
      <c r="GD666">
        <v>10.542910221755573</v>
      </c>
      <c r="GE666">
        <v>25.645630515727575</v>
      </c>
      <c r="GF666">
        <v>31.111265299712674</v>
      </c>
      <c r="GG666">
        <v>16.841306076963914</v>
      </c>
      <c r="GH666">
        <v>17.919008641024547</v>
      </c>
      <c r="GI666">
        <v>20.014262494852108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103.45829907987961</v>
      </c>
      <c r="AO667">
        <v>35.083616900803321</v>
      </c>
      <c r="AP667">
        <v>231.68437994636867</v>
      </c>
      <c r="AQ667">
        <v>191.32421521994848</v>
      </c>
      <c r="AR667">
        <v>32.265970015092755</v>
      </c>
      <c r="AS667">
        <v>164.97736032502141</v>
      </c>
      <c r="AT667">
        <v>23.074039282158211</v>
      </c>
      <c r="AU667">
        <v>37.54389017627539</v>
      </c>
      <c r="AV667"/>
      <c r="AW667"/>
      <c r="FY667" s="211">
        <v>662</v>
      </c>
      <c r="FZ667">
        <v>5.5866939335110199</v>
      </c>
      <c r="GA667">
        <v>8.8053577855508056</v>
      </c>
      <c r="GB667">
        <v>9.9455629726950185</v>
      </c>
      <c r="GC667">
        <v>14.700457656638122</v>
      </c>
      <c r="GD667">
        <v>12.682852720375278</v>
      </c>
      <c r="GE667">
        <v>19.605258299439555</v>
      </c>
      <c r="GF667">
        <v>19.199340432562479</v>
      </c>
      <c r="GG667">
        <v>16.053378534505288</v>
      </c>
      <c r="GH667">
        <v>17.866717802084992</v>
      </c>
      <c r="GI667">
        <v>17.41849291734005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88.90707674857947</v>
      </c>
      <c r="AO668">
        <v>32.94879682172634</v>
      </c>
      <c r="AP668">
        <v>228.35877746569886</v>
      </c>
      <c r="AQ668">
        <v>189.69780061294296</v>
      </c>
      <c r="AR668">
        <v>29.663807952788485</v>
      </c>
      <c r="AS668">
        <v>139.30027162729894</v>
      </c>
      <c r="AT668" t="e">
        <v>#DIV/0!</v>
      </c>
      <c r="AU668" t="e">
        <v>#DIV/0!</v>
      </c>
      <c r="AV668"/>
      <c r="AW668"/>
      <c r="FY668" s="211">
        <v>663</v>
      </c>
      <c r="FZ668">
        <v>3.5846217187523619</v>
      </c>
      <c r="GA668">
        <v>17.336838082483951</v>
      </c>
      <c r="GB668">
        <v>26.294827520362357</v>
      </c>
      <c r="GC668">
        <v>16.704689854110519</v>
      </c>
      <c r="GD668">
        <v>11.281489549499966</v>
      </c>
      <c r="GE668">
        <v>23.926840165128702</v>
      </c>
      <c r="GF668">
        <v>25.670784276085371</v>
      </c>
      <c r="GG668">
        <v>21.457816122049305</v>
      </c>
      <c r="GH668">
        <v>19.840553378400614</v>
      </c>
      <c r="GI668">
        <v>21.961790627630293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62.82748011436238</v>
      </c>
      <c r="AO669">
        <v>23.254446677404452</v>
      </c>
      <c r="AP669">
        <v>134.05554295115738</v>
      </c>
      <c r="AQ669">
        <v>123.97986668375617</v>
      </c>
      <c r="AR669">
        <v>21.414599716342327</v>
      </c>
      <c r="AS669">
        <v>103.08995078605746</v>
      </c>
      <c r="AT669">
        <v>15.8321608449248</v>
      </c>
      <c r="AU669">
        <v>26.681357281405113</v>
      </c>
      <c r="AV669"/>
      <c r="AW669"/>
      <c r="FY669" s="211">
        <v>664</v>
      </c>
      <c r="FZ669">
        <v>2.4740571290075506</v>
      </c>
      <c r="GA669">
        <v>9.7223733136821835</v>
      </c>
      <c r="GB669">
        <v>18.968750810175255</v>
      </c>
      <c r="GC669">
        <v>15.681031500868119</v>
      </c>
      <c r="GD669">
        <v>12.869712724191672</v>
      </c>
      <c r="GE669">
        <v>25.625081944010603</v>
      </c>
      <c r="GF669">
        <v>26.052017730338772</v>
      </c>
      <c r="GG669">
        <v>12.952176246047379</v>
      </c>
      <c r="GH669">
        <v>10.186104334311663</v>
      </c>
      <c r="GI669">
        <v>19.44942168737359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79.647619108914299</v>
      </c>
      <c r="AO670">
        <v>33.46536597407848</v>
      </c>
      <c r="AP670">
        <v>219.35262150342047</v>
      </c>
      <c r="AQ670">
        <v>187.58142082913429</v>
      </c>
      <c r="AR670">
        <v>30.348535458899395</v>
      </c>
      <c r="AS670">
        <v>146.00194426474189</v>
      </c>
      <c r="AT670" t="e">
        <v>#DIV/0!</v>
      </c>
      <c r="AU670" t="e">
        <v>#DIV/0!</v>
      </c>
      <c r="AV670"/>
      <c r="AW670"/>
      <c r="FY670" s="211">
        <v>665</v>
      </c>
      <c r="FZ670">
        <v>1.4373058375901635</v>
      </c>
      <c r="GA670">
        <v>14.340559355664102</v>
      </c>
      <c r="GB670">
        <v>29.652881418036525</v>
      </c>
      <c r="GC670">
        <v>20.305649372822757</v>
      </c>
      <c r="GD670">
        <v>10.342876588725533</v>
      </c>
      <c r="GE670">
        <v>19.434485591141605</v>
      </c>
      <c r="GF670">
        <v>26.312234089273012</v>
      </c>
      <c r="GG670">
        <v>15.626711403339204</v>
      </c>
      <c r="GH670">
        <v>11.76545740394652</v>
      </c>
      <c r="GI670">
        <v>20.774794501705202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84.562051281839913</v>
      </c>
      <c r="AO671">
        <v>29.722660223902125</v>
      </c>
      <c r="AP671">
        <v>185.6683407802943</v>
      </c>
      <c r="AQ671">
        <v>161.59768992048527</v>
      </c>
      <c r="AR671">
        <v>27.339246738502776</v>
      </c>
      <c r="AS671">
        <v>135.58612326218841</v>
      </c>
      <c r="AT671">
        <v>20.163773101577217</v>
      </c>
      <c r="AU671">
        <v>43.53584095533278</v>
      </c>
      <c r="AV671"/>
      <c r="AW671"/>
      <c r="FY671" s="211">
        <v>666</v>
      </c>
      <c r="FZ671">
        <v>1.4463172025933886</v>
      </c>
      <c r="GA671">
        <v>5.5690518807546336</v>
      </c>
      <c r="GB671">
        <v>7.1335041212694303</v>
      </c>
      <c r="GC671">
        <v>12.843287828297168</v>
      </c>
      <c r="GD671">
        <v>14.60503862163706</v>
      </c>
      <c r="GE671">
        <v>25.467361310117198</v>
      </c>
      <c r="GF671">
        <v>25.180634767419747</v>
      </c>
      <c r="GG671">
        <v>18.858253382401799</v>
      </c>
      <c r="GH671">
        <v>17.797973856882866</v>
      </c>
      <c r="GI671">
        <v>18.416434192073275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79.024360365634678</v>
      </c>
      <c r="AO672">
        <v>32.261706516936371</v>
      </c>
      <c r="AP672">
        <v>205.75800902896623</v>
      </c>
      <c r="AQ672">
        <v>177.75176790410222</v>
      </c>
      <c r="AR672">
        <v>28.691011040532054</v>
      </c>
      <c r="AS672">
        <v>137.31289404961331</v>
      </c>
      <c r="AT672" t="e">
        <v>#DIV/0!</v>
      </c>
      <c r="AU672" t="e">
        <v>#DIV/0!</v>
      </c>
      <c r="AV672"/>
      <c r="AW672"/>
      <c r="FY672" s="211">
        <v>667</v>
      </c>
      <c r="FZ672">
        <v>4.3970172682649968</v>
      </c>
      <c r="GA672">
        <v>16.948348055028418</v>
      </c>
      <c r="GB672">
        <v>18.352328529789279</v>
      </c>
      <c r="GC672">
        <v>11.045253392545703</v>
      </c>
      <c r="GD672">
        <v>10.457294543193781</v>
      </c>
      <c r="GE672">
        <v>27.630452422624575</v>
      </c>
      <c r="GF672">
        <v>40.285283972047949</v>
      </c>
      <c r="GG672">
        <v>28.275127864702043</v>
      </c>
      <c r="GH672">
        <v>16.620155979380069</v>
      </c>
      <c r="GI672">
        <v>21.837420112211969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54.179559056979429</v>
      </c>
      <c r="AO673">
        <v>21.524152002567114</v>
      </c>
      <c r="AP673">
        <v>122.54190068820317</v>
      </c>
      <c r="AQ673">
        <v>109.65677228743641</v>
      </c>
      <c r="AR673">
        <v>19.989312005559995</v>
      </c>
      <c r="AS673">
        <v>98.064699109796365</v>
      </c>
      <c r="AT673">
        <v>15.176407090274379</v>
      </c>
      <c r="AU673">
        <v>24.818268027012056</v>
      </c>
      <c r="AV673"/>
      <c r="AW673"/>
      <c r="FY673" s="211">
        <v>668</v>
      </c>
      <c r="FZ673">
        <v>3.6924936140216689</v>
      </c>
      <c r="GA673">
        <v>11.466765831698254</v>
      </c>
      <c r="GB673">
        <v>38.704964516261896</v>
      </c>
      <c r="GC673">
        <v>25.814588882648497</v>
      </c>
      <c r="GD673">
        <v>9.1423745861215444</v>
      </c>
      <c r="GE673">
        <v>12.163194002355793</v>
      </c>
      <c r="GF673">
        <v>14.146778713162146</v>
      </c>
      <c r="GG673">
        <v>27.177307889564382</v>
      </c>
      <c r="GH673">
        <v>32.334230399985401</v>
      </c>
      <c r="GI673">
        <v>23.609302640642841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84.905471988475981</v>
      </c>
      <c r="AO674">
        <v>33.54254914238912</v>
      </c>
      <c r="AP674">
        <v>201.58447296088573</v>
      </c>
      <c r="AQ674">
        <v>179.24197474277494</v>
      </c>
      <c r="AR674">
        <v>30.360848339735565</v>
      </c>
      <c r="AS674">
        <v>151.39968935889607</v>
      </c>
      <c r="AT674">
        <v>23.077184482560199</v>
      </c>
      <c r="AU674">
        <v>41.290367083015823</v>
      </c>
      <c r="AV674"/>
      <c r="AW674"/>
      <c r="FY674" s="211">
        <v>669</v>
      </c>
      <c r="FZ674">
        <v>2.3573197322808301</v>
      </c>
      <c r="GA674">
        <v>6.547375370409684</v>
      </c>
      <c r="GB674">
        <v>23.199695678218806</v>
      </c>
      <c r="GC674">
        <v>15.096801823776479</v>
      </c>
      <c r="GD674">
        <v>8.4881181508018404</v>
      </c>
      <c r="GE674">
        <v>26.231877562027229</v>
      </c>
      <c r="GF674">
        <v>36.851970746942705</v>
      </c>
      <c r="GG674">
        <v>26.523830441138781</v>
      </c>
      <c r="GH674">
        <v>21.814388954716229</v>
      </c>
      <c r="GI674">
        <v>21.741076446588018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68.324943106937283</v>
      </c>
      <c r="AO675">
        <v>26.151053637276014</v>
      </c>
      <c r="AP675">
        <v>180.71606176796743</v>
      </c>
      <c r="AQ675">
        <v>149.63658253874593</v>
      </c>
      <c r="AR675">
        <v>24.171948594341295</v>
      </c>
      <c r="AS675">
        <v>121.67768685944684</v>
      </c>
      <c r="AT675">
        <v>17.873030789589077</v>
      </c>
      <c r="AU675">
        <v>32.56318649731918</v>
      </c>
      <c r="AV675"/>
      <c r="AW675"/>
      <c r="FY675" s="211">
        <v>670</v>
      </c>
      <c r="FZ675">
        <v>4.5927237047901333</v>
      </c>
      <c r="GA675">
        <v>13.357839506107741</v>
      </c>
      <c r="GB675">
        <v>23.858413280632526</v>
      </c>
      <c r="GC675">
        <v>15.597085962498578</v>
      </c>
      <c r="GD675">
        <v>8.9513029078274329</v>
      </c>
      <c r="GE675">
        <v>19.519460331654511</v>
      </c>
      <c r="GF675">
        <v>22.487017449395605</v>
      </c>
      <c r="GG675">
        <v>15.621460935068329</v>
      </c>
      <c r="GH675">
        <v>12.493551276837588</v>
      </c>
      <c r="GI675">
        <v>18.342387766575762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94.126585927140354</v>
      </c>
      <c r="AO676">
        <v>39.919062119389096</v>
      </c>
      <c r="AP676">
        <v>251.5026776810879</v>
      </c>
      <c r="AQ676">
        <v>212.84104162362476</v>
      </c>
      <c r="AR676">
        <v>36.190343457465119</v>
      </c>
      <c r="AS676">
        <v>156.73119843805665</v>
      </c>
      <c r="AT676" t="e">
        <v>#DIV/0!</v>
      </c>
      <c r="AU676" t="e">
        <v>#DIV/0!</v>
      </c>
      <c r="AV676"/>
      <c r="AW676"/>
      <c r="FY676" s="211">
        <v>671</v>
      </c>
      <c r="FZ676">
        <v>3.9791311328144792</v>
      </c>
      <c r="GA676">
        <v>7.2921407507397795</v>
      </c>
      <c r="GB676">
        <v>24.239281340231877</v>
      </c>
      <c r="GC676">
        <v>20.431159804755044</v>
      </c>
      <c r="GD676">
        <v>11.605073364662665</v>
      </c>
      <c r="GE676">
        <v>21.331696324394507</v>
      </c>
      <c r="GF676">
        <v>30.237133443125792</v>
      </c>
      <c r="GG676">
        <v>26.235301986466002</v>
      </c>
      <c r="GH676">
        <v>19.286605247871147</v>
      </c>
      <c r="GI676">
        <v>22.491171712068496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81.705445050722062</v>
      </c>
      <c r="AO677">
        <v>30.465925023034515</v>
      </c>
      <c r="AP677">
        <v>206.35960093633722</v>
      </c>
      <c r="AQ677">
        <v>176.94238543243398</v>
      </c>
      <c r="AR677">
        <v>26.894863355845324</v>
      </c>
      <c r="AS677">
        <v>133.6712725128871</v>
      </c>
      <c r="AT677" t="e">
        <v>#DIV/0!</v>
      </c>
      <c r="AU677" t="e">
        <v>#DIV/0!</v>
      </c>
      <c r="AV677"/>
      <c r="AW677"/>
      <c r="FY677" s="211">
        <v>672</v>
      </c>
      <c r="FZ677">
        <v>5.8219326287232285</v>
      </c>
      <c r="GA677">
        <v>20.753434642342786</v>
      </c>
      <c r="GB677">
        <v>28.660854566738241</v>
      </c>
      <c r="GC677">
        <v>21.885619380128055</v>
      </c>
      <c r="GD677">
        <v>16.11149312568228</v>
      </c>
      <c r="GE677">
        <v>25.74663702548888</v>
      </c>
      <c r="GF677">
        <v>30.133001080414211</v>
      </c>
      <c r="GG677">
        <v>33.121999482974623</v>
      </c>
      <c r="GH677">
        <v>28.58515008544304</v>
      </c>
      <c r="GI677">
        <v>28.067571067314937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74.239583924903684</v>
      </c>
      <c r="AO678">
        <v>26.380150547372988</v>
      </c>
      <c r="AP678">
        <v>154.80968213702855</v>
      </c>
      <c r="AQ678">
        <v>141.86411305470261</v>
      </c>
      <c r="AR678">
        <v>23.866157701177936</v>
      </c>
      <c r="AS678">
        <v>117.45581383730737</v>
      </c>
      <c r="AT678">
        <v>17.913595710356198</v>
      </c>
      <c r="AU678">
        <v>36.123909796470379</v>
      </c>
      <c r="AV678"/>
      <c r="AW678"/>
      <c r="FY678" s="211">
        <v>673</v>
      </c>
      <c r="FZ678">
        <v>5.3079582556125358</v>
      </c>
      <c r="GA678">
        <v>15.791091128276729</v>
      </c>
      <c r="GB678">
        <v>10.488061054817612</v>
      </c>
      <c r="GC678">
        <v>11.026653248552083</v>
      </c>
      <c r="GD678">
        <v>12.523701673610704</v>
      </c>
      <c r="GE678">
        <v>25.456364679428454</v>
      </c>
      <c r="GF678">
        <v>33.184408983344454</v>
      </c>
      <c r="GG678">
        <v>20.049645480300544</v>
      </c>
      <c r="GH678">
        <v>11.396745124691469</v>
      </c>
      <c r="GI678">
        <v>19.03542443205427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90.783561265869736</v>
      </c>
      <c r="AO679">
        <v>33.402559304593844</v>
      </c>
      <c r="AP679">
        <v>224.58007488754225</v>
      </c>
      <c r="AQ679">
        <v>188.06025129450342</v>
      </c>
      <c r="AR679">
        <v>30.265712888333045</v>
      </c>
      <c r="AS679">
        <v>152.27028465682886</v>
      </c>
      <c r="AT679">
        <v>22.112038235856755</v>
      </c>
      <c r="AU679">
        <v>34.202240769263689</v>
      </c>
      <c r="AV679"/>
      <c r="AW679"/>
      <c r="FY679" s="211">
        <v>674</v>
      </c>
      <c r="FZ679">
        <v>2.595049562903589</v>
      </c>
      <c r="GA679">
        <v>5.3286770026026709</v>
      </c>
      <c r="GB679">
        <v>13.272624784676601</v>
      </c>
      <c r="GC679">
        <v>11.588710732367398</v>
      </c>
      <c r="GD679">
        <v>8.0279992636570103</v>
      </c>
      <c r="GE679">
        <v>14.975555173214991</v>
      </c>
      <c r="GF679">
        <v>18.868546440374839</v>
      </c>
      <c r="GG679">
        <v>23.180200654064336</v>
      </c>
      <c r="GH679">
        <v>22.046433462847396</v>
      </c>
      <c r="GI679">
        <v>15.640722974072096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68.36112559040393</v>
      </c>
      <c r="AO680">
        <v>29.400720476141526</v>
      </c>
      <c r="AP680">
        <v>175.33960215726009</v>
      </c>
      <c r="AQ680">
        <v>153.98072742000679</v>
      </c>
      <c r="AR680">
        <v>26.672516967727187</v>
      </c>
      <c r="AS680">
        <v>118.41482627564073</v>
      </c>
      <c r="AT680">
        <v>20.410449416497677</v>
      </c>
      <c r="AU680">
        <v>38.84038791067151</v>
      </c>
      <c r="AV680"/>
      <c r="AW680"/>
      <c r="FY680" s="211">
        <v>675</v>
      </c>
      <c r="FZ680">
        <v>3.2705244981302166</v>
      </c>
      <c r="GA680">
        <v>11.596427924441288</v>
      </c>
      <c r="GB680">
        <v>10.529705551321811</v>
      </c>
      <c r="GC680">
        <v>10.572423373538095</v>
      </c>
      <c r="GD680">
        <v>11.761148679346078</v>
      </c>
      <c r="GE680">
        <v>20.993609281937118</v>
      </c>
      <c r="GF680">
        <v>17.460724867695539</v>
      </c>
      <c r="GG680">
        <v>14.961138372648509</v>
      </c>
      <c r="GH680">
        <v>18.483927695733776</v>
      </c>
      <c r="GI680">
        <v>16.439323667759592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81.021763666013868</v>
      </c>
      <c r="AO681">
        <v>31.511398115005129</v>
      </c>
      <c r="AP681">
        <v>206.2101179328221</v>
      </c>
      <c r="AQ681">
        <v>169.99295556224465</v>
      </c>
      <c r="AR681">
        <v>28.54192025972883</v>
      </c>
      <c r="AS681">
        <v>127.44118490262836</v>
      </c>
      <c r="AT681" t="e">
        <v>#DIV/0!</v>
      </c>
      <c r="AU681" t="e">
        <v>#DIV/0!</v>
      </c>
      <c r="AV681"/>
      <c r="AW681"/>
      <c r="FY681" s="211">
        <v>676</v>
      </c>
      <c r="FZ681">
        <v>3.7534752729709657</v>
      </c>
      <c r="GA681">
        <v>21.439907734824594</v>
      </c>
      <c r="GB681">
        <v>26.389054516617765</v>
      </c>
      <c r="GC681">
        <v>15.692625418916847</v>
      </c>
      <c r="GD681">
        <v>10.521333653618161</v>
      </c>
      <c r="GE681">
        <v>16.786908031262893</v>
      </c>
      <c r="GF681">
        <v>19.108974978427149</v>
      </c>
      <c r="GG681">
        <v>16.458413209768366</v>
      </c>
      <c r="GH681">
        <v>12.256024586623623</v>
      </c>
      <c r="GI681">
        <v>19.07916577458376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62.924432062876825</v>
      </c>
      <c r="AO682">
        <v>28.070478440868339</v>
      </c>
      <c r="AP682">
        <v>159.0904313184237</v>
      </c>
      <c r="AQ682">
        <v>147.31785716344658</v>
      </c>
      <c r="AR682">
        <v>25.131992586141401</v>
      </c>
      <c r="AS682">
        <v>158.1915245812161</v>
      </c>
      <c r="AT682" t="e">
        <v>#DIV/0!</v>
      </c>
      <c r="AU682" t="e">
        <v>#DIV/0!</v>
      </c>
      <c r="AV682"/>
      <c r="AW682"/>
      <c r="FY682" s="211">
        <v>677</v>
      </c>
      <c r="FZ682">
        <v>4.8865959592438841</v>
      </c>
      <c r="GA682">
        <v>15.694171279275611</v>
      </c>
      <c r="GB682">
        <v>26.107436724251695</v>
      </c>
      <c r="GC682">
        <v>16.342807598074195</v>
      </c>
      <c r="GD682">
        <v>7.8633063531634964</v>
      </c>
      <c r="GE682">
        <v>16.179201487954764</v>
      </c>
      <c r="GF682">
        <v>22.233463017638087</v>
      </c>
      <c r="GG682">
        <v>12.284660971714469</v>
      </c>
      <c r="GH682">
        <v>10.695634430633238</v>
      </c>
      <c r="GI682">
        <v>17.858760238157338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84.164494450050626</v>
      </c>
      <c r="AO683">
        <v>33.168907831744882</v>
      </c>
      <c r="AP683">
        <v>234.53822056751403</v>
      </c>
      <c r="AQ683">
        <v>195.84868213978874</v>
      </c>
      <c r="AR683">
        <v>29.834968941951804</v>
      </c>
      <c r="AS683">
        <v>149.70426772732588</v>
      </c>
      <c r="AT683">
        <v>22.636093462542323</v>
      </c>
      <c r="AU683">
        <v>28.235775424735035</v>
      </c>
      <c r="AV683"/>
      <c r="AW683"/>
      <c r="FY683" s="211">
        <v>678</v>
      </c>
      <c r="FZ683">
        <v>4.2461922535708041</v>
      </c>
      <c r="GA683">
        <v>13.803185402932673</v>
      </c>
      <c r="GB683">
        <v>22.463632658870928</v>
      </c>
      <c r="GC683">
        <v>14.697403808033245</v>
      </c>
      <c r="GD683">
        <v>8.8612397973541146</v>
      </c>
      <c r="GE683">
        <v>22.994817725564857</v>
      </c>
      <c r="GF683">
        <v>36.822707753219589</v>
      </c>
      <c r="GG683">
        <v>23.724249725377938</v>
      </c>
      <c r="GH683">
        <v>14.262683075816252</v>
      </c>
      <c r="GI683">
        <v>20.83560337895798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86.894771744004885</v>
      </c>
      <c r="AO684">
        <v>35.769215304918959</v>
      </c>
      <c r="AP684">
        <v>249.18852353801017</v>
      </c>
      <c r="AQ684">
        <v>198.25200107646242</v>
      </c>
      <c r="AR684">
        <v>33.24315999568578</v>
      </c>
      <c r="AS684">
        <v>155.93613523582107</v>
      </c>
      <c r="AT684">
        <v>24.169039017242085</v>
      </c>
      <c r="AU684">
        <v>16.804724174337057</v>
      </c>
      <c r="AV684"/>
      <c r="AW684"/>
      <c r="FY684" s="211">
        <v>679</v>
      </c>
      <c r="FZ684">
        <v>3.6178901257810501</v>
      </c>
      <c r="GA684">
        <v>19.970186809650677</v>
      </c>
      <c r="GB684">
        <v>22.718215370530672</v>
      </c>
      <c r="GC684">
        <v>15.709648754853232</v>
      </c>
      <c r="GD684">
        <v>13.866628107356973</v>
      </c>
      <c r="GE684">
        <v>31.82988002413278</v>
      </c>
      <c r="GF684">
        <v>47.673806554363864</v>
      </c>
      <c r="GG684">
        <v>23.725255587642792</v>
      </c>
      <c r="GH684">
        <v>5.9274939234477273</v>
      </c>
      <c r="GI684">
        <v>24.479625289604314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79.738882825292691</v>
      </c>
      <c r="AO685">
        <v>33.009264272858509</v>
      </c>
      <c r="AP685">
        <v>229.9788606278405</v>
      </c>
      <c r="AQ685">
        <v>188.85245490690059</v>
      </c>
      <c r="AR685">
        <v>29.592500597440754</v>
      </c>
      <c r="AS685">
        <v>136.87011519263953</v>
      </c>
      <c r="AT685">
        <v>22.264159578051629</v>
      </c>
      <c r="AU685">
        <v>12.44056820140017</v>
      </c>
      <c r="AV685"/>
      <c r="AW685"/>
      <c r="FY685" s="211">
        <v>680</v>
      </c>
      <c r="FZ685">
        <v>2.5148909195548921</v>
      </c>
      <c r="GA685">
        <v>26.567698102075823</v>
      </c>
      <c r="GB685">
        <v>45.528195757754077</v>
      </c>
      <c r="GC685">
        <v>23.684627773654469</v>
      </c>
      <c r="GD685">
        <v>8.4776285206339992</v>
      </c>
      <c r="GE685">
        <v>20.488230480410014</v>
      </c>
      <c r="GF685">
        <v>28.039906066740034</v>
      </c>
      <c r="GG685">
        <v>13.346645856671271</v>
      </c>
      <c r="GH685">
        <v>9.3508356765114513</v>
      </c>
      <c r="GI685">
        <v>23.643902514300127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75.347194363534726</v>
      </c>
      <c r="AO686">
        <v>27.972647050495738</v>
      </c>
      <c r="AP686">
        <v>186.63129228987026</v>
      </c>
      <c r="AQ686">
        <v>154.82124312138822</v>
      </c>
      <c r="AR686">
        <v>25.332622876405569</v>
      </c>
      <c r="AS686">
        <v>122.12774790778423</v>
      </c>
      <c r="AT686">
        <v>18.805133606247061</v>
      </c>
      <c r="AU686">
        <v>43.060890934897365</v>
      </c>
      <c r="AV686"/>
      <c r="AW686"/>
      <c r="FY686" s="211">
        <v>681</v>
      </c>
      <c r="FZ686">
        <v>5.9255494868232166</v>
      </c>
      <c r="GA686">
        <v>18.592607928176186</v>
      </c>
      <c r="GB686">
        <v>36.852470261218357</v>
      </c>
      <c r="GC686">
        <v>23.826317833503062</v>
      </c>
      <c r="GD686">
        <v>10.880387311713791</v>
      </c>
      <c r="GE686">
        <v>23.790106691311028</v>
      </c>
      <c r="GF686">
        <v>32.360214999262809</v>
      </c>
      <c r="GG686">
        <v>35.344126658469875</v>
      </c>
      <c r="GH686">
        <v>33.238474810201915</v>
      </c>
      <c r="GI686">
        <v>28.043333442945755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80.377395206166767</v>
      </c>
      <c r="AO687">
        <v>34.396118418418595</v>
      </c>
      <c r="AP687">
        <v>223.12751526116574</v>
      </c>
      <c r="AQ687">
        <v>187.12869510712977</v>
      </c>
      <c r="AR687">
        <v>31.083905857737346</v>
      </c>
      <c r="AS687">
        <v>147.26950123541647</v>
      </c>
      <c r="AT687" t="e">
        <v>#DIV/0!</v>
      </c>
      <c r="AU687" t="e">
        <v>#DIV/0!</v>
      </c>
      <c r="AV687"/>
      <c r="AW687"/>
      <c r="FY687" s="211">
        <v>682</v>
      </c>
      <c r="FZ687">
        <v>4.5706271503175078</v>
      </c>
      <c r="GA687">
        <v>11.942522271894966</v>
      </c>
      <c r="GB687">
        <v>10.97086024487553</v>
      </c>
      <c r="GC687">
        <v>16.400213984822528</v>
      </c>
      <c r="GD687">
        <v>15.377951405186028</v>
      </c>
      <c r="GE687">
        <v>16.804209579272563</v>
      </c>
      <c r="GF687">
        <v>39.778595167057787</v>
      </c>
      <c r="GG687">
        <v>43.285462204570784</v>
      </c>
      <c r="GH687">
        <v>21.590722263734797</v>
      </c>
      <c r="GI687">
        <v>23.618153448295164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107.4430052429736</v>
      </c>
      <c r="AO688">
        <v>42.645954589414913</v>
      </c>
      <c r="AP688">
        <v>282.50642104177933</v>
      </c>
      <c r="AQ688">
        <v>238.88769308525028</v>
      </c>
      <c r="AR688">
        <v>39.109060985164348</v>
      </c>
      <c r="AS688">
        <v>176.00171355805801</v>
      </c>
      <c r="AT688">
        <v>28.944389841662971</v>
      </c>
      <c r="AU688">
        <v>49.86448566981413</v>
      </c>
      <c r="AV688"/>
      <c r="AW688"/>
      <c r="FY688" s="211">
        <v>683</v>
      </c>
      <c r="FZ688">
        <v>9.0528143537778938</v>
      </c>
      <c r="GA688">
        <v>23.927076361479763</v>
      </c>
      <c r="GB688">
        <v>26.660400789920097</v>
      </c>
      <c r="GC688">
        <v>18.279049623926177</v>
      </c>
      <c r="GD688">
        <v>11.999550573139382</v>
      </c>
      <c r="GE688">
        <v>20.485052863701476</v>
      </c>
      <c r="GF688">
        <v>18.282964684427558</v>
      </c>
      <c r="GG688">
        <v>5.8690906528157578</v>
      </c>
      <c r="GH688">
        <v>2.9496069443200557</v>
      </c>
      <c r="GI688">
        <v>19.16978574555467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75.125809296299707</v>
      </c>
      <c r="AO689">
        <v>28.97954805682944</v>
      </c>
      <c r="AP689">
        <v>185.96626473429305</v>
      </c>
      <c r="AQ689">
        <v>164.26005406068887</v>
      </c>
      <c r="AR689">
        <v>25.885095753203743</v>
      </c>
      <c r="AS689">
        <v>127.53866080987977</v>
      </c>
      <c r="AT689" t="e">
        <v>#DIV/0!</v>
      </c>
      <c r="AU689" t="e">
        <v>#DIV/0!</v>
      </c>
      <c r="AV689"/>
      <c r="AW689"/>
      <c r="FY689" s="211">
        <v>684</v>
      </c>
      <c r="FZ689">
        <v>1.2505754169109204</v>
      </c>
      <c r="GA689">
        <v>10.767170894565039</v>
      </c>
      <c r="GB689">
        <v>13.52306826308825</v>
      </c>
      <c r="GC689">
        <v>8.8938474783863022</v>
      </c>
      <c r="GD689">
        <v>8.4954545785520246</v>
      </c>
      <c r="GE689">
        <v>14.719060886885568</v>
      </c>
      <c r="GF689">
        <v>17.17364965658231</v>
      </c>
      <c r="GG689">
        <v>18.735383927792462</v>
      </c>
      <c r="GH689">
        <v>15.437171026656774</v>
      </c>
      <c r="GI689">
        <v>14.333452291941672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50.131071860315792</v>
      </c>
      <c r="AO690">
        <v>23.867291702980495</v>
      </c>
      <c r="AP690">
        <v>160.83169232702988</v>
      </c>
      <c r="AQ690">
        <v>135.52452005078095</v>
      </c>
      <c r="AR690">
        <v>21.665721722567501</v>
      </c>
      <c r="AS690">
        <v>95.499548063245058</v>
      </c>
      <c r="AT690" t="e">
        <v>#DIV/0!</v>
      </c>
      <c r="AU690" t="e">
        <v>#DIV/0!</v>
      </c>
      <c r="AV690"/>
      <c r="AW690"/>
      <c r="FY690" s="211">
        <v>685</v>
      </c>
      <c r="FZ690">
        <v>0.98099555363996427</v>
      </c>
      <c r="GA690">
        <v>15.527693915102333</v>
      </c>
      <c r="GB690">
        <v>26.435813403815821</v>
      </c>
      <c r="GC690">
        <v>15.574679330060924</v>
      </c>
      <c r="GD690">
        <v>11.743574716066435</v>
      </c>
      <c r="GE690">
        <v>27.15112873875718</v>
      </c>
      <c r="GF690">
        <v>28.589155956357999</v>
      </c>
      <c r="GG690">
        <v>15.339935959965665</v>
      </c>
      <c r="GH690">
        <v>10.033691395914262</v>
      </c>
      <c r="GI690">
        <v>20.860877370235897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60.450834569613406</v>
      </c>
      <c r="AO691">
        <v>24.652840051853847</v>
      </c>
      <c r="AP691">
        <v>151.32607782639448</v>
      </c>
      <c r="AQ691">
        <v>136.06895391255205</v>
      </c>
      <c r="AR691">
        <v>22.608386260701394</v>
      </c>
      <c r="AS691">
        <v>103.89093550122436</v>
      </c>
      <c r="AT691">
        <v>17.527975509069584</v>
      </c>
      <c r="AU691">
        <v>25.78479798023751</v>
      </c>
      <c r="AV691"/>
      <c r="AW691"/>
      <c r="FY691" s="211">
        <v>686</v>
      </c>
      <c r="FZ691">
        <v>1.6249369625710814</v>
      </c>
      <c r="GA691">
        <v>17.441015491063755</v>
      </c>
      <c r="GB691">
        <v>23.975910911688619</v>
      </c>
      <c r="GC691">
        <v>14.994611014717069</v>
      </c>
      <c r="GD691">
        <v>10.892860305602479</v>
      </c>
      <c r="GE691">
        <v>18.5983374777893</v>
      </c>
      <c r="GF691">
        <v>24.8453692454977</v>
      </c>
      <c r="GG691">
        <v>33.630712869832188</v>
      </c>
      <c r="GH691">
        <v>30.655070337755003</v>
      </c>
      <c r="GI691">
        <v>22.352645682258011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80.706568843804973</v>
      </c>
      <c r="AO692">
        <v>28.741062810142274</v>
      </c>
      <c r="AP692">
        <v>195.03886785399857</v>
      </c>
      <c r="AQ692">
        <v>161.48588317761414</v>
      </c>
      <c r="AR692">
        <v>26.584493152801183</v>
      </c>
      <c r="AS692">
        <v>127.46447600381532</v>
      </c>
      <c r="AT692">
        <v>19.598252789893142</v>
      </c>
      <c r="AU692">
        <v>45.990263074148629</v>
      </c>
      <c r="AV692"/>
      <c r="AW692"/>
      <c r="FY692" s="211">
        <v>687</v>
      </c>
      <c r="FZ692">
        <v>1.4319780393907859</v>
      </c>
      <c r="GA692">
        <v>17.289149378878051</v>
      </c>
      <c r="GB692">
        <v>15.219926459575808</v>
      </c>
      <c r="GC692">
        <v>13.14432038472367</v>
      </c>
      <c r="GD692">
        <v>10.92804178266007</v>
      </c>
      <c r="GE692">
        <v>23.350746409337184</v>
      </c>
      <c r="GF692">
        <v>42.101003044924745</v>
      </c>
      <c r="GG692">
        <v>34.909100673258102</v>
      </c>
      <c r="GH692">
        <v>28.210135504824827</v>
      </c>
      <c r="GI692">
        <v>23.00618215469666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79.577345060987639</v>
      </c>
      <c r="AO693">
        <v>26.606176483845939</v>
      </c>
      <c r="AP693">
        <v>182.59447961860411</v>
      </c>
      <c r="AQ693">
        <v>150.14603806010678</v>
      </c>
      <c r="AR693">
        <v>24.50120837139297</v>
      </c>
      <c r="AS693">
        <v>116.73636401955174</v>
      </c>
      <c r="AT693">
        <v>18.231982538609262</v>
      </c>
      <c r="AU693">
        <v>24.238665115212036</v>
      </c>
      <c r="AV693"/>
      <c r="AW693"/>
      <c r="FY693" s="211">
        <v>688</v>
      </c>
      <c r="FZ693">
        <v>0.8454104064500485</v>
      </c>
      <c r="GA693">
        <v>18.7198790492494</v>
      </c>
      <c r="GB693">
        <v>25.614551428984253</v>
      </c>
      <c r="GC693">
        <v>14.515456415715997</v>
      </c>
      <c r="GD693">
        <v>9.8848237287116358</v>
      </c>
      <c r="GE693">
        <v>18.285707094196148</v>
      </c>
      <c r="GF693">
        <v>14.611722398038335</v>
      </c>
      <c r="GG693">
        <v>14.500326398586546</v>
      </c>
      <c r="GH693">
        <v>16.659406938367457</v>
      </c>
      <c r="GI693">
        <v>17.869161883339618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84.184842729989029</v>
      </c>
      <c r="AO694">
        <v>31.572446809917246</v>
      </c>
      <c r="AP694">
        <v>222.22966715730124</v>
      </c>
      <c r="AQ694">
        <v>182.71171557969839</v>
      </c>
      <c r="AR694">
        <v>28.421635442423263</v>
      </c>
      <c r="AS694">
        <v>136.01492694403137</v>
      </c>
      <c r="AT694">
        <v>21.226637540297197</v>
      </c>
      <c r="AU694">
        <v>25.886493635078985</v>
      </c>
      <c r="AV694"/>
      <c r="AW694"/>
      <c r="FY694" s="211">
        <v>689</v>
      </c>
      <c r="FZ694">
        <v>2.263868493577017</v>
      </c>
      <c r="GA694">
        <v>8.9587748523431401</v>
      </c>
      <c r="GB694">
        <v>9.719439630048786</v>
      </c>
      <c r="GC694">
        <v>11.949931345046307</v>
      </c>
      <c r="GD694">
        <v>10.945033688784163</v>
      </c>
      <c r="GE694">
        <v>17.204933692424465</v>
      </c>
      <c r="GF694">
        <v>30.625118330878944</v>
      </c>
      <c r="GG694">
        <v>31.492197892060684</v>
      </c>
      <c r="GH694">
        <v>22.225367012758639</v>
      </c>
      <c r="GI694">
        <v>18.723753416786906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96.785333064548098</v>
      </c>
      <c r="AO695">
        <v>37.26205419141678</v>
      </c>
      <c r="AP695">
        <v>246.6045195978927</v>
      </c>
      <c r="AQ695">
        <v>209.51863054736407</v>
      </c>
      <c r="AR695">
        <v>33.307328107341817</v>
      </c>
      <c r="AS695">
        <v>164.12280595933188</v>
      </c>
      <c r="AT695" t="e">
        <v>#DIV/0!</v>
      </c>
      <c r="AU695" t="e">
        <v>#DIV/0!</v>
      </c>
      <c r="AV695"/>
      <c r="AW695"/>
      <c r="FY695" s="211">
        <v>690</v>
      </c>
      <c r="FZ695">
        <v>1.1190994433445116</v>
      </c>
      <c r="GA695">
        <v>10.202915349940293</v>
      </c>
      <c r="GB695">
        <v>17.434377342519923</v>
      </c>
      <c r="GC695">
        <v>9.7769780134476054</v>
      </c>
      <c r="GD695">
        <v>7.7108829056605614</v>
      </c>
      <c r="GE695">
        <v>20.197366564189331</v>
      </c>
      <c r="GF695">
        <v>27.258042763987682</v>
      </c>
      <c r="GG695">
        <v>30.888643266459727</v>
      </c>
      <c r="GH695">
        <v>27.870916211784515</v>
      </c>
      <c r="GI695">
        <v>18.789769427382147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91.070826486415996</v>
      </c>
      <c r="AO696">
        <v>35.909891677484879</v>
      </c>
      <c r="AP696">
        <v>255.30182023990852</v>
      </c>
      <c r="AQ696">
        <v>201.64256166830617</v>
      </c>
      <c r="AR696">
        <v>32.485892892646419</v>
      </c>
      <c r="AS696">
        <v>159.90512921464531</v>
      </c>
      <c r="AT696">
        <v>24.215015976375494</v>
      </c>
      <c r="AU696">
        <v>50.256183071882248</v>
      </c>
      <c r="AV696"/>
      <c r="AW696"/>
      <c r="FY696" s="211">
        <v>691</v>
      </c>
      <c r="FZ696">
        <v>2.1782361884831309</v>
      </c>
      <c r="GA696">
        <v>21.811075389757686</v>
      </c>
      <c r="GB696">
        <v>16.670198245929207</v>
      </c>
      <c r="GC696">
        <v>12.538045353478978</v>
      </c>
      <c r="GD696">
        <v>13.164618941076988</v>
      </c>
      <c r="GE696">
        <v>22.35677774750317</v>
      </c>
      <c r="GF696">
        <v>21.489445685741831</v>
      </c>
      <c r="GG696">
        <v>21.953518687294952</v>
      </c>
      <c r="GH696">
        <v>24.758513716953484</v>
      </c>
      <c r="GI696">
        <v>20.431435231293847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114.07044709813128</v>
      </c>
      <c r="AO697">
        <v>42.890781805938822</v>
      </c>
      <c r="AP697">
        <v>306.09594812144195</v>
      </c>
      <c r="AQ697">
        <v>248.85358942362598</v>
      </c>
      <c r="AR697">
        <v>38.734446109258251</v>
      </c>
      <c r="AS697">
        <v>185.67215076332269</v>
      </c>
      <c r="AT697" t="e">
        <v>#DIV/0!</v>
      </c>
      <c r="AU697" t="e">
        <v>#DIV/0!</v>
      </c>
      <c r="AV697"/>
      <c r="AW697"/>
      <c r="FY697" s="211">
        <v>692</v>
      </c>
      <c r="FZ697">
        <v>1.4644476191453024</v>
      </c>
      <c r="GA697">
        <v>18.071941952777081</v>
      </c>
      <c r="GB697">
        <v>38.249783084825808</v>
      </c>
      <c r="GC697">
        <v>22.084576801363831</v>
      </c>
      <c r="GD697">
        <v>11.434490695028126</v>
      </c>
      <c r="GE697">
        <v>22.852678332621704</v>
      </c>
      <c r="GF697">
        <v>23.670058729172194</v>
      </c>
      <c r="GG697">
        <v>21.034384855959864</v>
      </c>
      <c r="GH697">
        <v>17.599257274046781</v>
      </c>
      <c r="GI697">
        <v>23.943569668877785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88.599825962746849</v>
      </c>
      <c r="AO698">
        <v>35.858079477964438</v>
      </c>
      <c r="AP698">
        <v>237.82191532413319</v>
      </c>
      <c r="AQ698">
        <v>204.33931772002765</v>
      </c>
      <c r="AR698">
        <v>33.061739070136277</v>
      </c>
      <c r="AS698">
        <v>149.07567529371292</v>
      </c>
      <c r="AT698">
        <v>24.479519079176367</v>
      </c>
      <c r="AU698">
        <v>36.109846515999457</v>
      </c>
      <c r="AV698"/>
      <c r="AW698"/>
      <c r="FY698" s="211">
        <v>693</v>
      </c>
      <c r="FZ698">
        <v>10.073706230584683</v>
      </c>
      <c r="GA698">
        <v>15.902729812440995</v>
      </c>
      <c r="GB698">
        <v>20.675973778023018</v>
      </c>
      <c r="GC698">
        <v>17.463844243605308</v>
      </c>
      <c r="GD698">
        <v>10.918405629500796</v>
      </c>
      <c r="GE698">
        <v>21.260777905668135</v>
      </c>
      <c r="GF698">
        <v>25.832618893678688</v>
      </c>
      <c r="GG698">
        <v>21.778109134596995</v>
      </c>
      <c r="GH698">
        <v>21.808906772633431</v>
      </c>
      <c r="GI698">
        <v>21.612612489835168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86.076189265609443</v>
      </c>
      <c r="AO699">
        <v>29.062855412265936</v>
      </c>
      <c r="AP699">
        <v>180.88401516064607</v>
      </c>
      <c r="AQ699">
        <v>156.67539259306284</v>
      </c>
      <c r="AR699">
        <v>26.475096592187359</v>
      </c>
      <c r="AS699">
        <v>133.68602226249806</v>
      </c>
      <c r="AT699">
        <v>19.72759844647576</v>
      </c>
      <c r="AU699">
        <v>56.375895767943113</v>
      </c>
      <c r="AV699"/>
      <c r="AW699"/>
      <c r="FY699" s="211">
        <v>694</v>
      </c>
      <c r="FZ699">
        <v>3.4643175977420153</v>
      </c>
      <c r="GA699">
        <v>7.3790850878885106</v>
      </c>
      <c r="GB699">
        <v>14.627551606771979</v>
      </c>
      <c r="GC699">
        <v>12.824319976221494</v>
      </c>
      <c r="GD699">
        <v>10.310365660825012</v>
      </c>
      <c r="GE699">
        <v>19.948810369069854</v>
      </c>
      <c r="GF699">
        <v>27.538706626771496</v>
      </c>
      <c r="GG699">
        <v>19.834056383254918</v>
      </c>
      <c r="GH699">
        <v>14.758858185323358</v>
      </c>
      <c r="GI699">
        <v>17.958220253988827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56.982515518107071</v>
      </c>
      <c r="AO700">
        <v>21.438433081746894</v>
      </c>
      <c r="AP700">
        <v>144.93871671188359</v>
      </c>
      <c r="AQ700">
        <v>123.32883442136134</v>
      </c>
      <c r="AR700">
        <v>19.887758645897254</v>
      </c>
      <c r="AS700">
        <v>99.086801916055705</v>
      </c>
      <c r="AT700">
        <v>14.839774385962107</v>
      </c>
      <c r="AU700">
        <v>15.670045424039703</v>
      </c>
      <c r="AV700"/>
      <c r="AW700"/>
      <c r="FY700" s="211">
        <v>695</v>
      </c>
      <c r="FZ700">
        <v>5.7746429787661331</v>
      </c>
      <c r="GA700">
        <v>13.88403330641345</v>
      </c>
      <c r="GB700">
        <v>11.186667170588331</v>
      </c>
      <c r="GC700">
        <v>13.555736422315373</v>
      </c>
      <c r="GD700">
        <v>12.392747469309555</v>
      </c>
      <c r="GE700">
        <v>17.981643695130607</v>
      </c>
      <c r="GF700">
        <v>28.952655404450418</v>
      </c>
      <c r="GG700">
        <v>25.529900679734332</v>
      </c>
      <c r="GH700">
        <v>15.368427081454648</v>
      </c>
      <c r="GI700">
        <v>19.048311656565915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79.272274212882124</v>
      </c>
      <c r="AO701">
        <v>31.685342283104696</v>
      </c>
      <c r="AP701">
        <v>204.08805880809587</v>
      </c>
      <c r="AQ701">
        <v>172.23754633991649</v>
      </c>
      <c r="AR701">
        <v>28.590918465762819</v>
      </c>
      <c r="AS701">
        <v>135.81797956134955</v>
      </c>
      <c r="AT701">
        <v>21.647745430785136</v>
      </c>
      <c r="AU701">
        <v>42.541505468139704</v>
      </c>
      <c r="AV701"/>
      <c r="AW701"/>
      <c r="FY701" s="211">
        <v>696</v>
      </c>
      <c r="FZ701">
        <v>2.0746193303831419</v>
      </c>
      <c r="GA701">
        <v>13.325683289577054</v>
      </c>
      <c r="GB701">
        <v>15.109021731167413</v>
      </c>
      <c r="GC701">
        <v>9.8914107797442856</v>
      </c>
      <c r="GD701">
        <v>8.2989831599727193</v>
      </c>
      <c r="GE701">
        <v>24.875229717417632</v>
      </c>
      <c r="GF701">
        <v>37.481989614052168</v>
      </c>
      <c r="GG701">
        <v>30.006161748302578</v>
      </c>
      <c r="GH701">
        <v>25.469649471163912</v>
      </c>
      <c r="GI701">
        <v>20.268044756806674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79.26101279520978</v>
      </c>
      <c r="AO702">
        <v>33.836388568427992</v>
      </c>
      <c r="AP702">
        <v>242.56690383142478</v>
      </c>
      <c r="AQ702">
        <v>199.01147029877521</v>
      </c>
      <c r="AR702">
        <v>31.170869073294732</v>
      </c>
      <c r="AS702">
        <v>152.57853932842795</v>
      </c>
      <c r="AT702">
        <v>23.402552287897553</v>
      </c>
      <c r="AU702">
        <v>25.295852099993024</v>
      </c>
      <c r="AV702"/>
      <c r="AW702"/>
      <c r="FY702" s="211">
        <v>697</v>
      </c>
      <c r="FZ702">
        <v>4.2653692379702042</v>
      </c>
      <c r="GA702">
        <v>18.168547799962781</v>
      </c>
      <c r="GB702">
        <v>39.814267889684757</v>
      </c>
      <c r="GC702">
        <v>27.757493810031932</v>
      </c>
      <c r="GD702">
        <v>11.943978912574543</v>
      </c>
      <c r="GE702">
        <v>19.731016109825539</v>
      </c>
      <c r="GF702">
        <v>39.369903616243406</v>
      </c>
      <c r="GG702">
        <v>27.220099210400569</v>
      </c>
      <c r="GH702">
        <v>13.221265882057791</v>
      </c>
      <c r="GI702">
        <v>27.324303922402372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80.063764598903617</v>
      </c>
      <c r="AO703">
        <v>34.900067862443109</v>
      </c>
      <c r="AP703">
        <v>252.45024697354958</v>
      </c>
      <c r="AQ703">
        <v>209.59058383226989</v>
      </c>
      <c r="AR703">
        <v>31.258162360004359</v>
      </c>
      <c r="AS703">
        <v>192.27727612187516</v>
      </c>
      <c r="AT703">
        <v>24.777373060136238</v>
      </c>
      <c r="AU703">
        <v>42.406851755820831</v>
      </c>
      <c r="AV703"/>
      <c r="AW703"/>
      <c r="FY703" s="211">
        <v>698</v>
      </c>
      <c r="FZ703">
        <v>2.9984534994487104</v>
      </c>
      <c r="GA703">
        <v>10.522780913607006</v>
      </c>
      <c r="GB703">
        <v>15.271376237417048</v>
      </c>
      <c r="GC703">
        <v>13.513514352170422</v>
      </c>
      <c r="GD703">
        <v>11.734736318407567</v>
      </c>
      <c r="GE703">
        <v>23.371941835219701</v>
      </c>
      <c r="GF703">
        <v>29.450030482501347</v>
      </c>
      <c r="GG703">
        <v>22.292730164421815</v>
      </c>
      <c r="GH703">
        <v>16.255986578194413</v>
      </c>
      <c r="GI703">
        <v>19.524800793092616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73.909037436595113</v>
      </c>
      <c r="AO704">
        <v>27.097992054069522</v>
      </c>
      <c r="AP704">
        <v>181.40210912282771</v>
      </c>
      <c r="AQ704">
        <v>151.50644574163942</v>
      </c>
      <c r="AR704">
        <v>24.724275578079443</v>
      </c>
      <c r="AS704">
        <v>123.8412599929862</v>
      </c>
      <c r="AT704">
        <v>18.151419473779693</v>
      </c>
      <c r="AU704">
        <v>38.607237532904556</v>
      </c>
      <c r="AV704"/>
      <c r="AW704"/>
      <c r="FY704" s="211">
        <v>699</v>
      </c>
      <c r="FZ704">
        <v>8.1535954816995844</v>
      </c>
      <c r="GA704">
        <v>16.955801326989885</v>
      </c>
      <c r="GB704">
        <v>18.537298957944881</v>
      </c>
      <c r="GC704">
        <v>14.123848351842838</v>
      </c>
      <c r="GD704">
        <v>9.0842873462305995</v>
      </c>
      <c r="GE704">
        <v>16.009977882731654</v>
      </c>
      <c r="GF704">
        <v>28.6090847408787</v>
      </c>
      <c r="GG704">
        <v>21.807011800850013</v>
      </c>
      <c r="GH704">
        <v>10.218927247188672</v>
      </c>
      <c r="GI704">
        <v>18.370793637940611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63.764829188444608</v>
      </c>
      <c r="AO705">
        <v>28.548097351394496</v>
      </c>
      <c r="AP705">
        <v>193.39185353437065</v>
      </c>
      <c r="AQ705">
        <v>164.10841835470904</v>
      </c>
      <c r="AR705">
        <v>25.878059881463944</v>
      </c>
      <c r="AS705">
        <v>115.42506505956163</v>
      </c>
      <c r="AT705" t="e">
        <v>#DIV/0!</v>
      </c>
      <c r="AU705" t="e">
        <v>#DIV/0!</v>
      </c>
      <c r="AV705"/>
      <c r="AW705"/>
      <c r="FY705" s="211">
        <v>700</v>
      </c>
      <c r="FZ705">
        <v>1.7988647648977878</v>
      </c>
      <c r="GA705">
        <v>6.1907852936620831</v>
      </c>
      <c r="GB705">
        <v>19.661304691516811</v>
      </c>
      <c r="GC705">
        <v>16.836402301921446</v>
      </c>
      <c r="GD705">
        <v>13.457046816086814</v>
      </c>
      <c r="GE705">
        <v>22.837810466991229</v>
      </c>
      <c r="GF705">
        <v>30.387299104260549</v>
      </c>
      <c r="GG705">
        <v>18.876002137301747</v>
      </c>
      <c r="GH705">
        <v>3.5637187185207417</v>
      </c>
      <c r="GI705">
        <v>19.602676559263639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67.129825559870739</v>
      </c>
      <c r="AO706">
        <v>28.576910453613845</v>
      </c>
      <c r="AP706">
        <v>210.02993598270385</v>
      </c>
      <c r="AQ706">
        <v>171.24899128871627</v>
      </c>
      <c r="AR706">
        <v>25.937514071783426</v>
      </c>
      <c r="AS706">
        <v>120.92272407479479</v>
      </c>
      <c r="AT706">
        <v>19.453194757470676</v>
      </c>
      <c r="AU706">
        <v>20.959268842627395</v>
      </c>
      <c r="AV706"/>
      <c r="AW706"/>
      <c r="FY706" s="211">
        <v>701</v>
      </c>
      <c r="FZ706">
        <v>2.3863331021402008</v>
      </c>
      <c r="GA706">
        <v>18.341865331068927</v>
      </c>
      <c r="GB706">
        <v>16.482749244586806</v>
      </c>
      <c r="GC706">
        <v>10.631879243708639</v>
      </c>
      <c r="GD706">
        <v>10.412022570415459</v>
      </c>
      <c r="GE706">
        <v>24.87542185369367</v>
      </c>
      <c r="GF706">
        <v>36.087738650526973</v>
      </c>
      <c r="GG706">
        <v>14.759091235887912</v>
      </c>
      <c r="GH706">
        <v>5.3314057588781116</v>
      </c>
      <c r="GI706">
        <v>18.387158073960837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72.106523338653801</v>
      </c>
      <c r="AO707">
        <v>30.903728595385264</v>
      </c>
      <c r="AP707">
        <v>205.78009691349826</v>
      </c>
      <c r="AQ707">
        <v>177.35186518751325</v>
      </c>
      <c r="AR707">
        <v>28.193065839528852</v>
      </c>
      <c r="AS707">
        <v>162.61585369020383</v>
      </c>
      <c r="AT707">
        <v>21.822332933100171</v>
      </c>
      <c r="AU707">
        <v>16.59720013254881</v>
      </c>
      <c r="AV707"/>
      <c r="AW707"/>
      <c r="FY707" s="211">
        <v>702</v>
      </c>
      <c r="FZ707">
        <v>1.916001575261594</v>
      </c>
      <c r="GA707">
        <v>10.779114753669859</v>
      </c>
      <c r="GB707">
        <v>26.520706692717713</v>
      </c>
      <c r="GC707">
        <v>23.101801352143912</v>
      </c>
      <c r="GD707">
        <v>15.928849990819296</v>
      </c>
      <c r="GE707">
        <v>26.491810776197408</v>
      </c>
      <c r="GF707">
        <v>31.143185346856008</v>
      </c>
      <c r="GG707">
        <v>38.513563275490554</v>
      </c>
      <c r="GH707">
        <v>37.544833181936006</v>
      </c>
      <c r="GI707">
        <v>28.401052333013926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91.337309235042127</v>
      </c>
      <c r="AO708">
        <v>36.595231271105561</v>
      </c>
      <c r="AP708">
        <v>245.39926446794303</v>
      </c>
      <c r="AQ708">
        <v>200.40518901381847</v>
      </c>
      <c r="AR708">
        <v>33.243473172143425</v>
      </c>
      <c r="AS708">
        <v>159.81502606486009</v>
      </c>
      <c r="AT708" t="e">
        <v>#DIV/0!</v>
      </c>
      <c r="AU708" t="e">
        <v>#DIV/0!</v>
      </c>
      <c r="AV708"/>
      <c r="AW708"/>
      <c r="FY708" s="211">
        <v>703</v>
      </c>
      <c r="FZ708">
        <v>4.9784291597347412</v>
      </c>
      <c r="GA708">
        <v>25.025350444406904</v>
      </c>
      <c r="GB708">
        <v>17.755992285762595</v>
      </c>
      <c r="GC708">
        <v>10.293242702872906</v>
      </c>
      <c r="GD708">
        <v>11.061044387028378</v>
      </c>
      <c r="GE708">
        <v>18.796392989169952</v>
      </c>
      <c r="GF708">
        <v>18.378717402246849</v>
      </c>
      <c r="GG708">
        <v>16.301016272783148</v>
      </c>
      <c r="GH708">
        <v>11.856999201873462</v>
      </c>
      <c r="GI708">
        <v>17.150460250115387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90.985367622424079</v>
      </c>
      <c r="AO709">
        <v>32.672360067694491</v>
      </c>
      <c r="AP709">
        <v>220.23946010904515</v>
      </c>
      <c r="AQ709">
        <v>187.32768489056721</v>
      </c>
      <c r="AR709">
        <v>29.669670363773097</v>
      </c>
      <c r="AS709">
        <v>145.4746541007373</v>
      </c>
      <c r="AT709">
        <v>22.874648926773379</v>
      </c>
      <c r="AU709">
        <v>54.979023849500074</v>
      </c>
      <c r="AV709"/>
      <c r="AW709"/>
      <c r="FY709" s="211">
        <v>704</v>
      </c>
      <c r="FZ709">
        <v>5.2248043583456818</v>
      </c>
      <c r="GA709">
        <v>11.819436547961546</v>
      </c>
      <c r="GB709">
        <v>10.739754160780606</v>
      </c>
      <c r="GC709">
        <v>12.801912983747817</v>
      </c>
      <c r="GD709">
        <v>13.617350005115567</v>
      </c>
      <c r="GE709">
        <v>15.694300068435526</v>
      </c>
      <c r="GF709">
        <v>17.668890716902997</v>
      </c>
      <c r="GG709">
        <v>21.815627584817534</v>
      </c>
      <c r="GH709">
        <v>15.456638952719318</v>
      </c>
      <c r="GI709">
        <v>17.426034898085312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62.572164474442332</v>
      </c>
      <c r="AO710">
        <v>26.846341624110284</v>
      </c>
      <c r="AP710">
        <v>173.8609172706692</v>
      </c>
      <c r="AQ710">
        <v>148.64429174785747</v>
      </c>
      <c r="AR710">
        <v>24.725528035446445</v>
      </c>
      <c r="AS710">
        <v>117.19814525757911</v>
      </c>
      <c r="AT710">
        <v>18.609958970281703</v>
      </c>
      <c r="AU710">
        <v>20.513711052303346</v>
      </c>
      <c r="AV710"/>
      <c r="AW710"/>
      <c r="FY710" s="211">
        <v>705</v>
      </c>
      <c r="FZ710">
        <v>1.7092691497262062</v>
      </c>
      <c r="GA710">
        <v>6.2982507324537309</v>
      </c>
      <c r="GB710">
        <v>30.165319475974172</v>
      </c>
      <c r="GC710">
        <v>21.943072768333579</v>
      </c>
      <c r="GD710">
        <v>12.056005425056371</v>
      </c>
      <c r="GE710">
        <v>23.38645930795278</v>
      </c>
      <c r="GF710">
        <v>36.170967104303443</v>
      </c>
      <c r="GG710">
        <v>29.86403577821148</v>
      </c>
      <c r="GH710">
        <v>16.231975774062477</v>
      </c>
      <c r="GI710">
        <v>24.493708118677869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81.955251491137503</v>
      </c>
      <c r="AO711">
        <v>28.904071237436273</v>
      </c>
      <c r="AP711">
        <v>188.25777166091532</v>
      </c>
      <c r="AQ711">
        <v>163.67476586472876</v>
      </c>
      <c r="AR711">
        <v>26.348492108753518</v>
      </c>
      <c r="AS711">
        <v>129.00758239354428</v>
      </c>
      <c r="AT711">
        <v>19.43543914380346</v>
      </c>
      <c r="AU711">
        <v>36.745974961491868</v>
      </c>
      <c r="AV711"/>
      <c r="AW711"/>
      <c r="FY711" s="211">
        <v>706</v>
      </c>
      <c r="FZ711">
        <v>7.5955399279536282</v>
      </c>
      <c r="GA711">
        <v>14.055450087347658</v>
      </c>
      <c r="GB711">
        <v>17.613895355124864</v>
      </c>
      <c r="GC711">
        <v>11.161449799749143</v>
      </c>
      <c r="GD711">
        <v>8.9080820129073945</v>
      </c>
      <c r="GE711">
        <v>19.902630496592799</v>
      </c>
      <c r="GF711">
        <v>14.853207359778997</v>
      </c>
      <c r="GG711">
        <v>9.963869588400609</v>
      </c>
      <c r="GH711">
        <v>9.0194891882028099</v>
      </c>
      <c r="GI711">
        <v>15.15096328971263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73.21219614416151</v>
      </c>
      <c r="AO712">
        <v>30.934234883591767</v>
      </c>
      <c r="AP712">
        <v>226.98168819804525</v>
      </c>
      <c r="AQ712">
        <v>186.80079359858757</v>
      </c>
      <c r="AR712">
        <v>27.464688652866631</v>
      </c>
      <c r="AS712">
        <v>122.1614856551101</v>
      </c>
      <c r="AT712" t="e">
        <v>#DIV/0!</v>
      </c>
      <c r="AU712" t="e">
        <v>#DIV/0!</v>
      </c>
      <c r="AV712"/>
      <c r="AW712"/>
      <c r="FY712" s="211">
        <v>707</v>
      </c>
      <c r="FZ712">
        <v>4.5464516016549368</v>
      </c>
      <c r="GA712">
        <v>17.879954848419487</v>
      </c>
      <c r="GB712">
        <v>18.212548110253309</v>
      </c>
      <c r="GC712">
        <v>15.161939078401259</v>
      </c>
      <c r="GD712">
        <v>11.585475492230721</v>
      </c>
      <c r="GE712">
        <v>18.689867896189135</v>
      </c>
      <c r="GF712">
        <v>27.359560386311504</v>
      </c>
      <c r="GG712">
        <v>31.067449756456583</v>
      </c>
      <c r="GH712">
        <v>28.585150085443043</v>
      </c>
      <c r="GI712">
        <v>21.93445816719473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108.98305879773621</v>
      </c>
      <c r="AO713">
        <v>41.411594430969771</v>
      </c>
      <c r="AP713">
        <v>282.96180264763041</v>
      </c>
      <c r="AQ713">
        <v>228.81624639115392</v>
      </c>
      <c r="AR713">
        <v>37.806498807864173</v>
      </c>
      <c r="AS713">
        <v>190.70535379592417</v>
      </c>
      <c r="AT713">
        <v>27.677690889769625</v>
      </c>
      <c r="AU713">
        <v>43.435800635862385</v>
      </c>
      <c r="AV713"/>
      <c r="AW713"/>
      <c r="FY713" s="211">
        <v>708</v>
      </c>
      <c r="FZ713">
        <v>7.742655182661399</v>
      </c>
      <c r="GA713">
        <v>14.390547480963257</v>
      </c>
      <c r="GB713">
        <v>32.862830999113186</v>
      </c>
      <c r="GC713">
        <v>23.066306108501621</v>
      </c>
      <c r="GD713">
        <v>11.800192632289505</v>
      </c>
      <c r="GE713">
        <v>20.315061509384666</v>
      </c>
      <c r="GF713">
        <v>25.284989339727961</v>
      </c>
      <c r="GG713">
        <v>17.82302966966283</v>
      </c>
      <c r="GH713">
        <v>7.4545561541430283</v>
      </c>
      <c r="GI713">
        <v>22.504294196701395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75.465836340812686</v>
      </c>
      <c r="AO714">
        <v>29.683720934314842</v>
      </c>
      <c r="AP714">
        <v>191.43277967356778</v>
      </c>
      <c r="AQ714">
        <v>164.93635117448065</v>
      </c>
      <c r="AR714">
        <v>26.797048915037795</v>
      </c>
      <c r="AS714">
        <v>124.94057366927198</v>
      </c>
      <c r="AT714">
        <v>20.521709778760957</v>
      </c>
      <c r="AU714">
        <v>37.330970594508436</v>
      </c>
      <c r="AV714"/>
      <c r="AW714"/>
      <c r="FY714" s="211">
        <v>709</v>
      </c>
      <c r="FZ714">
        <v>3.394435088177973</v>
      </c>
      <c r="GA714">
        <v>12.444193425304075</v>
      </c>
      <c r="GB714">
        <v>35.901262009377518</v>
      </c>
      <c r="GC714">
        <v>24.868238668654435</v>
      </c>
      <c r="GD714">
        <v>13.340015464834231</v>
      </c>
      <c r="GE714">
        <v>21.395831394255858</v>
      </c>
      <c r="GF714">
        <v>18.45338354771182</v>
      </c>
      <c r="GG714">
        <v>8.7665819732855041</v>
      </c>
      <c r="GH714">
        <v>4.2779525921792709</v>
      </c>
      <c r="GI714">
        <v>21.689524527991313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84.106180699226087</v>
      </c>
      <c r="AO715">
        <v>27.876154171573567</v>
      </c>
      <c r="AP715">
        <v>193.76782013415982</v>
      </c>
      <c r="AQ715">
        <v>161.87062677429742</v>
      </c>
      <c r="AR715">
        <v>25.420754051159868</v>
      </c>
      <c r="AS715">
        <v>124.02738406279468</v>
      </c>
      <c r="AT715">
        <v>18.729522376386825</v>
      </c>
      <c r="AU715">
        <v>27.165917867495168</v>
      </c>
      <c r="AV715"/>
      <c r="AW715"/>
      <c r="FY715" s="211">
        <v>710</v>
      </c>
      <c r="FZ715">
        <v>3.5666343379032428</v>
      </c>
      <c r="GA715">
        <v>18.261342973926372</v>
      </c>
      <c r="GB715">
        <v>25.667270900753277</v>
      </c>
      <c r="GC715">
        <v>16.683656261450178</v>
      </c>
      <c r="GD715">
        <v>11.23182871784552</v>
      </c>
      <c r="GE715">
        <v>19.116000644415234</v>
      </c>
      <c r="GF715">
        <v>31.001816064454434</v>
      </c>
      <c r="GG715">
        <v>34.256461537848985</v>
      </c>
      <c r="GH715">
        <v>24.388981318418065</v>
      </c>
      <c r="GI715">
        <v>23.426681547723376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68.826491546020151</v>
      </c>
      <c r="AO716">
        <v>29.786995200208359</v>
      </c>
      <c r="AP716">
        <v>175.11642640679639</v>
      </c>
      <c r="AQ716">
        <v>153.21191085442285</v>
      </c>
      <c r="AR716">
        <v>27.136112602326165</v>
      </c>
      <c r="AS716">
        <v>124.26510352060849</v>
      </c>
      <c r="AT716" t="e">
        <v>#DIV/0!</v>
      </c>
      <c r="AU716" t="e">
        <v>#DIV/0!</v>
      </c>
      <c r="AV716"/>
      <c r="AW716"/>
      <c r="FY716" s="211">
        <v>711</v>
      </c>
      <c r="FZ716">
        <v>3.5477865874400472</v>
      </c>
      <c r="GA716">
        <v>15.436958878145672</v>
      </c>
      <c r="GB716">
        <v>28.195726542445914</v>
      </c>
      <c r="GC716">
        <v>20.522253369726705</v>
      </c>
      <c r="GD716">
        <v>14.093166454818995</v>
      </c>
      <c r="GE716">
        <v>22.934406538195525</v>
      </c>
      <c r="GF716">
        <v>16.946640357356436</v>
      </c>
      <c r="GG716">
        <v>5.9314333425743477</v>
      </c>
      <c r="GH716">
        <v>2.5416437060776191</v>
      </c>
      <c r="GI716">
        <v>19.732770225445854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68.166429224060963</v>
      </c>
      <c r="AO717">
        <v>27.606240572216414</v>
      </c>
      <c r="AP717">
        <v>184.93905538758963</v>
      </c>
      <c r="AQ717">
        <v>157.69566506486754</v>
      </c>
      <c r="AR717">
        <v>24.838171780159026</v>
      </c>
      <c r="AS717">
        <v>156.28234603012569</v>
      </c>
      <c r="AT717">
        <v>19.621085775189368</v>
      </c>
      <c r="AU717">
        <v>22.754743875541081</v>
      </c>
      <c r="AV717"/>
      <c r="AW717"/>
      <c r="FY717" s="211">
        <v>712</v>
      </c>
      <c r="FZ717">
        <v>5.4632918575673219</v>
      </c>
      <c r="GA717">
        <v>19.626524286123676</v>
      </c>
      <c r="GB717">
        <v>23.581965747310711</v>
      </c>
      <c r="GC717">
        <v>14.255878990628492</v>
      </c>
      <c r="GD717">
        <v>9.9621344743109486</v>
      </c>
      <c r="GE717">
        <v>24.895550870782547</v>
      </c>
      <c r="GF717">
        <v>27.630245317867438</v>
      </c>
      <c r="GG717">
        <v>19.389428169492177</v>
      </c>
      <c r="GH717">
        <v>20.389019326847272</v>
      </c>
      <c r="GI717">
        <v>21.221754641195066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96.851630632586165</v>
      </c>
      <c r="AO718">
        <v>43.367830772062533</v>
      </c>
      <c r="AP718">
        <v>283.69250046076922</v>
      </c>
      <c r="AQ718">
        <v>240.3409192781063</v>
      </c>
      <c r="AR718">
        <v>39.345485815437733</v>
      </c>
      <c r="AS718">
        <v>172.26553808941225</v>
      </c>
      <c r="AT718" t="e">
        <v>#DIV/0!</v>
      </c>
      <c r="AU718" t="e">
        <v>#DIV/0!</v>
      </c>
      <c r="AV718"/>
      <c r="AW718"/>
      <c r="FY718" s="211">
        <v>713</v>
      </c>
      <c r="FZ718">
        <v>4.0157098861925027</v>
      </c>
      <c r="GA718">
        <v>13.487777366765222</v>
      </c>
      <c r="GB718">
        <v>30.618549075420741</v>
      </c>
      <c r="GC718">
        <v>19.445998791561458</v>
      </c>
      <c r="GD718">
        <v>10.978639376336119</v>
      </c>
      <c r="GE718">
        <v>19.720771709381694</v>
      </c>
      <c r="GF718">
        <v>16.22390157879045</v>
      </c>
      <c r="GG718">
        <v>15.276863708313805</v>
      </c>
      <c r="GH718">
        <v>13.515626289280709</v>
      </c>
      <c r="GI718">
        <v>20.11677501338734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71.20131035734795</v>
      </c>
      <c r="AO719">
        <v>25.991233703259411</v>
      </c>
      <c r="AP719">
        <v>176.08926245936797</v>
      </c>
      <c r="AQ719">
        <v>151.59764509599432</v>
      </c>
      <c r="AR719">
        <v>23.720227571050991</v>
      </c>
      <c r="AS719">
        <v>113.87449645386721</v>
      </c>
      <c r="AT719" t="e">
        <v>#DIV/0!</v>
      </c>
      <c r="AU719" t="e">
        <v>#DIV/0!</v>
      </c>
      <c r="AV719"/>
      <c r="AW719"/>
      <c r="FY719" s="211">
        <v>714</v>
      </c>
      <c r="FZ719">
        <v>4.1107791631092727</v>
      </c>
      <c r="GA719">
        <v>6.1431250776825568</v>
      </c>
      <c r="GB719">
        <v>11.780127806140939</v>
      </c>
      <c r="GC719">
        <v>15.187030220687802</v>
      </c>
      <c r="GD719">
        <v>11.560600869750406</v>
      </c>
      <c r="GE719">
        <v>17.710495178983365</v>
      </c>
      <c r="GF719">
        <v>30.21889013475473</v>
      </c>
      <c r="GG719">
        <v>43.182002204915776</v>
      </c>
      <c r="GH719">
        <v>40.188169490839975</v>
      </c>
      <c r="GI719">
        <v>22.681893756705225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74.204475219253098</v>
      </c>
      <c r="AO720">
        <v>26.06424780284549</v>
      </c>
      <c r="AP720">
        <v>157.83168885583603</v>
      </c>
      <c r="AQ720">
        <v>142.26475027691191</v>
      </c>
      <c r="AR720">
        <v>24.459673219672151</v>
      </c>
      <c r="AS720">
        <v>127.71652298070362</v>
      </c>
      <c r="AT720">
        <v>17.719846789870811</v>
      </c>
      <c r="AU720">
        <v>45.945313963271389</v>
      </c>
      <c r="AV720"/>
      <c r="AW720"/>
      <c r="FY720" s="211">
        <v>715</v>
      </c>
      <c r="FZ720">
        <v>0.56803780275173765</v>
      </c>
      <c r="GA720">
        <v>14.66358510601324</v>
      </c>
      <c r="GB720">
        <v>23.593058225956383</v>
      </c>
      <c r="GC720">
        <v>17.878215744401476</v>
      </c>
      <c r="GD720">
        <v>12.631549967889892</v>
      </c>
      <c r="GE720">
        <v>22.242240897575432</v>
      </c>
      <c r="GF720">
        <v>36.728819081152203</v>
      </c>
      <c r="GG720">
        <v>25.241792783500355</v>
      </c>
      <c r="GH720">
        <v>9.9649474507121365</v>
      </c>
      <c r="GI720">
        <v>22.125827561789027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93.423559321264378</v>
      </c>
      <c r="AO721">
        <v>37.362968964211518</v>
      </c>
      <c r="AP721">
        <v>244.51341318001678</v>
      </c>
      <c r="AQ721">
        <v>202.31906363475207</v>
      </c>
      <c r="AR721">
        <v>33.918326230283526</v>
      </c>
      <c r="AS721">
        <v>163.1653982441766</v>
      </c>
      <c r="AT721" t="e">
        <v>#DIV/0!</v>
      </c>
      <c r="AU721" t="e">
        <v>#DIV/0!</v>
      </c>
      <c r="AV721"/>
      <c r="AW721"/>
      <c r="FY721" s="211">
        <v>716</v>
      </c>
      <c r="FZ721">
        <v>11.825693486745982</v>
      </c>
      <c r="GA721">
        <v>30.400973921770273</v>
      </c>
      <c r="GB721">
        <v>25.799352285476168</v>
      </c>
      <c r="GC721">
        <v>17.773337744918525</v>
      </c>
      <c r="GD721">
        <v>11.217442995988364</v>
      </c>
      <c r="GE721">
        <v>13.906833437810295</v>
      </c>
      <c r="GF721">
        <v>29.213670240038049</v>
      </c>
      <c r="GG721">
        <v>24.839280361822293</v>
      </c>
      <c r="GH721">
        <v>9.2103329663072255</v>
      </c>
      <c r="GI721">
        <v>21.939913541838141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72.707101332258418</v>
      </c>
      <c r="AO722">
        <v>23.017191114856622</v>
      </c>
      <c r="AP722">
        <v>146.51781879902578</v>
      </c>
      <c r="AQ722">
        <v>128.22457710577052</v>
      </c>
      <c r="AR722">
        <v>20.862482818501533</v>
      </c>
      <c r="AS722">
        <v>105.23157147940415</v>
      </c>
      <c r="AT722" t="e">
        <v>#DIV/0!</v>
      </c>
      <c r="AU722" t="e">
        <v>#DIV/0!</v>
      </c>
      <c r="AV722"/>
      <c r="AW722"/>
      <c r="FY722" s="211">
        <v>717</v>
      </c>
      <c r="FZ722">
        <v>2.5023156581110566</v>
      </c>
      <c r="GA722">
        <v>13.007024664076628</v>
      </c>
      <c r="GB722">
        <v>21.352696458060691</v>
      </c>
      <c r="GC722">
        <v>18.73271268936287</v>
      </c>
      <c r="GD722">
        <v>11.887608514924569</v>
      </c>
      <c r="GE722">
        <v>18.2321518725389</v>
      </c>
      <c r="GF722">
        <v>27.371553752223871</v>
      </c>
      <c r="GG722">
        <v>21.194074662190644</v>
      </c>
      <c r="GH722">
        <v>15.363884203385251</v>
      </c>
      <c r="GI722">
        <v>20.541331429931333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83.199801780516083</v>
      </c>
      <c r="AO723">
        <v>33.267511083876784</v>
      </c>
      <c r="AP723">
        <v>232.93501564342563</v>
      </c>
      <c r="AQ723">
        <v>195.02285542255467</v>
      </c>
      <c r="AR723">
        <v>30.400480445362067</v>
      </c>
      <c r="AS723">
        <v>145.23073485217671</v>
      </c>
      <c r="AT723">
        <v>22.443665401680395</v>
      </c>
      <c r="AU723">
        <v>30.888978174640037</v>
      </c>
      <c r="AV723"/>
      <c r="AW723"/>
      <c r="FY723" s="211">
        <v>718</v>
      </c>
      <c r="FZ723">
        <v>2.6081347523729903</v>
      </c>
      <c r="GA723">
        <v>12.770146542067728</v>
      </c>
      <c r="GB723">
        <v>18.25850335385342</v>
      </c>
      <c r="GC723">
        <v>11.947658479799422</v>
      </c>
      <c r="GD723">
        <v>9.1648152522255444</v>
      </c>
      <c r="GE723">
        <v>15.67196160481978</v>
      </c>
      <c r="GF723">
        <v>18.608072858397538</v>
      </c>
      <c r="GG723">
        <v>15.062515562407132</v>
      </c>
      <c r="GH723">
        <v>11.825389240403572</v>
      </c>
      <c r="GI723">
        <v>15.906193596025279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102.60310444140006</v>
      </c>
      <c r="AO724">
        <v>34.328121973031543</v>
      </c>
      <c r="AP724">
        <v>218.81256578344616</v>
      </c>
      <c r="AQ724">
        <v>183.24446327314888</v>
      </c>
      <c r="AR724">
        <v>31.317730452352922</v>
      </c>
      <c r="AS724">
        <v>162.54655801282709</v>
      </c>
      <c r="AT724" t="e">
        <v>#DIV/0!</v>
      </c>
      <c r="AU724" t="e">
        <v>#DIV/0!</v>
      </c>
      <c r="AV724"/>
      <c r="AW724"/>
      <c r="FY724" s="211">
        <v>719</v>
      </c>
      <c r="FZ724">
        <v>8.3074569089872234</v>
      </c>
      <c r="GA724">
        <v>28.031613563650161</v>
      </c>
      <c r="GB724">
        <v>19.946868720029507</v>
      </c>
      <c r="GC724">
        <v>12.224917578327426</v>
      </c>
      <c r="GD724">
        <v>9.2481666966581901</v>
      </c>
      <c r="GE724">
        <v>21.915734197868787</v>
      </c>
      <c r="GF724">
        <v>23.228941757722865</v>
      </c>
      <c r="GG724">
        <v>28.871014766127548</v>
      </c>
      <c r="GH724">
        <v>37.633045053200675</v>
      </c>
      <c r="GI724">
        <v>22.164883589033451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87.24876060215739</v>
      </c>
      <c r="AO725">
        <v>32.86711843243063</v>
      </c>
      <c r="AP725">
        <v>192.35417354954612</v>
      </c>
      <c r="AQ725">
        <v>164.53141869177199</v>
      </c>
      <c r="AR725">
        <v>30.144105667950797</v>
      </c>
      <c r="AS725">
        <v>137.86990943056202</v>
      </c>
      <c r="AT725">
        <v>22.318874946644957</v>
      </c>
      <c r="AU725">
        <v>41.302541883650555</v>
      </c>
      <c r="AV725"/>
      <c r="AW725"/>
      <c r="FY725" s="211">
        <v>720</v>
      </c>
      <c r="FZ725">
        <v>5.3021907090884728</v>
      </c>
      <c r="GA725">
        <v>13.30196590990214</v>
      </c>
      <c r="GB725">
        <v>29.340910622139713</v>
      </c>
      <c r="GC725">
        <v>22.91536881316545</v>
      </c>
      <c r="GD725">
        <v>12.750313817009514</v>
      </c>
      <c r="GE725">
        <v>18.286173328997563</v>
      </c>
      <c r="GF725">
        <v>31.545326803861467</v>
      </c>
      <c r="GG725">
        <v>28.993042508276499</v>
      </c>
      <c r="GH725">
        <v>16.760973796446592</v>
      </c>
      <c r="GI725">
        <v>24.459686487350535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88.940272038524967</v>
      </c>
      <c r="AO726">
        <v>35.498683916351823</v>
      </c>
      <c r="AP726">
        <v>252.39599389211475</v>
      </c>
      <c r="AQ726">
        <v>207.6006743047387</v>
      </c>
      <c r="AR726">
        <v>32.583711751837328</v>
      </c>
      <c r="AS726">
        <v>150.15020097117377</v>
      </c>
      <c r="AT726">
        <v>23.988044875777884</v>
      </c>
      <c r="AU726">
        <v>21.812088494831329</v>
      </c>
      <c r="AV726"/>
      <c r="AW726"/>
      <c r="FY726" s="211">
        <v>721</v>
      </c>
      <c r="FZ726">
        <v>4.3670664310251128</v>
      </c>
      <c r="GA726">
        <v>17.748809411464013</v>
      </c>
      <c r="GB726">
        <v>22.553907958902027</v>
      </c>
      <c r="GC726">
        <v>18.440304535610338</v>
      </c>
      <c r="GD726">
        <v>12.540932488405488</v>
      </c>
      <c r="GE726">
        <v>16.133365805329159</v>
      </c>
      <c r="GF726">
        <v>23.152799174205569</v>
      </c>
      <c r="GG726">
        <v>13.785065739005407</v>
      </c>
      <c r="GH726">
        <v>2.8613950730553861</v>
      </c>
      <c r="GI726">
        <v>18.690002165251631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70.435080644666968</v>
      </c>
      <c r="AO727">
        <v>30.148176208924088</v>
      </c>
      <c r="AP727">
        <v>170.61568242668221</v>
      </c>
      <c r="AQ727">
        <v>149.88278600222711</v>
      </c>
      <c r="AR727">
        <v>27.400561954515521</v>
      </c>
      <c r="AS727">
        <v>132.31982884285128</v>
      </c>
      <c r="AT727" t="e">
        <v>#DIV/0!</v>
      </c>
      <c r="AU727" t="e">
        <v>#DIV/0!</v>
      </c>
      <c r="AV727"/>
      <c r="AW727"/>
      <c r="FY727" s="211">
        <v>722</v>
      </c>
      <c r="FZ727">
        <v>4.4369135914318241</v>
      </c>
      <c r="GA727">
        <v>15.536253705342526</v>
      </c>
      <c r="GB727">
        <v>20.78151183205188</v>
      </c>
      <c r="GC727">
        <v>14.749872489113413</v>
      </c>
      <c r="GD727">
        <v>11.830189700621661</v>
      </c>
      <c r="GE727">
        <v>25.5086023617549</v>
      </c>
      <c r="GF727">
        <v>34.10936869006985</v>
      </c>
      <c r="GG727">
        <v>15.598893894451741</v>
      </c>
      <c r="GH727">
        <v>4.3989873763209522</v>
      </c>
      <c r="GI727">
        <v>20.11498105057143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92.094527276978255</v>
      </c>
      <c r="AO728">
        <v>32.071558328758634</v>
      </c>
      <c r="AP728">
        <v>223.25968764077567</v>
      </c>
      <c r="AQ728">
        <v>186.41579368212564</v>
      </c>
      <c r="AR728">
        <v>28.994448069830842</v>
      </c>
      <c r="AS728">
        <v>144.49253967511652</v>
      </c>
      <c r="AT728">
        <v>21.693356682578408</v>
      </c>
      <c r="AU728">
        <v>47.460524321109993</v>
      </c>
      <c r="AV728"/>
      <c r="AW728"/>
      <c r="FY728" s="211">
        <v>723</v>
      </c>
      <c r="FZ728">
        <v>5.2226438707928446</v>
      </c>
      <c r="GA728">
        <v>14.812854075104029</v>
      </c>
      <c r="GB728">
        <v>22.550806632898684</v>
      </c>
      <c r="GC728">
        <v>13.555875830573184</v>
      </c>
      <c r="GD728">
        <v>8.7114847070050381</v>
      </c>
      <c r="GE728">
        <v>19.686395414456534</v>
      </c>
      <c r="GF728">
        <v>24.41860104171101</v>
      </c>
      <c r="GG728">
        <v>14.262452962262909</v>
      </c>
      <c r="GH728">
        <v>5.4807205778274088</v>
      </c>
      <c r="GI728">
        <v>17.218394062613594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80.694441075848161</v>
      </c>
      <c r="AO729">
        <v>30.596645656851081</v>
      </c>
      <c r="AP729">
        <v>194.96011015703942</v>
      </c>
      <c r="AQ729">
        <v>163.40061279543005</v>
      </c>
      <c r="AR729">
        <v>28.071457395645986</v>
      </c>
      <c r="AS729">
        <v>138.16848171088782</v>
      </c>
      <c r="AT729">
        <v>20.459934050310085</v>
      </c>
      <c r="AU729">
        <v>30.215091111052203</v>
      </c>
      <c r="AV729"/>
      <c r="AW729"/>
      <c r="FY729" s="211">
        <v>724</v>
      </c>
      <c r="FZ729">
        <v>3.6829107786529738</v>
      </c>
      <c r="GA729">
        <v>20.023589838834305</v>
      </c>
      <c r="GB729">
        <v>35.820893680177193</v>
      </c>
      <c r="GC729">
        <v>23.233557454007148</v>
      </c>
      <c r="GD729">
        <v>9.9334687935446198</v>
      </c>
      <c r="GE729">
        <v>15.397018476577781</v>
      </c>
      <c r="GF729">
        <v>28.545846559309521</v>
      </c>
      <c r="GG729">
        <v>19.723791798097746</v>
      </c>
      <c r="GH729">
        <v>10.186104334311663</v>
      </c>
      <c r="GI729">
        <v>22.48932525361635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74.619762134654707</v>
      </c>
      <c r="AO730">
        <v>34.573210262040334</v>
      </c>
      <c r="AP730">
        <v>241.69844789155516</v>
      </c>
      <c r="AQ730">
        <v>202.76311390357006</v>
      </c>
      <c r="AR730">
        <v>31.544793814716549</v>
      </c>
      <c r="AS730">
        <v>138.11805979647298</v>
      </c>
      <c r="AT730">
        <v>24.345080797065631</v>
      </c>
      <c r="AU730">
        <v>21.105233521475114</v>
      </c>
      <c r="AV730"/>
      <c r="AW730"/>
      <c r="FY730" s="211">
        <v>725</v>
      </c>
      <c r="FZ730">
        <v>5.0812911770788665</v>
      </c>
      <c r="GA730">
        <v>9.9753283412101332</v>
      </c>
      <c r="GB730">
        <v>13.440232872949561</v>
      </c>
      <c r="GC730">
        <v>12.102837117234397</v>
      </c>
      <c r="GD730">
        <v>11.327543999214189</v>
      </c>
      <c r="GE730">
        <v>17.126194493761435</v>
      </c>
      <c r="GF730">
        <v>11.79995108479069</v>
      </c>
      <c r="GG730">
        <v>10.018487942534103</v>
      </c>
      <c r="GH730">
        <v>10.186104334311663</v>
      </c>
      <c r="GI730">
        <v>14.792847216789173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85.510276571371165</v>
      </c>
      <c r="AO731">
        <v>33.774357629218542</v>
      </c>
      <c r="AP731">
        <v>221.24769666078808</v>
      </c>
      <c r="AQ731">
        <v>185.63807462174191</v>
      </c>
      <c r="AR731">
        <v>30.465566799793088</v>
      </c>
      <c r="AS731">
        <v>152.23271623667279</v>
      </c>
      <c r="AT731" t="e">
        <v>#DIV/0!</v>
      </c>
      <c r="AU731" t="e">
        <v>#DIV/0!</v>
      </c>
      <c r="AV731"/>
      <c r="AW731"/>
      <c r="FY731" s="211">
        <v>726</v>
      </c>
      <c r="FZ731">
        <v>4.7207788176187275</v>
      </c>
      <c r="GA731">
        <v>5.8835579577491313</v>
      </c>
      <c r="GB731">
        <v>24.944613710052966</v>
      </c>
      <c r="GC731">
        <v>20.454342339275531</v>
      </c>
      <c r="GD731">
        <v>11.291937195750327</v>
      </c>
      <c r="GE731">
        <v>23.693562270036395</v>
      </c>
      <c r="GF731">
        <v>36.452051316757931</v>
      </c>
      <c r="GG731">
        <v>23.810001528628497</v>
      </c>
      <c r="GH731">
        <v>13.637726122183002</v>
      </c>
      <c r="GI731">
        <v>22.805036363621291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111.68615756359777</v>
      </c>
      <c r="AO732">
        <v>33.084596502235215</v>
      </c>
      <c r="AP732">
        <v>236.19144762807701</v>
      </c>
      <c r="AQ732">
        <v>196.12683098271529</v>
      </c>
      <c r="AR732">
        <v>30.590695314253015</v>
      </c>
      <c r="AS732">
        <v>165.04577340092197</v>
      </c>
      <c r="AT732">
        <v>22.069804843426056</v>
      </c>
      <c r="AU732">
        <v>42.533413003754561</v>
      </c>
      <c r="AV732"/>
      <c r="AW732"/>
      <c r="FY732" s="211">
        <v>727</v>
      </c>
      <c r="FZ732">
        <v>5.4281115275468022</v>
      </c>
      <c r="GA732">
        <v>10.861195276156021</v>
      </c>
      <c r="GB732">
        <v>15.700283867112583</v>
      </c>
      <c r="GC732">
        <v>13.65518108758978</v>
      </c>
      <c r="GD732">
        <v>12.439903892715218</v>
      </c>
      <c r="GE732">
        <v>22.824111799788401</v>
      </c>
      <c r="GF732">
        <v>32.5551053995841</v>
      </c>
      <c r="GG732">
        <v>23.995141533844407</v>
      </c>
      <c r="GH732">
        <v>9.3836585893884639</v>
      </c>
      <c r="GI732">
        <v>19.910980785007187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77.739191017607638</v>
      </c>
      <c r="AO733">
        <v>31.282975452078773</v>
      </c>
      <c r="AP733">
        <v>202.20500089790741</v>
      </c>
      <c r="AQ733">
        <v>170.18535390480582</v>
      </c>
      <c r="AR733">
        <v>28.305168024090332</v>
      </c>
      <c r="AS733">
        <v>133.99474538071092</v>
      </c>
      <c r="AT733" t="e">
        <v>#DIV/0!</v>
      </c>
      <c r="AU733" t="e">
        <v>#DIV/0!</v>
      </c>
      <c r="AV733"/>
      <c r="AW733"/>
      <c r="FY733" s="211">
        <v>728</v>
      </c>
      <c r="FZ733">
        <v>4.3951790965828081</v>
      </c>
      <c r="GA733">
        <v>21.88246667248632</v>
      </c>
      <c r="GB733">
        <v>16.146601024113018</v>
      </c>
      <c r="GC733">
        <v>11.027594171883994</v>
      </c>
      <c r="GD733">
        <v>11.43658457718228</v>
      </c>
      <c r="GE733">
        <v>15.359633570000341</v>
      </c>
      <c r="GF733">
        <v>17.969935283788153</v>
      </c>
      <c r="GG733">
        <v>20.462981896662264</v>
      </c>
      <c r="GH733">
        <v>13.171864118171003</v>
      </c>
      <c r="GI733">
        <v>17.064713475397919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64.453724812252659</v>
      </c>
      <c r="AO734">
        <v>23.697309278359548</v>
      </c>
      <c r="AP734">
        <v>156.408994945844</v>
      </c>
      <c r="AQ734">
        <v>131.8233912423724</v>
      </c>
      <c r="AR734">
        <v>22.159002871255282</v>
      </c>
      <c r="AS734">
        <v>108.50562806698485</v>
      </c>
      <c r="AT734">
        <v>16.353159983887355</v>
      </c>
      <c r="AU734">
        <v>22.641418010950677</v>
      </c>
      <c r="AV734"/>
      <c r="AW734"/>
      <c r="FY734" s="211">
        <v>729</v>
      </c>
      <c r="FZ734">
        <v>1.502644410736282</v>
      </c>
      <c r="GA734">
        <v>10.806843767258153</v>
      </c>
      <c r="GB734">
        <v>24.04896247601819</v>
      </c>
      <c r="GC734">
        <v>15.811216156496201</v>
      </c>
      <c r="GD734">
        <v>9.9046698938563988</v>
      </c>
      <c r="GE734">
        <v>18.06153606027171</v>
      </c>
      <c r="GF734">
        <v>17.658870466404856</v>
      </c>
      <c r="GG734">
        <v>17.541075994223217</v>
      </c>
      <c r="GH734">
        <v>14.718394274928848</v>
      </c>
      <c r="GI734">
        <v>17.927674698876402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94.594538354610307</v>
      </c>
      <c r="AO735">
        <v>33.709091520680843</v>
      </c>
      <c r="AP735">
        <v>254.52933059088127</v>
      </c>
      <c r="AQ735">
        <v>211.57264283160583</v>
      </c>
      <c r="AR735">
        <v>30.3176827560285</v>
      </c>
      <c r="AS735">
        <v>149.74757623868805</v>
      </c>
      <c r="AT735">
        <v>23.346315204416879</v>
      </c>
      <c r="AU735">
        <v>44.540921527008557</v>
      </c>
      <c r="AV735"/>
      <c r="AW735"/>
      <c r="FY735" s="211">
        <v>730</v>
      </c>
      <c r="FZ735">
        <v>3.9427244361648404</v>
      </c>
      <c r="GA735">
        <v>12.480189871960238</v>
      </c>
      <c r="GB735">
        <v>20.158548605930218</v>
      </c>
      <c r="GC735">
        <v>13.464259600714993</v>
      </c>
      <c r="GD735">
        <v>11.328665966052622</v>
      </c>
      <c r="GE735">
        <v>26.570737290943445</v>
      </c>
      <c r="GF735">
        <v>31.48348280944672</v>
      </c>
      <c r="GG735">
        <v>19.363562098066467</v>
      </c>
      <c r="GH735">
        <v>15.371525200902751</v>
      </c>
      <c r="GI735">
        <v>20.890717080432221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96.187185830849955</v>
      </c>
      <c r="AO736">
        <v>37.015433959126597</v>
      </c>
      <c r="AP736">
        <v>245.34559070200314</v>
      </c>
      <c r="AQ736">
        <v>203.65595279623793</v>
      </c>
      <c r="AR736">
        <v>34.062806807737722</v>
      </c>
      <c r="AS736">
        <v>159.31977996955109</v>
      </c>
      <c r="AT736">
        <v>24.823401583900658</v>
      </c>
      <c r="AU736">
        <v>29.244623837393682</v>
      </c>
      <c r="AV736"/>
      <c r="AW736"/>
      <c r="FY736" s="211">
        <v>731</v>
      </c>
      <c r="FZ736">
        <v>1.4003276705750543</v>
      </c>
      <c r="GA736">
        <v>3.0890913530813471</v>
      </c>
      <c r="GB736">
        <v>17.006846165245161</v>
      </c>
      <c r="GC736">
        <v>12.632236558808261</v>
      </c>
      <c r="GD736">
        <v>10.53127489606158</v>
      </c>
      <c r="GE736">
        <v>21.875924989190075</v>
      </c>
      <c r="GF736">
        <v>27.815108545549496</v>
      </c>
      <c r="GG736">
        <v>21.314185904381347</v>
      </c>
      <c r="GH736">
        <v>9.6376383858649994</v>
      </c>
      <c r="GI736">
        <v>17.635765670407419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79.551485937568714</v>
      </c>
      <c r="AO737">
        <v>28.391529772204201</v>
      </c>
      <c r="AP737">
        <v>174.6886187415152</v>
      </c>
      <c r="AQ737">
        <v>150.27364878225413</v>
      </c>
      <c r="AR737">
        <v>25.927495464430336</v>
      </c>
      <c r="AS737">
        <v>129.76016744710103</v>
      </c>
      <c r="AT737" t="e">
        <v>#DIV/0!</v>
      </c>
      <c r="AU737" t="e">
        <v>#DIV/0!</v>
      </c>
      <c r="AV737"/>
      <c r="AW737"/>
      <c r="FY737" s="211">
        <v>732</v>
      </c>
      <c r="FZ737">
        <v>1.0990974384883663</v>
      </c>
      <c r="GA737">
        <v>14.195731242741875</v>
      </c>
      <c r="GB737">
        <v>18.957289425694292</v>
      </c>
      <c r="GC737">
        <v>18.240162827046564</v>
      </c>
      <c r="GD737">
        <v>15.26653034242176</v>
      </c>
      <c r="GE737">
        <v>25.141869333195007</v>
      </c>
      <c r="GF737">
        <v>43.060553539425698</v>
      </c>
      <c r="GG737">
        <v>30.501594518012791</v>
      </c>
      <c r="GH737">
        <v>15.335604168577637</v>
      </c>
      <c r="GI737">
        <v>24.662825860335385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83.006278489951612</v>
      </c>
      <c r="AO738">
        <v>30.400076554342757</v>
      </c>
      <c r="AP738">
        <v>194.5804443519703</v>
      </c>
      <c r="AQ738">
        <v>167.06557469173018</v>
      </c>
      <c r="AR738">
        <v>27.440834898425251</v>
      </c>
      <c r="AS738">
        <v>133.96795558420749</v>
      </c>
      <c r="AT738">
        <v>20.957996719938478</v>
      </c>
      <c r="AU738">
        <v>34.101937918390583</v>
      </c>
      <c r="AV738"/>
      <c r="AW738"/>
      <c r="FY738" s="211">
        <v>733</v>
      </c>
      <c r="FZ738">
        <v>6.3021005410618045</v>
      </c>
      <c r="GA738">
        <v>23.975177938167953</v>
      </c>
      <c r="GB738">
        <v>43.077187278302141</v>
      </c>
      <c r="GC738">
        <v>27.608119378976177</v>
      </c>
      <c r="GD738">
        <v>11.667968987526818</v>
      </c>
      <c r="GE738">
        <v>13.580087327920694</v>
      </c>
      <c r="GF738">
        <v>25.910581374373329</v>
      </c>
      <c r="GG738">
        <v>26.677341465010002</v>
      </c>
      <c r="GH738">
        <v>16.732693761638977</v>
      </c>
      <c r="GI738">
        <v>26.330638871261261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73.16280588624339</v>
      </c>
      <c r="AO739">
        <v>26.281228465158268</v>
      </c>
      <c r="AP739">
        <v>174.7360691429086</v>
      </c>
      <c r="AQ739">
        <v>145.92022917524523</v>
      </c>
      <c r="AR739">
        <v>23.758802237824362</v>
      </c>
      <c r="AS739">
        <v>115.34791909286592</v>
      </c>
      <c r="AT739" t="e">
        <v>#DIV/0!</v>
      </c>
      <c r="AU739" t="e">
        <v>#DIV/0!</v>
      </c>
      <c r="AV739"/>
      <c r="AW739"/>
      <c r="FY739" s="211">
        <v>734</v>
      </c>
      <c r="FZ739">
        <v>3.328697101394769</v>
      </c>
      <c r="GA739">
        <v>12.016055923561629</v>
      </c>
      <c r="GB739">
        <v>17.331623700829216</v>
      </c>
      <c r="GC739">
        <v>16.684471203276125</v>
      </c>
      <c r="GD739">
        <v>13.758203054935667</v>
      </c>
      <c r="GE739">
        <v>17.881473296015937</v>
      </c>
      <c r="GF739">
        <v>14.992882464729018</v>
      </c>
      <c r="GG739">
        <v>13.693196262173668</v>
      </c>
      <c r="GH739">
        <v>10.368367810885177</v>
      </c>
      <c r="GI739">
        <v>17.598659616084731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96.500078365255959</v>
      </c>
      <c r="AO740">
        <v>34.052337775838637</v>
      </c>
      <c r="AP740">
        <v>234.6740737162624</v>
      </c>
      <c r="AQ740">
        <v>189.03650696712933</v>
      </c>
      <c r="AR740">
        <v>31.20363118118788</v>
      </c>
      <c r="AS740">
        <v>151.65198162051004</v>
      </c>
      <c r="AT740">
        <v>22.374099741585699</v>
      </c>
      <c r="AU740">
        <v>37.564036918432286</v>
      </c>
      <c r="AV740"/>
      <c r="AW740"/>
      <c r="FY740" s="211">
        <v>735</v>
      </c>
      <c r="FZ740">
        <v>2.234537203443451</v>
      </c>
      <c r="GA740">
        <v>15.583151942278924</v>
      </c>
      <c r="GB740">
        <v>22.66875193976211</v>
      </c>
      <c r="GC740">
        <v>14.236210847976061</v>
      </c>
      <c r="GD740">
        <v>9.9747306519536387</v>
      </c>
      <c r="GE740">
        <v>23.261437712502165</v>
      </c>
      <c r="GF740">
        <v>29.0480426130027</v>
      </c>
      <c r="GG740">
        <v>17.305178324867921</v>
      </c>
      <c r="GH740">
        <v>11.11542459742072</v>
      </c>
      <c r="GI740">
        <v>19.326906090098728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63.292963701606276</v>
      </c>
      <c r="AO741">
        <v>22.13284298159833</v>
      </c>
      <c r="AP741">
        <v>127.69556394971387</v>
      </c>
      <c r="AQ741">
        <v>115.85081857987421</v>
      </c>
      <c r="AR741">
        <v>20.616237265790119</v>
      </c>
      <c r="AS741">
        <v>101.41951091387106</v>
      </c>
      <c r="AT741">
        <v>14.871732864648193</v>
      </c>
      <c r="AU741">
        <v>29.535876207008485</v>
      </c>
      <c r="AV741"/>
      <c r="AW741"/>
      <c r="FY741" s="211">
        <v>736</v>
      </c>
      <c r="FZ741">
        <v>8.4080813410120729</v>
      </c>
      <c r="GA741">
        <v>26.128416360241964</v>
      </c>
      <c r="GB741">
        <v>30.821156852151876</v>
      </c>
      <c r="GC741">
        <v>16.339628490219823</v>
      </c>
      <c r="GD741">
        <v>8.496481165466248</v>
      </c>
      <c r="GE741">
        <v>23.807009099805938</v>
      </c>
      <c r="GF741">
        <v>29.978300913843462</v>
      </c>
      <c r="GG741">
        <v>20.058817993039682</v>
      </c>
      <c r="GH741">
        <v>18.633242514683079</v>
      </c>
      <c r="GI741">
        <v>22.749404101982044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88.665408232301274</v>
      </c>
      <c r="AO742">
        <v>34.542293664571901</v>
      </c>
      <c r="AP742">
        <v>223.30052946320561</v>
      </c>
      <c r="AQ742">
        <v>187.69360762167381</v>
      </c>
      <c r="AR742">
        <v>31.284608530807091</v>
      </c>
      <c r="AS742">
        <v>152.06720891872104</v>
      </c>
      <c r="AT742">
        <v>23.279356801976377</v>
      </c>
      <c r="AU742">
        <v>35.096027766514517</v>
      </c>
      <c r="AV742"/>
      <c r="AW742"/>
      <c r="FY742" s="211">
        <v>737</v>
      </c>
      <c r="FZ742">
        <v>7.7264444311545653</v>
      </c>
      <c r="GA742">
        <v>31.745851183729634</v>
      </c>
      <c r="GB742">
        <v>28.055543640388894</v>
      </c>
      <c r="GC742">
        <v>11.588118188436377</v>
      </c>
      <c r="GD742">
        <v>9.7060798658911676</v>
      </c>
      <c r="GE742">
        <v>31.915245069161475</v>
      </c>
      <c r="GF742">
        <v>30.850674955818896</v>
      </c>
      <c r="GG742">
        <v>14.277815633910656</v>
      </c>
      <c r="GH742">
        <v>13.733685053432133</v>
      </c>
      <c r="GI742">
        <v>22.00065918750072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77.949034399245733</v>
      </c>
      <c r="AO743">
        <v>30.261835958830364</v>
      </c>
      <c r="AP743">
        <v>192.95988592517301</v>
      </c>
      <c r="AQ743">
        <v>166.75367375873296</v>
      </c>
      <c r="AR743">
        <v>27.538695876894973</v>
      </c>
      <c r="AS743">
        <v>139.36617701857796</v>
      </c>
      <c r="AT743" t="e">
        <v>#DIV/0!</v>
      </c>
      <c r="AU743" t="e">
        <v>#DIV/0!</v>
      </c>
      <c r="AV743"/>
      <c r="AW743"/>
      <c r="FY743" s="211">
        <v>738</v>
      </c>
      <c r="FZ743">
        <v>2.1313459521631213</v>
      </c>
      <c r="GA743">
        <v>19.216462078692249</v>
      </c>
      <c r="GB743">
        <v>22.46507075131305</v>
      </c>
      <c r="GC743">
        <v>13.851777659098477</v>
      </c>
      <c r="GD743">
        <v>12.322783058152659</v>
      </c>
      <c r="GE743">
        <v>27.630483537818751</v>
      </c>
      <c r="GF743">
        <v>30.128567942126285</v>
      </c>
      <c r="GG743">
        <v>21.639735377807806</v>
      </c>
      <c r="GH743">
        <v>17.919008641024543</v>
      </c>
      <c r="GI743">
        <v>21.881075110718857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77.408853477279138</v>
      </c>
      <c r="AO744">
        <v>25.853236164114453</v>
      </c>
      <c r="AP744">
        <v>173.6985109698029</v>
      </c>
      <c r="AQ744">
        <v>148.91755388626811</v>
      </c>
      <c r="AR744">
        <v>23.854292732584916</v>
      </c>
      <c r="AS744">
        <v>119.77480989338972</v>
      </c>
      <c r="AT744" t="e">
        <v>#DIV/0!</v>
      </c>
      <c r="AU744" t="e">
        <v>#DIV/0!</v>
      </c>
      <c r="AV744"/>
      <c r="AW744"/>
      <c r="FY744" s="211">
        <v>739</v>
      </c>
      <c r="FZ744">
        <v>3.4601730749611779</v>
      </c>
      <c r="GA744">
        <v>5.826581101147287</v>
      </c>
      <c r="GB744">
        <v>17.901319079975579</v>
      </c>
      <c r="GC744">
        <v>15.798747154920516</v>
      </c>
      <c r="GD744">
        <v>10.248774602402626</v>
      </c>
      <c r="GE744">
        <v>19.150809323069289</v>
      </c>
      <c r="GF744">
        <v>22.696591005848372</v>
      </c>
      <c r="GG744">
        <v>17.355221075898232</v>
      </c>
      <c r="GH744">
        <v>14.787138220130975</v>
      </c>
      <c r="GI744">
        <v>17.767965517284239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67.278925633939167</v>
      </c>
      <c r="AO745">
        <v>27.417713568161997</v>
      </c>
      <c r="AP745">
        <v>177.13369917339696</v>
      </c>
      <c r="AQ745">
        <v>147.98188819907028</v>
      </c>
      <c r="AR745">
        <v>24.941766869620292</v>
      </c>
      <c r="AS745">
        <v>117.28091164468179</v>
      </c>
      <c r="AT745" t="e">
        <v>#DIV/0!</v>
      </c>
      <c r="AU745" t="e">
        <v>#DIV/0!</v>
      </c>
      <c r="AV745"/>
      <c r="AW745"/>
      <c r="FY745" s="211">
        <v>740</v>
      </c>
      <c r="FZ745">
        <v>3.938615262541334</v>
      </c>
      <c r="GA745">
        <v>17.630384104014347</v>
      </c>
      <c r="GB745">
        <v>15.267743233937924</v>
      </c>
      <c r="GC745">
        <v>12.829422898733977</v>
      </c>
      <c r="GD745">
        <v>13.799295868522996</v>
      </c>
      <c r="GE745">
        <v>26.322682856798355</v>
      </c>
      <c r="GF745">
        <v>22.825187984498431</v>
      </c>
      <c r="GG745">
        <v>7.3986416720236399</v>
      </c>
      <c r="GH745">
        <v>6.1502213104157537</v>
      </c>
      <c r="GI745">
        <v>17.998920393720155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80.99601526974439</v>
      </c>
      <c r="AO746">
        <v>31.272767940799934</v>
      </c>
      <c r="AP746">
        <v>206.44613994909852</v>
      </c>
      <c r="AQ746">
        <v>175.05441296061448</v>
      </c>
      <c r="AR746">
        <v>28.67999334438024</v>
      </c>
      <c r="AS746">
        <v>140.89523679291577</v>
      </c>
      <c r="AT746">
        <v>22.033016530951784</v>
      </c>
      <c r="AU746">
        <v>45.417729486626271</v>
      </c>
      <c r="AV746"/>
      <c r="AW746"/>
      <c r="FY746" s="211">
        <v>741</v>
      </c>
      <c r="FZ746">
        <v>4.9595814092715464</v>
      </c>
      <c r="GA746">
        <v>16.665252886852187</v>
      </c>
      <c r="GB746">
        <v>29.21371300839154</v>
      </c>
      <c r="GC746">
        <v>18.744638295557369</v>
      </c>
      <c r="GD746">
        <v>7.116635245014848</v>
      </c>
      <c r="GE746">
        <v>7.7493029474039972</v>
      </c>
      <c r="GF746">
        <v>10.086514438733962</v>
      </c>
      <c r="GG746">
        <v>14.001720314151164</v>
      </c>
      <c r="GH746">
        <v>16.209303666084864</v>
      </c>
      <c r="GI746">
        <v>16.832512532197743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67.584415684329798</v>
      </c>
      <c r="AO747">
        <v>26.763920186880931</v>
      </c>
      <c r="AP747">
        <v>166.84053649712297</v>
      </c>
      <c r="AQ747">
        <v>142.93840013916474</v>
      </c>
      <c r="AR747">
        <v>24.460719899462187</v>
      </c>
      <c r="AS747">
        <v>117.09244073322188</v>
      </c>
      <c r="AT747">
        <v>18.131404695511318</v>
      </c>
      <c r="AU747">
        <v>10.315104608701319</v>
      </c>
      <c r="AV747"/>
      <c r="AW747"/>
      <c r="FY747" s="211">
        <v>742</v>
      </c>
      <c r="FZ747">
        <v>1.8081296799922877</v>
      </c>
      <c r="GA747">
        <v>6.9776268829855894</v>
      </c>
      <c r="GB747">
        <v>16.031510576337833</v>
      </c>
      <c r="GC747">
        <v>11.701561763868945</v>
      </c>
      <c r="GD747">
        <v>9.7013638395108401</v>
      </c>
      <c r="GE747">
        <v>20.864885179800609</v>
      </c>
      <c r="GF747">
        <v>21.398771662967683</v>
      </c>
      <c r="GG747">
        <v>19.569098904221967</v>
      </c>
      <c r="GH747">
        <v>17.152483928426463</v>
      </c>
      <c r="GI747">
        <v>16.935242163819414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89.528398675269855</v>
      </c>
      <c r="AO748">
        <v>37.313966754293531</v>
      </c>
      <c r="AP748">
        <v>241.24859864307535</v>
      </c>
      <c r="AQ748">
        <v>206.46125869593936</v>
      </c>
      <c r="AR748">
        <v>33.905438961013658</v>
      </c>
      <c r="AS748">
        <v>156.06192752012061</v>
      </c>
      <c r="AT748">
        <v>26.21146801477046</v>
      </c>
      <c r="AU748">
        <v>55.14930274340697</v>
      </c>
      <c r="AV748"/>
      <c r="AW748"/>
      <c r="FY748" s="211">
        <v>743</v>
      </c>
      <c r="FZ748">
        <v>1.2500039465454504</v>
      </c>
      <c r="GA748">
        <v>13.340546724336694</v>
      </c>
      <c r="GB748">
        <v>21.609998281640223</v>
      </c>
      <c r="GC748">
        <v>17.528034482489758</v>
      </c>
      <c r="GD748">
        <v>11.749926725780767</v>
      </c>
      <c r="GE748">
        <v>15.482916320044536</v>
      </c>
      <c r="GF748">
        <v>15.176805528127019</v>
      </c>
      <c r="GG748">
        <v>5.8809077641373095</v>
      </c>
      <c r="GH748">
        <v>3.5996397508458555</v>
      </c>
      <c r="GI748">
        <v>16.124318999642814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112.58156282811346</v>
      </c>
      <c r="AO749">
        <v>39.743991342112913</v>
      </c>
      <c r="AP749">
        <v>277.01979811690495</v>
      </c>
      <c r="AQ749">
        <v>221.86189692423915</v>
      </c>
      <c r="AR749">
        <v>36.998007610507017</v>
      </c>
      <c r="AS749">
        <v>176.92664515367494</v>
      </c>
      <c r="AT749">
        <v>26.441956801251735</v>
      </c>
      <c r="AU749">
        <v>43.982299293529067</v>
      </c>
      <c r="AV749"/>
      <c r="AW749"/>
      <c r="FY749" s="211">
        <v>744</v>
      </c>
      <c r="FZ749">
        <v>3.3142764448292756</v>
      </c>
      <c r="GA749">
        <v>19.20653712623082</v>
      </c>
      <c r="GB749">
        <v>29.167216049772637</v>
      </c>
      <c r="GC749">
        <v>17.428820094495954</v>
      </c>
      <c r="GD749">
        <v>11.589375179483451</v>
      </c>
      <c r="GE749">
        <v>19.79471952347167</v>
      </c>
      <c r="GF749">
        <v>19.295676168328811</v>
      </c>
      <c r="GG749">
        <v>14.010117222155461</v>
      </c>
      <c r="GH749">
        <v>10.836137140837462</v>
      </c>
      <c r="GI749">
        <v>20.149817528200565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68.676250210007481</v>
      </c>
      <c r="AO750">
        <v>26.777309021986667</v>
      </c>
      <c r="AP750">
        <v>152.62264042192143</v>
      </c>
      <c r="AQ750">
        <v>137.65363043388595</v>
      </c>
      <c r="AR750">
        <v>24.499229353755606</v>
      </c>
      <c r="AS750">
        <v>118.29830421494167</v>
      </c>
      <c r="AT750" t="e">
        <v>#DIV/0!</v>
      </c>
      <c r="AU750" t="e">
        <v>#DIV/0!</v>
      </c>
      <c r="AV750"/>
      <c r="AW750"/>
      <c r="FY750" s="211">
        <v>745</v>
      </c>
      <c r="FZ750">
        <v>3.1921007355146971</v>
      </c>
      <c r="GA750">
        <v>10.246859887593256</v>
      </c>
      <c r="GB750">
        <v>17.378890030315354</v>
      </c>
      <c r="GC750">
        <v>14.831237247859239</v>
      </c>
      <c r="GD750">
        <v>12.819439844533793</v>
      </c>
      <c r="GE750">
        <v>28.92549380945842</v>
      </c>
      <c r="GF750">
        <v>44.300979306803328</v>
      </c>
      <c r="GG750">
        <v>26.529508151114776</v>
      </c>
      <c r="GH750">
        <v>12.410947332402925</v>
      </c>
      <c r="GI750">
        <v>22.887044577112405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73.218715052405258</v>
      </c>
      <c r="AO751">
        <v>29.495601142763928</v>
      </c>
      <c r="AP751">
        <v>197.39053929770751</v>
      </c>
      <c r="AQ751">
        <v>164.75437192330642</v>
      </c>
      <c r="AR751">
        <v>26.422660172969731</v>
      </c>
      <c r="AS751">
        <v>124.59934033822175</v>
      </c>
      <c r="AT751" t="e">
        <v>#DIV/0!</v>
      </c>
      <c r="AU751" t="e">
        <v>#DIV/0!</v>
      </c>
      <c r="AV751"/>
      <c r="AW751"/>
      <c r="FY751" s="211">
        <v>746</v>
      </c>
      <c r="FZ751">
        <v>2.6905182534574457</v>
      </c>
      <c r="GA751">
        <v>13.821493306501392</v>
      </c>
      <c r="GB751">
        <v>12.917075867742792</v>
      </c>
      <c r="GC751">
        <v>9.7595816118869223</v>
      </c>
      <c r="GD751">
        <v>11.914710733382211</v>
      </c>
      <c r="GE751">
        <v>20.433054957192525</v>
      </c>
      <c r="GF751">
        <v>34.403789439234096</v>
      </c>
      <c r="GG751">
        <v>41.577802354651425</v>
      </c>
      <c r="GH751">
        <v>27.74988142764283</v>
      </c>
      <c r="GI751">
        <v>21.734527637745693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104.52893855809039</v>
      </c>
      <c r="AO752">
        <v>34.470598042035377</v>
      </c>
      <c r="AP752">
        <v>252.78661118011215</v>
      </c>
      <c r="AQ752">
        <v>205.4205388324462</v>
      </c>
      <c r="AR752">
        <v>31.095209535986587</v>
      </c>
      <c r="AS752">
        <v>163.16059151092509</v>
      </c>
      <c r="AT752">
        <v>23.034545191312109</v>
      </c>
      <c r="AU752">
        <v>49.836063734761169</v>
      </c>
      <c r="AV752"/>
      <c r="AW752"/>
      <c r="FY752" s="211">
        <v>747</v>
      </c>
      <c r="FZ752">
        <v>6.0736356255335453</v>
      </c>
      <c r="GA752">
        <v>20.899014434638225</v>
      </c>
      <c r="GB752">
        <v>14.660764466088404</v>
      </c>
      <c r="GC752">
        <v>6.4592155989585347</v>
      </c>
      <c r="GD752">
        <v>8.5875240214338593</v>
      </c>
      <c r="GE752">
        <v>20.145465516713493</v>
      </c>
      <c r="GF752">
        <v>29.064297580419264</v>
      </c>
      <c r="GG752">
        <v>33.748204879657365</v>
      </c>
      <c r="GH752">
        <v>26.30504387371133</v>
      </c>
      <c r="GI752">
        <v>19.421532571453376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101.7688514142577</v>
      </c>
      <c r="AO753">
        <v>33.486179904232927</v>
      </c>
      <c r="AP753">
        <v>241.15347568978581</v>
      </c>
      <c r="AQ753">
        <v>201.60011720942452</v>
      </c>
      <c r="AR753">
        <v>29.714981312336338</v>
      </c>
      <c r="AS753">
        <v>151.61588525694847</v>
      </c>
      <c r="AT753" t="e">
        <v>#DIV/0!</v>
      </c>
      <c r="AU753" t="e">
        <v>#DIV/0!</v>
      </c>
      <c r="AV753"/>
      <c r="AW753"/>
      <c r="FY753" s="211">
        <v>748</v>
      </c>
      <c r="FZ753">
        <v>0.66664478292654428</v>
      </c>
      <c r="GA753">
        <v>9.9790343579984793</v>
      </c>
      <c r="GB753">
        <v>13.248154352841535</v>
      </c>
      <c r="GC753">
        <v>10.643559044664549</v>
      </c>
      <c r="GD753">
        <v>9.7663709088118118</v>
      </c>
      <c r="GE753">
        <v>21.59419737445889</v>
      </c>
      <c r="GF753">
        <v>37.577731640042344</v>
      </c>
      <c r="GG753">
        <v>25.138511784252238</v>
      </c>
      <c r="GH753">
        <v>10.310469045115617</v>
      </c>
      <c r="GI753">
        <v>17.9970576556826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83.187709773941677</v>
      </c>
      <c r="AO754">
        <v>33.298509229828596</v>
      </c>
      <c r="AP754">
        <v>222.80593107758102</v>
      </c>
      <c r="AQ754">
        <v>189.18631010891579</v>
      </c>
      <c r="AR754">
        <v>29.911567711387505</v>
      </c>
      <c r="AS754">
        <v>143.41711175445207</v>
      </c>
      <c r="AT754" t="e">
        <v>#DIV/0!</v>
      </c>
      <c r="AU754" t="e">
        <v>#DIV/0!</v>
      </c>
      <c r="AV754"/>
      <c r="AW754"/>
      <c r="FY754" s="211">
        <v>749</v>
      </c>
      <c r="FZ754">
        <v>6.0810289523238126</v>
      </c>
      <c r="GA754">
        <v>18.056723382780909</v>
      </c>
      <c r="GB754">
        <v>10.98582523194845</v>
      </c>
      <c r="GC754">
        <v>9.6624192971740239</v>
      </c>
      <c r="GD754">
        <v>12.373736177747341</v>
      </c>
      <c r="GE754">
        <v>28.413434082212206</v>
      </c>
      <c r="GF754">
        <v>32.720331470112598</v>
      </c>
      <c r="GG754">
        <v>13.661602202254446</v>
      </c>
      <c r="GH754">
        <v>6.0620094391510833</v>
      </c>
      <c r="GI754">
        <v>18.241195224931843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71.852180911942426</v>
      </c>
      <c r="AO755">
        <v>26.857210114228355</v>
      </c>
      <c r="AP755">
        <v>167.55654735474587</v>
      </c>
      <c r="AQ755">
        <v>144.99332015563829</v>
      </c>
      <c r="AR755">
        <v>24.390644052651293</v>
      </c>
      <c r="AS755">
        <v>114.94132583483827</v>
      </c>
      <c r="AT755">
        <v>18.22082214273134</v>
      </c>
      <c r="AU755">
        <v>24.321262568931935</v>
      </c>
      <c r="AV755"/>
      <c r="AW755"/>
      <c r="FY755" s="211">
        <v>750</v>
      </c>
      <c r="FZ755">
        <v>1.4424615790611566</v>
      </c>
      <c r="GA755">
        <v>14.54146592022872</v>
      </c>
      <c r="GB755">
        <v>11.579055475916446</v>
      </c>
      <c r="GC755">
        <v>10.373972919753626</v>
      </c>
      <c r="GD755">
        <v>10.82919852439945</v>
      </c>
      <c r="GE755">
        <v>16.592473631035361</v>
      </c>
      <c r="GF755">
        <v>14.970043778510083</v>
      </c>
      <c r="GG755">
        <v>15.704123383367527</v>
      </c>
      <c r="GH755">
        <v>17.886185728147534</v>
      </c>
      <c r="GI755">
        <v>15.319881660063521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72.186684477454747</v>
      </c>
      <c r="AO756">
        <v>27.146482681260636</v>
      </c>
      <c r="AP756">
        <v>157.56811886133278</v>
      </c>
      <c r="AQ756">
        <v>144.16111558520691</v>
      </c>
      <c r="AR756">
        <v>24.477815070826374</v>
      </c>
      <c r="AS756">
        <v>120.69007382433196</v>
      </c>
      <c r="AT756">
        <v>19.010126357181512</v>
      </c>
      <c r="AU756">
        <v>54.127920974939187</v>
      </c>
      <c r="AV756"/>
      <c r="AW756"/>
      <c r="FY756" s="211">
        <v>751</v>
      </c>
      <c r="FZ756">
        <v>3.0566876450531657</v>
      </c>
      <c r="GA756">
        <v>16.10809428417739</v>
      </c>
      <c r="GB756">
        <v>20.607408108719287</v>
      </c>
      <c r="GC756">
        <v>13.941911931307313</v>
      </c>
      <c r="GD756">
        <v>12.793148753473567</v>
      </c>
      <c r="GE756">
        <v>25.410762889250041</v>
      </c>
      <c r="GF756">
        <v>27.46488471557138</v>
      </c>
      <c r="GG756">
        <v>23.864178491386031</v>
      </c>
      <c r="GH756">
        <v>20.490586184926414</v>
      </c>
      <c r="GI756">
        <v>21.739379649976264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72.175531198021091</v>
      </c>
      <c r="AO757">
        <v>25.193543433900572</v>
      </c>
      <c r="AP757">
        <v>176.01524934992938</v>
      </c>
      <c r="AQ757">
        <v>141.57917474365922</v>
      </c>
      <c r="AR757">
        <v>23.607771003250164</v>
      </c>
      <c r="AS757">
        <v>113.20796690784161</v>
      </c>
      <c r="AT757">
        <v>16.805437182426463</v>
      </c>
      <c r="AU757">
        <v>23.417816755674423</v>
      </c>
      <c r="AV757"/>
      <c r="AW757"/>
      <c r="FY757" s="211">
        <v>752</v>
      </c>
      <c r="FZ757">
        <v>1.3163134036941249</v>
      </c>
      <c r="GA757">
        <v>14.871042215712871</v>
      </c>
      <c r="GB757">
        <v>28.192681121823494</v>
      </c>
      <c r="GC757">
        <v>17.132480628646331</v>
      </c>
      <c r="GD757">
        <v>9.5223764062401663</v>
      </c>
      <c r="GE757">
        <v>22.6995116565888</v>
      </c>
      <c r="GF757">
        <v>33.875348126476595</v>
      </c>
      <c r="GG757">
        <v>23.460817807475951</v>
      </c>
      <c r="GH757">
        <v>14.597359490787166</v>
      </c>
      <c r="GI757">
        <v>21.788210692368317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60.670807083484021</v>
      </c>
      <c r="AO758">
        <v>25.775036535631035</v>
      </c>
      <c r="AP758">
        <v>165.96303855163234</v>
      </c>
      <c r="AQ758">
        <v>142.14067458193162</v>
      </c>
      <c r="AR758">
        <v>23.3265921229798</v>
      </c>
      <c r="AS758">
        <v>107.06401949333667</v>
      </c>
      <c r="AT758" t="e">
        <v>#DIV/0!</v>
      </c>
      <c r="AU758" t="e">
        <v>#DIV/0!</v>
      </c>
      <c r="AV758"/>
      <c r="AW758"/>
      <c r="FY758" s="211">
        <v>753</v>
      </c>
      <c r="FZ758">
        <v>6.9718836136092985</v>
      </c>
      <c r="GA758">
        <v>26.043120390142896</v>
      </c>
      <c r="GB758">
        <v>15.176130361928314</v>
      </c>
      <c r="GC758">
        <v>12.32723075808957</v>
      </c>
      <c r="GD758">
        <v>15.903554624918442</v>
      </c>
      <c r="GE758">
        <v>25.785298698115202</v>
      </c>
      <c r="GF758">
        <v>19.107814084386451</v>
      </c>
      <c r="GG758">
        <v>10.650452393653991</v>
      </c>
      <c r="GH758">
        <v>7.5427680254076979</v>
      </c>
      <c r="GI758">
        <v>19.202977843563897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63.281218486259846</v>
      </c>
      <c r="AO759">
        <v>24.296107128559079</v>
      </c>
      <c r="AP759">
        <v>138.98459335637705</v>
      </c>
      <c r="AQ759">
        <v>121.74309852359042</v>
      </c>
      <c r="AR759">
        <v>22.348830940289464</v>
      </c>
      <c r="AS759">
        <v>107.82634386003809</v>
      </c>
      <c r="AT759">
        <v>16.507878251207625</v>
      </c>
      <c r="AU759">
        <v>37.999518926336677</v>
      </c>
      <c r="AV759"/>
      <c r="AW759"/>
      <c r="FY759" s="211">
        <v>754</v>
      </c>
      <c r="FZ759">
        <v>1.0476342447248439</v>
      </c>
      <c r="GA759">
        <v>6.4301743105887166</v>
      </c>
      <c r="GB759">
        <v>17.703808650464069</v>
      </c>
      <c r="GC759">
        <v>15.99180805602083</v>
      </c>
      <c r="GD759">
        <v>10.233142873569207</v>
      </c>
      <c r="GE759">
        <v>19.696554567958319</v>
      </c>
      <c r="GF759">
        <v>45.633962315338465</v>
      </c>
      <c r="GG759">
        <v>36.779880374744586</v>
      </c>
      <c r="GH759">
        <v>17.425931650965541</v>
      </c>
      <c r="GI759">
        <v>22.141517985321773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81.537806037836603</v>
      </c>
      <c r="AO760">
        <v>30.245959438888327</v>
      </c>
      <c r="AP760">
        <v>196.26580429425502</v>
      </c>
      <c r="AQ760">
        <v>164.79269247780613</v>
      </c>
      <c r="AR760">
        <v>28.057679858252026</v>
      </c>
      <c r="AS760">
        <v>134.58065566494656</v>
      </c>
      <c r="AT760">
        <v>20.825427979996171</v>
      </c>
      <c r="AU760">
        <v>39.534105806288068</v>
      </c>
      <c r="AV760"/>
      <c r="AW760"/>
      <c r="FY760" s="211">
        <v>755</v>
      </c>
      <c r="FZ760">
        <v>7.4782926032013393</v>
      </c>
      <c r="GA760">
        <v>11.522754292644798</v>
      </c>
      <c r="GB760">
        <v>16.050523264597423</v>
      </c>
      <c r="GC760">
        <v>15.753412431902269</v>
      </c>
      <c r="GD760">
        <v>11.085947617818292</v>
      </c>
      <c r="GE760">
        <v>14.975308181825927</v>
      </c>
      <c r="GF760">
        <v>22.048903039338317</v>
      </c>
      <c r="GG760">
        <v>23.490336461229159</v>
      </c>
      <c r="GH760">
        <v>15.05761356796916</v>
      </c>
      <c r="GI760">
        <v>18.331486064043826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82.785858139306427</v>
      </c>
      <c r="AO761">
        <v>34.654414977185581</v>
      </c>
      <c r="AP761">
        <v>226.21560982375809</v>
      </c>
      <c r="AQ761">
        <v>193.52250092270816</v>
      </c>
      <c r="AR761">
        <v>31.177148613646345</v>
      </c>
      <c r="AS761">
        <v>152.84959928455797</v>
      </c>
      <c r="AT761">
        <v>23.845614870955345</v>
      </c>
      <c r="AU761">
        <v>19.915924777318207</v>
      </c>
      <c r="AV761"/>
      <c r="AW761"/>
      <c r="FY761" s="211">
        <v>756</v>
      </c>
      <c r="FZ761">
        <v>2.0535339946006714</v>
      </c>
      <c r="GA761">
        <v>17.557078739738383</v>
      </c>
      <c r="GB761">
        <v>26.360372811530077</v>
      </c>
      <c r="GC761">
        <v>15.09208078774016</v>
      </c>
      <c r="GD761">
        <v>9.0696108134604305</v>
      </c>
      <c r="GE761">
        <v>16.794081579052847</v>
      </c>
      <c r="GF761">
        <v>17.377090469384278</v>
      </c>
      <c r="GG761">
        <v>13.882799188923281</v>
      </c>
      <c r="GH761">
        <v>11.970161181283475</v>
      </c>
      <c r="GI761">
        <v>17.58820289928536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76.953876901192629</v>
      </c>
      <c r="AO762">
        <v>32.883800088341914</v>
      </c>
      <c r="AP762">
        <v>235.5108963647121</v>
      </c>
      <c r="AQ762">
        <v>197.00243558943731</v>
      </c>
      <c r="AR762">
        <v>30.330371636951597</v>
      </c>
      <c r="AS762">
        <v>141.50103446071532</v>
      </c>
      <c r="AT762">
        <v>22.891105566735629</v>
      </c>
      <c r="AU762">
        <v>36.021536264959991</v>
      </c>
      <c r="AV762"/>
      <c r="AW762"/>
      <c r="FY762" s="211">
        <v>757</v>
      </c>
      <c r="FZ762">
        <v>2.4689013875365573</v>
      </c>
      <c r="GA762">
        <v>9.2358601768292807</v>
      </c>
      <c r="GB762">
        <v>10.476601513918393</v>
      </c>
      <c r="GC762">
        <v>12.32350960978343</v>
      </c>
      <c r="GD762">
        <v>13.164778051446383</v>
      </c>
      <c r="GE762">
        <v>27.593065269624852</v>
      </c>
      <c r="GF762">
        <v>46.607515838811032</v>
      </c>
      <c r="GG762">
        <v>38.786056086355501</v>
      </c>
      <c r="GH762">
        <v>26.023723346440583</v>
      </c>
      <c r="GI762">
        <v>23.87788198500656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80.205769054729345</v>
      </c>
      <c r="AO763">
        <v>29.256639179034494</v>
      </c>
      <c r="AP763">
        <v>224.73620586626518</v>
      </c>
      <c r="AQ763">
        <v>185.36469856860742</v>
      </c>
      <c r="AR763">
        <v>26.948828828343224</v>
      </c>
      <c r="AS763">
        <v>128.19132870497319</v>
      </c>
      <c r="AT763">
        <v>20.838488793035648</v>
      </c>
      <c r="AU763">
        <v>41.231330888621194</v>
      </c>
      <c r="AV763"/>
      <c r="AW763"/>
      <c r="FY763" s="211">
        <v>758</v>
      </c>
      <c r="FZ763">
        <v>13.665685926969985</v>
      </c>
      <c r="GA763">
        <v>17.465656779067992</v>
      </c>
      <c r="GB763">
        <v>14.962605094990444</v>
      </c>
      <c r="GC763">
        <v>13.498150964009827</v>
      </c>
      <c r="GD763">
        <v>12.11734455990279</v>
      </c>
      <c r="GE763">
        <v>22.466897552356095</v>
      </c>
      <c r="GF763">
        <v>26.683432169010313</v>
      </c>
      <c r="GG763">
        <v>17.571134620342754</v>
      </c>
      <c r="GH763">
        <v>8.6335869830529468</v>
      </c>
      <c r="GI763">
        <v>19.453532654217931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64.030198782087311</v>
      </c>
      <c r="AO764">
        <v>27.454690035591035</v>
      </c>
      <c r="AP764">
        <v>186.40276215696929</v>
      </c>
      <c r="AQ764">
        <v>156.92173094679458</v>
      </c>
      <c r="AR764">
        <v>24.547201463852243</v>
      </c>
      <c r="AS764">
        <v>115.83022789701828</v>
      </c>
      <c r="AT764" t="e">
        <v>#DIV/0!</v>
      </c>
      <c r="AU764" t="e">
        <v>#DIV/0!</v>
      </c>
      <c r="AV764"/>
      <c r="AW764"/>
      <c r="FY764" s="211">
        <v>759</v>
      </c>
      <c r="FZ764">
        <v>3.2179070499737445</v>
      </c>
      <c r="GA764">
        <v>17.135508939097832</v>
      </c>
      <c r="GB764">
        <v>23.204266898863395</v>
      </c>
      <c r="GC764">
        <v>18.447439049619774</v>
      </c>
      <c r="GD764">
        <v>13.846351993698827</v>
      </c>
      <c r="GE764">
        <v>21.49670571794881</v>
      </c>
      <c r="GF764">
        <v>26.170381380956979</v>
      </c>
      <c r="GG764">
        <v>16.561403284588749</v>
      </c>
      <c r="GH764">
        <v>8.1240568867313723</v>
      </c>
      <c r="GI764">
        <v>20.88666423332862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79.133412546742619</v>
      </c>
      <c r="AO765">
        <v>27.719063421753084</v>
      </c>
      <c r="AP765">
        <v>174.13094059023896</v>
      </c>
      <c r="AQ765">
        <v>156.25830546063673</v>
      </c>
      <c r="AR765">
        <v>24.605297516586237</v>
      </c>
      <c r="AS765">
        <v>122.9823754757483</v>
      </c>
      <c r="AT765" t="e">
        <v>#DIV/0!</v>
      </c>
      <c r="AU765" t="e">
        <v>#DIV/0!</v>
      </c>
      <c r="AV765"/>
      <c r="AW765"/>
      <c r="FY765" s="211">
        <v>760</v>
      </c>
      <c r="FZ765">
        <v>3.3931349702392115</v>
      </c>
      <c r="GA765">
        <v>12.606228785982772</v>
      </c>
      <c r="GB765">
        <v>10.656664685703136</v>
      </c>
      <c r="GC765">
        <v>11.64132653453574</v>
      </c>
      <c r="GD765">
        <v>15.352894411388544</v>
      </c>
      <c r="GE765">
        <v>30.914094635851107</v>
      </c>
      <c r="GF765">
        <v>36.518188708196227</v>
      </c>
      <c r="GG765">
        <v>19.978063063348486</v>
      </c>
      <c r="GH765">
        <v>7.934278157387566</v>
      </c>
      <c r="GI765">
        <v>20.585277729711173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58.891909152310973</v>
      </c>
      <c r="AO766">
        <v>23.171126408107511</v>
      </c>
      <c r="AP766">
        <v>146.95709227003493</v>
      </c>
      <c r="AQ766">
        <v>129.23886260048346</v>
      </c>
      <c r="AR766">
        <v>21.147759177113393</v>
      </c>
      <c r="AS766">
        <v>102.47761336933644</v>
      </c>
      <c r="AT766">
        <v>15.940348688117133</v>
      </c>
      <c r="AU766">
        <v>40.148872944872984</v>
      </c>
      <c r="AV766"/>
      <c r="AW766"/>
      <c r="FY766" s="211">
        <v>761</v>
      </c>
      <c r="FZ766">
        <v>7.3889505381210334</v>
      </c>
      <c r="GA766">
        <v>17.076541663478974</v>
      </c>
      <c r="GB766">
        <v>8.7872214275036793</v>
      </c>
      <c r="GC766">
        <v>12.979448890259125</v>
      </c>
      <c r="GD766">
        <v>15.660122756960043</v>
      </c>
      <c r="GE766">
        <v>28.036734516743465</v>
      </c>
      <c r="GF766">
        <v>36.843118586379589</v>
      </c>
      <c r="GG766">
        <v>28.908386706222807</v>
      </c>
      <c r="GH766">
        <v>19.771809433198481</v>
      </c>
      <c r="GI766">
        <v>22.832578931225882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83.514897430230718</v>
      </c>
      <c r="AO767">
        <v>32.745318001384135</v>
      </c>
      <c r="AP767">
        <v>216.54526964049697</v>
      </c>
      <c r="AQ767">
        <v>185.47704265384087</v>
      </c>
      <c r="AR767">
        <v>29.942232647667247</v>
      </c>
      <c r="AS767">
        <v>190.98317398513311</v>
      </c>
      <c r="AT767">
        <v>22.699367445060506</v>
      </c>
      <c r="AU767">
        <v>28.418327771822899</v>
      </c>
      <c r="AV767"/>
      <c r="AW767"/>
      <c r="FY767" s="211">
        <v>762</v>
      </c>
      <c r="FZ767">
        <v>5.82323274666199</v>
      </c>
      <c r="GA767">
        <v>11.808700265154714</v>
      </c>
      <c r="GB767">
        <v>30.614086933707419</v>
      </c>
      <c r="GC767">
        <v>21.677020855483043</v>
      </c>
      <c r="GD767">
        <v>14.430521797060553</v>
      </c>
      <c r="GE767">
        <v>26.492009647728114</v>
      </c>
      <c r="GF767">
        <v>26.964646374349009</v>
      </c>
      <c r="GG767">
        <v>31.783765264859234</v>
      </c>
      <c r="GH767">
        <v>25.247047828943096</v>
      </c>
      <c r="GI767">
        <v>26.384577203824097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78.761054410046356</v>
      </c>
      <c r="AO768">
        <v>33.311039778863595</v>
      </c>
      <c r="AP768">
        <v>230.84273024631895</v>
      </c>
      <c r="AQ768">
        <v>187.45614154981382</v>
      </c>
      <c r="AR768">
        <v>29.923576338444409</v>
      </c>
      <c r="AS768">
        <v>141.65437207511295</v>
      </c>
      <c r="AT768" t="e">
        <v>#DIV/0!</v>
      </c>
      <c r="AU768" t="e">
        <v>#DIV/0!</v>
      </c>
      <c r="AV768"/>
      <c r="AW768"/>
      <c r="FY768" s="211">
        <v>763</v>
      </c>
      <c r="FZ768">
        <v>2.3100300823237347</v>
      </c>
      <c r="GA768">
        <v>14.549835951915323</v>
      </c>
      <c r="GB768">
        <v>19.365393702317345</v>
      </c>
      <c r="GC768">
        <v>11.857990676891559</v>
      </c>
      <c r="GD768">
        <v>14.26618569360417</v>
      </c>
      <c r="GE768">
        <v>30.551909291976727</v>
      </c>
      <c r="GF768">
        <v>38.694406884890135</v>
      </c>
      <c r="GG768">
        <v>32.214849047816223</v>
      </c>
      <c r="GH768">
        <v>14.960463843212212</v>
      </c>
      <c r="GI768">
        <v>23.487822738157526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87.346145107132998</v>
      </c>
      <c r="AO769">
        <v>29.059740959922522</v>
      </c>
      <c r="AP769">
        <v>172.41753839479233</v>
      </c>
      <c r="AQ769">
        <v>158.71123079381576</v>
      </c>
      <c r="AR769">
        <v>26.501200625040177</v>
      </c>
      <c r="AS769">
        <v>132.31285549542935</v>
      </c>
      <c r="AT769">
        <v>20.025093690363416</v>
      </c>
      <c r="AU769">
        <v>54.697951371602358</v>
      </c>
      <c r="AV769"/>
      <c r="AW769"/>
      <c r="FY769" s="211">
        <v>764</v>
      </c>
      <c r="FZ769">
        <v>1.631710742255031</v>
      </c>
      <c r="GA769">
        <v>15.757538004015952</v>
      </c>
      <c r="GB769">
        <v>22.356298330123202</v>
      </c>
      <c r="GC769">
        <v>15.949287827418027</v>
      </c>
      <c r="GD769">
        <v>10.569642685272994</v>
      </c>
      <c r="GE769">
        <v>18.174152481212005</v>
      </c>
      <c r="GF769">
        <v>27.977465978311294</v>
      </c>
      <c r="GG769">
        <v>25.723368710962077</v>
      </c>
      <c r="GH769">
        <v>19.981056088604834</v>
      </c>
      <c r="GI769">
        <v>20.667571414686929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76.358374592306035</v>
      </c>
      <c r="AO770">
        <v>33.738235589613637</v>
      </c>
      <c r="AP770">
        <v>235.3579051785112</v>
      </c>
      <c r="AQ770">
        <v>193.08441502969634</v>
      </c>
      <c r="AR770">
        <v>30.510769835918023</v>
      </c>
      <c r="AS770">
        <v>143.99127662115905</v>
      </c>
      <c r="AT770">
        <v>23.066292200872894</v>
      </c>
      <c r="AU770">
        <v>20.565108564970938</v>
      </c>
      <c r="AV770"/>
      <c r="AW770"/>
      <c r="FY770" s="211">
        <v>765</v>
      </c>
      <c r="FZ770">
        <v>6.0021704269138771</v>
      </c>
      <c r="GA770">
        <v>16.764571666945113</v>
      </c>
      <c r="GB770">
        <v>10.156089363946803</v>
      </c>
      <c r="GC770">
        <v>8.0847136511278155</v>
      </c>
      <c r="GD770">
        <v>7.8097999656709165</v>
      </c>
      <c r="GE770">
        <v>12.83742282667691</v>
      </c>
      <c r="GF770">
        <v>18.784902565476376</v>
      </c>
      <c r="GG770">
        <v>19.255586806384962</v>
      </c>
      <c r="GH770">
        <v>15.368427081454648</v>
      </c>
      <c r="GI770">
        <v>14.096967206599755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73.883013412083187</v>
      </c>
      <c r="AO771">
        <v>27.879193565623513</v>
      </c>
      <c r="AP771">
        <v>180.71424450921083</v>
      </c>
      <c r="AQ771">
        <v>155.79457752457051</v>
      </c>
      <c r="AR771">
        <v>25.543333220900962</v>
      </c>
      <c r="AS771">
        <v>129.27885202853483</v>
      </c>
      <c r="AT771" t="e">
        <v>#DIV/0!</v>
      </c>
      <c r="AU771" t="e">
        <v>#DIV/0!</v>
      </c>
      <c r="AV771"/>
      <c r="AW771"/>
      <c r="FY771" s="211">
        <v>766</v>
      </c>
      <c r="FZ771">
        <v>3.4258319069024301</v>
      </c>
      <c r="GA771">
        <v>7.6656141033531373</v>
      </c>
      <c r="GB771">
        <v>31.666737070920526</v>
      </c>
      <c r="GC771">
        <v>24.217217452455294</v>
      </c>
      <c r="GD771">
        <v>12.502350959390284</v>
      </c>
      <c r="GE771">
        <v>20.876189631130789</v>
      </c>
      <c r="GF771">
        <v>21.80877427114595</v>
      </c>
      <c r="GG771">
        <v>26.195032694821208</v>
      </c>
      <c r="GH771">
        <v>25.469649471163908</v>
      </c>
      <c r="GI771">
        <v>24.22977985809268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65.748549958479401</v>
      </c>
      <c r="AO772">
        <v>26.687328020020306</v>
      </c>
      <c r="AP772">
        <v>180.04314328157326</v>
      </c>
      <c r="AQ772">
        <v>147.74501246499898</v>
      </c>
      <c r="AR772">
        <v>24.425599085273056</v>
      </c>
      <c r="AS772">
        <v>109.27377127015974</v>
      </c>
      <c r="AT772">
        <v>18.11144132045067</v>
      </c>
      <c r="AU772">
        <v>35.35474609303084</v>
      </c>
      <c r="AV772"/>
      <c r="AW772"/>
      <c r="FY772" s="211">
        <v>767</v>
      </c>
      <c r="FZ772">
        <v>2.9984534994487104</v>
      </c>
      <c r="GA772">
        <v>11.767595295849713</v>
      </c>
      <c r="GB772">
        <v>24.381060724500863</v>
      </c>
      <c r="GC772">
        <v>17.961781966855796</v>
      </c>
      <c r="GD772">
        <v>10.020775398247221</v>
      </c>
      <c r="GE772">
        <v>22.165520687641187</v>
      </c>
      <c r="GF772">
        <v>41.188238370934236</v>
      </c>
      <c r="GG772">
        <v>22.970666126693608</v>
      </c>
      <c r="GH772">
        <v>8.6530549091154914</v>
      </c>
      <c r="GI772">
        <v>21.785559906606721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81.113527040089537</v>
      </c>
      <c r="AO773">
        <v>36.14924423833132</v>
      </c>
      <c r="AP773">
        <v>246.94521354235775</v>
      </c>
      <c r="AQ773">
        <v>210.55789326575257</v>
      </c>
      <c r="AR773">
        <v>32.678754772234349</v>
      </c>
      <c r="AS773">
        <v>150.27034207017587</v>
      </c>
      <c r="AT773">
        <v>25.30774849629432</v>
      </c>
      <c r="AU773">
        <v>30.509940804181731</v>
      </c>
      <c r="AV773"/>
      <c r="AW773"/>
      <c r="FY773" s="211">
        <v>768</v>
      </c>
      <c r="FZ773">
        <v>1.6172900856895378</v>
      </c>
      <c r="GA773">
        <v>22.028303237945757</v>
      </c>
      <c r="GB773">
        <v>32.547795677002235</v>
      </c>
      <c r="GC773">
        <v>19.555588518808829</v>
      </c>
      <c r="GD773">
        <v>10.63901169055033</v>
      </c>
      <c r="GE773">
        <v>20.383517588224024</v>
      </c>
      <c r="GF773">
        <v>32.801908126048907</v>
      </c>
      <c r="GG773">
        <v>22.216099253964895</v>
      </c>
      <c r="GH773">
        <v>12.692267859673674</v>
      </c>
      <c r="GI773">
        <v>23.008133928816733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105.86667547708353</v>
      </c>
      <c r="AO774">
        <v>29.122240300924272</v>
      </c>
      <c r="AP774">
        <v>186.99363662903096</v>
      </c>
      <c r="AQ774">
        <v>166.51802730392106</v>
      </c>
      <c r="AR774">
        <v>26.792292991608406</v>
      </c>
      <c r="AS774">
        <v>144.88648570610732</v>
      </c>
      <c r="AT774">
        <v>19.896367800930364</v>
      </c>
      <c r="AU774">
        <v>44.379463811036132</v>
      </c>
      <c r="AV774"/>
      <c r="AW774"/>
      <c r="FY774" s="211">
        <v>769</v>
      </c>
      <c r="FZ774">
        <v>4.5091442007036209</v>
      </c>
      <c r="GA774">
        <v>11.181271519566918</v>
      </c>
      <c r="GB774">
        <v>11.145971755278261</v>
      </c>
      <c r="GC774">
        <v>12.358217759678297</v>
      </c>
      <c r="GD774">
        <v>15.054250803432781</v>
      </c>
      <c r="GE774">
        <v>25.674394882259779</v>
      </c>
      <c r="GF774">
        <v>19.452735335149463</v>
      </c>
      <c r="GG774">
        <v>21.290711596276022</v>
      </c>
      <c r="GH774">
        <v>22.050976340916794</v>
      </c>
      <c r="GI774">
        <v>19.706682068486106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80.420161606276025</v>
      </c>
      <c r="AO775">
        <v>31.73953774022517</v>
      </c>
      <c r="AP775">
        <v>195.59266858520158</v>
      </c>
      <c r="AQ775">
        <v>169.09068543480811</v>
      </c>
      <c r="AR775">
        <v>28.90632102311147</v>
      </c>
      <c r="AS775">
        <v>135.40878100646739</v>
      </c>
      <c r="AT775">
        <v>21.956536014986074</v>
      </c>
      <c r="AU775">
        <v>43.277511333264627</v>
      </c>
      <c r="AV775"/>
      <c r="AW775"/>
      <c r="FY775" s="211">
        <v>770</v>
      </c>
      <c r="FZ775">
        <v>3.0128741560142034</v>
      </c>
      <c r="GA775">
        <v>10.730809947465154</v>
      </c>
      <c r="GB775">
        <v>23.762878120286306</v>
      </c>
      <c r="GC775">
        <v>19.02401220605838</v>
      </c>
      <c r="GD775">
        <v>13.57221307713005</v>
      </c>
      <c r="GE775">
        <v>20.061666434228975</v>
      </c>
      <c r="GF775">
        <v>20.313002687807057</v>
      </c>
      <c r="GG775">
        <v>22.658399238601852</v>
      </c>
      <c r="GH775">
        <v>17.866717802084988</v>
      </c>
      <c r="GI775">
        <v>21.248953823329984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78.777845453903907</v>
      </c>
      <c r="AO776">
        <v>31.331392420720437</v>
      </c>
      <c r="AP776">
        <v>186.90027838308063</v>
      </c>
      <c r="AQ776">
        <v>169.58015168234394</v>
      </c>
      <c r="AR776">
        <v>28.06828844027395</v>
      </c>
      <c r="AS776">
        <v>136.47238690092178</v>
      </c>
      <c r="AT776" t="e">
        <v>#DIV/0!</v>
      </c>
      <c r="AU776" t="e">
        <v>#DIV/0!</v>
      </c>
      <c r="AV776"/>
      <c r="AW776"/>
      <c r="FY776" s="211">
        <v>771</v>
      </c>
      <c r="FZ776">
        <v>6.0848845758560461</v>
      </c>
      <c r="GA776">
        <v>13.508125808306744</v>
      </c>
      <c r="GB776">
        <v>22.977009921317482</v>
      </c>
      <c r="GC776">
        <v>19.31255377556154</v>
      </c>
      <c r="GD776">
        <v>11.348078143173163</v>
      </c>
      <c r="GE776">
        <v>21.776012306004965</v>
      </c>
      <c r="GF776">
        <v>33.145225767004675</v>
      </c>
      <c r="GG776">
        <v>20.400319661056812</v>
      </c>
      <c r="GH776">
        <v>12.692267859673674</v>
      </c>
      <c r="GI776">
        <v>21.786535960823347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91.404085533269011</v>
      </c>
      <c r="AO777">
        <v>34.769061468594472</v>
      </c>
      <c r="AP777">
        <v>222.18809789656086</v>
      </c>
      <c r="AQ777">
        <v>198.28491345009309</v>
      </c>
      <c r="AR777">
        <v>31.246427213022017</v>
      </c>
      <c r="AS777">
        <v>142.25286279635097</v>
      </c>
      <c r="AT777" t="e">
        <v>#DIV/0!</v>
      </c>
      <c r="AU777" t="e">
        <v>#DIV/0!</v>
      </c>
      <c r="AV777"/>
      <c r="AW777"/>
      <c r="FY777" s="211">
        <v>772</v>
      </c>
      <c r="FZ777">
        <v>2.9617288825248762</v>
      </c>
      <c r="GA777">
        <v>20.363828603732614</v>
      </c>
      <c r="GB777">
        <v>25.941037281851056</v>
      </c>
      <c r="GC777">
        <v>19.065775380921465</v>
      </c>
      <c r="GD777">
        <v>10.980411561403795</v>
      </c>
      <c r="GE777">
        <v>15.990366541658316</v>
      </c>
      <c r="GF777">
        <v>24.494840442315187</v>
      </c>
      <c r="GG777">
        <v>14.61348563180068</v>
      </c>
      <c r="GH777">
        <v>7.390355087010299</v>
      </c>
      <c r="GI777">
        <v>19.330144768687134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97.429379837515611</v>
      </c>
      <c r="AO778">
        <v>40.378247519722635</v>
      </c>
      <c r="AP778">
        <v>262.05466538406495</v>
      </c>
      <c r="AQ778">
        <v>221.22560891777127</v>
      </c>
      <c r="AR778">
        <v>36.883981108358412</v>
      </c>
      <c r="AS778">
        <v>174.65226364419374</v>
      </c>
      <c r="AT778" t="e">
        <v>#DIV/0!</v>
      </c>
      <c r="AU778" t="e">
        <v>#DIV/0!</v>
      </c>
      <c r="AV778"/>
      <c r="AW778"/>
      <c r="FY778" s="211">
        <v>773</v>
      </c>
      <c r="FZ778">
        <v>0.49433501881279446</v>
      </c>
      <c r="GA778">
        <v>10.188961311267576</v>
      </c>
      <c r="GB778">
        <v>26.250182920343967</v>
      </c>
      <c r="GC778">
        <v>16.342293397813638</v>
      </c>
      <c r="GD778">
        <v>10.41836125758784</v>
      </c>
      <c r="GE778">
        <v>20.916247821499034</v>
      </c>
      <c r="GF778">
        <v>23.392729655598139</v>
      </c>
      <c r="GG778">
        <v>22.7409826451611</v>
      </c>
      <c r="GH778">
        <v>16.571195067102789</v>
      </c>
      <c r="GI778">
        <v>20.013016888839481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85.563995467657818</v>
      </c>
      <c r="AO779">
        <v>35.783272727869246</v>
      </c>
      <c r="AP779">
        <v>236.62977215231615</v>
      </c>
      <c r="AQ779">
        <v>202.25888791310493</v>
      </c>
      <c r="AR779">
        <v>32.521787167077363</v>
      </c>
      <c r="AS779">
        <v>156.19255762686157</v>
      </c>
      <c r="AT779" t="e">
        <v>#DIV/0!</v>
      </c>
      <c r="AU779" t="e">
        <v>#DIV/0!</v>
      </c>
      <c r="AV779"/>
      <c r="AW779"/>
      <c r="FY779" s="211">
        <v>774</v>
      </c>
      <c r="FZ779">
        <v>0.9805961400028782</v>
      </c>
      <c r="GA779">
        <v>8.1397852643701203</v>
      </c>
      <c r="GB779">
        <v>24.469812510869975</v>
      </c>
      <c r="GC779">
        <v>16.154191869506217</v>
      </c>
      <c r="GD779">
        <v>11.161593659109366</v>
      </c>
      <c r="GE779">
        <v>25.87058607244867</v>
      </c>
      <c r="GF779">
        <v>37.050681754801083</v>
      </c>
      <c r="GG779">
        <v>32.783594004338369</v>
      </c>
      <c r="GH779">
        <v>22.60492447144625</v>
      </c>
      <c r="GI779">
        <v>23.641985279492683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79.235261986415338</v>
      </c>
      <c r="AO780">
        <v>31.33162280203706</v>
      </c>
      <c r="AP780">
        <v>216.33854596983713</v>
      </c>
      <c r="AQ780">
        <v>178.78809226286234</v>
      </c>
      <c r="AR780">
        <v>28.54615841993602</v>
      </c>
      <c r="AS780">
        <v>134.48837597065116</v>
      </c>
      <c r="AT780">
        <v>21.003392139061514</v>
      </c>
      <c r="AU780">
        <v>32.027628038487009</v>
      </c>
      <c r="AV780"/>
      <c r="AW780"/>
      <c r="FY780" s="211">
        <v>775</v>
      </c>
      <c r="FZ780">
        <v>4.4420693329028165</v>
      </c>
      <c r="GA780">
        <v>16.161179984903974</v>
      </c>
      <c r="GB780">
        <v>26.936948203245191</v>
      </c>
      <c r="GC780">
        <v>16.558650504717804</v>
      </c>
      <c r="GD780">
        <v>9.4288003709364592</v>
      </c>
      <c r="GE780">
        <v>26.765465789387008</v>
      </c>
      <c r="GF780">
        <v>47.907879292132293</v>
      </c>
      <c r="GG780">
        <v>28.020707775519011</v>
      </c>
      <c r="GH780">
        <v>13.584370234482837</v>
      </c>
      <c r="GI780">
        <v>24.302984775002852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63.982702619029375</v>
      </c>
      <c r="AO781">
        <v>21.237198749400964</v>
      </c>
      <c r="AP781">
        <v>151.7401256245472</v>
      </c>
      <c r="AQ781">
        <v>129.16065156119717</v>
      </c>
      <c r="AR781">
        <v>19.456867877883774</v>
      </c>
      <c r="AS781">
        <v>96.450916361330741</v>
      </c>
      <c r="AT781">
        <v>14.48618059100089</v>
      </c>
      <c r="AU781">
        <v>27.856991592881691</v>
      </c>
      <c r="AV781"/>
      <c r="AW781"/>
      <c r="FY781" s="211">
        <v>776</v>
      </c>
      <c r="FZ781">
        <v>9.1827813895983184</v>
      </c>
      <c r="GA781">
        <v>21.514494192460205</v>
      </c>
      <c r="GB781">
        <v>31.164913405300727</v>
      </c>
      <c r="GC781">
        <v>20.123076999396886</v>
      </c>
      <c r="GD781">
        <v>9.3084068878203752</v>
      </c>
      <c r="GE781">
        <v>18.452927129211933</v>
      </c>
      <c r="GF781">
        <v>33.909887066228563</v>
      </c>
      <c r="GG781">
        <v>24.494804118973153</v>
      </c>
      <c r="GH781">
        <v>11.925743147075588</v>
      </c>
      <c r="GI781">
        <v>23.113149496119778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90.861349206137859</v>
      </c>
      <c r="AO782">
        <v>37.070586670105158</v>
      </c>
      <c r="AP782">
        <v>237.55869529245788</v>
      </c>
      <c r="AQ782">
        <v>198.05717741937622</v>
      </c>
      <c r="AR782">
        <v>33.755575961827013</v>
      </c>
      <c r="AS782">
        <v>161.90420897201713</v>
      </c>
      <c r="AT782" t="e">
        <v>#DIV/0!</v>
      </c>
      <c r="AU782" t="e">
        <v>#DIV/0!</v>
      </c>
      <c r="AV782"/>
      <c r="AW782"/>
      <c r="FY782" s="211">
        <v>777</v>
      </c>
      <c r="FZ782">
        <v>12.352608599701773</v>
      </c>
      <c r="GA782">
        <v>22.578647343866756</v>
      </c>
      <c r="GB782">
        <v>12.693574286589383</v>
      </c>
      <c r="GC782">
        <v>12.36758139376953</v>
      </c>
      <c r="GD782">
        <v>14.464181924842446</v>
      </c>
      <c r="GE782">
        <v>24.869450605441045</v>
      </c>
      <c r="GF782">
        <v>20.471125766483077</v>
      </c>
      <c r="GG782">
        <v>26.759889428501335</v>
      </c>
      <c r="GH782">
        <v>28.170884545837438</v>
      </c>
      <c r="GI782">
        <v>22.102790419489196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86.177818465644492</v>
      </c>
      <c r="AO783">
        <v>33.012478590435919</v>
      </c>
      <c r="AP783">
        <v>224.0450032596321</v>
      </c>
      <c r="AQ783">
        <v>183.89270688589355</v>
      </c>
      <c r="AR783">
        <v>29.828242373027201</v>
      </c>
      <c r="AS783">
        <v>149.13199807185956</v>
      </c>
      <c r="AT783">
        <v>22.409637301739838</v>
      </c>
      <c r="AU783">
        <v>28.873638478771298</v>
      </c>
      <c r="AV783"/>
      <c r="AW783"/>
      <c r="FY783" s="211">
        <v>778</v>
      </c>
      <c r="FZ783">
        <v>6.1524941509434816</v>
      </c>
      <c r="GA783">
        <v>17.81643659902652</v>
      </c>
      <c r="GB783">
        <v>12.339546590126332</v>
      </c>
      <c r="GC783">
        <v>11.068425257627032</v>
      </c>
      <c r="GD783">
        <v>12.179951638057741</v>
      </c>
      <c r="GE783">
        <v>21.264593617388439</v>
      </c>
      <c r="GF783">
        <v>25.873263981966151</v>
      </c>
      <c r="GG783">
        <v>22.287476721144181</v>
      </c>
      <c r="GH783">
        <v>16.595205871234725</v>
      </c>
      <c r="GI783">
        <v>18.942701725795747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87.947521171250287</v>
      </c>
      <c r="AO784">
        <v>34.916250278336925</v>
      </c>
      <c r="AP784">
        <v>243.97558933566916</v>
      </c>
      <c r="AQ784">
        <v>197.48991596672494</v>
      </c>
      <c r="AR784">
        <v>31.700991010505341</v>
      </c>
      <c r="AS784">
        <v>149.80051802740331</v>
      </c>
      <c r="AT784">
        <v>23.932626991501426</v>
      </c>
      <c r="AU784">
        <v>48.75803660695351</v>
      </c>
      <c r="AV784"/>
      <c r="AW784"/>
      <c r="FY784" s="211">
        <v>779</v>
      </c>
      <c r="FZ784">
        <v>3.0790730987743977</v>
      </c>
      <c r="GA784">
        <v>15.681106280355152</v>
      </c>
      <c r="GB784">
        <v>19.137959065325504</v>
      </c>
      <c r="GC784">
        <v>14.475495710150199</v>
      </c>
      <c r="GD784">
        <v>11.78941610092445</v>
      </c>
      <c r="GE784">
        <v>22.781191332311547</v>
      </c>
      <c r="GF784">
        <v>34.059387951791066</v>
      </c>
      <c r="GG784">
        <v>19.82832381633089</v>
      </c>
      <c r="GH784">
        <v>8.4632761797716842</v>
      </c>
      <c r="GI784">
        <v>20.144300025625345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72.813162857333751</v>
      </c>
      <c r="AO785">
        <v>29.833861747808221</v>
      </c>
      <c r="AP785">
        <v>177.81378540812449</v>
      </c>
      <c r="AQ785">
        <v>162.42435626174807</v>
      </c>
      <c r="AR785">
        <v>27.261259353296317</v>
      </c>
      <c r="AS785">
        <v>124.73126943206323</v>
      </c>
      <c r="AT785">
        <v>20.812954160050491</v>
      </c>
      <c r="AU785">
        <v>41.453499685244125</v>
      </c>
      <c r="AV785"/>
      <c r="AW785"/>
      <c r="FY785" s="211">
        <v>780</v>
      </c>
      <c r="FZ785">
        <v>3.3982907117102048</v>
      </c>
      <c r="GA785">
        <v>18.154180844006781</v>
      </c>
      <c r="GB785">
        <v>29.113287878384696</v>
      </c>
      <c r="GC785">
        <v>17.352724033495022</v>
      </c>
      <c r="GD785">
        <v>8.5672633178572823</v>
      </c>
      <c r="GE785">
        <v>18.037032500444816</v>
      </c>
      <c r="GF785">
        <v>30.524778828860974</v>
      </c>
      <c r="GG785">
        <v>16.225794446237934</v>
      </c>
      <c r="GH785">
        <v>4.7382066693612641</v>
      </c>
      <c r="GI785">
        <v>19.524666839363825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84.238457945148667</v>
      </c>
      <c r="AO786">
        <v>32.282837837321949</v>
      </c>
      <c r="AP786">
        <v>199.8747533120013</v>
      </c>
      <c r="AQ786">
        <v>172.25152749300696</v>
      </c>
      <c r="AR786">
        <v>29.68040223128834</v>
      </c>
      <c r="AS786">
        <v>141.32975377059813</v>
      </c>
      <c r="AT786">
        <v>21.717626441274337</v>
      </c>
      <c r="AU786">
        <v>32.12767438327684</v>
      </c>
      <c r="AV786"/>
      <c r="AW786"/>
      <c r="FY786" s="211">
        <v>781</v>
      </c>
      <c r="FZ786">
        <v>2.0060722879151922</v>
      </c>
      <c r="GA786">
        <v>19.38896595788632</v>
      </c>
      <c r="GB786">
        <v>14.906932463439233</v>
      </c>
      <c r="GC786">
        <v>11.556326296468869</v>
      </c>
      <c r="GD786">
        <v>10.805385881762898</v>
      </c>
      <c r="GE786">
        <v>13.02832348684441</v>
      </c>
      <c r="GF786">
        <v>12.99016010423404</v>
      </c>
      <c r="GG786">
        <v>14.058533577792474</v>
      </c>
      <c r="GH786">
        <v>16.699870848761964</v>
      </c>
      <c r="GI786">
        <v>15.64559270517411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90.449546970829289</v>
      </c>
      <c r="AO787">
        <v>33.070646641703497</v>
      </c>
      <c r="AP787">
        <v>216.78098261903961</v>
      </c>
      <c r="AQ787">
        <v>183.03101377877846</v>
      </c>
      <c r="AR787">
        <v>29.838318429275407</v>
      </c>
      <c r="AS787">
        <v>143.95061568358926</v>
      </c>
      <c r="AT787">
        <v>22.360453409414905</v>
      </c>
      <c r="AU787">
        <v>45.966626084918786</v>
      </c>
      <c r="AV787"/>
      <c r="AW787"/>
      <c r="FY787" s="211">
        <v>782</v>
      </c>
      <c r="FZ787">
        <v>2.0092807572370237</v>
      </c>
      <c r="GA787">
        <v>9.8196492342356407</v>
      </c>
      <c r="GB787">
        <v>10.329392446882393</v>
      </c>
      <c r="GC787">
        <v>9.6307649185149931</v>
      </c>
      <c r="GD787">
        <v>9.3914251334271004</v>
      </c>
      <c r="GE787">
        <v>20.83927598535583</v>
      </c>
      <c r="GF787">
        <v>38.893107865442872</v>
      </c>
      <c r="GG787">
        <v>22.738442218701124</v>
      </c>
      <c r="GH787">
        <v>10.71510235669578</v>
      </c>
      <c r="GI787">
        <v>17.597968842572826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81.387971780009096</v>
      </c>
      <c r="AO788">
        <v>29.391362098469319</v>
      </c>
      <c r="AP788">
        <v>192.03295912624824</v>
      </c>
      <c r="AQ788">
        <v>161.13197418190543</v>
      </c>
      <c r="AR788">
        <v>26.57002765045517</v>
      </c>
      <c r="AS788">
        <v>134.46643639421526</v>
      </c>
      <c r="AT788" t="e">
        <v>#DIV/0!</v>
      </c>
      <c r="AU788" t="e">
        <v>#DIV/0!</v>
      </c>
      <c r="AV788"/>
      <c r="AW788"/>
      <c r="FY788" s="211">
        <v>783</v>
      </c>
      <c r="FZ788">
        <v>2.2708958233522414</v>
      </c>
      <c r="GA788">
        <v>15.42708934011025</v>
      </c>
      <c r="GB788">
        <v>23.301845453673693</v>
      </c>
      <c r="GC788">
        <v>14.195629700936166</v>
      </c>
      <c r="GD788">
        <v>8.2003183762510741</v>
      </c>
      <c r="GE788">
        <v>12.398527006703459</v>
      </c>
      <c r="GF788">
        <v>13.260280895198887</v>
      </c>
      <c r="GG788">
        <v>12.307403628868109</v>
      </c>
      <c r="GH788">
        <v>10.839467067499736</v>
      </c>
      <c r="GI788">
        <v>15.316315247688884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73.157307195865641</v>
      </c>
      <c r="AO789">
        <v>30.614995115707565</v>
      </c>
      <c r="AP789">
        <v>201.68206897819013</v>
      </c>
      <c r="AQ789">
        <v>167.32830598402634</v>
      </c>
      <c r="AR789">
        <v>27.80738372853698</v>
      </c>
      <c r="AS789">
        <v>137.48510266339659</v>
      </c>
      <c r="AT789" t="e">
        <v>#DIV/0!</v>
      </c>
      <c r="AU789" t="e">
        <v>#DIV/0!</v>
      </c>
      <c r="AV789"/>
      <c r="AW789"/>
      <c r="FY789" s="211">
        <v>784</v>
      </c>
      <c r="FZ789">
        <v>4.2630501592880377</v>
      </c>
      <c r="GA789">
        <v>9.4211558214593243</v>
      </c>
      <c r="GB789">
        <v>12.941465750074242</v>
      </c>
      <c r="GC789">
        <v>14.524291826837517</v>
      </c>
      <c r="GD789">
        <v>12.333618737411431</v>
      </c>
      <c r="GE789">
        <v>23.005690428334855</v>
      </c>
      <c r="GF789">
        <v>30.226104118110758</v>
      </c>
      <c r="GG789">
        <v>37.154357939151893</v>
      </c>
      <c r="GH789">
        <v>37.855646695421498</v>
      </c>
      <c r="GI789">
        <v>23.022810843812689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82.506364481810436</v>
      </c>
      <c r="AO790">
        <v>35.912783391493875</v>
      </c>
      <c r="AP790">
        <v>245.73541062512049</v>
      </c>
      <c r="AQ790">
        <v>202.85775102638561</v>
      </c>
      <c r="AR790">
        <v>32.680907069561471</v>
      </c>
      <c r="AS790">
        <v>151.1597556846977</v>
      </c>
      <c r="AT790">
        <v>24.371604863209189</v>
      </c>
      <c r="AU790">
        <v>15.492390959337921</v>
      </c>
      <c r="AV790"/>
      <c r="AW790"/>
      <c r="FY790" s="211">
        <v>785</v>
      </c>
      <c r="FZ790">
        <v>4.80907431485155</v>
      </c>
      <c r="GA790">
        <v>22.282423500261892</v>
      </c>
      <c r="GB790">
        <v>32.637166984812907</v>
      </c>
      <c r="GC790">
        <v>20.576380993307801</v>
      </c>
      <c r="GD790">
        <v>10.252047656330685</v>
      </c>
      <c r="GE790">
        <v>15.279499434697737</v>
      </c>
      <c r="GF790">
        <v>16.893766499620664</v>
      </c>
      <c r="GG790">
        <v>6.3384309646979125</v>
      </c>
      <c r="GH790">
        <v>1.5330494251961706</v>
      </c>
      <c r="GI790">
        <v>18.490420539527388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92.316451058944764</v>
      </c>
      <c r="AO791">
        <v>36.728237758807907</v>
      </c>
      <c r="AP791">
        <v>263.34724513170715</v>
      </c>
      <c r="AQ791">
        <v>214.10905626323023</v>
      </c>
      <c r="AR791">
        <v>33.10304801563062</v>
      </c>
      <c r="AS791">
        <v>156.95962352928012</v>
      </c>
      <c r="AT791">
        <v>25.138410095792892</v>
      </c>
      <c r="AU791">
        <v>25.162802809434343</v>
      </c>
      <c r="AV791"/>
      <c r="AW791"/>
      <c r="FY791" s="211">
        <v>786</v>
      </c>
      <c r="FZ791">
        <v>4.572099324984654</v>
      </c>
      <c r="GA791">
        <v>19.226582258900287</v>
      </c>
      <c r="GB791">
        <v>17.050053949190914</v>
      </c>
      <c r="GC791">
        <v>11.603379662043526</v>
      </c>
      <c r="GD791">
        <v>12.779221923480561</v>
      </c>
      <c r="GE791">
        <v>24.072125606737238</v>
      </c>
      <c r="GF791">
        <v>20.870243449689063</v>
      </c>
      <c r="GG791">
        <v>11.517493974206761</v>
      </c>
      <c r="GH791">
        <v>6.0620094391510833</v>
      </c>
      <c r="GI791">
        <v>17.573893342976316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97.239824411991023</v>
      </c>
      <c r="AO792">
        <v>35.126258799777425</v>
      </c>
      <c r="AP792">
        <v>250.69841511904053</v>
      </c>
      <c r="AQ792">
        <v>203.19018383218554</v>
      </c>
      <c r="AR792">
        <v>31.987743373469684</v>
      </c>
      <c r="AS792">
        <v>153.02625475240905</v>
      </c>
      <c r="AT792">
        <v>23.669187585866997</v>
      </c>
      <c r="AU792">
        <v>42.889788976457503</v>
      </c>
      <c r="AV792"/>
      <c r="AW792"/>
      <c r="FY792" s="211">
        <v>787</v>
      </c>
      <c r="FZ792">
        <v>4.1028143659535337</v>
      </c>
      <c r="GA792">
        <v>12.959891496315858</v>
      </c>
      <c r="GB792">
        <v>20.136926146456346</v>
      </c>
      <c r="GC792">
        <v>17.301714409200656</v>
      </c>
      <c r="GD792">
        <v>11.757327635898559</v>
      </c>
      <c r="GE792">
        <v>19.418447016775499</v>
      </c>
      <c r="GF792">
        <v>35.155900551935957</v>
      </c>
      <c r="GG792">
        <v>26.467525505686151</v>
      </c>
      <c r="GH792">
        <v>11.357494165704082</v>
      </c>
      <c r="GI792">
        <v>21.215306829487762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102.7791171090764</v>
      </c>
      <c r="AO793">
        <v>33.43915311100254</v>
      </c>
      <c r="AP793">
        <v>221.09283665592079</v>
      </c>
      <c r="AQ793">
        <v>196.830734314522</v>
      </c>
      <c r="AR793">
        <v>30.608441962296421</v>
      </c>
      <c r="AS793">
        <v>153.40870191026283</v>
      </c>
      <c r="AT793">
        <v>23.099463357964609</v>
      </c>
      <c r="AU793">
        <v>50.279554794205978</v>
      </c>
      <c r="AV793"/>
      <c r="AW793"/>
      <c r="FY793" s="211">
        <v>788</v>
      </c>
      <c r="FZ793">
        <v>3.6742173339239432</v>
      </c>
      <c r="GA793">
        <v>15.823593327700051</v>
      </c>
      <c r="GB793">
        <v>15.11848231509039</v>
      </c>
      <c r="GC793">
        <v>11.346345117523624</v>
      </c>
      <c r="GD793">
        <v>9.363899797310113</v>
      </c>
      <c r="GE793">
        <v>17.79040886640583</v>
      </c>
      <c r="GF793">
        <v>25.199940149997062</v>
      </c>
      <c r="GG793">
        <v>21.453305404821062</v>
      </c>
      <c r="GH793">
        <v>18.056496531428795</v>
      </c>
      <c r="GI793">
        <v>17.582282881002108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71.427753821924739</v>
      </c>
      <c r="AO794">
        <v>28.666285578483205</v>
      </c>
      <c r="AP794">
        <v>189.58544995823851</v>
      </c>
      <c r="AQ794">
        <v>164.52009615331036</v>
      </c>
      <c r="AR794">
        <v>26.152785456293209</v>
      </c>
      <c r="AS794">
        <v>123.44622750395507</v>
      </c>
      <c r="AT794">
        <v>20.563707507382421</v>
      </c>
      <c r="AU794">
        <v>40.173274655465569</v>
      </c>
      <c r="AV794"/>
      <c r="AW794"/>
      <c r="FY794" s="211">
        <v>789</v>
      </c>
      <c r="FZ794">
        <v>2.0675552375290787</v>
      </c>
      <c r="GA794">
        <v>11.797223376174973</v>
      </c>
      <c r="GB794">
        <v>15.493443877798221</v>
      </c>
      <c r="GC794">
        <v>15.756334272096396</v>
      </c>
      <c r="GD794">
        <v>14.305817477861501</v>
      </c>
      <c r="GE794">
        <v>20.414822098585848</v>
      </c>
      <c r="GF794">
        <v>35.021592332994224</v>
      </c>
      <c r="GG794">
        <v>23.954637894724321</v>
      </c>
      <c r="GH794">
        <v>8.9310455097239672</v>
      </c>
      <c r="GI794">
        <v>20.800043109991261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72.207536590054616</v>
      </c>
      <c r="AO795">
        <v>30.499461868716217</v>
      </c>
      <c r="AP795">
        <v>200.20675479422979</v>
      </c>
      <c r="AQ795">
        <v>169.43952956136025</v>
      </c>
      <c r="AR795">
        <v>27.627180359055366</v>
      </c>
      <c r="AS795">
        <v>130.56825173954334</v>
      </c>
      <c r="AT795">
        <v>21.26392656315377</v>
      </c>
      <c r="AU795">
        <v>38.904243174788022</v>
      </c>
      <c r="AV795"/>
      <c r="AW795"/>
      <c r="FY795" s="211">
        <v>790</v>
      </c>
      <c r="FZ795">
        <v>1.0610727036257708</v>
      </c>
      <c r="GA795">
        <v>13.293458728846709</v>
      </c>
      <c r="GB795">
        <v>24.786355690257164</v>
      </c>
      <c r="GC795">
        <v>19.270534545551222</v>
      </c>
      <c r="GD795">
        <v>13.805489131019947</v>
      </c>
      <c r="GE795">
        <v>23.582142297074043</v>
      </c>
      <c r="GF795">
        <v>35.259344980301577</v>
      </c>
      <c r="GG795">
        <v>35.070219733612895</v>
      </c>
      <c r="GH795">
        <v>25.756577925264668</v>
      </c>
      <c r="GI795">
        <v>25.403447524099654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76.555120988610625</v>
      </c>
      <c r="AO796">
        <v>29.591359454659841</v>
      </c>
      <c r="AP796">
        <v>205.00178161505733</v>
      </c>
      <c r="AQ796">
        <v>165.63622606972277</v>
      </c>
      <c r="AR796">
        <v>26.867505041773434</v>
      </c>
      <c r="AS796">
        <v>124.28183404472061</v>
      </c>
      <c r="AT796">
        <v>20.430699899303963</v>
      </c>
      <c r="AU796">
        <v>47.799243427525909</v>
      </c>
      <c r="AV796"/>
      <c r="AW796"/>
      <c r="FY796" s="211">
        <v>791</v>
      </c>
      <c r="FZ796">
        <v>5.1294815313376363</v>
      </c>
      <c r="GA796">
        <v>11.365185057019055</v>
      </c>
      <c r="GB796">
        <v>15.845278786640588</v>
      </c>
      <c r="GC796">
        <v>14.240590521631171</v>
      </c>
      <c r="GD796">
        <v>12.110736018981161</v>
      </c>
      <c r="GE796">
        <v>28.207482386027973</v>
      </c>
      <c r="GF796">
        <v>39.060512759689111</v>
      </c>
      <c r="GG796">
        <v>34.71381295227139</v>
      </c>
      <c r="GH796">
        <v>31.881849127535077</v>
      </c>
      <c r="GI796">
        <v>24.531462334552863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66.004733882208484</v>
      </c>
      <c r="AO797">
        <v>23.187499278652098</v>
      </c>
      <c r="AP797">
        <v>152.12971694958389</v>
      </c>
      <c r="AQ797">
        <v>131.08616361027953</v>
      </c>
      <c r="AR797">
        <v>21.785965094934124</v>
      </c>
      <c r="AS797">
        <v>113.6300929030585</v>
      </c>
      <c r="AT797">
        <v>15.609453108006255</v>
      </c>
      <c r="AU797">
        <v>24.242070873740609</v>
      </c>
      <c r="AV797"/>
      <c r="AW797"/>
      <c r="FY797" s="211">
        <v>792</v>
      </c>
      <c r="FZ797">
        <v>4.8137952935281252</v>
      </c>
      <c r="GA797">
        <v>17.482637989884804</v>
      </c>
      <c r="GB797">
        <v>30.266819078284037</v>
      </c>
      <c r="GC797">
        <v>22.410208458113367</v>
      </c>
      <c r="GD797">
        <v>14.938465971808792</v>
      </c>
      <c r="GE797">
        <v>20.042617033761417</v>
      </c>
      <c r="GF797">
        <v>15.632389353114565</v>
      </c>
      <c r="GG797">
        <v>13.148696969299603</v>
      </c>
      <c r="GH797">
        <v>7.1482855187269365</v>
      </c>
      <c r="GI797">
        <v>21.440124520580095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63.918956371935032</v>
      </c>
      <c r="AO798">
        <v>26.293355272997076</v>
      </c>
      <c r="AP798">
        <v>180.46353112462089</v>
      </c>
      <c r="AQ798">
        <v>151.96440975906557</v>
      </c>
      <c r="AR798">
        <v>23.925359341309278</v>
      </c>
      <c r="AS798">
        <v>110.68916071328077</v>
      </c>
      <c r="AT798">
        <v>18.507949384668152</v>
      </c>
      <c r="AU798">
        <v>21.408424791920357</v>
      </c>
      <c r="AV798"/>
      <c r="AW798"/>
      <c r="FY798" s="211">
        <v>793</v>
      </c>
      <c r="FZ798">
        <v>5.3268675484156347</v>
      </c>
      <c r="GA798">
        <v>11.693173751756806</v>
      </c>
      <c r="GB798">
        <v>15.236128459930553</v>
      </c>
      <c r="GC798">
        <v>13.869688209189711</v>
      </c>
      <c r="GD798">
        <v>11.95769528079815</v>
      </c>
      <c r="GE798">
        <v>16.531423175997375</v>
      </c>
      <c r="GF798">
        <v>14.281438651509719</v>
      </c>
      <c r="GG798">
        <v>31.26697676075743</v>
      </c>
      <c r="GH798">
        <v>32.797688659082461</v>
      </c>
      <c r="GI798">
        <v>19.764812243190107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64.949475810590229</v>
      </c>
      <c r="AO799">
        <v>23.029870761521046</v>
      </c>
      <c r="AP799">
        <v>154.47624025382183</v>
      </c>
      <c r="AQ799">
        <v>127.51777254028249</v>
      </c>
      <c r="AR799">
        <v>21.302582716117957</v>
      </c>
      <c r="AS799">
        <v>107.66734028179305</v>
      </c>
      <c r="AT799">
        <v>15.451360263014367</v>
      </c>
      <c r="AU799">
        <v>34.766782195539299</v>
      </c>
      <c r="AV799"/>
      <c r="AW799"/>
      <c r="FY799" s="211">
        <v>794</v>
      </c>
      <c r="FZ799">
        <v>2.5108632392942756</v>
      </c>
      <c r="GA799">
        <v>6.8665091839163663</v>
      </c>
      <c r="GB799">
        <v>21.408833243019018</v>
      </c>
      <c r="GC799">
        <v>18.442167550484399</v>
      </c>
      <c r="GD799">
        <v>11.468836948222318</v>
      </c>
      <c r="GE799">
        <v>15.735031534528751</v>
      </c>
      <c r="GF799">
        <v>21.997640492881505</v>
      </c>
      <c r="GG799">
        <v>13.637603440336699</v>
      </c>
      <c r="GH799">
        <v>2.0948703604573007</v>
      </c>
      <c r="GI799">
        <v>17.150956163882157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84.136434213268515</v>
      </c>
      <c r="AO800">
        <v>34.956370606840572</v>
      </c>
      <c r="AP800">
        <v>239.3784710405904</v>
      </c>
      <c r="AQ800">
        <v>204.74819231990227</v>
      </c>
      <c r="AR800">
        <v>31.651660743463374</v>
      </c>
      <c r="AS800">
        <v>139.72773914839445</v>
      </c>
      <c r="AT800">
        <v>23.992393495128709</v>
      </c>
      <c r="AU800">
        <v>23.838928389300214</v>
      </c>
      <c r="AV800"/>
      <c r="AW800"/>
      <c r="FY800" s="211">
        <v>795</v>
      </c>
      <c r="FZ800">
        <v>9.0365293323476372</v>
      </c>
      <c r="GA800">
        <v>20.36473912131876</v>
      </c>
      <c r="GB800">
        <v>18.42810120017463</v>
      </c>
      <c r="GC800">
        <v>11.243517073214804</v>
      </c>
      <c r="GD800">
        <v>8.0756003338479978</v>
      </c>
      <c r="GE800">
        <v>20.540778546285669</v>
      </c>
      <c r="GF800">
        <v>34.840001582301277</v>
      </c>
      <c r="GG800">
        <v>19.73136889077696</v>
      </c>
      <c r="GH800">
        <v>10.31168199652274</v>
      </c>
      <c r="GI800">
        <v>19.052705224368193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78.809578189053283</v>
      </c>
      <c r="AO801">
        <v>28.068104173681924</v>
      </c>
      <c r="AP801">
        <v>179.86707143982295</v>
      </c>
      <c r="AQ801">
        <v>149.09226031330471</v>
      </c>
      <c r="AR801">
        <v>25.612365542328693</v>
      </c>
      <c r="AS801">
        <v>128.57125908741239</v>
      </c>
      <c r="AT801" t="e">
        <v>#DIV/0!</v>
      </c>
      <c r="AU801" t="e">
        <v>#DIV/0!</v>
      </c>
      <c r="AV801"/>
      <c r="AW801"/>
      <c r="FY801" s="211">
        <v>796</v>
      </c>
      <c r="FZ801">
        <v>4.7357709445496905</v>
      </c>
      <c r="GA801">
        <v>9.501574289821626</v>
      </c>
      <c r="GB801">
        <v>33.146236750281346</v>
      </c>
      <c r="GC801">
        <v>23.747374145344274</v>
      </c>
      <c r="GD801">
        <v>12.152055663615792</v>
      </c>
      <c r="GE801">
        <v>17.893307772281901</v>
      </c>
      <c r="GF801">
        <v>11.922427118081385</v>
      </c>
      <c r="GG801">
        <v>20.671648632988852</v>
      </c>
      <c r="GH801">
        <v>24.670301845688812</v>
      </c>
      <c r="GI801">
        <v>22.523091695058874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73.197937801027322</v>
      </c>
      <c r="AO802">
        <v>26.713245201808252</v>
      </c>
      <c r="AP802">
        <v>163.06736931725379</v>
      </c>
      <c r="AQ802">
        <v>145.3271029313604</v>
      </c>
      <c r="AR802">
        <v>24.189041910461281</v>
      </c>
      <c r="AS802">
        <v>121.50146869833911</v>
      </c>
      <c r="AT802" t="e">
        <v>#DIV/0!</v>
      </c>
      <c r="AU802" t="e">
        <v>#DIV/0!</v>
      </c>
      <c r="AV802"/>
      <c r="AW802"/>
      <c r="FY802" s="211">
        <v>797</v>
      </c>
      <c r="FZ802">
        <v>4.8119924710032658</v>
      </c>
      <c r="GA802">
        <v>17.86651927372553</v>
      </c>
      <c r="GB802">
        <v>30.039430642551022</v>
      </c>
      <c r="GC802">
        <v>20.663131553657106</v>
      </c>
      <c r="GD802">
        <v>14.075651274689218</v>
      </c>
      <c r="GE802">
        <v>26.032336696411267</v>
      </c>
      <c r="GF802">
        <v>27.636950229732594</v>
      </c>
      <c r="GG802">
        <v>22.565943556187282</v>
      </c>
      <c r="GH802">
        <v>17.357187705763415</v>
      </c>
      <c r="GI802">
        <v>24.772423669573442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85.224040283363792</v>
      </c>
      <c r="AO803">
        <v>32.333105645779099</v>
      </c>
      <c r="AP803">
        <v>213.99371264690276</v>
      </c>
      <c r="AQ803">
        <v>179.87334812341442</v>
      </c>
      <c r="AR803">
        <v>29.290220770942984</v>
      </c>
      <c r="AS803">
        <v>149.25910565949033</v>
      </c>
      <c r="AT803" t="e">
        <v>#DIV/0!</v>
      </c>
      <c r="AU803" t="e">
        <v>#DIV/0!</v>
      </c>
      <c r="AV803"/>
      <c r="AW803"/>
      <c r="FY803" s="211">
        <v>798</v>
      </c>
      <c r="FZ803">
        <v>6.7231689526515801</v>
      </c>
      <c r="GA803">
        <v>28.324395510747753</v>
      </c>
      <c r="GB803">
        <v>35.279833249085058</v>
      </c>
      <c r="GC803">
        <v>19.14857054053612</v>
      </c>
      <c r="GD803">
        <v>10.178289566128136</v>
      </c>
      <c r="GE803">
        <v>22.164128891589503</v>
      </c>
      <c r="GF803">
        <v>23.184173143777411</v>
      </c>
      <c r="GG803">
        <v>20.533523555006997</v>
      </c>
      <c r="GH803">
        <v>21.381475608328451</v>
      </c>
      <c r="GI803">
        <v>23.705031567963545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76.4111031683574</v>
      </c>
      <c r="AO804">
        <v>26.463094696210998</v>
      </c>
      <c r="AP804">
        <v>184.08244610555442</v>
      </c>
      <c r="AQ804">
        <v>155.40897172520297</v>
      </c>
      <c r="AR804">
        <v>24.127150346377455</v>
      </c>
      <c r="AS804">
        <v>120.14928679380748</v>
      </c>
      <c r="AT804">
        <v>17.909372787929772</v>
      </c>
      <c r="AU804">
        <v>24.878008834574683</v>
      </c>
      <c r="AV804"/>
      <c r="AW804"/>
      <c r="FY804" s="211">
        <v>799</v>
      </c>
      <c r="FZ804">
        <v>8.5563876131916352</v>
      </c>
      <c r="GA804">
        <v>20.953485994452734</v>
      </c>
      <c r="GB804">
        <v>18.108513296918741</v>
      </c>
      <c r="GC804">
        <v>14.74513953937481</v>
      </c>
      <c r="GD804">
        <v>14.280410350775368</v>
      </c>
      <c r="GE804">
        <v>26.395763203634726</v>
      </c>
      <c r="GF804">
        <v>26.730888016706089</v>
      </c>
      <c r="GG804">
        <v>10.467037504332758</v>
      </c>
      <c r="GH804">
        <v>1.7751189934795333</v>
      </c>
      <c r="GI804">
        <v>19.700806340269921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76.637789529009609</v>
      </c>
      <c r="AO805">
        <v>31.094023108889843</v>
      </c>
      <c r="AP805">
        <v>194.19897075738913</v>
      </c>
      <c r="AQ805">
        <v>168.54251518747981</v>
      </c>
      <c r="AR805">
        <v>28.833638999457051</v>
      </c>
      <c r="AS805">
        <v>198.01247831733895</v>
      </c>
      <c r="AT805">
        <v>22.279102197478561</v>
      </c>
      <c r="AU805">
        <v>15.300235840118342</v>
      </c>
      <c r="AV805"/>
      <c r="AW805"/>
      <c r="FY805" s="211">
        <v>800</v>
      </c>
      <c r="FZ805">
        <v>5.0021791015776538</v>
      </c>
      <c r="GA805">
        <v>17.9356048587739</v>
      </c>
      <c r="GB805">
        <v>21.29709448904396</v>
      </c>
      <c r="GC805">
        <v>16.638569616084681</v>
      </c>
      <c r="GD805">
        <v>11.576004971004336</v>
      </c>
      <c r="GE805">
        <v>18.292289954317251</v>
      </c>
      <c r="GF805">
        <v>30.116662251040182</v>
      </c>
      <c r="GG805">
        <v>28.223822157183605</v>
      </c>
      <c r="GH805">
        <v>19.67478545318874</v>
      </c>
      <c r="GI805">
        <v>21.889114073237121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88.557615906380434</v>
      </c>
      <c r="AO806">
        <v>38.619461575204582</v>
      </c>
      <c r="AP806">
        <v>259.18919885490487</v>
      </c>
      <c r="AQ806">
        <v>217.28864325965367</v>
      </c>
      <c r="AR806">
        <v>35.161267011824364</v>
      </c>
      <c r="AS806">
        <v>162.20475976521368</v>
      </c>
      <c r="AT806">
        <v>26.775209242401289</v>
      </c>
      <c r="AU806">
        <v>31.94059271992786</v>
      </c>
      <c r="AV806"/>
      <c r="AW806"/>
      <c r="FY806" s="211">
        <v>801</v>
      </c>
      <c r="FZ806">
        <v>1.4382065418918386</v>
      </c>
      <c r="GA806">
        <v>16.328265660916355</v>
      </c>
      <c r="GB806">
        <v>22.747947928440361</v>
      </c>
      <c r="GC806">
        <v>15.178371463005721</v>
      </c>
      <c r="GD806">
        <v>11.445135788467232</v>
      </c>
      <c r="GE806">
        <v>17.885685883340763</v>
      </c>
      <c r="GF806">
        <v>12.837979510032296</v>
      </c>
      <c r="GG806">
        <v>18.751744897181979</v>
      </c>
      <c r="GH806">
        <v>20.678836856000796</v>
      </c>
      <c r="GI806">
        <v>18.513955726898757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83.004228413961101</v>
      </c>
      <c r="AO807">
        <v>37.16929621737588</v>
      </c>
      <c r="AP807">
        <v>257.3090000458501</v>
      </c>
      <c r="AQ807">
        <v>217.08639147568601</v>
      </c>
      <c r="AR807">
        <v>33.588823634406516</v>
      </c>
      <c r="AS807">
        <v>148.84235605244629</v>
      </c>
      <c r="AT807">
        <v>26.107757401721827</v>
      </c>
      <c r="AU807">
        <v>37.412594704619735</v>
      </c>
      <c r="AV807"/>
      <c r="AW807"/>
      <c r="FY807" s="211">
        <v>802</v>
      </c>
      <c r="FZ807">
        <v>1.4223137106592003</v>
      </c>
      <c r="GA807">
        <v>11.551026104633536</v>
      </c>
      <c r="GB807">
        <v>13.764079498219949</v>
      </c>
      <c r="GC807">
        <v>11.991461277102049</v>
      </c>
      <c r="GD807">
        <v>9.7873198032908615</v>
      </c>
      <c r="GE807">
        <v>20.022578292487395</v>
      </c>
      <c r="GF807">
        <v>30.96211241822656</v>
      </c>
      <c r="GG807">
        <v>19.499298629204954</v>
      </c>
      <c r="GH807">
        <v>11.115424597420722</v>
      </c>
      <c r="GI807">
        <v>17.15467698881066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91.706257897941356</v>
      </c>
      <c r="AO808">
        <v>32.757083013471529</v>
      </c>
      <c r="AP808">
        <v>192.4702102524997</v>
      </c>
      <c r="AQ808">
        <v>167.32404018710173</v>
      </c>
      <c r="AR808">
        <v>30.050000494089041</v>
      </c>
      <c r="AS808">
        <v>150.45732116785848</v>
      </c>
      <c r="AT808" t="e">
        <v>#DIV/0!</v>
      </c>
      <c r="AU808" t="e">
        <v>#DIV/0!</v>
      </c>
      <c r="AV808"/>
      <c r="AW808"/>
      <c r="FY808" s="211">
        <v>803</v>
      </c>
      <c r="FZ808">
        <v>8.7090580230074863</v>
      </c>
      <c r="GA808">
        <v>18.142560054324903</v>
      </c>
      <c r="GB808">
        <v>13.757061641832914</v>
      </c>
      <c r="GC808">
        <v>14.565956067270914</v>
      </c>
      <c r="GD808">
        <v>12.62506479284518</v>
      </c>
      <c r="GE808">
        <v>18.314256661838559</v>
      </c>
      <c r="GF808">
        <v>20.674185556334752</v>
      </c>
      <c r="GG808">
        <v>24.453457045883152</v>
      </c>
      <c r="GH808">
        <v>23.374779110706609</v>
      </c>
      <c r="GI808">
        <v>20.031760417739733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72.803563474088293</v>
      </c>
      <c r="AO809">
        <v>30.164269976721812</v>
      </c>
      <c r="AP809">
        <v>201.56506113681846</v>
      </c>
      <c r="AQ809">
        <v>172.72589274062793</v>
      </c>
      <c r="AR809">
        <v>27.789595849526016</v>
      </c>
      <c r="AS809">
        <v>129.27578819562598</v>
      </c>
      <c r="AT809" t="e">
        <v>#DIV/0!</v>
      </c>
      <c r="AU809" t="e">
        <v>#DIV/0!</v>
      </c>
      <c r="AV809"/>
      <c r="AW809"/>
      <c r="FY809" s="211">
        <v>804</v>
      </c>
      <c r="FZ809">
        <v>1.9994705649596267</v>
      </c>
      <c r="GA809">
        <v>15.889738286381196</v>
      </c>
      <c r="GB809">
        <v>14.772039737981395</v>
      </c>
      <c r="GC809">
        <v>12.988314212178146</v>
      </c>
      <c r="GD809">
        <v>13.813986208907812</v>
      </c>
      <c r="GE809">
        <v>21.298256427514232</v>
      </c>
      <c r="GF809">
        <v>22.920789113513127</v>
      </c>
      <c r="GG809">
        <v>11.698883524701357</v>
      </c>
      <c r="GH809">
        <v>2.828572160178374</v>
      </c>
      <c r="GI809">
        <v>17.103865840817338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65.912473746613756</v>
      </c>
      <c r="AO810">
        <v>26.091521085719062</v>
      </c>
      <c r="AP810">
        <v>152.07365945724882</v>
      </c>
      <c r="AQ810">
        <v>131.31331215702278</v>
      </c>
      <c r="AR810">
        <v>23.868300646075159</v>
      </c>
      <c r="AS810">
        <v>110.5672298469228</v>
      </c>
      <c r="AT810" t="e">
        <v>#DIV/0!</v>
      </c>
      <c r="AU810" t="e">
        <v>#DIV/0!</v>
      </c>
      <c r="AV810"/>
      <c r="AW810"/>
      <c r="FY810" s="211">
        <v>805</v>
      </c>
      <c r="FZ810">
        <v>5.8457902571116049</v>
      </c>
      <c r="GA810">
        <v>22.396411764215685</v>
      </c>
      <c r="GB810">
        <v>31.045634671030733</v>
      </c>
      <c r="GC810">
        <v>19.172033912166231</v>
      </c>
      <c r="GD810">
        <v>9.197153201488538</v>
      </c>
      <c r="GE810">
        <v>16.233494343431101</v>
      </c>
      <c r="GF810">
        <v>33.305799787784856</v>
      </c>
      <c r="GG810">
        <v>27.288033227831001</v>
      </c>
      <c r="GH810">
        <v>16.349806376289088</v>
      </c>
      <c r="GI810">
        <v>23.090403215183194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96.044820751379717</v>
      </c>
      <c r="AO811">
        <v>28.418614482403211</v>
      </c>
      <c r="AP811">
        <v>208.0923632845236</v>
      </c>
      <c r="AQ811">
        <v>171.62502330115868</v>
      </c>
      <c r="AR811">
        <v>26.006329668688316</v>
      </c>
      <c r="AS811">
        <v>134.7055493634895</v>
      </c>
      <c r="AT811">
        <v>19.423256120567341</v>
      </c>
      <c r="AU811">
        <v>36.418272509653377</v>
      </c>
      <c r="AV811"/>
      <c r="AW811"/>
      <c r="FY811" s="211">
        <v>806</v>
      </c>
      <c r="FZ811">
        <v>2.2868254176637186</v>
      </c>
      <c r="GA811">
        <v>6.3043260895824886</v>
      </c>
      <c r="GB811">
        <v>19.611010475927973</v>
      </c>
      <c r="GC811">
        <v>14.853276921901891</v>
      </c>
      <c r="GD811">
        <v>8.914848001747135</v>
      </c>
      <c r="GE811">
        <v>17.726982461326497</v>
      </c>
      <c r="GF811">
        <v>19.137892684615629</v>
      </c>
      <c r="GG811">
        <v>22.094150506324244</v>
      </c>
      <c r="GH811">
        <v>25.965824580671015</v>
      </c>
      <c r="GI811">
        <v>18.39961182427464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86.895787738656196</v>
      </c>
      <c r="AO812">
        <v>34.120964623914332</v>
      </c>
      <c r="AP812">
        <v>215.55844235814368</v>
      </c>
      <c r="AQ812">
        <v>180.96378885771256</v>
      </c>
      <c r="AR812">
        <v>31.574629463486939</v>
      </c>
      <c r="AS812">
        <v>153.67999082359492</v>
      </c>
      <c r="AT812">
        <v>22.595599726671598</v>
      </c>
      <c r="AU812">
        <v>33.177142095858173</v>
      </c>
      <c r="AV812"/>
      <c r="AW812"/>
      <c r="FY812" s="211">
        <v>807</v>
      </c>
      <c r="FZ812">
        <v>1.8100769521414493</v>
      </c>
      <c r="GA812">
        <v>14.625965360534565</v>
      </c>
      <c r="GB812">
        <v>36.645228625040218</v>
      </c>
      <c r="GC812">
        <v>26.574064254974097</v>
      </c>
      <c r="GD812">
        <v>13.52516993123743</v>
      </c>
      <c r="GE812">
        <v>22.062258712690031</v>
      </c>
      <c r="GF812">
        <v>29.050475723764688</v>
      </c>
      <c r="GG812">
        <v>24.026649733101934</v>
      </c>
      <c r="GH812">
        <v>18.258227934064859</v>
      </c>
      <c r="GI812">
        <v>26.004643320614537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90.516133172674785</v>
      </c>
      <c r="AO813">
        <v>37.754723711558185</v>
      </c>
      <c r="AP813">
        <v>244.23870088048295</v>
      </c>
      <c r="AQ813">
        <v>205.82156707329415</v>
      </c>
      <c r="AR813">
        <v>34.336700870393457</v>
      </c>
      <c r="AS813">
        <v>155.02475859119468</v>
      </c>
      <c r="AT813" t="e">
        <v>#DIV/0!</v>
      </c>
      <c r="AU813" t="e">
        <v>#DIV/0!</v>
      </c>
      <c r="AV813"/>
      <c r="AW813"/>
      <c r="FY813" s="211">
        <v>808</v>
      </c>
      <c r="FZ813">
        <v>6.6821892985584288</v>
      </c>
      <c r="GA813">
        <v>20.540947146522655</v>
      </c>
      <c r="GB813">
        <v>13.374389053601515</v>
      </c>
      <c r="GC813">
        <v>6.1159785593879512</v>
      </c>
      <c r="GD813">
        <v>7.8604432122100452</v>
      </c>
      <c r="GE813">
        <v>22.130770163635628</v>
      </c>
      <c r="GF813">
        <v>29.827728312389034</v>
      </c>
      <c r="GG813">
        <v>21.449162723871634</v>
      </c>
      <c r="GH813">
        <v>14.467386853153206</v>
      </c>
      <c r="GI813">
        <v>17.036538331961296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106.6271971830884</v>
      </c>
      <c r="AO814">
        <v>35.968856096209365</v>
      </c>
      <c r="AP814">
        <v>257.00663638364136</v>
      </c>
      <c r="AQ814">
        <v>210.62259058581458</v>
      </c>
      <c r="AR814">
        <v>32.606696742263381</v>
      </c>
      <c r="AS814">
        <v>164.6129638685679</v>
      </c>
      <c r="AT814" t="e">
        <v>#DIV/0!</v>
      </c>
      <c r="AU814" t="e">
        <v>#DIV/0!</v>
      </c>
      <c r="AV814"/>
      <c r="AW814"/>
      <c r="FY814" s="211">
        <v>809</v>
      </c>
      <c r="FZ814">
        <v>1.4408435408482001</v>
      </c>
      <c r="GA814">
        <v>11.173670476715934</v>
      </c>
      <c r="GB814">
        <v>26.355877991697941</v>
      </c>
      <c r="GC814">
        <v>18.391031330334346</v>
      </c>
      <c r="GD814">
        <v>11.708625396777853</v>
      </c>
      <c r="GE814">
        <v>21.15098687726687</v>
      </c>
      <c r="GF814">
        <v>17.898386859789682</v>
      </c>
      <c r="GG814">
        <v>8.5870526722618123</v>
      </c>
      <c r="GH814">
        <v>7.0183128810929754</v>
      </c>
      <c r="GI814">
        <v>18.378899338334541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89.561742405583431</v>
      </c>
      <c r="AO815">
        <v>29.874239910625697</v>
      </c>
      <c r="AP815">
        <v>179.33886768172025</v>
      </c>
      <c r="AQ815">
        <v>161.71355085313633</v>
      </c>
      <c r="AR815">
        <v>26.95998780006196</v>
      </c>
      <c r="AS815">
        <v>141.63666095501696</v>
      </c>
      <c r="AT815" t="e">
        <v>#DIV/0!</v>
      </c>
      <c r="AU815" t="e">
        <v>#DIV/0!</v>
      </c>
      <c r="AV815"/>
      <c r="AW815"/>
      <c r="FY815" s="211">
        <v>810</v>
      </c>
      <c r="FZ815">
        <v>2.3988821704014622</v>
      </c>
      <c r="GA815">
        <v>20.211104923677532</v>
      </c>
      <c r="GB815">
        <v>24.752219876150253</v>
      </c>
      <c r="GC815">
        <v>12.625937308169409</v>
      </c>
      <c r="GD815">
        <v>9.6570595907070391</v>
      </c>
      <c r="GE815">
        <v>26.680331867963734</v>
      </c>
      <c r="GF815">
        <v>26.61181046818897</v>
      </c>
      <c r="GG815">
        <v>17.585943240495784</v>
      </c>
      <c r="GH815">
        <v>19.21453137600675</v>
      </c>
      <c r="GI815">
        <v>20.478489353243905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87.973703708223994</v>
      </c>
      <c r="AO816">
        <v>33.172093763164781</v>
      </c>
      <c r="AP816">
        <v>229.09415389025835</v>
      </c>
      <c r="AQ816">
        <v>190.64612692545143</v>
      </c>
      <c r="AR816">
        <v>30.322092266236059</v>
      </c>
      <c r="AS816">
        <v>143.58002820721671</v>
      </c>
      <c r="AT816">
        <v>22.548483178555653</v>
      </c>
      <c r="AU816">
        <v>46.772095945663771</v>
      </c>
      <c r="AV816"/>
      <c r="AW816"/>
      <c r="FY816" s="211">
        <v>811</v>
      </c>
      <c r="FZ816">
        <v>1.258368157338275</v>
      </c>
      <c r="GA816">
        <v>14.697658234852252</v>
      </c>
      <c r="GB816">
        <v>29.851336131340119</v>
      </c>
      <c r="GC816">
        <v>22.191836251761629</v>
      </c>
      <c r="GD816">
        <v>16.130260224451003</v>
      </c>
      <c r="GE816">
        <v>21.458966300267463</v>
      </c>
      <c r="GF816">
        <v>19.20638093591802</v>
      </c>
      <c r="GG816">
        <v>12.468801624493903</v>
      </c>
      <c r="GH816">
        <v>1.7751189934795333</v>
      </c>
      <c r="GI816">
        <v>21.298364178389932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66.036465772938897</v>
      </c>
      <c r="AO817">
        <v>28.278905351187905</v>
      </c>
      <c r="AP817">
        <v>183.33540623355967</v>
      </c>
      <c r="AQ817">
        <v>155.80613025617609</v>
      </c>
      <c r="AR817">
        <v>25.817966771939243</v>
      </c>
      <c r="AS817">
        <v>159.3925802661463</v>
      </c>
      <c r="AT817" t="e">
        <v>#DIV/0!</v>
      </c>
      <c r="AU817" t="e">
        <v>#DIV/0!</v>
      </c>
      <c r="AV817"/>
      <c r="AW817"/>
      <c r="FY817" s="211">
        <v>812</v>
      </c>
      <c r="FZ817">
        <v>1.806511641779331</v>
      </c>
      <c r="GA817">
        <v>18.902340560876468</v>
      </c>
      <c r="GB817">
        <v>22.930016487659334</v>
      </c>
      <c r="GC817">
        <v>14.980941145134313</v>
      </c>
      <c r="GD817">
        <v>13.082355112215769</v>
      </c>
      <c r="GE817">
        <v>28.756488556477557</v>
      </c>
      <c r="GF817">
        <v>25.0434505937951</v>
      </c>
      <c r="GG817">
        <v>5.5166048688210161</v>
      </c>
      <c r="GH817">
        <v>6.1547641884851494</v>
      </c>
      <c r="GI817">
        <v>19.612732271566696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67.250813554553446</v>
      </c>
      <c r="AO818">
        <v>26.13089424844647</v>
      </c>
      <c r="AP818">
        <v>172.53057942583376</v>
      </c>
      <c r="AQ818">
        <v>147.27029132005586</v>
      </c>
      <c r="AR818">
        <v>23.312451620250425</v>
      </c>
      <c r="AS818">
        <v>111.45987702496785</v>
      </c>
      <c r="AT818" t="e">
        <v>#DIV/0!</v>
      </c>
      <c r="AU818" t="e">
        <v>#DIV/0!</v>
      </c>
      <c r="AV818"/>
      <c r="AW818"/>
      <c r="FY818" s="211">
        <v>813</v>
      </c>
      <c r="FZ818">
        <v>5.4088977800685631</v>
      </c>
      <c r="GA818">
        <v>17.424443895446757</v>
      </c>
      <c r="GB818">
        <v>15.20875827320377</v>
      </c>
      <c r="GC818">
        <v>10.497286278227286</v>
      </c>
      <c r="GD818">
        <v>8.5202301463016443</v>
      </c>
      <c r="GE818">
        <v>22.038607754475692</v>
      </c>
      <c r="GF818">
        <v>29.364833958751554</v>
      </c>
      <c r="GG818">
        <v>11.243393260292738</v>
      </c>
      <c r="GH818">
        <v>6.6880314415449424</v>
      </c>
      <c r="GI818">
        <v>16.335849212788794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84.801799557640408</v>
      </c>
      <c r="AO819">
        <v>30.442846656747047</v>
      </c>
      <c r="AP819">
        <v>200.15778137816426</v>
      </c>
      <c r="AQ819">
        <v>174.64813937178417</v>
      </c>
      <c r="AR819">
        <v>27.754148587872557</v>
      </c>
      <c r="AS819">
        <v>137.30490072499467</v>
      </c>
      <c r="AT819" t="e">
        <v>#DIV/0!</v>
      </c>
      <c r="AU819" t="e">
        <v>#DIV/0!</v>
      </c>
      <c r="AV819"/>
      <c r="AW819"/>
      <c r="FY819" s="211">
        <v>814</v>
      </c>
      <c r="FZ819">
        <v>6.4211860374962821</v>
      </c>
      <c r="GA819">
        <v>14.243375555044199</v>
      </c>
      <c r="GB819">
        <v>20.484679568966708</v>
      </c>
      <c r="GC819">
        <v>15.966369859168161</v>
      </c>
      <c r="GD819">
        <v>11.574339265693627</v>
      </c>
      <c r="GE819">
        <v>26.526099633710558</v>
      </c>
      <c r="GF819">
        <v>34.926439805028537</v>
      </c>
      <c r="GG819">
        <v>15.760727867915616</v>
      </c>
      <c r="GH819">
        <v>4.8352306493710051</v>
      </c>
      <c r="GI819">
        <v>20.411510530087959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64.691354581618072</v>
      </c>
      <c r="AO820">
        <v>25.932022159344143</v>
      </c>
      <c r="AP820">
        <v>150.65826738614996</v>
      </c>
      <c r="AQ820">
        <v>135.3139160771326</v>
      </c>
      <c r="AR820">
        <v>23.651229247873694</v>
      </c>
      <c r="AS820">
        <v>109.37615327071744</v>
      </c>
      <c r="AT820">
        <v>18.097537282101204</v>
      </c>
      <c r="AU820">
        <v>62.964813545228097</v>
      </c>
      <c r="AV820"/>
      <c r="AW820"/>
      <c r="FY820" s="211">
        <v>815</v>
      </c>
      <c r="FZ820">
        <v>3.4179286520865952</v>
      </c>
      <c r="GA820">
        <v>17.455584401541532</v>
      </c>
      <c r="GB820">
        <v>22.147111782319634</v>
      </c>
      <c r="GC820">
        <v>13.383447369830382</v>
      </c>
      <c r="GD820">
        <v>10.39882930873091</v>
      </c>
      <c r="GE820">
        <v>28.110996479849899</v>
      </c>
      <c r="GF820">
        <v>38.541543962699429</v>
      </c>
      <c r="GG820">
        <v>21.58350703529085</v>
      </c>
      <c r="GH820">
        <v>15.214569384435956</v>
      </c>
      <c r="GI820">
        <v>22.04209270902706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99.924049231211342</v>
      </c>
      <c r="AO821">
        <v>34.794025326029391</v>
      </c>
      <c r="AP821">
        <v>253.91022518030618</v>
      </c>
      <c r="AQ821">
        <v>203.924560756532</v>
      </c>
      <c r="AR821">
        <v>32.038305099023731</v>
      </c>
      <c r="AS821">
        <v>168.76001715009681</v>
      </c>
      <c r="AT821">
        <v>23.155555941334978</v>
      </c>
      <c r="AU821">
        <v>31.152836744964617</v>
      </c>
      <c r="AV821"/>
      <c r="AW821"/>
      <c r="FY821" s="211">
        <v>816</v>
      </c>
      <c r="FZ821">
        <v>5.0018611813034592</v>
      </c>
      <c r="GA821">
        <v>11.609760900516505</v>
      </c>
      <c r="GB821">
        <v>27.039090840298602</v>
      </c>
      <c r="GC821">
        <v>18.79338966186554</v>
      </c>
      <c r="GD821">
        <v>8.8148948792981088</v>
      </c>
      <c r="GE821">
        <v>13.731742037069374</v>
      </c>
      <c r="GF821">
        <v>14.632012932335709</v>
      </c>
      <c r="GG821">
        <v>8.452356753722281</v>
      </c>
      <c r="GH821">
        <v>4.0881738628354638</v>
      </c>
      <c r="GI821">
        <v>16.244889335569656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64.314420090101038</v>
      </c>
      <c r="AO822">
        <v>27.709244331607088</v>
      </c>
      <c r="AP822">
        <v>186.10503508974227</v>
      </c>
      <c r="AQ822">
        <v>155.29474896403522</v>
      </c>
      <c r="AR822">
        <v>25.420250591637881</v>
      </c>
      <c r="AS822">
        <v>119.03020801258246</v>
      </c>
      <c r="AT822">
        <v>18.915157833062683</v>
      </c>
      <c r="AU822">
        <v>18.21770111905585</v>
      </c>
      <c r="AV822"/>
      <c r="AW822"/>
      <c r="FY822" s="211">
        <v>817</v>
      </c>
      <c r="FZ822">
        <v>6.0717640372293138</v>
      </c>
      <c r="GA822">
        <v>24.452472627808781</v>
      </c>
      <c r="GB822">
        <v>27.031765954008577</v>
      </c>
      <c r="GC822">
        <v>18.407539815670173</v>
      </c>
      <c r="GD822">
        <v>11.63963258599864</v>
      </c>
      <c r="GE822">
        <v>20.25644523299145</v>
      </c>
      <c r="GF822">
        <v>23.364672802839991</v>
      </c>
      <c r="GG822">
        <v>16.27295683509584</v>
      </c>
      <c r="GH822">
        <v>13.511083411211313</v>
      </c>
      <c r="GI822">
        <v>21.236507295356958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90.859313372105007</v>
      </c>
      <c r="AO823">
        <v>39.729844625953881</v>
      </c>
      <c r="AP823">
        <v>256.97490894642738</v>
      </c>
      <c r="AQ823">
        <v>212.58276054816383</v>
      </c>
      <c r="AR823">
        <v>36.016344107439913</v>
      </c>
      <c r="AS823">
        <v>166.6476069755814</v>
      </c>
      <c r="AT823" t="e">
        <v>#DIV/0!</v>
      </c>
      <c r="AU823" t="e">
        <v>#DIV/0!</v>
      </c>
      <c r="AV823"/>
      <c r="AW823"/>
      <c r="FY823" s="211">
        <v>818</v>
      </c>
      <c r="FZ823">
        <v>5.5647078934268732</v>
      </c>
      <c r="GA823">
        <v>25.589053091618538</v>
      </c>
      <c r="GB823">
        <v>15.285150460252641</v>
      </c>
      <c r="GC823">
        <v>12.208291091625465</v>
      </c>
      <c r="GD823">
        <v>14.717345972576179</v>
      </c>
      <c r="GE823">
        <v>29.933999839435625</v>
      </c>
      <c r="GF823">
        <v>45.442214381791914</v>
      </c>
      <c r="GG823">
        <v>30.033639236528707</v>
      </c>
      <c r="GH823">
        <v>13.957351744413561</v>
      </c>
      <c r="GI823">
        <v>24.283798427461193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73.980908016876086</v>
      </c>
      <c r="AO824">
        <v>25.765626104514837</v>
      </c>
      <c r="AP824">
        <v>191.30462628910709</v>
      </c>
      <c r="AQ824">
        <v>159.48553365529142</v>
      </c>
      <c r="AR824">
        <v>23.280527658951641</v>
      </c>
      <c r="AS824">
        <v>115.27785105460086</v>
      </c>
      <c r="AT824">
        <v>17.692910714373244</v>
      </c>
      <c r="AU824">
        <v>37.019775223260183</v>
      </c>
      <c r="AV824"/>
      <c r="AW824"/>
      <c r="FY824" s="211">
        <v>819</v>
      </c>
      <c r="FZ824">
        <v>4.2367814749304928</v>
      </c>
      <c r="GA824">
        <v>18.500886592519741</v>
      </c>
      <c r="GB824">
        <v>22.914037523542952</v>
      </c>
      <c r="GC824">
        <v>17.909927886706608</v>
      </c>
      <c r="GD824">
        <v>11.265070578058591</v>
      </c>
      <c r="GE824">
        <v>19.614017464254275</v>
      </c>
      <c r="GF824">
        <v>30.520129664798223</v>
      </c>
      <c r="GG824">
        <v>14.182309415691439</v>
      </c>
      <c r="GH824">
        <v>6.7807861908790095</v>
      </c>
      <c r="GI824">
        <v>19.985986311066071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72.887062315104203</v>
      </c>
      <c r="AO825">
        <v>27.890879620725798</v>
      </c>
      <c r="AP825">
        <v>164.92882638939847</v>
      </c>
      <c r="AQ825">
        <v>142.10368736512015</v>
      </c>
      <c r="AR825">
        <v>25.376317903022954</v>
      </c>
      <c r="AS825">
        <v>123.85305809147175</v>
      </c>
      <c r="AT825">
        <v>18.724374894702645</v>
      </c>
      <c r="AU825">
        <v>3.4947062907812123</v>
      </c>
      <c r="AV825"/>
      <c r="AW825"/>
      <c r="FY825" s="211">
        <v>820</v>
      </c>
      <c r="FZ825">
        <v>7.8860330702786694</v>
      </c>
      <c r="GA825">
        <v>20.269804989795137</v>
      </c>
      <c r="GB825">
        <v>10.471202702758479</v>
      </c>
      <c r="GC825">
        <v>9.3250282970466909</v>
      </c>
      <c r="GD825">
        <v>14.564446269487854</v>
      </c>
      <c r="GE825">
        <v>28.988428958407091</v>
      </c>
      <c r="GF825">
        <v>37.100400669662356</v>
      </c>
      <c r="GG825">
        <v>24.884774503752162</v>
      </c>
      <c r="GH825">
        <v>10.097892463046991</v>
      </c>
      <c r="GI825">
        <v>21.189521756810322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75.866349690518547</v>
      </c>
      <c r="AO826">
        <v>31.111309667201045</v>
      </c>
      <c r="AP826">
        <v>216.55480336037877</v>
      </c>
      <c r="AQ826">
        <v>180.21631017500485</v>
      </c>
      <c r="AR826">
        <v>27.906133862340166</v>
      </c>
      <c r="AS826">
        <v>134.65772261696173</v>
      </c>
      <c r="AT826">
        <v>21.00999543534601</v>
      </c>
      <c r="AU826">
        <v>35.179436337312232</v>
      </c>
      <c r="AV826"/>
      <c r="AW826"/>
      <c r="FY826" s="211">
        <v>821</v>
      </c>
      <c r="FZ826">
        <v>6.0774912490657762</v>
      </c>
      <c r="GA826">
        <v>19.627557627872768</v>
      </c>
      <c r="GB826">
        <v>21.870077186911942</v>
      </c>
      <c r="GC826">
        <v>18.781479262643263</v>
      </c>
      <c r="GD826">
        <v>13.774927499087772</v>
      </c>
      <c r="GE826">
        <v>20.876927351564163</v>
      </c>
      <c r="GF826">
        <v>29.626135871645122</v>
      </c>
      <c r="GG826">
        <v>26.696502434685701</v>
      </c>
      <c r="GH826">
        <v>21.257110897524491</v>
      </c>
      <c r="GI826">
        <v>23.648613082318032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77.859188967127935</v>
      </c>
      <c r="AO827">
        <v>32.458141291302184</v>
      </c>
      <c r="AP827">
        <v>182.85113997898358</v>
      </c>
      <c r="AQ827">
        <v>160.33709103229214</v>
      </c>
      <c r="AR827">
        <v>29.853339106520441</v>
      </c>
      <c r="AS827">
        <v>134.34738829170311</v>
      </c>
      <c r="AT827" t="e">
        <v>#DIV/0!</v>
      </c>
      <c r="AU827" t="e">
        <v>#DIV/0!</v>
      </c>
      <c r="AV827"/>
      <c r="AW827"/>
      <c r="FY827" s="211">
        <v>822</v>
      </c>
      <c r="FZ827">
        <v>2.7169427011013032</v>
      </c>
      <c r="GA827">
        <v>20.711898580004092</v>
      </c>
      <c r="GB827">
        <v>29.242062178184842</v>
      </c>
      <c r="GC827">
        <v>19.053075405632931</v>
      </c>
      <c r="GD827">
        <v>11.367275479719142</v>
      </c>
      <c r="GE827">
        <v>16.110295297460624</v>
      </c>
      <c r="GF827">
        <v>17.983154399145821</v>
      </c>
      <c r="GG827">
        <v>13.254853797440404</v>
      </c>
      <c r="GH827">
        <v>7.5755909382847113</v>
      </c>
      <c r="GI827">
        <v>19.16885815556309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73.857873557906899</v>
      </c>
      <c r="AO828">
        <v>29.574424476923149</v>
      </c>
      <c r="AP828">
        <v>177.97809772749099</v>
      </c>
      <c r="AQ828">
        <v>156.78620542681074</v>
      </c>
      <c r="AR828">
        <v>26.608146314388055</v>
      </c>
      <c r="AS828">
        <v>125.25816512702765</v>
      </c>
      <c r="AT828">
        <v>20.558248403770033</v>
      </c>
      <c r="AU828">
        <v>57.832988569878346</v>
      </c>
      <c r="AV828"/>
      <c r="AW828"/>
      <c r="FY828" s="211">
        <v>823</v>
      </c>
      <c r="FZ828">
        <v>3.9844589310138563</v>
      </c>
      <c r="GA828">
        <v>20.833042289554001</v>
      </c>
      <c r="GB828">
        <v>26.254707242524422</v>
      </c>
      <c r="GC828">
        <v>16.070789545250204</v>
      </c>
      <c r="GD828">
        <v>8.0465118977480241</v>
      </c>
      <c r="GE828">
        <v>13.758310895396173</v>
      </c>
      <c r="GF828">
        <v>26.54463858226676</v>
      </c>
      <c r="GG828">
        <v>22.44587974708017</v>
      </c>
      <c r="GH828">
        <v>14.020613507532888</v>
      </c>
      <c r="GI828">
        <v>19.241236090952899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76.466486680809155</v>
      </c>
      <c r="AO829">
        <v>24.633830818416541</v>
      </c>
      <c r="AP829">
        <v>167.06832079965693</v>
      </c>
      <c r="AQ829">
        <v>142.73033200110171</v>
      </c>
      <c r="AR829">
        <v>21.888745668210017</v>
      </c>
      <c r="AS829">
        <v>111.264102744082</v>
      </c>
      <c r="AT829" t="e">
        <v>#DIV/0!</v>
      </c>
      <c r="AU829" t="e">
        <v>#DIV/0!</v>
      </c>
      <c r="AV829"/>
      <c r="AW829"/>
      <c r="FY829" s="211">
        <v>824</v>
      </c>
      <c r="FZ829">
        <v>3.7820892291932502</v>
      </c>
      <c r="GA829">
        <v>12.612113450095221</v>
      </c>
      <c r="GB829">
        <v>21.971262419097677</v>
      </c>
      <c r="GC829">
        <v>13.848233201336372</v>
      </c>
      <c r="GD829">
        <v>9.538853516090672</v>
      </c>
      <c r="GE829">
        <v>24.309023604692701</v>
      </c>
      <c r="GF829">
        <v>26.647126951174751</v>
      </c>
      <c r="GG829">
        <v>10.71037600662018</v>
      </c>
      <c r="GH829">
        <v>7.5473109034770944</v>
      </c>
      <c r="GI829">
        <v>18.048216945108752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91.15541255623603</v>
      </c>
      <c r="AO830">
        <v>31.139480476474564</v>
      </c>
      <c r="AP830">
        <v>197.4537034271479</v>
      </c>
      <c r="AQ830">
        <v>171.14995877248265</v>
      </c>
      <c r="AR830">
        <v>27.741453103092169</v>
      </c>
      <c r="AS830">
        <v>131.68031681715968</v>
      </c>
      <c r="AT830" t="e">
        <v>#DIV/0!</v>
      </c>
      <c r="AU830" t="e">
        <v>#DIV/0!</v>
      </c>
      <c r="AV830"/>
      <c r="AW830"/>
      <c r="FY830" s="211">
        <v>825</v>
      </c>
      <c r="FZ830">
        <v>5.8457902571116049</v>
      </c>
      <c r="GA830">
        <v>11.615965035637398</v>
      </c>
      <c r="GB830">
        <v>20.120793443496524</v>
      </c>
      <c r="GC830">
        <v>17.608343812381818</v>
      </c>
      <c r="GD830">
        <v>12.415887730036246</v>
      </c>
      <c r="GE830">
        <v>22.341754222491296</v>
      </c>
      <c r="GF830">
        <v>22.85970005832225</v>
      </c>
      <c r="GG830">
        <v>8.998889283340743</v>
      </c>
      <c r="GH830">
        <v>7.4502869234673526</v>
      </c>
      <c r="GI830">
        <v>18.839535513316196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76.861285387163107</v>
      </c>
      <c r="AO831">
        <v>33.307893203964952</v>
      </c>
      <c r="AP831">
        <v>231.42324310761833</v>
      </c>
      <c r="AQ831">
        <v>192.29561108581223</v>
      </c>
      <c r="AR831">
        <v>29.973406075098534</v>
      </c>
      <c r="AS831">
        <v>143.25430616125445</v>
      </c>
      <c r="AT831">
        <v>23.410593938224483</v>
      </c>
      <c r="AU831">
        <v>6.0132547058417014</v>
      </c>
      <c r="AV831"/>
      <c r="AW831"/>
      <c r="FY831" s="211">
        <v>826</v>
      </c>
      <c r="FZ831">
        <v>2.9675729368815604</v>
      </c>
      <c r="GA831">
        <v>11.004661992080724</v>
      </c>
      <c r="GB831">
        <v>17.805579363811724</v>
      </c>
      <c r="GC831">
        <v>15.820725582434426</v>
      </c>
      <c r="GD831">
        <v>16.176761169004216</v>
      </c>
      <c r="GE831">
        <v>31.339203449481616</v>
      </c>
      <c r="GF831">
        <v>39.394173604330263</v>
      </c>
      <c r="GG831">
        <v>31.996471478256034</v>
      </c>
      <c r="GH831">
        <v>20.703162766995035</v>
      </c>
      <c r="GI831">
        <v>25.398877933788963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74.402780100776809</v>
      </c>
      <c r="AO832">
        <v>24.705997218370761</v>
      </c>
      <c r="AP832">
        <v>153.83088205314979</v>
      </c>
      <c r="AQ832">
        <v>128.40817238481472</v>
      </c>
      <c r="AR832">
        <v>22.592629163872704</v>
      </c>
      <c r="AS832">
        <v>116.42072197958495</v>
      </c>
      <c r="AT832" t="e">
        <v>#DIV/0!</v>
      </c>
      <c r="AU832" t="e">
        <v>#DIV/0!</v>
      </c>
      <c r="AV832"/>
      <c r="AW832"/>
      <c r="FY832" s="211">
        <v>827</v>
      </c>
      <c r="FZ832">
        <v>3.1493600075057939</v>
      </c>
      <c r="GA832">
        <v>25.500731052500392</v>
      </c>
      <c r="GB832">
        <v>22.310249450720299</v>
      </c>
      <c r="GC832">
        <v>12.999205399478255</v>
      </c>
      <c r="GD832">
        <v>10.928523906645301</v>
      </c>
      <c r="GE832">
        <v>22.545126079239541</v>
      </c>
      <c r="GF832">
        <v>37.886518936918023</v>
      </c>
      <c r="GG832">
        <v>35.338242430036942</v>
      </c>
      <c r="GH832">
        <v>25.844789796529337</v>
      </c>
      <c r="GI832">
        <v>23.896392521238685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92.685280219942996</v>
      </c>
      <c r="AO833">
        <v>32.358174621250903</v>
      </c>
      <c r="AP833">
        <v>217.01773740574137</v>
      </c>
      <c r="AQ833">
        <v>182.244840598211</v>
      </c>
      <c r="AR833">
        <v>29.230040674109034</v>
      </c>
      <c r="AS833">
        <v>145.4480657658932</v>
      </c>
      <c r="AT833" t="e">
        <v>#DIV/0!</v>
      </c>
      <c r="AU833" t="e">
        <v>#DIV/0!</v>
      </c>
      <c r="AV833"/>
      <c r="AW833"/>
      <c r="FY833" s="211">
        <v>828</v>
      </c>
      <c r="FZ833">
        <v>2.1728268969208626</v>
      </c>
      <c r="GA833">
        <v>10.174398533634271</v>
      </c>
      <c r="GB833">
        <v>21.128073819886076</v>
      </c>
      <c r="GC833">
        <v>15.969195988710096</v>
      </c>
      <c r="GD833">
        <v>11.087040584383729</v>
      </c>
      <c r="GE833">
        <v>20.726120798732321</v>
      </c>
      <c r="GF833">
        <v>28.060372958632762</v>
      </c>
      <c r="GG833">
        <v>18.083856817029396</v>
      </c>
      <c r="GH833">
        <v>9.8798336988955704</v>
      </c>
      <c r="GI833">
        <v>19.172615637468546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107.40068499567039</v>
      </c>
      <c r="AO834">
        <v>36.882714036117754</v>
      </c>
      <c r="AP834">
        <v>251.38726291266667</v>
      </c>
      <c r="AQ834">
        <v>217.01555213913068</v>
      </c>
      <c r="AR834">
        <v>33.058028560679389</v>
      </c>
      <c r="AS834">
        <v>167.74846094527814</v>
      </c>
      <c r="AT834" t="e">
        <v>#DIV/0!</v>
      </c>
      <c r="AU834" t="e">
        <v>#DIV/0!</v>
      </c>
      <c r="AV834"/>
      <c r="AW834"/>
      <c r="FY834" s="211">
        <v>829</v>
      </c>
      <c r="FZ834">
        <v>0.73238276970974869</v>
      </c>
      <c r="GA834">
        <v>10.468620310588742</v>
      </c>
      <c r="GB834">
        <v>17.201009692133628</v>
      </c>
      <c r="GC834">
        <v>13.379459212775554</v>
      </c>
      <c r="GD834">
        <v>10.707800111889307</v>
      </c>
      <c r="GE834">
        <v>24.17454152081821</v>
      </c>
      <c r="GF834">
        <v>29.086104042565136</v>
      </c>
      <c r="GG834">
        <v>10.191095575927523</v>
      </c>
      <c r="GH834">
        <v>6.3400000397595608</v>
      </c>
      <c r="GI834">
        <v>17.362127339687525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79.168768622900615</v>
      </c>
      <c r="AO835">
        <v>30.124033064835622</v>
      </c>
      <c r="AP835">
        <v>196.15799198151961</v>
      </c>
      <c r="AQ835">
        <v>165.90993310244744</v>
      </c>
      <c r="AR835">
        <v>27.313736664772904</v>
      </c>
      <c r="AS835">
        <v>129.28966184494882</v>
      </c>
      <c r="AT835">
        <v>21.258656827485897</v>
      </c>
      <c r="AU835">
        <v>33.811665765104806</v>
      </c>
      <c r="AV835"/>
      <c r="AW835"/>
      <c r="FY835" s="211">
        <v>830</v>
      </c>
      <c r="FZ835">
        <v>1.9536268964871035</v>
      </c>
      <c r="GA835">
        <v>8.5108226007116041</v>
      </c>
      <c r="GB835">
        <v>21.180851300777384</v>
      </c>
      <c r="GC835">
        <v>20.288884567096616</v>
      </c>
      <c r="GD835">
        <v>15.059834621042269</v>
      </c>
      <c r="GE835">
        <v>22.502005175208637</v>
      </c>
      <c r="GF835">
        <v>25.820558064537142</v>
      </c>
      <c r="GG835">
        <v>21.536346783559008</v>
      </c>
      <c r="GH835">
        <v>14.718394274928848</v>
      </c>
      <c r="GI835">
        <v>21.954268214789792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92.79454215816385</v>
      </c>
      <c r="AO836">
        <v>32.050441052916362</v>
      </c>
      <c r="AP836">
        <v>208.2936195961463</v>
      </c>
      <c r="AQ836">
        <v>184.77753368104578</v>
      </c>
      <c r="AR836">
        <v>29.106896830849845</v>
      </c>
      <c r="AS836">
        <v>144.08828307773732</v>
      </c>
      <c r="AT836">
        <v>22.281519000014285</v>
      </c>
      <c r="AU836">
        <v>38.870608250922572</v>
      </c>
      <c r="AV836"/>
      <c r="AW836"/>
      <c r="FY836" s="211">
        <v>831</v>
      </c>
      <c r="FZ836">
        <v>7.4964230197532533</v>
      </c>
      <c r="GA836">
        <v>19.810907882921072</v>
      </c>
      <c r="GB836">
        <v>19.906335793546624</v>
      </c>
      <c r="GC836">
        <v>16.970481524597574</v>
      </c>
      <c r="GD836">
        <v>13.769259980216745</v>
      </c>
      <c r="GE836">
        <v>19.725384020045553</v>
      </c>
      <c r="GF836">
        <v>26.745069348596815</v>
      </c>
      <c r="GG836">
        <v>27.411155688768218</v>
      </c>
      <c r="GH836">
        <v>18.370324864714259</v>
      </c>
      <c r="GI836">
        <v>22.405625544608348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101.37677117800655</v>
      </c>
      <c r="AO837">
        <v>35.677682012334358</v>
      </c>
      <c r="AP837">
        <v>236.59082991851216</v>
      </c>
      <c r="AQ837">
        <v>202.23682246331902</v>
      </c>
      <c r="AR837">
        <v>32.666065124195768</v>
      </c>
      <c r="AS837">
        <v>170.58834448555046</v>
      </c>
      <c r="AT837">
        <v>24.346884206490273</v>
      </c>
      <c r="AU837">
        <v>42.630608794573995</v>
      </c>
      <c r="AV837"/>
      <c r="AW837"/>
      <c r="FY837" s="211">
        <v>832</v>
      </c>
      <c r="FZ837">
        <v>3.0184908534621862</v>
      </c>
      <c r="GA837">
        <v>23.810668412052785</v>
      </c>
      <c r="GB837">
        <v>31.451646322849665</v>
      </c>
      <c r="GC837">
        <v>16.636810141856966</v>
      </c>
      <c r="GD837">
        <v>8.7301000364260233</v>
      </c>
      <c r="GE837">
        <v>16.721631216786406</v>
      </c>
      <c r="GF837">
        <v>23.599021210268354</v>
      </c>
      <c r="GG837">
        <v>15.133857433871789</v>
      </c>
      <c r="GH837">
        <v>10.9377039989166</v>
      </c>
      <c r="GI837">
        <v>19.771536471761017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77.539279400834559</v>
      </c>
      <c r="AO838">
        <v>29.212568527717195</v>
      </c>
      <c r="AP838">
        <v>187.64100203811373</v>
      </c>
      <c r="AQ838">
        <v>157.18400693253696</v>
      </c>
      <c r="AR838">
        <v>26.670260790329511</v>
      </c>
      <c r="AS838">
        <v>132.27132656185131</v>
      </c>
      <c r="AT838" t="e">
        <v>#DIV/0!</v>
      </c>
      <c r="AU838" t="e">
        <v>#DIV/0!</v>
      </c>
      <c r="AV838"/>
      <c r="AW838"/>
      <c r="FY838" s="211">
        <v>833</v>
      </c>
      <c r="FZ838">
        <v>4.0163167057153029</v>
      </c>
      <c r="GA838">
        <v>14.731433524012228</v>
      </c>
      <c r="GB838">
        <v>20.918125320611672</v>
      </c>
      <c r="GC838">
        <v>15.704994912694326</v>
      </c>
      <c r="GD838">
        <v>10.589682996763193</v>
      </c>
      <c r="GE838">
        <v>17.481945728335138</v>
      </c>
      <c r="GF838">
        <v>18.231082394975534</v>
      </c>
      <c r="GG838">
        <v>20.20938709935934</v>
      </c>
      <c r="GH838">
        <v>22.050976340916794</v>
      </c>
      <c r="GI838">
        <v>19.160006415682112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83.010905954066033</v>
      </c>
      <c r="AO839">
        <v>29.127196429657054</v>
      </c>
      <c r="AP839">
        <v>212.60615665895608</v>
      </c>
      <c r="AQ839">
        <v>171.20018872931939</v>
      </c>
      <c r="AR839">
        <v>26.603258429107377</v>
      </c>
      <c r="AS839">
        <v>143.43955123108842</v>
      </c>
      <c r="AT839">
        <v>19.55470981180498</v>
      </c>
      <c r="AU839">
        <v>29.929793540209275</v>
      </c>
      <c r="AV839"/>
      <c r="AW839"/>
      <c r="FY839" s="211">
        <v>834</v>
      </c>
      <c r="FZ839">
        <v>7.1206998138144266</v>
      </c>
      <c r="GA839">
        <v>21.778397118854972</v>
      </c>
      <c r="GB839">
        <v>26.45989738410611</v>
      </c>
      <c r="GC839">
        <v>15.85765858578417</v>
      </c>
      <c r="GD839">
        <v>8.9925347076552455</v>
      </c>
      <c r="GE839">
        <v>19.001423570268976</v>
      </c>
      <c r="GF839">
        <v>33.186349243940718</v>
      </c>
      <c r="GG839">
        <v>33.809238436302884</v>
      </c>
      <c r="GH839">
        <v>24.248478608213841</v>
      </c>
      <c r="GI839">
        <v>23.274157916936158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78.367143800963291</v>
      </c>
      <c r="AO840">
        <v>27.197005890659057</v>
      </c>
      <c r="AP840">
        <v>175.47697534852136</v>
      </c>
      <c r="AQ840">
        <v>149.01460622688666</v>
      </c>
      <c r="AR840">
        <v>24.558459497642211</v>
      </c>
      <c r="AS840">
        <v>125.3537677418345</v>
      </c>
      <c r="AT840">
        <v>18.672932949589097</v>
      </c>
      <c r="AU840">
        <v>34.746302770234735</v>
      </c>
      <c r="AV840"/>
      <c r="AW840"/>
      <c r="FY840" s="211">
        <v>835</v>
      </c>
      <c r="FZ840">
        <v>2.3801449343267476</v>
      </c>
      <c r="GA840">
        <v>25.112718083829634</v>
      </c>
      <c r="GB840">
        <v>15.999383923973541</v>
      </c>
      <c r="GC840">
        <v>7.0403748608894405</v>
      </c>
      <c r="GD840">
        <v>9.4781977297115105</v>
      </c>
      <c r="GE840">
        <v>21.179019840234218</v>
      </c>
      <c r="GF840">
        <v>27.418260969522432</v>
      </c>
      <c r="GG840">
        <v>18.906486832992094</v>
      </c>
      <c r="GH840">
        <v>13.430512537464145</v>
      </c>
      <c r="GI840">
        <v>17.382202120770078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79.6583338675715</v>
      </c>
      <c r="AO841">
        <v>28.205266059593395</v>
      </c>
      <c r="AP841">
        <v>166.06690810473503</v>
      </c>
      <c r="AQ841">
        <v>148.09694627960144</v>
      </c>
      <c r="AR841">
        <v>25.793171526521942</v>
      </c>
      <c r="AS841">
        <v>127.40056118132718</v>
      </c>
      <c r="AT841">
        <v>19.570196937108115</v>
      </c>
      <c r="AU841">
        <v>30.893900785885613</v>
      </c>
      <c r="AV841"/>
      <c r="AW841"/>
      <c r="FY841" s="211">
        <v>836</v>
      </c>
      <c r="FZ841">
        <v>5.6394572452133032</v>
      </c>
      <c r="GA841">
        <v>22.084363334822463</v>
      </c>
      <c r="GB841">
        <v>31.209031051984091</v>
      </c>
      <c r="GC841">
        <v>19.430788375132366</v>
      </c>
      <c r="GD841">
        <v>10.102647151695841</v>
      </c>
      <c r="GE841">
        <v>24.861075687832919</v>
      </c>
      <c r="GF841">
        <v>43.249831412595235</v>
      </c>
      <c r="GG841">
        <v>26.625148402540749</v>
      </c>
      <c r="GH841">
        <v>14.666103435989292</v>
      </c>
      <c r="GI841">
        <v>25.237325864338455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87.447455332660383</v>
      </c>
      <c r="AO842">
        <v>38.496462062152794</v>
      </c>
      <c r="AP842">
        <v>244.73466736425988</v>
      </c>
      <c r="AQ842">
        <v>212.60719027706455</v>
      </c>
      <c r="AR842">
        <v>35.007489698867843</v>
      </c>
      <c r="AS842">
        <v>161.21923037615363</v>
      </c>
      <c r="AT842">
        <v>26.568879348475306</v>
      </c>
      <c r="AU842">
        <v>18.303073260699023</v>
      </c>
      <c r="AV842"/>
      <c r="AW842"/>
      <c r="FY842" s="211">
        <v>837</v>
      </c>
      <c r="FZ842">
        <v>3.8309969173633016</v>
      </c>
      <c r="GA842">
        <v>17.42861296178787</v>
      </c>
      <c r="GB842">
        <v>14.021771165805244</v>
      </c>
      <c r="GC842">
        <v>9.5511498371665304</v>
      </c>
      <c r="GD842">
        <v>8.5826538478048278</v>
      </c>
      <c r="GE842">
        <v>11.63254446869264</v>
      </c>
      <c r="GF842">
        <v>17.475955479716216</v>
      </c>
      <c r="GG842">
        <v>27.687902677360555</v>
      </c>
      <c r="GH842">
        <v>22.608254398108528</v>
      </c>
      <c r="GI842">
        <v>16.202249020447091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94.35508270973196</v>
      </c>
      <c r="AO843">
        <v>36.211980102034694</v>
      </c>
      <c r="AP843">
        <v>269.16445235593324</v>
      </c>
      <c r="AQ843">
        <v>220.39913958081254</v>
      </c>
      <c r="AR843">
        <v>32.932956294003183</v>
      </c>
      <c r="AS843">
        <v>160.11872762562157</v>
      </c>
      <c r="AT843">
        <v>24.910705879970198</v>
      </c>
      <c r="AU843">
        <v>44.770751752676361</v>
      </c>
      <c r="AV843"/>
      <c r="AW843"/>
      <c r="FY843" s="211">
        <v>838</v>
      </c>
      <c r="FZ843">
        <v>2.0066437582806622</v>
      </c>
      <c r="GA843">
        <v>20.935482172702038</v>
      </c>
      <c r="GB843">
        <v>31.96930897461575</v>
      </c>
      <c r="GC843">
        <v>18.563210663715836</v>
      </c>
      <c r="GD843">
        <v>11.001939744890095</v>
      </c>
      <c r="GE843">
        <v>16.068371623581438</v>
      </c>
      <c r="GF843">
        <v>23.044668856729032</v>
      </c>
      <c r="GG843">
        <v>22.193362922813826</v>
      </c>
      <c r="GH843">
        <v>10.872289980376747</v>
      </c>
      <c r="GI843">
        <v>21.018239434873404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69.326468869809716</v>
      </c>
      <c r="AO844">
        <v>28.99124583833941</v>
      </c>
      <c r="AP844">
        <v>184.87672459687244</v>
      </c>
      <c r="AQ844">
        <v>156.45433573429364</v>
      </c>
      <c r="AR844">
        <v>26.466873251371787</v>
      </c>
      <c r="AS844">
        <v>125.81970084549349</v>
      </c>
      <c r="AT844">
        <v>19.918432207004869</v>
      </c>
      <c r="AU844">
        <v>31.09570164649119</v>
      </c>
      <c r="AV844"/>
      <c r="AW844"/>
      <c r="FY844" s="211">
        <v>839</v>
      </c>
      <c r="FZ844">
        <v>5.0994215936307805</v>
      </c>
      <c r="GA844">
        <v>13.728730031542177</v>
      </c>
      <c r="GB844">
        <v>11.008532779944508</v>
      </c>
      <c r="GC844">
        <v>12.165806386901149</v>
      </c>
      <c r="GD844">
        <v>11.699056061848934</v>
      </c>
      <c r="GE844">
        <v>21.51976938074856</v>
      </c>
      <c r="GF844">
        <v>27.606842442851178</v>
      </c>
      <c r="GG844">
        <v>29.364143619281585</v>
      </c>
      <c r="GH844">
        <v>28.0640248677906</v>
      </c>
      <c r="GI844">
        <v>20.253851583245535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66.452559359965448</v>
      </c>
      <c r="AO845">
        <v>26.197482570154694</v>
      </c>
      <c r="AP845">
        <v>160.64318353233875</v>
      </c>
      <c r="AQ845">
        <v>139.64314061585495</v>
      </c>
      <c r="AR845">
        <v>23.492688884497948</v>
      </c>
      <c r="AS845">
        <v>115.94178838251855</v>
      </c>
      <c r="AT845">
        <v>17.99084584026518</v>
      </c>
      <c r="AU845">
        <v>29.334713119113072</v>
      </c>
      <c r="AV845"/>
      <c r="AW845"/>
      <c r="FY845" s="211">
        <v>840</v>
      </c>
      <c r="FZ845">
        <v>2.7842633769401335</v>
      </c>
      <c r="GA845">
        <v>14.929839920450512</v>
      </c>
      <c r="GB845">
        <v>20.49603253053246</v>
      </c>
      <c r="GC845">
        <v>14.199226103592357</v>
      </c>
      <c r="GD845">
        <v>10.709438512437087</v>
      </c>
      <c r="GE845">
        <v>18.666662954200721</v>
      </c>
      <c r="GF845">
        <v>24.218566413131658</v>
      </c>
      <c r="GG845">
        <v>37.553276534465446</v>
      </c>
      <c r="GH845">
        <v>34.746574127252742</v>
      </c>
      <c r="GI845">
        <v>22.125495451341532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77.462337951637863</v>
      </c>
      <c r="AO846">
        <v>33.520777642779201</v>
      </c>
      <c r="AP846">
        <v>198.97841876480911</v>
      </c>
      <c r="AQ846">
        <v>173.52559249913838</v>
      </c>
      <c r="AR846">
        <v>30.457066146553043</v>
      </c>
      <c r="AS846">
        <v>146.79718826513175</v>
      </c>
      <c r="AT846" t="e">
        <v>#DIV/0!</v>
      </c>
      <c r="AU846" t="e">
        <v>#DIV/0!</v>
      </c>
      <c r="AV846"/>
      <c r="AW846"/>
      <c r="FY846" s="211">
        <v>841</v>
      </c>
      <c r="FZ846">
        <v>3.5006074518714323</v>
      </c>
      <c r="GA846">
        <v>7.1702792744350532</v>
      </c>
      <c r="GB846">
        <v>23.863410011313281</v>
      </c>
      <c r="GC846">
        <v>21.259384775220017</v>
      </c>
      <c r="GD846">
        <v>11.593955326733413</v>
      </c>
      <c r="GE846">
        <v>17.86620057301009</v>
      </c>
      <c r="GF846">
        <v>27.835203503436492</v>
      </c>
      <c r="GG846">
        <v>18.809943019775055</v>
      </c>
      <c r="GH846">
        <v>9.9519075707599693</v>
      </c>
      <c r="GI846">
        <v>20.362839163470323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87.787218406749744</v>
      </c>
      <c r="AO847">
        <v>34.09674491504385</v>
      </c>
      <c r="AP847">
        <v>225.29549102129758</v>
      </c>
      <c r="AQ847">
        <v>192.61096766776845</v>
      </c>
      <c r="AR847">
        <v>31.284084744866401</v>
      </c>
      <c r="AS847">
        <v>154.90935966667917</v>
      </c>
      <c r="AT847">
        <v>23.16377991037238</v>
      </c>
      <c r="AU847">
        <v>45.600655609889515</v>
      </c>
      <c r="AV847"/>
      <c r="AW847"/>
      <c r="FY847" s="211">
        <v>842</v>
      </c>
      <c r="FZ847">
        <v>5.4907515593966556</v>
      </c>
      <c r="GA847">
        <v>14.789991907883781</v>
      </c>
      <c r="GB847">
        <v>10.724436601336912</v>
      </c>
      <c r="GC847">
        <v>11.526077866717408</v>
      </c>
      <c r="GD847">
        <v>15.122662599644846</v>
      </c>
      <c r="GE847">
        <v>27.720238213944121</v>
      </c>
      <c r="GF847">
        <v>22.859977665193334</v>
      </c>
      <c r="GG847">
        <v>9.5598622508275888</v>
      </c>
      <c r="GH847">
        <v>4.209208646977145</v>
      </c>
      <c r="GI847">
        <v>17.641331776020905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83.577454564838774</v>
      </c>
      <c r="AO848">
        <v>29.584173396351595</v>
      </c>
      <c r="AP848">
        <v>210.80856006153479</v>
      </c>
      <c r="AQ848">
        <v>169.81146609825177</v>
      </c>
      <c r="AR848">
        <v>27.328940425083161</v>
      </c>
      <c r="AS848">
        <v>132.43071498174524</v>
      </c>
      <c r="AT848">
        <v>20.196668663997645</v>
      </c>
      <c r="AU848">
        <v>-4.1862738053863398</v>
      </c>
      <c r="AV848"/>
      <c r="AW848"/>
      <c r="FY848" s="211">
        <v>843</v>
      </c>
      <c r="FZ848">
        <v>4.3207957418114225</v>
      </c>
      <c r="GA848">
        <v>12.271825333894633</v>
      </c>
      <c r="GB848">
        <v>21.077293745025557</v>
      </c>
      <c r="GC848">
        <v>17.341777094053842</v>
      </c>
      <c r="GD848">
        <v>10.834556420626718</v>
      </c>
      <c r="GE848">
        <v>19.837779016516311</v>
      </c>
      <c r="GF848">
        <v>21.268177257483778</v>
      </c>
      <c r="GG848">
        <v>8.9946646410222719</v>
      </c>
      <c r="GH848">
        <v>7.8177862513152805</v>
      </c>
      <c r="GI848">
        <v>17.731767172484858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67.05068214405739</v>
      </c>
      <c r="AO849">
        <v>28.970827276054116</v>
      </c>
      <c r="AP849">
        <v>193.11057027571087</v>
      </c>
      <c r="AQ849">
        <v>163.09395143906565</v>
      </c>
      <c r="AR849">
        <v>26.518080154114053</v>
      </c>
      <c r="AS849">
        <v>120.94878801039037</v>
      </c>
      <c r="AT849">
        <v>20.096181120088538</v>
      </c>
      <c r="AU849">
        <v>17.72357799041535</v>
      </c>
      <c r="AV849"/>
      <c r="AW849"/>
      <c r="FY849" s="211">
        <v>844</v>
      </c>
      <c r="FZ849">
        <v>1.2740074384796385</v>
      </c>
      <c r="GA849">
        <v>14.792584575616184</v>
      </c>
      <c r="GB849">
        <v>16.935057432589169</v>
      </c>
      <c r="GC849">
        <v>12.605115183241999</v>
      </c>
      <c r="GD849">
        <v>12.405410824644251</v>
      </c>
      <c r="GE849">
        <v>19.348875087010995</v>
      </c>
      <c r="GF849">
        <v>16.679190570641751</v>
      </c>
      <c r="GG849">
        <v>12.341280813354615</v>
      </c>
      <c r="GH849">
        <v>7.1482855187269365</v>
      </c>
      <c r="GI849">
        <v>16.134288833217482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99.906569507627978</v>
      </c>
      <c r="AO850">
        <v>35.392609175406371</v>
      </c>
      <c r="AP850">
        <v>263.70688447702867</v>
      </c>
      <c r="AQ850">
        <v>213.72883538587749</v>
      </c>
      <c r="AR850">
        <v>32.23786389757236</v>
      </c>
      <c r="AS850">
        <v>153.68180697103611</v>
      </c>
      <c r="AT850">
        <v>24.064827224756115</v>
      </c>
      <c r="AU850">
        <v>33.383067580781784</v>
      </c>
      <c r="AV850"/>
      <c r="AW850"/>
      <c r="FY850" s="211">
        <v>845</v>
      </c>
      <c r="FZ850">
        <v>2.2206880172434285</v>
      </c>
      <c r="GA850">
        <v>12.34685099748145</v>
      </c>
      <c r="GB850">
        <v>19.934425334611568</v>
      </c>
      <c r="GC850">
        <v>14.119986835657802</v>
      </c>
      <c r="GD850">
        <v>11.625910665855535</v>
      </c>
      <c r="GE850">
        <v>21.139831355090529</v>
      </c>
      <c r="GF850">
        <v>30.701996365119111</v>
      </c>
      <c r="GG850">
        <v>26.166270701531108</v>
      </c>
      <c r="GH850">
        <v>18.047684422683723</v>
      </c>
      <c r="GI850">
        <v>21.023205181921355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72.887215116543871</v>
      </c>
      <c r="AO851">
        <v>26.106359127954981</v>
      </c>
      <c r="AP851">
        <v>189.79548901101427</v>
      </c>
      <c r="AQ851">
        <v>158.32730183371385</v>
      </c>
      <c r="AR851">
        <v>23.8574423745759</v>
      </c>
      <c r="AS851">
        <v>117.47140090680061</v>
      </c>
      <c r="AT851">
        <v>18.390171531141945</v>
      </c>
      <c r="AU851">
        <v>52.27355591674354</v>
      </c>
      <c r="AV851"/>
      <c r="AW851"/>
      <c r="FY851" s="211">
        <v>846</v>
      </c>
      <c r="FZ851">
        <v>4.9534620072374658</v>
      </c>
      <c r="GA851">
        <v>17.774561859918702</v>
      </c>
      <c r="GB851">
        <v>22.845573825633736</v>
      </c>
      <c r="GC851">
        <v>14.661090400734057</v>
      </c>
      <c r="GD851">
        <v>8.5523507338687583</v>
      </c>
      <c r="GE851">
        <v>13.711948900550423</v>
      </c>
      <c r="GF851">
        <v>19.241049535270136</v>
      </c>
      <c r="GG851">
        <v>14.268006886902752</v>
      </c>
      <c r="GH851">
        <v>8.8905815993294581</v>
      </c>
      <c r="GI851">
        <v>16.62141945362988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103.70608196185674</v>
      </c>
      <c r="AO852">
        <v>38.30600970568139</v>
      </c>
      <c r="AP852">
        <v>274.56060961811056</v>
      </c>
      <c r="AQ852">
        <v>223.10577196214476</v>
      </c>
      <c r="AR852">
        <v>34.454676980288816</v>
      </c>
      <c r="AS852">
        <v>172.14292291410626</v>
      </c>
      <c r="AT852">
        <v>26.231490074348034</v>
      </c>
      <c r="AU852">
        <v>45.77943277439563</v>
      </c>
      <c r="AV852"/>
      <c r="AW852"/>
      <c r="FY852" s="211">
        <v>847</v>
      </c>
      <c r="FZ852">
        <v>4.3128309446556834</v>
      </c>
      <c r="GA852">
        <v>23.975591789913949</v>
      </c>
      <c r="GB852">
        <v>21.817806751723854</v>
      </c>
      <c r="GC852">
        <v>13.268274783516645</v>
      </c>
      <c r="GD852">
        <v>13.546101118071944</v>
      </c>
      <c r="GE852">
        <v>22.191347571678985</v>
      </c>
      <c r="GF852">
        <v>18.148590109761503</v>
      </c>
      <c r="GG852">
        <v>28.82354927292981</v>
      </c>
      <c r="GH852">
        <v>27.502203932529468</v>
      </c>
      <c r="GI852">
        <v>22.029378988039397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63.752485365634676</v>
      </c>
      <c r="AO853">
        <v>24.67778882464766</v>
      </c>
      <c r="AP853">
        <v>180.57204913606404</v>
      </c>
      <c r="AQ853">
        <v>149.0220907742528</v>
      </c>
      <c r="AR853">
        <v>22.736517775652612</v>
      </c>
      <c r="AS853">
        <v>109.96252454275869</v>
      </c>
      <c r="AT853" t="e">
        <v>#DIV/0!</v>
      </c>
      <c r="AU853" t="e">
        <v>#DIV/0!</v>
      </c>
      <c r="AV853"/>
      <c r="AW853"/>
      <c r="FY853" s="211">
        <v>848</v>
      </c>
      <c r="FZ853">
        <v>2.5379569441085659</v>
      </c>
      <c r="GA853">
        <v>10.462482469873718</v>
      </c>
      <c r="GB853">
        <v>11.397097794383683</v>
      </c>
      <c r="GC853">
        <v>10.93162020125064</v>
      </c>
      <c r="GD853">
        <v>9.6206715984620068</v>
      </c>
      <c r="GE853">
        <v>15.974387907902608</v>
      </c>
      <c r="GF853">
        <v>29.107139164736196</v>
      </c>
      <c r="GG853">
        <v>26.16307449275843</v>
      </c>
      <c r="GH853">
        <v>16.959375272420377</v>
      </c>
      <c r="GI853">
        <v>17.197475907939122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82.096136015538079</v>
      </c>
      <c r="AO854">
        <v>31.934762747477116</v>
      </c>
      <c r="AP854">
        <v>218.33979515816773</v>
      </c>
      <c r="AQ854">
        <v>177.67351813257883</v>
      </c>
      <c r="AR854">
        <v>29.417597547890729</v>
      </c>
      <c r="AS854">
        <v>140.35976992697996</v>
      </c>
      <c r="AT854" t="e">
        <v>#DIV/0!</v>
      </c>
      <c r="AU854" t="e">
        <v>#DIV/0!</v>
      </c>
      <c r="AV854"/>
      <c r="AW854"/>
      <c r="FY854" s="211">
        <v>849</v>
      </c>
      <c r="FZ854">
        <v>6.1519226805780116</v>
      </c>
      <c r="GA854">
        <v>14.146740626301424</v>
      </c>
      <c r="GB854">
        <v>10.785910535692636</v>
      </c>
      <c r="GC854">
        <v>11.315469768298986</v>
      </c>
      <c r="GD854">
        <v>14.012681158027121</v>
      </c>
      <c r="GE854">
        <v>30.943763325210096</v>
      </c>
      <c r="GF854">
        <v>37.019612201562865</v>
      </c>
      <c r="GG854">
        <v>26.044518601327312</v>
      </c>
      <c r="GH854">
        <v>19.195063449944207</v>
      </c>
      <c r="GI854">
        <v>22.109764771230399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77.010333905528881</v>
      </c>
      <c r="AO855">
        <v>30.858773631724034</v>
      </c>
      <c r="AP855">
        <v>209.96776845225341</v>
      </c>
      <c r="AQ855">
        <v>180.51017874778501</v>
      </c>
      <c r="AR855">
        <v>27.80536027249547</v>
      </c>
      <c r="AS855">
        <v>127.50069251871132</v>
      </c>
      <c r="AT855" t="e">
        <v>#DIV/0!</v>
      </c>
      <c r="AU855" t="e">
        <v>#DIV/0!</v>
      </c>
      <c r="AV855"/>
      <c r="AW855"/>
      <c r="FY855" s="211">
        <v>850</v>
      </c>
      <c r="FZ855">
        <v>5.8876706155064316</v>
      </c>
      <c r="GA855">
        <v>14.050941917115939</v>
      </c>
      <c r="GB855">
        <v>23.536137795146225</v>
      </c>
      <c r="GC855">
        <v>15.777770515583182</v>
      </c>
      <c r="GD855">
        <v>10.427023562899482</v>
      </c>
      <c r="GE855">
        <v>20.520506878293904</v>
      </c>
      <c r="GF855">
        <v>35.561651138742207</v>
      </c>
      <c r="GG855">
        <v>30.659135745512529</v>
      </c>
      <c r="GH855">
        <v>15.316136242515093</v>
      </c>
      <c r="GI855">
        <v>22.225444864729194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80.135506793496219</v>
      </c>
      <c r="AO856">
        <v>33.869013484204352</v>
      </c>
      <c r="AP856">
        <v>242.7606869512602</v>
      </c>
      <c r="AQ856">
        <v>200.42937592434464</v>
      </c>
      <c r="AR856">
        <v>30.885353548938649</v>
      </c>
      <c r="AS856">
        <v>145.73417304119806</v>
      </c>
      <c r="AT856" t="e">
        <v>#DIV/0!</v>
      </c>
      <c r="AU856" t="e">
        <v>#DIV/0!</v>
      </c>
      <c r="AV856"/>
      <c r="AW856"/>
      <c r="FY856" s="211">
        <v>851</v>
      </c>
      <c r="FZ856">
        <v>1.1316485116057733</v>
      </c>
      <c r="GA856">
        <v>12.045227597767795</v>
      </c>
      <c r="GB856">
        <v>12.710684587820856</v>
      </c>
      <c r="GC856">
        <v>11.390088943847346</v>
      </c>
      <c r="GD856">
        <v>10.986371958588594</v>
      </c>
      <c r="GE856">
        <v>21.353069284350184</v>
      </c>
      <c r="GF856">
        <v>30.994295395312133</v>
      </c>
      <c r="GG856">
        <v>19.599365604424158</v>
      </c>
      <c r="GH856">
        <v>10.897365833269296</v>
      </c>
      <c r="GI856">
        <v>17.625466204439608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77.262587759462747</v>
      </c>
      <c r="AO857">
        <v>31.000280524423498</v>
      </c>
      <c r="AP857">
        <v>192.09469490076495</v>
      </c>
      <c r="AQ857">
        <v>162.21373067002511</v>
      </c>
      <c r="AR857">
        <v>28.189353913924879</v>
      </c>
      <c r="AS857">
        <v>133.98562881380866</v>
      </c>
      <c r="AT857">
        <v>20.983772518506232</v>
      </c>
      <c r="AU857">
        <v>43.049935920110222</v>
      </c>
      <c r="AV857"/>
      <c r="AW857"/>
      <c r="FY857" s="211">
        <v>852</v>
      </c>
      <c r="FZ857">
        <v>5.8476971945731666</v>
      </c>
      <c r="GA857">
        <v>18.910380344685336</v>
      </c>
      <c r="GB857">
        <v>15.432160472951598</v>
      </c>
      <c r="GC857">
        <v>14.289166734942494</v>
      </c>
      <c r="GD857">
        <v>11.151827151962651</v>
      </c>
      <c r="GE857">
        <v>24.086791424799873</v>
      </c>
      <c r="GF857">
        <v>36.157639654515577</v>
      </c>
      <c r="GG857">
        <v>19.840342686005684</v>
      </c>
      <c r="GH857">
        <v>17.769693822075247</v>
      </c>
      <c r="GI857">
        <v>21.143646567308494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75.456273578832295</v>
      </c>
      <c r="AO858">
        <v>26.839554719452273</v>
      </c>
      <c r="AP858">
        <v>147.64666169975391</v>
      </c>
      <c r="AQ858">
        <v>139.64453908794269</v>
      </c>
      <c r="AR858">
        <v>24.147414705802781</v>
      </c>
      <c r="AS858">
        <v>116.22260147808574</v>
      </c>
      <c r="AT858" t="e">
        <v>#DIV/0!</v>
      </c>
      <c r="AU858" t="e">
        <v>#DIV/0!</v>
      </c>
      <c r="AV858"/>
      <c r="AW858"/>
      <c r="FY858" s="211">
        <v>853</v>
      </c>
      <c r="FZ858">
        <v>1.2701518149474067</v>
      </c>
      <c r="GA858">
        <v>12.620315014025618</v>
      </c>
      <c r="GB858">
        <v>21.788390192012443</v>
      </c>
      <c r="GC858">
        <v>18.478591154388617</v>
      </c>
      <c r="GD858">
        <v>14.222166247458752</v>
      </c>
      <c r="GE858">
        <v>24.988356494797586</v>
      </c>
      <c r="GF858">
        <v>28.533612091137059</v>
      </c>
      <c r="GG858">
        <v>18.168183755983723</v>
      </c>
      <c r="GH858">
        <v>12.623523914471548</v>
      </c>
      <c r="GI858">
        <v>21.636527727787453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71.709776338259047</v>
      </c>
      <c r="AO859">
        <v>26.872770799412706</v>
      </c>
      <c r="AP859">
        <v>162.93189138282273</v>
      </c>
      <c r="AQ859">
        <v>141.49642267423468</v>
      </c>
      <c r="AR859">
        <v>24.257239620735255</v>
      </c>
      <c r="AS859">
        <v>114.09076116555296</v>
      </c>
      <c r="AT859">
        <v>17.92909985740167</v>
      </c>
      <c r="AU859">
        <v>46.76002351194191</v>
      </c>
      <c r="AV859"/>
      <c r="AW859"/>
      <c r="FY859" s="211">
        <v>854</v>
      </c>
      <c r="FZ859">
        <v>3.913565202759659</v>
      </c>
      <c r="GA859">
        <v>13.995771287112971</v>
      </c>
      <c r="GB859">
        <v>22.961819159970304</v>
      </c>
      <c r="GC859">
        <v>16.45816155181738</v>
      </c>
      <c r="GD859">
        <v>10.560778746188017</v>
      </c>
      <c r="GE859">
        <v>21.661267715380461</v>
      </c>
      <c r="GF859">
        <v>20.451245885812142</v>
      </c>
      <c r="GG859">
        <v>14.208770658619702</v>
      </c>
      <c r="GH859">
        <v>17.95492967334966</v>
      </c>
      <c r="GI859">
        <v>19.397169591582177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70.856346589127455</v>
      </c>
      <c r="AO860">
        <v>24.430602549317474</v>
      </c>
      <c r="AP860">
        <v>144.34992665535879</v>
      </c>
      <c r="AQ860">
        <v>129.66409627752302</v>
      </c>
      <c r="AR860">
        <v>22.289146773504303</v>
      </c>
      <c r="AS860">
        <v>137.40011220265393</v>
      </c>
      <c r="AT860" t="e">
        <v>#DIV/0!</v>
      </c>
      <c r="AU860" t="e">
        <v>#DIV/0!</v>
      </c>
      <c r="AV860"/>
      <c r="AW860"/>
      <c r="FY860" s="211">
        <v>855</v>
      </c>
      <c r="FZ860">
        <v>4.1120792810480333</v>
      </c>
      <c r="GA860">
        <v>17.184003503856125</v>
      </c>
      <c r="GB860">
        <v>13.101901298101925</v>
      </c>
      <c r="GC860">
        <v>10.506901648446451</v>
      </c>
      <c r="GD860">
        <v>10.197378170248996</v>
      </c>
      <c r="GE860">
        <v>25.273740341603759</v>
      </c>
      <c r="GF860">
        <v>34.477552139310838</v>
      </c>
      <c r="GG860">
        <v>18.05429759663469</v>
      </c>
      <c r="GH860">
        <v>14.040081433595432</v>
      </c>
      <c r="GI860">
        <v>18.77963130177244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72.69665213062072</v>
      </c>
      <c r="AO861">
        <v>31.4664845062455</v>
      </c>
      <c r="AP861">
        <v>211.9682058608341</v>
      </c>
      <c r="AQ861">
        <v>177.3268498771956</v>
      </c>
      <c r="AR861">
        <v>29.208368533943574</v>
      </c>
      <c r="AS861">
        <v>134.71011329500888</v>
      </c>
      <c r="AT861">
        <v>21.969616578855469</v>
      </c>
      <c r="AU861">
        <v>27.755279272309409</v>
      </c>
      <c r="AV861"/>
      <c r="AW861"/>
      <c r="FY861" s="211">
        <v>856</v>
      </c>
      <c r="FZ861">
        <v>4.0083165594022336</v>
      </c>
      <c r="GA861">
        <v>14.410935482747032</v>
      </c>
      <c r="GB861">
        <v>27.527699417305726</v>
      </c>
      <c r="GC861">
        <v>19.029026013477434</v>
      </c>
      <c r="GD861">
        <v>7.9475090214821016</v>
      </c>
      <c r="GE861">
        <v>17.810475766360845</v>
      </c>
      <c r="GF861">
        <v>37.185793495837089</v>
      </c>
      <c r="GG861">
        <v>33.399793534460379</v>
      </c>
      <c r="GH861">
        <v>27.071568586309414</v>
      </c>
      <c r="GI861">
        <v>23.663806743737297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69.499697679530442</v>
      </c>
      <c r="AO862">
        <v>25.025572061588907</v>
      </c>
      <c r="AP862">
        <v>170.99349847858167</v>
      </c>
      <c r="AQ862">
        <v>141.52004520307537</v>
      </c>
      <c r="AR862">
        <v>23.028423705216213</v>
      </c>
      <c r="AS862">
        <v>115.00022502926714</v>
      </c>
      <c r="AT862">
        <v>17.112696981044923</v>
      </c>
      <c r="AU862">
        <v>33.968318962162527</v>
      </c>
      <c r="AV862"/>
      <c r="AW862"/>
      <c r="FY862" s="211">
        <v>857</v>
      </c>
      <c r="FZ862">
        <v>3.6324828390749273</v>
      </c>
      <c r="GA862">
        <v>27.756656767532327</v>
      </c>
      <c r="GB862">
        <v>18.658892423785062</v>
      </c>
      <c r="GC862">
        <v>10.486305898008478</v>
      </c>
      <c r="GD862">
        <v>12.346102317998316</v>
      </c>
      <c r="GE862">
        <v>28.484825007753418</v>
      </c>
      <c r="GF862">
        <v>36.277187126186448</v>
      </c>
      <c r="GG862">
        <v>23.320068168150769</v>
      </c>
      <c r="GH862">
        <v>16.90147650665082</v>
      </c>
      <c r="GI862">
        <v>22.207592961866681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88.380323704819673</v>
      </c>
      <c r="AO863">
        <v>33.618110350718965</v>
      </c>
      <c r="AP863">
        <v>229.467046825409</v>
      </c>
      <c r="AQ863">
        <v>195.61567526282124</v>
      </c>
      <c r="AR863">
        <v>30.812893856763004</v>
      </c>
      <c r="AS863">
        <v>143.16914985584211</v>
      </c>
      <c r="AT863" t="e">
        <v>#DIV/0!</v>
      </c>
      <c r="AU863" t="e">
        <v>#DIV/0!</v>
      </c>
      <c r="AV863"/>
      <c r="AW863"/>
      <c r="FY863" s="211">
        <v>858</v>
      </c>
      <c r="FZ863">
        <v>2.3758495624698299</v>
      </c>
      <c r="GA863">
        <v>12.856941533879443</v>
      </c>
      <c r="GB863">
        <v>11.180226965694018</v>
      </c>
      <c r="GC863">
        <v>7.00098074318573</v>
      </c>
      <c r="GD863">
        <v>7.3749557642209513</v>
      </c>
      <c r="GE863">
        <v>16.190545728937739</v>
      </c>
      <c r="GF863">
        <v>20.467922198684271</v>
      </c>
      <c r="GG863">
        <v>24.297974623944619</v>
      </c>
      <c r="GH863">
        <v>22.729289182250209</v>
      </c>
      <c r="GI863">
        <v>15.085285379236536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60.931049104844284</v>
      </c>
      <c r="AO864">
        <v>25.886571231898738</v>
      </c>
      <c r="AP864">
        <v>177.61711699301523</v>
      </c>
      <c r="AQ864">
        <v>150.35128175383534</v>
      </c>
      <c r="AR864">
        <v>23.673944151773373</v>
      </c>
      <c r="AS864">
        <v>110.20084854002259</v>
      </c>
      <c r="AT864">
        <v>18.180878960094031</v>
      </c>
      <c r="AU864">
        <v>15.876655296124705</v>
      </c>
      <c r="AV864"/>
      <c r="AW864"/>
      <c r="FY864" s="211">
        <v>859</v>
      </c>
      <c r="FZ864">
        <v>2.4125741793936641</v>
      </c>
      <c r="GA864">
        <v>19.423039086725332</v>
      </c>
      <c r="GB864">
        <v>24.270148638680009</v>
      </c>
      <c r="GC864">
        <v>16.251651919397208</v>
      </c>
      <c r="GD864">
        <v>10.342836612878074</v>
      </c>
      <c r="GE864">
        <v>21.202164833183041</v>
      </c>
      <c r="GF864">
        <v>39.302584950085937</v>
      </c>
      <c r="GG864">
        <v>19.07404769865899</v>
      </c>
      <c r="GH864">
        <v>4.1569178080375897</v>
      </c>
      <c r="GI864">
        <v>20.75040690533551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94.015583045010487</v>
      </c>
      <c r="AO865">
        <v>33.500825264154095</v>
      </c>
      <c r="AP865">
        <v>216.59622699248331</v>
      </c>
      <c r="AQ865">
        <v>191.72544711817307</v>
      </c>
      <c r="AR865">
        <v>30.089591849758019</v>
      </c>
      <c r="AS865">
        <v>152.18234629128975</v>
      </c>
      <c r="AT865">
        <v>23.017503626667178</v>
      </c>
      <c r="AU865">
        <v>41.610370756064299</v>
      </c>
      <c r="AV865"/>
      <c r="AW865"/>
      <c r="FY865" s="211">
        <v>860</v>
      </c>
      <c r="FZ865">
        <v>3.3574569211628642</v>
      </c>
      <c r="GA865">
        <v>30.211587869835455</v>
      </c>
      <c r="GB865">
        <v>19.826279324117465</v>
      </c>
      <c r="GC865">
        <v>10.599965752050991</v>
      </c>
      <c r="GD865">
        <v>10.272647190318565</v>
      </c>
      <c r="GE865">
        <v>21.029858234472471</v>
      </c>
      <c r="GF865">
        <v>29.405544406978461</v>
      </c>
      <c r="GG865">
        <v>22.329811349460261</v>
      </c>
      <c r="GH865">
        <v>17.987752586226669</v>
      </c>
      <c r="GI865">
        <v>20.034830595498565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90.392305395991059</v>
      </c>
      <c r="AO866">
        <v>33.595930102555968</v>
      </c>
      <c r="AP866">
        <v>234.80953988759919</v>
      </c>
      <c r="AQ866">
        <v>193.96241927604416</v>
      </c>
      <c r="AR866">
        <v>30.877751153363089</v>
      </c>
      <c r="AS866">
        <v>152.09829080694078</v>
      </c>
      <c r="AT866">
        <v>22.99243651674297</v>
      </c>
      <c r="AU866">
        <v>25.745650645247395</v>
      </c>
      <c r="AV866"/>
      <c r="AW866"/>
      <c r="FY866" s="211">
        <v>861</v>
      </c>
      <c r="FZ866">
        <v>4.9290187669785919</v>
      </c>
      <c r="GA866">
        <v>27.79608534419388</v>
      </c>
      <c r="GB866">
        <v>28.432023163146148</v>
      </c>
      <c r="GC866">
        <v>11.468503600127894</v>
      </c>
      <c r="GD866">
        <v>8.7518567840422214</v>
      </c>
      <c r="GE866">
        <v>20.811754988164349</v>
      </c>
      <c r="GF866">
        <v>24.49132426237389</v>
      </c>
      <c r="GG866">
        <v>24.122424881053309</v>
      </c>
      <c r="GH866">
        <v>19.093496591865069</v>
      </c>
      <c r="GI866">
        <v>20.763042573772022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59.048628101863969</v>
      </c>
      <c r="AO867">
        <v>26.804433160779553</v>
      </c>
      <c r="AP867">
        <v>173.25544871332261</v>
      </c>
      <c r="AQ867">
        <v>148.73358392142578</v>
      </c>
      <c r="AR867">
        <v>24.11481271540725</v>
      </c>
      <c r="AS867">
        <v>116.9920117614793</v>
      </c>
      <c r="AT867">
        <v>18.836982744873882</v>
      </c>
      <c r="AU867">
        <v>23.598819670630391</v>
      </c>
      <c r="AV867"/>
      <c r="AW867"/>
      <c r="FY867" s="211">
        <v>862</v>
      </c>
      <c r="FZ867">
        <v>3.5534522569366067</v>
      </c>
      <c r="GA867">
        <v>21.743421263189504</v>
      </c>
      <c r="GB867">
        <v>15.459655334358587</v>
      </c>
      <c r="GC867">
        <v>13.711310739262366</v>
      </c>
      <c r="GD867">
        <v>16.215799860091398</v>
      </c>
      <c r="GE867">
        <v>21.832123345938005</v>
      </c>
      <c r="GF867">
        <v>19.655904744339345</v>
      </c>
      <c r="GG867">
        <v>25.138535430464714</v>
      </c>
      <c r="GH867">
        <v>20.174164744610913</v>
      </c>
      <c r="GI867">
        <v>21.13219119438471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75.541111612073422</v>
      </c>
      <c r="AO868">
        <v>31.82250090884159</v>
      </c>
      <c r="AP868">
        <v>216.85392293152356</v>
      </c>
      <c r="AQ868">
        <v>184.62934605382014</v>
      </c>
      <c r="AR868">
        <v>28.569414323186283</v>
      </c>
      <c r="AS868">
        <v>139.13852448417913</v>
      </c>
      <c r="AT868">
        <v>22.702908003189393</v>
      </c>
      <c r="AU868">
        <v>49.1058824023673</v>
      </c>
      <c r="AV868"/>
      <c r="AW868"/>
      <c r="FY868" s="211">
        <v>863</v>
      </c>
      <c r="FZ868">
        <v>3.0787841995257916</v>
      </c>
      <c r="GA868">
        <v>20.216982577997491</v>
      </c>
      <c r="GB868">
        <v>35.367156593615739</v>
      </c>
      <c r="GC868">
        <v>19.185630240475504</v>
      </c>
      <c r="GD868">
        <v>8.788107228448979</v>
      </c>
      <c r="GE868">
        <v>21.164744408309641</v>
      </c>
      <c r="GF868">
        <v>27.745938012441712</v>
      </c>
      <c r="GG868">
        <v>28.133837990501309</v>
      </c>
      <c r="GH868">
        <v>26.523102637862753</v>
      </c>
      <c r="GI868">
        <v>24.107382271765527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77.006370754776611</v>
      </c>
      <c r="AO869">
        <v>32.984983687899998</v>
      </c>
      <c r="AP869">
        <v>200.43880434518212</v>
      </c>
      <c r="AQ869">
        <v>174.32981840701024</v>
      </c>
      <c r="AR869">
        <v>29.710033803291015</v>
      </c>
      <c r="AS869">
        <v>144.30748690003128</v>
      </c>
      <c r="AT869" t="e">
        <v>#DIV/0!</v>
      </c>
      <c r="AU869" t="e">
        <v>#DIV/0!</v>
      </c>
      <c r="AV869"/>
      <c r="AW869"/>
      <c r="FY869" s="211">
        <v>864</v>
      </c>
      <c r="FZ869">
        <v>2.8762424409768022</v>
      </c>
      <c r="GA869">
        <v>18.756409825689691</v>
      </c>
      <c r="GB869">
        <v>20.334857046051095</v>
      </c>
      <c r="GC869">
        <v>13.315205410186463</v>
      </c>
      <c r="GD869">
        <v>11.897490947155362</v>
      </c>
      <c r="GE869">
        <v>29.853798927437847</v>
      </c>
      <c r="GF869">
        <v>34.655498322085514</v>
      </c>
      <c r="GG869">
        <v>31.308619563606918</v>
      </c>
      <c r="GH869">
        <v>32.560161968868492</v>
      </c>
      <c r="GI869">
        <v>24.422777362226864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78.233059389306547</v>
      </c>
      <c r="AO870">
        <v>29.269506553705234</v>
      </c>
      <c r="AP870">
        <v>189.84699392400472</v>
      </c>
      <c r="AQ870">
        <v>161.56347947259249</v>
      </c>
      <c r="AR870">
        <v>26.573539427699025</v>
      </c>
      <c r="AS870">
        <v>128.86545886504337</v>
      </c>
      <c r="AT870">
        <v>19.86426273526666</v>
      </c>
      <c r="AU870">
        <v>42.38116169156968</v>
      </c>
      <c r="AV870"/>
      <c r="AW870"/>
      <c r="FY870" s="211">
        <v>865</v>
      </c>
      <c r="FZ870">
        <v>3.9334595210703407</v>
      </c>
      <c r="GA870">
        <v>15.829817392034126</v>
      </c>
      <c r="GB870">
        <v>28.05952850347775</v>
      </c>
      <c r="GC870">
        <v>16.718654914791902</v>
      </c>
      <c r="GD870">
        <v>10.805672445684602</v>
      </c>
      <c r="GE870">
        <v>22.414451913969327</v>
      </c>
      <c r="GF870">
        <v>31.941906077373709</v>
      </c>
      <c r="GG870">
        <v>22.103341844802269</v>
      </c>
      <c r="GH870">
        <v>7.5113898711519802</v>
      </c>
      <c r="GI870">
        <v>21.308519308658553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72.369120074719703</v>
      </c>
      <c r="AO871">
        <v>28.43353079572325</v>
      </c>
      <c r="AP871">
        <v>193.14336428783611</v>
      </c>
      <c r="AQ871">
        <v>165.72756671461866</v>
      </c>
      <c r="AR871">
        <v>25.29216536540287</v>
      </c>
      <c r="AS871">
        <v>123.07636579480979</v>
      </c>
      <c r="AT871">
        <v>19.838061150850603</v>
      </c>
      <c r="AU871">
        <v>41.774518123376652</v>
      </c>
      <c r="AV871"/>
      <c r="AW871"/>
      <c r="FY871" s="211">
        <v>866</v>
      </c>
      <c r="FZ871">
        <v>4.4194027219862289</v>
      </c>
      <c r="GA871">
        <v>23.788261503625616</v>
      </c>
      <c r="GB871">
        <v>31.21100327667299</v>
      </c>
      <c r="GC871">
        <v>21.039194681924798</v>
      </c>
      <c r="GD871">
        <v>11.360208515370012</v>
      </c>
      <c r="GE871">
        <v>14.988948814596204</v>
      </c>
      <c r="GF871">
        <v>24.469923183846706</v>
      </c>
      <c r="GG871">
        <v>23.765023326564794</v>
      </c>
      <c r="GH871">
        <v>15.726988555810296</v>
      </c>
      <c r="GI871">
        <v>22.399108728572294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88.150254166674841</v>
      </c>
      <c r="AO872">
        <v>35.922410454802517</v>
      </c>
      <c r="AP872">
        <v>266.7610218065912</v>
      </c>
      <c r="AQ872">
        <v>212.05492462111954</v>
      </c>
      <c r="AR872">
        <v>32.600307957552211</v>
      </c>
      <c r="AS872">
        <v>155.46346320946461</v>
      </c>
      <c r="AT872">
        <v>24.572031731370544</v>
      </c>
      <c r="AU872">
        <v>29.573862812952537</v>
      </c>
      <c r="AV872"/>
      <c r="AW872"/>
      <c r="FY872" s="211">
        <v>867</v>
      </c>
      <c r="FZ872">
        <v>8.6326906330080995</v>
      </c>
      <c r="GA872">
        <v>21.005165635105342</v>
      </c>
      <c r="GB872">
        <v>24.769657983443469</v>
      </c>
      <c r="GC872">
        <v>15.431278406468929</v>
      </c>
      <c r="GD872">
        <v>9.4308473634329655</v>
      </c>
      <c r="GE872">
        <v>16.492877433404555</v>
      </c>
      <c r="GF872">
        <v>22.485922800339367</v>
      </c>
      <c r="GG872">
        <v>19.99723368536629</v>
      </c>
      <c r="GH872">
        <v>13.826439802766199</v>
      </c>
      <c r="GI872">
        <v>19.594770448143791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86.538792940354355</v>
      </c>
      <c r="AO873">
        <v>33.672184718053053</v>
      </c>
      <c r="AP873">
        <v>236.59214938676521</v>
      </c>
      <c r="AQ873">
        <v>200.07159001700725</v>
      </c>
      <c r="AR873">
        <v>30.241779041644996</v>
      </c>
      <c r="AS873">
        <v>145.30588734834481</v>
      </c>
      <c r="AT873">
        <v>23.389143840295201</v>
      </c>
      <c r="AU873">
        <v>49.494070033763379</v>
      </c>
      <c r="AV873"/>
      <c r="AW873"/>
      <c r="FY873" s="211">
        <v>868</v>
      </c>
      <c r="FZ873">
        <v>1.4330508004208453</v>
      </c>
      <c r="GA873">
        <v>13.049399633898101</v>
      </c>
      <c r="GB873">
        <v>42.321821669151404</v>
      </c>
      <c r="GC873">
        <v>24.874224233209176</v>
      </c>
      <c r="GD873">
        <v>9.5611003228717166</v>
      </c>
      <c r="GE873">
        <v>24.600377439662523</v>
      </c>
      <c r="GF873">
        <v>27.181184059302403</v>
      </c>
      <c r="GG873">
        <v>16.646676148639418</v>
      </c>
      <c r="GH873">
        <v>15.344416277322708</v>
      </c>
      <c r="GI873">
        <v>24.179287124124095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55.051970612824995</v>
      </c>
      <c r="AO874">
        <v>22.938541734312263</v>
      </c>
      <c r="AP874">
        <v>167.70116816558485</v>
      </c>
      <c r="AQ874">
        <v>139.55997168250335</v>
      </c>
      <c r="AR874">
        <v>20.773178492114425</v>
      </c>
      <c r="AS874">
        <v>101.50488826134536</v>
      </c>
      <c r="AT874" t="e">
        <v>#DIV/0!</v>
      </c>
      <c r="AU874" t="e">
        <v>#DIV/0!</v>
      </c>
      <c r="AV874"/>
      <c r="AW874"/>
      <c r="FY874" s="211">
        <v>869</v>
      </c>
      <c r="FZ874">
        <v>7.2589205460391959</v>
      </c>
      <c r="GA874">
        <v>14.666653220211085</v>
      </c>
      <c r="GB874">
        <v>20.042106311626561</v>
      </c>
      <c r="GC874">
        <v>16.178019153834793</v>
      </c>
      <c r="GD874">
        <v>12.386835020487691</v>
      </c>
      <c r="GE874">
        <v>24.359861736848369</v>
      </c>
      <c r="GF874">
        <v>29.712598201704857</v>
      </c>
      <c r="GG874">
        <v>38.627174503921317</v>
      </c>
      <c r="GH874">
        <v>39.675624574718427</v>
      </c>
      <c r="GI874">
        <v>25.489673274671542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82.144300340997347</v>
      </c>
      <c r="AO875">
        <v>31.395529390156732</v>
      </c>
      <c r="AP875">
        <v>216.04032102735209</v>
      </c>
      <c r="AQ875">
        <v>177.18637263237537</v>
      </c>
      <c r="AR875">
        <v>28.318466635596202</v>
      </c>
      <c r="AS875">
        <v>141.26072420405944</v>
      </c>
      <c r="AT875">
        <v>21.609397511422017</v>
      </c>
      <c r="AU875">
        <v>34.570507362004221</v>
      </c>
      <c r="AV875"/>
      <c r="AW875"/>
      <c r="FY875" s="211">
        <v>870</v>
      </c>
      <c r="FZ875">
        <v>2.2338085558701599</v>
      </c>
      <c r="GA875">
        <v>7.5358232326179646</v>
      </c>
      <c r="GB875">
        <v>25.96765880388158</v>
      </c>
      <c r="GC875">
        <v>20.578438332279251</v>
      </c>
      <c r="GD875">
        <v>11.522193803880159</v>
      </c>
      <c r="GE875">
        <v>22.144190394276944</v>
      </c>
      <c r="GF875">
        <v>32.31938767837957</v>
      </c>
      <c r="GG875">
        <v>25.072971275152341</v>
      </c>
      <c r="GH875">
        <v>22.334574868355279</v>
      </c>
      <c r="GI875">
        <v>23.479295447922642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87.574013885359463</v>
      </c>
      <c r="AO876">
        <v>30.30512910595731</v>
      </c>
      <c r="AP876">
        <v>222.3891754613154</v>
      </c>
      <c r="AQ876">
        <v>185.05573423012177</v>
      </c>
      <c r="AR876">
        <v>27.358930117822375</v>
      </c>
      <c r="AS876">
        <v>134.74512904396704</v>
      </c>
      <c r="AT876">
        <v>20.566846598910079</v>
      </c>
      <c r="AU876">
        <v>44.344703182501966</v>
      </c>
      <c r="AV876"/>
      <c r="AW876"/>
      <c r="FY876" s="211">
        <v>871</v>
      </c>
      <c r="FZ876">
        <v>1.7855721695426716</v>
      </c>
      <c r="GA876">
        <v>8.8371644689991644</v>
      </c>
      <c r="GB876">
        <v>15.453464610171231</v>
      </c>
      <c r="GC876">
        <v>14.508400157112817</v>
      </c>
      <c r="GD876">
        <v>11.634467822355276</v>
      </c>
      <c r="GE876">
        <v>22.725028887979885</v>
      </c>
      <c r="GF876">
        <v>27.373643180358449</v>
      </c>
      <c r="GG876">
        <v>16.256083933536488</v>
      </c>
      <c r="GH876">
        <v>14.690114240121233</v>
      </c>
      <c r="GI876">
        <v>18.655806691855645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81.77403847517617</v>
      </c>
      <c r="AO877">
        <v>31.293386868865252</v>
      </c>
      <c r="AP877">
        <v>235.60539675383126</v>
      </c>
      <c r="AQ877">
        <v>190.65953095571737</v>
      </c>
      <c r="AR877">
        <v>28.777548761715352</v>
      </c>
      <c r="AS877">
        <v>146.2381877399531</v>
      </c>
      <c r="AT877">
        <v>21.31918129683422</v>
      </c>
      <c r="AU877">
        <v>29.636979594773155</v>
      </c>
      <c r="AV877"/>
      <c r="AW877"/>
      <c r="FY877" s="211">
        <v>872</v>
      </c>
      <c r="FZ877">
        <v>1.8882883233409851</v>
      </c>
      <c r="GA877">
        <v>8.434651631549773</v>
      </c>
      <c r="GB877">
        <v>8.8144518824552254</v>
      </c>
      <c r="GC877">
        <v>9.1298952715698451</v>
      </c>
      <c r="GD877">
        <v>9.456452679834074</v>
      </c>
      <c r="GE877">
        <v>14.578908340527462</v>
      </c>
      <c r="GF877">
        <v>22.95339874196355</v>
      </c>
      <c r="GG877">
        <v>22.164424263927849</v>
      </c>
      <c r="GH877">
        <v>14.097980199364994</v>
      </c>
      <c r="GI877">
        <v>14.771069663414472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78.130016534526021</v>
      </c>
      <c r="AO878">
        <v>32.195590652951907</v>
      </c>
      <c r="AP878">
        <v>201.08966570864027</v>
      </c>
      <c r="AQ878">
        <v>178.61655891357617</v>
      </c>
      <c r="AR878">
        <v>29.538263704928973</v>
      </c>
      <c r="AS878">
        <v>172.15019731166103</v>
      </c>
      <c r="AT878" t="e">
        <v>#DIV/0!</v>
      </c>
      <c r="AU878" t="e">
        <v>#DIV/0!</v>
      </c>
      <c r="AV878"/>
      <c r="AW878"/>
      <c r="FY878" s="211">
        <v>873</v>
      </c>
      <c r="FZ878">
        <v>6.7329351584106698</v>
      </c>
      <c r="GA878">
        <v>12.631261809767423</v>
      </c>
      <c r="GB878">
        <v>16.662500168049121</v>
      </c>
      <c r="GC878">
        <v>13.034843064667758</v>
      </c>
      <c r="GD878">
        <v>10.257528365667779</v>
      </c>
      <c r="GE878">
        <v>21.032818768479121</v>
      </c>
      <c r="GF878">
        <v>27.2659780185401</v>
      </c>
      <c r="GG878">
        <v>25.026301268128055</v>
      </c>
      <c r="GH878">
        <v>18.079294384153613</v>
      </c>
      <c r="GI878">
        <v>19.426995344563341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93.481128729030544</v>
      </c>
      <c r="AO879">
        <v>36.731866875000684</v>
      </c>
      <c r="AP879">
        <v>267.85838936110059</v>
      </c>
      <c r="AQ879">
        <v>214.31166616094447</v>
      </c>
      <c r="AR879">
        <v>33.338936210713946</v>
      </c>
      <c r="AS879">
        <v>154.64049788683317</v>
      </c>
      <c r="AT879">
        <v>24.519925334403357</v>
      </c>
      <c r="AU879">
        <v>46.995263102527453</v>
      </c>
      <c r="AV879"/>
      <c r="AW879"/>
      <c r="FY879" s="211">
        <v>874</v>
      </c>
      <c r="FZ879">
        <v>2.1444664907898532</v>
      </c>
      <c r="GA879">
        <v>5.830707825978612</v>
      </c>
      <c r="GB879">
        <v>31.38381806524086</v>
      </c>
      <c r="GC879">
        <v>24.184816589466109</v>
      </c>
      <c r="GD879">
        <v>11.204498987389464</v>
      </c>
      <c r="GE879">
        <v>21.407329921890046</v>
      </c>
      <c r="GF879">
        <v>24.094417862866088</v>
      </c>
      <c r="GG879">
        <v>39.701409114739697</v>
      </c>
      <c r="GH879">
        <v>51.256666246670889</v>
      </c>
      <c r="GI879">
        <v>27.660768662497251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88.728711885256274</v>
      </c>
      <c r="AO880">
        <v>37.175419574512937</v>
      </c>
      <c r="AP880">
        <v>261.62122732405317</v>
      </c>
      <c r="AQ880">
        <v>219.98106181428508</v>
      </c>
      <c r="AR880">
        <v>33.308012015852292</v>
      </c>
      <c r="AS880">
        <v>155.24396752459879</v>
      </c>
      <c r="AT880">
        <v>25.717293176112772</v>
      </c>
      <c r="AU880">
        <v>40.758533935271821</v>
      </c>
      <c r="AV880"/>
      <c r="AW880"/>
      <c r="FY880" s="211">
        <v>875</v>
      </c>
      <c r="FZ880">
        <v>1.6016508045481745</v>
      </c>
      <c r="GA880">
        <v>7.8231290276779006</v>
      </c>
      <c r="GB880">
        <v>11.365062523526582</v>
      </c>
      <c r="GC880">
        <v>14.683479485815305</v>
      </c>
      <c r="GD880">
        <v>14.403991620671192</v>
      </c>
      <c r="GE880">
        <v>22.679146135203645</v>
      </c>
      <c r="GF880">
        <v>24.148272261749767</v>
      </c>
      <c r="GG880">
        <v>20.158096346590177</v>
      </c>
      <c r="GH880">
        <v>19.4237780314131</v>
      </c>
      <c r="GI880">
        <v>19.420517535419254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91.054806793994743</v>
      </c>
      <c r="AO881">
        <v>32.347257056410747</v>
      </c>
      <c r="AP881">
        <v>217.30760195541808</v>
      </c>
      <c r="AQ881">
        <v>180.62674179301456</v>
      </c>
      <c r="AR881">
        <v>29.428512126945137</v>
      </c>
      <c r="AS881">
        <v>148.03554256982699</v>
      </c>
      <c r="AT881" t="e">
        <v>#DIV/0!</v>
      </c>
      <c r="AU881" t="e">
        <v>#DIV/0!</v>
      </c>
      <c r="AV881"/>
      <c r="AW881"/>
      <c r="FY881" s="211">
        <v>876</v>
      </c>
      <c r="FZ881">
        <v>3.9133931460312747</v>
      </c>
      <c r="GA881">
        <v>14.944355583611832</v>
      </c>
      <c r="GB881">
        <v>13.175723795433965</v>
      </c>
      <c r="GC881">
        <v>11.296710337875695</v>
      </c>
      <c r="GD881">
        <v>8.9933195646020465</v>
      </c>
      <c r="GE881">
        <v>16.156846297663346</v>
      </c>
      <c r="GF881">
        <v>30.276064250101662</v>
      </c>
      <c r="GG881">
        <v>25.639404539921063</v>
      </c>
      <c r="GH881">
        <v>19.556723043747954</v>
      </c>
      <c r="GI881">
        <v>18.114239022851997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90.899680471116412</v>
      </c>
      <c r="AO882">
        <v>34.125164450061689</v>
      </c>
      <c r="AP882">
        <v>235.51213121919631</v>
      </c>
      <c r="AQ882">
        <v>193.16806330896992</v>
      </c>
      <c r="AR882">
        <v>31.173489096077521</v>
      </c>
      <c r="AS882">
        <v>145.60393991448555</v>
      </c>
      <c r="AT882" t="e">
        <v>#DIV/0!</v>
      </c>
      <c r="AU882" t="e">
        <v>#DIV/0!</v>
      </c>
      <c r="AV882"/>
      <c r="AW882"/>
      <c r="FY882" s="211">
        <v>877</v>
      </c>
      <c r="FZ882">
        <v>4.8142300563225415</v>
      </c>
      <c r="GA882">
        <v>11.988489908536515</v>
      </c>
      <c r="GB882">
        <v>13.179637747746899</v>
      </c>
      <c r="GC882">
        <v>9.1163647448412739</v>
      </c>
      <c r="GD882">
        <v>6.8165031474352924</v>
      </c>
      <c r="GE882">
        <v>18.645959492212459</v>
      </c>
      <c r="GF882">
        <v>28.19111176415942</v>
      </c>
      <c r="GG882">
        <v>22.914685016574609</v>
      </c>
      <c r="GH882">
        <v>18.685533353622631</v>
      </c>
      <c r="GI882">
        <v>16.450746198848879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88.61692699837127</v>
      </c>
      <c r="AO883">
        <v>29.470025718599555</v>
      </c>
      <c r="AP883">
        <v>207.11456686201632</v>
      </c>
      <c r="AQ883">
        <v>171.66688419147903</v>
      </c>
      <c r="AR883">
        <v>27.248245899868664</v>
      </c>
      <c r="AS883">
        <v>136.08837356340601</v>
      </c>
      <c r="AT883">
        <v>20.077999944540334</v>
      </c>
      <c r="AU883">
        <v>33.758634779479479</v>
      </c>
      <c r="AV883"/>
      <c r="AW883"/>
      <c r="FY883" s="211">
        <v>878</v>
      </c>
      <c r="FZ883">
        <v>4.8189510349991185</v>
      </c>
      <c r="GA883">
        <v>23.188414781703806</v>
      </c>
      <c r="GB883">
        <v>21.502367496428448</v>
      </c>
      <c r="GC883">
        <v>14.80110981493954</v>
      </c>
      <c r="GD883">
        <v>13.38557442237288</v>
      </c>
      <c r="GE883">
        <v>27.721376078880539</v>
      </c>
      <c r="GF883">
        <v>41.222130422837395</v>
      </c>
      <c r="GG883">
        <v>45.198017006174581</v>
      </c>
      <c r="GH883">
        <v>38.749634238271639</v>
      </c>
      <c r="GI883">
        <v>28.194841229752161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91.254037760902662</v>
      </c>
      <c r="AO884">
        <v>36.9866663443878</v>
      </c>
      <c r="AP884">
        <v>246.86295620354588</v>
      </c>
      <c r="AQ884">
        <v>199.1915377086024</v>
      </c>
      <c r="AR884">
        <v>33.224137566695653</v>
      </c>
      <c r="AS884">
        <v>162.66581975484775</v>
      </c>
      <c r="AT884" t="e">
        <v>#DIV/0!</v>
      </c>
      <c r="AU884" t="e">
        <v>#DIV/0!</v>
      </c>
      <c r="AV884"/>
      <c r="AW884"/>
      <c r="FY884" s="211">
        <v>879</v>
      </c>
      <c r="FZ884">
        <v>7.0655622092218149</v>
      </c>
      <c r="GA884">
        <v>12.7031689047291</v>
      </c>
      <c r="GB884">
        <v>17.068712020581525</v>
      </c>
      <c r="GC884">
        <v>15.591181316760791</v>
      </c>
      <c r="GD884">
        <v>9.0990182489257592</v>
      </c>
      <c r="GE884">
        <v>16.269795545774272</v>
      </c>
      <c r="GF884">
        <v>26.039986260080408</v>
      </c>
      <c r="GG884">
        <v>13.331537632045123</v>
      </c>
      <c r="GH884">
        <v>8.6530549091154914</v>
      </c>
      <c r="GI884">
        <v>17.080041501444136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97.593382986689434</v>
      </c>
      <c r="AO885">
        <v>38.579090806334037</v>
      </c>
      <c r="AP885">
        <v>271.72653897171921</v>
      </c>
      <c r="AQ885">
        <v>228.39746654406383</v>
      </c>
      <c r="AR885">
        <v>35.281805322956266</v>
      </c>
      <c r="AS885">
        <v>173.58221543297608</v>
      </c>
      <c r="AT885">
        <v>26.31243046298783</v>
      </c>
      <c r="AU885">
        <v>31.909636782083783</v>
      </c>
      <c r="AV885"/>
      <c r="AW885"/>
      <c r="FY885" s="211">
        <v>880</v>
      </c>
      <c r="FZ885">
        <v>4.1769165635295629</v>
      </c>
      <c r="GA885">
        <v>17.697502998330627</v>
      </c>
      <c r="GB885">
        <v>19.583694413911161</v>
      </c>
      <c r="GC885">
        <v>13.791529172083862</v>
      </c>
      <c r="GD885">
        <v>11.159644810011329</v>
      </c>
      <c r="GE885">
        <v>18.717283247138226</v>
      </c>
      <c r="GF885">
        <v>27.831926704998391</v>
      </c>
      <c r="GG885">
        <v>18.418768184697569</v>
      </c>
      <c r="GH885">
        <v>6.7120422456768827</v>
      </c>
      <c r="GI885">
        <v>18.578851328723861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80.926882704861342</v>
      </c>
      <c r="AO886">
        <v>35.256356918306714</v>
      </c>
      <c r="AP886">
        <v>232.52695984925947</v>
      </c>
      <c r="AQ886">
        <v>193.18834239261588</v>
      </c>
      <c r="AR886">
        <v>32.366393794901953</v>
      </c>
      <c r="AS886">
        <v>150.9703600050936</v>
      </c>
      <c r="AT886">
        <v>24.240358389723045</v>
      </c>
      <c r="AU886">
        <v>28.481126879467197</v>
      </c>
      <c r="AV886"/>
      <c r="AW886"/>
      <c r="FY886" s="211">
        <v>881</v>
      </c>
      <c r="FZ886">
        <v>0.60606253761433304</v>
      </c>
      <c r="GA886">
        <v>12.773202201838199</v>
      </c>
      <c r="GB886">
        <v>20.548268004220279</v>
      </c>
      <c r="GC886">
        <v>17.86012985463487</v>
      </c>
      <c r="GD886">
        <v>13.082364609480358</v>
      </c>
      <c r="GE886">
        <v>22.510199387280373</v>
      </c>
      <c r="GF886">
        <v>32.282433078697643</v>
      </c>
      <c r="GG886">
        <v>19.835478954547362</v>
      </c>
      <c r="GH886">
        <v>11.305203326764527</v>
      </c>
      <c r="GI886">
        <v>20.998405723931199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66.743136763540306</v>
      </c>
      <c r="AO887">
        <v>28.083077065250432</v>
      </c>
      <c r="AP887">
        <v>174.49406380870863</v>
      </c>
      <c r="AQ887">
        <v>151.91974616203285</v>
      </c>
      <c r="AR887">
        <v>25.418292479487864</v>
      </c>
      <c r="AS887">
        <v>119.4941325531462</v>
      </c>
      <c r="AT887">
        <v>19.517731050998961</v>
      </c>
      <c r="AU887">
        <v>41.470871961571056</v>
      </c>
      <c r="AV887"/>
      <c r="AW887"/>
      <c r="FY887" s="211">
        <v>882</v>
      </c>
      <c r="FZ887">
        <v>4.9350766266727693</v>
      </c>
      <c r="GA887">
        <v>12.034660717179886</v>
      </c>
      <c r="GB887">
        <v>21.041525404880151</v>
      </c>
      <c r="GC887">
        <v>16.396936104750168</v>
      </c>
      <c r="GD887">
        <v>10.45092457972693</v>
      </c>
      <c r="GE887">
        <v>16.993823479552166</v>
      </c>
      <c r="GF887">
        <v>15.914882704448122</v>
      </c>
      <c r="GG887">
        <v>11.68466477043563</v>
      </c>
      <c r="GH887">
        <v>11.018400617410977</v>
      </c>
      <c r="GI887">
        <v>17.07427586980624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53.542631384818876</v>
      </c>
      <c r="AO888">
        <v>22.278214047200166</v>
      </c>
      <c r="AP888">
        <v>146.86807709131378</v>
      </c>
      <c r="AQ888">
        <v>126.28952099794822</v>
      </c>
      <c r="AR888">
        <v>20.476984292647316</v>
      </c>
      <c r="AS888">
        <v>97.076500390353061</v>
      </c>
      <c r="AT888">
        <v>15.684494997328821</v>
      </c>
      <c r="AU888">
        <v>24.314957924117095</v>
      </c>
      <c r="AV888"/>
      <c r="AW888"/>
      <c r="FY888" s="211">
        <v>883</v>
      </c>
      <c r="FZ888">
        <v>1.6673887913313787</v>
      </c>
      <c r="GA888">
        <v>21.546607596158616</v>
      </c>
      <c r="GB888">
        <v>15.256798081738037</v>
      </c>
      <c r="GC888">
        <v>6.4652491839168347</v>
      </c>
      <c r="GD888">
        <v>9.9413622662708558</v>
      </c>
      <c r="GE888">
        <v>23.079510809993995</v>
      </c>
      <c r="GF888">
        <v>29.333282300492773</v>
      </c>
      <c r="GG888">
        <v>25.320067611378715</v>
      </c>
      <c r="GH888">
        <v>17.482765367974491</v>
      </c>
      <c r="GI888">
        <v>18.389526615275905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75.039491758241752</v>
      </c>
      <c r="AO889">
        <v>29.673321191812658</v>
      </c>
      <c r="AP889">
        <v>201.2098937933026</v>
      </c>
      <c r="AQ889">
        <v>170.15045635042696</v>
      </c>
      <c r="AR889">
        <v>26.863777736032848</v>
      </c>
      <c r="AS889">
        <v>126.48161612207289</v>
      </c>
      <c r="AT889" t="e">
        <v>#DIV/0!</v>
      </c>
      <c r="AU889" t="e">
        <v>#DIV/0!</v>
      </c>
      <c r="AV889"/>
      <c r="AW889"/>
      <c r="FY889" s="211">
        <v>884</v>
      </c>
      <c r="FZ889">
        <v>3.8873241255061952</v>
      </c>
      <c r="GA889">
        <v>13.615698038062321</v>
      </c>
      <c r="GB889">
        <v>38.322166288660526</v>
      </c>
      <c r="GC889">
        <v>25.971665772109027</v>
      </c>
      <c r="GD889">
        <v>12.927855233814395</v>
      </c>
      <c r="GE889">
        <v>26.980257368129099</v>
      </c>
      <c r="GF889">
        <v>31.78576924453748</v>
      </c>
      <c r="GG889">
        <v>25.481665821252594</v>
      </c>
      <c r="GH889">
        <v>22.575431485231512</v>
      </c>
      <c r="GI889">
        <v>27.643788799443822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87.800595386596115</v>
      </c>
      <c r="AO890">
        <v>41.9317095138057</v>
      </c>
      <c r="AP890">
        <v>292.61693847668988</v>
      </c>
      <c r="AQ890">
        <v>238.86889976752886</v>
      </c>
      <c r="AR890">
        <v>38.407003202011921</v>
      </c>
      <c r="AS890">
        <v>169.17350848158748</v>
      </c>
      <c r="AT890">
        <v>29.154904887139917</v>
      </c>
      <c r="AU890">
        <v>19.903284147781768</v>
      </c>
      <c r="AV890"/>
      <c r="AW890"/>
      <c r="FY890" s="211">
        <v>885</v>
      </c>
      <c r="FZ890">
        <v>6.8620276831119922</v>
      </c>
      <c r="GA890">
        <v>20.498614375375467</v>
      </c>
      <c r="GB890">
        <v>17.854474389602796</v>
      </c>
      <c r="GC890">
        <v>13.268686018545596</v>
      </c>
      <c r="GD890">
        <v>11.786874565336939</v>
      </c>
      <c r="GE890">
        <v>23.179887146468925</v>
      </c>
      <c r="GF890">
        <v>28.67094746390098</v>
      </c>
      <c r="GG890">
        <v>14.572535689479448</v>
      </c>
      <c r="GH890">
        <v>5.601755361969091</v>
      </c>
      <c r="GI890">
        <v>18.887516138575492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66.344097874643253</v>
      </c>
      <c r="AO891">
        <v>29.301378950850534</v>
      </c>
      <c r="AP891">
        <v>172.70313529361951</v>
      </c>
      <c r="AQ891">
        <v>155.70712377261509</v>
      </c>
      <c r="AR891">
        <v>26.724799664193743</v>
      </c>
      <c r="AS891">
        <v>123.21606909029973</v>
      </c>
      <c r="AT891">
        <v>20.688134315313306</v>
      </c>
      <c r="AU891">
        <v>37.116598981090192</v>
      </c>
      <c r="AV891"/>
      <c r="AW891"/>
      <c r="FY891" s="211">
        <v>886</v>
      </c>
      <c r="FZ891">
        <v>2.4317511637930647</v>
      </c>
      <c r="GA891">
        <v>9.3463574514327021</v>
      </c>
      <c r="GB891">
        <v>17.786575196949759</v>
      </c>
      <c r="GC891">
        <v>15.76491788173746</v>
      </c>
      <c r="GD891">
        <v>11.703111093222367</v>
      </c>
      <c r="GE891">
        <v>16.973330510958618</v>
      </c>
      <c r="GF891">
        <v>23.153177255004696</v>
      </c>
      <c r="GG891">
        <v>23.361166605508849</v>
      </c>
      <c r="GH891">
        <v>15.299683136252524</v>
      </c>
      <c r="GI891">
        <v>18.641231617190872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75.657043281539259</v>
      </c>
      <c r="AO892">
        <v>27.175156638613828</v>
      </c>
      <c r="AP892">
        <v>194.70820994712201</v>
      </c>
      <c r="AQ892">
        <v>162.06677958184082</v>
      </c>
      <c r="AR892">
        <v>24.906958631349475</v>
      </c>
      <c r="AS892">
        <v>127.00609897224149</v>
      </c>
      <c r="AT892">
        <v>18.420511131910533</v>
      </c>
      <c r="AU892">
        <v>24.551653912683321</v>
      </c>
      <c r="AV892"/>
      <c r="AW892"/>
      <c r="FY892" s="211">
        <v>887</v>
      </c>
      <c r="FZ892">
        <v>3.7215069838810386</v>
      </c>
      <c r="GA892">
        <v>24.479962531541204</v>
      </c>
      <c r="GB892">
        <v>22.197463120813946</v>
      </c>
      <c r="GC892">
        <v>11.905891065630382</v>
      </c>
      <c r="GD892">
        <v>11.506897674864856</v>
      </c>
      <c r="GE892">
        <v>18.21548964683285</v>
      </c>
      <c r="GF892">
        <v>19.142634113597055</v>
      </c>
      <c r="GG892">
        <v>17.839949986722608</v>
      </c>
      <c r="GH892">
        <v>10.62689048543111</v>
      </c>
      <c r="GI892">
        <v>18.327623018015231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62.674740389956227</v>
      </c>
      <c r="AO893">
        <v>25.017326467931483</v>
      </c>
      <c r="AP893">
        <v>182.05466790796271</v>
      </c>
      <c r="AQ893">
        <v>150.80326143030052</v>
      </c>
      <c r="AR893">
        <v>22.404487256343984</v>
      </c>
      <c r="AS893">
        <v>108.51370409068991</v>
      </c>
      <c r="AT893" t="e">
        <v>#DIV/0!</v>
      </c>
      <c r="AU893" t="e">
        <v>#DIV/0!</v>
      </c>
      <c r="AV893"/>
      <c r="AW893"/>
      <c r="FY893" s="211">
        <v>888</v>
      </c>
      <c r="FZ893">
        <v>1.86017565778329</v>
      </c>
      <c r="GA893">
        <v>9.8549466107033474</v>
      </c>
      <c r="GB893">
        <v>10.491663382799088</v>
      </c>
      <c r="GC893">
        <v>9.108827740343143</v>
      </c>
      <c r="GD893">
        <v>10.935281327709403</v>
      </c>
      <c r="GE893">
        <v>25.846630327660925</v>
      </c>
      <c r="GF893">
        <v>37.087563684759836</v>
      </c>
      <c r="GG893">
        <v>23.115288076542342</v>
      </c>
      <c r="GH893">
        <v>10.751255196235066</v>
      </c>
      <c r="GI893">
        <v>18.198435702095075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99.391965853277043</v>
      </c>
      <c r="AO894">
        <v>42.950127448746095</v>
      </c>
      <c r="AP894">
        <v>312.97228414791073</v>
      </c>
      <c r="AQ894">
        <v>258.78241652636012</v>
      </c>
      <c r="AR894">
        <v>39.027222998055379</v>
      </c>
      <c r="AS894">
        <v>176.93965951874543</v>
      </c>
      <c r="AT894">
        <v>30.664835817401002</v>
      </c>
      <c r="AU894">
        <v>55.31954002169757</v>
      </c>
      <c r="AV894"/>
      <c r="AW894"/>
      <c r="FY894" s="211">
        <v>889</v>
      </c>
      <c r="FZ894">
        <v>6.251101131118288</v>
      </c>
      <c r="GA894">
        <v>20.593135589615805</v>
      </c>
      <c r="GB894">
        <v>21.153543512348705</v>
      </c>
      <c r="GC894">
        <v>13.420415413425701</v>
      </c>
      <c r="GD894">
        <v>9.8503795619289125</v>
      </c>
      <c r="GE894">
        <v>22.081369000322336</v>
      </c>
      <c r="GF894">
        <v>27.050952835228923</v>
      </c>
      <c r="GG894">
        <v>15.341700481098387</v>
      </c>
      <c r="GH894">
        <v>10.189434260973934</v>
      </c>
      <c r="GI894">
        <v>18.904955126402857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79.111012261842319</v>
      </c>
      <c r="AO895">
        <v>25.639718056999364</v>
      </c>
      <c r="AP895">
        <v>167.53506551301183</v>
      </c>
      <c r="AQ895">
        <v>142.90205854867841</v>
      </c>
      <c r="AR895">
        <v>23.314223610581116</v>
      </c>
      <c r="AS895">
        <v>116.19973349037055</v>
      </c>
      <c r="AT895">
        <v>17.135037424268035</v>
      </c>
      <c r="AU895">
        <v>32.841281238751961</v>
      </c>
      <c r="AV895"/>
      <c r="AW895"/>
      <c r="FY895" s="211">
        <v>890</v>
      </c>
      <c r="FZ895">
        <v>1.5451777328594698</v>
      </c>
      <c r="GA895">
        <v>14.282494039218193</v>
      </c>
      <c r="GB895">
        <v>22.435183366523461</v>
      </c>
      <c r="GC895">
        <v>12.009811682788799</v>
      </c>
      <c r="GD895">
        <v>9.1265542381532381</v>
      </c>
      <c r="GE895">
        <v>23.357678400436278</v>
      </c>
      <c r="GF895">
        <v>36.454967306845639</v>
      </c>
      <c r="GG895">
        <v>34.956868934538456</v>
      </c>
      <c r="GH895">
        <v>23.374779110706609</v>
      </c>
      <c r="GI895">
        <v>21.965035469445208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75.298697011880719</v>
      </c>
      <c r="AO896">
        <v>28.019386031041904</v>
      </c>
      <c r="AP896">
        <v>184.26664061115764</v>
      </c>
      <c r="AQ896">
        <v>156.6681596691015</v>
      </c>
      <c r="AR896">
        <v>25.674876696822427</v>
      </c>
      <c r="AS896">
        <v>122.26343864650281</v>
      </c>
      <c r="AT896">
        <v>19.300665296480556</v>
      </c>
      <c r="AU896">
        <v>29.572107685041665</v>
      </c>
      <c r="AV896"/>
      <c r="AW896"/>
      <c r="FY896" s="211">
        <v>891</v>
      </c>
      <c r="FZ896">
        <v>5.0155531902956616</v>
      </c>
      <c r="GA896">
        <v>7.8805611430728195</v>
      </c>
      <c r="GB896">
        <v>13.808595416297662</v>
      </c>
      <c r="GC896">
        <v>12.755966973564652</v>
      </c>
      <c r="GD896">
        <v>11.51545597438599</v>
      </c>
      <c r="GE896">
        <v>20.737985514926383</v>
      </c>
      <c r="GF896">
        <v>18.0495980948801</v>
      </c>
      <c r="GG896">
        <v>24.006849354462162</v>
      </c>
      <c r="GH896">
        <v>28.488126105433299</v>
      </c>
      <c r="GI896">
        <v>19.117375089308371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81.055419686665843</v>
      </c>
      <c r="AO897">
        <v>31.887963308491209</v>
      </c>
      <c r="AP897">
        <v>200.15264149411595</v>
      </c>
      <c r="AQ897">
        <v>171.80174767900914</v>
      </c>
      <c r="AR897">
        <v>28.753178998412782</v>
      </c>
      <c r="AS897">
        <v>133.23422702441758</v>
      </c>
      <c r="AT897">
        <v>21.931020256714262</v>
      </c>
      <c r="AU897">
        <v>29.86226449026994</v>
      </c>
      <c r="AV897"/>
      <c r="AW897"/>
      <c r="FY897" s="211">
        <v>892</v>
      </c>
      <c r="FZ897">
        <v>3.469184439964403</v>
      </c>
      <c r="GA897">
        <v>12.708136041462907</v>
      </c>
      <c r="GB897">
        <v>8.879979486482771</v>
      </c>
      <c r="GC897">
        <v>10.675822519842908</v>
      </c>
      <c r="GD897">
        <v>11.25486365498725</v>
      </c>
      <c r="GE897">
        <v>13.612899306447174</v>
      </c>
      <c r="GF897">
        <v>27.210415650321014</v>
      </c>
      <c r="GG897">
        <v>22.5669312528617</v>
      </c>
      <c r="GH897">
        <v>6.7957112388721583</v>
      </c>
      <c r="GI897">
        <v>15.783956971052866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67.798904603033833</v>
      </c>
      <c r="AO898">
        <v>25.807320170886392</v>
      </c>
      <c r="AP898">
        <v>159.15592860329434</v>
      </c>
      <c r="AQ898">
        <v>137.54517087486303</v>
      </c>
      <c r="AR898">
        <v>23.627228950228798</v>
      </c>
      <c r="AS898">
        <v>110.7860850522288</v>
      </c>
      <c r="AT898">
        <v>17.447893918728216</v>
      </c>
      <c r="AU898">
        <v>35.854685129469999</v>
      </c>
      <c r="AV898"/>
      <c r="AW898"/>
      <c r="FY898" s="211">
        <v>893</v>
      </c>
      <c r="FZ898">
        <v>4.0625520457716631</v>
      </c>
      <c r="GA898">
        <v>19.266922940909183</v>
      </c>
      <c r="GB898">
        <v>17.22586306683105</v>
      </c>
      <c r="GC898">
        <v>15.38198377513341</v>
      </c>
      <c r="GD898">
        <v>13.547931515614538</v>
      </c>
      <c r="GE898">
        <v>14.204196819851223</v>
      </c>
      <c r="GF898">
        <v>14.524201426130983</v>
      </c>
      <c r="GG898">
        <v>19.460690864775362</v>
      </c>
      <c r="GH898">
        <v>17.309439744893254</v>
      </c>
      <c r="GI898">
        <v>18.550063811481245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69.499490752972349</v>
      </c>
      <c r="AO899">
        <v>27.839845512334115</v>
      </c>
      <c r="AP899">
        <v>201.97975696867906</v>
      </c>
      <c r="AQ899">
        <v>168.48255862453158</v>
      </c>
      <c r="AR899">
        <v>25.307944002797591</v>
      </c>
      <c r="AS899">
        <v>118.52539102295975</v>
      </c>
      <c r="AT899">
        <v>19.265407546895897</v>
      </c>
      <c r="AU899">
        <v>44.271151154787383</v>
      </c>
      <c r="AV899"/>
      <c r="AW899"/>
      <c r="FY899" s="211">
        <v>894</v>
      </c>
      <c r="FZ899">
        <v>5.2460758923615636</v>
      </c>
      <c r="GA899">
        <v>10.57188008249539</v>
      </c>
      <c r="GB899">
        <v>13.306136400307885</v>
      </c>
      <c r="GC899">
        <v>13.050812270777085</v>
      </c>
      <c r="GD899">
        <v>11.486535502496213</v>
      </c>
      <c r="GE899">
        <v>25.867447743407496</v>
      </c>
      <c r="GF899">
        <v>27.357873033461676</v>
      </c>
      <c r="GG899">
        <v>25.32079594540506</v>
      </c>
      <c r="GH899">
        <v>27.341918189400399</v>
      </c>
      <c r="GI899">
        <v>20.577112532840481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98.147995138474784</v>
      </c>
      <c r="AO900">
        <v>42.20857092912361</v>
      </c>
      <c r="AP900">
        <v>279.05193631044028</v>
      </c>
      <c r="AQ900">
        <v>229.19162217674699</v>
      </c>
      <c r="AR900">
        <v>38.243034929017895</v>
      </c>
      <c r="AS900">
        <v>179.38430807801586</v>
      </c>
      <c r="AT900">
        <v>28.991287291229568</v>
      </c>
      <c r="AU900">
        <v>52.187142832356869</v>
      </c>
      <c r="AV900"/>
      <c r="AW900"/>
      <c r="FY900" s="211">
        <v>895</v>
      </c>
      <c r="FZ900">
        <v>5.9355317358289987</v>
      </c>
      <c r="GA900">
        <v>15.636321545057889</v>
      </c>
      <c r="GB900">
        <v>27.564216181662726</v>
      </c>
      <c r="GC900">
        <v>18.460825544400137</v>
      </c>
      <c r="GD900">
        <v>12.584987273390892</v>
      </c>
      <c r="GE900">
        <v>27.778081708004667</v>
      </c>
      <c r="GF900">
        <v>30.593242319547624</v>
      </c>
      <c r="GG900">
        <v>32.039514999263275</v>
      </c>
      <c r="GH900">
        <v>29.654973058756326</v>
      </c>
      <c r="GI900">
        <v>25.906427272678332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83.355762913781163</v>
      </c>
      <c r="AO901">
        <v>28.669161298882159</v>
      </c>
      <c r="AP901">
        <v>185.43719297320473</v>
      </c>
      <c r="AQ901">
        <v>161.18331883236675</v>
      </c>
      <c r="AR901">
        <v>25.805584402957578</v>
      </c>
      <c r="AS901">
        <v>127.35221381011166</v>
      </c>
      <c r="AT901" t="e">
        <v>#DIV/0!</v>
      </c>
      <c r="AU901" t="e">
        <v>#DIV/0!</v>
      </c>
      <c r="AV901"/>
      <c r="AW901"/>
      <c r="FY901" s="211">
        <v>896</v>
      </c>
      <c r="FZ901">
        <v>0.27326343007480403</v>
      </c>
      <c r="GA901">
        <v>11.634517388733197</v>
      </c>
      <c r="GB901">
        <v>13.341348079289093</v>
      </c>
      <c r="GC901">
        <v>11.657038291848149</v>
      </c>
      <c r="GD901">
        <v>13.519042200625725</v>
      </c>
      <c r="GE901">
        <v>23.448328433053803</v>
      </c>
      <c r="GF901">
        <v>26.78685261924036</v>
      </c>
      <c r="GG901">
        <v>15.456455467767116</v>
      </c>
      <c r="GH901">
        <v>7.0871825710423089</v>
      </c>
      <c r="GI901">
        <v>17.740499437668269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68.267164359563196</v>
      </c>
      <c r="AO902">
        <v>28.372351611142438</v>
      </c>
      <c r="AP902">
        <v>179.79738005698627</v>
      </c>
      <c r="AQ902">
        <v>154.46130191205091</v>
      </c>
      <c r="AR902">
        <v>25.919627041923043</v>
      </c>
      <c r="AS902">
        <v>121.22308538869595</v>
      </c>
      <c r="AT902" t="e">
        <v>#DIV/0!</v>
      </c>
      <c r="AU902" t="e">
        <v>#DIV/0!</v>
      </c>
      <c r="AV902"/>
      <c r="AW902"/>
      <c r="FY902" s="211">
        <v>897</v>
      </c>
      <c r="FZ902">
        <v>1.7804164280716785</v>
      </c>
      <c r="GA902">
        <v>8.1200920109077988</v>
      </c>
      <c r="GB902">
        <v>32.148883604223286</v>
      </c>
      <c r="GC902">
        <v>22.169367895361646</v>
      </c>
      <c r="GD902">
        <v>9.8675681949263776</v>
      </c>
      <c r="GE902">
        <v>17.219015434202142</v>
      </c>
      <c r="GF902">
        <v>28.832916731134208</v>
      </c>
      <c r="GG902">
        <v>23.214353094285563</v>
      </c>
      <c r="GH902">
        <v>13.152521936855665</v>
      </c>
      <c r="GI902">
        <v>21.826268793898397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77.066521082763757</v>
      </c>
      <c r="AO903">
        <v>27.576824748121215</v>
      </c>
      <c r="AP903">
        <v>186.67608576292096</v>
      </c>
      <c r="AQ903">
        <v>157.9643086273303</v>
      </c>
      <c r="AR903">
        <v>25.615160828541907</v>
      </c>
      <c r="AS903">
        <v>132.45691911429768</v>
      </c>
      <c r="AT903">
        <v>19.115774352897088</v>
      </c>
      <c r="AU903">
        <v>32.965560938231754</v>
      </c>
      <c r="AV903"/>
      <c r="AW903"/>
      <c r="FY903" s="211">
        <v>898</v>
      </c>
      <c r="FZ903">
        <v>4.6730607329989571</v>
      </c>
      <c r="GA903">
        <v>11.603502285432329</v>
      </c>
      <c r="GB903">
        <v>10.875206363911477</v>
      </c>
      <c r="GC903">
        <v>10.767016636951565</v>
      </c>
      <c r="GD903">
        <v>11.508046685537963</v>
      </c>
      <c r="GE903">
        <v>18.493408957688978</v>
      </c>
      <c r="GF903">
        <v>26.91718880589633</v>
      </c>
      <c r="GG903">
        <v>24.240404116691202</v>
      </c>
      <c r="GH903">
        <v>14.287758928708802</v>
      </c>
      <c r="GI903">
        <v>17.699265903668259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68.701240407344059</v>
      </c>
      <c r="AO904">
        <v>27.701963826291415</v>
      </c>
      <c r="AP904">
        <v>181.57043011253509</v>
      </c>
      <c r="AQ904">
        <v>157.25006770663154</v>
      </c>
      <c r="AR904">
        <v>24.71595262434175</v>
      </c>
      <c r="AS904">
        <v>115.89346046350651</v>
      </c>
      <c r="AT904" t="e">
        <v>#DIV/0!</v>
      </c>
      <c r="AU904" t="e">
        <v>#DIV/0!</v>
      </c>
      <c r="AV904"/>
      <c r="AW904"/>
      <c r="FY904" s="211">
        <v>899</v>
      </c>
      <c r="FZ904">
        <v>1.503944528675043</v>
      </c>
      <c r="GA904">
        <v>11.335376098711222</v>
      </c>
      <c r="GB904">
        <v>18.858801152007317</v>
      </c>
      <c r="GC904">
        <v>14.134916142367349</v>
      </c>
      <c r="GD904">
        <v>11.271141906831282</v>
      </c>
      <c r="GE904">
        <v>22.026642783953417</v>
      </c>
      <c r="GF904">
        <v>26.189239393034708</v>
      </c>
      <c r="GG904">
        <v>19.981754478315892</v>
      </c>
      <c r="GH904">
        <v>16.421880248153489</v>
      </c>
      <c r="GI904">
        <v>19.319621780563917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81.345042448608183</v>
      </c>
      <c r="AO905">
        <v>28.74045201361654</v>
      </c>
      <c r="AP905">
        <v>196.06969336862713</v>
      </c>
      <c r="AQ905">
        <v>164.83698691246386</v>
      </c>
      <c r="AR905">
        <v>25.834670500927107</v>
      </c>
      <c r="AS905">
        <v>125.72563337486606</v>
      </c>
      <c r="AT905" t="e">
        <v>#DIV/0!</v>
      </c>
      <c r="AU905" t="e">
        <v>#DIV/0!</v>
      </c>
      <c r="AV905"/>
      <c r="AW905"/>
      <c r="FY905" s="211">
        <v>900</v>
      </c>
      <c r="FZ905">
        <v>5.4440043587794404</v>
      </c>
      <c r="GA905">
        <v>9.5056103858254097</v>
      </c>
      <c r="GB905">
        <v>17.055843340911817</v>
      </c>
      <c r="GC905">
        <v>14.184116872478507</v>
      </c>
      <c r="GD905">
        <v>10.163115222931859</v>
      </c>
      <c r="GE905">
        <v>15.61858129754855</v>
      </c>
      <c r="GF905">
        <v>29.405762854019549</v>
      </c>
      <c r="GG905">
        <v>24.262797257477871</v>
      </c>
      <c r="GH905">
        <v>8.2450916708730535</v>
      </c>
      <c r="GI905">
        <v>18.034870000993212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77.003559333572866</v>
      </c>
      <c r="AO906">
        <v>33.505180469551171</v>
      </c>
      <c r="AP906">
        <v>245.8662362645012</v>
      </c>
      <c r="AQ906">
        <v>199.50855028151537</v>
      </c>
      <c r="AR906">
        <v>30.313570851942789</v>
      </c>
      <c r="AS906">
        <v>140.56093297576751</v>
      </c>
      <c r="AT906" t="e">
        <v>#DIV/0!</v>
      </c>
      <c r="AU906" t="e">
        <v>#DIV/0!</v>
      </c>
      <c r="AV906"/>
      <c r="AW906"/>
      <c r="FY906" s="211">
        <v>901</v>
      </c>
      <c r="FZ906">
        <v>2.7075319224609919</v>
      </c>
      <c r="GA906">
        <v>10.661014269105905</v>
      </c>
      <c r="GB906">
        <v>33.954161478140364</v>
      </c>
      <c r="GC906">
        <v>23.501931701069708</v>
      </c>
      <c r="GD906">
        <v>8.9628914907158084</v>
      </c>
      <c r="GE906">
        <v>14.495893705614249</v>
      </c>
      <c r="GF906">
        <v>37.407912582056184</v>
      </c>
      <c r="GG906">
        <v>34.232895524990035</v>
      </c>
      <c r="GH906">
        <v>17.119661015549447</v>
      </c>
      <c r="GI906">
        <v>24.118741276606439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66.687617029544498</v>
      </c>
      <c r="AO907">
        <v>28.70286808783937</v>
      </c>
      <c r="AP907">
        <v>185.97943443334725</v>
      </c>
      <c r="AQ907">
        <v>161.37606685662712</v>
      </c>
      <c r="AR907">
        <v>26.571952881771619</v>
      </c>
      <c r="AS907">
        <v>123.3850658167089</v>
      </c>
      <c r="AT907">
        <v>20.256143787491929</v>
      </c>
      <c r="AU907">
        <v>19.090178946740973</v>
      </c>
      <c r="AV907"/>
      <c r="AW907"/>
      <c r="FY907" s="211">
        <v>902</v>
      </c>
      <c r="FZ907">
        <v>3.1843079950873427</v>
      </c>
      <c r="GA907">
        <v>8.6783377118424561</v>
      </c>
      <c r="GB907">
        <v>23.187998657646304</v>
      </c>
      <c r="GC907">
        <v>18.258788608942869</v>
      </c>
      <c r="GD907">
        <v>12.694196045950836</v>
      </c>
      <c r="GE907">
        <v>20.87558538494336</v>
      </c>
      <c r="GF907">
        <v>22.594157467146367</v>
      </c>
      <c r="GG907">
        <v>24.982218063010265</v>
      </c>
      <c r="GH907">
        <v>22.343386977100351</v>
      </c>
      <c r="GI907">
        <v>21.69897969592008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61.003782322351562</v>
      </c>
      <c r="AO908">
        <v>23.90403042673011</v>
      </c>
      <c r="AP908">
        <v>153.85836854209265</v>
      </c>
      <c r="AQ908">
        <v>132.95790056229515</v>
      </c>
      <c r="AR908">
        <v>22.06833554221317</v>
      </c>
      <c r="AS908">
        <v>104.79507146872726</v>
      </c>
      <c r="AT908">
        <v>16.528349654782371</v>
      </c>
      <c r="AU908">
        <v>45.38880850202645</v>
      </c>
      <c r="AV908"/>
      <c r="AW908"/>
      <c r="FY908" s="211">
        <v>903</v>
      </c>
      <c r="FZ908">
        <v>2.5397951157907555</v>
      </c>
      <c r="GA908">
        <v>11.369527873272887</v>
      </c>
      <c r="GB908">
        <v>16.468578735369302</v>
      </c>
      <c r="GC908">
        <v>11.566317388322201</v>
      </c>
      <c r="GD908">
        <v>9.847452270986583</v>
      </c>
      <c r="GE908">
        <v>27.578075621271456</v>
      </c>
      <c r="GF908">
        <v>32.698179489712871</v>
      </c>
      <c r="GG908">
        <v>20.006340821340405</v>
      </c>
      <c r="GH908">
        <v>18.079294384153613</v>
      </c>
      <c r="GI908">
        <v>19.455205717573048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78.391950754627686</v>
      </c>
      <c r="AO909">
        <v>27.806796785321929</v>
      </c>
      <c r="AP909">
        <v>174.89526060811562</v>
      </c>
      <c r="AQ909">
        <v>153.53384601139189</v>
      </c>
      <c r="AR909">
        <v>25.96718019354471</v>
      </c>
      <c r="AS909">
        <v>126.74246776763313</v>
      </c>
      <c r="AT909">
        <v>19.137931323476383</v>
      </c>
      <c r="AU909">
        <v>48.793890241191832</v>
      </c>
      <c r="AV909"/>
      <c r="AW909"/>
      <c r="FY909" s="211">
        <v>904</v>
      </c>
      <c r="FZ909">
        <v>3.0868304900444214</v>
      </c>
      <c r="GA909">
        <v>18.370493473069182</v>
      </c>
      <c r="GB909">
        <v>16.432941970595905</v>
      </c>
      <c r="GC909">
        <v>9.20699887791673</v>
      </c>
      <c r="GD909">
        <v>10.30812422697349</v>
      </c>
      <c r="GE909">
        <v>25.150440963782302</v>
      </c>
      <c r="GF909">
        <v>29.152019222384126</v>
      </c>
      <c r="GG909">
        <v>19.321484440185728</v>
      </c>
      <c r="GH909">
        <v>12.604055988409003</v>
      </c>
      <c r="GI909">
        <v>18.267784910059987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79.242326963320423</v>
      </c>
      <c r="AO910">
        <v>31.439498695093867</v>
      </c>
      <c r="AP910">
        <v>207.2332636412346</v>
      </c>
      <c r="AQ910">
        <v>180.12658759295323</v>
      </c>
      <c r="AR910">
        <v>28.068671836315474</v>
      </c>
      <c r="AS910">
        <v>135.22209776478073</v>
      </c>
      <c r="AT910" t="e">
        <v>#DIV/0!</v>
      </c>
      <c r="AU910" t="e">
        <v>#DIV/0!</v>
      </c>
      <c r="AV910"/>
      <c r="AW910"/>
      <c r="FY910" s="211">
        <v>905</v>
      </c>
      <c r="FZ910">
        <v>5.4378161909659877</v>
      </c>
      <c r="GA910">
        <v>21.966826132662341</v>
      </c>
      <c r="GB910">
        <v>22.619624003113671</v>
      </c>
      <c r="GC910">
        <v>17.824262739017126</v>
      </c>
      <c r="GD910">
        <v>11.313516790889201</v>
      </c>
      <c r="GE910">
        <v>21.016590716056875</v>
      </c>
      <c r="GF910">
        <v>36.751371462263343</v>
      </c>
      <c r="GG910">
        <v>16.528558954583144</v>
      </c>
      <c r="GH910">
        <v>5.2626618136759866</v>
      </c>
      <c r="GI910">
        <v>21.038324441216968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99.866085181529428</v>
      </c>
      <c r="AO911">
        <v>39.528664697168708</v>
      </c>
      <c r="AP911">
        <v>270.13554281295615</v>
      </c>
      <c r="AQ911">
        <v>226.15412163859088</v>
      </c>
      <c r="AR911">
        <v>35.778213353795515</v>
      </c>
      <c r="AS911">
        <v>174.44491899135986</v>
      </c>
      <c r="AT911" t="e">
        <v>#DIV/0!</v>
      </c>
      <c r="AU911" t="e">
        <v>#DIV/0!</v>
      </c>
      <c r="AV911"/>
      <c r="AW911"/>
      <c r="FY911" s="211">
        <v>906</v>
      </c>
      <c r="FZ911">
        <v>2.187819023851826</v>
      </c>
      <c r="GA911">
        <v>19.754340641519036</v>
      </c>
      <c r="GB911">
        <v>20.119050120338294</v>
      </c>
      <c r="GC911">
        <v>13.454728627131688</v>
      </c>
      <c r="GD911">
        <v>12.115820001913626</v>
      </c>
      <c r="GE911">
        <v>19.887323436880905</v>
      </c>
      <c r="GF911">
        <v>27.071821396391041</v>
      </c>
      <c r="GG911">
        <v>20.574940275847833</v>
      </c>
      <c r="GH911">
        <v>11.732634491069508</v>
      </c>
      <c r="GI911">
        <v>19.598912697918767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61.723391134620272</v>
      </c>
      <c r="AO912">
        <v>26.661456617756595</v>
      </c>
      <c r="AP912">
        <v>157.82927915123747</v>
      </c>
      <c r="AQ912">
        <v>140.94452791934282</v>
      </c>
      <c r="AR912">
        <v>24.479018467362927</v>
      </c>
      <c r="AS912">
        <v>149.76993736994379</v>
      </c>
      <c r="AT912">
        <v>19.080793886548243</v>
      </c>
      <c r="AU912">
        <v>39.340152142871879</v>
      </c>
      <c r="AV912"/>
      <c r="AW912"/>
      <c r="FY912" s="211">
        <v>907</v>
      </c>
      <c r="FZ912">
        <v>3.5154628712313425</v>
      </c>
      <c r="GA912">
        <v>18.469016232563206</v>
      </c>
      <c r="GB912">
        <v>28.051492732547146</v>
      </c>
      <c r="GC912">
        <v>19.448529398233546</v>
      </c>
      <c r="GD912">
        <v>12.324291719691679</v>
      </c>
      <c r="GE912">
        <v>20.806206361915159</v>
      </c>
      <c r="GF912">
        <v>23.849821550039053</v>
      </c>
      <c r="GG912">
        <v>11.859245177420304</v>
      </c>
      <c r="GH912">
        <v>6.7957112388721583</v>
      </c>
      <c r="GI912">
        <v>20.589046947166235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77.850745110915753</v>
      </c>
      <c r="AO913">
        <v>33.146561151844111</v>
      </c>
      <c r="AP913">
        <v>220.1576825470915</v>
      </c>
      <c r="AQ913">
        <v>178.33140412386675</v>
      </c>
      <c r="AR913">
        <v>30.340679947111827</v>
      </c>
      <c r="AS913">
        <v>146.68000648521661</v>
      </c>
      <c r="AT913">
        <v>22.709086273490541</v>
      </c>
      <c r="AU913">
        <v>46.045317891864947</v>
      </c>
      <c r="AV913"/>
      <c r="AW913"/>
      <c r="FY913" s="211">
        <v>908</v>
      </c>
      <c r="FZ913">
        <v>4.661840803702046</v>
      </c>
      <c r="GA913">
        <v>13.749735627030763</v>
      </c>
      <c r="GB913">
        <v>16.740543339835678</v>
      </c>
      <c r="GC913">
        <v>13.371199877808596</v>
      </c>
      <c r="GD913">
        <v>9.748271523093246</v>
      </c>
      <c r="GE913">
        <v>15.552055416506647</v>
      </c>
      <c r="GF913">
        <v>23.811271088205149</v>
      </c>
      <c r="GG913">
        <v>23.462313205636494</v>
      </c>
      <c r="GH913">
        <v>15.804670354504703</v>
      </c>
      <c r="GI913">
        <v>17.784206427810897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63.767602192959863</v>
      </c>
      <c r="AO914">
        <v>26.61032729509434</v>
      </c>
      <c r="AP914">
        <v>173.94961082767975</v>
      </c>
      <c r="AQ914">
        <v>151.06485941748585</v>
      </c>
      <c r="AR914">
        <v>24.580503826805142</v>
      </c>
      <c r="AS914">
        <v>159.79172155635692</v>
      </c>
      <c r="AT914">
        <v>18.543882355174592</v>
      </c>
      <c r="AU914">
        <v>17.407222274154918</v>
      </c>
      <c r="AV914"/>
      <c r="AW914"/>
      <c r="FY914" s="211">
        <v>909</v>
      </c>
      <c r="FZ914">
        <v>8.1301372669482941</v>
      </c>
      <c r="GA914">
        <v>18.301133847742335</v>
      </c>
      <c r="GB914">
        <v>10.693014146222179</v>
      </c>
      <c r="GC914">
        <v>14.295037972538204</v>
      </c>
      <c r="GD914">
        <v>17.436189036298288</v>
      </c>
      <c r="GE914">
        <v>33.110509604089678</v>
      </c>
      <c r="GF914">
        <v>36.634277104672321</v>
      </c>
      <c r="GG914">
        <v>13.911016062049423</v>
      </c>
      <c r="GH914">
        <v>4.7382066693612641</v>
      </c>
      <c r="GI914">
        <v>22.086552438129992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66.734241112838504</v>
      </c>
      <c r="AO915">
        <v>29.208857611440909</v>
      </c>
      <c r="AP915">
        <v>188.92400591422276</v>
      </c>
      <c r="AQ915">
        <v>161.04331851261364</v>
      </c>
      <c r="AR915">
        <v>26.604679116365755</v>
      </c>
      <c r="AS915">
        <v>164.51663518079076</v>
      </c>
      <c r="AT915">
        <v>20.222213179932996</v>
      </c>
      <c r="AU915">
        <v>27.118213066420665</v>
      </c>
      <c r="AV915"/>
      <c r="AW915"/>
      <c r="FY915" s="211">
        <v>910</v>
      </c>
      <c r="FZ915">
        <v>3.6373822026116289</v>
      </c>
      <c r="GA915">
        <v>16.415783379481582</v>
      </c>
      <c r="GB915">
        <v>35.503769841690868</v>
      </c>
      <c r="GC915">
        <v>26.624302532273475</v>
      </c>
      <c r="GD915">
        <v>11.971844810008449</v>
      </c>
      <c r="GE915">
        <v>17.612410833177204</v>
      </c>
      <c r="GF915">
        <v>33.136144349699009</v>
      </c>
      <c r="GG915">
        <v>17.796091562430775</v>
      </c>
      <c r="GH915">
        <v>5.6257661661010303</v>
      </c>
      <c r="GI915">
        <v>23.844408714930783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74.813418624308412</v>
      </c>
      <c r="AO916">
        <v>27.194417513727352</v>
      </c>
      <c r="AP916">
        <v>180.22471113939773</v>
      </c>
      <c r="AQ916">
        <v>151.91979326183926</v>
      </c>
      <c r="AR916">
        <v>25.128961673884536</v>
      </c>
      <c r="AS916">
        <v>122.77801244435587</v>
      </c>
      <c r="AT916">
        <v>18.342552892918345</v>
      </c>
      <c r="AU916">
        <v>19.591855949853976</v>
      </c>
      <c r="AV916"/>
      <c r="AW916"/>
      <c r="FY916" s="211">
        <v>911</v>
      </c>
      <c r="FZ916">
        <v>1.7475474346800766</v>
      </c>
      <c r="GA916">
        <v>24.182528127381843</v>
      </c>
      <c r="GB916">
        <v>19.7380013340419</v>
      </c>
      <c r="GC916">
        <v>12.583610440873063</v>
      </c>
      <c r="GD916">
        <v>12.663077799140241</v>
      </c>
      <c r="GE916">
        <v>20.055883388169619</v>
      </c>
      <c r="GF916">
        <v>24.570979589428497</v>
      </c>
      <c r="GG916">
        <v>15.075142644307626</v>
      </c>
      <c r="GH916">
        <v>6.2712560945574349</v>
      </c>
      <c r="GI916">
        <v>18.4753242283136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81.755864248698302</v>
      </c>
      <c r="AO917">
        <v>36.816991774444531</v>
      </c>
      <c r="AP917">
        <v>261.63127384221769</v>
      </c>
      <c r="AQ917">
        <v>207.1626349663091</v>
      </c>
      <c r="AR917">
        <v>33.664421254919837</v>
      </c>
      <c r="AS917">
        <v>154.66458442113776</v>
      </c>
      <c r="AT917">
        <v>25.203084438104796</v>
      </c>
      <c r="AU917">
        <v>31.475573898957808</v>
      </c>
      <c r="AV917"/>
      <c r="AW917"/>
      <c r="FY917" s="211">
        <v>912</v>
      </c>
      <c r="FZ917">
        <v>3.477149237120142</v>
      </c>
      <c r="GA917">
        <v>12.71062140903706</v>
      </c>
      <c r="GB917">
        <v>20.626790807794119</v>
      </c>
      <c r="GC917">
        <v>14.618593852452282</v>
      </c>
      <c r="GD917">
        <v>8.5127201389132345</v>
      </c>
      <c r="GE917">
        <v>20.402872553693292</v>
      </c>
      <c r="GF917">
        <v>37.329843033466645</v>
      </c>
      <c r="GG917">
        <v>18.514981882724268</v>
      </c>
      <c r="GH917">
        <v>5.5047313819593491</v>
      </c>
      <c r="GI917">
        <v>18.742146054628023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85.857261864779915</v>
      </c>
      <c r="AO918">
        <v>32.685957894401291</v>
      </c>
      <c r="AP918">
        <v>208.39624424205672</v>
      </c>
      <c r="AQ918">
        <v>178.49795660759023</v>
      </c>
      <c r="AR918">
        <v>30.145094390440562</v>
      </c>
      <c r="AS918">
        <v>139.10096796312342</v>
      </c>
      <c r="AT918">
        <v>21.876633819353902</v>
      </c>
      <c r="AU918">
        <v>24.022096294588334</v>
      </c>
      <c r="AV918"/>
      <c r="AW918"/>
      <c r="FY918" s="211">
        <v>913</v>
      </c>
      <c r="FZ918">
        <v>2.3154393738860031</v>
      </c>
      <c r="GA918">
        <v>6.0342120182743333</v>
      </c>
      <c r="GB918">
        <v>14.890378153391142</v>
      </c>
      <c r="GC918">
        <v>15.915554654272686</v>
      </c>
      <c r="GD918">
        <v>11.356250037534181</v>
      </c>
      <c r="GE918">
        <v>17.323580150355738</v>
      </c>
      <c r="GF918">
        <v>32.708170053153594</v>
      </c>
      <c r="GG918">
        <v>32.271412645898593</v>
      </c>
      <c r="GH918">
        <v>22.050976340916794</v>
      </c>
      <c r="GI918">
        <v>20.597714408405587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72.403716984935343</v>
      </c>
      <c r="AO919">
        <v>29.646590172867896</v>
      </c>
      <c r="AP919">
        <v>199.12135483353637</v>
      </c>
      <c r="AQ919">
        <v>169.6087674177931</v>
      </c>
      <c r="AR919">
        <v>26.27140719164289</v>
      </c>
      <c r="AS919">
        <v>119.55500075470685</v>
      </c>
      <c r="AT919" t="e">
        <v>#DIV/0!</v>
      </c>
      <c r="AU919" t="e">
        <v>#DIV/0!</v>
      </c>
      <c r="AV919"/>
      <c r="AW919"/>
      <c r="FY919" s="211">
        <v>914</v>
      </c>
      <c r="FZ919">
        <v>2.138119731847071</v>
      </c>
      <c r="GA919">
        <v>8.204220094472948</v>
      </c>
      <c r="GB919">
        <v>19.971632362323639</v>
      </c>
      <c r="GC919">
        <v>14.325321842829535</v>
      </c>
      <c r="GD919">
        <v>10.323785407250375</v>
      </c>
      <c r="GE919">
        <v>21.141167231267282</v>
      </c>
      <c r="GF919">
        <v>28.757280836892598</v>
      </c>
      <c r="GG919">
        <v>24.971476053919687</v>
      </c>
      <c r="GH919">
        <v>17.361730583832809</v>
      </c>
      <c r="GI919">
        <v>19.793080265400942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75.003724378511976</v>
      </c>
      <c r="AO920">
        <v>27.771859400421114</v>
      </c>
      <c r="AP920">
        <v>189.55198369544956</v>
      </c>
      <c r="AQ920">
        <v>161.90117456342088</v>
      </c>
      <c r="AR920">
        <v>24.877702842796154</v>
      </c>
      <c r="AS920">
        <v>122.69052436943421</v>
      </c>
      <c r="AT920" t="e">
        <v>#DIV/0!</v>
      </c>
      <c r="AU920" t="e">
        <v>#DIV/0!</v>
      </c>
      <c r="AV920"/>
      <c r="AW920"/>
      <c r="FY920" s="211">
        <v>915</v>
      </c>
      <c r="FZ920">
        <v>6.165614689570214</v>
      </c>
      <c r="GA920">
        <v>19.050047752895455</v>
      </c>
      <c r="GB920">
        <v>27.390091011738978</v>
      </c>
      <c r="GC920">
        <v>19.787653826657447</v>
      </c>
      <c r="GD920">
        <v>11.555408872144447</v>
      </c>
      <c r="GE920">
        <v>23.650260438211923</v>
      </c>
      <c r="GF920">
        <v>33.385011235102461</v>
      </c>
      <c r="GG920">
        <v>12.461108832999034</v>
      </c>
      <c r="GH920">
        <v>2.9824298571970673</v>
      </c>
      <c r="GI920">
        <v>21.461146235026767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88.469943344730936</v>
      </c>
      <c r="AO921">
        <v>31.919289262237697</v>
      </c>
      <c r="AP921">
        <v>213.5181232512054</v>
      </c>
      <c r="AQ921">
        <v>179.75955324444459</v>
      </c>
      <c r="AR921">
        <v>28.632687216723408</v>
      </c>
      <c r="AS921">
        <v>139.84411013878372</v>
      </c>
      <c r="AT921">
        <v>21.934106443003156</v>
      </c>
      <c r="AU921">
        <v>55.39606678711575</v>
      </c>
      <c r="AV921"/>
      <c r="AW921"/>
      <c r="FY921" s="211">
        <v>916</v>
      </c>
      <c r="FZ921">
        <v>6.8925237975347731</v>
      </c>
      <c r="GA921">
        <v>22.454762000919942</v>
      </c>
      <c r="GB921">
        <v>32.45608933534043</v>
      </c>
      <c r="GC921">
        <v>22.835288071075091</v>
      </c>
      <c r="GD921">
        <v>14.617558003484049</v>
      </c>
      <c r="GE921">
        <v>24.757401145297795</v>
      </c>
      <c r="GF921">
        <v>27.306090382225811</v>
      </c>
      <c r="GG921">
        <v>17.147347198130188</v>
      </c>
      <c r="GH921">
        <v>12.60072606174673</v>
      </c>
      <c r="GI921">
        <v>25.07107137255538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78.100101898948481</v>
      </c>
      <c r="AO922">
        <v>29.479460279105115</v>
      </c>
      <c r="AP922">
        <v>196.12839952504854</v>
      </c>
      <c r="AQ922">
        <v>166.49739071286254</v>
      </c>
      <c r="AR922">
        <v>27.11823139786172</v>
      </c>
      <c r="AS922">
        <v>130.45677206496012</v>
      </c>
      <c r="AT922">
        <v>20.144074395493277</v>
      </c>
      <c r="AU922">
        <v>34.106179531941507</v>
      </c>
      <c r="AV922"/>
      <c r="AW922"/>
      <c r="FY922" s="211">
        <v>917</v>
      </c>
      <c r="FZ922">
        <v>2.9856218600705837</v>
      </c>
      <c r="GA922">
        <v>24.924436059944586</v>
      </c>
      <c r="GB922">
        <v>24.981723994161356</v>
      </c>
      <c r="GC922">
        <v>16.767770131211069</v>
      </c>
      <c r="GD922">
        <v>15.184251784219841</v>
      </c>
      <c r="GE922">
        <v>30.900665335308798</v>
      </c>
      <c r="GF922">
        <v>40.167441694766772</v>
      </c>
      <c r="GG922">
        <v>21.132217410159218</v>
      </c>
      <c r="GH922">
        <v>8.7774196199194474</v>
      </c>
      <c r="GI922">
        <v>24.850657652310009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74.065174148864358</v>
      </c>
      <c r="AO923">
        <v>31.19167916212718</v>
      </c>
      <c r="AP923">
        <v>196.44538375646007</v>
      </c>
      <c r="AQ923">
        <v>165.70882422967983</v>
      </c>
      <c r="AR923">
        <v>28.446672877240943</v>
      </c>
      <c r="AS923">
        <v>140.31696819809775</v>
      </c>
      <c r="AT923">
        <v>21.558123937029023</v>
      </c>
      <c r="AU923">
        <v>56.318234226721565</v>
      </c>
      <c r="AV923"/>
      <c r="AW923"/>
      <c r="FY923" s="211">
        <v>918</v>
      </c>
      <c r="FZ923">
        <v>4.7057513415304344</v>
      </c>
      <c r="GA923">
        <v>17.697225359637653</v>
      </c>
      <c r="GB923">
        <v>17.166064501176095</v>
      </c>
      <c r="GC923">
        <v>14.013849500626289</v>
      </c>
      <c r="GD923">
        <v>11.509473252478926</v>
      </c>
      <c r="GE923">
        <v>20.647342722421389</v>
      </c>
      <c r="GF923">
        <v>20.936682823974348</v>
      </c>
      <c r="GG923">
        <v>16.199927559506921</v>
      </c>
      <c r="GH923">
        <v>16.639939012304911</v>
      </c>
      <c r="GI923">
        <v>18.486803022882537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70.663969546924562</v>
      </c>
      <c r="AO924">
        <v>26.992220372500178</v>
      </c>
      <c r="AP924">
        <v>183.57514731267761</v>
      </c>
      <c r="AQ924">
        <v>154.6861076641342</v>
      </c>
      <c r="AR924">
        <v>24.630670091882234</v>
      </c>
      <c r="AS924">
        <v>119.10246517280449</v>
      </c>
      <c r="AT924" t="e">
        <v>#DIV/0!</v>
      </c>
      <c r="AU924" t="e">
        <v>#DIV/0!</v>
      </c>
      <c r="AV924"/>
      <c r="AW924"/>
      <c r="FY924" s="211">
        <v>919</v>
      </c>
      <c r="FZ924">
        <v>4.3170859818250014</v>
      </c>
      <c r="GA924">
        <v>10.493731767232754</v>
      </c>
      <c r="GB924">
        <v>16.576272991834038</v>
      </c>
      <c r="GC924">
        <v>16.927312714438308</v>
      </c>
      <c r="GD924">
        <v>11.859072266435978</v>
      </c>
      <c r="GE924">
        <v>18.615909683933989</v>
      </c>
      <c r="GF924">
        <v>22.458996215160894</v>
      </c>
      <c r="GG924">
        <v>16.200067205127464</v>
      </c>
      <c r="GH924">
        <v>13.491615485148772</v>
      </c>
      <c r="GI924">
        <v>18.319716675779762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88.794676640086763</v>
      </c>
      <c r="AO925">
        <v>33.463732270881209</v>
      </c>
      <c r="AP925">
        <v>192.85844411519125</v>
      </c>
      <c r="AQ925">
        <v>179.33607414805198</v>
      </c>
      <c r="AR925">
        <v>29.986045975171585</v>
      </c>
      <c r="AS925">
        <v>143.31291101081032</v>
      </c>
      <c r="AT925">
        <v>23.811276618893459</v>
      </c>
      <c r="AU925">
        <v>48.722818547306794</v>
      </c>
      <c r="AV925"/>
      <c r="AW925"/>
      <c r="FY925" s="211">
        <v>920</v>
      </c>
      <c r="FZ925">
        <v>4.9032542011286528</v>
      </c>
      <c r="GA925">
        <v>16.160211518461857</v>
      </c>
      <c r="GB925">
        <v>20.250198248930534</v>
      </c>
      <c r="GC925">
        <v>16.847441983012523</v>
      </c>
      <c r="GD925">
        <v>14.222085117491545</v>
      </c>
      <c r="GE925">
        <v>24.212508199154129</v>
      </c>
      <c r="GF925">
        <v>21.415424489934381</v>
      </c>
      <c r="GG925">
        <v>16.604459307816963</v>
      </c>
      <c r="GH925">
        <v>16.134951794052732</v>
      </c>
      <c r="GI925">
        <v>21.008227765001607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86.547487858994373</v>
      </c>
      <c r="AO926">
        <v>36.278218207289264</v>
      </c>
      <c r="AP926">
        <v>235.47064133453975</v>
      </c>
      <c r="AQ926">
        <v>192.16790439240478</v>
      </c>
      <c r="AR926">
        <v>32.994193530087074</v>
      </c>
      <c r="AS926">
        <v>147.0323424161592</v>
      </c>
      <c r="AT926">
        <v>24.411267494215423</v>
      </c>
      <c r="AU926">
        <v>16.767736587838066</v>
      </c>
      <c r="AV926"/>
      <c r="AW926"/>
      <c r="FY926" s="211">
        <v>921</v>
      </c>
      <c r="FZ926">
        <v>4.3415907644237786</v>
      </c>
      <c r="GA926">
        <v>19.13733415236451</v>
      </c>
      <c r="GB926">
        <v>24.722634245871031</v>
      </c>
      <c r="GC926">
        <v>15.462446683112889</v>
      </c>
      <c r="GD926">
        <v>9.2775835158847304</v>
      </c>
      <c r="GE926">
        <v>21.194041654385767</v>
      </c>
      <c r="GF926">
        <v>32.130315514556088</v>
      </c>
      <c r="GG926">
        <v>19.753841261906313</v>
      </c>
      <c r="GH926">
        <v>11.886492188088202</v>
      </c>
      <c r="GI926">
        <v>20.376656316939705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70.955691355186246</v>
      </c>
      <c r="AO927">
        <v>27.912838154705771</v>
      </c>
      <c r="AP927">
        <v>181.02701018964262</v>
      </c>
      <c r="AQ927">
        <v>155.36335108089389</v>
      </c>
      <c r="AR927">
        <v>25.535049237012377</v>
      </c>
      <c r="AS927">
        <v>120.37063160368504</v>
      </c>
      <c r="AT927">
        <v>19.326519425209856</v>
      </c>
      <c r="AU927">
        <v>49.675105222375208</v>
      </c>
      <c r="AV927"/>
      <c r="AW927"/>
      <c r="FY927" s="211">
        <v>922</v>
      </c>
      <c r="FZ927">
        <v>6.3203768211595284</v>
      </c>
      <c r="GA927">
        <v>20.944167483051896</v>
      </c>
      <c r="GB927">
        <v>29.307326470433342</v>
      </c>
      <c r="GC927">
        <v>17.991577676292099</v>
      </c>
      <c r="GD927">
        <v>13.01722088695419</v>
      </c>
      <c r="GE927">
        <v>23.828039365641061</v>
      </c>
      <c r="GF927">
        <v>23.403541910847249</v>
      </c>
      <c r="GG927">
        <v>13.882833907748822</v>
      </c>
      <c r="GH927">
        <v>6.679219332799871</v>
      </c>
      <c r="GI927">
        <v>21.645391172287713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72.916967010161486</v>
      </c>
      <c r="AO928">
        <v>28.390757124464795</v>
      </c>
      <c r="AP928">
        <v>194.47164265816477</v>
      </c>
      <c r="AQ928">
        <v>160.4404503517884</v>
      </c>
      <c r="AR928">
        <v>25.497629244560045</v>
      </c>
      <c r="AS928">
        <v>123.26707498610942</v>
      </c>
      <c r="AT928">
        <v>19.662291982888046</v>
      </c>
      <c r="AU928">
        <v>32.314323699354311</v>
      </c>
      <c r="AV928"/>
      <c r="AW928"/>
      <c r="FY928" s="211">
        <v>923</v>
      </c>
      <c r="FZ928">
        <v>6.7399624881858946</v>
      </c>
      <c r="GA928">
        <v>16.002792692157655</v>
      </c>
      <c r="GB928">
        <v>15.847614945146617</v>
      </c>
      <c r="GC928">
        <v>11.730237914632133</v>
      </c>
      <c r="GD928">
        <v>11.78229575425085</v>
      </c>
      <c r="GE928">
        <v>22.137145864048296</v>
      </c>
      <c r="GF928">
        <v>19.303379845414575</v>
      </c>
      <c r="GG928">
        <v>24.327218726973673</v>
      </c>
      <c r="GH928">
        <v>23.495813894848293</v>
      </c>
      <c r="GI928">
        <v>19.436261193800945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71.252519709485071</v>
      </c>
      <c r="AO929">
        <v>31.228813009742623</v>
      </c>
      <c r="AP929">
        <v>207.73166145426404</v>
      </c>
      <c r="AQ929">
        <v>175.46368783608864</v>
      </c>
      <c r="AR929">
        <v>28.51405763403309</v>
      </c>
      <c r="AS929">
        <v>136.14582070285465</v>
      </c>
      <c r="AT929">
        <v>21.488866125633237</v>
      </c>
      <c r="AU929">
        <v>32.690065546428485</v>
      </c>
      <c r="AV929"/>
      <c r="AW929"/>
      <c r="FY929" s="211">
        <v>924</v>
      </c>
      <c r="FZ929">
        <v>3.8727314122123184</v>
      </c>
      <c r="GA929">
        <v>19.960227306439155</v>
      </c>
      <c r="GB929">
        <v>27.279271955338668</v>
      </c>
      <c r="GC929">
        <v>14.359414705376279</v>
      </c>
      <c r="GD929">
        <v>8.5870634049733319</v>
      </c>
      <c r="GE929">
        <v>22.282525252486593</v>
      </c>
      <c r="GF929">
        <v>29.934006318891356</v>
      </c>
      <c r="GG929">
        <v>13.757043524325574</v>
      </c>
      <c r="GH929">
        <v>5.3836965978176679</v>
      </c>
      <c r="GI929">
        <v>19.100214794941916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70.852735851445146</v>
      </c>
      <c r="AO930">
        <v>30.013720256726817</v>
      </c>
      <c r="AP930">
        <v>200.01027294221157</v>
      </c>
      <c r="AQ930">
        <v>166.98781441003689</v>
      </c>
      <c r="AR930">
        <v>27.376119821591679</v>
      </c>
      <c r="AS930">
        <v>124.96067163556532</v>
      </c>
      <c r="AT930">
        <v>20.466354579227346</v>
      </c>
      <c r="AU930">
        <v>36.590266717796467</v>
      </c>
      <c r="AV930"/>
      <c r="AW930"/>
      <c r="FY930" s="211">
        <v>925</v>
      </c>
      <c r="FZ930">
        <v>7.3364436043530423</v>
      </c>
      <c r="GA930">
        <v>17.018461546480886</v>
      </c>
      <c r="GB930">
        <v>12.143027330520924</v>
      </c>
      <c r="GC930">
        <v>10.134228569306709</v>
      </c>
      <c r="GD930">
        <v>12.663110545868404</v>
      </c>
      <c r="GE930">
        <v>25.884101103839242</v>
      </c>
      <c r="GF930">
        <v>27.524927420478772</v>
      </c>
      <c r="GG930">
        <v>22.36600424161978</v>
      </c>
      <c r="GH930">
        <v>16.595205871234725</v>
      </c>
      <c r="GI930">
        <v>19.619426801987775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95.553709402798987</v>
      </c>
      <c r="AO931">
        <v>32.551997854800845</v>
      </c>
      <c r="AP931">
        <v>210.06821468625986</v>
      </c>
      <c r="AQ931">
        <v>177.8887727515438</v>
      </c>
      <c r="AR931">
        <v>29.193543160129916</v>
      </c>
      <c r="AS931">
        <v>142.36216934327049</v>
      </c>
      <c r="AT931" t="e">
        <v>#DIV/0!</v>
      </c>
      <c r="AU931" t="e">
        <v>#DIV/0!</v>
      </c>
      <c r="AV931"/>
      <c r="AW931"/>
      <c r="FY931" s="211">
        <v>926</v>
      </c>
      <c r="FZ931">
        <v>4.1844451839693768</v>
      </c>
      <c r="GA931">
        <v>11.239924284176032</v>
      </c>
      <c r="GB931">
        <v>9.1220671015493942</v>
      </c>
      <c r="GC931">
        <v>14.091028260341723</v>
      </c>
      <c r="GD931">
        <v>15.353392253369538</v>
      </c>
      <c r="GE931">
        <v>20.764801218610121</v>
      </c>
      <c r="GF931">
        <v>19.124974438447737</v>
      </c>
      <c r="GG931">
        <v>14.493580202701395</v>
      </c>
      <c r="GH931">
        <v>12.479691277605049</v>
      </c>
      <c r="GI931">
        <v>17.764883896217665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105.73426586961345</v>
      </c>
      <c r="AO932">
        <v>37.753340935827609</v>
      </c>
      <c r="AP932">
        <v>241.67874627661848</v>
      </c>
      <c r="AQ932">
        <v>206.1388573683102</v>
      </c>
      <c r="AR932">
        <v>34.589944180968892</v>
      </c>
      <c r="AS932">
        <v>178.77827807789046</v>
      </c>
      <c r="AT932">
        <v>26.182162447964767</v>
      </c>
      <c r="AU932">
        <v>48.147738935786961</v>
      </c>
      <c r="AV932"/>
      <c r="AW932"/>
      <c r="FY932" s="211">
        <v>927</v>
      </c>
      <c r="FZ932">
        <v>4.4031438937385463</v>
      </c>
      <c r="GA932">
        <v>22.057740839512888</v>
      </c>
      <c r="GB932">
        <v>21.767644587902627</v>
      </c>
      <c r="GC932">
        <v>11.395248027966177</v>
      </c>
      <c r="GD932">
        <v>8.2731713793073691</v>
      </c>
      <c r="GE932">
        <v>16.026087593029747</v>
      </c>
      <c r="GF932">
        <v>20.438741727652008</v>
      </c>
      <c r="GG932">
        <v>20.571765378121668</v>
      </c>
      <c r="GH932">
        <v>17.240695799691128</v>
      </c>
      <c r="GI932">
        <v>17.719338790785461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90.255016296845028</v>
      </c>
      <c r="AO933">
        <v>37.838987632105479</v>
      </c>
      <c r="AP933">
        <v>247.26375687782854</v>
      </c>
      <c r="AQ933">
        <v>210.67220554207171</v>
      </c>
      <c r="AR933">
        <v>33.971036192005279</v>
      </c>
      <c r="AS933">
        <v>162.73486391069795</v>
      </c>
      <c r="AT933" t="e">
        <v>#DIV/0!</v>
      </c>
      <c r="AU933" t="e">
        <v>#DIV/0!</v>
      </c>
      <c r="AV933"/>
      <c r="AW933"/>
      <c r="FY933" s="211">
        <v>928</v>
      </c>
      <c r="FZ933">
        <v>2.9071627482977336</v>
      </c>
      <c r="GA933">
        <v>8.5452060482151655</v>
      </c>
      <c r="GB933">
        <v>13.517391200416405</v>
      </c>
      <c r="GC933">
        <v>17.799728354021589</v>
      </c>
      <c r="GD933">
        <v>15.45967264582257</v>
      </c>
      <c r="GE933">
        <v>21.504807436276863</v>
      </c>
      <c r="GF933">
        <v>40.631289787137788</v>
      </c>
      <c r="GG933">
        <v>35.514843524745608</v>
      </c>
      <c r="GH933">
        <v>17.152483928426463</v>
      </c>
      <c r="GI933">
        <v>23.512046991331065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82.763138627198302</v>
      </c>
      <c r="AO934">
        <v>28.003802423109157</v>
      </c>
      <c r="AP934">
        <v>181.23202258835443</v>
      </c>
      <c r="AQ934">
        <v>158.00305909653949</v>
      </c>
      <c r="AR934">
        <v>25.302283453047352</v>
      </c>
      <c r="AS934">
        <v>126.17276981752705</v>
      </c>
      <c r="AT934">
        <v>18.957822182113571</v>
      </c>
      <c r="AU934">
        <v>33.995381067433605</v>
      </c>
      <c r="AV934"/>
      <c r="AW934"/>
      <c r="FY934" s="211">
        <v>929</v>
      </c>
      <c r="FZ934">
        <v>4.3278230715866473</v>
      </c>
      <c r="GA934">
        <v>8.6766631654193915</v>
      </c>
      <c r="GB934">
        <v>24.570470259097892</v>
      </c>
      <c r="GC934">
        <v>25.91487492221508</v>
      </c>
      <c r="GD934">
        <v>17.757587006832587</v>
      </c>
      <c r="GE934">
        <v>19.61634815300534</v>
      </c>
      <c r="GF934">
        <v>26.719218342407974</v>
      </c>
      <c r="GG934">
        <v>28.582961534895279</v>
      </c>
      <c r="GH934">
        <v>18.108787370368354</v>
      </c>
      <c r="GI934">
        <v>25.427802875971249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79.479272856161373</v>
      </c>
      <c r="AO935">
        <v>27.861046878107793</v>
      </c>
      <c r="AP935">
        <v>170.5147918239511</v>
      </c>
      <c r="AQ935">
        <v>149.25978098691698</v>
      </c>
      <c r="AR935">
        <v>25.142412887420967</v>
      </c>
      <c r="AS935">
        <v>126.75922223457152</v>
      </c>
      <c r="AT935" t="e">
        <v>#DIV/0!</v>
      </c>
      <c r="AU935" t="e">
        <v>#DIV/0!</v>
      </c>
      <c r="AV935"/>
      <c r="AW935"/>
      <c r="FY935" s="211">
        <v>930</v>
      </c>
      <c r="FZ935">
        <v>3.6503597055355668</v>
      </c>
      <c r="GA935">
        <v>15.383849496295891</v>
      </c>
      <c r="GB935">
        <v>13.266941518066677</v>
      </c>
      <c r="GC935">
        <v>10.513752231141225</v>
      </c>
      <c r="GD935">
        <v>10.564563706029821</v>
      </c>
      <c r="GE935">
        <v>22.865280494525479</v>
      </c>
      <c r="GF935">
        <v>32.843029610435089</v>
      </c>
      <c r="GG935">
        <v>24.241407706452268</v>
      </c>
      <c r="GH935">
        <v>16.353136302951363</v>
      </c>
      <c r="GI935">
        <v>19.095196513077177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79.198648947266136</v>
      </c>
      <c r="AO936">
        <v>31.858430553763156</v>
      </c>
      <c r="AP936">
        <v>194.95947547378199</v>
      </c>
      <c r="AQ936">
        <v>171.75876262498494</v>
      </c>
      <c r="AR936">
        <v>29.000451643849736</v>
      </c>
      <c r="AS936">
        <v>141.84686592869679</v>
      </c>
      <c r="AT936">
        <v>21.847316146449071</v>
      </c>
      <c r="AU936">
        <v>43.037222357925096</v>
      </c>
      <c r="AV936"/>
      <c r="AW936"/>
      <c r="FY936" s="211">
        <v>931</v>
      </c>
      <c r="FZ936">
        <v>4.9115001554797484</v>
      </c>
      <c r="GA936">
        <v>11.150271206465266</v>
      </c>
      <c r="GB936">
        <v>26.100041012522816</v>
      </c>
      <c r="GC936">
        <v>19.015584616036335</v>
      </c>
      <c r="GD936">
        <v>9.5636565527582533</v>
      </c>
      <c r="GE936">
        <v>16.770923509742357</v>
      </c>
      <c r="GF936">
        <v>27.664477618016704</v>
      </c>
      <c r="GG936">
        <v>16.670608762318111</v>
      </c>
      <c r="GH936">
        <v>4.7141958652293239</v>
      </c>
      <c r="GI936">
        <v>19.028692981152734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83.647727838624647</v>
      </c>
      <c r="AO937">
        <v>30.889379957072869</v>
      </c>
      <c r="AP937">
        <v>216.16933567805515</v>
      </c>
      <c r="AQ937">
        <v>178.28293629753301</v>
      </c>
      <c r="AR937">
        <v>27.844942159306434</v>
      </c>
      <c r="AS937">
        <v>137.26608100088185</v>
      </c>
      <c r="AT937">
        <v>20.992953062552832</v>
      </c>
      <c r="AU937">
        <v>32.23394984550454</v>
      </c>
      <c r="AV937"/>
      <c r="AW937"/>
      <c r="FY937" s="211">
        <v>932</v>
      </c>
      <c r="FZ937">
        <v>2.0563430502854172</v>
      </c>
      <c r="GA937">
        <v>13.232096714481235</v>
      </c>
      <c r="GB937">
        <v>24.280103762098047</v>
      </c>
      <c r="GC937">
        <v>14.287732332498743</v>
      </c>
      <c r="GD937">
        <v>9.4167609572966882</v>
      </c>
      <c r="GE937">
        <v>21.773050138338817</v>
      </c>
      <c r="GF937">
        <v>21.821772882356374</v>
      </c>
      <c r="GG937">
        <v>21.450096480141685</v>
      </c>
      <c r="GH937">
        <v>21.119623007120243</v>
      </c>
      <c r="GI937">
        <v>19.579414583642677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86.299888490072703</v>
      </c>
      <c r="AO938">
        <v>32.692735794464781</v>
      </c>
      <c r="AP938">
        <v>208.10518021079756</v>
      </c>
      <c r="AQ938">
        <v>177.01969502721576</v>
      </c>
      <c r="AR938">
        <v>30.105752144080387</v>
      </c>
      <c r="AS938">
        <v>143.37412866399438</v>
      </c>
      <c r="AT938">
        <v>22.652774039404548</v>
      </c>
      <c r="AU938">
        <v>51.079670617471322</v>
      </c>
      <c r="AV938"/>
      <c r="AW938"/>
      <c r="FY938" s="211">
        <v>933</v>
      </c>
      <c r="FZ938">
        <v>5.1517854916959784</v>
      </c>
      <c r="GA938">
        <v>16.467670230985682</v>
      </c>
      <c r="GB938">
        <v>15.435565580806374</v>
      </c>
      <c r="GC938">
        <v>13.894533872553879</v>
      </c>
      <c r="GD938">
        <v>14.235817047513819</v>
      </c>
      <c r="GE938">
        <v>25.086632972273829</v>
      </c>
      <c r="GF938">
        <v>28.26220943763558</v>
      </c>
      <c r="GG938">
        <v>22.309874833289932</v>
      </c>
      <c r="GH938">
        <v>16.353136302951363</v>
      </c>
      <c r="GI938">
        <v>21.149044830076718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87.111600960633524</v>
      </c>
      <c r="AO939">
        <v>29.520383515053897</v>
      </c>
      <c r="AP939">
        <v>196.74940922892523</v>
      </c>
      <c r="AQ939">
        <v>170.80272331945895</v>
      </c>
      <c r="AR939">
        <v>26.925320355704923</v>
      </c>
      <c r="AS939">
        <v>130.95888135746961</v>
      </c>
      <c r="AT939" t="e">
        <v>#DIV/0!</v>
      </c>
      <c r="AU939" t="e">
        <v>#DIV/0!</v>
      </c>
      <c r="AV939"/>
      <c r="AW939"/>
      <c r="FY939" s="211">
        <v>934</v>
      </c>
      <c r="FZ939">
        <v>6.9275936131668132</v>
      </c>
      <c r="GA939">
        <v>17.855600669279088</v>
      </c>
      <c r="GB939">
        <v>11.00692685830025</v>
      </c>
      <c r="GC939">
        <v>10.151154537275294</v>
      </c>
      <c r="GD939">
        <v>11.778832750413343</v>
      </c>
      <c r="GE939">
        <v>24.190796140453045</v>
      </c>
      <c r="GF939">
        <v>22.040625815782906</v>
      </c>
      <c r="GG939">
        <v>14.825260217907484</v>
      </c>
      <c r="GH939">
        <v>15.420717920394205</v>
      </c>
      <c r="GI939">
        <v>17.515729223087568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79.655244200378704</v>
      </c>
      <c r="AO940">
        <v>28.961071972984769</v>
      </c>
      <c r="AP940">
        <v>200.92832539954094</v>
      </c>
      <c r="AQ940">
        <v>164.51619527280286</v>
      </c>
      <c r="AR940">
        <v>26.13209547790661</v>
      </c>
      <c r="AS940">
        <v>131.68195457529796</v>
      </c>
      <c r="AT940">
        <v>19.653395202892458</v>
      </c>
      <c r="AU940">
        <v>42.471295341969373</v>
      </c>
      <c r="AV940"/>
      <c r="AW940"/>
      <c r="FY940" s="211">
        <v>935</v>
      </c>
      <c r="FZ940">
        <v>4.6173453299091332</v>
      </c>
      <c r="GA940">
        <v>18.661660833252977</v>
      </c>
      <c r="GB940">
        <v>19.249501168486074</v>
      </c>
      <c r="GC940">
        <v>16.005619724152009</v>
      </c>
      <c r="GD940">
        <v>12.083888846483383</v>
      </c>
      <c r="GE940">
        <v>18.368118280577228</v>
      </c>
      <c r="GF940">
        <v>24.679847073274995</v>
      </c>
      <c r="GG940">
        <v>15.231508878609798</v>
      </c>
      <c r="GH940">
        <v>9.5406144058552567</v>
      </c>
      <c r="GI940">
        <v>18.960643763099025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82.575874299846419</v>
      </c>
      <c r="AO941">
        <v>29.743842183682478</v>
      </c>
      <c r="AP941">
        <v>193.9299614942887</v>
      </c>
      <c r="AQ941">
        <v>171.28493703569026</v>
      </c>
      <c r="AR941">
        <v>26.983219278233488</v>
      </c>
      <c r="AS941">
        <v>137.16676584968252</v>
      </c>
      <c r="AT941">
        <v>20.852123586760548</v>
      </c>
      <c r="AU941">
        <v>41.808870667783182</v>
      </c>
      <c r="AV941"/>
      <c r="AW941"/>
      <c r="FY941" s="211">
        <v>936</v>
      </c>
      <c r="FZ941">
        <v>3.9988795875793501</v>
      </c>
      <c r="GA941">
        <v>19.58842986183307</v>
      </c>
      <c r="GB941">
        <v>21.573899878366511</v>
      </c>
      <c r="GC941">
        <v>14.843155707024108</v>
      </c>
      <c r="GD941">
        <v>10.690612206165184</v>
      </c>
      <c r="GE941">
        <v>19.648811522535365</v>
      </c>
      <c r="GF941">
        <v>38.047026658355151</v>
      </c>
      <c r="GG941">
        <v>26.678714137979039</v>
      </c>
      <c r="GH941">
        <v>10.078424536984448</v>
      </c>
      <c r="GI941">
        <v>21.192663353245482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75.614561075498585</v>
      </c>
      <c r="AO942">
        <v>26.685377510092291</v>
      </c>
      <c r="AP942">
        <v>147.41036369486329</v>
      </c>
      <c r="AQ942">
        <v>138.61878811698804</v>
      </c>
      <c r="AR942">
        <v>24.544352439919976</v>
      </c>
      <c r="AS942">
        <v>122.35430967047311</v>
      </c>
      <c r="AT942">
        <v>18.34082358503645</v>
      </c>
      <c r="AU942">
        <v>37.846722955533906</v>
      </c>
      <c r="AV942"/>
      <c r="AW942"/>
      <c r="FY942" s="211">
        <v>937</v>
      </c>
      <c r="FZ942">
        <v>7.2552369792353479</v>
      </c>
      <c r="GA942">
        <v>27.702434957775623</v>
      </c>
      <c r="GB942">
        <v>16.766051929684064</v>
      </c>
      <c r="GC942">
        <v>12.247165460534346</v>
      </c>
      <c r="GD942">
        <v>14.324108409568613</v>
      </c>
      <c r="GE942">
        <v>25.069334311122038</v>
      </c>
      <c r="GF942">
        <v>26.502944976892334</v>
      </c>
      <c r="GG942">
        <v>19.023032783202144</v>
      </c>
      <c r="GH942">
        <v>14.040081433595432</v>
      </c>
      <c r="GI942">
        <v>21.110708992506787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73.986081476528483</v>
      </c>
      <c r="AO943">
        <v>26.777204939052545</v>
      </c>
      <c r="AP943">
        <v>195.89039658502907</v>
      </c>
      <c r="AQ943">
        <v>159.8935780177076</v>
      </c>
      <c r="AR943">
        <v>24.575528728870697</v>
      </c>
      <c r="AS943">
        <v>123.8575935613393</v>
      </c>
      <c r="AT943">
        <v>18.462127159522261</v>
      </c>
      <c r="AU943">
        <v>39.91754960520646</v>
      </c>
      <c r="AV943"/>
      <c r="AW943"/>
      <c r="FY943" s="211">
        <v>938</v>
      </c>
      <c r="FZ943">
        <v>6.6443104272416429</v>
      </c>
      <c r="GA943">
        <v>26.490618163948554</v>
      </c>
      <c r="GB943">
        <v>30.493300973684736</v>
      </c>
      <c r="GC943">
        <v>17.120873251841413</v>
      </c>
      <c r="GD943">
        <v>13.151123501645372</v>
      </c>
      <c r="GE943">
        <v>27.352093236092944</v>
      </c>
      <c r="GF943">
        <v>28.053293394197439</v>
      </c>
      <c r="GG943">
        <v>24.724348854349614</v>
      </c>
      <c r="GH943">
        <v>22.382322829225433</v>
      </c>
      <c r="GI943">
        <v>25.393840450204841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82.995131450499883</v>
      </c>
      <c r="AO944">
        <v>35.70451934899684</v>
      </c>
      <c r="AP944">
        <v>226.03517637463275</v>
      </c>
      <c r="AQ944">
        <v>196.54463266469125</v>
      </c>
      <c r="AR944">
        <v>32.5085354541649</v>
      </c>
      <c r="AS944">
        <v>143.01529374432454</v>
      </c>
      <c r="AT944" t="e">
        <v>#DIV/0!</v>
      </c>
      <c r="AU944" t="e">
        <v>#DIV/0!</v>
      </c>
      <c r="AV944"/>
      <c r="AW944"/>
      <c r="FY944" s="211">
        <v>939</v>
      </c>
      <c r="FZ944">
        <v>0.83098974988455543</v>
      </c>
      <c r="GA944">
        <v>13.341365845441793</v>
      </c>
      <c r="GB944">
        <v>29.175247421223883</v>
      </c>
      <c r="GC944">
        <v>21.367766577405497</v>
      </c>
      <c r="GD944">
        <v>13.979871781866496</v>
      </c>
      <c r="GE944">
        <v>21.965752202165771</v>
      </c>
      <c r="GF944">
        <v>32.244740033890075</v>
      </c>
      <c r="GG944">
        <v>26.51797051963705</v>
      </c>
      <c r="GH944">
        <v>12.871201409584916</v>
      </c>
      <c r="GI944">
        <v>24.03485589670716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96.451898693711414</v>
      </c>
      <c r="AO945">
        <v>38.603370125357443</v>
      </c>
      <c r="AP945">
        <v>228.52311054754281</v>
      </c>
      <c r="AQ945">
        <v>199.7025367017998</v>
      </c>
      <c r="AR945">
        <v>35.617476846868819</v>
      </c>
      <c r="AS945">
        <v>178.22590138130511</v>
      </c>
      <c r="AT945">
        <v>25.834880797153748</v>
      </c>
      <c r="AU945">
        <v>31.439535558654558</v>
      </c>
      <c r="AV945"/>
      <c r="AW945"/>
      <c r="FY945" s="211">
        <v>940</v>
      </c>
      <c r="FZ945">
        <v>1.7182161445465107</v>
      </c>
      <c r="GA945">
        <v>12.848198274673621</v>
      </c>
      <c r="GB945">
        <v>22.948263735911858</v>
      </c>
      <c r="GC945">
        <v>16.037911414549036</v>
      </c>
      <c r="GD945">
        <v>12.016299584530621</v>
      </c>
      <c r="GE945">
        <v>19.28705099295556</v>
      </c>
      <c r="GF945">
        <v>27.015369931538331</v>
      </c>
      <c r="GG945">
        <v>19.376495837547566</v>
      </c>
      <c r="GH945">
        <v>4.2734097141098752</v>
      </c>
      <c r="GI945">
        <v>19.018404664921182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68.861786239730492</v>
      </c>
      <c r="AO946">
        <v>29.032628284457314</v>
      </c>
      <c r="AP946">
        <v>198.70727047279658</v>
      </c>
      <c r="AQ946">
        <v>168.77751728451054</v>
      </c>
      <c r="AR946">
        <v>26.135672270887124</v>
      </c>
      <c r="AS946">
        <v>119.31578324054671</v>
      </c>
      <c r="AT946">
        <v>20.63936884294186</v>
      </c>
      <c r="AU946">
        <v>42.131891033881239</v>
      </c>
      <c r="AV946"/>
      <c r="AW946"/>
      <c r="FY946" s="211">
        <v>941</v>
      </c>
      <c r="FZ946">
        <v>3.2427007318211274</v>
      </c>
      <c r="GA946">
        <v>21.284524156315442</v>
      </c>
      <c r="GB946">
        <v>19.941814422524342</v>
      </c>
      <c r="GC946">
        <v>13.975653376508143</v>
      </c>
      <c r="GD946">
        <v>11.94928608913745</v>
      </c>
      <c r="GE946">
        <v>22.622281813422042</v>
      </c>
      <c r="GF946">
        <v>46.087706903396089</v>
      </c>
      <c r="GG946">
        <v>27.667569025074261</v>
      </c>
      <c r="GH946">
        <v>5.4524405430197929</v>
      </c>
      <c r="GI946">
        <v>22.219072242059614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82.554643411689057</v>
      </c>
      <c r="AO947">
        <v>28.907706299219036</v>
      </c>
      <c r="AP947">
        <v>188.13730140309573</v>
      </c>
      <c r="AQ947">
        <v>155.58995227972167</v>
      </c>
      <c r="AR947">
        <v>26.298241927976488</v>
      </c>
      <c r="AS947">
        <v>130.51404358155528</v>
      </c>
      <c r="AT947" t="e">
        <v>#DIV/0!</v>
      </c>
      <c r="AU947" t="e">
        <v>#DIV/0!</v>
      </c>
      <c r="AV947"/>
      <c r="AW947"/>
      <c r="FY947" s="211">
        <v>942</v>
      </c>
      <c r="FZ947">
        <v>5.7632219717152484</v>
      </c>
      <c r="GA947">
        <v>25.493696381273416</v>
      </c>
      <c r="GB947">
        <v>18.099173066669547</v>
      </c>
      <c r="GC947">
        <v>14.395520127086744</v>
      </c>
      <c r="GD947">
        <v>15.340002470770731</v>
      </c>
      <c r="GE947">
        <v>19.851917094945289</v>
      </c>
      <c r="GF947">
        <v>16.222302951890473</v>
      </c>
      <c r="GG947">
        <v>12.296646126471767</v>
      </c>
      <c r="GH947">
        <v>5.4165195106946795</v>
      </c>
      <c r="GI947">
        <v>18.586756089286585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70.0519075355501</v>
      </c>
      <c r="AO948">
        <v>29.901236380162622</v>
      </c>
      <c r="AP948">
        <v>204.26099111027577</v>
      </c>
      <c r="AQ948">
        <v>169.01699390825993</v>
      </c>
      <c r="AR948">
        <v>27.027240736607904</v>
      </c>
      <c r="AS948">
        <v>128.12477533312057</v>
      </c>
      <c r="AT948" t="e">
        <v>#DIV/0!</v>
      </c>
      <c r="AU948" t="e">
        <v>#DIV/0!</v>
      </c>
      <c r="AV948"/>
      <c r="AW948"/>
      <c r="FY948" s="211">
        <v>943</v>
      </c>
      <c r="FZ948">
        <v>3.4445691429771443</v>
      </c>
      <c r="GA948">
        <v>11.433874396114845</v>
      </c>
      <c r="GB948">
        <v>20.205024586577146</v>
      </c>
      <c r="GC948">
        <v>17.271840828057037</v>
      </c>
      <c r="GD948">
        <v>13.304576741098716</v>
      </c>
      <c r="GE948">
        <v>21.774941418374876</v>
      </c>
      <c r="GF948">
        <v>18.546394250823585</v>
      </c>
      <c r="GG948">
        <v>9.6902945373145712</v>
      </c>
      <c r="GH948">
        <v>10.000868483037252</v>
      </c>
      <c r="GI948">
        <v>18.718646928385802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76.49473750581754</v>
      </c>
      <c r="AO949">
        <v>32.012800061775401</v>
      </c>
      <c r="AP949">
        <v>202.88024994380447</v>
      </c>
      <c r="AQ949">
        <v>178.34627059978314</v>
      </c>
      <c r="AR949">
        <v>29.139371914471333</v>
      </c>
      <c r="AS949">
        <v>135.18598370388523</v>
      </c>
      <c r="AT949">
        <v>22.68953198177643</v>
      </c>
      <c r="AU949">
        <v>44.975256464131675</v>
      </c>
      <c r="AV949"/>
      <c r="AW949"/>
      <c r="FY949" s="211">
        <v>944</v>
      </c>
      <c r="FZ949">
        <v>1.3870350752199383</v>
      </c>
      <c r="GA949">
        <v>16.784617025791565</v>
      </c>
      <c r="GB949">
        <v>39.757438614734902</v>
      </c>
      <c r="GC949">
        <v>24.597556449779358</v>
      </c>
      <c r="GD949">
        <v>8.8944655038083269</v>
      </c>
      <c r="GE949">
        <v>17.583071567689938</v>
      </c>
      <c r="GF949">
        <v>31.037865728710436</v>
      </c>
      <c r="GG949">
        <v>31.254443136843985</v>
      </c>
      <c r="GH949">
        <v>26.575393476802308</v>
      </c>
      <c r="GI949">
        <v>25.651870414239639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73.803239210026575</v>
      </c>
      <c r="AO950">
        <v>26.619290997735298</v>
      </c>
      <c r="AP950">
        <v>169.08020166842886</v>
      </c>
      <c r="AQ950">
        <v>151.71323774606</v>
      </c>
      <c r="AR950">
        <v>23.846849747096204</v>
      </c>
      <c r="AS950">
        <v>113.87430701635736</v>
      </c>
      <c r="AT950" t="e">
        <v>#DIV/0!</v>
      </c>
      <c r="AU950" t="e">
        <v>#DIV/0!</v>
      </c>
      <c r="AV950"/>
      <c r="AW950"/>
      <c r="FY950" s="211">
        <v>945</v>
      </c>
      <c r="FZ950">
        <v>1.5447783192223838</v>
      </c>
      <c r="GA950">
        <v>12.871647890057069</v>
      </c>
      <c r="GB950">
        <v>25.997837587573564</v>
      </c>
      <c r="GC950">
        <v>16.211132983974764</v>
      </c>
      <c r="GD950">
        <v>8.2449841401398878</v>
      </c>
      <c r="GE950">
        <v>21.90941801342003</v>
      </c>
      <c r="GF950">
        <v>30.184557574962255</v>
      </c>
      <c r="GG950">
        <v>27.990251713046053</v>
      </c>
      <c r="GH950">
        <v>28.617972998320052</v>
      </c>
      <c r="GI950">
        <v>21.934577208759901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75.880894190448856</v>
      </c>
      <c r="AO951">
        <v>28.645399657174465</v>
      </c>
      <c r="AP951">
        <v>183.21381499773122</v>
      </c>
      <c r="AQ951">
        <v>157.39874830369988</v>
      </c>
      <c r="AR951">
        <v>26.171139433026152</v>
      </c>
      <c r="AS951">
        <v>124.09991831329256</v>
      </c>
      <c r="AT951">
        <v>19.420844927697996</v>
      </c>
      <c r="AU951">
        <v>33.838038364654729</v>
      </c>
      <c r="AV951"/>
      <c r="AW951"/>
      <c r="FY951" s="211">
        <v>946</v>
      </c>
      <c r="FZ951">
        <v>1.6286467225575023</v>
      </c>
      <c r="GA951">
        <v>10.045841062871688</v>
      </c>
      <c r="GB951">
        <v>14.868762840803932</v>
      </c>
      <c r="GC951">
        <v>13.67500151138708</v>
      </c>
      <c r="GD951">
        <v>10.239591122643574</v>
      </c>
      <c r="GE951">
        <v>18.056632897765734</v>
      </c>
      <c r="GF951">
        <v>32.498572902078216</v>
      </c>
      <c r="GG951">
        <v>21.893408298154384</v>
      </c>
      <c r="GH951">
        <v>10.072942354901651</v>
      </c>
      <c r="GI951">
        <v>17.879969743088548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93.224193380588659</v>
      </c>
      <c r="AO952">
        <v>32.056903377579431</v>
      </c>
      <c r="AP952">
        <v>224.74864134292923</v>
      </c>
      <c r="AQ952">
        <v>186.3406174500677</v>
      </c>
      <c r="AR952">
        <v>29.150507785048703</v>
      </c>
      <c r="AS952">
        <v>150.59404292637055</v>
      </c>
      <c r="AT952">
        <v>21.871472884485389</v>
      </c>
      <c r="AU952">
        <v>23.102213055125144</v>
      </c>
      <c r="AV952"/>
      <c r="AW952"/>
      <c r="FY952" s="211">
        <v>947</v>
      </c>
      <c r="FZ952">
        <v>4.7583687896869069</v>
      </c>
      <c r="GA952">
        <v>13.612986253875997</v>
      </c>
      <c r="GB952">
        <v>26.814920214246744</v>
      </c>
      <c r="GC952">
        <v>20.198649386322408</v>
      </c>
      <c r="GD952">
        <v>11.2188832209919</v>
      </c>
      <c r="GE952">
        <v>16.472721333963115</v>
      </c>
      <c r="GF952">
        <v>40.071642219505819</v>
      </c>
      <c r="GG952">
        <v>40.26634818164716</v>
      </c>
      <c r="GH952">
        <v>19.214531376006747</v>
      </c>
      <c r="GI952">
        <v>24.830192928918006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88.293927250354187</v>
      </c>
      <c r="AO953">
        <v>31.883321433681783</v>
      </c>
      <c r="AP953">
        <v>209.552372747183</v>
      </c>
      <c r="AQ953">
        <v>184.0411002341167</v>
      </c>
      <c r="AR953">
        <v>29.029907676406143</v>
      </c>
      <c r="AS953">
        <v>146.3530979618117</v>
      </c>
      <c r="AT953">
        <v>22.26950803131615</v>
      </c>
      <c r="AU953">
        <v>59.394210386919504</v>
      </c>
      <c r="AV953"/>
      <c r="AW953"/>
      <c r="FY953" s="211">
        <v>948</v>
      </c>
      <c r="FZ953">
        <v>6.5028522046694537</v>
      </c>
      <c r="GA953">
        <v>17.370345394489167</v>
      </c>
      <c r="GB953">
        <v>10.383212428534616</v>
      </c>
      <c r="GC953">
        <v>7.9631200651485239</v>
      </c>
      <c r="GD953">
        <v>11.47977988742198</v>
      </c>
      <c r="GE953">
        <v>23.481698340188085</v>
      </c>
      <c r="GF953">
        <v>19.441423143537623</v>
      </c>
      <c r="GG953">
        <v>12.151753343518351</v>
      </c>
      <c r="GH953">
        <v>8.9039365861439261</v>
      </c>
      <c r="GI953">
        <v>15.570468943680027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105.73237037605709</v>
      </c>
      <c r="AO954">
        <v>38.337189674583811</v>
      </c>
      <c r="AP954">
        <v>264.97483866799479</v>
      </c>
      <c r="AQ954">
        <v>221.80612508243198</v>
      </c>
      <c r="AR954">
        <v>35.11220982808122</v>
      </c>
      <c r="AS954">
        <v>175.17626268819279</v>
      </c>
      <c r="AT954">
        <v>26.543650933426438</v>
      </c>
      <c r="AU954">
        <v>59.043283626282786</v>
      </c>
      <c r="AV954"/>
      <c r="AW954"/>
      <c r="FY954" s="211">
        <v>949</v>
      </c>
      <c r="FZ954">
        <v>3.7863442663625673</v>
      </c>
      <c r="GA954">
        <v>9.5090226017843946</v>
      </c>
      <c r="GB954">
        <v>22.703340607833372</v>
      </c>
      <c r="GC954">
        <v>18.350951028088023</v>
      </c>
      <c r="GD954">
        <v>14.557990180038159</v>
      </c>
      <c r="GE954">
        <v>26.672637577130004</v>
      </c>
      <c r="GF954">
        <v>20.898520145136175</v>
      </c>
      <c r="GG954">
        <v>13.229744947051399</v>
      </c>
      <c r="GH954">
        <v>13.060980138928723</v>
      </c>
      <c r="GI954">
        <v>21.094151929892782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88.181574890918242</v>
      </c>
      <c r="AO955">
        <v>36.589502077254437</v>
      </c>
      <c r="AP955">
        <v>234.66191204401474</v>
      </c>
      <c r="AQ955">
        <v>196.32976143780724</v>
      </c>
      <c r="AR955">
        <v>33.456385547887592</v>
      </c>
      <c r="AS955">
        <v>157.11745165277591</v>
      </c>
      <c r="AT955">
        <v>25.018611996600924</v>
      </c>
      <c r="AU955">
        <v>42.416286355589506</v>
      </c>
      <c r="AV955"/>
      <c r="AW955"/>
      <c r="FY955" s="211">
        <v>950</v>
      </c>
      <c r="FZ955">
        <v>3.3471454382208776</v>
      </c>
      <c r="GA955">
        <v>8.4434197799674777</v>
      </c>
      <c r="GB955">
        <v>14.819532287707293</v>
      </c>
      <c r="GC955">
        <v>14.402858813381084</v>
      </c>
      <c r="GD955">
        <v>10.551413742783923</v>
      </c>
      <c r="GE955">
        <v>18.294879597989979</v>
      </c>
      <c r="GF955">
        <v>24.465630730272089</v>
      </c>
      <c r="GG955">
        <v>11.921159907806004</v>
      </c>
      <c r="GH955">
        <v>5.3642286717551233</v>
      </c>
      <c r="GI955">
        <v>16.047264867191572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74.928864416475292</v>
      </c>
      <c r="AO956">
        <v>28.990030351758556</v>
      </c>
      <c r="AP956">
        <v>182.6353578497189</v>
      </c>
      <c r="AQ956">
        <v>154.53962029528415</v>
      </c>
      <c r="AR956">
        <v>26.506258283093928</v>
      </c>
      <c r="AS956">
        <v>125.2785335168337</v>
      </c>
      <c r="AT956" t="e">
        <v>#DIV/0!</v>
      </c>
      <c r="AU956" t="e">
        <v>#DIV/0!</v>
      </c>
      <c r="AV956"/>
      <c r="AW956"/>
      <c r="FY956" s="211">
        <v>951</v>
      </c>
      <c r="FZ956">
        <v>9.8141489510071089</v>
      </c>
      <c r="GA956">
        <v>16.83401927737502</v>
      </c>
      <c r="GB956">
        <v>23.224316380016386</v>
      </c>
      <c r="GC956">
        <v>19.205192740241372</v>
      </c>
      <c r="GD956">
        <v>12.829504532024414</v>
      </c>
      <c r="GE956">
        <v>19.035747333441936</v>
      </c>
      <c r="GF956">
        <v>21.890281022107096</v>
      </c>
      <c r="GG956">
        <v>20.461793700655146</v>
      </c>
      <c r="GH956">
        <v>12.846125556692368</v>
      </c>
      <c r="GI956">
        <v>21.202999770688848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85.964278809264201</v>
      </c>
      <c r="AO957">
        <v>33.556275092039577</v>
      </c>
      <c r="AP957">
        <v>233.72480693995328</v>
      </c>
      <c r="AQ957">
        <v>194.44304930327831</v>
      </c>
      <c r="AR957">
        <v>30.520903612295523</v>
      </c>
      <c r="AS957">
        <v>186.22435940825156</v>
      </c>
      <c r="AT957">
        <v>23.440852611108124</v>
      </c>
      <c r="AU957">
        <v>7.3929481453534134</v>
      </c>
      <c r="AV957"/>
      <c r="AW957"/>
      <c r="FY957" s="211">
        <v>952</v>
      </c>
      <c r="FZ957">
        <v>1.1504962620689687</v>
      </c>
      <c r="GA957">
        <v>12.785258321099969</v>
      </c>
      <c r="GB957">
        <v>21.758209837700051</v>
      </c>
      <c r="GC957">
        <v>13.985121093805443</v>
      </c>
      <c r="GD957">
        <v>10.404426704110112</v>
      </c>
      <c r="GE957">
        <v>17.490952661487817</v>
      </c>
      <c r="GF957">
        <v>23.842304027135057</v>
      </c>
      <c r="GG957">
        <v>28.325090431440316</v>
      </c>
      <c r="GH957">
        <v>20.582127982853351</v>
      </c>
      <c r="GI957">
        <v>19.647595133863785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83.22998490138643</v>
      </c>
      <c r="AO958">
        <v>28.197199745957438</v>
      </c>
      <c r="AP958">
        <v>167.67531066550785</v>
      </c>
      <c r="AQ958">
        <v>151.46575579080448</v>
      </c>
      <c r="AR958">
        <v>25.915658973281499</v>
      </c>
      <c r="AS958">
        <v>129.70144644303599</v>
      </c>
      <c r="AT958" t="e">
        <v>#DIV/0!</v>
      </c>
      <c r="AU958" t="e">
        <v>#DIV/0!</v>
      </c>
      <c r="AV958"/>
      <c r="AW958"/>
      <c r="FY958" s="211">
        <v>953</v>
      </c>
      <c r="FZ958">
        <v>4.0218365116660522</v>
      </c>
      <c r="GA958">
        <v>10.833416911265445</v>
      </c>
      <c r="GB958">
        <v>17.628224460044663</v>
      </c>
      <c r="GC958">
        <v>15.295571529835392</v>
      </c>
      <c r="GD958">
        <v>12.645478321250204</v>
      </c>
      <c r="GE958">
        <v>22.979084932910794</v>
      </c>
      <c r="GF958">
        <v>27.785926081967371</v>
      </c>
      <c r="GG958">
        <v>21.419324545630523</v>
      </c>
      <c r="GH958">
        <v>15.247392297312967</v>
      </c>
      <c r="GI958">
        <v>20.283501784019716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69.712973022882636</v>
      </c>
      <c r="AO959">
        <v>28.158241643087184</v>
      </c>
      <c r="AP959">
        <v>162.35789996025738</v>
      </c>
      <c r="AQ959">
        <v>144.39103131276099</v>
      </c>
      <c r="AR959">
        <v>25.825331284074935</v>
      </c>
      <c r="AS959">
        <v>120.7691076675782</v>
      </c>
      <c r="AT959">
        <v>19.121934208374459</v>
      </c>
      <c r="AU959">
        <v>45.665114580407007</v>
      </c>
      <c r="AV959"/>
      <c r="AW959"/>
      <c r="FY959" s="211">
        <v>954</v>
      </c>
      <c r="FZ959">
        <v>9.9470970992406631</v>
      </c>
      <c r="GA959">
        <v>18.143172391699988</v>
      </c>
      <c r="GB959">
        <v>18.800264519459013</v>
      </c>
      <c r="GC959">
        <v>13.646225773960939</v>
      </c>
      <c r="GD959">
        <v>9.7414616287612574</v>
      </c>
      <c r="GE959">
        <v>23.199092871235631</v>
      </c>
      <c r="GF959">
        <v>33.144069855871251</v>
      </c>
      <c r="GG959">
        <v>19.311103979285008</v>
      </c>
      <c r="GH959">
        <v>9.2431558791842381</v>
      </c>
      <c r="GI959">
        <v>19.788116544644563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93.150554866033517</v>
      </c>
      <c r="AO960">
        <v>39.247566011357982</v>
      </c>
      <c r="AP960">
        <v>283.53282730605849</v>
      </c>
      <c r="AQ960">
        <v>223.5237569936204</v>
      </c>
      <c r="AR960">
        <v>35.539111986767033</v>
      </c>
      <c r="AS960">
        <v>162.78024870709339</v>
      </c>
      <c r="AT960" t="e">
        <v>#DIV/0!</v>
      </c>
      <c r="AU960" t="e">
        <v>#DIV/0!</v>
      </c>
      <c r="AV960"/>
      <c r="AW960"/>
      <c r="FY960" s="211">
        <v>955</v>
      </c>
      <c r="FZ960">
        <v>7.8965166099490398</v>
      </c>
      <c r="GA960">
        <v>13.848008501652716</v>
      </c>
      <c r="GB960">
        <v>17.790398501803455</v>
      </c>
      <c r="GC960">
        <v>15.812899625217575</v>
      </c>
      <c r="GD960">
        <v>11.723675924835254</v>
      </c>
      <c r="GE960">
        <v>21.518338193797693</v>
      </c>
      <c r="GF960">
        <v>28.00487816137991</v>
      </c>
      <c r="GG960">
        <v>27.100242081836793</v>
      </c>
      <c r="GH960">
        <v>26.563566548257263</v>
      </c>
      <c r="GI960">
        <v>22.260312341292899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82.711809359010402</v>
      </c>
      <c r="AO961">
        <v>33.350358529171629</v>
      </c>
      <c r="AP961">
        <v>240.50348544120936</v>
      </c>
      <c r="AQ961">
        <v>195.50715842947596</v>
      </c>
      <c r="AR961">
        <v>29.987867706592098</v>
      </c>
      <c r="AS961">
        <v>142.33073443354098</v>
      </c>
      <c r="AT961">
        <v>22.118503514465818</v>
      </c>
      <c r="AU961">
        <v>26.803076016103962</v>
      </c>
      <c r="AV961"/>
      <c r="AW961"/>
      <c r="FY961" s="211">
        <v>956</v>
      </c>
      <c r="FZ961">
        <v>2.0009165464441989</v>
      </c>
      <c r="GA961">
        <v>14.650717656406062</v>
      </c>
      <c r="GB961">
        <v>12.470070135121997</v>
      </c>
      <c r="GC961">
        <v>12.032825931318719</v>
      </c>
      <c r="GD961">
        <v>12.632009529070793</v>
      </c>
      <c r="GE961">
        <v>20.535178124820231</v>
      </c>
      <c r="GF961">
        <v>24.577624959973367</v>
      </c>
      <c r="GG961">
        <v>18.160788616852663</v>
      </c>
      <c r="GH961">
        <v>14.44804467183787</v>
      </c>
      <c r="GI961">
        <v>17.990689593939742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60.593087413757601</v>
      </c>
      <c r="AO962">
        <v>27.197946702031153</v>
      </c>
      <c r="AP962">
        <v>178.7135057939912</v>
      </c>
      <c r="AQ962">
        <v>150.8593694562523</v>
      </c>
      <c r="AR962">
        <v>24.570706191570284</v>
      </c>
      <c r="AS962">
        <v>114.20961639473899</v>
      </c>
      <c r="AT962">
        <v>18.883632095687215</v>
      </c>
      <c r="AU962">
        <v>24.791323167448738</v>
      </c>
      <c r="AV962"/>
      <c r="AW962"/>
      <c r="FY962" s="211">
        <v>957</v>
      </c>
      <c r="FZ962">
        <v>6.652776515061972</v>
      </c>
      <c r="GA962">
        <v>23.491588909847085</v>
      </c>
      <c r="GB962">
        <v>23.214285744981435</v>
      </c>
      <c r="GC962">
        <v>15.826748565314627</v>
      </c>
      <c r="GD962">
        <v>11.053162859820292</v>
      </c>
      <c r="GE962">
        <v>23.047417783590955</v>
      </c>
      <c r="GF962">
        <v>46.20390242212568</v>
      </c>
      <c r="GG962">
        <v>25.03354609826399</v>
      </c>
      <c r="GH962">
        <v>2.5790094970240256</v>
      </c>
      <c r="GI962">
        <v>22.588762034656199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98.752797684728648</v>
      </c>
      <c r="AO963">
        <v>37.810228736661671</v>
      </c>
      <c r="AP963">
        <v>267.39591576737081</v>
      </c>
      <c r="AQ963">
        <v>217.45924390516478</v>
      </c>
      <c r="AR963">
        <v>34.721998526043294</v>
      </c>
      <c r="AS963">
        <v>160.69439226861422</v>
      </c>
      <c r="AT963">
        <v>25.466471648361189</v>
      </c>
      <c r="AU963">
        <v>32.907621399509431</v>
      </c>
      <c r="AV963"/>
      <c r="AW963"/>
      <c r="FY963" s="211">
        <v>958</v>
      </c>
      <c r="FZ963">
        <v>2.4046093822379255</v>
      </c>
      <c r="GA963">
        <v>12.626087417981118</v>
      </c>
      <c r="GB963">
        <v>28.006978873835585</v>
      </c>
      <c r="GC963">
        <v>19.099684867517205</v>
      </c>
      <c r="GD963">
        <v>10.766736414421432</v>
      </c>
      <c r="GE963">
        <v>20.943585303244721</v>
      </c>
      <c r="GF963">
        <v>25.724766518379955</v>
      </c>
      <c r="GG963">
        <v>25.662704259240982</v>
      </c>
      <c r="GH963">
        <v>22.933992959587165</v>
      </c>
      <c r="GI963">
        <v>22.407737148101166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75.083809433434695</v>
      </c>
      <c r="AO964">
        <v>23.63547297681292</v>
      </c>
      <c r="AP964">
        <v>146.45178005186531</v>
      </c>
      <c r="AQ964">
        <v>133.24859033733173</v>
      </c>
      <c r="AR964">
        <v>21.300224966080066</v>
      </c>
      <c r="AS964">
        <v>105.71600714071779</v>
      </c>
      <c r="AT964" t="e">
        <v>#DIV/0!</v>
      </c>
      <c r="AU964" t="e">
        <v>#DIV/0!</v>
      </c>
      <c r="AV964"/>
      <c r="AW964"/>
      <c r="FY964" s="211">
        <v>959</v>
      </c>
      <c r="FZ964">
        <v>2.1365016936341146</v>
      </c>
      <c r="GA964">
        <v>12.468117234863278</v>
      </c>
      <c r="GB964">
        <v>10.803868650802276</v>
      </c>
      <c r="GC964">
        <v>9.3287350204784403</v>
      </c>
      <c r="GD964">
        <v>10.928779456288842</v>
      </c>
      <c r="GE964">
        <v>24.85620643428669</v>
      </c>
      <c r="GF964">
        <v>34.656434055223258</v>
      </c>
      <c r="GG964">
        <v>22.062741085453336</v>
      </c>
      <c r="GH964">
        <v>12.929794549887639</v>
      </c>
      <c r="GI964">
        <v>18.234327269965782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85.574952632618789</v>
      </c>
      <c r="AO965">
        <v>31.838446151908926</v>
      </c>
      <c r="AP965">
        <v>183.96596963792251</v>
      </c>
      <c r="AQ965">
        <v>163.8636834222456</v>
      </c>
      <c r="AR965">
        <v>29.131908169332561</v>
      </c>
      <c r="AS965">
        <v>148.46223450875914</v>
      </c>
      <c r="AT965">
        <v>21.498556564634573</v>
      </c>
      <c r="AU965">
        <v>40.465546856276703</v>
      </c>
      <c r="AV965"/>
      <c r="AW965"/>
      <c r="FY965" s="211">
        <v>960</v>
      </c>
      <c r="FZ965">
        <v>10.437213843962978</v>
      </c>
      <c r="GA965">
        <v>16.598839016553566</v>
      </c>
      <c r="GB965">
        <v>25.051934479516365</v>
      </c>
      <c r="GC965">
        <v>19.267103914562359</v>
      </c>
      <c r="GD965">
        <v>12.864918152125346</v>
      </c>
      <c r="GE965">
        <v>25.924715896686141</v>
      </c>
      <c r="GF965">
        <v>31.259935965438352</v>
      </c>
      <c r="GG965">
        <v>32.970144643343616</v>
      </c>
      <c r="GH965">
        <v>30.534035553613322</v>
      </c>
      <c r="GI965">
        <v>26.362220775350121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69.032260862778429</v>
      </c>
      <c r="AO966">
        <v>24.250910585441353</v>
      </c>
      <c r="AP966">
        <v>144.8224558906488</v>
      </c>
      <c r="AQ966">
        <v>127.65753383707543</v>
      </c>
      <c r="AR966">
        <v>21.940674872353579</v>
      </c>
      <c r="AS966">
        <v>106.33646115147617</v>
      </c>
      <c r="AT966">
        <v>16.322927251793484</v>
      </c>
      <c r="AU966">
        <v>24.010707362763537</v>
      </c>
      <c r="AV966"/>
      <c r="AW966"/>
      <c r="FY966" s="211">
        <v>961</v>
      </c>
      <c r="FZ966">
        <v>1.3447553031880251</v>
      </c>
      <c r="GA966">
        <v>19.56175475733874</v>
      </c>
      <c r="GB966">
        <v>14.595075362623682</v>
      </c>
      <c r="GC966">
        <v>7.5174106488521888</v>
      </c>
      <c r="GD966">
        <v>9.841185342185085</v>
      </c>
      <c r="GE966">
        <v>18.440891401758179</v>
      </c>
      <c r="GF966">
        <v>20.631765481529289</v>
      </c>
      <c r="GG966">
        <v>17.895467653455079</v>
      </c>
      <c r="GH966">
        <v>10.431503829257299</v>
      </c>
      <c r="GI966">
        <v>15.321315336336747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100.87519340341603</v>
      </c>
      <c r="AO967">
        <v>32.270541770591436</v>
      </c>
      <c r="AP967">
        <v>205.29434963410313</v>
      </c>
      <c r="AQ967">
        <v>177.34412926424969</v>
      </c>
      <c r="AR967">
        <v>29.524160739040877</v>
      </c>
      <c r="AS967">
        <v>150.65522352322697</v>
      </c>
      <c r="AT967" t="e">
        <v>#DIV/0!</v>
      </c>
      <c r="AU967" t="e">
        <v>#DIV/0!</v>
      </c>
      <c r="AV967"/>
      <c r="AW967"/>
      <c r="FY967" s="211">
        <v>962</v>
      </c>
      <c r="FZ967">
        <v>3.7492202358016478</v>
      </c>
      <c r="GA967">
        <v>17.646359583760429</v>
      </c>
      <c r="GB967">
        <v>32.675683455051505</v>
      </c>
      <c r="GC967">
        <v>19.439141858954322</v>
      </c>
      <c r="GD967">
        <v>6.4207940663628342</v>
      </c>
      <c r="GE967">
        <v>14.832715947473801</v>
      </c>
      <c r="GF967">
        <v>40.198766866140829</v>
      </c>
      <c r="GG967">
        <v>35.193732624114446</v>
      </c>
      <c r="GH967">
        <v>19.331023282079034</v>
      </c>
      <c r="GI967">
        <v>23.289994989004761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73.763826329270572</v>
      </c>
      <c r="AO968">
        <v>29.799117953552621</v>
      </c>
      <c r="AP968">
        <v>204.84673293209156</v>
      </c>
      <c r="AQ968">
        <v>169.97158245556489</v>
      </c>
      <c r="AR968">
        <v>27.426701105467789</v>
      </c>
      <c r="AS968">
        <v>131.41612604507071</v>
      </c>
      <c r="AT968">
        <v>20.370228598376482</v>
      </c>
      <c r="AU968">
        <v>34.795165108953128</v>
      </c>
      <c r="AV968"/>
      <c r="AW968"/>
      <c r="FY968" s="211">
        <v>963</v>
      </c>
      <c r="FZ968">
        <v>3.1129533108561556</v>
      </c>
      <c r="GA968">
        <v>14.681561827241509</v>
      </c>
      <c r="GB968">
        <v>13.548549165350577</v>
      </c>
      <c r="GC968">
        <v>9.7647552196618932</v>
      </c>
      <c r="GD968">
        <v>9.8726437895044956</v>
      </c>
      <c r="GE968">
        <v>18.086885171106342</v>
      </c>
      <c r="GF968">
        <v>31.421591506871884</v>
      </c>
      <c r="GG968">
        <v>35.177565279758234</v>
      </c>
      <c r="GH968">
        <v>23.903777133090728</v>
      </c>
      <c r="GI968">
        <v>19.513551293056615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81.549433691833514</v>
      </c>
      <c r="AO969">
        <v>30.654158028238307</v>
      </c>
      <c r="AP969">
        <v>193.62986503778262</v>
      </c>
      <c r="AQ969">
        <v>168.13975737590312</v>
      </c>
      <c r="AR969">
        <v>27.911988355610596</v>
      </c>
      <c r="AS969">
        <v>133.98249028858228</v>
      </c>
      <c r="AT969">
        <v>20.848297511534884</v>
      </c>
      <c r="AU969">
        <v>38.864539242002088</v>
      </c>
      <c r="AV969"/>
      <c r="AW969"/>
      <c r="FY969" s="211">
        <v>964</v>
      </c>
      <c r="FZ969">
        <v>6.9942690673305314</v>
      </c>
      <c r="GA969">
        <v>15.326719740143529</v>
      </c>
      <c r="GB969">
        <v>18.060629760923458</v>
      </c>
      <c r="GC969">
        <v>14.154424800182912</v>
      </c>
      <c r="GD969">
        <v>10.439441465754728</v>
      </c>
      <c r="GE969">
        <v>18.742042171318797</v>
      </c>
      <c r="GF969">
        <v>26.20349915177669</v>
      </c>
      <c r="GG969">
        <v>18.954650830285477</v>
      </c>
      <c r="GH969">
        <v>10.072942354901651</v>
      </c>
      <c r="GI969">
        <v>18.40938489927105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100.59465921514864</v>
      </c>
      <c r="AO970">
        <v>30.03058279740036</v>
      </c>
      <c r="AP970">
        <v>205.6272261597486</v>
      </c>
      <c r="AQ970">
        <v>174.96376054334254</v>
      </c>
      <c r="AR970">
        <v>26.94765408470429</v>
      </c>
      <c r="AS970">
        <v>143.31363207363154</v>
      </c>
      <c r="AT970" t="e">
        <v>#DIV/0!</v>
      </c>
      <c r="AU970" t="e">
        <v>#DIV/0!</v>
      </c>
      <c r="AV970"/>
      <c r="AW970"/>
      <c r="FY970" s="211">
        <v>965</v>
      </c>
      <c r="FZ970">
        <v>3.7732237277358363</v>
      </c>
      <c r="GA970">
        <v>7.8844120999896923</v>
      </c>
      <c r="GB970">
        <v>19.926398628503087</v>
      </c>
      <c r="GC970">
        <v>17.574080340782348</v>
      </c>
      <c r="GD970">
        <v>12.577112094110326</v>
      </c>
      <c r="GE970">
        <v>17.334966862436954</v>
      </c>
      <c r="GF970">
        <v>19.204081143704357</v>
      </c>
      <c r="GG970">
        <v>20.579611783234739</v>
      </c>
      <c r="GH970">
        <v>13.108728099798883</v>
      </c>
      <c r="GI970">
        <v>18.872159143927234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95.794688705983873</v>
      </c>
      <c r="AO971">
        <v>33.371320496259663</v>
      </c>
      <c r="AP971">
        <v>226.88799193303146</v>
      </c>
      <c r="AQ971">
        <v>192.51883649002258</v>
      </c>
      <c r="AR971">
        <v>30.757419521571617</v>
      </c>
      <c r="AS971">
        <v>150.01866730083975</v>
      </c>
      <c r="AT971">
        <v>22.880134336619033</v>
      </c>
      <c r="AU971">
        <v>34.789151749413556</v>
      </c>
      <c r="AV971"/>
      <c r="AW971"/>
      <c r="FY971" s="211">
        <v>966</v>
      </c>
      <c r="FZ971">
        <v>1.6287925861033132</v>
      </c>
      <c r="GA971">
        <v>18.033381067555709</v>
      </c>
      <c r="GB971">
        <v>14.00602300880487</v>
      </c>
      <c r="GC971">
        <v>11.650832036884246</v>
      </c>
      <c r="GD971">
        <v>13.11313570507261</v>
      </c>
      <c r="GE971">
        <v>18.233511683647627</v>
      </c>
      <c r="GF971">
        <v>18.677020949166806</v>
      </c>
      <c r="GG971">
        <v>21.689664052034399</v>
      </c>
      <c r="GH971">
        <v>17.866717802084992</v>
      </c>
      <c r="GI971">
        <v>18.013164243405537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65.288772570314208</v>
      </c>
      <c r="AO972">
        <v>27.091938850062377</v>
      </c>
      <c r="AP972">
        <v>169.89630364086082</v>
      </c>
      <c r="AQ972">
        <v>149.49886576578564</v>
      </c>
      <c r="AR972">
        <v>24.756451588931416</v>
      </c>
      <c r="AS972">
        <v>121.94293227618383</v>
      </c>
      <c r="AT972">
        <v>18.911368494868732</v>
      </c>
      <c r="AU972">
        <v>39.559249232248582</v>
      </c>
      <c r="AV972"/>
      <c r="AW972"/>
      <c r="FY972" s="211">
        <v>967</v>
      </c>
      <c r="FZ972">
        <v>0.63966017857922641</v>
      </c>
      <c r="GA972">
        <v>13.642592702871847</v>
      </c>
      <c r="GB972">
        <v>17.095805549963117</v>
      </c>
      <c r="GC972">
        <v>14.217712527172605</v>
      </c>
      <c r="GD972">
        <v>12.500222060575361</v>
      </c>
      <c r="GE972">
        <v>21.153848396249437</v>
      </c>
      <c r="GF972">
        <v>24.610914992548842</v>
      </c>
      <c r="GG972">
        <v>18.592407629721727</v>
      </c>
      <c r="GH972">
        <v>13.637726122183002</v>
      </c>
      <c r="GI972">
        <v>18.773355392141887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102.70510615119899</v>
      </c>
      <c r="AO973">
        <v>34.365287894318264</v>
      </c>
      <c r="AP973">
        <v>241.37003108577457</v>
      </c>
      <c r="AQ973">
        <v>199.69120043068631</v>
      </c>
      <c r="AR973">
        <v>30.88733840675042</v>
      </c>
      <c r="AS973">
        <v>153.56537840951361</v>
      </c>
      <c r="AT973" t="e">
        <v>#DIV/0!</v>
      </c>
      <c r="AU973" t="e">
        <v>#DIV/0!</v>
      </c>
      <c r="AV973"/>
      <c r="AW973"/>
      <c r="FY973" s="211">
        <v>968</v>
      </c>
      <c r="FZ973">
        <v>3.764859516943011</v>
      </c>
      <c r="GA973">
        <v>19.180523710413866</v>
      </c>
      <c r="GB973">
        <v>16.386928781923675</v>
      </c>
      <c r="GC973">
        <v>14.85665504668294</v>
      </c>
      <c r="GD973">
        <v>12.723274966574191</v>
      </c>
      <c r="GE973">
        <v>22.253567910734578</v>
      </c>
      <c r="GF973">
        <v>33.549301287499738</v>
      </c>
      <c r="GG973">
        <v>24.168784865504005</v>
      </c>
      <c r="GH973">
        <v>15.824138280567245</v>
      </c>
      <c r="GI973">
        <v>21.216491581436564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80.894324133855193</v>
      </c>
      <c r="AO974">
        <v>34.253581787905937</v>
      </c>
      <c r="AP974">
        <v>232.30721401205776</v>
      </c>
      <c r="AQ974">
        <v>190.57688314454725</v>
      </c>
      <c r="AR974">
        <v>31.048083423896607</v>
      </c>
      <c r="AS974">
        <v>144.90383975738172</v>
      </c>
      <c r="AT974" t="e">
        <v>#DIV/0!</v>
      </c>
      <c r="AU974" t="e">
        <v>#DIV/0!</v>
      </c>
      <c r="AV974"/>
      <c r="AW974"/>
      <c r="FY974" s="211">
        <v>969</v>
      </c>
      <c r="FZ974">
        <v>1.1938487951309411</v>
      </c>
      <c r="GA974">
        <v>11.561158267946453</v>
      </c>
      <c r="GB974">
        <v>12.517027823370718</v>
      </c>
      <c r="GC974">
        <v>10.440694366330412</v>
      </c>
      <c r="GD974">
        <v>11.347971201829578</v>
      </c>
      <c r="GE974">
        <v>20.337277362160922</v>
      </c>
      <c r="GF974">
        <v>26.863852844350859</v>
      </c>
      <c r="GG974">
        <v>25.90909155676783</v>
      </c>
      <c r="GH974">
        <v>17.152483928426463</v>
      </c>
      <c r="GI974">
        <v>17.934140634657709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62.128462240426565</v>
      </c>
      <c r="AO975">
        <v>27.787355661936857</v>
      </c>
      <c r="AP975">
        <v>184.46837631482046</v>
      </c>
      <c r="AQ975">
        <v>158.40550545088365</v>
      </c>
      <c r="AR975">
        <v>24.802231448471094</v>
      </c>
      <c r="AS975">
        <v>112.42967287954093</v>
      </c>
      <c r="AT975" t="e">
        <v>#DIV/0!</v>
      </c>
      <c r="AU975" t="e">
        <v>#DIV/0!</v>
      </c>
      <c r="AV975"/>
      <c r="AW975"/>
      <c r="FY975" s="211">
        <v>970</v>
      </c>
      <c r="FZ975">
        <v>1.2631244851721823</v>
      </c>
      <c r="GA975">
        <v>8.560499852556001</v>
      </c>
      <c r="GB975">
        <v>29.122767580249516</v>
      </c>
      <c r="GC975">
        <v>23.146118035307957</v>
      </c>
      <c r="GD975">
        <v>13.553738082090165</v>
      </c>
      <c r="GE975">
        <v>23.617397654398154</v>
      </c>
      <c r="GF975">
        <v>29.799685912973011</v>
      </c>
      <c r="GG975">
        <v>15.463177512521556</v>
      </c>
      <c r="GH975">
        <v>6.8972780969512941</v>
      </c>
      <c r="GI975">
        <v>22.362195388196223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109.72144473302879</v>
      </c>
      <c r="AO976">
        <v>39.95892137715331</v>
      </c>
      <c r="AP976">
        <v>273.98310280049685</v>
      </c>
      <c r="AQ976">
        <v>231.27106224115215</v>
      </c>
      <c r="AR976">
        <v>36.486479114471678</v>
      </c>
      <c r="AS976">
        <v>173.64394523763062</v>
      </c>
      <c r="AT976">
        <v>27.555727281545938</v>
      </c>
      <c r="AU976">
        <v>52.897966347787204</v>
      </c>
      <c r="AV976"/>
      <c r="AW976"/>
      <c r="FY976" s="211">
        <v>971</v>
      </c>
      <c r="FZ976">
        <v>5.3816610395514788</v>
      </c>
      <c r="GA976">
        <v>15.641164496044558</v>
      </c>
      <c r="GB976">
        <v>20.128666715296394</v>
      </c>
      <c r="GC976">
        <v>13.704989546114371</v>
      </c>
      <c r="GD976">
        <v>12.187548800385006</v>
      </c>
      <c r="GE976">
        <v>30.637628057963788</v>
      </c>
      <c r="GF976">
        <v>31.02945152661599</v>
      </c>
      <c r="GG976">
        <v>17.893920266999462</v>
      </c>
      <c r="GH976">
        <v>16.013917009911051</v>
      </c>
      <c r="GI976">
        <v>21.638534956756949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62.834570918067143</v>
      </c>
      <c r="AO977">
        <v>23.353147651815611</v>
      </c>
      <c r="AP977">
        <v>159.47191450396707</v>
      </c>
      <c r="AQ977">
        <v>135.5811251165243</v>
      </c>
      <c r="AR977">
        <v>21.227172932049658</v>
      </c>
      <c r="AS977">
        <v>108.30222998249012</v>
      </c>
      <c r="AT977" t="e">
        <v>#DIV/0!</v>
      </c>
      <c r="AU977" t="e">
        <v>#DIV/0!</v>
      </c>
      <c r="AV977"/>
      <c r="AW977"/>
      <c r="FY977" s="211">
        <v>972</v>
      </c>
      <c r="FZ977">
        <v>5.9298045239925345</v>
      </c>
      <c r="GA977">
        <v>14.09375051440108</v>
      </c>
      <c r="GB977">
        <v>14.513485966412237</v>
      </c>
      <c r="GC977">
        <v>13.027986455712004</v>
      </c>
      <c r="GD977">
        <v>12.053167476229778</v>
      </c>
      <c r="GE977">
        <v>24.00865652883197</v>
      </c>
      <c r="GF977">
        <v>29.160739115522521</v>
      </c>
      <c r="GG977">
        <v>19.564944934489105</v>
      </c>
      <c r="GH977">
        <v>13.70086214055512</v>
      </c>
      <c r="GI977">
        <v>19.476446858151903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91.13440070420917</v>
      </c>
      <c r="AO978">
        <v>35.633467940905945</v>
      </c>
      <c r="AP978">
        <v>273.64305211079034</v>
      </c>
      <c r="AQ978">
        <v>212.77743290874358</v>
      </c>
      <c r="AR978">
        <v>32.230681969504083</v>
      </c>
      <c r="AS978">
        <v>159.88030531815156</v>
      </c>
      <c r="AT978" t="e">
        <v>#DIV/0!</v>
      </c>
      <c r="AU978" t="e">
        <v>#DIV/0!</v>
      </c>
      <c r="AV978"/>
      <c r="AW978"/>
      <c r="FY978" s="211">
        <v>973</v>
      </c>
      <c r="FZ978">
        <v>3.055469020477295</v>
      </c>
      <c r="GA978">
        <v>9.1057151053203</v>
      </c>
      <c r="GB978">
        <v>18.965092764209722</v>
      </c>
      <c r="GC978">
        <v>15.195011434742678</v>
      </c>
      <c r="GD978">
        <v>10.832180954069729</v>
      </c>
      <c r="GE978">
        <v>26.29384330114565</v>
      </c>
      <c r="GF978">
        <v>33.695136501453739</v>
      </c>
      <c r="GG978">
        <v>12.625291511262104</v>
      </c>
      <c r="GH978">
        <v>5.1744499424113171</v>
      </c>
      <c r="GI978">
        <v>18.955707195403757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75.179500993740419</v>
      </c>
      <c r="AO979">
        <v>29.610597127046709</v>
      </c>
      <c r="AP979">
        <v>214.97556810896492</v>
      </c>
      <c r="AQ979">
        <v>179.08383369649843</v>
      </c>
      <c r="AR979">
        <v>27.079693790346671</v>
      </c>
      <c r="AS979">
        <v>136.72053101698489</v>
      </c>
      <c r="AT979">
        <v>20.344809154657476</v>
      </c>
      <c r="AU979">
        <v>29.896792881736634</v>
      </c>
      <c r="AV979"/>
      <c r="AW979"/>
      <c r="FY979" s="211">
        <v>974</v>
      </c>
      <c r="FZ979">
        <v>2.8030006130148482</v>
      </c>
      <c r="GA979">
        <v>6.2564093114491843</v>
      </c>
      <c r="GB979">
        <v>15.760293204873379</v>
      </c>
      <c r="GC979">
        <v>19.119715640723626</v>
      </c>
      <c r="GD979">
        <v>16.250070711180545</v>
      </c>
      <c r="GE979">
        <v>20.238553468522912</v>
      </c>
      <c r="GF979">
        <v>24.984995275347156</v>
      </c>
      <c r="GG979">
        <v>21.69569923410311</v>
      </c>
      <c r="GH979">
        <v>11.184168542622846</v>
      </c>
      <c r="GI979">
        <v>20.713442133423531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76.770305488969598</v>
      </c>
      <c r="AO980">
        <v>27.928352972683825</v>
      </c>
      <c r="AP980">
        <v>184.93691332426602</v>
      </c>
      <c r="AQ980">
        <v>157.35800424188884</v>
      </c>
      <c r="AR980">
        <v>25.461095134429858</v>
      </c>
      <c r="AS980">
        <v>127.80964987359015</v>
      </c>
      <c r="AT980">
        <v>19.017010553758713</v>
      </c>
      <c r="AU980">
        <v>43.844456340602008</v>
      </c>
      <c r="AV980"/>
      <c r="AW980"/>
      <c r="FY980" s="211">
        <v>975</v>
      </c>
      <c r="FZ980">
        <v>1.5174644809388609</v>
      </c>
      <c r="GA980">
        <v>9.6397224414850076</v>
      </c>
      <c r="GB980">
        <v>21.209887612882088</v>
      </c>
      <c r="GC980">
        <v>18.04422589640102</v>
      </c>
      <c r="GD980">
        <v>14.369608214798294</v>
      </c>
      <c r="GE980">
        <v>28.560987173031229</v>
      </c>
      <c r="GF980">
        <v>33.887979355849495</v>
      </c>
      <c r="GG980">
        <v>17.871595327418738</v>
      </c>
      <c r="GH980">
        <v>8.8984544040611286</v>
      </c>
      <c r="GI980">
        <v>22.090146969588709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74.398334992586186</v>
      </c>
      <c r="AO981">
        <v>28.72121494690731</v>
      </c>
      <c r="AP981">
        <v>173.45259563317964</v>
      </c>
      <c r="AQ981">
        <v>150.83477392422347</v>
      </c>
      <c r="AR981">
        <v>26.405764687855346</v>
      </c>
      <c r="AS981">
        <v>129.47883139622078</v>
      </c>
      <c r="AT981" t="e">
        <v>#DIV/0!</v>
      </c>
      <c r="AU981" t="e">
        <v>#DIV/0!</v>
      </c>
      <c r="AV981"/>
      <c r="AW981"/>
      <c r="FY981" s="211">
        <v>976</v>
      </c>
      <c r="FZ981">
        <v>3.451197059115283</v>
      </c>
      <c r="GA981">
        <v>16.107671705355887</v>
      </c>
      <c r="GB981">
        <v>23.397397824329843</v>
      </c>
      <c r="GC981">
        <v>15.255989403286703</v>
      </c>
      <c r="GD981">
        <v>8.7854753415921518</v>
      </c>
      <c r="GE981">
        <v>15.770427254214606</v>
      </c>
      <c r="GF981">
        <v>25.793006186387728</v>
      </c>
      <c r="GG981">
        <v>28.969412654534423</v>
      </c>
      <c r="GH981">
        <v>24.670301845688812</v>
      </c>
      <c r="GI981">
        <v>20.428363695804293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65.458303842498083</v>
      </c>
      <c r="AO982">
        <v>27.295995502927997</v>
      </c>
      <c r="AP982">
        <v>174.63689750345787</v>
      </c>
      <c r="AQ982">
        <v>152.9122431347601</v>
      </c>
      <c r="AR982">
        <v>25.090452483305871</v>
      </c>
      <c r="AS982">
        <v>161.95652616241284</v>
      </c>
      <c r="AT982">
        <v>18.873035310987611</v>
      </c>
      <c r="AU982">
        <v>23.642853734069231</v>
      </c>
      <c r="AV982"/>
      <c r="AW982"/>
      <c r="FY982" s="211">
        <v>977</v>
      </c>
      <c r="FZ982">
        <v>0.95861009991873225</v>
      </c>
      <c r="GA982">
        <v>14.440981396153276</v>
      </c>
      <c r="GB982">
        <v>9.4662087070121714</v>
      </c>
      <c r="GC982">
        <v>10.478115992116777</v>
      </c>
      <c r="GD982">
        <v>15.404868964650806</v>
      </c>
      <c r="GE982">
        <v>28.806267350754855</v>
      </c>
      <c r="GF982">
        <v>29.696772382737851</v>
      </c>
      <c r="GG982">
        <v>23.652255748274321</v>
      </c>
      <c r="GH982">
        <v>21.557899350857792</v>
      </c>
      <c r="GI982">
        <v>20.881731789252775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63.613150180192314</v>
      </c>
      <c r="AO983">
        <v>28.616057650088457</v>
      </c>
      <c r="AP983">
        <v>179.432877658194</v>
      </c>
      <c r="AQ983">
        <v>154.86424555200708</v>
      </c>
      <c r="AR983">
        <v>25.911427964162797</v>
      </c>
      <c r="AS983">
        <v>172.6199004564582</v>
      </c>
      <c r="AT983">
        <v>20.027572371991106</v>
      </c>
      <c r="AU983">
        <v>16.968818110949154</v>
      </c>
      <c r="AV983"/>
      <c r="AW983"/>
      <c r="FY983" s="211">
        <v>978</v>
      </c>
      <c r="FZ983">
        <v>2.7645502713325936</v>
      </c>
      <c r="GA983">
        <v>15.46512338997616</v>
      </c>
      <c r="GB983">
        <v>28.327354984454036</v>
      </c>
      <c r="GC983">
        <v>16.059609566583205</v>
      </c>
      <c r="GD983">
        <v>9.5352761858548032</v>
      </c>
      <c r="GE983">
        <v>26.618903467047218</v>
      </c>
      <c r="GF983">
        <v>33.254503291225575</v>
      </c>
      <c r="GG983">
        <v>20.381130488019828</v>
      </c>
      <c r="GH983">
        <v>18.604962479875461</v>
      </c>
      <c r="GI983">
        <v>22.489355038485524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79.094955899281871</v>
      </c>
      <c r="AO984">
        <v>32.359558468951086</v>
      </c>
      <c r="AP984">
        <v>215.31883830242631</v>
      </c>
      <c r="AQ984">
        <v>183.92452594827981</v>
      </c>
      <c r="AR984">
        <v>29.052350334751385</v>
      </c>
      <c r="AS984">
        <v>135.7162780198851</v>
      </c>
      <c r="AT984" t="e">
        <v>#DIV/0!</v>
      </c>
      <c r="AU984" t="e">
        <v>#DIV/0!</v>
      </c>
      <c r="AV984"/>
      <c r="AW984"/>
      <c r="FY984" s="211">
        <v>979</v>
      </c>
      <c r="FZ984">
        <v>11.826305291799052</v>
      </c>
      <c r="GA984">
        <v>28.508069558671508</v>
      </c>
      <c r="GB984">
        <v>22.68210087041215</v>
      </c>
      <c r="GC984">
        <v>12.557751763141686</v>
      </c>
      <c r="GD984">
        <v>10.145540329911254</v>
      </c>
      <c r="GE984">
        <v>23.70232019551494</v>
      </c>
      <c r="GF984">
        <v>29.32532250073632</v>
      </c>
      <c r="GG984">
        <v>27.136898253004151</v>
      </c>
      <c r="GH984">
        <v>21.348652695451435</v>
      </c>
      <c r="GI984">
        <v>22.537521540946155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64.271960630894824</v>
      </c>
      <c r="AO985">
        <v>27.310949554744987</v>
      </c>
      <c r="AP985">
        <v>179.78254744566851</v>
      </c>
      <c r="AQ985">
        <v>155.25754678097189</v>
      </c>
      <c r="AR985">
        <v>24.764953244659559</v>
      </c>
      <c r="AS985">
        <v>117.09356888095293</v>
      </c>
      <c r="AT985" t="e">
        <v>#DIV/0!</v>
      </c>
      <c r="AU985" t="e">
        <v>#DIV/0!</v>
      </c>
      <c r="AV985"/>
      <c r="AW985"/>
      <c r="FY985" s="211">
        <v>980</v>
      </c>
      <c r="FZ985">
        <v>6.2932350396043901</v>
      </c>
      <c r="GA985">
        <v>15.459467568044614</v>
      </c>
      <c r="GB985">
        <v>25.484651581819936</v>
      </c>
      <c r="GC985">
        <v>16.158950172910622</v>
      </c>
      <c r="GD985">
        <v>11.242001470850056</v>
      </c>
      <c r="GE985">
        <v>27.155738953532733</v>
      </c>
      <c r="GF985">
        <v>33.168712885468686</v>
      </c>
      <c r="GG985">
        <v>15.979407505540097</v>
      </c>
      <c r="GH985">
        <v>7.994084249097412</v>
      </c>
      <c r="GI985">
        <v>21.646635934612036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86.33533424214491</v>
      </c>
      <c r="AO986">
        <v>34.002388154863972</v>
      </c>
      <c r="AP986">
        <v>203.51759438703479</v>
      </c>
      <c r="AQ986">
        <v>173.78598260041605</v>
      </c>
      <c r="AR986">
        <v>30.794821405902411</v>
      </c>
      <c r="AS986">
        <v>151.5994991605381</v>
      </c>
      <c r="AT986">
        <v>22.850824925653225</v>
      </c>
      <c r="AU986">
        <v>28.408869451703858</v>
      </c>
      <c r="AV986"/>
      <c r="AW986"/>
      <c r="FY986" s="211">
        <v>981</v>
      </c>
      <c r="FZ986">
        <v>7.3355414861298565</v>
      </c>
      <c r="GA986">
        <v>20.499003126899375</v>
      </c>
      <c r="GB986">
        <v>20.90339136878929</v>
      </c>
      <c r="GC986">
        <v>14.54680858330015</v>
      </c>
      <c r="GD986">
        <v>11.739347857233687</v>
      </c>
      <c r="GE986">
        <v>20.678270088714701</v>
      </c>
      <c r="GF986">
        <v>22.519353907293471</v>
      </c>
      <c r="GG986">
        <v>16.102771247647858</v>
      </c>
      <c r="GH986">
        <v>11.139435401552658</v>
      </c>
      <c r="GI986">
        <v>19.446159953030147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86.496713664582117</v>
      </c>
      <c r="AO987">
        <v>32.870205527746563</v>
      </c>
      <c r="AP987">
        <v>213.08244794130914</v>
      </c>
      <c r="AQ987">
        <v>184.25748241563903</v>
      </c>
      <c r="AR987">
        <v>29.461797687639255</v>
      </c>
      <c r="AS987">
        <v>146.32161015144302</v>
      </c>
      <c r="AT987">
        <v>22.553409905919342</v>
      </c>
      <c r="AU987">
        <v>46.502980177015068</v>
      </c>
      <c r="AV987"/>
      <c r="AW987"/>
      <c r="FY987" s="211">
        <v>982</v>
      </c>
      <c r="FZ987">
        <v>3.7966557493045539</v>
      </c>
      <c r="GA987">
        <v>17.10399961069233</v>
      </c>
      <c r="GB987">
        <v>28.370166538762856</v>
      </c>
      <c r="GC987">
        <v>22.600759543441505</v>
      </c>
      <c r="GD987">
        <v>14.18435672082629</v>
      </c>
      <c r="GE987">
        <v>18.716456734258323</v>
      </c>
      <c r="GF987">
        <v>20.764234853206421</v>
      </c>
      <c r="GG987">
        <v>29.910088411992792</v>
      </c>
      <c r="GH987">
        <v>29.290803657570677</v>
      </c>
      <c r="GI987">
        <v>24.767720916641537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80.344912913288141</v>
      </c>
      <c r="AO988">
        <v>29.561104879617186</v>
      </c>
      <c r="AP988">
        <v>189.94660340022403</v>
      </c>
      <c r="AQ988">
        <v>165.52984451429825</v>
      </c>
      <c r="AR988">
        <v>26.698974101540944</v>
      </c>
      <c r="AS988">
        <v>133.39942057489111</v>
      </c>
      <c r="AT988">
        <v>20.061586529011347</v>
      </c>
      <c r="AU988">
        <v>37.620594399684229</v>
      </c>
      <c r="AV988"/>
      <c r="AW988"/>
      <c r="FY988" s="211">
        <v>983</v>
      </c>
      <c r="FZ988">
        <v>1.9423779461646029</v>
      </c>
      <c r="GA988">
        <v>5.8101168056885353</v>
      </c>
      <c r="GB988">
        <v>18.44098046358684</v>
      </c>
      <c r="GC988">
        <v>14.498888615397004</v>
      </c>
      <c r="GD988">
        <v>9.786148713897223</v>
      </c>
      <c r="GE988">
        <v>19.315197132249057</v>
      </c>
      <c r="GF988">
        <v>25.113491004721478</v>
      </c>
      <c r="GG988">
        <v>16.375649590947077</v>
      </c>
      <c r="GH988">
        <v>12.663987824866059</v>
      </c>
      <c r="GI988">
        <v>17.594871704367307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70.017984757842925</v>
      </c>
      <c r="AO989">
        <v>28.830548027223319</v>
      </c>
      <c r="AP989">
        <v>178.65492462889239</v>
      </c>
      <c r="AQ989">
        <v>153.89789773049628</v>
      </c>
      <c r="AR989">
        <v>25.622645638710974</v>
      </c>
      <c r="AS989">
        <v>124.59100596776257</v>
      </c>
      <c r="AT989" t="e">
        <v>#DIV/0!</v>
      </c>
      <c r="AU989" t="e">
        <v>#DIV/0!</v>
      </c>
      <c r="AV989"/>
      <c r="AW989"/>
      <c r="FY989" s="211">
        <v>984</v>
      </c>
      <c r="FZ989">
        <v>6.2254796009711431</v>
      </c>
      <c r="GA989">
        <v>16.013502642095567</v>
      </c>
      <c r="GB989">
        <v>19.014289457807312</v>
      </c>
      <c r="GC989">
        <v>15.882884238534617</v>
      </c>
      <c r="GD989">
        <v>14.266824560688775</v>
      </c>
      <c r="GE989">
        <v>25.492294236617795</v>
      </c>
      <c r="GF989">
        <v>28.186976441190112</v>
      </c>
      <c r="GG989">
        <v>20.185290823448184</v>
      </c>
      <c r="GH989">
        <v>12.071728039362611</v>
      </c>
      <c r="GI989">
        <v>21.53127179689789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76.273468660968661</v>
      </c>
      <c r="AO990">
        <v>31.402342069365613</v>
      </c>
      <c r="AP990">
        <v>176.4535272006313</v>
      </c>
      <c r="AQ990">
        <v>159.00634813526113</v>
      </c>
      <c r="AR990">
        <v>28.927113298412088</v>
      </c>
      <c r="AS990">
        <v>131.24528281399648</v>
      </c>
      <c r="AT990">
        <v>21.47483143282032</v>
      </c>
      <c r="AU990">
        <v>26.858340738199072</v>
      </c>
      <c r="AV990"/>
      <c r="AW990"/>
      <c r="FY990" s="211">
        <v>985</v>
      </c>
      <c r="FZ990">
        <v>7.3901076203569991</v>
      </c>
      <c r="GA990">
        <v>26.077489037094271</v>
      </c>
      <c r="GB990">
        <v>12.84726604604699</v>
      </c>
      <c r="GC990">
        <v>9.1588251594465149</v>
      </c>
      <c r="GD990">
        <v>13.222846473967465</v>
      </c>
      <c r="GE990">
        <v>24.389453650499267</v>
      </c>
      <c r="GF990">
        <v>18.023299335658841</v>
      </c>
      <c r="GG990">
        <v>23.731282868069719</v>
      </c>
      <c r="GH990">
        <v>28.210135504824827</v>
      </c>
      <c r="GI990">
        <v>20.184615234995757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77.195024304933924</v>
      </c>
      <c r="AO991">
        <v>33.726319593495987</v>
      </c>
      <c r="AP991">
        <v>202.59154943726648</v>
      </c>
      <c r="AQ991">
        <v>176.09007187645457</v>
      </c>
      <c r="AR991">
        <v>30.252056356360846</v>
      </c>
      <c r="AS991">
        <v>144.22672482111446</v>
      </c>
      <c r="AT991" t="e">
        <v>#DIV/0!</v>
      </c>
      <c r="AU991" t="e">
        <v>#DIV/0!</v>
      </c>
      <c r="AV991"/>
      <c r="AW991"/>
      <c r="FY991" s="211">
        <v>986</v>
      </c>
      <c r="FZ991">
        <v>4.0083165594022336</v>
      </c>
      <c r="GA991">
        <v>13.11695612184625</v>
      </c>
      <c r="GB991">
        <v>20.222232758554817</v>
      </c>
      <c r="GC991">
        <v>17.008444663778626</v>
      </c>
      <c r="GD991">
        <v>11.903739703740479</v>
      </c>
      <c r="GE991">
        <v>16.537351946569459</v>
      </c>
      <c r="GF991">
        <v>14.351035126317822</v>
      </c>
      <c r="GG991">
        <v>21.24549785288627</v>
      </c>
      <c r="GH991">
        <v>22.487219613966843</v>
      </c>
      <c r="GI991">
        <v>19.107913406756435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78.617836378770036</v>
      </c>
      <c r="AO992">
        <v>30.902871973107931</v>
      </c>
      <c r="AP992">
        <v>223.98779630199937</v>
      </c>
      <c r="AQ992">
        <v>182.62924297030975</v>
      </c>
      <c r="AR992">
        <v>28.30100395141536</v>
      </c>
      <c r="AS992">
        <v>137.32904026775395</v>
      </c>
      <c r="AT992">
        <v>20.6987716215401</v>
      </c>
      <c r="AU992">
        <v>32.065563363717892</v>
      </c>
      <c r="AV992"/>
      <c r="AW992"/>
      <c r="FY992" s="211">
        <v>987</v>
      </c>
      <c r="FZ992">
        <v>2.5178090757066096</v>
      </c>
      <c r="GA992">
        <v>19.175138696398072</v>
      </c>
      <c r="GB992">
        <v>22.365093993158489</v>
      </c>
      <c r="GC992">
        <v>15.323425214521466</v>
      </c>
      <c r="GD992">
        <v>12.601884667269534</v>
      </c>
      <c r="GE992">
        <v>23.872454123649806</v>
      </c>
      <c r="GF992">
        <v>27.239305720405884</v>
      </c>
      <c r="GG992">
        <v>23.122735942995188</v>
      </c>
      <c r="GH992">
        <v>19.145787430804624</v>
      </c>
      <c r="GI992">
        <v>21.707159637996003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69.172404088355123</v>
      </c>
      <c r="AO993">
        <v>31.62747469399925</v>
      </c>
      <c r="AP993">
        <v>196.3242160724422</v>
      </c>
      <c r="AQ993">
        <v>175.34371178172933</v>
      </c>
      <c r="AR993">
        <v>28.663419258934876</v>
      </c>
      <c r="AS993">
        <v>118.862056810825</v>
      </c>
      <c r="AT993" t="e">
        <v>#DIV/0!</v>
      </c>
      <c r="AU993" t="e">
        <v>#DIV/0!</v>
      </c>
      <c r="AV993"/>
      <c r="AW993"/>
      <c r="FY993" s="211">
        <v>988</v>
      </c>
      <c r="FZ993">
        <v>6.5035695385807344</v>
      </c>
      <c r="GA993">
        <v>21.427236447426743</v>
      </c>
      <c r="GB993">
        <v>24.790074731190355</v>
      </c>
      <c r="GC993">
        <v>16.726056032589117</v>
      </c>
      <c r="GD993">
        <v>13.244920880194751</v>
      </c>
      <c r="GE993">
        <v>22.662240093197866</v>
      </c>
      <c r="GF993">
        <v>25.224210799542192</v>
      </c>
      <c r="GG993">
        <v>18.304651224539416</v>
      </c>
      <c r="GH993">
        <v>10.437111756087305</v>
      </c>
      <c r="GI993">
        <v>21.566183932340582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81.637943503390517</v>
      </c>
      <c r="AO994">
        <v>33.862648382658421</v>
      </c>
      <c r="AP994">
        <v>235.82777042169783</v>
      </c>
      <c r="AQ994">
        <v>193.5007691628544</v>
      </c>
      <c r="AR994">
        <v>30.714031933063445</v>
      </c>
      <c r="AS994">
        <v>144.74463050287949</v>
      </c>
      <c r="AT994">
        <v>23.20733970414085</v>
      </c>
      <c r="AU994">
        <v>29.771274826747419</v>
      </c>
      <c r="AV994"/>
      <c r="AW994"/>
      <c r="FY994" s="211">
        <v>989</v>
      </c>
      <c r="FZ994">
        <v>6.2220509981800793</v>
      </c>
      <c r="GA994">
        <v>17.937425706909693</v>
      </c>
      <c r="GB994">
        <v>14.78922441841811</v>
      </c>
      <c r="GC994">
        <v>11.140677041030617</v>
      </c>
      <c r="GD994">
        <v>8.7490359259148818</v>
      </c>
      <c r="GE994">
        <v>12.478926642904918</v>
      </c>
      <c r="GF994">
        <v>19.730753617779797</v>
      </c>
      <c r="GG994">
        <v>27.869248153123664</v>
      </c>
      <c r="GH994">
        <v>22.914525033524622</v>
      </c>
      <c r="GI994">
        <v>17.306022396433438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104.06725396235404</v>
      </c>
      <c r="AO995">
        <v>34.310957412665829</v>
      </c>
      <c r="AP995">
        <v>252.00612849276783</v>
      </c>
      <c r="AQ995">
        <v>209.77048299958864</v>
      </c>
      <c r="AR995">
        <v>31.146776926523113</v>
      </c>
      <c r="AS995">
        <v>158.36303939216145</v>
      </c>
      <c r="AT995">
        <v>23.423679266265101</v>
      </c>
      <c r="AU995">
        <v>55.272117631973735</v>
      </c>
      <c r="AV995"/>
      <c r="AW995"/>
      <c r="FY995" s="211">
        <v>990</v>
      </c>
      <c r="FZ995">
        <v>6.3482359366259491</v>
      </c>
      <c r="GA995">
        <v>24.979098668474201</v>
      </c>
      <c r="GB995">
        <v>24.180794131792688</v>
      </c>
      <c r="GC995">
        <v>14.036957683450987</v>
      </c>
      <c r="GD995">
        <v>12.605442034540646</v>
      </c>
      <c r="GE995">
        <v>30.921326287880692</v>
      </c>
      <c r="GF995">
        <v>30.51590822370364</v>
      </c>
      <c r="GG995">
        <v>13.788397583330209</v>
      </c>
      <c r="GH995">
        <v>11.76545740394652</v>
      </c>
      <c r="GI995">
        <v>22.21316028380398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94.009816287271065</v>
      </c>
      <c r="AO996">
        <v>32.644304992532334</v>
      </c>
      <c r="AP996">
        <v>213.58834841385644</v>
      </c>
      <c r="AQ996">
        <v>180.58288536148063</v>
      </c>
      <c r="AR996">
        <v>29.665069768093556</v>
      </c>
      <c r="AS996">
        <v>143.21029272304986</v>
      </c>
      <c r="AT996">
        <v>22.121346585203849</v>
      </c>
      <c r="AU996">
        <v>32.713645743812222</v>
      </c>
      <c r="AV996"/>
      <c r="AW996"/>
      <c r="FY996" s="211">
        <v>991</v>
      </c>
      <c r="FZ996">
        <v>4.2039124815388904</v>
      </c>
      <c r="GA996">
        <v>16.074615885066951</v>
      </c>
      <c r="GB996">
        <v>34.678704876636679</v>
      </c>
      <c r="GC996">
        <v>24.47816333818178</v>
      </c>
      <c r="GD996">
        <v>15.15547110869751</v>
      </c>
      <c r="GE996">
        <v>23.756571800865569</v>
      </c>
      <c r="GF996">
        <v>18.885046060344894</v>
      </c>
      <c r="GG996">
        <v>17.80268332604884</v>
      </c>
      <c r="GH996">
        <v>18.483927695733776</v>
      </c>
      <c r="GI996">
        <v>24.960129588523849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82.899411777244083</v>
      </c>
      <c r="AO997">
        <v>29.334274489882244</v>
      </c>
      <c r="AP997">
        <v>192.29623383161271</v>
      </c>
      <c r="AQ997">
        <v>164.91008302059117</v>
      </c>
      <c r="AR997">
        <v>26.87197497972268</v>
      </c>
      <c r="AS997">
        <v>131.64645214424664</v>
      </c>
      <c r="AT997">
        <v>20.179160955949644</v>
      </c>
      <c r="AU997">
        <v>50.891606428367076</v>
      </c>
      <c r="AV997"/>
      <c r="AW997"/>
      <c r="FY997" s="211">
        <v>992</v>
      </c>
      <c r="FZ997">
        <v>2.1070889101376586</v>
      </c>
      <c r="GA997">
        <v>14.316538086500127</v>
      </c>
      <c r="GB997">
        <v>20.941378548106758</v>
      </c>
      <c r="GC997">
        <v>14.271824060396931</v>
      </c>
      <c r="GD997">
        <v>11.805429666602327</v>
      </c>
      <c r="GE997">
        <v>24.714532850946281</v>
      </c>
      <c r="GF997">
        <v>33.751836713656985</v>
      </c>
      <c r="GG997">
        <v>25.409458102274883</v>
      </c>
      <c r="GH997">
        <v>15.126357513171286</v>
      </c>
      <c r="GI997">
        <v>21.444367983462072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92.547809283419653</v>
      </c>
      <c r="AO998">
        <v>37.736518063318464</v>
      </c>
      <c r="AP998">
        <v>248.18055323096817</v>
      </c>
      <c r="AQ998">
        <v>209.50524273669726</v>
      </c>
      <c r="AR998">
        <v>34.536824976687683</v>
      </c>
      <c r="AS998">
        <v>155.64488457410437</v>
      </c>
      <c r="AT998" t="e">
        <v>#DIV/0!</v>
      </c>
      <c r="AU998" t="e">
        <v>#DIV/0!</v>
      </c>
      <c r="AV998"/>
      <c r="AW998"/>
      <c r="FY998" s="211">
        <v>993</v>
      </c>
      <c r="FZ998">
        <v>3.6756633154085163</v>
      </c>
      <c r="GA998">
        <v>12.968713188381034</v>
      </c>
      <c r="GB998">
        <v>23.608909019079913</v>
      </c>
      <c r="GC998">
        <v>16.971009593650241</v>
      </c>
      <c r="GD998">
        <v>13.404938470082662</v>
      </c>
      <c r="GE998">
        <v>29.440330550429319</v>
      </c>
      <c r="GF998">
        <v>29.221111051737871</v>
      </c>
      <c r="GG998">
        <v>23.41911096928942</v>
      </c>
      <c r="GH998">
        <v>21.061724241350682</v>
      </c>
      <c r="GI998">
        <v>23.423779061290777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60.364721524777472</v>
      </c>
      <c r="AO999">
        <v>26.306742614989837</v>
      </c>
      <c r="AP999">
        <v>166.50406886969628</v>
      </c>
      <c r="AQ999">
        <v>141.54170980188519</v>
      </c>
      <c r="AR999">
        <v>24.219444688486021</v>
      </c>
      <c r="AS999">
        <v>112.99095498275057</v>
      </c>
      <c r="AT999">
        <v>18.495532497514347</v>
      </c>
      <c r="AU999">
        <v>29.219690512325883</v>
      </c>
      <c r="AV999"/>
      <c r="AW999"/>
      <c r="FY999" s="211">
        <v>994</v>
      </c>
      <c r="FZ999">
        <v>4.3738126036049803</v>
      </c>
      <c r="GA999">
        <v>16.245300277709433</v>
      </c>
      <c r="GB999">
        <v>14.985773321802512</v>
      </c>
      <c r="GC999">
        <v>9.73653263000209</v>
      </c>
      <c r="GD999">
        <v>11.371819286007605</v>
      </c>
      <c r="GE999">
        <v>27.862283545442981</v>
      </c>
      <c r="GF999">
        <v>43.609506314234402</v>
      </c>
      <c r="GG999">
        <v>30.884633912057836</v>
      </c>
      <c r="GH999">
        <v>14.908173004272655</v>
      </c>
      <c r="GI999">
        <v>21.882029261304922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92.281223069844771</v>
      </c>
      <c r="AO1000">
        <v>32.691010549912981</v>
      </c>
      <c r="AP1000">
        <v>203.81631005890094</v>
      </c>
      <c r="AQ1000">
        <v>178.87054183761398</v>
      </c>
      <c r="AR1000">
        <v>29.730800597104121</v>
      </c>
      <c r="AS1000">
        <v>151.75989529014774</v>
      </c>
      <c r="AT1000">
        <v>22.125260022322493</v>
      </c>
      <c r="AU1000">
        <v>38.363141118855367</v>
      </c>
      <c r="AV1000"/>
      <c r="AW1000"/>
      <c r="FY1000" s="211">
        <v>995</v>
      </c>
      <c r="FZ1000">
        <v>4.5837476889442401</v>
      </c>
      <c r="GA1000">
        <v>19.955193662436177</v>
      </c>
      <c r="GB1000">
        <v>22.168121564750354</v>
      </c>
      <c r="GC1000">
        <v>14.021741050311556</v>
      </c>
      <c r="GD1000">
        <v>9.4054123064573201</v>
      </c>
      <c r="GE1000">
        <v>15.075027922552575</v>
      </c>
      <c r="GF1000">
        <v>19.464370228743036</v>
      </c>
      <c r="GG1000">
        <v>22.722144037549924</v>
      </c>
      <c r="GH1000">
        <v>22.086897373241907</v>
      </c>
      <c r="GI1000">
        <v>19.150923754145328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86.275253903429316</v>
      </c>
      <c r="AO1001">
        <v>30.629636700314798</v>
      </c>
      <c r="AP1001">
        <v>208.39348970067033</v>
      </c>
      <c r="AQ1001">
        <v>183.23532093096063</v>
      </c>
      <c r="AR1001">
        <v>27.871754229489003</v>
      </c>
      <c r="AS1001">
        <v>133.54468183375531</v>
      </c>
      <c r="AT1001">
        <v>21.558516586333777</v>
      </c>
      <c r="AU1001">
        <v>50.111518009975697</v>
      </c>
      <c r="AV1001"/>
      <c r="AW1001"/>
      <c r="FY1001" s="211">
        <v>996</v>
      </c>
      <c r="FZ1001">
        <v>2.6231622284612843</v>
      </c>
      <c r="GA1001">
        <v>20.968604500260142</v>
      </c>
      <c r="GB1001">
        <v>41.328109279389786</v>
      </c>
      <c r="GC1001">
        <v>21.425731200465783</v>
      </c>
      <c r="GD1001">
        <v>12.337245858726311</v>
      </c>
      <c r="GE1001">
        <v>25.311244916927709</v>
      </c>
      <c r="GF1001">
        <v>24.898105517594747</v>
      </c>
      <c r="GG1001">
        <v>15.311196743498778</v>
      </c>
      <c r="GH1001">
        <v>7.4457440453979569</v>
      </c>
      <c r="GI1001">
        <v>24.095100282616908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76.056953701467705</v>
      </c>
      <c r="AO1002">
        <v>29.115146645866965</v>
      </c>
      <c r="AP1002">
        <v>185.64993896297321</v>
      </c>
      <c r="AQ1002">
        <v>159.98870775381926</v>
      </c>
      <c r="AR1002">
        <v>26.609906406860542</v>
      </c>
      <c r="AS1002">
        <v>130.78213670900362</v>
      </c>
      <c r="AT1002" t="e">
        <v>#DIV/0!</v>
      </c>
      <c r="AU1002" t="e">
        <v>#DIV/0!</v>
      </c>
      <c r="AV1002"/>
      <c r="AW1002"/>
      <c r="FY1002" s="211">
        <v>997</v>
      </c>
      <c r="FZ1002">
        <v>5.7025582330401452</v>
      </c>
      <c r="GA1002">
        <v>25.873260247266511</v>
      </c>
      <c r="GB1002">
        <v>28.648021107113792</v>
      </c>
      <c r="GC1002">
        <v>19.490877741094188</v>
      </c>
      <c r="GD1002">
        <v>14.426081276685164</v>
      </c>
      <c r="GE1002">
        <v>19.782728969084157</v>
      </c>
      <c r="GF1002">
        <v>14.705125587085112</v>
      </c>
      <c r="GG1002">
        <v>14.561844512916363</v>
      </c>
      <c r="GH1002">
        <v>14.569079455979551</v>
      </c>
      <c r="GI1002">
        <v>21.824263898610141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86.72312412736423</v>
      </c>
      <c r="AO1003">
        <v>32.977503992194912</v>
      </c>
      <c r="AP1003">
        <v>219.75889836049737</v>
      </c>
      <c r="AQ1003">
        <v>187.07079450290567</v>
      </c>
      <c r="AR1003">
        <v>29.816425550027649</v>
      </c>
      <c r="AS1003">
        <v>143.47718458494191</v>
      </c>
      <c r="AT1003" t="e">
        <v>#DIV/0!</v>
      </c>
      <c r="AU1003" t="e">
        <v>#DIV/0!</v>
      </c>
      <c r="AV1003"/>
      <c r="AW1003"/>
      <c r="FY1003" s="211">
        <v>998</v>
      </c>
      <c r="FZ1003">
        <v>5.2028954160279746</v>
      </c>
      <c r="GA1003">
        <v>16.339465420397438</v>
      </c>
      <c r="GB1003">
        <v>22.860244046043537</v>
      </c>
      <c r="GC1003">
        <v>14.062020038602402</v>
      </c>
      <c r="GD1003">
        <v>8.2845623049565535</v>
      </c>
      <c r="GE1003">
        <v>24.721302550741363</v>
      </c>
      <c r="GF1003">
        <v>28.155135823815392</v>
      </c>
      <c r="GG1003">
        <v>13.753846768472497</v>
      </c>
      <c r="GH1003">
        <v>16.223163665317404</v>
      </c>
      <c r="GI1003">
        <v>19.423827954894861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98.212175151820915</v>
      </c>
      <c r="AO1004">
        <v>32.545858996973116</v>
      </c>
      <c r="AP1004">
        <v>210.9461599733682</v>
      </c>
      <c r="AQ1004">
        <v>180.88625543568904</v>
      </c>
      <c r="AR1004">
        <v>29.858144664612826</v>
      </c>
      <c r="AS1004">
        <v>155.47339470461787</v>
      </c>
      <c r="AT1004">
        <v>21.85520188265625</v>
      </c>
      <c r="AU1004">
        <v>51.416840433697764</v>
      </c>
      <c r="AV1004"/>
      <c r="AW1004"/>
      <c r="FY1004" s="211">
        <v>999</v>
      </c>
      <c r="FZ1004">
        <v>5.5524215312316443</v>
      </c>
      <c r="GA1004">
        <v>15.657148643498353</v>
      </c>
      <c r="GB1004">
        <v>19.097928523569038</v>
      </c>
      <c r="GC1004">
        <v>14.074928951011694</v>
      </c>
      <c r="GD1004">
        <v>9.6767354970796386</v>
      </c>
      <c r="GE1004">
        <v>17.055835482210789</v>
      </c>
      <c r="GF1004">
        <v>30.51409728433562</v>
      </c>
      <c r="GG1004">
        <v>27.726795766229881</v>
      </c>
      <c r="GH1004">
        <v>17.152483928426459</v>
      </c>
      <c r="GI1004">
        <v>19.913821140690438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74.577186606284187</v>
      </c>
      <c r="AO1005">
        <v>26.317864471185892</v>
      </c>
      <c r="AP1005">
        <v>191.86832106929126</v>
      </c>
      <c r="AQ1005">
        <v>159.13788993421983</v>
      </c>
      <c r="AR1005">
        <v>24.163755260049225</v>
      </c>
      <c r="AS1005">
        <v>122.71192831032081</v>
      </c>
      <c r="AT1005" t="e">
        <v>#DIV/0!</v>
      </c>
      <c r="AU1005" t="e">
        <v>#DIV/0!</v>
      </c>
      <c r="AV1005"/>
      <c r="AW1005"/>
      <c r="FY1005" s="211">
        <v>1000</v>
      </c>
      <c r="FZ1005">
        <v>2.2519389724220744</v>
      </c>
      <c r="GA1005">
        <v>7.0483338960779465</v>
      </c>
      <c r="GB1005">
        <v>25.29192621142376</v>
      </c>
      <c r="GC1005">
        <v>16.238900552642193</v>
      </c>
      <c r="GD1005">
        <v>10.52394126529288</v>
      </c>
      <c r="GE1005">
        <v>23.873260579526828</v>
      </c>
      <c r="GF1005">
        <v>26.967872766594958</v>
      </c>
      <c r="GG1005">
        <v>21.00404780299629</v>
      </c>
      <c r="GH1005">
        <v>15.155850499386023</v>
      </c>
      <c r="GI1005">
        <v>20.577203700150712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102.01967972938078</v>
      </c>
      <c r="AO1006">
        <v>33.554117830840603</v>
      </c>
      <c r="AP1006">
        <v>221.96557301054042</v>
      </c>
      <c r="AQ1006">
        <v>191.35477823754951</v>
      </c>
      <c r="AR1006">
        <v>30.136826430739852</v>
      </c>
      <c r="AS1006">
        <v>153.57323421113614</v>
      </c>
      <c r="AT1006">
        <v>22.912712202274506</v>
      </c>
      <c r="AU1006">
        <v>61.099120930131008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94.469491755283897</v>
      </c>
      <c r="AO1007">
        <v>37.711165992117841</v>
      </c>
      <c r="AP1007">
        <v>233.25462898950101</v>
      </c>
      <c r="AQ1007">
        <v>198.47922616163873</v>
      </c>
      <c r="AR1007">
        <v>34.848624960599011</v>
      </c>
      <c r="AS1007">
        <v>161.37798713713545</v>
      </c>
      <c r="AT1007">
        <v>25.671511025729789</v>
      </c>
      <c r="AU1007">
        <v>42.467264260733444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75.740385206954969</v>
      </c>
      <c r="AO1008">
        <v>32.579049212101289</v>
      </c>
      <c r="AP1008">
        <v>217.85077449616378</v>
      </c>
      <c r="AQ1008">
        <v>183.88881243525532</v>
      </c>
      <c r="AR1008">
        <v>29.512546925951124</v>
      </c>
      <c r="AS1008">
        <v>192.65800622759321</v>
      </c>
      <c r="AT1008">
        <v>22.682863944539136</v>
      </c>
      <c r="AU1008">
        <v>29.576142408884937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88.787291929602119</v>
      </c>
      <c r="AO1009">
        <v>35.727810660559093</v>
      </c>
      <c r="AP1009">
        <v>229.66508867152226</v>
      </c>
      <c r="AQ1009">
        <v>197.19528946070045</v>
      </c>
      <c r="AR1009">
        <v>32.166004993115344</v>
      </c>
      <c r="AS1009">
        <v>150.20405305478141</v>
      </c>
      <c r="AT1009" t="e">
        <v>#DIV/0!</v>
      </c>
      <c r="AU1009" t="e">
        <v>#DIV/0!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83.011735487270087</v>
      </c>
      <c r="AO1010">
        <v>33.142505415303518</v>
      </c>
      <c r="AP1010">
        <v>232.35535427945513</v>
      </c>
      <c r="AQ1010">
        <v>195.85986415643941</v>
      </c>
      <c r="AR1010">
        <v>29.928967636646068</v>
      </c>
      <c r="AS1010">
        <v>140.23586450217309</v>
      </c>
      <c r="AT1010">
        <v>22.899459289161566</v>
      </c>
      <c r="AU1010">
        <v>25.776125391857455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74.205097565353043</v>
      </c>
      <c r="AO1011">
        <v>28.828967020126857</v>
      </c>
      <c r="AP1011">
        <v>205.57099007066265</v>
      </c>
      <c r="AQ1011">
        <v>168.63357958913241</v>
      </c>
      <c r="AR1011">
        <v>26.744780818902278</v>
      </c>
      <c r="AS1011">
        <v>132.35389746448342</v>
      </c>
      <c r="AT1011">
        <v>19.929467585706075</v>
      </c>
      <c r="AU1011">
        <v>37.321065728222493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91.412463633244684</v>
      </c>
      <c r="AO1012">
        <v>36.412146892024417</v>
      </c>
      <c r="AP1012">
        <v>239.23876430173786</v>
      </c>
      <c r="AQ1012">
        <v>195.74424457333939</v>
      </c>
      <c r="AR1012">
        <v>33.587188214202584</v>
      </c>
      <c r="AS1012">
        <v>161.38449631745712</v>
      </c>
      <c r="AT1012">
        <v>24.587805170333862</v>
      </c>
      <c r="AU1012">
        <v>41.513426369864796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94.346743246061195</v>
      </c>
      <c r="AO1013">
        <v>32.975527527736112</v>
      </c>
      <c r="AP1013">
        <v>208.70336669903614</v>
      </c>
      <c r="AQ1013">
        <v>179.58384102887516</v>
      </c>
      <c r="AR1013">
        <v>30.483857192835423</v>
      </c>
      <c r="AS1013">
        <v>155.6009923396243</v>
      </c>
      <c r="AT1013">
        <v>22.598671604090935</v>
      </c>
      <c r="AU1013">
        <v>59.224640751786325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78.350560943020241</v>
      </c>
      <c r="AO1014">
        <v>29.379330610219888</v>
      </c>
      <c r="AP1014">
        <v>202.95503157571005</v>
      </c>
      <c r="AQ1014">
        <v>169.02646398926942</v>
      </c>
      <c r="AR1014">
        <v>26.28486610286696</v>
      </c>
      <c r="AS1014">
        <v>124.45714884836576</v>
      </c>
      <c r="AT1014">
        <v>20.084727928089638</v>
      </c>
      <c r="AU1014">
        <v>45.108941474648866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78.015194662750616</v>
      </c>
      <c r="AO1015">
        <v>30.098747792230199</v>
      </c>
      <c r="AP1015">
        <v>212.60149538469011</v>
      </c>
      <c r="AQ1015">
        <v>176.42219674828351</v>
      </c>
      <c r="AR1015">
        <v>27.487575506000589</v>
      </c>
      <c r="AS1015">
        <v>127.58466773113985</v>
      </c>
      <c r="AT1015" t="e">
        <v>#DIV/0!</v>
      </c>
      <c r="AU1015" t="e">
        <v>#DIV/0!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75.189212331199229</v>
      </c>
      <c r="AO1016">
        <v>31.130207948258288</v>
      </c>
      <c r="AP1016">
        <v>201.47435948886292</v>
      </c>
      <c r="AQ1016">
        <v>168.93327624651366</v>
      </c>
      <c r="AR1016">
        <v>28.47701923688053</v>
      </c>
      <c r="AS1016">
        <v>135.82761783903172</v>
      </c>
      <c r="AT1016">
        <v>20.982464852387746</v>
      </c>
      <c r="AU1016">
        <v>11.929451430221823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2011-08-25T11:06:43Z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